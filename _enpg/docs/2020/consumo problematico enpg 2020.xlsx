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10" sheetId="1" r:id="rId4"/>
    <sheet state="visible" name="2012" sheetId="2" r:id="rId5"/>
    <sheet state="visible" name="2014" sheetId="3" r:id="rId6"/>
    <sheet state="visible" name="2016" sheetId="4" r:id="rId7"/>
    <sheet state="visible" name="2018" sheetId="5" r:id="rId8"/>
    <sheet state="visible" name="2020" sheetId="6" r:id="rId9"/>
    <sheet state="visible" name="ags" sheetId="7" r:id="rId10"/>
    <sheet state="visible" name="comparado" sheetId="8" r:id="rId11"/>
  </sheets>
  <definedNames/>
  <calcPr/>
  <extLst>
    <ext uri="GoogleSheetsCustomDataVersion2">
      <go:sheetsCustomData xmlns:go="http://customooxmlschemas.google.com/" r:id="rId12" roundtripDataChecksum="Bon1TgnGzYX35XuxctQnD977fYUUqRlmFXKZMaySlDg="/>
    </ext>
  </extLst>
</workbook>
</file>

<file path=xl/sharedStrings.xml><?xml version="1.0" encoding="utf-8"?>
<sst xmlns="http://schemas.openxmlformats.org/spreadsheetml/2006/main" count="1095" uniqueCount="113">
  <si>
    <t>Prevalencia de Consumo Ultimo Año</t>
  </si>
  <si>
    <t>N° de Personas con Consumo Ultimo Año</t>
  </si>
  <si>
    <t>SEXO</t>
  </si>
  <si>
    <t>GRUPO DE EDAD</t>
  </si>
  <si>
    <t>Total</t>
  </si>
  <si>
    <t>Hombre</t>
  </si>
  <si>
    <t>Mujer</t>
  </si>
  <si>
    <t>12-17 años</t>
  </si>
  <si>
    <t>18-64 años</t>
  </si>
  <si>
    <t>Drogas(1)</t>
  </si>
  <si>
    <t>Alcohol</t>
  </si>
  <si>
    <t>Sustancias(2)</t>
  </si>
  <si>
    <t>(1) Prevalentes de último año de marihuana, cocaína y/o pasta base</t>
  </si>
  <si>
    <t>(2) Prevalentes de último año de drogas y/o alcohol</t>
  </si>
  <si>
    <t>Fuente: Elaboración Propia, Décimo Primer Estudio Nacional de Drogas en Población General, SENDA</t>
  </si>
  <si>
    <t>Prevalencia de Consumo Problemático Ultimo Año</t>
  </si>
  <si>
    <t>N° de Personas con Consumo Problemático Ultimo Año</t>
  </si>
  <si>
    <t>Alcohol(2)</t>
  </si>
  <si>
    <t>Sustancias</t>
  </si>
  <si>
    <t>(1) Presencia de síntomas de dependencia (CIE-10) y/o abuso (DSM IV) sobre quienes declaran consumo de último año de marihuana, cocaína y/o pasta base</t>
  </si>
  <si>
    <t>(2) Presencia de a lo menos un síntoma de abuso (DSM IV) sobre quienes declaran consumo de último año de alcohol</t>
  </si>
  <si>
    <t>Prevalencia Tratamiento el último año (de los problemáticos)(1)</t>
  </si>
  <si>
    <t>N° de Personas Tratadas el último año (de los problemáticos)(1)</t>
  </si>
  <si>
    <t>Drogas</t>
  </si>
  <si>
    <t>(1) Calculado a partir de aquellos individuos que presenten consumo problemático en el último año</t>
  </si>
  <si>
    <t>Prevalencia Personas que desearon Tratarse (de los problemáticos no tratados)(1)</t>
  </si>
  <si>
    <t>N° de Personas que desearon Tratarse (de los problemáticos no tratados)(1)</t>
  </si>
  <si>
    <t xml:space="preserve">(1) Calculado a partir de aquellos individuos que presenten consumo problemático y declaren no haber sido tratados por alcohol y/o drogas </t>
  </si>
  <si>
    <t>(1) Calculado a partir de aquellos individuos que presenten consumo problemático y declaren no haber sido tratados por alcohol y/o drogas</t>
  </si>
  <si>
    <t>Prevalencia Personas que intentaron Tratarse (de los problemáticos no tratados y que deseaban tratarse)(1)</t>
  </si>
  <si>
    <t>N° de Personas que intentaronTratarse (de los problemáticos no tratados y que deseaban tratarse)(1)</t>
  </si>
  <si>
    <t>(1) Calculado a partir de aquellos individuos que presenten consumo problemático, declaren no haber sido tratados por alcohol y/o drogas y desearon tratarse en el último año</t>
  </si>
  <si>
    <t>prevs1</t>
  </si>
  <si>
    <t>prevs2</t>
  </si>
  <si>
    <t>prevs3</t>
  </si>
  <si>
    <t>prevs4</t>
  </si>
  <si>
    <t>prevs5</t>
  </si>
  <si>
    <t>enes1</t>
  </si>
  <si>
    <t>enes2</t>
  </si>
  <si>
    <t>enes3</t>
  </si>
  <si>
    <t>enes4</t>
  </si>
  <si>
    <t>enes5</t>
  </si>
  <si>
    <t>¿Cuál es en su país la cobertura de tratamiento estimada en las personas con dependencia del alcohol (es decir, la proporción de personas con dependencia de alcohol, incluidas las que no buscan tratamiento, que están en contacto con servicios de tratamiento), en comparación con la cobertura de tratamiento estimada en las personas con drogodependencia? Marque (ü) una sola casilla para cada clase de dependencia.</t>
  </si>
  <si>
    <t>      [En contacto con servicios de tratamiento significa que actualmente están recibiendo tratamiento o se encuentra en remisión o en recaída pero continúan en contacto con los servicios de tratamiento.]</t>
  </si>
  <si>
    <t>Dependencia de…</t>
  </si>
  <si>
    <t>Opiáceos</t>
  </si>
  <si>
    <t>Cocaína</t>
  </si>
  <si>
    <t>Estimulantes de tipo anfetamina</t>
  </si>
  <si>
    <t>Cannabis</t>
  </si>
  <si>
    <t>Drogas (PBC. COC y Marihuana)</t>
  </si>
  <si>
    <t>Próxima a nula (alrededor de 0%)</t>
  </si>
  <si>
    <t>Muy limitada (alrededor de 1-10%)</t>
  </si>
  <si>
    <r>
      <rPr>
        <rFont val="Times New Roman"/>
        <color theme="1"/>
        <sz val="12.0"/>
      </rPr>
      <t> </t>
    </r>
    <r>
      <rPr>
        <rFont val="Times New Roman"/>
        <color rgb="FF1F497D"/>
        <sz val="36.0"/>
      </rPr>
      <t>X </t>
    </r>
    <r>
      <rPr>
        <rFont val="Times New Roman"/>
        <color rgb="FF1F497D"/>
        <sz val="10.0"/>
      </rPr>
      <t>Del total personas con consumo problemático de OH (463.241) se trataron el último año (24.864)</t>
    </r>
  </si>
  <si>
    <r>
      <rPr>
        <rFont val="Times New Roman"/>
        <color theme="1"/>
        <sz val="12.0"/>
      </rPr>
      <t> </t>
    </r>
    <r>
      <rPr>
        <rFont val="Times New Roman"/>
        <color rgb="FF1F497D"/>
        <sz val="36.0"/>
      </rPr>
      <t>X </t>
    </r>
    <r>
      <rPr>
        <rFont val="Times New Roman"/>
        <color rgb="FF1F497D"/>
        <sz val="10.0"/>
      </rPr>
      <t>Del total personas con consumo problemático de drogas (268.990) se trataron el último año (14.449)</t>
    </r>
  </si>
  <si>
    <t>Limitada (11-20%)</t>
  </si>
  <si>
    <t>Sustancial (21-40%)</t>
  </si>
  <si>
    <t>Alto (más del 40%)</t>
  </si>
  <si>
    <t>Desconocida</t>
  </si>
  <si>
    <t>¿Cuál es en su país la proporción estimada de personas que buscan tratamiento para la dependencia del alcohol que reciben ese tratamiento, en comparación con la proporción de personas que buscan tratamiento para la drogodependencia y reciben ese tratamiento? Marque (ü) una sola casilla para cada clase de dependencia.</t>
  </si>
  <si>
    <t>1 - 10%</t>
  </si>
  <si>
    <t>11 - 20%</t>
  </si>
  <si>
    <t>21 - 50%</t>
  </si>
  <si>
    <r>
      <rPr>
        <rFont val="Times New Roman"/>
        <color theme="1"/>
        <sz val="12.0"/>
      </rPr>
      <t> </t>
    </r>
    <r>
      <rPr>
        <rFont val="Times New Roman"/>
        <color rgb="FF1F497D"/>
        <sz val="24.0"/>
      </rPr>
      <t>X</t>
    </r>
    <r>
      <rPr>
        <rFont val="Times New Roman"/>
        <color rgb="FF1F497D"/>
        <sz val="12.0"/>
      </rPr>
      <t> Del total personas con consumo problemático de OH que intentaron tratarse (40.218) se trataron el último año (24.864)</t>
    </r>
  </si>
  <si>
    <t>51 - 90%</t>
  </si>
  <si>
    <r>
      <rPr>
        <rFont val="Times New Roman"/>
        <color theme="1"/>
        <sz val="12.0"/>
      </rPr>
      <t> </t>
    </r>
    <r>
      <rPr>
        <rFont val="Times New Roman"/>
        <color rgb="FF1F497D"/>
        <sz val="24.0"/>
      </rPr>
      <t>X</t>
    </r>
    <r>
      <rPr>
        <rFont val="Times New Roman"/>
        <color rgb="FF1F497D"/>
        <sz val="12.0"/>
      </rPr>
      <t> Del total personas con consumo problemático de drogas que intentaron tratarse (20.678) se trataron el último año (14.449)</t>
    </r>
  </si>
  <si>
    <t>91 - 98%</t>
  </si>
  <si>
    <t>99 - 100%</t>
  </si>
  <si>
    <t>Desconocido</t>
  </si>
  <si>
    <r>
      <rPr>
        <rFont val="Times New Roman"/>
        <color theme="1"/>
        <sz val="12.0"/>
      </rPr>
      <t> </t>
    </r>
    <r>
      <rPr>
        <rFont val="Times New Roman"/>
        <color rgb="FF1F497D"/>
        <sz val="36.0"/>
      </rPr>
      <t>X </t>
    </r>
    <r>
      <rPr>
        <rFont val="Times New Roman"/>
        <color rgb="FF1F497D"/>
        <sz val="10.0"/>
      </rPr>
      <t>Del total personas con consumo problemático de OH (463.241) se trataron el último año (24.864)</t>
    </r>
  </si>
  <si>
    <r>
      <rPr>
        <rFont val="Times New Roman"/>
        <color theme="1"/>
        <sz val="12.0"/>
      </rPr>
      <t> </t>
    </r>
    <r>
      <rPr>
        <rFont val="Times New Roman"/>
        <color rgb="FF1F497D"/>
        <sz val="36.0"/>
      </rPr>
      <t>X </t>
    </r>
    <r>
      <rPr>
        <rFont val="Times New Roman"/>
        <color rgb="FF1F497D"/>
        <sz val="10.0"/>
      </rPr>
      <t>Del total personas con consumo problemático de drogas (268.990) se trataron el último año (14.449)</t>
    </r>
  </si>
  <si>
    <r>
      <rPr>
        <rFont val="Times New Roman"/>
        <color theme="1"/>
        <sz val="12.0"/>
      </rPr>
      <t> </t>
    </r>
    <r>
      <rPr>
        <rFont val="Times New Roman"/>
        <color rgb="FF1F497D"/>
        <sz val="24.0"/>
      </rPr>
      <t>X</t>
    </r>
    <r>
      <rPr>
        <rFont val="Times New Roman"/>
        <color rgb="FF1F497D"/>
        <sz val="12.0"/>
      </rPr>
      <t> Del total personas con consumo problemático de OH que intentaron tratarse (40.218) se trataron el último año (24.864)</t>
    </r>
  </si>
  <si>
    <r>
      <rPr>
        <rFont val="Times New Roman"/>
        <color theme="1"/>
        <sz val="12.0"/>
      </rPr>
      <t> </t>
    </r>
    <r>
      <rPr>
        <rFont val="Times New Roman"/>
        <color rgb="FF1F497D"/>
        <sz val="24.0"/>
      </rPr>
      <t>X</t>
    </r>
    <r>
      <rPr>
        <rFont val="Times New Roman"/>
        <color rgb="FF1F497D"/>
        <sz val="12.0"/>
      </rPr>
      <t> Del total personas con consumo problemático de drogas que intentaron tratarse (20.678) se trataron el último año (14.449)</t>
    </r>
  </si>
  <si>
    <t>sd</t>
  </si>
  <si>
    <r>
      <rPr>
        <rFont val="Times New Roman"/>
        <color theme="1"/>
        <sz val="12.0"/>
      </rPr>
      <t> </t>
    </r>
    <r>
      <rPr>
        <rFont val="Times New Roman"/>
        <color rgb="FF1F497D"/>
        <sz val="36.0"/>
      </rPr>
      <t>X </t>
    </r>
    <r>
      <rPr>
        <rFont val="Times New Roman"/>
        <color rgb="FF1F497D"/>
        <sz val="10.0"/>
      </rPr>
      <t>Del total personas con consumo problemático de OH (463.241) se trataron el último año (24.864)</t>
    </r>
  </si>
  <si>
    <r>
      <rPr>
        <rFont val="Times New Roman"/>
        <color theme="1"/>
        <sz val="12.0"/>
      </rPr>
      <t> </t>
    </r>
    <r>
      <rPr>
        <rFont val="Times New Roman"/>
        <color rgb="FF1F497D"/>
        <sz val="36.0"/>
      </rPr>
      <t>X </t>
    </r>
    <r>
      <rPr>
        <rFont val="Times New Roman"/>
        <color rgb="FF1F497D"/>
        <sz val="10.0"/>
      </rPr>
      <t>Del total personas con consumo problemático de drogas (268.990) se trataron el último año (14.449)</t>
    </r>
  </si>
  <si>
    <r>
      <rPr>
        <rFont val="Times New Roman"/>
        <color theme="1"/>
        <sz val="12.0"/>
      </rPr>
      <t> </t>
    </r>
    <r>
      <rPr>
        <rFont val="Times New Roman"/>
        <color rgb="FF1F497D"/>
        <sz val="24.0"/>
      </rPr>
      <t>X</t>
    </r>
    <r>
      <rPr>
        <rFont val="Times New Roman"/>
        <color rgb="FF1F497D"/>
        <sz val="12.0"/>
      </rPr>
      <t> Del total personas con consumo problemático de OH que intentaron tratarse (40.218) se trataron el último año (24.864)</t>
    </r>
  </si>
  <si>
    <r>
      <rPr>
        <rFont val="Times New Roman"/>
        <color theme="1"/>
        <sz val="12.0"/>
      </rPr>
      <t> </t>
    </r>
    <r>
      <rPr>
        <rFont val="Times New Roman"/>
        <color rgb="FF1F497D"/>
        <sz val="24.0"/>
      </rPr>
      <t>X</t>
    </r>
    <r>
      <rPr>
        <rFont val="Times New Roman"/>
        <color rgb="FF1F497D"/>
        <sz val="12.0"/>
      </rPr>
      <t> Del total personas con consumo problemático de drogas que intentaron tratarse (20.678) se trataron el último año (14.449)</t>
    </r>
  </si>
  <si>
    <t>Fuente: Elaboración Propia, Décimo Segundo Estudio Nacional de Drogas en Población General, SENDA</t>
  </si>
  <si>
    <r>
      <rPr>
        <rFont val="Times New Roman"/>
        <color theme="1"/>
        <sz val="12.0"/>
      </rPr>
      <t> </t>
    </r>
    <r>
      <rPr>
        <rFont val="Times New Roman"/>
        <color rgb="FF1F497D"/>
        <sz val="36.0"/>
      </rPr>
      <t>X </t>
    </r>
    <r>
      <rPr>
        <rFont val="Times New Roman"/>
        <color rgb="FF1F497D"/>
        <sz val="10.0"/>
      </rPr>
      <t>Del total personas con consumo problemático de OH (463.241) se trataron el último año (24.864)</t>
    </r>
  </si>
  <si>
    <r>
      <rPr>
        <rFont val="Times New Roman"/>
        <color theme="1"/>
        <sz val="12.0"/>
      </rPr>
      <t> </t>
    </r>
    <r>
      <rPr>
        <rFont val="Times New Roman"/>
        <color rgb="FF1F497D"/>
        <sz val="36.0"/>
      </rPr>
      <t>X </t>
    </r>
    <r>
      <rPr>
        <rFont val="Times New Roman"/>
        <color rgb="FF1F497D"/>
        <sz val="10.0"/>
      </rPr>
      <t>Del total personas con consumo problemático de drogas (268.990) se trataron el último año (14.449)</t>
    </r>
  </si>
  <si>
    <r>
      <rPr>
        <rFont val="Times New Roman"/>
        <color theme="1"/>
        <sz val="12.0"/>
      </rPr>
      <t> </t>
    </r>
    <r>
      <rPr>
        <rFont val="Times New Roman"/>
        <color rgb="FF1F497D"/>
        <sz val="24.0"/>
      </rPr>
      <t>X</t>
    </r>
    <r>
      <rPr>
        <rFont val="Times New Roman"/>
        <color rgb="FF1F497D"/>
        <sz val="12.0"/>
      </rPr>
      <t> Del total personas con consumo problemático de OH que intentaron tratarse (40.218) se trataron el último año (24.864)</t>
    </r>
  </si>
  <si>
    <r>
      <rPr>
        <rFont val="Times New Roman"/>
        <color theme="1"/>
        <sz val="12.0"/>
      </rPr>
      <t> </t>
    </r>
    <r>
      <rPr>
        <rFont val="Times New Roman"/>
        <color rgb="FF1F497D"/>
        <sz val="24.0"/>
      </rPr>
      <t>X</t>
    </r>
    <r>
      <rPr>
        <rFont val="Times New Roman"/>
        <color rgb="FF1F497D"/>
        <sz val="12.0"/>
      </rPr>
      <t> Del total personas con consumo problemático de drogas que intentaron tratarse (20.678) se trataron el último año (14.449)</t>
    </r>
  </si>
  <si>
    <t>Fuente: Elaboración Propia, Décimo Tercer Estudio Nacional de Drogas en Población General, SENDA</t>
  </si>
  <si>
    <r>
      <rPr>
        <rFont val="Times New Roman"/>
        <color theme="1"/>
        <sz val="12.0"/>
      </rPr>
      <t> </t>
    </r>
    <r>
      <rPr>
        <rFont val="Times New Roman"/>
        <color rgb="FF1F497D"/>
        <sz val="36.0"/>
      </rPr>
      <t>X </t>
    </r>
    <r>
      <rPr>
        <rFont val="Times New Roman"/>
        <color rgb="FF1F497D"/>
        <sz val="10.0"/>
      </rPr>
      <t>Del total personas con consumo problemático de OH (463.241) se trataron el último año (24.864)</t>
    </r>
  </si>
  <si>
    <r>
      <rPr>
        <rFont val="Times New Roman"/>
        <color theme="1"/>
        <sz val="12.0"/>
      </rPr>
      <t> </t>
    </r>
    <r>
      <rPr>
        <rFont val="Times New Roman"/>
        <color rgb="FF1F497D"/>
        <sz val="36.0"/>
      </rPr>
      <t>X </t>
    </r>
    <r>
      <rPr>
        <rFont val="Times New Roman"/>
        <color rgb="FF1F497D"/>
        <sz val="10.0"/>
      </rPr>
      <t>Del total personas con consumo problemático de drogas (268.990) se trataron el último año (14.449)</t>
    </r>
  </si>
  <si>
    <r>
      <rPr>
        <rFont val="Times New Roman"/>
        <color theme="1"/>
        <sz val="12.0"/>
      </rPr>
      <t> </t>
    </r>
    <r>
      <rPr>
        <rFont val="Times New Roman"/>
        <color rgb="FF1F497D"/>
        <sz val="24.0"/>
      </rPr>
      <t>X</t>
    </r>
    <r>
      <rPr>
        <rFont val="Times New Roman"/>
        <color rgb="FF1F497D"/>
        <sz val="12.0"/>
      </rPr>
      <t> Del total personas con consumo problemático de OH que intentaron tratarse (40.218) se trataron el último año (24.864)</t>
    </r>
  </si>
  <si>
    <r>
      <rPr>
        <rFont val="Times New Roman"/>
        <color theme="1"/>
        <sz val="12.0"/>
      </rPr>
      <t> </t>
    </r>
    <r>
      <rPr>
        <rFont val="Times New Roman"/>
        <color rgb="FF1F497D"/>
        <sz val="24.0"/>
      </rPr>
      <t>X</t>
    </r>
    <r>
      <rPr>
        <rFont val="Times New Roman"/>
        <color rgb="FF1F497D"/>
        <sz val="12.0"/>
      </rPr>
      <t> Del total personas con consumo problemático de drogas que intentaron tratarse (20.678) se trataron el último año (14.449)</t>
    </r>
  </si>
  <si>
    <t>Fuente: Elaboración Propia, Décimo Cuarto Estudio Nacional de Drogas en Población General, SENDA</t>
  </si>
  <si>
    <t>total de la población estimada</t>
  </si>
  <si>
    <t>prevalencia consumo de alcohol entre quienes consumieron ultimo añ</t>
  </si>
  <si>
    <t>redondeado</t>
  </si>
  <si>
    <r>
      <rPr>
        <rFont val="Times New Roman"/>
        <color theme="1"/>
        <sz val="12.0"/>
      </rPr>
      <t> </t>
    </r>
    <r>
      <rPr>
        <rFont val="Times New Roman"/>
        <color rgb="FF1F497D"/>
        <sz val="36.0"/>
      </rPr>
      <t>X </t>
    </r>
    <r>
      <rPr>
        <rFont val="Times New Roman"/>
        <color rgb="FF1F497D"/>
        <sz val="10.0"/>
      </rPr>
      <t>Del total personas con consumo problemático de OH (463.241) se trataron el último año (24.864)</t>
    </r>
  </si>
  <si>
    <r>
      <rPr>
        <rFont val="Times New Roman"/>
        <color theme="1"/>
        <sz val="12.0"/>
      </rPr>
      <t> </t>
    </r>
    <r>
      <rPr>
        <rFont val="Times New Roman"/>
        <color rgb="FF1F497D"/>
        <sz val="36.0"/>
      </rPr>
      <t>X </t>
    </r>
    <r>
      <rPr>
        <rFont val="Times New Roman"/>
        <color rgb="FF1F497D"/>
        <sz val="10.0"/>
      </rPr>
      <t>Del total personas con consumo problemático de drogas (268.990) se trataron el último año (14.449)</t>
    </r>
  </si>
  <si>
    <r>
      <rPr>
        <rFont val="Times New Roman"/>
        <color theme="1"/>
        <sz val="12.0"/>
      </rPr>
      <t> </t>
    </r>
    <r>
      <rPr>
        <rFont val="Times New Roman"/>
        <color rgb="FF1F497D"/>
        <sz val="24.0"/>
      </rPr>
      <t>X</t>
    </r>
    <r>
      <rPr>
        <rFont val="Times New Roman"/>
        <color rgb="FF1F497D"/>
        <sz val="12.0"/>
      </rPr>
      <t> Del total personas con consumo problemático de OH que intentaron tratarse (40.218) se trataron el último año (24.864)</t>
    </r>
  </si>
  <si>
    <r>
      <rPr>
        <rFont val="Times New Roman"/>
        <color theme="1"/>
        <sz val="12.0"/>
      </rPr>
      <t> </t>
    </r>
    <r>
      <rPr>
        <rFont val="Times New Roman"/>
        <color rgb="FF1F497D"/>
        <sz val="24.0"/>
      </rPr>
      <t>X</t>
    </r>
    <r>
      <rPr>
        <rFont val="Times New Roman"/>
        <color rgb="FF1F497D"/>
        <sz val="12.0"/>
      </rPr>
      <t> Del total personas con consumo problemático de drogas que intentaron tratarse (20.678) se trataron el último año (14.449)</t>
    </r>
  </si>
  <si>
    <t>https://www.senda.gob.cl/wp-content/uploads/2021/02/Estrategia-Nacional-de-Drogas-version-web.pdf</t>
  </si>
  <si>
    <t>consumo problemático6 de sustancias, pasando de 692.986 en 2016 a 649.160 en 2018</t>
  </si>
  <si>
    <t>La definición de consumo problemático de drogas considera a quienes presentan síntomas de abuso de alcohol según DSM-IV y/o presencia de síntomas de abuso DSM-IV o dependencia según CIE-10 para usuarios de último año de marihuana, cocaína y/o pasta base.</t>
  </si>
  <si>
    <t>https://www.senda.gob.cl/wp-content/uploads/2019/10/Apuntes-Octubre.pdf</t>
  </si>
  <si>
    <t>El Décimo Segundo Estudio Nacional de Drogas en Población General 2016 también muestra que en ese año existían 152.254 mujeres con consumo problemático de drogas1, de las cuales 7.172 señalan que se trataron en el último año.</t>
  </si>
  <si>
    <t>1Se entiende por consumidores problemáticos aquellas personas que consumieron marihuana, cocaína, pasta base y/o alcohol en el último año y que presentaban síntomas de dependencia (CIE-10) y/o abuso (DSM IV) de marihuana, cocaína y/o pasta base y/o presencia de a lo menos un síntoma de abuso (DSM IV) de alcohol.</t>
  </si>
  <si>
    <t>Número personas con uso problemático</t>
  </si>
  <si>
    <t>Deseo tratarse</t>
  </si>
  <si>
    <t>Tratamiento total</t>
  </si>
  <si>
    <t>Chile</t>
  </si>
  <si>
    <t>Mexico</t>
  </si>
  <si>
    <t>Peru</t>
  </si>
  <si>
    <t>Uruguay</t>
  </si>
  <si>
    <t>Brasil</t>
  </si>
  <si>
    <t>Muertes drogas</t>
  </si>
  <si>
    <t>No disponible</t>
  </si>
  <si>
    <t xml:space="preserve">Total </t>
  </si>
  <si>
    <t>Total %</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</si>
</sst>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0.0%"/>
    <numFmt numFmtId="166" formatCode="_ * #,##0_ ;_ * \-#,##0_ ;_ * &quot;-&quot;_ ;_ @_ "/>
    <numFmt numFmtId="167" formatCode="_-* #,##0_-;\-* #,##0_-;_-* &quot;-&quot;_-;_-@"/>
  </numFmts>
  <fonts count="12">
    <font>
      <sz val="11.0"/>
      <color theme="1"/>
      <name val="Calibri"/>
      <scheme val="minor"/>
    </font>
    <font>
      <sz val="11.0"/>
      <color theme="1"/>
      <name val="Calibri"/>
    </font>
    <font>
      <sz val="8.0"/>
      <color theme="1"/>
      <name val="Calibri"/>
    </font>
    <font>
      <b/>
      <sz val="8.0"/>
      <color theme="1"/>
      <name val="Calibri"/>
    </font>
    <font/>
    <font>
      <sz val="7.0"/>
      <color theme="1"/>
      <name val="Calibri"/>
    </font>
    <font>
      <sz val="10.0"/>
      <color theme="1"/>
      <name val="Arial"/>
    </font>
    <font>
      <sz val="10.0"/>
      <color theme="1"/>
      <name val="Times New Roman"/>
    </font>
    <font>
      <sz val="11.0"/>
      <color theme="1"/>
      <name val="Times New Roman"/>
    </font>
    <font>
      <sz val="12.0"/>
      <color theme="1"/>
      <name val="Times New Roman"/>
    </font>
    <font>
      <sz val="12.0"/>
      <color rgb="FF000000"/>
      <name val="Arial"/>
    </font>
    <font>
      <color theme="1"/>
      <name val="Calibri"/>
      <scheme val="minor"/>
    </font>
  </fonts>
  <fills count="8">
    <fill>
      <patternFill patternType="none"/>
    </fill>
    <fill>
      <patternFill patternType="lightGray"/>
    </fill>
    <fill>
      <patternFill patternType="solid">
        <fgColor rgb="FFC8C8C8"/>
        <bgColor rgb="FFC8C8C8"/>
      </patternFill>
    </fill>
    <fill>
      <patternFill patternType="solid">
        <fgColor rgb="FFC0C0C0"/>
        <bgColor rgb="FFC0C0C0"/>
      </patternFill>
    </fill>
    <fill>
      <patternFill patternType="solid">
        <fgColor rgb="FFFFD965"/>
        <bgColor rgb="FFFFD965"/>
      </patternFill>
    </fill>
    <fill>
      <patternFill patternType="solid">
        <fgColor rgb="FFF7CAAC"/>
        <bgColor rgb="FFF7CAAC"/>
      </patternFill>
    </fill>
    <fill>
      <patternFill patternType="solid">
        <fgColor rgb="FFFFFF00"/>
        <bgColor rgb="FFFFFF00"/>
      </patternFill>
    </fill>
    <fill>
      <patternFill patternType="solid">
        <fgColor theme="0"/>
        <bgColor theme="0"/>
      </patternFill>
    </fill>
  </fills>
  <borders count="39">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top/>
      <bottom style="thin">
        <color rgb="FF000000"/>
      </bottom>
    </border>
    <border>
      <right style="thin">
        <color rgb="FF000000"/>
      </right>
      <top/>
      <bottom style="thin">
        <color rgb="FF000000"/>
      </bottom>
    </border>
    <border>
      <left style="thin">
        <color rgb="FF000000"/>
      </left>
      <right style="thin">
        <color rgb="FF000000"/>
      </right>
      <top style="medium">
        <color rgb="FF000000"/>
      </top>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rder>
    <border>
      <left style="thin">
        <color rgb="FF000000"/>
      </left>
      <right style="thin">
        <color rgb="FF000000"/>
      </right>
      <bottom/>
    </border>
    <border>
      <left style="thin">
        <color rgb="FF000000"/>
      </left>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medium">
        <color rgb="FF000000"/>
      </right>
      <top style="thin">
        <color rgb="FF000000"/>
      </top>
    </border>
    <border>
      <left style="medium">
        <color rgb="FF000000"/>
      </left>
      <right style="thin">
        <color rgb="FF000000"/>
      </right>
      <top style="thin">
        <color rgb="FF000000"/>
      </top>
    </border>
    <border>
      <left style="thin">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thin">
        <color rgb="FF000000"/>
      </right>
      <bottom style="medium">
        <color rgb="FF000000"/>
      </bottom>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right style="thin">
        <color rgb="FF000000"/>
      </right>
      <bottom style="medium">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000000"/>
      </right>
      <top style="thin">
        <color rgb="FF000000"/>
      </top>
    </border>
    <border>
      <left style="thin">
        <color rgb="FF000000"/>
      </left>
    </border>
    <border>
      <right style="medium">
        <color rgb="FF000000"/>
      </right>
    </border>
    <border>
      <right style="thin">
        <color rgb="FF000000"/>
      </right>
    </border>
    <border>
      <left style="thin">
        <color rgb="FF000000"/>
      </left>
      <right style="medium">
        <color rgb="FF000000"/>
      </right>
      <bottom style="medium">
        <color rgb="FF000000"/>
      </bottom>
    </border>
    <border>
      <left style="thin">
        <color rgb="FF000000"/>
      </left>
      <right style="medium">
        <color rgb="FF000000"/>
      </right>
      <bottom style="thin">
        <color rgb="FF000000"/>
      </bottom>
    </border>
    <border>
      <right style="medium">
        <color rgb="FF000000"/>
      </right>
      <bottom style="thin">
        <color rgb="FF000000"/>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0" fontId="1" numFmtId="0" xfId="0" applyAlignment="1" applyFont="1">
      <alignment horizontal="left"/>
    </xf>
    <xf borderId="0" fillId="0" fontId="2" numFmtId="0" xfId="0" applyFont="1"/>
    <xf borderId="1" fillId="2" fontId="3" numFmtId="0" xfId="0" applyAlignment="1" applyBorder="1" applyFill="1" applyFont="1">
      <alignment horizontal="center"/>
    </xf>
    <xf borderId="2" fillId="0" fontId="4" numFmtId="0" xfId="0" applyBorder="1" applyFont="1"/>
    <xf borderId="3" fillId="0" fontId="4" numFmtId="0" xfId="0" applyBorder="1" applyFont="1"/>
    <xf borderId="0" fillId="0" fontId="2" numFmtId="0" xfId="0" applyAlignment="1" applyFont="1">
      <alignment horizontal="center"/>
    </xf>
    <xf borderId="0" fillId="0" fontId="2" numFmtId="0" xfId="0" applyAlignment="1" applyFont="1">
      <alignment horizontal="left"/>
    </xf>
    <xf borderId="4" fillId="3" fontId="3" numFmtId="0" xfId="0" applyAlignment="1" applyBorder="1" applyFill="1" applyFont="1">
      <alignment horizontal="center"/>
    </xf>
    <xf borderId="5" fillId="0" fontId="4" numFmtId="0" xfId="0" applyBorder="1" applyFont="1"/>
    <xf borderId="6" fillId="3" fontId="3" numFmtId="0" xfId="0" applyAlignment="1" applyBorder="1" applyFont="1">
      <alignment horizontal="center"/>
    </xf>
    <xf borderId="7" fillId="3" fontId="3" numFmtId="0" xfId="0" applyAlignment="1" applyBorder="1" applyFont="1">
      <alignment horizontal="center" vertical="center"/>
    </xf>
    <xf borderId="8" fillId="0" fontId="4" numFmtId="0" xfId="0" applyBorder="1" applyFont="1"/>
    <xf borderId="9" fillId="0" fontId="2" numFmtId="0" xfId="0" applyBorder="1" applyFont="1"/>
    <xf borderId="10" fillId="0" fontId="5" numFmtId="164" xfId="0" applyAlignment="1" applyBorder="1" applyFont="1" applyNumberFormat="1">
      <alignment horizontal="center"/>
    </xf>
    <xf borderId="10" fillId="0" fontId="5" numFmtId="3" xfId="0" applyAlignment="1" applyBorder="1" applyFont="1" applyNumberFormat="1">
      <alignment horizontal="center"/>
    </xf>
    <xf borderId="0" fillId="0" fontId="5" numFmtId="0" xfId="0" applyFont="1"/>
    <xf borderId="0" fillId="0" fontId="5" numFmtId="164" xfId="0" applyAlignment="1" applyFont="1" applyNumberFormat="1">
      <alignment horizontal="center"/>
    </xf>
    <xf borderId="0" fillId="0" fontId="5" numFmtId="0" xfId="0" applyAlignment="1" applyFont="1">
      <alignment horizontal="center"/>
    </xf>
    <xf borderId="0" fillId="0" fontId="5" numFmtId="3" xfId="0" applyAlignment="1" applyFont="1" applyNumberFormat="1">
      <alignment horizontal="center"/>
    </xf>
    <xf borderId="1" fillId="4" fontId="3" numFmtId="0" xfId="0" applyAlignment="1" applyBorder="1" applyFill="1" applyFont="1">
      <alignment horizontal="center"/>
    </xf>
    <xf borderId="0" fillId="0" fontId="1" numFmtId="165" xfId="0" applyFont="1" applyNumberFormat="1"/>
    <xf borderId="10" fillId="0" fontId="2" numFmtId="0" xfId="0" applyBorder="1" applyFont="1"/>
    <xf borderId="10" fillId="0" fontId="2" numFmtId="0" xfId="0" applyAlignment="1" applyBorder="1" applyFont="1">
      <alignment horizontal="left"/>
    </xf>
    <xf borderId="0" fillId="0" fontId="1" numFmtId="9" xfId="0" applyFont="1" applyNumberFormat="1"/>
    <xf borderId="0" fillId="0" fontId="5" numFmtId="9" xfId="0" applyFont="1" applyNumberFormat="1"/>
    <xf borderId="1" fillId="5" fontId="3" numFmtId="0" xfId="0" applyAlignment="1" applyBorder="1" applyFill="1" applyFont="1">
      <alignment horizontal="center"/>
    </xf>
    <xf borderId="11" fillId="3" fontId="3" numFmtId="0" xfId="0" applyAlignment="1" applyBorder="1" applyFont="1">
      <alignment horizontal="center"/>
    </xf>
    <xf borderId="12" fillId="0" fontId="4" numFmtId="0" xfId="0" applyBorder="1" applyFont="1"/>
    <xf borderId="13" fillId="0" fontId="5" numFmtId="9" xfId="0" applyAlignment="1" applyBorder="1" applyFont="1" applyNumberFormat="1">
      <alignment horizontal="center"/>
    </xf>
    <xf borderId="0" fillId="0" fontId="6" numFmtId="166" xfId="0" applyFont="1" applyNumberFormat="1"/>
    <xf borderId="1" fillId="6" fontId="3" numFmtId="0" xfId="0" applyAlignment="1" applyBorder="1" applyFill="1" applyFont="1">
      <alignment horizontal="center"/>
    </xf>
    <xf borderId="0" fillId="0" fontId="1" numFmtId="167" xfId="0" applyFont="1" applyNumberFormat="1"/>
    <xf borderId="0" fillId="0" fontId="1" numFmtId="3" xfId="0" applyFont="1" applyNumberFormat="1"/>
    <xf borderId="10" fillId="7" fontId="2" numFmtId="0" xfId="0" applyAlignment="1" applyBorder="1" applyFill="1" applyFont="1">
      <alignment horizontal="left"/>
    </xf>
    <xf borderId="0" fillId="0" fontId="6" numFmtId="0" xfId="0" applyFont="1"/>
    <xf borderId="0" fillId="0" fontId="1" numFmtId="0" xfId="0" applyFont="1"/>
    <xf borderId="10" fillId="0" fontId="7" numFmtId="0" xfId="0" applyAlignment="1" applyBorder="1" applyFont="1">
      <alignment shrinkToFit="0" vertical="center" wrapText="1"/>
    </xf>
    <xf borderId="14" fillId="0" fontId="7" numFmtId="0" xfId="0" applyAlignment="1" applyBorder="1" applyFont="1">
      <alignment shrinkToFit="0" vertical="center" wrapText="1"/>
    </xf>
    <xf borderId="15" fillId="0" fontId="4" numFmtId="0" xfId="0" applyBorder="1" applyFont="1"/>
    <xf borderId="10" fillId="0" fontId="8" numFmtId="0" xfId="0" applyAlignment="1" applyBorder="1" applyFont="1">
      <alignment shrinkToFit="0" vertical="center" wrapText="1"/>
    </xf>
    <xf borderId="16" fillId="0" fontId="9" numFmtId="0" xfId="0" applyAlignment="1" applyBorder="1" applyFont="1">
      <alignment shrinkToFit="0" vertical="center" wrapText="1"/>
    </xf>
    <xf borderId="17" fillId="0" fontId="4" numFmtId="0" xfId="0" applyBorder="1" applyFont="1"/>
    <xf borderId="18" fillId="0" fontId="4" numFmtId="0" xfId="0" applyBorder="1" applyFont="1"/>
    <xf borderId="19" fillId="0" fontId="9" numFmtId="0" xfId="0" applyAlignment="1" applyBorder="1" applyFont="1">
      <alignment shrinkToFit="0" vertical="center" wrapText="1"/>
    </xf>
    <xf borderId="20" fillId="0" fontId="9" numFmtId="0" xfId="0" applyAlignment="1" applyBorder="1" applyFont="1">
      <alignment shrinkToFit="0" vertical="center" wrapText="1"/>
    </xf>
    <xf borderId="21" fillId="0" fontId="4" numFmtId="0" xfId="0" applyBorder="1" applyFont="1"/>
    <xf borderId="22" fillId="0" fontId="4" numFmtId="0" xfId="0" applyBorder="1" applyFont="1"/>
    <xf borderId="23" fillId="0" fontId="4" numFmtId="0" xfId="0" applyBorder="1" applyFont="1"/>
    <xf borderId="10" fillId="0" fontId="9" numFmtId="0" xfId="0" applyAlignment="1" applyBorder="1" applyFont="1">
      <alignment shrinkToFit="0" vertical="center" wrapText="1"/>
    </xf>
    <xf borderId="24" fillId="0" fontId="9" numFmtId="0" xfId="0" applyAlignment="1" applyBorder="1" applyFont="1">
      <alignment shrinkToFit="0" vertical="center" wrapText="1"/>
    </xf>
    <xf borderId="25" fillId="0" fontId="4" numFmtId="0" xfId="0" applyBorder="1" applyFont="1"/>
    <xf borderId="14" fillId="0" fontId="9" numFmtId="0" xfId="0" applyAlignment="1" applyBorder="1" applyFont="1">
      <alignment shrinkToFit="0" vertical="center" wrapText="1"/>
    </xf>
    <xf borderId="26" fillId="0" fontId="7" numFmtId="0" xfId="0" applyAlignment="1" applyBorder="1" applyFont="1">
      <alignment shrinkToFit="0" vertical="center" wrapText="1"/>
    </xf>
    <xf borderId="27" fillId="0" fontId="4" numFmtId="0" xfId="0" applyBorder="1" applyFont="1"/>
    <xf borderId="22" fillId="0" fontId="7" numFmtId="0" xfId="0" applyAlignment="1" applyBorder="1" applyFont="1">
      <alignment shrinkToFit="0" vertical="center" wrapText="1"/>
    </xf>
    <xf borderId="28" fillId="0" fontId="9" numFmtId="0" xfId="0" applyAlignment="1" applyBorder="1" applyFont="1">
      <alignment shrinkToFit="0" vertical="center" wrapText="1"/>
    </xf>
    <xf borderId="29" fillId="0" fontId="7" numFmtId="0" xfId="0" applyAlignment="1" applyBorder="1" applyFont="1">
      <alignment shrinkToFit="0" vertical="center" wrapText="1"/>
    </xf>
    <xf borderId="30" fillId="0" fontId="7" numFmtId="0" xfId="0" applyAlignment="1" applyBorder="1" applyFont="1">
      <alignment shrinkToFit="0" vertical="center" wrapText="1"/>
    </xf>
    <xf borderId="31" fillId="0" fontId="7" numFmtId="0" xfId="0" applyAlignment="1" applyBorder="1" applyFont="1">
      <alignment shrinkToFit="0" vertical="center" wrapText="1"/>
    </xf>
    <xf borderId="0" fillId="0" fontId="10" numFmtId="0" xfId="0" applyAlignment="1" applyFont="1">
      <alignment shrinkToFit="0" vertical="center" wrapText="1"/>
    </xf>
    <xf borderId="32" fillId="0" fontId="7" numFmtId="0" xfId="0" applyAlignment="1" applyBorder="1" applyFont="1">
      <alignment shrinkToFit="0" vertical="center" wrapText="1"/>
    </xf>
    <xf borderId="33" fillId="0" fontId="4" numFmtId="0" xfId="0" applyBorder="1" applyFont="1"/>
    <xf borderId="34" fillId="0" fontId="4" numFmtId="0" xfId="0" applyBorder="1" applyFont="1"/>
    <xf borderId="35" fillId="0" fontId="7" numFmtId="0" xfId="0" applyAlignment="1" applyBorder="1" applyFont="1">
      <alignment shrinkToFit="0" vertical="center" wrapText="1"/>
    </xf>
    <xf borderId="20" fillId="0" fontId="4" numFmtId="0" xfId="0" applyBorder="1" applyFont="1"/>
    <xf borderId="36" fillId="0" fontId="9" numFmtId="0" xfId="0" applyAlignment="1" applyBorder="1" applyFont="1">
      <alignment shrinkToFit="0" vertical="center" wrapText="1"/>
    </xf>
    <xf borderId="22" fillId="0" fontId="9" numFmtId="0" xfId="0" applyAlignment="1" applyBorder="1" applyFont="1">
      <alignment shrinkToFit="0" vertical="center" wrapText="1"/>
    </xf>
    <xf borderId="37" fillId="0" fontId="9" numFmtId="0" xfId="0" applyAlignment="1" applyBorder="1" applyFont="1">
      <alignment shrinkToFit="0" vertical="center" wrapText="1"/>
    </xf>
    <xf borderId="38" fillId="0" fontId="9" numFmtId="0" xfId="0" applyAlignment="1" applyBorder="1" applyFont="1">
      <alignment shrinkToFit="0" vertical="center" wrapText="1"/>
    </xf>
    <xf borderId="0" fillId="0" fontId="1" numFmtId="3" xfId="0" applyAlignment="1" applyFont="1" applyNumberFormat="1">
      <alignment horizontal="left"/>
    </xf>
    <xf borderId="0" fillId="0" fontId="11" numFmtId="0" xfId="0" applyFont="1"/>
    <xf borderId="0" fillId="0" fontId="5" numFmtId="165" xfId="0" applyFont="1" applyNumberFormat="1"/>
    <xf borderId="0" fillId="0" fontId="1" numFmtId="10"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5" width="10.57"/>
    <col customWidth="1" min="6" max="6" width="11.71"/>
    <col customWidth="1" min="7" max="7" width="13.0"/>
    <col customWidth="1" min="8" max="8" width="16.29"/>
    <col customWidth="1" min="9" max="9" width="15.14"/>
    <col customWidth="1" min="10" max="16" width="11.43"/>
    <col customWidth="1" min="17" max="17" width="28.29"/>
    <col customWidth="1" min="18" max="26" width="11.43"/>
  </cols>
  <sheetData>
    <row r="1">
      <c r="H1" s="1"/>
    </row>
    <row r="2">
      <c r="A2" s="2"/>
      <c r="B2" s="3" t="s">
        <v>0</v>
      </c>
      <c r="C2" s="4"/>
      <c r="D2" s="4"/>
      <c r="E2" s="4"/>
      <c r="F2" s="5"/>
      <c r="G2" s="6"/>
      <c r="H2" s="7"/>
      <c r="I2" s="3" t="s">
        <v>1</v>
      </c>
      <c r="J2" s="4"/>
      <c r="K2" s="4"/>
      <c r="L2" s="4"/>
      <c r="M2" s="5"/>
    </row>
    <row r="3">
      <c r="A3" s="2"/>
      <c r="B3" s="8" t="s">
        <v>2</v>
      </c>
      <c r="C3" s="9"/>
      <c r="D3" s="8" t="s">
        <v>3</v>
      </c>
      <c r="E3" s="9"/>
      <c r="F3" s="10" t="s">
        <v>4</v>
      </c>
      <c r="G3" s="6"/>
      <c r="H3" s="7"/>
      <c r="I3" s="8" t="s">
        <v>2</v>
      </c>
      <c r="J3" s="9"/>
      <c r="K3" s="8" t="s">
        <v>3</v>
      </c>
      <c r="L3" s="9"/>
      <c r="M3" s="10" t="s">
        <v>4</v>
      </c>
    </row>
    <row r="4">
      <c r="A4" s="2"/>
      <c r="B4" s="11" t="s">
        <v>5</v>
      </c>
      <c r="C4" s="11" t="s">
        <v>6</v>
      </c>
      <c r="D4" s="11" t="s">
        <v>7</v>
      </c>
      <c r="E4" s="11" t="s">
        <v>8</v>
      </c>
      <c r="F4" s="12"/>
      <c r="G4" s="6"/>
      <c r="H4" s="7"/>
      <c r="I4" s="11" t="s">
        <v>5</v>
      </c>
      <c r="J4" s="11" t="s">
        <v>6</v>
      </c>
      <c r="K4" s="11" t="s">
        <v>7</v>
      </c>
      <c r="L4" s="11" t="s">
        <v>8</v>
      </c>
      <c r="M4" s="12"/>
    </row>
    <row r="5">
      <c r="A5" s="13" t="s">
        <v>9</v>
      </c>
      <c r="B5" s="14">
        <f t="shared" ref="B5:F5" si="1">B51</f>
        <v>7.492392</v>
      </c>
      <c r="C5" s="14">
        <f t="shared" si="1"/>
        <v>2.180396</v>
      </c>
      <c r="D5" s="14">
        <f t="shared" si="1"/>
        <v>5.609346</v>
      </c>
      <c r="E5" s="14">
        <f t="shared" si="1"/>
        <v>4.62126</v>
      </c>
      <c r="F5" s="14">
        <f t="shared" si="1"/>
        <v>4.808808</v>
      </c>
      <c r="G5" s="6"/>
      <c r="H5" s="13" t="s">
        <v>9</v>
      </c>
      <c r="I5" s="15">
        <f t="shared" ref="I5:M5" si="2">G51</f>
        <v>353549.2</v>
      </c>
      <c r="J5" s="15">
        <f t="shared" si="2"/>
        <v>105047.7</v>
      </c>
      <c r="K5" s="15">
        <f t="shared" si="2"/>
        <v>101536.7</v>
      </c>
      <c r="L5" s="15">
        <f t="shared" si="2"/>
        <v>357060.1</v>
      </c>
      <c r="M5" s="15">
        <f t="shared" si="2"/>
        <v>458596.8</v>
      </c>
    </row>
    <row r="6">
      <c r="A6" s="13" t="s">
        <v>10</v>
      </c>
      <c r="B6" s="14">
        <f t="shared" ref="B6:F6" si="3">B52</f>
        <v>63.73841</v>
      </c>
      <c r="C6" s="14">
        <f t="shared" si="3"/>
        <v>51.41955</v>
      </c>
      <c r="D6" s="14">
        <f t="shared" si="3"/>
        <v>35.66034</v>
      </c>
      <c r="E6" s="14">
        <f t="shared" si="3"/>
        <v>62.63505</v>
      </c>
      <c r="F6" s="14">
        <f t="shared" si="3"/>
        <v>57.515</v>
      </c>
      <c r="G6" s="6"/>
      <c r="H6" s="13" t="s">
        <v>10</v>
      </c>
      <c r="I6" s="15">
        <f t="shared" ref="I6:M6" si="4">G52</f>
        <v>3007672</v>
      </c>
      <c r="J6" s="15">
        <f t="shared" si="4"/>
        <v>2477305</v>
      </c>
      <c r="K6" s="15">
        <f t="shared" si="4"/>
        <v>645500.1</v>
      </c>
      <c r="L6" s="15">
        <f t="shared" si="4"/>
        <v>4839477</v>
      </c>
      <c r="M6" s="15">
        <f t="shared" si="4"/>
        <v>5484977</v>
      </c>
    </row>
    <row r="7">
      <c r="A7" s="13" t="s">
        <v>11</v>
      </c>
      <c r="B7" s="14">
        <f t="shared" ref="B7:F7" si="5">B53</f>
        <v>63.9484</v>
      </c>
      <c r="C7" s="14">
        <f t="shared" si="5"/>
        <v>51.50422</v>
      </c>
      <c r="D7" s="14">
        <f t="shared" si="5"/>
        <v>35.88668</v>
      </c>
      <c r="E7" s="14">
        <f t="shared" si="5"/>
        <v>62.76307</v>
      </c>
      <c r="F7" s="14">
        <f t="shared" si="5"/>
        <v>57.66168</v>
      </c>
      <c r="G7" s="6"/>
      <c r="H7" s="13" t="s">
        <v>11</v>
      </c>
      <c r="I7" s="15">
        <f t="shared" ref="I7:M7" si="6">G53</f>
        <v>3017581</v>
      </c>
      <c r="J7" s="15">
        <f t="shared" si="6"/>
        <v>2481384</v>
      </c>
      <c r="K7" s="15">
        <f t="shared" si="6"/>
        <v>649597.1</v>
      </c>
      <c r="L7" s="15">
        <f t="shared" si="6"/>
        <v>4849368</v>
      </c>
      <c r="M7" s="15">
        <f t="shared" si="6"/>
        <v>5498965</v>
      </c>
    </row>
    <row r="8">
      <c r="A8" s="16" t="s">
        <v>12</v>
      </c>
      <c r="B8" s="17"/>
      <c r="C8" s="17"/>
      <c r="D8" s="17"/>
      <c r="E8" s="17"/>
      <c r="F8" s="17"/>
      <c r="G8" s="18"/>
      <c r="H8" s="16" t="s">
        <v>12</v>
      </c>
      <c r="I8" s="19"/>
      <c r="J8" s="19"/>
      <c r="K8" s="19"/>
      <c r="L8" s="19"/>
      <c r="M8" s="19"/>
      <c r="N8" s="16"/>
      <c r="O8" s="16"/>
      <c r="P8" s="16"/>
      <c r="Q8" s="16"/>
      <c r="R8" s="16"/>
      <c r="S8" s="16"/>
      <c r="T8" s="16"/>
      <c r="U8" s="16"/>
      <c r="V8" s="16"/>
      <c r="W8" s="16"/>
      <c r="X8" s="16"/>
      <c r="Y8" s="16"/>
      <c r="Z8" s="16"/>
    </row>
    <row r="9">
      <c r="A9" s="16" t="s">
        <v>13</v>
      </c>
      <c r="B9" s="17"/>
      <c r="C9" s="17"/>
      <c r="D9" s="17"/>
      <c r="E9" s="17"/>
      <c r="F9" s="17"/>
      <c r="G9" s="18"/>
      <c r="H9" s="16" t="s">
        <v>13</v>
      </c>
      <c r="I9" s="19"/>
      <c r="J9" s="19"/>
      <c r="K9" s="19"/>
      <c r="L9" s="19"/>
      <c r="M9" s="19"/>
      <c r="N9" s="16"/>
      <c r="O9" s="16"/>
      <c r="P9" s="16"/>
      <c r="Q9" s="16"/>
      <c r="R9" s="16"/>
      <c r="S9" s="16"/>
      <c r="T9" s="16"/>
      <c r="U9" s="16"/>
      <c r="V9" s="16"/>
      <c r="W9" s="16"/>
      <c r="X9" s="16"/>
      <c r="Y9" s="16"/>
      <c r="Z9" s="16"/>
    </row>
    <row r="10">
      <c r="A10" s="16" t="s">
        <v>14</v>
      </c>
      <c r="B10" s="18"/>
      <c r="C10" s="18"/>
      <c r="D10" s="18"/>
      <c r="E10" s="18"/>
      <c r="F10" s="18"/>
      <c r="G10" s="18"/>
      <c r="H10" s="16" t="s">
        <v>14</v>
      </c>
      <c r="I10" s="18"/>
      <c r="J10" s="18"/>
      <c r="K10" s="18"/>
      <c r="L10" s="18"/>
      <c r="M10" s="18"/>
      <c r="N10" s="16"/>
      <c r="O10" s="16"/>
      <c r="P10" s="16"/>
      <c r="Q10" s="16"/>
      <c r="R10" s="16"/>
      <c r="S10" s="16"/>
      <c r="T10" s="16"/>
      <c r="U10" s="16"/>
      <c r="V10" s="16"/>
      <c r="W10" s="16"/>
      <c r="X10" s="16"/>
      <c r="Y10" s="16"/>
      <c r="Z10" s="16"/>
    </row>
    <row r="11">
      <c r="A11" s="2"/>
      <c r="B11" s="6"/>
      <c r="C11" s="6"/>
      <c r="D11" s="6"/>
      <c r="E11" s="6"/>
      <c r="F11" s="6"/>
      <c r="G11" s="6"/>
      <c r="H11" s="2"/>
      <c r="I11" s="6"/>
      <c r="J11" s="6"/>
      <c r="K11" s="6"/>
      <c r="L11" s="6"/>
      <c r="M11" s="6"/>
    </row>
    <row r="12">
      <c r="A12" s="2"/>
      <c r="B12" s="20" t="s">
        <v>15</v>
      </c>
      <c r="C12" s="4"/>
      <c r="D12" s="4"/>
      <c r="E12" s="4"/>
      <c r="F12" s="5"/>
      <c r="G12" s="6"/>
      <c r="H12" s="7"/>
      <c r="I12" s="20" t="s">
        <v>16</v>
      </c>
      <c r="J12" s="4"/>
      <c r="K12" s="4"/>
      <c r="L12" s="4"/>
      <c r="M12" s="5"/>
    </row>
    <row r="13">
      <c r="A13" s="2"/>
      <c r="B13" s="8" t="s">
        <v>2</v>
      </c>
      <c r="C13" s="9"/>
      <c r="D13" s="8" t="s">
        <v>3</v>
      </c>
      <c r="E13" s="9"/>
      <c r="F13" s="10" t="s">
        <v>4</v>
      </c>
      <c r="G13" s="6"/>
      <c r="H13" s="7"/>
      <c r="I13" s="8" t="s">
        <v>2</v>
      </c>
      <c r="J13" s="9"/>
      <c r="K13" s="8" t="s">
        <v>3</v>
      </c>
      <c r="L13" s="9"/>
      <c r="M13" s="10" t="s">
        <v>4</v>
      </c>
      <c r="Q13" s="21"/>
    </row>
    <row r="14">
      <c r="A14" s="2"/>
      <c r="B14" s="11" t="s">
        <v>5</v>
      </c>
      <c r="C14" s="11" t="s">
        <v>6</v>
      </c>
      <c r="D14" s="11" t="s">
        <v>7</v>
      </c>
      <c r="E14" s="11" t="s">
        <v>8</v>
      </c>
      <c r="F14" s="12"/>
      <c r="G14" s="6"/>
      <c r="H14" s="7"/>
      <c r="I14" s="11" t="s">
        <v>5</v>
      </c>
      <c r="J14" s="11" t="s">
        <v>6</v>
      </c>
      <c r="K14" s="11" t="s">
        <v>7</v>
      </c>
      <c r="L14" s="11" t="s">
        <v>8</v>
      </c>
      <c r="M14" s="12"/>
    </row>
    <row r="15">
      <c r="A15" s="22" t="s">
        <v>9</v>
      </c>
      <c r="B15" s="14">
        <f t="shared" ref="B15:F15" si="7">B54</f>
        <v>29.18813</v>
      </c>
      <c r="C15" s="14">
        <f t="shared" si="7"/>
        <v>20.20155</v>
      </c>
      <c r="D15" s="14">
        <f t="shared" si="7"/>
        <v>36.5121</v>
      </c>
      <c r="E15" s="14">
        <f t="shared" si="7"/>
        <v>24.46155</v>
      </c>
      <c r="F15" s="14">
        <f t="shared" si="7"/>
        <v>27.12963</v>
      </c>
      <c r="G15" s="6"/>
      <c r="H15" s="22" t="s">
        <v>9</v>
      </c>
      <c r="I15" s="15">
        <f t="shared" ref="I15:M15" si="8">G54</f>
        <v>103194.4</v>
      </c>
      <c r="J15" s="15">
        <f t="shared" si="8"/>
        <v>21221.26</v>
      </c>
      <c r="K15" s="15">
        <f t="shared" si="8"/>
        <v>37073.19</v>
      </c>
      <c r="L15" s="15">
        <f t="shared" si="8"/>
        <v>87342.45</v>
      </c>
      <c r="M15" s="15">
        <f t="shared" si="8"/>
        <v>124415.6</v>
      </c>
    </row>
    <row r="16">
      <c r="A16" s="22" t="s">
        <v>17</v>
      </c>
      <c r="B16" s="14">
        <f t="shared" ref="B16:F16" si="9">B55</f>
        <v>11.89491</v>
      </c>
      <c r="C16" s="14">
        <f t="shared" si="9"/>
        <v>5.672626</v>
      </c>
      <c r="D16" s="14">
        <f t="shared" si="9"/>
        <v>11.91314</v>
      </c>
      <c r="E16" s="14">
        <f t="shared" si="9"/>
        <v>8.707322</v>
      </c>
      <c r="F16" s="14">
        <f t="shared" si="9"/>
        <v>9.084599</v>
      </c>
      <c r="G16" s="6"/>
      <c r="H16" s="22" t="s">
        <v>17</v>
      </c>
      <c r="I16" s="15">
        <f t="shared" ref="I16:M16" si="10">G55</f>
        <v>357759.9</v>
      </c>
      <c r="J16" s="15">
        <f t="shared" si="10"/>
        <v>140528.2</v>
      </c>
      <c r="K16" s="15">
        <f t="shared" si="10"/>
        <v>76899.3</v>
      </c>
      <c r="L16" s="15">
        <f t="shared" si="10"/>
        <v>421388.8</v>
      </c>
      <c r="M16" s="15">
        <f t="shared" si="10"/>
        <v>498288.1</v>
      </c>
    </row>
    <row r="17">
      <c r="A17" s="22" t="s">
        <v>18</v>
      </c>
      <c r="B17" s="14">
        <f t="shared" ref="B17:F17" si="11">B56</f>
        <v>13.30911</v>
      </c>
      <c r="C17" s="14">
        <f t="shared" si="11"/>
        <v>6.099364</v>
      </c>
      <c r="D17" s="14">
        <f t="shared" si="11"/>
        <v>15.00183</v>
      </c>
      <c r="E17" s="14">
        <f t="shared" si="11"/>
        <v>9.393192</v>
      </c>
      <c r="F17" s="14">
        <f t="shared" si="11"/>
        <v>10.05575</v>
      </c>
      <c r="G17" s="6"/>
      <c r="H17" s="23" t="s">
        <v>18</v>
      </c>
      <c r="I17" s="15">
        <f t="shared" ref="I17:M17" si="12">G56</f>
        <v>401613.3</v>
      </c>
      <c r="J17" s="15">
        <f t="shared" si="12"/>
        <v>151348.6</v>
      </c>
      <c r="K17" s="15">
        <f t="shared" si="12"/>
        <v>97451.48</v>
      </c>
      <c r="L17" s="15">
        <f t="shared" si="12"/>
        <v>455510.4</v>
      </c>
      <c r="M17" s="15">
        <f t="shared" si="12"/>
        <v>552961.9</v>
      </c>
      <c r="O17" s="24"/>
      <c r="P17" s="24"/>
    </row>
    <row r="18">
      <c r="A18" s="16" t="s">
        <v>19</v>
      </c>
      <c r="B18" s="17"/>
      <c r="C18" s="17"/>
      <c r="D18" s="17"/>
      <c r="E18" s="17"/>
      <c r="F18" s="17"/>
      <c r="G18" s="18"/>
      <c r="H18" s="16" t="s">
        <v>19</v>
      </c>
      <c r="I18" s="19"/>
      <c r="J18" s="19"/>
      <c r="K18" s="19"/>
      <c r="L18" s="19"/>
      <c r="M18" s="19"/>
      <c r="N18" s="16"/>
      <c r="O18" s="16"/>
      <c r="P18" s="16"/>
      <c r="Q18" s="16"/>
      <c r="R18" s="16"/>
      <c r="S18" s="16"/>
      <c r="T18" s="16"/>
      <c r="U18" s="16"/>
      <c r="V18" s="16"/>
      <c r="W18" s="16"/>
      <c r="X18" s="16"/>
      <c r="Y18" s="16"/>
      <c r="Z18" s="16"/>
    </row>
    <row r="19">
      <c r="A19" s="16" t="s">
        <v>20</v>
      </c>
      <c r="B19" s="17"/>
      <c r="C19" s="17"/>
      <c r="D19" s="17"/>
      <c r="E19" s="17"/>
      <c r="F19" s="17"/>
      <c r="G19" s="18"/>
      <c r="H19" s="16" t="s">
        <v>20</v>
      </c>
      <c r="I19" s="19"/>
      <c r="J19" s="19"/>
      <c r="K19" s="19"/>
      <c r="L19" s="19"/>
      <c r="M19" s="19"/>
      <c r="N19" s="16"/>
      <c r="O19" s="16"/>
      <c r="P19" s="16"/>
      <c r="Q19" s="25"/>
      <c r="R19" s="16"/>
      <c r="S19" s="16"/>
      <c r="T19" s="16"/>
      <c r="U19" s="16"/>
      <c r="V19" s="16"/>
      <c r="W19" s="16"/>
      <c r="X19" s="16"/>
      <c r="Y19" s="16"/>
      <c r="Z19" s="16"/>
    </row>
    <row r="20">
      <c r="A20" s="16" t="s">
        <v>14</v>
      </c>
      <c r="B20" s="18"/>
      <c r="C20" s="18"/>
      <c r="D20" s="18"/>
      <c r="E20" s="18"/>
      <c r="F20" s="18"/>
      <c r="G20" s="18"/>
      <c r="H20" s="16" t="s">
        <v>14</v>
      </c>
      <c r="I20" s="18"/>
      <c r="J20" s="18"/>
      <c r="K20" s="18"/>
      <c r="L20" s="18"/>
      <c r="M20" s="18"/>
      <c r="N20" s="16"/>
      <c r="O20" s="16"/>
      <c r="P20" s="16"/>
      <c r="Q20" s="25"/>
      <c r="R20" s="16"/>
      <c r="S20" s="16"/>
      <c r="T20" s="16"/>
      <c r="U20" s="16"/>
      <c r="V20" s="16"/>
      <c r="W20" s="16"/>
      <c r="X20" s="16"/>
      <c r="Y20" s="16"/>
      <c r="Z20" s="16"/>
    </row>
    <row r="21" ht="15.75" customHeight="1">
      <c r="A21" s="2"/>
      <c r="B21" s="6"/>
      <c r="C21" s="6"/>
      <c r="D21" s="6"/>
      <c r="E21" s="6"/>
      <c r="F21" s="6"/>
      <c r="G21" s="6"/>
      <c r="H21" s="7"/>
      <c r="I21" s="6"/>
      <c r="J21" s="6"/>
      <c r="K21" s="6"/>
      <c r="L21" s="6"/>
      <c r="M21" s="6"/>
    </row>
    <row r="22" ht="15.75" customHeight="1">
      <c r="A22" s="2"/>
      <c r="B22" s="26" t="s">
        <v>21</v>
      </c>
      <c r="C22" s="4"/>
      <c r="D22" s="4"/>
      <c r="E22" s="4"/>
      <c r="F22" s="5"/>
      <c r="G22" s="6"/>
      <c r="H22" s="7"/>
      <c r="I22" s="26" t="s">
        <v>22</v>
      </c>
      <c r="J22" s="4"/>
      <c r="K22" s="4"/>
      <c r="L22" s="4"/>
      <c r="M22" s="5"/>
    </row>
    <row r="23" ht="15.75" customHeight="1">
      <c r="A23" s="2"/>
      <c r="B23" s="8" t="s">
        <v>2</v>
      </c>
      <c r="C23" s="9"/>
      <c r="D23" s="8" t="s">
        <v>3</v>
      </c>
      <c r="E23" s="9"/>
      <c r="F23" s="27" t="s">
        <v>4</v>
      </c>
      <c r="G23" s="6"/>
      <c r="H23" s="7"/>
      <c r="I23" s="8" t="s">
        <v>2</v>
      </c>
      <c r="J23" s="9"/>
      <c r="K23" s="8" t="s">
        <v>3</v>
      </c>
      <c r="L23" s="9"/>
      <c r="M23" s="10" t="s">
        <v>4</v>
      </c>
    </row>
    <row r="24" ht="15.75" customHeight="1">
      <c r="A24" s="2"/>
      <c r="B24" s="11" t="s">
        <v>5</v>
      </c>
      <c r="C24" s="11" t="s">
        <v>6</v>
      </c>
      <c r="D24" s="11" t="s">
        <v>7</v>
      </c>
      <c r="E24" s="11" t="s">
        <v>8</v>
      </c>
      <c r="F24" s="28"/>
      <c r="G24" s="6"/>
      <c r="H24" s="7"/>
      <c r="I24" s="11" t="s">
        <v>5</v>
      </c>
      <c r="J24" s="11" t="s">
        <v>6</v>
      </c>
      <c r="K24" s="11" t="s">
        <v>7</v>
      </c>
      <c r="L24" s="11" t="s">
        <v>8</v>
      </c>
      <c r="M24" s="12"/>
    </row>
    <row r="25" ht="15.75" customHeight="1">
      <c r="A25" s="22" t="s">
        <v>23</v>
      </c>
      <c r="B25" s="14">
        <f t="shared" ref="B25:F25" si="13">B57</f>
        <v>8.531023</v>
      </c>
      <c r="C25" s="14">
        <f t="shared" si="13"/>
        <v>2.515957</v>
      </c>
      <c r="D25" s="14">
        <f t="shared" si="13"/>
        <v>7.685071</v>
      </c>
      <c r="E25" s="14">
        <f t="shared" si="13"/>
        <v>7.428636</v>
      </c>
      <c r="F25" s="14">
        <f t="shared" si="13"/>
        <v>7.505048</v>
      </c>
      <c r="G25" s="6"/>
      <c r="H25" s="23" t="s">
        <v>23</v>
      </c>
      <c r="I25" s="15">
        <f t="shared" ref="I25:M25" si="14">G57</f>
        <v>8803.535</v>
      </c>
      <c r="J25" s="15">
        <f t="shared" si="14"/>
        <v>533.9178</v>
      </c>
      <c r="K25" s="15">
        <f t="shared" si="14"/>
        <v>2849.101</v>
      </c>
      <c r="L25" s="15">
        <f t="shared" si="14"/>
        <v>6488.353</v>
      </c>
      <c r="M25" s="15">
        <f t="shared" si="14"/>
        <v>9337.453</v>
      </c>
    </row>
    <row r="26" ht="15.75" customHeight="1">
      <c r="A26" s="22" t="s">
        <v>10</v>
      </c>
      <c r="B26" s="14">
        <f t="shared" ref="B26:F26" si="15">B58</f>
        <v>5.312783</v>
      </c>
      <c r="C26" s="14">
        <f t="shared" si="15"/>
        <v>3.578035</v>
      </c>
      <c r="D26" s="14">
        <f t="shared" si="15"/>
        <v>3.704977</v>
      </c>
      <c r="E26" s="14">
        <f t="shared" si="15"/>
        <v>5.027674</v>
      </c>
      <c r="F26" s="14">
        <f t="shared" si="15"/>
        <v>4.823546</v>
      </c>
      <c r="G26" s="6"/>
      <c r="H26" s="23" t="s">
        <v>10</v>
      </c>
      <c r="I26" s="15">
        <f t="shared" ref="I26:M26" si="16">G58</f>
        <v>19007.01</v>
      </c>
      <c r="J26" s="15">
        <f t="shared" si="16"/>
        <v>5028.15</v>
      </c>
      <c r="K26" s="15">
        <f t="shared" si="16"/>
        <v>2849.101</v>
      </c>
      <c r="L26" s="15">
        <f t="shared" si="16"/>
        <v>21186.05</v>
      </c>
      <c r="M26" s="15">
        <f t="shared" si="16"/>
        <v>24035.16</v>
      </c>
      <c r="N26" s="29"/>
    </row>
    <row r="27" ht="15.75" customHeight="1">
      <c r="A27" s="22" t="s">
        <v>18</v>
      </c>
      <c r="B27" s="14">
        <f t="shared" ref="B27:F27" si="17">B59</f>
        <v>5.447048</v>
      </c>
      <c r="C27" s="14">
        <f t="shared" si="17"/>
        <v>3.322231</v>
      </c>
      <c r="D27" s="14">
        <f t="shared" si="17"/>
        <v>2.923609</v>
      </c>
      <c r="E27" s="14">
        <f t="shared" si="17"/>
        <v>5.280915</v>
      </c>
      <c r="F27" s="14">
        <f t="shared" si="17"/>
        <v>4.865474</v>
      </c>
      <c r="G27" s="6"/>
      <c r="H27" s="23" t="s">
        <v>18</v>
      </c>
      <c r="I27" s="15">
        <f t="shared" ref="I27:M27" si="18">G59</f>
        <v>21876.07</v>
      </c>
      <c r="J27" s="15">
        <f t="shared" si="18"/>
        <v>5028.15</v>
      </c>
      <c r="K27" s="15">
        <f t="shared" si="18"/>
        <v>2849.101</v>
      </c>
      <c r="L27" s="15">
        <f t="shared" si="18"/>
        <v>24055.12</v>
      </c>
      <c r="M27" s="15">
        <f t="shared" si="18"/>
        <v>26904.22</v>
      </c>
    </row>
    <row r="28" ht="15.75" customHeight="1">
      <c r="A28" s="16" t="s">
        <v>24</v>
      </c>
      <c r="B28" s="17"/>
      <c r="C28" s="17"/>
      <c r="D28" s="17"/>
      <c r="E28" s="17"/>
      <c r="F28" s="17"/>
      <c r="G28" s="18"/>
      <c r="H28" s="16" t="s">
        <v>24</v>
      </c>
      <c r="I28" s="19"/>
      <c r="J28" s="19"/>
      <c r="K28" s="19"/>
      <c r="L28" s="19"/>
      <c r="M28" s="19"/>
      <c r="N28" s="16"/>
      <c r="O28" s="16"/>
      <c r="P28" s="16"/>
      <c r="Q28" s="16"/>
      <c r="R28" s="16"/>
      <c r="S28" s="16"/>
      <c r="T28" s="16"/>
      <c r="U28" s="16"/>
      <c r="V28" s="16"/>
      <c r="W28" s="16"/>
      <c r="X28" s="16"/>
      <c r="Y28" s="16"/>
      <c r="Z28" s="16"/>
    </row>
    <row r="29" ht="15.75" customHeight="1">
      <c r="A29" s="16" t="s">
        <v>14</v>
      </c>
      <c r="B29" s="17"/>
      <c r="C29" s="17"/>
      <c r="D29" s="17"/>
      <c r="E29" s="17"/>
      <c r="F29" s="17"/>
      <c r="G29" s="18"/>
      <c r="H29" s="16" t="s">
        <v>14</v>
      </c>
      <c r="I29" s="19"/>
      <c r="J29" s="19"/>
      <c r="K29" s="19"/>
      <c r="L29" s="19"/>
      <c r="M29" s="19"/>
      <c r="N29" s="16"/>
      <c r="O29" s="16"/>
      <c r="P29" s="16"/>
      <c r="Q29" s="16"/>
      <c r="R29" s="16"/>
      <c r="S29" s="16"/>
      <c r="T29" s="16"/>
      <c r="U29" s="16"/>
      <c r="V29" s="16"/>
      <c r="W29" s="16"/>
      <c r="X29" s="16"/>
      <c r="Y29" s="16"/>
      <c r="Z29" s="16"/>
    </row>
    <row r="30" ht="15.75" customHeight="1">
      <c r="A30" s="2"/>
      <c r="B30" s="6"/>
      <c r="C30" s="6"/>
      <c r="D30" s="6"/>
      <c r="E30" s="6"/>
      <c r="F30" s="6"/>
      <c r="G30" s="6"/>
      <c r="H30" s="7"/>
      <c r="I30" s="6"/>
      <c r="J30" s="6"/>
      <c r="K30" s="6"/>
      <c r="L30" s="6"/>
      <c r="M30" s="6"/>
      <c r="P30" s="30"/>
    </row>
    <row r="31" ht="15.75" customHeight="1">
      <c r="A31" s="2"/>
      <c r="B31" s="31" t="s">
        <v>25</v>
      </c>
      <c r="C31" s="4"/>
      <c r="D31" s="4"/>
      <c r="E31" s="4"/>
      <c r="F31" s="5"/>
      <c r="G31" s="6"/>
      <c r="H31" s="7"/>
      <c r="I31" s="31" t="s">
        <v>26</v>
      </c>
      <c r="J31" s="4"/>
      <c r="K31" s="4"/>
      <c r="L31" s="4"/>
      <c r="M31" s="5"/>
      <c r="P31" s="32"/>
    </row>
    <row r="32" ht="15.75" customHeight="1">
      <c r="A32" s="2"/>
      <c r="B32" s="8" t="s">
        <v>2</v>
      </c>
      <c r="C32" s="9"/>
      <c r="D32" s="8" t="s">
        <v>3</v>
      </c>
      <c r="E32" s="9"/>
      <c r="F32" s="27" t="s">
        <v>4</v>
      </c>
      <c r="G32" s="6"/>
      <c r="H32" s="7"/>
      <c r="I32" s="8" t="s">
        <v>2</v>
      </c>
      <c r="J32" s="9"/>
      <c r="K32" s="8" t="s">
        <v>3</v>
      </c>
      <c r="L32" s="9"/>
      <c r="M32" s="27" t="s">
        <v>4</v>
      </c>
      <c r="P32" s="33"/>
    </row>
    <row r="33" ht="15.75" customHeight="1">
      <c r="A33" s="2"/>
      <c r="B33" s="11" t="s">
        <v>5</v>
      </c>
      <c r="C33" s="11" t="s">
        <v>6</v>
      </c>
      <c r="D33" s="11" t="s">
        <v>7</v>
      </c>
      <c r="E33" s="11" t="s">
        <v>8</v>
      </c>
      <c r="F33" s="28"/>
      <c r="G33" s="6"/>
      <c r="H33" s="7"/>
      <c r="I33" s="11" t="s">
        <v>5</v>
      </c>
      <c r="J33" s="11" t="s">
        <v>6</v>
      </c>
      <c r="K33" s="11" t="s">
        <v>7</v>
      </c>
      <c r="L33" s="11" t="s">
        <v>8</v>
      </c>
      <c r="M33" s="28"/>
      <c r="P33" s="33"/>
    </row>
    <row r="34" ht="15.75" customHeight="1">
      <c r="A34" s="22" t="s">
        <v>23</v>
      </c>
      <c r="B34" s="14">
        <f t="shared" ref="B34:F34" si="19">B60</f>
        <v>26.22032</v>
      </c>
      <c r="C34" s="14">
        <f t="shared" si="19"/>
        <v>7.754001</v>
      </c>
      <c r="D34" s="14">
        <f t="shared" si="19"/>
        <v>10.39328</v>
      </c>
      <c r="E34" s="14">
        <f t="shared" si="19"/>
        <v>28.19482</v>
      </c>
      <c r="F34" s="14">
        <f t="shared" si="19"/>
        <v>22.90067</v>
      </c>
      <c r="G34" s="6"/>
      <c r="H34" s="34" t="s">
        <v>23</v>
      </c>
      <c r="I34" s="15">
        <f t="shared" ref="I34:M34" si="20">G60</f>
        <v>24749.58</v>
      </c>
      <c r="J34" s="15">
        <f t="shared" si="20"/>
        <v>1604.097</v>
      </c>
      <c r="K34" s="15">
        <f t="shared" si="20"/>
        <v>3557.007</v>
      </c>
      <c r="L34" s="15">
        <f t="shared" si="20"/>
        <v>22796.67</v>
      </c>
      <c r="M34" s="15">
        <f t="shared" si="20"/>
        <v>26353.67</v>
      </c>
    </row>
    <row r="35" ht="15.75" customHeight="1">
      <c r="A35" s="22" t="s">
        <v>10</v>
      </c>
      <c r="B35" s="14">
        <f t="shared" ref="B35:F35" si="21">B61</f>
        <v>9.054935</v>
      </c>
      <c r="C35" s="14">
        <f t="shared" si="21"/>
        <v>2.231606</v>
      </c>
      <c r="D35" s="14">
        <f t="shared" si="21"/>
        <v>3.448236</v>
      </c>
      <c r="E35" s="14">
        <f t="shared" si="21"/>
        <v>7.782118</v>
      </c>
      <c r="F35" s="14">
        <f t="shared" si="21"/>
        <v>7.105423</v>
      </c>
      <c r="G35" s="6"/>
      <c r="H35" s="34" t="s">
        <v>10</v>
      </c>
      <c r="I35" s="15">
        <f t="shared" ref="I35:M35" si="22">G61</f>
        <v>30673.85</v>
      </c>
      <c r="J35" s="15">
        <f t="shared" si="22"/>
        <v>3023.829</v>
      </c>
      <c r="K35" s="15">
        <f t="shared" si="22"/>
        <v>2553.426</v>
      </c>
      <c r="L35" s="15">
        <f t="shared" si="22"/>
        <v>31144.25</v>
      </c>
      <c r="M35" s="15">
        <f t="shared" si="22"/>
        <v>33697.68</v>
      </c>
      <c r="O35" s="16"/>
    </row>
    <row r="36" ht="15.75" customHeight="1">
      <c r="A36" s="22" t="s">
        <v>18</v>
      </c>
      <c r="B36" s="14">
        <f t="shared" ref="B36:F36" si="23">B62</f>
        <v>10.48066</v>
      </c>
      <c r="C36" s="14">
        <f t="shared" si="23"/>
        <v>2.066579</v>
      </c>
      <c r="D36" s="14">
        <f t="shared" si="23"/>
        <v>4.568436</v>
      </c>
      <c r="E36" s="14">
        <f t="shared" si="23"/>
        <v>8.923509</v>
      </c>
      <c r="F36" s="14">
        <f t="shared" si="23"/>
        <v>8.140325</v>
      </c>
      <c r="G36" s="6"/>
      <c r="H36" s="34" t="s">
        <v>18</v>
      </c>
      <c r="I36" s="15">
        <f t="shared" ref="I36:M36" si="24">G62</f>
        <v>39798.97</v>
      </c>
      <c r="J36" s="15">
        <f t="shared" si="24"/>
        <v>3023.829</v>
      </c>
      <c r="K36" s="15">
        <f t="shared" si="24"/>
        <v>4321.85</v>
      </c>
      <c r="L36" s="15">
        <f t="shared" si="24"/>
        <v>38500.95</v>
      </c>
      <c r="M36" s="15">
        <f t="shared" si="24"/>
        <v>42822.8</v>
      </c>
      <c r="O36" s="35"/>
    </row>
    <row r="37" ht="15.75" customHeight="1">
      <c r="A37" s="16" t="s">
        <v>27</v>
      </c>
      <c r="B37" s="16"/>
      <c r="C37" s="16"/>
      <c r="D37" s="16"/>
      <c r="E37" s="16"/>
      <c r="F37" s="16"/>
      <c r="G37" s="16"/>
      <c r="H37" s="16" t="s">
        <v>28</v>
      </c>
      <c r="I37" s="16"/>
      <c r="J37" s="16"/>
      <c r="K37" s="16"/>
      <c r="L37" s="16"/>
      <c r="M37" s="16"/>
      <c r="N37" s="16"/>
      <c r="O37" s="16"/>
      <c r="P37" s="16"/>
      <c r="Q37" s="16"/>
      <c r="R37" s="16"/>
      <c r="S37" s="16"/>
      <c r="T37" s="16"/>
      <c r="U37" s="16"/>
      <c r="V37" s="16"/>
      <c r="W37" s="16"/>
      <c r="X37" s="16"/>
      <c r="Y37" s="16"/>
      <c r="Z37" s="16"/>
    </row>
    <row r="38" ht="15.75" customHeight="1">
      <c r="A38" s="16" t="s">
        <v>14</v>
      </c>
      <c r="B38" s="16"/>
      <c r="C38" s="16"/>
      <c r="D38" s="16"/>
      <c r="E38" s="16"/>
      <c r="F38" s="16"/>
      <c r="G38" s="16"/>
      <c r="H38" s="16" t="s">
        <v>14</v>
      </c>
      <c r="I38" s="16"/>
      <c r="J38" s="16"/>
      <c r="K38" s="16"/>
      <c r="L38" s="16"/>
      <c r="M38" s="16"/>
      <c r="N38" s="16"/>
      <c r="O38" s="16"/>
      <c r="P38" s="16"/>
      <c r="Q38" s="16"/>
      <c r="R38" s="16"/>
      <c r="S38" s="16"/>
      <c r="T38" s="16"/>
      <c r="U38" s="16"/>
      <c r="V38" s="16"/>
      <c r="W38" s="16"/>
      <c r="X38" s="16"/>
      <c r="Y38" s="16"/>
      <c r="Z38" s="16"/>
    </row>
    <row r="39" ht="15.7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5.75" customHeight="1">
      <c r="A40" s="2"/>
      <c r="B40" s="31" t="s">
        <v>29</v>
      </c>
      <c r="C40" s="4"/>
      <c r="D40" s="4"/>
      <c r="E40" s="4"/>
      <c r="F40" s="5"/>
      <c r="G40" s="6"/>
      <c r="H40" s="7"/>
      <c r="I40" s="31" t="s">
        <v>30</v>
      </c>
      <c r="J40" s="4"/>
      <c r="K40" s="4"/>
      <c r="L40" s="4"/>
      <c r="M40" s="5"/>
    </row>
    <row r="41" ht="15.75" customHeight="1">
      <c r="A41" s="2"/>
      <c r="B41" s="8" t="s">
        <v>2</v>
      </c>
      <c r="C41" s="9"/>
      <c r="D41" s="8" t="s">
        <v>3</v>
      </c>
      <c r="E41" s="9"/>
      <c r="F41" s="27" t="s">
        <v>4</v>
      </c>
      <c r="G41" s="6"/>
      <c r="H41" s="7"/>
      <c r="I41" s="8" t="s">
        <v>2</v>
      </c>
      <c r="J41" s="9"/>
      <c r="K41" s="8" t="s">
        <v>3</v>
      </c>
      <c r="L41" s="9"/>
      <c r="M41" s="27" t="s">
        <v>4</v>
      </c>
    </row>
    <row r="42" ht="15.75" customHeight="1">
      <c r="A42" s="2"/>
      <c r="B42" s="11" t="s">
        <v>5</v>
      </c>
      <c r="C42" s="11" t="s">
        <v>6</v>
      </c>
      <c r="D42" s="11" t="s">
        <v>7</v>
      </c>
      <c r="E42" s="11" t="s">
        <v>8</v>
      </c>
      <c r="F42" s="28"/>
      <c r="G42" s="6"/>
      <c r="H42" s="7"/>
      <c r="I42" s="11" t="s">
        <v>5</v>
      </c>
      <c r="J42" s="11" t="s">
        <v>6</v>
      </c>
      <c r="K42" s="11" t="s">
        <v>7</v>
      </c>
      <c r="L42" s="11" t="s">
        <v>8</v>
      </c>
      <c r="M42" s="28"/>
    </row>
    <row r="43" ht="15.75" customHeight="1">
      <c r="A43" s="22" t="s">
        <v>23</v>
      </c>
      <c r="B43" s="14">
        <f t="shared" ref="B43:F43" si="25">B63</f>
        <v>34.05842</v>
      </c>
      <c r="C43" s="14">
        <f t="shared" si="25"/>
        <v>100</v>
      </c>
      <c r="D43" s="14">
        <f t="shared" si="25"/>
        <v>24.70698</v>
      </c>
      <c r="E43" s="14">
        <f t="shared" si="25"/>
        <v>40.15755</v>
      </c>
      <c r="F43" s="14">
        <f t="shared" si="25"/>
        <v>38.07215</v>
      </c>
      <c r="G43" s="6"/>
      <c r="H43" s="34" t="s">
        <v>23</v>
      </c>
      <c r="I43" s="15">
        <f t="shared" ref="I43:M43" si="26">G63</f>
        <v>8429.313</v>
      </c>
      <c r="J43" s="15">
        <f t="shared" si="26"/>
        <v>1604.097</v>
      </c>
      <c r="K43" s="15">
        <f t="shared" si="26"/>
        <v>878.8291</v>
      </c>
      <c r="L43" s="15">
        <f t="shared" si="26"/>
        <v>9154.582</v>
      </c>
      <c r="M43" s="15">
        <f t="shared" si="26"/>
        <v>10033.41</v>
      </c>
    </row>
    <row r="44" ht="15.75" customHeight="1">
      <c r="A44" s="22" t="s">
        <v>10</v>
      </c>
      <c r="B44" s="14">
        <f t="shared" ref="B44:F44" si="27">B64</f>
        <v>32.83433</v>
      </c>
      <c r="C44" s="14">
        <f t="shared" si="27"/>
        <v>63.51007</v>
      </c>
      <c r="D44" s="14">
        <f t="shared" si="27"/>
        <v>34.41764</v>
      </c>
      <c r="E44" s="14">
        <f t="shared" si="27"/>
        <v>35.68286</v>
      </c>
      <c r="F44" s="14">
        <f t="shared" si="27"/>
        <v>35.58699</v>
      </c>
      <c r="G44" s="6"/>
      <c r="H44" s="34" t="s">
        <v>10</v>
      </c>
      <c r="I44" s="15">
        <f t="shared" ref="I44:M44" si="28">G64</f>
        <v>10071.55</v>
      </c>
      <c r="J44" s="15">
        <f t="shared" si="28"/>
        <v>1920.436</v>
      </c>
      <c r="K44" s="15">
        <f t="shared" si="28"/>
        <v>878.8291</v>
      </c>
      <c r="L44" s="15">
        <f t="shared" si="28"/>
        <v>11113.16</v>
      </c>
      <c r="M44" s="15">
        <f t="shared" si="28"/>
        <v>11991.99</v>
      </c>
    </row>
    <row r="45" ht="15.75" customHeight="1">
      <c r="A45" s="22" t="s">
        <v>18</v>
      </c>
      <c r="B45" s="14">
        <f t="shared" ref="B45:F45" si="29">B65</f>
        <v>36.76991</v>
      </c>
      <c r="C45" s="14">
        <f t="shared" si="29"/>
        <v>63.51007</v>
      </c>
      <c r="D45" s="14">
        <f t="shared" si="29"/>
        <v>20.33456</v>
      </c>
      <c r="E45" s="14">
        <f t="shared" si="29"/>
        <v>40.71498</v>
      </c>
      <c r="F45" s="14">
        <f t="shared" si="29"/>
        <v>38.6581</v>
      </c>
      <c r="G45" s="6"/>
      <c r="H45" s="34" t="s">
        <v>18</v>
      </c>
      <c r="I45" s="15">
        <f t="shared" ref="I45:M45" si="30">G65</f>
        <v>14634.05</v>
      </c>
      <c r="J45" s="15">
        <f t="shared" si="30"/>
        <v>1920.436</v>
      </c>
      <c r="K45" s="15">
        <f t="shared" si="30"/>
        <v>878.8291</v>
      </c>
      <c r="L45" s="15">
        <f t="shared" si="30"/>
        <v>15675.65</v>
      </c>
      <c r="M45" s="15">
        <f t="shared" si="30"/>
        <v>16554.48</v>
      </c>
    </row>
    <row r="46" ht="15.75" customHeight="1">
      <c r="A46" s="16" t="s">
        <v>31</v>
      </c>
      <c r="B46" s="16"/>
      <c r="C46" s="16"/>
      <c r="D46" s="16"/>
      <c r="E46" s="16"/>
      <c r="F46" s="16"/>
      <c r="G46" s="16"/>
      <c r="H46" s="16" t="s">
        <v>31</v>
      </c>
      <c r="I46" s="16"/>
      <c r="J46" s="16"/>
      <c r="K46" s="16"/>
      <c r="L46" s="16"/>
      <c r="M46" s="16"/>
      <c r="N46" s="16"/>
      <c r="O46" s="16"/>
      <c r="P46" s="16"/>
      <c r="Q46" s="16"/>
      <c r="R46" s="16"/>
      <c r="S46" s="16"/>
      <c r="T46" s="16"/>
      <c r="U46" s="16"/>
      <c r="V46" s="16"/>
      <c r="W46" s="16"/>
      <c r="X46" s="16"/>
      <c r="Y46" s="16"/>
      <c r="Z46" s="16"/>
    </row>
    <row r="47" ht="15.75" customHeight="1">
      <c r="A47" s="16" t="s">
        <v>14</v>
      </c>
      <c r="B47" s="16"/>
      <c r="C47" s="16"/>
      <c r="D47" s="16"/>
      <c r="E47" s="16"/>
      <c r="F47" s="16"/>
      <c r="G47" s="16"/>
      <c r="H47" s="16" t="s">
        <v>14</v>
      </c>
      <c r="I47" s="16"/>
      <c r="J47" s="16"/>
      <c r="K47" s="16"/>
      <c r="L47" s="16"/>
      <c r="M47" s="16"/>
      <c r="N47" s="16"/>
      <c r="O47" s="16"/>
      <c r="P47" s="16"/>
      <c r="Q47" s="16"/>
      <c r="R47" s="16"/>
      <c r="S47" s="16"/>
      <c r="T47" s="16"/>
      <c r="U47" s="16"/>
      <c r="V47" s="16"/>
      <c r="W47" s="16"/>
      <c r="X47" s="16"/>
      <c r="Y47" s="16"/>
      <c r="Z47" s="16"/>
    </row>
    <row r="48" ht="15.75" customHeight="1">
      <c r="H48" s="1"/>
    </row>
    <row r="49" ht="15.75" customHeight="1">
      <c r="A49" s="36"/>
      <c r="B49" s="36"/>
      <c r="C49" s="36"/>
      <c r="D49" s="36"/>
      <c r="E49" s="36"/>
      <c r="F49" s="36"/>
      <c r="G49" s="36"/>
      <c r="H49" s="1"/>
      <c r="I49" s="36"/>
      <c r="J49" s="36"/>
      <c r="K49" s="36"/>
      <c r="L49" s="36"/>
      <c r="M49" s="36"/>
      <c r="N49" s="36"/>
      <c r="O49" s="36"/>
      <c r="P49" s="36"/>
      <c r="Q49" s="36"/>
      <c r="R49" s="36"/>
      <c r="S49" s="36"/>
      <c r="T49" s="36"/>
      <c r="U49" s="36"/>
      <c r="V49" s="36"/>
      <c r="W49" s="36"/>
      <c r="X49" s="36"/>
      <c r="Y49" s="36"/>
      <c r="Z49" s="36"/>
    </row>
    <row r="50" ht="15.75" customHeight="1">
      <c r="A50" s="36"/>
      <c r="B50" s="36" t="s">
        <v>32</v>
      </c>
      <c r="C50" s="36" t="s">
        <v>33</v>
      </c>
      <c r="D50" s="36" t="s">
        <v>34</v>
      </c>
      <c r="E50" s="36" t="s">
        <v>35</v>
      </c>
      <c r="F50" s="36" t="s">
        <v>36</v>
      </c>
      <c r="G50" s="36" t="s">
        <v>37</v>
      </c>
      <c r="H50" s="1" t="s">
        <v>38</v>
      </c>
      <c r="I50" s="36" t="s">
        <v>39</v>
      </c>
      <c r="J50" s="36" t="s">
        <v>40</v>
      </c>
      <c r="K50" s="36" t="s">
        <v>41</v>
      </c>
      <c r="L50" s="36"/>
      <c r="M50" s="36"/>
      <c r="N50" s="36"/>
      <c r="O50" s="36"/>
      <c r="P50" s="36"/>
      <c r="Q50" s="36"/>
      <c r="R50" s="36"/>
      <c r="S50" s="36"/>
      <c r="T50" s="36"/>
      <c r="U50" s="36"/>
      <c r="V50" s="36"/>
      <c r="W50" s="36"/>
      <c r="X50" s="36"/>
      <c r="Y50" s="36"/>
      <c r="Z50" s="36"/>
    </row>
    <row r="51" ht="15.75" customHeight="1">
      <c r="A51" s="36"/>
      <c r="B51" s="36">
        <v>7.492392</v>
      </c>
      <c r="C51" s="36">
        <v>2.180396</v>
      </c>
      <c r="D51" s="36">
        <v>5.609346</v>
      </c>
      <c r="E51" s="36">
        <v>4.62126</v>
      </c>
      <c r="F51" s="36">
        <v>4.808808</v>
      </c>
      <c r="G51" s="36">
        <v>353549.2</v>
      </c>
      <c r="H51" s="1">
        <v>105047.7</v>
      </c>
      <c r="I51" s="36">
        <v>101536.7</v>
      </c>
      <c r="J51" s="36">
        <v>357060.1</v>
      </c>
      <c r="K51" s="36">
        <v>458596.8</v>
      </c>
      <c r="L51" s="36"/>
      <c r="M51" s="36"/>
      <c r="N51" s="36"/>
      <c r="O51" s="36"/>
      <c r="P51" s="36"/>
      <c r="Q51" s="36"/>
      <c r="R51" s="36"/>
      <c r="S51" s="36"/>
      <c r="T51" s="36"/>
      <c r="U51" s="36"/>
      <c r="V51" s="36"/>
      <c r="W51" s="36"/>
      <c r="X51" s="36"/>
      <c r="Y51" s="36"/>
      <c r="Z51" s="36"/>
    </row>
    <row r="52" ht="15.75" customHeight="1">
      <c r="A52" s="36"/>
      <c r="B52" s="36">
        <v>63.73841</v>
      </c>
      <c r="C52" s="36">
        <v>51.41955</v>
      </c>
      <c r="D52" s="36">
        <v>35.66034</v>
      </c>
      <c r="E52" s="36">
        <v>62.63505</v>
      </c>
      <c r="F52" s="36">
        <v>57.515</v>
      </c>
      <c r="G52" s="36">
        <v>3007672.0</v>
      </c>
      <c r="H52" s="1">
        <v>2477305.0</v>
      </c>
      <c r="I52" s="36">
        <v>645500.1</v>
      </c>
      <c r="J52" s="36">
        <v>4839477.0</v>
      </c>
      <c r="K52" s="36">
        <v>5484977.0</v>
      </c>
      <c r="L52" s="36"/>
      <c r="M52" s="36"/>
      <c r="N52" s="36"/>
      <c r="O52" s="36"/>
      <c r="P52" s="36"/>
      <c r="Q52" s="36"/>
      <c r="R52" s="36"/>
      <c r="S52" s="36"/>
      <c r="T52" s="36"/>
      <c r="U52" s="36"/>
      <c r="V52" s="36"/>
      <c r="W52" s="36"/>
      <c r="X52" s="36"/>
      <c r="Y52" s="36"/>
      <c r="Z52" s="36"/>
    </row>
    <row r="53" ht="15.75" customHeight="1">
      <c r="A53" s="36"/>
      <c r="B53" s="36">
        <v>63.9484</v>
      </c>
      <c r="C53" s="36">
        <v>51.50422</v>
      </c>
      <c r="D53" s="36">
        <v>35.88668</v>
      </c>
      <c r="E53" s="36">
        <v>62.76307</v>
      </c>
      <c r="F53" s="36">
        <v>57.66168</v>
      </c>
      <c r="G53" s="36">
        <v>3017581.0</v>
      </c>
      <c r="H53" s="1">
        <v>2481384.0</v>
      </c>
      <c r="I53" s="36">
        <v>649597.1</v>
      </c>
      <c r="J53" s="36">
        <v>4849368.0</v>
      </c>
      <c r="K53" s="36">
        <v>5498965.0</v>
      </c>
      <c r="L53" s="36"/>
      <c r="M53" s="36"/>
      <c r="N53" s="36"/>
      <c r="O53" s="36"/>
      <c r="P53" s="36"/>
      <c r="Q53" s="36"/>
      <c r="R53" s="36"/>
      <c r="S53" s="36"/>
      <c r="T53" s="36"/>
      <c r="U53" s="36"/>
      <c r="V53" s="36"/>
      <c r="W53" s="36"/>
      <c r="X53" s="36"/>
      <c r="Y53" s="36"/>
      <c r="Z53" s="36"/>
    </row>
    <row r="54" ht="15.75" customHeight="1">
      <c r="A54" s="36"/>
      <c r="B54" s="36">
        <v>29.18813</v>
      </c>
      <c r="C54" s="36">
        <v>20.20155</v>
      </c>
      <c r="D54" s="36">
        <v>36.5121</v>
      </c>
      <c r="E54" s="36">
        <v>24.46155</v>
      </c>
      <c r="F54" s="36">
        <v>27.12963</v>
      </c>
      <c r="G54" s="36">
        <v>103194.4</v>
      </c>
      <c r="H54" s="1">
        <v>21221.26</v>
      </c>
      <c r="I54" s="36">
        <v>37073.19</v>
      </c>
      <c r="J54" s="36">
        <v>87342.45</v>
      </c>
      <c r="K54" s="36">
        <v>124415.6</v>
      </c>
      <c r="L54" s="36"/>
      <c r="M54" s="36"/>
      <c r="N54" s="36"/>
      <c r="O54" s="36"/>
      <c r="P54" s="36"/>
      <c r="Q54" s="36"/>
      <c r="R54" s="36"/>
      <c r="S54" s="36"/>
      <c r="T54" s="36"/>
      <c r="U54" s="36"/>
      <c r="V54" s="36"/>
      <c r="W54" s="36"/>
      <c r="X54" s="36"/>
      <c r="Y54" s="36"/>
      <c r="Z54" s="36"/>
    </row>
    <row r="55" ht="15.75" customHeight="1">
      <c r="A55" s="36"/>
      <c r="B55" s="36">
        <v>11.89491</v>
      </c>
      <c r="C55" s="36">
        <v>5.672626</v>
      </c>
      <c r="D55" s="36">
        <v>11.91314</v>
      </c>
      <c r="E55" s="36">
        <v>8.707322</v>
      </c>
      <c r="F55" s="36">
        <v>9.084599</v>
      </c>
      <c r="G55" s="36">
        <v>357759.9</v>
      </c>
      <c r="H55" s="1">
        <v>140528.2</v>
      </c>
      <c r="I55" s="36">
        <v>76899.3</v>
      </c>
      <c r="J55" s="36">
        <v>421388.8</v>
      </c>
      <c r="K55" s="36">
        <v>498288.1</v>
      </c>
      <c r="L55" s="36"/>
      <c r="M55" s="36"/>
      <c r="N55" s="36"/>
      <c r="O55" s="36"/>
      <c r="P55" s="36"/>
      <c r="Q55" s="36"/>
      <c r="R55" s="36"/>
      <c r="S55" s="36"/>
      <c r="T55" s="36"/>
      <c r="U55" s="36"/>
      <c r="V55" s="36"/>
      <c r="W55" s="36"/>
      <c r="X55" s="36"/>
      <c r="Y55" s="36"/>
      <c r="Z55" s="36"/>
    </row>
    <row r="56" ht="15.75" customHeight="1">
      <c r="A56" s="36"/>
      <c r="B56" s="36">
        <v>13.30911</v>
      </c>
      <c r="C56" s="36">
        <v>6.099364</v>
      </c>
      <c r="D56" s="36">
        <v>15.00183</v>
      </c>
      <c r="E56" s="36">
        <v>9.393192</v>
      </c>
      <c r="F56" s="36">
        <v>10.05575</v>
      </c>
      <c r="G56" s="36">
        <v>401613.3</v>
      </c>
      <c r="H56" s="1">
        <v>151348.6</v>
      </c>
      <c r="I56" s="36">
        <v>97451.48</v>
      </c>
      <c r="J56" s="36">
        <v>455510.4</v>
      </c>
      <c r="K56" s="36">
        <v>552961.9</v>
      </c>
      <c r="L56" s="36"/>
      <c r="M56" s="36"/>
      <c r="N56" s="36"/>
      <c r="O56" s="36"/>
      <c r="P56" s="36"/>
      <c r="Q56" s="36"/>
      <c r="R56" s="36"/>
      <c r="S56" s="36"/>
      <c r="T56" s="36"/>
      <c r="U56" s="36"/>
      <c r="V56" s="36"/>
      <c r="W56" s="36"/>
      <c r="X56" s="36"/>
      <c r="Y56" s="36"/>
      <c r="Z56" s="36"/>
    </row>
    <row r="57" ht="15.75" customHeight="1">
      <c r="A57" s="36"/>
      <c r="B57" s="36">
        <v>8.531023</v>
      </c>
      <c r="C57" s="36">
        <v>2.515957</v>
      </c>
      <c r="D57" s="36">
        <v>7.685071</v>
      </c>
      <c r="E57" s="36">
        <v>7.428636</v>
      </c>
      <c r="F57" s="36">
        <v>7.505048</v>
      </c>
      <c r="G57" s="36">
        <v>8803.535</v>
      </c>
      <c r="H57" s="1">
        <v>533.9178</v>
      </c>
      <c r="I57" s="36">
        <v>2849.101</v>
      </c>
      <c r="J57" s="36">
        <v>6488.353</v>
      </c>
      <c r="K57" s="36">
        <v>9337.453</v>
      </c>
      <c r="L57" s="36"/>
      <c r="M57" s="36"/>
      <c r="N57" s="36"/>
      <c r="O57" s="36"/>
      <c r="P57" s="36"/>
      <c r="Q57" s="36"/>
      <c r="R57" s="36"/>
      <c r="S57" s="36"/>
      <c r="T57" s="36"/>
      <c r="U57" s="36"/>
      <c r="V57" s="36"/>
      <c r="W57" s="36"/>
      <c r="X57" s="36"/>
      <c r="Y57" s="36"/>
      <c r="Z57" s="36"/>
    </row>
    <row r="58" ht="15.75" customHeight="1">
      <c r="A58" s="36"/>
      <c r="B58" s="36">
        <v>5.312783</v>
      </c>
      <c r="C58" s="36">
        <v>3.578035</v>
      </c>
      <c r="D58" s="36">
        <v>3.704977</v>
      </c>
      <c r="E58" s="36">
        <v>5.027674</v>
      </c>
      <c r="F58" s="36">
        <v>4.823546</v>
      </c>
      <c r="G58" s="36">
        <v>19007.01</v>
      </c>
      <c r="H58" s="1">
        <v>5028.15</v>
      </c>
      <c r="I58" s="36">
        <v>2849.101</v>
      </c>
      <c r="J58" s="36">
        <v>21186.05</v>
      </c>
      <c r="K58" s="36">
        <v>24035.16</v>
      </c>
      <c r="L58" s="36"/>
      <c r="M58" s="36"/>
      <c r="N58" s="36"/>
      <c r="O58" s="36"/>
      <c r="P58" s="36"/>
      <c r="Q58" s="36"/>
      <c r="R58" s="36"/>
      <c r="S58" s="36"/>
      <c r="T58" s="36"/>
      <c r="U58" s="36"/>
      <c r="V58" s="36"/>
      <c r="W58" s="36"/>
      <c r="X58" s="36"/>
      <c r="Y58" s="36"/>
      <c r="Z58" s="36"/>
    </row>
    <row r="59" ht="15.75" customHeight="1">
      <c r="A59" s="36"/>
      <c r="B59" s="36">
        <v>5.447048</v>
      </c>
      <c r="C59" s="36">
        <v>3.322231</v>
      </c>
      <c r="D59" s="36">
        <v>2.923609</v>
      </c>
      <c r="E59" s="36">
        <v>5.280915</v>
      </c>
      <c r="F59" s="36">
        <v>4.865474</v>
      </c>
      <c r="G59" s="36">
        <v>21876.07</v>
      </c>
      <c r="H59" s="1">
        <v>5028.15</v>
      </c>
      <c r="I59" s="36">
        <v>2849.101</v>
      </c>
      <c r="J59" s="36">
        <v>24055.12</v>
      </c>
      <c r="K59" s="36">
        <v>26904.22</v>
      </c>
      <c r="L59" s="36"/>
      <c r="M59" s="36"/>
      <c r="N59" s="36"/>
      <c r="O59" s="36"/>
      <c r="P59" s="36"/>
      <c r="Q59" s="36"/>
      <c r="R59" s="36"/>
      <c r="S59" s="36"/>
      <c r="T59" s="36"/>
      <c r="U59" s="36"/>
      <c r="V59" s="36"/>
      <c r="W59" s="36"/>
      <c r="X59" s="36"/>
      <c r="Y59" s="36"/>
      <c r="Z59" s="36"/>
    </row>
    <row r="60" ht="15.75" customHeight="1">
      <c r="A60" s="36"/>
      <c r="B60" s="36">
        <v>26.22032</v>
      </c>
      <c r="C60" s="36">
        <v>7.754001</v>
      </c>
      <c r="D60" s="36">
        <v>10.39328</v>
      </c>
      <c r="E60" s="36">
        <v>28.19482</v>
      </c>
      <c r="F60" s="36">
        <v>22.90067</v>
      </c>
      <c r="G60" s="36">
        <v>24749.58</v>
      </c>
      <c r="H60" s="1">
        <v>1604.097</v>
      </c>
      <c r="I60" s="36">
        <v>3557.007</v>
      </c>
      <c r="J60" s="36">
        <v>22796.67</v>
      </c>
      <c r="K60" s="36">
        <v>26353.67</v>
      </c>
      <c r="L60" s="36"/>
      <c r="M60" s="36"/>
      <c r="N60" s="36"/>
      <c r="O60" s="36"/>
      <c r="P60" s="36"/>
      <c r="Q60" s="36"/>
      <c r="R60" s="36"/>
      <c r="S60" s="36"/>
      <c r="T60" s="36"/>
      <c r="U60" s="36"/>
      <c r="V60" s="36"/>
      <c r="W60" s="36"/>
      <c r="X60" s="36"/>
      <c r="Y60" s="36"/>
      <c r="Z60" s="36"/>
    </row>
    <row r="61" ht="15.75" customHeight="1">
      <c r="A61" s="36"/>
      <c r="B61" s="36">
        <v>9.054935</v>
      </c>
      <c r="C61" s="36">
        <v>2.231606</v>
      </c>
      <c r="D61" s="36">
        <v>3.448236</v>
      </c>
      <c r="E61" s="36">
        <v>7.782118</v>
      </c>
      <c r="F61" s="36">
        <v>7.105423</v>
      </c>
      <c r="G61" s="36">
        <v>30673.85</v>
      </c>
      <c r="H61" s="1">
        <v>3023.829</v>
      </c>
      <c r="I61" s="36">
        <v>2553.426</v>
      </c>
      <c r="J61" s="36">
        <v>31144.25</v>
      </c>
      <c r="K61" s="36">
        <v>33697.68</v>
      </c>
      <c r="L61" s="36"/>
      <c r="M61" s="36"/>
      <c r="N61" s="36"/>
      <c r="O61" s="36"/>
      <c r="P61" s="36"/>
      <c r="Q61" s="36"/>
      <c r="R61" s="36"/>
      <c r="S61" s="36"/>
      <c r="T61" s="36"/>
      <c r="U61" s="36"/>
      <c r="V61" s="36"/>
      <c r="W61" s="36"/>
      <c r="X61" s="36"/>
      <c r="Y61" s="36"/>
      <c r="Z61" s="36"/>
    </row>
    <row r="62" ht="15.75" customHeight="1">
      <c r="A62" s="36"/>
      <c r="B62" s="36">
        <v>10.48066</v>
      </c>
      <c r="C62" s="36">
        <v>2.066579</v>
      </c>
      <c r="D62" s="36">
        <v>4.568436</v>
      </c>
      <c r="E62" s="36">
        <v>8.923509</v>
      </c>
      <c r="F62" s="36">
        <v>8.140325</v>
      </c>
      <c r="G62" s="36">
        <v>39798.97</v>
      </c>
      <c r="H62" s="1">
        <v>3023.829</v>
      </c>
      <c r="I62" s="36">
        <v>4321.85</v>
      </c>
      <c r="J62" s="36">
        <v>38500.95</v>
      </c>
      <c r="K62" s="36">
        <v>42822.8</v>
      </c>
      <c r="L62" s="36"/>
      <c r="M62" s="36"/>
      <c r="N62" s="36"/>
      <c r="O62" s="36"/>
      <c r="P62" s="36"/>
      <c r="Q62" s="36"/>
      <c r="R62" s="36"/>
      <c r="S62" s="36"/>
      <c r="T62" s="36"/>
      <c r="U62" s="36"/>
      <c r="V62" s="36"/>
      <c r="W62" s="36"/>
      <c r="X62" s="36"/>
      <c r="Y62" s="36"/>
      <c r="Z62" s="36"/>
    </row>
    <row r="63" ht="15.75" customHeight="1">
      <c r="A63" s="36"/>
      <c r="B63" s="36">
        <v>34.05842</v>
      </c>
      <c r="C63" s="36">
        <v>100.0</v>
      </c>
      <c r="D63" s="36">
        <v>24.70698</v>
      </c>
      <c r="E63" s="36">
        <v>40.15755</v>
      </c>
      <c r="F63" s="36">
        <v>38.07215</v>
      </c>
      <c r="G63" s="36">
        <v>8429.313</v>
      </c>
      <c r="H63" s="1">
        <v>1604.097</v>
      </c>
      <c r="I63" s="36">
        <v>878.8291</v>
      </c>
      <c r="J63" s="36">
        <v>9154.582</v>
      </c>
      <c r="K63" s="36">
        <v>10033.41</v>
      </c>
      <c r="L63" s="36"/>
      <c r="M63" s="36"/>
      <c r="N63" s="36"/>
      <c r="O63" s="36"/>
      <c r="P63" s="36"/>
      <c r="Q63" s="36"/>
      <c r="R63" s="36"/>
      <c r="S63" s="36"/>
      <c r="T63" s="36"/>
      <c r="U63" s="36"/>
      <c r="V63" s="36"/>
      <c r="W63" s="36"/>
      <c r="X63" s="36"/>
      <c r="Y63" s="36"/>
      <c r="Z63" s="36"/>
    </row>
    <row r="64" ht="15.75" customHeight="1">
      <c r="A64" s="36"/>
      <c r="B64" s="36">
        <v>32.83433</v>
      </c>
      <c r="C64" s="36">
        <v>63.51007</v>
      </c>
      <c r="D64" s="36">
        <v>34.41764</v>
      </c>
      <c r="E64" s="36">
        <v>35.68286</v>
      </c>
      <c r="F64" s="36">
        <v>35.58699</v>
      </c>
      <c r="G64" s="36">
        <v>10071.55</v>
      </c>
      <c r="H64" s="1">
        <v>1920.436</v>
      </c>
      <c r="I64" s="36">
        <v>878.8291</v>
      </c>
      <c r="J64" s="36">
        <v>11113.16</v>
      </c>
      <c r="K64" s="36">
        <v>11991.99</v>
      </c>
      <c r="L64" s="36"/>
      <c r="M64" s="36"/>
      <c r="N64" s="36"/>
      <c r="O64" s="36"/>
      <c r="P64" s="36"/>
      <c r="Q64" s="36"/>
      <c r="R64" s="36"/>
      <c r="S64" s="36"/>
      <c r="T64" s="36"/>
      <c r="U64" s="36"/>
      <c r="V64" s="36"/>
      <c r="W64" s="36"/>
      <c r="X64" s="36"/>
      <c r="Y64" s="36"/>
      <c r="Z64" s="36"/>
    </row>
    <row r="65" ht="15.75" customHeight="1">
      <c r="A65" s="36"/>
      <c r="B65" s="36">
        <v>36.76991</v>
      </c>
      <c r="C65" s="36">
        <v>63.51007</v>
      </c>
      <c r="D65" s="36">
        <v>20.33456</v>
      </c>
      <c r="E65" s="36">
        <v>40.71498</v>
      </c>
      <c r="F65" s="36">
        <v>38.6581</v>
      </c>
      <c r="G65" s="36">
        <v>14634.05</v>
      </c>
      <c r="H65" s="1">
        <v>1920.436</v>
      </c>
      <c r="I65" s="36">
        <v>878.8291</v>
      </c>
      <c r="J65" s="36">
        <v>15675.65</v>
      </c>
      <c r="K65" s="36">
        <v>16554.48</v>
      </c>
      <c r="L65" s="36"/>
      <c r="M65" s="36"/>
      <c r="N65" s="36"/>
      <c r="O65" s="36"/>
      <c r="P65" s="36"/>
      <c r="Q65" s="36"/>
      <c r="R65" s="36"/>
      <c r="S65" s="36"/>
      <c r="T65" s="36"/>
      <c r="U65" s="36"/>
      <c r="V65" s="36"/>
      <c r="W65" s="36"/>
      <c r="X65" s="36"/>
      <c r="Y65" s="36"/>
      <c r="Z65" s="36"/>
    </row>
    <row r="66" ht="15.75" customHeight="1">
      <c r="A66" s="36"/>
      <c r="B66" s="36"/>
      <c r="C66" s="36"/>
      <c r="D66" s="36"/>
      <c r="E66" s="36"/>
      <c r="F66" s="36"/>
      <c r="G66" s="36"/>
      <c r="H66" s="1"/>
      <c r="I66" s="36"/>
      <c r="J66" s="36"/>
      <c r="K66" s="36"/>
      <c r="L66" s="36"/>
      <c r="M66" s="36"/>
      <c r="N66" s="36"/>
      <c r="O66" s="36"/>
      <c r="P66" s="36"/>
      <c r="Q66" s="36"/>
      <c r="R66" s="36"/>
      <c r="S66" s="36"/>
      <c r="T66" s="36"/>
      <c r="U66" s="36"/>
      <c r="V66" s="36"/>
      <c r="W66" s="36"/>
      <c r="X66" s="36"/>
      <c r="Y66" s="36"/>
      <c r="Z66" s="36"/>
    </row>
    <row r="67" ht="15.75" customHeight="1">
      <c r="A67" s="36"/>
      <c r="B67" s="36"/>
      <c r="C67" s="36"/>
      <c r="D67" s="36"/>
      <c r="E67" s="36"/>
      <c r="F67" s="36"/>
      <c r="G67" s="36"/>
      <c r="H67" s="1"/>
      <c r="I67" s="36"/>
      <c r="J67" s="36"/>
      <c r="K67" s="36"/>
      <c r="L67" s="36"/>
      <c r="M67" s="36"/>
      <c r="N67" s="36"/>
      <c r="O67" s="36"/>
      <c r="P67" s="36"/>
      <c r="Q67" s="36"/>
      <c r="R67" s="36"/>
      <c r="S67" s="36"/>
      <c r="T67" s="36"/>
      <c r="U67" s="36"/>
      <c r="V67" s="36"/>
      <c r="W67" s="36"/>
      <c r="X67" s="36"/>
      <c r="Y67" s="36"/>
      <c r="Z67" s="36"/>
    </row>
    <row r="68" ht="15.75" customHeight="1">
      <c r="A68" s="36"/>
      <c r="B68" s="36"/>
      <c r="C68" s="36"/>
      <c r="D68" s="36"/>
      <c r="E68" s="36"/>
      <c r="F68" s="36"/>
      <c r="G68" s="36"/>
      <c r="H68" s="1"/>
      <c r="I68" s="36"/>
      <c r="J68" s="36"/>
      <c r="K68" s="36"/>
      <c r="L68" s="36"/>
      <c r="M68" s="36"/>
      <c r="N68" s="36"/>
      <c r="O68" s="36"/>
      <c r="P68" s="36"/>
      <c r="Q68" s="36"/>
      <c r="R68" s="36"/>
      <c r="S68" s="36"/>
      <c r="T68" s="36"/>
      <c r="U68" s="36"/>
      <c r="V68" s="36"/>
      <c r="W68" s="36"/>
      <c r="X68" s="36"/>
      <c r="Y68" s="36"/>
      <c r="Z68" s="36"/>
    </row>
    <row r="69" ht="15.75" customHeight="1">
      <c r="A69" s="36"/>
      <c r="B69" s="36"/>
      <c r="C69" s="36"/>
      <c r="D69" s="36"/>
      <c r="E69" s="36"/>
      <c r="F69" s="36"/>
      <c r="G69" s="36"/>
      <c r="H69" s="1"/>
      <c r="I69" s="36"/>
      <c r="J69" s="36"/>
      <c r="K69" s="36"/>
      <c r="L69" s="36"/>
      <c r="M69" s="36"/>
      <c r="N69" s="36"/>
      <c r="O69" s="36"/>
      <c r="P69" s="36"/>
      <c r="Q69" s="36"/>
      <c r="R69" s="36"/>
      <c r="S69" s="36"/>
      <c r="T69" s="36"/>
      <c r="U69" s="36"/>
      <c r="V69" s="36"/>
      <c r="W69" s="36"/>
      <c r="X69" s="36"/>
      <c r="Y69" s="36"/>
      <c r="Z69" s="36"/>
    </row>
    <row r="70" ht="15.75" customHeight="1">
      <c r="A70" s="36"/>
      <c r="B70" s="36"/>
      <c r="C70" s="36"/>
      <c r="D70" s="36"/>
      <c r="E70" s="36"/>
      <c r="F70" s="36"/>
      <c r="G70" s="36"/>
      <c r="H70" s="1"/>
      <c r="I70" s="36"/>
      <c r="J70" s="36"/>
      <c r="K70" s="36"/>
      <c r="L70" s="36"/>
      <c r="M70" s="36"/>
      <c r="N70" s="36"/>
      <c r="O70" s="36"/>
      <c r="P70" s="36"/>
      <c r="Q70" s="36"/>
      <c r="R70" s="36"/>
      <c r="S70" s="36"/>
      <c r="T70" s="36"/>
      <c r="U70" s="36"/>
      <c r="V70" s="36"/>
      <c r="W70" s="36"/>
      <c r="X70" s="36"/>
      <c r="Y70" s="36"/>
      <c r="Z70" s="36"/>
    </row>
    <row r="71" ht="15.75" customHeight="1">
      <c r="A71" s="36"/>
      <c r="B71" s="36"/>
      <c r="C71" s="36"/>
      <c r="D71" s="36"/>
      <c r="E71" s="36"/>
      <c r="F71" s="36"/>
      <c r="G71" s="36"/>
      <c r="H71" s="1"/>
      <c r="I71" s="36"/>
      <c r="J71" s="36"/>
      <c r="K71" s="36"/>
      <c r="L71" s="36"/>
      <c r="M71" s="36"/>
      <c r="N71" s="36"/>
      <c r="O71" s="36"/>
      <c r="P71" s="36"/>
      <c r="Q71" s="36"/>
      <c r="R71" s="36"/>
      <c r="S71" s="36"/>
      <c r="T71" s="36"/>
      <c r="U71" s="36"/>
      <c r="V71" s="36"/>
      <c r="W71" s="36"/>
      <c r="X71" s="36"/>
      <c r="Y71" s="36"/>
      <c r="Z71" s="36"/>
    </row>
    <row r="72" ht="15.75" customHeight="1">
      <c r="A72" s="36"/>
      <c r="B72" s="36"/>
      <c r="C72" s="36"/>
      <c r="D72" s="36"/>
      <c r="E72" s="36"/>
      <c r="F72" s="36"/>
      <c r="G72" s="36"/>
      <c r="H72" s="1"/>
      <c r="I72" s="36"/>
      <c r="J72" s="36"/>
      <c r="K72" s="37"/>
      <c r="L72" s="37"/>
      <c r="M72" s="38"/>
      <c r="N72" s="39"/>
      <c r="O72" s="37"/>
      <c r="P72" s="37"/>
      <c r="Q72" s="37"/>
      <c r="R72" s="40"/>
      <c r="S72" s="36"/>
      <c r="T72" s="36"/>
      <c r="U72" s="36"/>
      <c r="V72" s="36"/>
      <c r="W72" s="36"/>
      <c r="X72" s="36"/>
      <c r="Y72" s="36"/>
      <c r="Z72" s="36"/>
    </row>
    <row r="73" ht="78.75" customHeight="1">
      <c r="A73" s="36"/>
      <c r="B73" s="36"/>
      <c r="C73" s="36"/>
      <c r="D73" s="36"/>
      <c r="E73" s="36"/>
      <c r="F73" s="36"/>
      <c r="G73" s="36"/>
      <c r="H73" s="1"/>
      <c r="I73" s="36"/>
      <c r="J73" s="36"/>
      <c r="K73" s="41" t="s">
        <v>42</v>
      </c>
      <c r="L73" s="42"/>
      <c r="M73" s="42"/>
      <c r="N73" s="42"/>
      <c r="O73" s="42"/>
      <c r="P73" s="42"/>
      <c r="Q73" s="43"/>
      <c r="R73" s="44"/>
      <c r="S73" s="36"/>
      <c r="T73" s="36"/>
      <c r="U73" s="36"/>
      <c r="V73" s="36"/>
      <c r="W73" s="36"/>
      <c r="X73" s="36"/>
      <c r="Y73" s="36"/>
      <c r="Z73" s="36"/>
    </row>
    <row r="74" ht="47.25" customHeight="1">
      <c r="A74" s="36"/>
      <c r="B74" s="36"/>
      <c r="C74" s="36"/>
      <c r="D74" s="36"/>
      <c r="E74" s="36"/>
      <c r="F74" s="36"/>
      <c r="G74" s="36"/>
      <c r="H74" s="1"/>
      <c r="I74" s="36"/>
      <c r="J74" s="36"/>
      <c r="K74" s="45" t="s">
        <v>43</v>
      </c>
      <c r="L74" s="46"/>
      <c r="M74" s="46"/>
      <c r="N74" s="46"/>
      <c r="O74" s="46"/>
      <c r="P74" s="46"/>
      <c r="Q74" s="47"/>
      <c r="R74" s="48"/>
      <c r="S74" s="36"/>
      <c r="T74" s="36"/>
      <c r="U74" s="36"/>
      <c r="V74" s="36"/>
      <c r="W74" s="36"/>
      <c r="X74" s="36"/>
      <c r="Y74" s="36"/>
      <c r="Z74" s="36"/>
    </row>
    <row r="75" ht="15.75" customHeight="1">
      <c r="A75" s="36"/>
      <c r="B75" s="36"/>
      <c r="C75" s="36"/>
      <c r="D75" s="36"/>
      <c r="E75" s="36"/>
      <c r="F75" s="36"/>
      <c r="G75" s="36"/>
      <c r="H75" s="1"/>
      <c r="I75" s="36"/>
      <c r="J75" s="36"/>
      <c r="K75" s="49"/>
      <c r="L75" s="50"/>
      <c r="M75" s="51"/>
      <c r="N75" s="49"/>
      <c r="O75" s="49"/>
      <c r="P75" s="49"/>
      <c r="Q75" s="49"/>
      <c r="R75" s="49"/>
      <c r="S75" s="36"/>
      <c r="T75" s="36"/>
      <c r="U75" s="36"/>
      <c r="V75" s="36"/>
      <c r="W75" s="36"/>
      <c r="X75" s="36"/>
      <c r="Y75" s="36"/>
      <c r="Z75" s="36"/>
    </row>
    <row r="76" ht="15.75" customHeight="1">
      <c r="A76" s="36"/>
      <c r="B76" s="36"/>
      <c r="C76" s="36"/>
      <c r="D76" s="36"/>
      <c r="E76" s="36"/>
      <c r="F76" s="36"/>
      <c r="G76" s="36"/>
      <c r="H76" s="1"/>
      <c r="I76" s="36"/>
      <c r="J76" s="36"/>
      <c r="K76" s="49" t="s">
        <v>44</v>
      </c>
      <c r="L76" s="52" t="s">
        <v>10</v>
      </c>
      <c r="M76" s="39"/>
      <c r="N76" s="49" t="s">
        <v>45</v>
      </c>
      <c r="O76" s="49" t="s">
        <v>46</v>
      </c>
      <c r="P76" s="49" t="s">
        <v>47</v>
      </c>
      <c r="Q76" s="49" t="s">
        <v>48</v>
      </c>
      <c r="R76" s="49" t="s">
        <v>49</v>
      </c>
      <c r="S76" s="36"/>
      <c r="T76" s="36"/>
      <c r="U76" s="36"/>
      <c r="V76" s="36"/>
      <c r="W76" s="36"/>
      <c r="X76" s="36"/>
      <c r="Y76" s="36"/>
      <c r="Z76" s="36"/>
    </row>
    <row r="77" ht="15.75" customHeight="1">
      <c r="A77" s="36"/>
      <c r="B77" s="36"/>
      <c r="C77" s="36"/>
      <c r="D77" s="36"/>
      <c r="E77" s="36"/>
      <c r="F77" s="36"/>
      <c r="G77" s="36"/>
      <c r="H77" s="1"/>
      <c r="I77" s="36"/>
      <c r="J77" s="36"/>
      <c r="K77" s="49" t="s">
        <v>50</v>
      </c>
      <c r="L77" s="52"/>
      <c r="M77" s="39"/>
      <c r="N77" s="49"/>
      <c r="O77" s="49"/>
      <c r="P77" s="49"/>
      <c r="Q77" s="49"/>
      <c r="R77" s="49"/>
      <c r="S77" s="36"/>
      <c r="T77" s="36"/>
      <c r="U77" s="36"/>
      <c r="V77" s="36"/>
      <c r="W77" s="36"/>
      <c r="X77" s="36"/>
      <c r="Y77" s="36"/>
      <c r="Z77" s="36"/>
    </row>
    <row r="78" ht="15.75" customHeight="1">
      <c r="A78" s="36"/>
      <c r="B78" s="36"/>
      <c r="C78" s="36"/>
      <c r="D78" s="36"/>
      <c r="E78" s="36"/>
      <c r="F78" s="36"/>
      <c r="G78" s="36"/>
      <c r="H78" s="1"/>
      <c r="I78" s="36"/>
      <c r="J78" s="36"/>
      <c r="K78" s="49" t="s">
        <v>51</v>
      </c>
      <c r="L78" s="52" t="s">
        <v>52</v>
      </c>
      <c r="M78" s="39"/>
      <c r="N78" s="49"/>
      <c r="O78" s="49"/>
      <c r="P78" s="49"/>
      <c r="Q78" s="49"/>
      <c r="R78" s="49" t="s">
        <v>53</v>
      </c>
      <c r="S78" s="36"/>
      <c r="T78" s="36"/>
      <c r="U78" s="36"/>
      <c r="V78" s="36"/>
      <c r="W78" s="36"/>
      <c r="X78" s="36"/>
      <c r="Y78" s="36"/>
      <c r="Z78" s="36"/>
    </row>
    <row r="79" ht="15.75" customHeight="1">
      <c r="A79" s="36"/>
      <c r="B79" s="36"/>
      <c r="C79" s="36"/>
      <c r="D79" s="36"/>
      <c r="E79" s="36"/>
      <c r="F79" s="36"/>
      <c r="G79" s="36"/>
      <c r="H79" s="1"/>
      <c r="I79" s="36"/>
      <c r="J79" s="36"/>
      <c r="K79" s="49" t="s">
        <v>54</v>
      </c>
      <c r="L79" s="52"/>
      <c r="M79" s="39"/>
      <c r="N79" s="49"/>
      <c r="O79" s="49"/>
      <c r="P79" s="49"/>
      <c r="Q79" s="49"/>
      <c r="R79" s="49"/>
      <c r="S79" s="36"/>
      <c r="T79" s="36"/>
      <c r="U79" s="36"/>
      <c r="V79" s="36"/>
      <c r="W79" s="36"/>
      <c r="X79" s="36"/>
      <c r="Y79" s="36"/>
      <c r="Z79" s="36"/>
    </row>
    <row r="80" ht="15.75" customHeight="1">
      <c r="A80" s="36"/>
      <c r="B80" s="36"/>
      <c r="C80" s="36"/>
      <c r="D80" s="36"/>
      <c r="E80" s="36"/>
      <c r="F80" s="36"/>
      <c r="G80" s="36"/>
      <c r="H80" s="1"/>
      <c r="I80" s="36"/>
      <c r="J80" s="36"/>
      <c r="K80" s="49" t="s">
        <v>55</v>
      </c>
      <c r="L80" s="53"/>
      <c r="M80" s="54"/>
      <c r="N80" s="49"/>
      <c r="O80" s="49"/>
      <c r="P80" s="49"/>
      <c r="Q80" s="49"/>
      <c r="R80" s="49"/>
      <c r="S80" s="36"/>
      <c r="T80" s="36"/>
      <c r="U80" s="36"/>
      <c r="V80" s="36"/>
      <c r="W80" s="36"/>
      <c r="X80" s="36"/>
      <c r="Y80" s="36"/>
      <c r="Z80" s="36"/>
    </row>
    <row r="81" ht="15.75" customHeight="1">
      <c r="A81" s="36"/>
      <c r="B81" s="36"/>
      <c r="C81" s="36"/>
      <c r="D81" s="36"/>
      <c r="E81" s="36"/>
      <c r="F81" s="36"/>
      <c r="G81" s="36"/>
      <c r="H81" s="1"/>
      <c r="I81" s="36"/>
      <c r="J81" s="36"/>
      <c r="K81" s="49" t="s">
        <v>56</v>
      </c>
      <c r="L81" s="50"/>
      <c r="M81" s="51"/>
      <c r="N81" s="49"/>
      <c r="O81" s="49"/>
      <c r="P81" s="49"/>
      <c r="Q81" s="49"/>
      <c r="R81" s="49"/>
      <c r="S81" s="36"/>
      <c r="T81" s="36"/>
      <c r="U81" s="36"/>
      <c r="V81" s="36"/>
      <c r="W81" s="36"/>
      <c r="X81" s="36"/>
      <c r="Y81" s="36"/>
      <c r="Z81" s="36"/>
    </row>
    <row r="82" ht="15.75" customHeight="1">
      <c r="A82" s="36"/>
      <c r="B82" s="36"/>
      <c r="C82" s="36"/>
      <c r="D82" s="36"/>
      <c r="E82" s="36"/>
      <c r="F82" s="36"/>
      <c r="G82" s="36"/>
      <c r="H82" s="1"/>
      <c r="I82" s="36"/>
      <c r="J82" s="36"/>
      <c r="K82" s="49" t="s">
        <v>57</v>
      </c>
      <c r="L82" s="52"/>
      <c r="M82" s="39"/>
      <c r="N82" s="37"/>
      <c r="O82" s="55"/>
      <c r="P82" s="55"/>
      <c r="Q82" s="55"/>
      <c r="R82" s="56"/>
      <c r="S82" s="36"/>
      <c r="T82" s="36"/>
      <c r="U82" s="36"/>
      <c r="V82" s="36"/>
      <c r="W82" s="36"/>
      <c r="X82" s="36"/>
      <c r="Y82" s="36"/>
      <c r="Z82" s="36"/>
    </row>
    <row r="83" ht="15.75" customHeight="1">
      <c r="A83" s="36"/>
      <c r="B83" s="36"/>
      <c r="C83" s="36"/>
      <c r="D83" s="36"/>
      <c r="E83" s="36"/>
      <c r="F83" s="36"/>
      <c r="G83" s="36"/>
      <c r="H83" s="1"/>
      <c r="I83" s="36"/>
      <c r="J83" s="36"/>
      <c r="K83" s="57"/>
      <c r="L83" s="58"/>
      <c r="M83" s="58"/>
      <c r="N83" s="58"/>
      <c r="O83" s="58"/>
      <c r="P83" s="58"/>
      <c r="Q83" s="58"/>
      <c r="R83" s="59"/>
      <c r="S83" s="36"/>
      <c r="T83" s="36"/>
      <c r="U83" s="36"/>
      <c r="V83" s="36"/>
      <c r="W83" s="36"/>
      <c r="X83" s="36"/>
      <c r="Y83" s="36"/>
      <c r="Z83" s="36"/>
    </row>
    <row r="84" ht="15.75" customHeight="1">
      <c r="A84" s="36"/>
      <c r="B84" s="36"/>
      <c r="C84" s="36"/>
      <c r="D84" s="36"/>
      <c r="E84" s="36"/>
      <c r="F84" s="36"/>
      <c r="G84" s="36"/>
      <c r="H84" s="1"/>
      <c r="I84" s="36"/>
      <c r="J84" s="36"/>
      <c r="K84" s="60"/>
      <c r="L84" s="36"/>
      <c r="M84" s="36"/>
      <c r="N84" s="36"/>
      <c r="O84" s="36"/>
      <c r="P84" s="36"/>
      <c r="Q84" s="36"/>
      <c r="R84" s="36"/>
      <c r="S84" s="36"/>
      <c r="T84" s="36"/>
      <c r="U84" s="36"/>
      <c r="V84" s="36"/>
      <c r="W84" s="36"/>
      <c r="X84" s="36"/>
      <c r="Y84" s="36"/>
      <c r="Z84" s="36"/>
    </row>
    <row r="85" ht="17.25" customHeight="1">
      <c r="A85" s="36"/>
      <c r="B85" s="36"/>
      <c r="C85" s="36"/>
      <c r="D85" s="36"/>
      <c r="E85" s="36"/>
      <c r="F85" s="36"/>
      <c r="G85" s="36"/>
      <c r="H85" s="1"/>
      <c r="I85" s="36"/>
      <c r="J85" s="36"/>
      <c r="K85" s="41" t="s">
        <v>58</v>
      </c>
      <c r="L85" s="42"/>
      <c r="M85" s="42"/>
      <c r="N85" s="42"/>
      <c r="O85" s="42"/>
      <c r="P85" s="42"/>
      <c r="Q85" s="43"/>
      <c r="R85" s="61"/>
      <c r="S85" s="36"/>
      <c r="T85" s="36"/>
      <c r="U85" s="36"/>
      <c r="V85" s="36"/>
      <c r="W85" s="36"/>
      <c r="X85" s="36"/>
      <c r="Y85" s="36"/>
      <c r="Z85" s="36"/>
    </row>
    <row r="86" ht="15.75" customHeight="1">
      <c r="A86" s="36"/>
      <c r="B86" s="36"/>
      <c r="C86" s="36"/>
      <c r="D86" s="36"/>
      <c r="E86" s="36"/>
      <c r="F86" s="36"/>
      <c r="G86" s="36"/>
      <c r="H86" s="1"/>
      <c r="I86" s="36"/>
      <c r="J86" s="36"/>
      <c r="K86" s="62"/>
      <c r="Q86" s="63"/>
      <c r="R86" s="64"/>
      <c r="S86" s="36"/>
      <c r="T86" s="36"/>
      <c r="U86" s="36"/>
      <c r="V86" s="36"/>
      <c r="W86" s="36"/>
      <c r="X86" s="36"/>
      <c r="Y86" s="36"/>
      <c r="Z86" s="36"/>
    </row>
    <row r="87" ht="15.75" customHeight="1">
      <c r="A87" s="36"/>
      <c r="B87" s="36"/>
      <c r="C87" s="36"/>
      <c r="D87" s="36"/>
      <c r="E87" s="36"/>
      <c r="F87" s="36"/>
      <c r="G87" s="36"/>
      <c r="H87" s="1"/>
      <c r="I87" s="36"/>
      <c r="J87" s="36"/>
      <c r="K87" s="62"/>
      <c r="Q87" s="63"/>
      <c r="R87" s="64"/>
      <c r="S87" s="36"/>
      <c r="T87" s="36"/>
      <c r="U87" s="36"/>
      <c r="V87" s="36"/>
      <c r="W87" s="36"/>
      <c r="X87" s="36"/>
      <c r="Y87" s="36"/>
      <c r="Z87" s="36"/>
    </row>
    <row r="88" ht="15.75" customHeight="1">
      <c r="A88" s="36"/>
      <c r="B88" s="36"/>
      <c r="C88" s="36"/>
      <c r="D88" s="36"/>
      <c r="E88" s="36"/>
      <c r="F88" s="36"/>
      <c r="G88" s="36"/>
      <c r="H88" s="1"/>
      <c r="I88" s="36"/>
      <c r="J88" s="36"/>
      <c r="K88" s="65"/>
      <c r="L88" s="46"/>
      <c r="M88" s="46"/>
      <c r="N88" s="46"/>
      <c r="O88" s="46"/>
      <c r="P88" s="46"/>
      <c r="Q88" s="47"/>
      <c r="R88" s="64"/>
      <c r="S88" s="36"/>
      <c r="T88" s="36"/>
      <c r="U88" s="36"/>
      <c r="V88" s="36"/>
      <c r="W88" s="36"/>
      <c r="X88" s="36"/>
      <c r="Y88" s="36"/>
      <c r="Z88" s="36"/>
    </row>
    <row r="89" ht="15.75" customHeight="1">
      <c r="A89" s="36"/>
      <c r="B89" s="36"/>
      <c r="C89" s="36"/>
      <c r="D89" s="36"/>
      <c r="E89" s="36"/>
      <c r="F89" s="36"/>
      <c r="G89" s="36"/>
      <c r="H89" s="1"/>
      <c r="I89" s="36"/>
      <c r="J89" s="36"/>
      <c r="K89" s="66" t="s">
        <v>44</v>
      </c>
      <c r="L89" s="67" t="s">
        <v>10</v>
      </c>
      <c r="M89" s="67" t="s">
        <v>45</v>
      </c>
      <c r="N89" s="67" t="s">
        <v>46</v>
      </c>
      <c r="O89" s="67" t="s">
        <v>47</v>
      </c>
      <c r="P89" s="67" t="s">
        <v>48</v>
      </c>
      <c r="Q89" s="67" t="s">
        <v>23</v>
      </c>
      <c r="R89" s="64"/>
      <c r="S89" s="36"/>
      <c r="T89" s="36"/>
      <c r="U89" s="36"/>
      <c r="V89" s="36"/>
      <c r="W89" s="36"/>
      <c r="X89" s="36"/>
      <c r="Y89" s="36"/>
      <c r="Z89" s="36"/>
    </row>
    <row r="90" ht="15.75" customHeight="1">
      <c r="A90" s="36"/>
      <c r="B90" s="36"/>
      <c r="C90" s="36"/>
      <c r="D90" s="36"/>
      <c r="E90" s="36"/>
      <c r="F90" s="36"/>
      <c r="G90" s="36"/>
      <c r="H90" s="1"/>
      <c r="I90" s="36"/>
      <c r="J90" s="36"/>
      <c r="K90" s="66" t="s">
        <v>59</v>
      </c>
      <c r="L90" s="55"/>
      <c r="M90" s="67"/>
      <c r="N90" s="67"/>
      <c r="O90" s="67"/>
      <c r="P90" s="67"/>
      <c r="Q90" s="55"/>
      <c r="R90" s="64"/>
      <c r="S90" s="36"/>
      <c r="T90" s="36"/>
      <c r="U90" s="36"/>
      <c r="V90" s="36"/>
      <c r="W90" s="36"/>
      <c r="X90" s="36"/>
      <c r="Y90" s="36"/>
      <c r="Z90" s="36"/>
    </row>
    <row r="91" ht="15.75" customHeight="1">
      <c r="A91" s="36"/>
      <c r="B91" s="36"/>
      <c r="C91" s="36"/>
      <c r="D91" s="36"/>
      <c r="E91" s="36"/>
      <c r="F91" s="36"/>
      <c r="G91" s="36"/>
      <c r="H91" s="1"/>
      <c r="I91" s="36"/>
      <c r="J91" s="36"/>
      <c r="K91" s="66" t="s">
        <v>60</v>
      </c>
      <c r="L91" s="67"/>
      <c r="M91" s="67"/>
      <c r="N91" s="67"/>
      <c r="O91" s="67"/>
      <c r="P91" s="67"/>
      <c r="Q91" s="67"/>
      <c r="R91" s="64"/>
      <c r="S91" s="36"/>
      <c r="T91" s="36"/>
      <c r="U91" s="36"/>
      <c r="V91" s="36"/>
      <c r="W91" s="36"/>
      <c r="X91" s="36"/>
      <c r="Y91" s="36"/>
      <c r="Z91" s="36"/>
    </row>
    <row r="92" ht="15.75" customHeight="1">
      <c r="A92" s="36"/>
      <c r="B92" s="36"/>
      <c r="C92" s="36"/>
      <c r="D92" s="36"/>
      <c r="E92" s="36"/>
      <c r="F92" s="36"/>
      <c r="G92" s="36"/>
      <c r="H92" s="1"/>
      <c r="I92" s="36"/>
      <c r="J92" s="36"/>
      <c r="K92" s="66" t="s">
        <v>61</v>
      </c>
      <c r="L92" s="67" t="s">
        <v>62</v>
      </c>
      <c r="M92" s="67"/>
      <c r="N92" s="67"/>
      <c r="O92" s="67"/>
      <c r="P92" s="67"/>
      <c r="Q92" s="55"/>
      <c r="R92" s="64"/>
      <c r="S92" s="36"/>
      <c r="T92" s="36"/>
      <c r="U92" s="36"/>
      <c r="V92" s="36"/>
      <c r="W92" s="36"/>
      <c r="X92" s="36"/>
      <c r="Y92" s="36"/>
      <c r="Z92" s="36"/>
    </row>
    <row r="93" ht="15.75" customHeight="1">
      <c r="A93" s="36"/>
      <c r="B93" s="36"/>
      <c r="C93" s="36"/>
      <c r="D93" s="36"/>
      <c r="E93" s="36"/>
      <c r="F93" s="36"/>
      <c r="G93" s="36"/>
      <c r="H93" s="1"/>
      <c r="I93" s="36"/>
      <c r="J93" s="36"/>
      <c r="K93" s="66" t="s">
        <v>63</v>
      </c>
      <c r="L93" s="67"/>
      <c r="M93" s="67"/>
      <c r="N93" s="67"/>
      <c r="O93" s="67"/>
      <c r="P93" s="67"/>
      <c r="Q93" s="67" t="s">
        <v>64</v>
      </c>
      <c r="R93" s="64"/>
      <c r="S93" s="36"/>
      <c r="T93" s="36"/>
      <c r="U93" s="36"/>
      <c r="V93" s="36"/>
      <c r="W93" s="36"/>
      <c r="X93" s="36"/>
      <c r="Y93" s="36"/>
      <c r="Z93" s="36"/>
    </row>
    <row r="94" ht="15.75" customHeight="1">
      <c r="A94" s="36"/>
      <c r="B94" s="36"/>
      <c r="C94" s="36"/>
      <c r="D94" s="36"/>
      <c r="E94" s="36"/>
      <c r="F94" s="36"/>
      <c r="G94" s="36"/>
      <c r="H94" s="1"/>
      <c r="I94" s="36"/>
      <c r="J94" s="36"/>
      <c r="K94" s="66" t="s">
        <v>65</v>
      </c>
      <c r="L94" s="67"/>
      <c r="M94" s="67"/>
      <c r="N94" s="67"/>
      <c r="O94" s="67"/>
      <c r="P94" s="67"/>
      <c r="Q94" s="67"/>
      <c r="R94" s="64"/>
      <c r="S94" s="36"/>
      <c r="T94" s="36"/>
      <c r="U94" s="36"/>
      <c r="V94" s="36"/>
      <c r="W94" s="36"/>
      <c r="X94" s="36"/>
      <c r="Y94" s="36"/>
      <c r="Z94" s="36"/>
    </row>
    <row r="95" ht="15.75" customHeight="1">
      <c r="A95" s="36"/>
      <c r="B95" s="36"/>
      <c r="C95" s="36"/>
      <c r="D95" s="36"/>
      <c r="E95" s="36"/>
      <c r="F95" s="36"/>
      <c r="G95" s="36"/>
      <c r="H95" s="1"/>
      <c r="I95" s="36"/>
      <c r="J95" s="36"/>
      <c r="K95" s="66" t="s">
        <v>66</v>
      </c>
      <c r="L95" s="67"/>
      <c r="M95" s="67"/>
      <c r="N95" s="67"/>
      <c r="O95" s="67"/>
      <c r="P95" s="67"/>
      <c r="Q95" s="67"/>
      <c r="R95" s="64"/>
      <c r="S95" s="36"/>
      <c r="T95" s="36"/>
      <c r="U95" s="36"/>
      <c r="V95" s="36"/>
      <c r="W95" s="36"/>
      <c r="X95" s="36"/>
      <c r="Y95" s="36"/>
      <c r="Z95" s="36"/>
    </row>
    <row r="96" ht="15.75" customHeight="1">
      <c r="A96" s="36"/>
      <c r="B96" s="36"/>
      <c r="C96" s="36"/>
      <c r="D96" s="36"/>
      <c r="E96" s="36"/>
      <c r="F96" s="36"/>
      <c r="G96" s="36"/>
      <c r="H96" s="1"/>
      <c r="I96" s="36"/>
      <c r="J96" s="36"/>
      <c r="K96" s="68" t="s">
        <v>67</v>
      </c>
      <c r="L96" s="69"/>
      <c r="M96" s="69"/>
      <c r="N96" s="69"/>
      <c r="O96" s="69"/>
      <c r="P96" s="69"/>
      <c r="Q96" s="69"/>
      <c r="R96" s="59"/>
      <c r="S96" s="36"/>
      <c r="T96" s="36"/>
      <c r="U96" s="36"/>
      <c r="V96" s="36"/>
      <c r="W96" s="36"/>
      <c r="X96" s="36"/>
      <c r="Y96" s="36"/>
      <c r="Z96" s="36"/>
    </row>
    <row r="97" ht="15.75" customHeight="1">
      <c r="A97" s="36"/>
      <c r="B97" s="36"/>
      <c r="C97" s="36"/>
      <c r="D97" s="36"/>
      <c r="E97" s="36"/>
      <c r="F97" s="36"/>
      <c r="G97" s="36"/>
      <c r="H97" s="1"/>
      <c r="I97" s="36"/>
      <c r="J97" s="36"/>
      <c r="K97" s="60"/>
      <c r="L97" s="36"/>
      <c r="M97" s="36"/>
      <c r="N97" s="36"/>
      <c r="O97" s="36"/>
      <c r="P97" s="36"/>
      <c r="Q97" s="36"/>
      <c r="R97" s="36"/>
      <c r="S97" s="36"/>
      <c r="T97" s="36"/>
      <c r="U97" s="36"/>
      <c r="V97" s="36"/>
      <c r="W97" s="36"/>
      <c r="X97" s="36"/>
      <c r="Y97" s="36"/>
      <c r="Z97" s="36"/>
    </row>
    <row r="98" ht="15.75" customHeight="1">
      <c r="A98" s="36"/>
      <c r="B98" s="36"/>
      <c r="C98" s="36"/>
      <c r="D98" s="36"/>
      <c r="E98" s="36"/>
      <c r="F98" s="36"/>
      <c r="G98" s="36"/>
      <c r="H98" s="1"/>
      <c r="I98" s="36"/>
      <c r="J98" s="36"/>
      <c r="K98" s="36"/>
      <c r="L98" s="36"/>
      <c r="M98" s="36"/>
      <c r="N98" s="36"/>
      <c r="O98" s="36"/>
      <c r="P98" s="36"/>
      <c r="Q98" s="36"/>
      <c r="R98" s="36"/>
      <c r="S98" s="36"/>
      <c r="T98" s="36"/>
      <c r="U98" s="36"/>
      <c r="V98" s="36"/>
      <c r="W98" s="36"/>
      <c r="X98" s="36"/>
      <c r="Y98" s="36"/>
      <c r="Z98" s="36"/>
    </row>
    <row r="99" ht="15.75" customHeight="1">
      <c r="A99" s="36"/>
      <c r="B99" s="36"/>
      <c r="C99" s="36"/>
      <c r="D99" s="36"/>
      <c r="E99" s="36"/>
      <c r="F99" s="36"/>
      <c r="G99" s="36"/>
      <c r="H99" s="1"/>
      <c r="I99" s="36"/>
      <c r="J99" s="36"/>
      <c r="K99" s="36"/>
      <c r="L99" s="36"/>
      <c r="M99" s="36"/>
      <c r="N99" s="36"/>
      <c r="O99" s="36"/>
      <c r="P99" s="36"/>
      <c r="Q99" s="36"/>
      <c r="R99" s="36"/>
      <c r="S99" s="36"/>
      <c r="T99" s="36"/>
      <c r="U99" s="36"/>
      <c r="V99" s="36"/>
      <c r="W99" s="36"/>
      <c r="X99" s="36"/>
      <c r="Y99" s="36"/>
      <c r="Z99" s="36"/>
    </row>
    <row r="100" ht="15.75" customHeight="1">
      <c r="A100" s="36"/>
      <c r="B100" s="36"/>
      <c r="C100" s="36"/>
      <c r="D100" s="36"/>
      <c r="E100" s="36"/>
      <c r="F100" s="36"/>
      <c r="G100" s="36"/>
      <c r="H100" s="1"/>
      <c r="I100" s="36"/>
      <c r="J100" s="36"/>
      <c r="K100" s="36"/>
      <c r="L100" s="36"/>
      <c r="M100" s="36"/>
      <c r="N100" s="36"/>
      <c r="O100" s="36"/>
      <c r="P100" s="36"/>
      <c r="Q100" s="36"/>
      <c r="R100" s="36"/>
      <c r="S100" s="36"/>
      <c r="T100" s="36"/>
      <c r="U100" s="36"/>
      <c r="V100" s="36"/>
      <c r="W100" s="36"/>
      <c r="X100" s="36"/>
      <c r="Y100" s="36"/>
      <c r="Z100" s="36"/>
    </row>
    <row r="101" ht="15.75" customHeight="1">
      <c r="A101" s="36"/>
      <c r="B101" s="36"/>
      <c r="C101" s="36"/>
      <c r="D101" s="36"/>
      <c r="E101" s="36"/>
      <c r="F101" s="36"/>
      <c r="G101" s="36"/>
      <c r="H101" s="1"/>
      <c r="I101" s="36"/>
      <c r="J101" s="36"/>
      <c r="K101" s="36"/>
      <c r="L101" s="36"/>
      <c r="M101" s="36"/>
      <c r="N101" s="36"/>
      <c r="O101" s="36"/>
      <c r="P101" s="36"/>
      <c r="Q101" s="36"/>
      <c r="R101" s="36"/>
      <c r="S101" s="36"/>
      <c r="T101" s="36"/>
      <c r="U101" s="36"/>
      <c r="V101" s="36"/>
      <c r="W101" s="36"/>
      <c r="X101" s="36"/>
      <c r="Y101" s="36"/>
      <c r="Z101" s="36"/>
    </row>
    <row r="102" ht="15.75" customHeight="1">
      <c r="A102" s="36"/>
      <c r="B102" s="36"/>
      <c r="C102" s="36"/>
      <c r="D102" s="36"/>
      <c r="E102" s="36"/>
      <c r="F102" s="36"/>
      <c r="G102" s="36"/>
      <c r="H102" s="1"/>
      <c r="I102" s="36"/>
      <c r="J102" s="36"/>
      <c r="K102" s="36"/>
      <c r="L102" s="36"/>
      <c r="M102" s="36"/>
      <c r="N102" s="36"/>
      <c r="O102" s="36"/>
      <c r="P102" s="36"/>
      <c r="Q102" s="36"/>
      <c r="R102" s="36"/>
      <c r="S102" s="36"/>
      <c r="T102" s="36"/>
      <c r="U102" s="36"/>
      <c r="V102" s="36"/>
      <c r="W102" s="36"/>
      <c r="X102" s="36"/>
      <c r="Y102" s="36"/>
      <c r="Z102" s="36"/>
    </row>
    <row r="103" ht="15.75" customHeight="1">
      <c r="A103" s="36"/>
      <c r="B103" s="36"/>
      <c r="C103" s="36"/>
      <c r="D103" s="36"/>
      <c r="E103" s="36"/>
      <c r="F103" s="36"/>
      <c r="G103" s="36"/>
      <c r="H103" s="1"/>
      <c r="I103" s="36"/>
      <c r="J103" s="36"/>
      <c r="K103" s="36"/>
      <c r="L103" s="36"/>
      <c r="M103" s="36"/>
      <c r="N103" s="36"/>
      <c r="O103" s="36"/>
      <c r="P103" s="36"/>
      <c r="Q103" s="36"/>
      <c r="R103" s="36"/>
      <c r="S103" s="36"/>
      <c r="T103" s="36"/>
      <c r="U103" s="36"/>
      <c r="V103" s="36"/>
      <c r="W103" s="36"/>
      <c r="X103" s="36"/>
      <c r="Y103" s="36"/>
      <c r="Z103" s="36"/>
    </row>
    <row r="104" ht="15.75" customHeight="1">
      <c r="A104" s="36"/>
      <c r="B104" s="36"/>
      <c r="C104" s="36"/>
      <c r="D104" s="36"/>
      <c r="E104" s="36"/>
      <c r="F104" s="36"/>
      <c r="G104" s="36"/>
      <c r="H104" s="1"/>
      <c r="I104" s="36"/>
      <c r="J104" s="36"/>
      <c r="K104" s="36"/>
      <c r="L104" s="36"/>
      <c r="M104" s="36"/>
      <c r="N104" s="36"/>
      <c r="O104" s="36"/>
      <c r="P104" s="36"/>
      <c r="Q104" s="36"/>
      <c r="R104" s="36"/>
      <c r="S104" s="36"/>
      <c r="T104" s="36"/>
      <c r="U104" s="36"/>
      <c r="V104" s="36"/>
      <c r="W104" s="36"/>
      <c r="X104" s="36"/>
      <c r="Y104" s="36"/>
      <c r="Z104" s="36"/>
    </row>
    <row r="105" ht="15.75" customHeight="1">
      <c r="A105" s="36"/>
      <c r="B105" s="36"/>
      <c r="C105" s="36"/>
      <c r="D105" s="36"/>
      <c r="E105" s="36"/>
      <c r="F105" s="36"/>
      <c r="G105" s="36"/>
      <c r="H105" s="1"/>
      <c r="I105" s="36"/>
      <c r="J105" s="36"/>
      <c r="K105" s="36"/>
      <c r="L105" s="36"/>
      <c r="M105" s="36"/>
      <c r="N105" s="36"/>
      <c r="O105" s="36"/>
      <c r="P105" s="36"/>
      <c r="Q105" s="36"/>
      <c r="R105" s="36"/>
      <c r="S105" s="36"/>
      <c r="T105" s="36"/>
      <c r="U105" s="36"/>
      <c r="V105" s="36"/>
      <c r="W105" s="36"/>
      <c r="X105" s="36"/>
      <c r="Y105" s="36"/>
      <c r="Z105" s="36"/>
    </row>
    <row r="106" ht="15.75" customHeight="1">
      <c r="A106" s="36"/>
      <c r="B106" s="36"/>
      <c r="C106" s="36"/>
      <c r="D106" s="36"/>
      <c r="E106" s="36"/>
      <c r="F106" s="36"/>
      <c r="G106" s="36"/>
      <c r="H106" s="1"/>
      <c r="I106" s="36"/>
      <c r="J106" s="36"/>
      <c r="K106" s="36"/>
      <c r="L106" s="36"/>
      <c r="M106" s="36"/>
      <c r="N106" s="36"/>
      <c r="O106" s="36"/>
      <c r="P106" s="36"/>
      <c r="Q106" s="36"/>
      <c r="R106" s="36"/>
      <c r="S106" s="36"/>
      <c r="T106" s="36"/>
      <c r="U106" s="36"/>
      <c r="V106" s="36"/>
      <c r="W106" s="36"/>
      <c r="X106" s="36"/>
      <c r="Y106" s="36"/>
      <c r="Z106" s="36"/>
    </row>
    <row r="107" ht="15.75" customHeight="1">
      <c r="A107" s="36"/>
      <c r="B107" s="36"/>
      <c r="C107" s="36"/>
      <c r="D107" s="36"/>
      <c r="E107" s="36"/>
      <c r="F107" s="36"/>
      <c r="G107" s="36"/>
      <c r="H107" s="1"/>
      <c r="I107" s="36"/>
      <c r="J107" s="36"/>
      <c r="K107" s="36"/>
      <c r="L107" s="36"/>
      <c r="M107" s="36"/>
      <c r="N107" s="36"/>
      <c r="O107" s="36"/>
      <c r="P107" s="36"/>
      <c r="Q107" s="36"/>
      <c r="R107" s="36"/>
      <c r="S107" s="36"/>
      <c r="T107" s="36"/>
      <c r="U107" s="36"/>
      <c r="V107" s="36"/>
      <c r="W107" s="36"/>
      <c r="X107" s="36"/>
      <c r="Y107" s="36"/>
      <c r="Z107" s="36"/>
    </row>
    <row r="108" ht="15.75" customHeight="1">
      <c r="A108" s="36"/>
      <c r="B108" s="36"/>
      <c r="C108" s="36"/>
      <c r="D108" s="36"/>
      <c r="E108" s="36"/>
      <c r="F108" s="36"/>
      <c r="G108" s="36"/>
      <c r="H108" s="1"/>
      <c r="I108" s="36"/>
      <c r="J108" s="36"/>
      <c r="K108" s="36"/>
      <c r="L108" s="36"/>
      <c r="M108" s="36"/>
      <c r="N108" s="36"/>
      <c r="O108" s="36"/>
      <c r="P108" s="36"/>
      <c r="Q108" s="36"/>
      <c r="R108" s="36"/>
      <c r="S108" s="36"/>
      <c r="T108" s="36"/>
      <c r="U108" s="36"/>
      <c r="V108" s="36"/>
      <c r="W108" s="36"/>
      <c r="X108" s="36"/>
      <c r="Y108" s="36"/>
      <c r="Z108" s="36"/>
    </row>
    <row r="109" ht="15.75" customHeight="1">
      <c r="A109" s="36"/>
      <c r="B109" s="36"/>
      <c r="C109" s="36"/>
      <c r="D109" s="36"/>
      <c r="E109" s="36"/>
      <c r="F109" s="36"/>
      <c r="G109" s="36"/>
      <c r="H109" s="1"/>
      <c r="I109" s="36"/>
      <c r="J109" s="36"/>
      <c r="K109" s="36"/>
      <c r="L109" s="36"/>
      <c r="M109" s="36"/>
      <c r="N109" s="36"/>
      <c r="O109" s="36"/>
      <c r="P109" s="36"/>
      <c r="Q109" s="36"/>
      <c r="R109" s="36"/>
      <c r="S109" s="36"/>
      <c r="T109" s="36"/>
      <c r="U109" s="36"/>
      <c r="V109" s="36"/>
      <c r="W109" s="36"/>
      <c r="X109" s="36"/>
      <c r="Y109" s="36"/>
      <c r="Z109" s="36"/>
    </row>
    <row r="110" ht="15.75" customHeight="1">
      <c r="A110" s="36"/>
      <c r="B110" s="36"/>
      <c r="C110" s="36"/>
      <c r="D110" s="36"/>
      <c r="E110" s="36"/>
      <c r="F110" s="36"/>
      <c r="G110" s="36"/>
      <c r="H110" s="1"/>
      <c r="I110" s="36"/>
      <c r="J110" s="36"/>
      <c r="K110" s="36"/>
      <c r="L110" s="36"/>
      <c r="M110" s="36"/>
      <c r="N110" s="36"/>
      <c r="O110" s="36"/>
      <c r="P110" s="36"/>
      <c r="Q110" s="36"/>
      <c r="R110" s="36"/>
      <c r="S110" s="36"/>
      <c r="T110" s="36"/>
      <c r="U110" s="36"/>
      <c r="V110" s="36"/>
      <c r="W110" s="36"/>
      <c r="X110" s="36"/>
      <c r="Y110" s="36"/>
      <c r="Z110" s="36"/>
    </row>
    <row r="111" ht="15.75" customHeight="1">
      <c r="A111" s="36"/>
      <c r="B111" s="36"/>
      <c r="C111" s="36"/>
      <c r="D111" s="36"/>
      <c r="E111" s="36"/>
      <c r="F111" s="36"/>
      <c r="G111" s="36"/>
      <c r="H111" s="1"/>
      <c r="I111" s="36"/>
      <c r="J111" s="36"/>
      <c r="K111" s="36"/>
      <c r="L111" s="36"/>
      <c r="M111" s="36"/>
      <c r="N111" s="36"/>
      <c r="O111" s="36"/>
      <c r="P111" s="36"/>
      <c r="Q111" s="36"/>
      <c r="R111" s="36"/>
      <c r="S111" s="36"/>
      <c r="T111" s="36"/>
      <c r="U111" s="36"/>
      <c r="V111" s="36"/>
      <c r="W111" s="36"/>
      <c r="X111" s="36"/>
      <c r="Y111" s="36"/>
      <c r="Z111" s="36"/>
    </row>
    <row r="112" ht="15.75" customHeight="1">
      <c r="A112" s="36"/>
      <c r="B112" s="36"/>
      <c r="C112" s="36"/>
      <c r="D112" s="36"/>
      <c r="E112" s="36"/>
      <c r="F112" s="36"/>
      <c r="G112" s="36"/>
      <c r="H112" s="1"/>
      <c r="I112" s="36"/>
      <c r="J112" s="36"/>
      <c r="K112" s="36"/>
      <c r="L112" s="36"/>
      <c r="M112" s="36"/>
      <c r="N112" s="36"/>
      <c r="O112" s="36"/>
      <c r="P112" s="36"/>
      <c r="Q112" s="36"/>
      <c r="R112" s="36"/>
      <c r="S112" s="36"/>
      <c r="T112" s="36"/>
      <c r="U112" s="36"/>
      <c r="V112" s="36"/>
      <c r="W112" s="36"/>
      <c r="X112" s="36"/>
      <c r="Y112" s="36"/>
      <c r="Z112" s="36"/>
    </row>
    <row r="113" ht="15.75" customHeight="1">
      <c r="A113" s="36"/>
      <c r="B113" s="36"/>
      <c r="C113" s="36"/>
      <c r="D113" s="36"/>
      <c r="E113" s="36"/>
      <c r="F113" s="36"/>
      <c r="G113" s="36"/>
      <c r="H113" s="1"/>
      <c r="I113" s="36"/>
      <c r="J113" s="36"/>
      <c r="K113" s="36"/>
      <c r="L113" s="36"/>
      <c r="M113" s="36"/>
      <c r="N113" s="36"/>
      <c r="O113" s="36"/>
      <c r="P113" s="36"/>
      <c r="Q113" s="36"/>
      <c r="R113" s="36"/>
      <c r="S113" s="36"/>
      <c r="T113" s="36"/>
      <c r="U113" s="36"/>
      <c r="V113" s="36"/>
      <c r="W113" s="36"/>
      <c r="X113" s="36"/>
      <c r="Y113" s="36"/>
      <c r="Z113" s="36"/>
    </row>
    <row r="114" ht="15.75" customHeight="1">
      <c r="A114" s="36"/>
      <c r="B114" s="36"/>
      <c r="C114" s="36"/>
      <c r="D114" s="36"/>
      <c r="E114" s="36"/>
      <c r="F114" s="36"/>
      <c r="G114" s="36"/>
      <c r="H114" s="1"/>
      <c r="I114" s="36"/>
      <c r="J114" s="36"/>
      <c r="K114" s="36"/>
      <c r="L114" s="36"/>
      <c r="M114" s="36"/>
      <c r="N114" s="36"/>
      <c r="O114" s="36"/>
      <c r="P114" s="36"/>
      <c r="Q114" s="36"/>
      <c r="R114" s="36"/>
      <c r="S114" s="36"/>
      <c r="T114" s="36"/>
      <c r="U114" s="36"/>
      <c r="V114" s="36"/>
      <c r="W114" s="36"/>
      <c r="X114" s="36"/>
      <c r="Y114" s="36"/>
      <c r="Z114" s="36"/>
    </row>
    <row r="115" ht="15.75" customHeight="1">
      <c r="A115" s="36"/>
      <c r="B115" s="36"/>
      <c r="C115" s="36"/>
      <c r="D115" s="36"/>
      <c r="E115" s="36"/>
      <c r="F115" s="36"/>
      <c r="G115" s="36"/>
      <c r="H115" s="1"/>
      <c r="I115" s="36"/>
      <c r="J115" s="36"/>
      <c r="K115" s="36"/>
      <c r="L115" s="36"/>
      <c r="M115" s="36"/>
      <c r="N115" s="36"/>
      <c r="O115" s="36"/>
      <c r="P115" s="36"/>
      <c r="Q115" s="36"/>
      <c r="R115" s="36"/>
      <c r="S115" s="36"/>
      <c r="T115" s="36"/>
      <c r="U115" s="36"/>
      <c r="V115" s="36"/>
      <c r="W115" s="36"/>
      <c r="X115" s="36"/>
      <c r="Y115" s="36"/>
      <c r="Z115" s="36"/>
    </row>
    <row r="116" ht="15.75" customHeight="1">
      <c r="A116" s="36"/>
      <c r="B116" s="36"/>
      <c r="C116" s="36"/>
      <c r="D116" s="36"/>
      <c r="E116" s="36"/>
      <c r="F116" s="36"/>
      <c r="G116" s="36"/>
      <c r="H116" s="1"/>
      <c r="I116" s="36"/>
      <c r="J116" s="36"/>
      <c r="K116" s="36"/>
      <c r="L116" s="36"/>
      <c r="M116" s="36"/>
      <c r="N116" s="36"/>
      <c r="O116" s="36"/>
      <c r="P116" s="36"/>
      <c r="Q116" s="36"/>
      <c r="R116" s="36"/>
      <c r="S116" s="36"/>
      <c r="T116" s="36"/>
      <c r="U116" s="36"/>
      <c r="V116" s="36"/>
      <c r="W116" s="36"/>
      <c r="X116" s="36"/>
      <c r="Y116" s="36"/>
      <c r="Z116" s="36"/>
    </row>
    <row r="117" ht="15.75" customHeight="1">
      <c r="A117" s="36"/>
      <c r="B117" s="36"/>
      <c r="C117" s="36"/>
      <c r="D117" s="36"/>
      <c r="E117" s="36"/>
      <c r="F117" s="36"/>
      <c r="G117" s="36"/>
      <c r="H117" s="1"/>
      <c r="I117" s="36"/>
      <c r="J117" s="36"/>
      <c r="K117" s="36"/>
      <c r="L117" s="36"/>
      <c r="M117" s="36"/>
      <c r="N117" s="36"/>
      <c r="O117" s="36"/>
      <c r="P117" s="36"/>
      <c r="Q117" s="36"/>
      <c r="R117" s="36"/>
      <c r="S117" s="36"/>
      <c r="T117" s="36"/>
      <c r="U117" s="36"/>
      <c r="V117" s="36"/>
      <c r="W117" s="36"/>
      <c r="X117" s="36"/>
      <c r="Y117" s="36"/>
      <c r="Z117" s="36"/>
    </row>
    <row r="118" ht="15.75" customHeight="1">
      <c r="A118" s="36"/>
      <c r="B118" s="36"/>
      <c r="C118" s="36"/>
      <c r="D118" s="36"/>
      <c r="E118" s="36"/>
      <c r="F118" s="36"/>
      <c r="G118" s="36"/>
      <c r="H118" s="1"/>
      <c r="I118" s="36"/>
      <c r="J118" s="36"/>
      <c r="K118" s="36"/>
      <c r="L118" s="36"/>
      <c r="M118" s="36"/>
      <c r="N118" s="36"/>
      <c r="O118" s="36"/>
      <c r="P118" s="36"/>
      <c r="Q118" s="36"/>
      <c r="R118" s="36"/>
      <c r="S118" s="36"/>
      <c r="T118" s="36"/>
      <c r="U118" s="36"/>
      <c r="V118" s="36"/>
      <c r="W118" s="36"/>
      <c r="X118" s="36"/>
      <c r="Y118" s="36"/>
      <c r="Z118" s="36"/>
    </row>
    <row r="119" ht="15.75" customHeight="1">
      <c r="A119" s="36"/>
      <c r="B119" s="36"/>
      <c r="C119" s="36"/>
      <c r="D119" s="36"/>
      <c r="E119" s="36"/>
      <c r="F119" s="36"/>
      <c r="G119" s="36"/>
      <c r="H119" s="1"/>
      <c r="I119" s="36"/>
      <c r="J119" s="36"/>
      <c r="K119" s="36"/>
      <c r="L119" s="36"/>
      <c r="M119" s="36"/>
      <c r="N119" s="36"/>
      <c r="O119" s="36"/>
      <c r="P119" s="36"/>
      <c r="Q119" s="36"/>
      <c r="R119" s="36"/>
      <c r="S119" s="36"/>
      <c r="T119" s="36"/>
      <c r="U119" s="36"/>
      <c r="V119" s="36"/>
      <c r="W119" s="36"/>
      <c r="X119" s="36"/>
      <c r="Y119" s="36"/>
      <c r="Z119" s="36"/>
    </row>
    <row r="120" ht="15.75" customHeight="1">
      <c r="A120" s="36"/>
      <c r="B120" s="36"/>
      <c r="C120" s="36"/>
      <c r="D120" s="36"/>
      <c r="E120" s="36"/>
      <c r="F120" s="36"/>
      <c r="G120" s="36"/>
      <c r="H120" s="1"/>
      <c r="I120" s="36"/>
      <c r="J120" s="36"/>
      <c r="K120" s="36"/>
      <c r="L120" s="36"/>
      <c r="M120" s="36"/>
      <c r="N120" s="36"/>
      <c r="O120" s="36"/>
      <c r="P120" s="36"/>
      <c r="Q120" s="36"/>
      <c r="R120" s="36"/>
      <c r="S120" s="36"/>
      <c r="T120" s="36"/>
      <c r="U120" s="36"/>
      <c r="V120" s="36"/>
      <c r="W120" s="36"/>
      <c r="X120" s="36"/>
      <c r="Y120" s="36"/>
      <c r="Z120" s="36"/>
    </row>
    <row r="121" ht="15.75" customHeight="1">
      <c r="A121" s="36"/>
      <c r="B121" s="36"/>
      <c r="C121" s="36"/>
      <c r="D121" s="36"/>
      <c r="E121" s="36"/>
      <c r="F121" s="36"/>
      <c r="G121" s="36"/>
      <c r="H121" s="1"/>
      <c r="I121" s="36"/>
      <c r="J121" s="36"/>
      <c r="K121" s="36"/>
      <c r="L121" s="36"/>
      <c r="M121" s="36"/>
      <c r="N121" s="36"/>
      <c r="O121" s="36"/>
      <c r="P121" s="36"/>
      <c r="Q121" s="36"/>
      <c r="R121" s="36"/>
      <c r="S121" s="36"/>
      <c r="T121" s="36"/>
      <c r="U121" s="36"/>
      <c r="V121" s="36"/>
      <c r="W121" s="36"/>
      <c r="X121" s="36"/>
      <c r="Y121" s="36"/>
      <c r="Z121" s="36"/>
    </row>
    <row r="122" ht="15.75" customHeight="1">
      <c r="A122" s="36"/>
      <c r="B122" s="36"/>
      <c r="C122" s="36"/>
      <c r="D122" s="36"/>
      <c r="E122" s="36"/>
      <c r="F122" s="36"/>
      <c r="G122" s="36"/>
      <c r="H122" s="1"/>
      <c r="I122" s="36"/>
      <c r="J122" s="36"/>
      <c r="K122" s="36"/>
      <c r="L122" s="36"/>
      <c r="M122" s="36"/>
      <c r="N122" s="36"/>
      <c r="O122" s="36"/>
      <c r="P122" s="36"/>
      <c r="Q122" s="36"/>
      <c r="R122" s="36"/>
      <c r="S122" s="36"/>
      <c r="T122" s="36"/>
      <c r="U122" s="36"/>
      <c r="V122" s="36"/>
      <c r="W122" s="36"/>
      <c r="X122" s="36"/>
      <c r="Y122" s="36"/>
      <c r="Z122" s="36"/>
    </row>
    <row r="123" ht="15.75" customHeight="1">
      <c r="A123" s="36"/>
      <c r="B123" s="36"/>
      <c r="C123" s="36"/>
      <c r="D123" s="36"/>
      <c r="E123" s="36"/>
      <c r="F123" s="36"/>
      <c r="G123" s="36"/>
      <c r="H123" s="1"/>
      <c r="I123" s="36"/>
      <c r="J123" s="36"/>
      <c r="K123" s="36"/>
      <c r="L123" s="36"/>
      <c r="M123" s="36"/>
      <c r="N123" s="36"/>
      <c r="O123" s="36"/>
      <c r="P123" s="36"/>
      <c r="Q123" s="36"/>
      <c r="R123" s="36"/>
      <c r="S123" s="36"/>
      <c r="T123" s="36"/>
      <c r="U123" s="36"/>
      <c r="V123" s="36"/>
      <c r="W123" s="36"/>
      <c r="X123" s="36"/>
      <c r="Y123" s="36"/>
      <c r="Z123" s="36"/>
    </row>
    <row r="124" ht="15.75" customHeight="1">
      <c r="A124" s="36"/>
      <c r="B124" s="36"/>
      <c r="C124" s="36"/>
      <c r="D124" s="36"/>
      <c r="E124" s="36"/>
      <c r="F124" s="36"/>
      <c r="G124" s="36"/>
      <c r="H124" s="1"/>
      <c r="I124" s="36"/>
      <c r="J124" s="36"/>
      <c r="K124" s="36"/>
      <c r="L124" s="36"/>
      <c r="M124" s="36"/>
      <c r="N124" s="36"/>
      <c r="O124" s="36"/>
      <c r="P124" s="36"/>
      <c r="Q124" s="36"/>
      <c r="R124" s="36"/>
      <c r="S124" s="36"/>
      <c r="T124" s="36"/>
      <c r="U124" s="36"/>
      <c r="V124" s="36"/>
      <c r="W124" s="36"/>
      <c r="X124" s="36"/>
      <c r="Y124" s="36"/>
      <c r="Z124" s="36"/>
    </row>
    <row r="125" ht="15.75" customHeight="1">
      <c r="A125" s="36"/>
      <c r="B125" s="36"/>
      <c r="C125" s="36"/>
      <c r="D125" s="36"/>
      <c r="E125" s="36"/>
      <c r="F125" s="36"/>
      <c r="G125" s="36"/>
      <c r="H125" s="1"/>
      <c r="I125" s="36"/>
      <c r="J125" s="36"/>
      <c r="K125" s="36"/>
      <c r="L125" s="36"/>
      <c r="M125" s="36"/>
      <c r="N125" s="36"/>
      <c r="O125" s="36"/>
      <c r="P125" s="36"/>
      <c r="Q125" s="36"/>
      <c r="R125" s="36"/>
      <c r="S125" s="36"/>
      <c r="T125" s="36"/>
      <c r="U125" s="36"/>
      <c r="V125" s="36"/>
      <c r="W125" s="36"/>
      <c r="X125" s="36"/>
      <c r="Y125" s="36"/>
      <c r="Z125" s="36"/>
    </row>
    <row r="126" ht="15.75" customHeight="1">
      <c r="A126" s="36"/>
      <c r="B126" s="36"/>
      <c r="C126" s="36"/>
      <c r="D126" s="36"/>
      <c r="E126" s="36"/>
      <c r="F126" s="36"/>
      <c r="G126" s="36"/>
      <c r="H126" s="1"/>
      <c r="I126" s="36"/>
      <c r="J126" s="36"/>
      <c r="K126" s="36"/>
      <c r="L126" s="36"/>
      <c r="M126" s="36"/>
      <c r="N126" s="36"/>
      <c r="O126" s="36"/>
      <c r="P126" s="36"/>
      <c r="Q126" s="36"/>
      <c r="R126" s="36"/>
      <c r="S126" s="36"/>
      <c r="T126" s="36"/>
      <c r="U126" s="36"/>
      <c r="V126" s="36"/>
      <c r="W126" s="36"/>
      <c r="X126" s="36"/>
      <c r="Y126" s="36"/>
      <c r="Z126" s="36"/>
    </row>
    <row r="127" ht="15.75" customHeight="1">
      <c r="A127" s="36"/>
      <c r="B127" s="36"/>
      <c r="C127" s="36"/>
      <c r="D127" s="36"/>
      <c r="E127" s="36"/>
      <c r="F127" s="36"/>
      <c r="G127" s="36"/>
      <c r="H127" s="1"/>
      <c r="I127" s="36"/>
      <c r="J127" s="36"/>
      <c r="K127" s="36"/>
      <c r="L127" s="36"/>
      <c r="M127" s="36"/>
      <c r="N127" s="36"/>
      <c r="O127" s="36"/>
      <c r="P127" s="36"/>
      <c r="Q127" s="36"/>
      <c r="R127" s="36"/>
      <c r="S127" s="36"/>
      <c r="T127" s="36"/>
      <c r="U127" s="36"/>
      <c r="V127" s="36"/>
      <c r="W127" s="36"/>
      <c r="X127" s="36"/>
      <c r="Y127" s="36"/>
      <c r="Z127" s="36"/>
    </row>
    <row r="128" ht="15.75" customHeight="1">
      <c r="A128" s="36"/>
      <c r="B128" s="36"/>
      <c r="C128" s="36"/>
      <c r="D128" s="36"/>
      <c r="E128" s="36"/>
      <c r="F128" s="36"/>
      <c r="G128" s="36"/>
      <c r="H128" s="1"/>
      <c r="I128" s="36"/>
      <c r="J128" s="36"/>
      <c r="K128" s="36"/>
      <c r="L128" s="36"/>
      <c r="M128" s="36"/>
      <c r="N128" s="36"/>
      <c r="O128" s="36"/>
      <c r="P128" s="36"/>
      <c r="Q128" s="36"/>
      <c r="R128" s="36"/>
      <c r="S128" s="36"/>
      <c r="T128" s="36"/>
      <c r="U128" s="36"/>
      <c r="V128" s="36"/>
      <c r="W128" s="36"/>
      <c r="X128" s="36"/>
      <c r="Y128" s="36"/>
      <c r="Z128" s="36"/>
    </row>
    <row r="129" ht="15.75" customHeight="1">
      <c r="A129" s="36"/>
      <c r="B129" s="36"/>
      <c r="C129" s="36"/>
      <c r="D129" s="36"/>
      <c r="E129" s="36"/>
      <c r="F129" s="36"/>
      <c r="G129" s="36"/>
      <c r="H129" s="1"/>
      <c r="I129" s="36"/>
      <c r="J129" s="36"/>
      <c r="K129" s="36"/>
      <c r="L129" s="36"/>
      <c r="M129" s="36"/>
      <c r="N129" s="36"/>
      <c r="O129" s="36"/>
      <c r="P129" s="36"/>
      <c r="Q129" s="36"/>
      <c r="R129" s="36"/>
      <c r="S129" s="36"/>
      <c r="T129" s="36"/>
      <c r="U129" s="36"/>
      <c r="V129" s="36"/>
      <c r="W129" s="36"/>
      <c r="X129" s="36"/>
      <c r="Y129" s="36"/>
      <c r="Z129" s="36"/>
    </row>
    <row r="130" ht="15.75" customHeight="1">
      <c r="A130" s="36"/>
      <c r="B130" s="36"/>
      <c r="C130" s="36"/>
      <c r="D130" s="36"/>
      <c r="E130" s="36"/>
      <c r="F130" s="36"/>
      <c r="G130" s="36"/>
      <c r="H130" s="1"/>
      <c r="I130" s="36"/>
      <c r="J130" s="36"/>
      <c r="K130" s="36"/>
      <c r="L130" s="36"/>
      <c r="M130" s="36"/>
      <c r="N130" s="36"/>
      <c r="O130" s="36"/>
      <c r="P130" s="36"/>
      <c r="Q130" s="36"/>
      <c r="R130" s="36"/>
      <c r="S130" s="36"/>
      <c r="T130" s="36"/>
      <c r="U130" s="36"/>
      <c r="V130" s="36"/>
      <c r="W130" s="36"/>
      <c r="X130" s="36"/>
      <c r="Y130" s="36"/>
      <c r="Z130" s="36"/>
    </row>
    <row r="131" ht="15.75" customHeight="1">
      <c r="A131" s="36"/>
      <c r="B131" s="36"/>
      <c r="C131" s="36"/>
      <c r="D131" s="36"/>
      <c r="E131" s="36"/>
      <c r="F131" s="36"/>
      <c r="G131" s="36"/>
      <c r="H131" s="1"/>
      <c r="I131" s="36"/>
      <c r="J131" s="36"/>
      <c r="K131" s="36"/>
      <c r="L131" s="36"/>
      <c r="M131" s="36"/>
      <c r="N131" s="36"/>
      <c r="O131" s="36"/>
      <c r="P131" s="36"/>
      <c r="Q131" s="36"/>
      <c r="R131" s="36"/>
      <c r="S131" s="36"/>
      <c r="T131" s="36"/>
      <c r="U131" s="36"/>
      <c r="V131" s="36"/>
      <c r="W131" s="36"/>
      <c r="X131" s="36"/>
      <c r="Y131" s="36"/>
      <c r="Z131" s="36"/>
    </row>
    <row r="132" ht="15.75" customHeight="1">
      <c r="A132" s="36"/>
      <c r="B132" s="36"/>
      <c r="C132" s="36"/>
      <c r="D132" s="36"/>
      <c r="E132" s="36"/>
      <c r="F132" s="36"/>
      <c r="G132" s="36"/>
      <c r="H132" s="1"/>
      <c r="I132" s="36"/>
      <c r="J132" s="36"/>
      <c r="K132" s="36"/>
      <c r="L132" s="36"/>
      <c r="M132" s="36"/>
      <c r="N132" s="36"/>
      <c r="O132" s="36"/>
      <c r="P132" s="36"/>
      <c r="Q132" s="36"/>
      <c r="R132" s="36"/>
      <c r="S132" s="36"/>
      <c r="T132" s="36"/>
      <c r="U132" s="36"/>
      <c r="V132" s="36"/>
      <c r="W132" s="36"/>
      <c r="X132" s="36"/>
      <c r="Y132" s="36"/>
      <c r="Z132" s="36"/>
    </row>
    <row r="133" ht="15.75" customHeight="1">
      <c r="A133" s="36"/>
      <c r="B133" s="36"/>
      <c r="C133" s="36"/>
      <c r="D133" s="36"/>
      <c r="E133" s="36"/>
      <c r="F133" s="36"/>
      <c r="G133" s="36"/>
      <c r="H133" s="1"/>
      <c r="I133" s="36"/>
      <c r="J133" s="36"/>
      <c r="K133" s="36"/>
      <c r="L133" s="36"/>
      <c r="M133" s="36"/>
      <c r="N133" s="36"/>
      <c r="O133" s="36"/>
      <c r="P133" s="36"/>
      <c r="Q133" s="36"/>
      <c r="R133" s="36"/>
      <c r="S133" s="36"/>
      <c r="T133" s="36"/>
      <c r="U133" s="36"/>
      <c r="V133" s="36"/>
      <c r="W133" s="36"/>
      <c r="X133" s="36"/>
      <c r="Y133" s="36"/>
      <c r="Z133" s="36"/>
    </row>
    <row r="134" ht="15.75" customHeight="1">
      <c r="A134" s="36"/>
      <c r="B134" s="36"/>
      <c r="C134" s="36"/>
      <c r="D134" s="36"/>
      <c r="E134" s="36"/>
      <c r="F134" s="36"/>
      <c r="G134" s="36"/>
      <c r="H134" s="1"/>
      <c r="I134" s="36"/>
      <c r="J134" s="36"/>
      <c r="K134" s="36"/>
      <c r="L134" s="36"/>
      <c r="M134" s="36"/>
      <c r="N134" s="36"/>
      <c r="O134" s="36"/>
      <c r="P134" s="36"/>
      <c r="Q134" s="36"/>
      <c r="R134" s="36"/>
      <c r="S134" s="36"/>
      <c r="T134" s="36"/>
      <c r="U134" s="36"/>
      <c r="V134" s="36"/>
      <c r="W134" s="36"/>
      <c r="X134" s="36"/>
      <c r="Y134" s="36"/>
      <c r="Z134" s="36"/>
    </row>
    <row r="135" ht="15.75" customHeight="1">
      <c r="A135" s="36"/>
      <c r="B135" s="36"/>
      <c r="C135" s="36"/>
      <c r="D135" s="36"/>
      <c r="E135" s="36"/>
      <c r="F135" s="36"/>
      <c r="G135" s="36"/>
      <c r="H135" s="1"/>
      <c r="I135" s="36"/>
      <c r="J135" s="36"/>
      <c r="K135" s="36"/>
      <c r="L135" s="36"/>
      <c r="M135" s="36"/>
      <c r="N135" s="36"/>
      <c r="O135" s="36"/>
      <c r="P135" s="36"/>
      <c r="Q135" s="36"/>
      <c r="R135" s="36"/>
      <c r="S135" s="36"/>
      <c r="T135" s="36"/>
      <c r="U135" s="36"/>
      <c r="V135" s="36"/>
      <c r="W135" s="36"/>
      <c r="X135" s="36"/>
      <c r="Y135" s="36"/>
      <c r="Z135" s="36"/>
    </row>
    <row r="136" ht="15.75" customHeight="1">
      <c r="A136" s="36"/>
      <c r="B136" s="36"/>
      <c r="C136" s="36"/>
      <c r="D136" s="36"/>
      <c r="E136" s="36"/>
      <c r="F136" s="36"/>
      <c r="G136" s="36"/>
      <c r="H136" s="1"/>
      <c r="I136" s="36"/>
      <c r="J136" s="36"/>
      <c r="K136" s="36"/>
      <c r="L136" s="36"/>
      <c r="M136" s="36"/>
      <c r="N136" s="36"/>
      <c r="O136" s="36"/>
      <c r="P136" s="36"/>
      <c r="Q136" s="36"/>
      <c r="R136" s="36"/>
      <c r="S136" s="36"/>
      <c r="T136" s="36"/>
      <c r="U136" s="36"/>
      <c r="V136" s="36"/>
      <c r="W136" s="36"/>
      <c r="X136" s="36"/>
      <c r="Y136" s="36"/>
      <c r="Z136" s="36"/>
    </row>
    <row r="137" ht="15.75" customHeight="1">
      <c r="A137" s="36"/>
      <c r="B137" s="36"/>
      <c r="C137" s="36"/>
      <c r="D137" s="36"/>
      <c r="E137" s="36"/>
      <c r="F137" s="36"/>
      <c r="G137" s="36"/>
      <c r="H137" s="1"/>
      <c r="I137" s="36"/>
      <c r="J137" s="36"/>
      <c r="K137" s="36"/>
      <c r="L137" s="36"/>
      <c r="M137" s="36"/>
      <c r="N137" s="36"/>
      <c r="O137" s="36"/>
      <c r="P137" s="36"/>
      <c r="Q137" s="36"/>
      <c r="R137" s="36"/>
      <c r="S137" s="36"/>
      <c r="T137" s="36"/>
      <c r="U137" s="36"/>
      <c r="V137" s="36"/>
      <c r="W137" s="36"/>
      <c r="X137" s="36"/>
      <c r="Y137" s="36"/>
      <c r="Z137" s="36"/>
    </row>
    <row r="138" ht="15.75" customHeight="1">
      <c r="A138" s="36"/>
      <c r="B138" s="36"/>
      <c r="C138" s="36"/>
      <c r="D138" s="36"/>
      <c r="E138" s="36"/>
      <c r="F138" s="36"/>
      <c r="G138" s="36"/>
      <c r="H138" s="1"/>
      <c r="I138" s="36"/>
      <c r="J138" s="36"/>
      <c r="K138" s="36"/>
      <c r="L138" s="36"/>
      <c r="M138" s="36"/>
      <c r="N138" s="36"/>
      <c r="O138" s="36"/>
      <c r="P138" s="36"/>
      <c r="Q138" s="36"/>
      <c r="R138" s="36"/>
      <c r="S138" s="36"/>
      <c r="T138" s="36"/>
      <c r="U138" s="36"/>
      <c r="V138" s="36"/>
      <c r="W138" s="36"/>
      <c r="X138" s="36"/>
      <c r="Y138" s="36"/>
      <c r="Z138" s="36"/>
    </row>
    <row r="139" ht="15.75" customHeight="1">
      <c r="A139" s="36"/>
      <c r="B139" s="36"/>
      <c r="C139" s="36"/>
      <c r="D139" s="36"/>
      <c r="E139" s="36"/>
      <c r="F139" s="36"/>
      <c r="G139" s="36"/>
      <c r="H139" s="1"/>
      <c r="I139" s="36"/>
      <c r="J139" s="36"/>
      <c r="K139" s="36"/>
      <c r="L139" s="36"/>
      <c r="M139" s="36"/>
      <c r="N139" s="36"/>
      <c r="O139" s="36"/>
      <c r="P139" s="36"/>
      <c r="Q139" s="36"/>
      <c r="R139" s="36"/>
      <c r="S139" s="36"/>
      <c r="T139" s="36"/>
      <c r="U139" s="36"/>
      <c r="V139" s="36"/>
      <c r="W139" s="36"/>
      <c r="X139" s="36"/>
      <c r="Y139" s="36"/>
      <c r="Z139" s="36"/>
    </row>
    <row r="140" ht="15.75" customHeight="1">
      <c r="A140" s="36"/>
      <c r="B140" s="36"/>
      <c r="C140" s="36"/>
      <c r="D140" s="36"/>
      <c r="E140" s="36"/>
      <c r="F140" s="36"/>
      <c r="G140" s="36"/>
      <c r="H140" s="1"/>
      <c r="I140" s="36"/>
      <c r="J140" s="36"/>
      <c r="K140" s="36"/>
      <c r="L140" s="36"/>
      <c r="M140" s="36"/>
      <c r="N140" s="36"/>
      <c r="O140" s="36"/>
      <c r="P140" s="36"/>
      <c r="Q140" s="36"/>
      <c r="R140" s="36"/>
      <c r="S140" s="36"/>
      <c r="T140" s="36"/>
      <c r="U140" s="36"/>
      <c r="V140" s="36"/>
      <c r="W140" s="36"/>
      <c r="X140" s="36"/>
      <c r="Y140" s="36"/>
      <c r="Z140" s="36"/>
    </row>
    <row r="141" ht="15.75" customHeight="1">
      <c r="A141" s="36"/>
      <c r="B141" s="36"/>
      <c r="C141" s="36"/>
      <c r="D141" s="36"/>
      <c r="E141" s="36"/>
      <c r="F141" s="36"/>
      <c r="G141" s="36"/>
      <c r="H141" s="1"/>
      <c r="I141" s="36"/>
      <c r="J141" s="36"/>
      <c r="K141" s="36"/>
      <c r="L141" s="36"/>
      <c r="M141" s="36"/>
      <c r="N141" s="36"/>
      <c r="O141" s="36"/>
      <c r="P141" s="36"/>
      <c r="Q141" s="36"/>
      <c r="R141" s="36"/>
      <c r="S141" s="36"/>
      <c r="T141" s="36"/>
      <c r="U141" s="36"/>
      <c r="V141" s="36"/>
      <c r="W141" s="36"/>
      <c r="X141" s="36"/>
      <c r="Y141" s="36"/>
      <c r="Z141" s="36"/>
    </row>
    <row r="142" ht="15.75" customHeight="1">
      <c r="A142" s="36"/>
      <c r="B142" s="36"/>
      <c r="C142" s="36"/>
      <c r="D142" s="36"/>
      <c r="E142" s="36"/>
      <c r="F142" s="36"/>
      <c r="G142" s="36"/>
      <c r="H142" s="1"/>
      <c r="I142" s="36"/>
      <c r="J142" s="36"/>
      <c r="K142" s="36"/>
      <c r="L142" s="36"/>
      <c r="M142" s="36"/>
      <c r="N142" s="36"/>
      <c r="O142" s="36"/>
      <c r="P142" s="36"/>
      <c r="Q142" s="36"/>
      <c r="R142" s="36"/>
      <c r="S142" s="36"/>
      <c r="T142" s="36"/>
      <c r="U142" s="36"/>
      <c r="V142" s="36"/>
      <c r="W142" s="36"/>
      <c r="X142" s="36"/>
      <c r="Y142" s="36"/>
      <c r="Z142" s="36"/>
    </row>
    <row r="143" ht="15.75" customHeight="1">
      <c r="A143" s="36"/>
      <c r="B143" s="36"/>
      <c r="C143" s="36"/>
      <c r="D143" s="36"/>
      <c r="E143" s="36"/>
      <c r="F143" s="36"/>
      <c r="G143" s="36"/>
      <c r="H143" s="1"/>
      <c r="I143" s="36"/>
      <c r="J143" s="36"/>
      <c r="K143" s="36"/>
      <c r="L143" s="36"/>
      <c r="M143" s="36"/>
      <c r="N143" s="36"/>
      <c r="O143" s="36"/>
      <c r="P143" s="36"/>
      <c r="Q143" s="36"/>
      <c r="R143" s="36"/>
      <c r="S143" s="36"/>
      <c r="T143" s="36"/>
      <c r="U143" s="36"/>
      <c r="V143" s="36"/>
      <c r="W143" s="36"/>
      <c r="X143" s="36"/>
      <c r="Y143" s="36"/>
      <c r="Z143" s="36"/>
    </row>
    <row r="144" ht="15.75" customHeight="1">
      <c r="A144" s="36"/>
      <c r="B144" s="36"/>
      <c r="C144" s="36"/>
      <c r="D144" s="36"/>
      <c r="E144" s="36"/>
      <c r="F144" s="36"/>
      <c r="G144" s="36"/>
      <c r="H144" s="1"/>
      <c r="I144" s="36"/>
      <c r="J144" s="36"/>
      <c r="K144" s="36"/>
      <c r="L144" s="36"/>
      <c r="M144" s="36"/>
      <c r="N144" s="36"/>
      <c r="O144" s="36"/>
      <c r="P144" s="36"/>
      <c r="Q144" s="36"/>
      <c r="R144" s="36"/>
      <c r="S144" s="36"/>
      <c r="T144" s="36"/>
      <c r="U144" s="36"/>
      <c r="V144" s="36"/>
      <c r="W144" s="36"/>
      <c r="X144" s="36"/>
      <c r="Y144" s="36"/>
      <c r="Z144" s="36"/>
    </row>
    <row r="145" ht="15.75" customHeight="1">
      <c r="A145" s="36"/>
      <c r="B145" s="36"/>
      <c r="C145" s="36"/>
      <c r="D145" s="36"/>
      <c r="E145" s="36"/>
      <c r="F145" s="36"/>
      <c r="G145" s="36"/>
      <c r="H145" s="1"/>
      <c r="I145" s="36"/>
      <c r="J145" s="36"/>
      <c r="K145" s="36"/>
      <c r="L145" s="36"/>
      <c r="M145" s="36"/>
      <c r="N145" s="36"/>
      <c r="O145" s="36"/>
      <c r="P145" s="36"/>
      <c r="Q145" s="36"/>
      <c r="R145" s="36"/>
      <c r="S145" s="36"/>
      <c r="T145" s="36"/>
      <c r="U145" s="36"/>
      <c r="V145" s="36"/>
      <c r="W145" s="36"/>
      <c r="X145" s="36"/>
      <c r="Y145" s="36"/>
      <c r="Z145" s="36"/>
    </row>
    <row r="146" ht="15.75" customHeight="1">
      <c r="A146" s="36"/>
      <c r="B146" s="36"/>
      <c r="C146" s="36"/>
      <c r="D146" s="36"/>
      <c r="E146" s="36"/>
      <c r="F146" s="36"/>
      <c r="G146" s="36"/>
      <c r="H146" s="1"/>
      <c r="I146" s="36"/>
      <c r="J146" s="36"/>
      <c r="K146" s="36"/>
      <c r="L146" s="36"/>
      <c r="M146" s="36"/>
      <c r="N146" s="36"/>
      <c r="O146" s="36"/>
      <c r="P146" s="36"/>
      <c r="Q146" s="36"/>
      <c r="R146" s="36"/>
      <c r="S146" s="36"/>
      <c r="T146" s="36"/>
      <c r="U146" s="36"/>
      <c r="V146" s="36"/>
      <c r="W146" s="36"/>
      <c r="X146" s="36"/>
      <c r="Y146" s="36"/>
      <c r="Z146" s="36"/>
    </row>
    <row r="147" ht="15.75" customHeight="1">
      <c r="A147" s="36"/>
      <c r="B147" s="36"/>
      <c r="C147" s="36"/>
      <c r="D147" s="36"/>
      <c r="E147" s="36"/>
      <c r="F147" s="36"/>
      <c r="G147" s="36"/>
      <c r="H147" s="1"/>
      <c r="I147" s="36"/>
      <c r="J147" s="36"/>
      <c r="K147" s="36"/>
      <c r="L147" s="36"/>
      <c r="M147" s="36"/>
      <c r="N147" s="36"/>
      <c r="O147" s="36"/>
      <c r="P147" s="36"/>
      <c r="Q147" s="36"/>
      <c r="R147" s="36"/>
      <c r="S147" s="36"/>
      <c r="T147" s="36"/>
      <c r="U147" s="36"/>
      <c r="V147" s="36"/>
      <c r="W147" s="36"/>
      <c r="X147" s="36"/>
      <c r="Y147" s="36"/>
      <c r="Z147" s="36"/>
    </row>
    <row r="148" ht="15.75" customHeight="1">
      <c r="A148" s="36"/>
      <c r="B148" s="36"/>
      <c r="C148" s="36"/>
      <c r="D148" s="36"/>
      <c r="E148" s="36"/>
      <c r="F148" s="36"/>
      <c r="G148" s="36"/>
      <c r="H148" s="1"/>
      <c r="I148" s="36"/>
      <c r="J148" s="36"/>
      <c r="K148" s="36"/>
      <c r="L148" s="36"/>
      <c r="M148" s="36"/>
      <c r="N148" s="36"/>
      <c r="O148" s="36"/>
      <c r="P148" s="36"/>
      <c r="Q148" s="36"/>
      <c r="R148" s="36"/>
      <c r="S148" s="36"/>
      <c r="T148" s="36"/>
      <c r="U148" s="36"/>
      <c r="V148" s="36"/>
      <c r="W148" s="36"/>
      <c r="X148" s="36"/>
      <c r="Y148" s="36"/>
      <c r="Z148" s="36"/>
    </row>
    <row r="149" ht="15.75" customHeight="1">
      <c r="A149" s="36"/>
      <c r="B149" s="36"/>
      <c r="C149" s="36"/>
      <c r="D149" s="36"/>
      <c r="E149" s="36"/>
      <c r="F149" s="36"/>
      <c r="G149" s="36"/>
      <c r="H149" s="1"/>
      <c r="I149" s="36"/>
      <c r="J149" s="36"/>
      <c r="K149" s="36"/>
      <c r="L149" s="36"/>
      <c r="M149" s="36"/>
      <c r="N149" s="36"/>
      <c r="O149" s="36"/>
      <c r="P149" s="36"/>
      <c r="Q149" s="36"/>
      <c r="R149" s="36"/>
      <c r="S149" s="36"/>
      <c r="T149" s="36"/>
      <c r="U149" s="36"/>
      <c r="V149" s="36"/>
      <c r="W149" s="36"/>
      <c r="X149" s="36"/>
      <c r="Y149" s="36"/>
      <c r="Z149" s="36"/>
    </row>
    <row r="150" ht="15.75" customHeight="1">
      <c r="A150" s="36"/>
      <c r="B150" s="36"/>
      <c r="C150" s="36"/>
      <c r="D150" s="36"/>
      <c r="E150" s="36"/>
      <c r="F150" s="36"/>
      <c r="G150" s="36"/>
      <c r="H150" s="1"/>
      <c r="I150" s="36"/>
      <c r="J150" s="36"/>
      <c r="K150" s="36"/>
      <c r="L150" s="36"/>
      <c r="M150" s="36"/>
      <c r="N150" s="36"/>
      <c r="O150" s="36"/>
      <c r="P150" s="36"/>
      <c r="Q150" s="36"/>
      <c r="R150" s="36"/>
      <c r="S150" s="36"/>
      <c r="T150" s="36"/>
      <c r="U150" s="36"/>
      <c r="V150" s="36"/>
      <c r="W150" s="36"/>
      <c r="X150" s="36"/>
      <c r="Y150" s="36"/>
      <c r="Z150" s="36"/>
    </row>
    <row r="151" ht="15.75" customHeight="1">
      <c r="A151" s="36"/>
      <c r="B151" s="36"/>
      <c r="C151" s="36"/>
      <c r="D151" s="36"/>
      <c r="E151" s="36"/>
      <c r="F151" s="36"/>
      <c r="G151" s="36"/>
      <c r="H151" s="1"/>
      <c r="I151" s="36"/>
      <c r="J151" s="36"/>
      <c r="K151" s="36"/>
      <c r="L151" s="36"/>
      <c r="M151" s="36"/>
      <c r="N151" s="36"/>
      <c r="O151" s="36"/>
      <c r="P151" s="36"/>
      <c r="Q151" s="36"/>
      <c r="R151" s="36"/>
      <c r="S151" s="36"/>
      <c r="T151" s="36"/>
      <c r="U151" s="36"/>
      <c r="V151" s="36"/>
      <c r="W151" s="36"/>
      <c r="X151" s="36"/>
      <c r="Y151" s="36"/>
      <c r="Z151" s="36"/>
    </row>
    <row r="152" ht="15.75" customHeight="1">
      <c r="A152" s="36"/>
      <c r="B152" s="36"/>
      <c r="C152" s="36"/>
      <c r="D152" s="36"/>
      <c r="E152" s="36"/>
      <c r="F152" s="36"/>
      <c r="G152" s="36"/>
      <c r="H152" s="1"/>
      <c r="I152" s="36"/>
      <c r="J152" s="36"/>
      <c r="K152" s="36"/>
      <c r="L152" s="36"/>
      <c r="M152" s="36"/>
      <c r="N152" s="36"/>
      <c r="O152" s="36"/>
      <c r="P152" s="36"/>
      <c r="Q152" s="36"/>
      <c r="R152" s="36"/>
      <c r="S152" s="36"/>
      <c r="T152" s="36"/>
      <c r="U152" s="36"/>
      <c r="V152" s="36"/>
      <c r="W152" s="36"/>
      <c r="X152" s="36"/>
      <c r="Y152" s="36"/>
      <c r="Z152" s="36"/>
    </row>
    <row r="153" ht="15.75" customHeight="1">
      <c r="A153" s="36"/>
      <c r="B153" s="36"/>
      <c r="C153" s="36"/>
      <c r="D153" s="36"/>
      <c r="E153" s="36"/>
      <c r="F153" s="36"/>
      <c r="G153" s="36"/>
      <c r="H153" s="1"/>
      <c r="I153" s="36"/>
      <c r="J153" s="36"/>
      <c r="K153" s="36"/>
      <c r="L153" s="36"/>
      <c r="M153" s="36"/>
      <c r="N153" s="36"/>
      <c r="O153" s="36"/>
      <c r="P153" s="36"/>
      <c r="Q153" s="36"/>
      <c r="R153" s="36"/>
      <c r="S153" s="36"/>
      <c r="T153" s="36"/>
      <c r="U153" s="36"/>
      <c r="V153" s="36"/>
      <c r="W153" s="36"/>
      <c r="X153" s="36"/>
      <c r="Y153" s="36"/>
      <c r="Z153" s="36"/>
    </row>
    <row r="154" ht="15.75" customHeight="1">
      <c r="A154" s="36"/>
      <c r="B154" s="36"/>
      <c r="C154" s="36"/>
      <c r="D154" s="36"/>
      <c r="E154" s="36"/>
      <c r="F154" s="36"/>
      <c r="G154" s="36"/>
      <c r="H154" s="1"/>
      <c r="I154" s="36"/>
      <c r="J154" s="36"/>
      <c r="K154" s="36"/>
      <c r="L154" s="36"/>
      <c r="M154" s="36"/>
      <c r="N154" s="36"/>
      <c r="O154" s="36"/>
      <c r="P154" s="36"/>
      <c r="Q154" s="36"/>
      <c r="R154" s="36"/>
      <c r="S154" s="36"/>
      <c r="T154" s="36"/>
      <c r="U154" s="36"/>
      <c r="V154" s="36"/>
      <c r="W154" s="36"/>
      <c r="X154" s="36"/>
      <c r="Y154" s="36"/>
      <c r="Z154" s="36"/>
    </row>
    <row r="155" ht="15.75" customHeight="1">
      <c r="A155" s="36"/>
      <c r="B155" s="36"/>
      <c r="C155" s="36"/>
      <c r="D155" s="36"/>
      <c r="E155" s="36"/>
      <c r="F155" s="36"/>
      <c r="G155" s="36"/>
      <c r="H155" s="1"/>
      <c r="I155" s="36"/>
      <c r="J155" s="36"/>
      <c r="K155" s="36"/>
      <c r="L155" s="36"/>
      <c r="M155" s="36"/>
      <c r="N155" s="36"/>
      <c r="O155" s="36"/>
      <c r="P155" s="36"/>
      <c r="Q155" s="36"/>
      <c r="R155" s="36"/>
      <c r="S155" s="36"/>
      <c r="T155" s="36"/>
      <c r="U155" s="36"/>
      <c r="V155" s="36"/>
      <c r="W155" s="36"/>
      <c r="X155" s="36"/>
      <c r="Y155" s="36"/>
      <c r="Z155" s="36"/>
    </row>
    <row r="156" ht="15.75" customHeight="1">
      <c r="A156" s="36"/>
      <c r="B156" s="36"/>
      <c r="C156" s="36"/>
      <c r="D156" s="36"/>
      <c r="E156" s="36"/>
      <c r="F156" s="36"/>
      <c r="G156" s="36"/>
      <c r="H156" s="1"/>
      <c r="I156" s="36"/>
      <c r="J156" s="36"/>
      <c r="K156" s="36"/>
      <c r="L156" s="36"/>
      <c r="M156" s="36"/>
      <c r="N156" s="36"/>
      <c r="O156" s="36"/>
      <c r="P156" s="36"/>
      <c r="Q156" s="36"/>
      <c r="R156" s="36"/>
      <c r="S156" s="36"/>
      <c r="T156" s="36"/>
      <c r="U156" s="36"/>
      <c r="V156" s="36"/>
      <c r="W156" s="36"/>
      <c r="X156" s="36"/>
      <c r="Y156" s="36"/>
      <c r="Z156" s="36"/>
    </row>
    <row r="157" ht="15.75" customHeight="1">
      <c r="A157" s="36"/>
      <c r="B157" s="36"/>
      <c r="C157" s="36"/>
      <c r="D157" s="36"/>
      <c r="E157" s="36"/>
      <c r="F157" s="36"/>
      <c r="G157" s="36"/>
      <c r="H157" s="1"/>
      <c r="I157" s="36"/>
      <c r="J157" s="36"/>
      <c r="K157" s="36"/>
      <c r="L157" s="36"/>
      <c r="M157" s="36"/>
      <c r="N157" s="36"/>
      <c r="O157" s="36"/>
      <c r="P157" s="36"/>
      <c r="Q157" s="36"/>
      <c r="R157" s="36"/>
      <c r="S157" s="36"/>
      <c r="T157" s="36"/>
      <c r="U157" s="36"/>
      <c r="V157" s="36"/>
      <c r="W157" s="36"/>
      <c r="X157" s="36"/>
      <c r="Y157" s="36"/>
      <c r="Z157" s="36"/>
    </row>
    <row r="158" ht="15.75" customHeight="1">
      <c r="A158" s="36"/>
      <c r="B158" s="36"/>
      <c r="C158" s="36"/>
      <c r="D158" s="36"/>
      <c r="E158" s="36"/>
      <c r="F158" s="36"/>
      <c r="G158" s="36"/>
      <c r="H158" s="1"/>
      <c r="I158" s="36"/>
      <c r="J158" s="36"/>
      <c r="K158" s="36"/>
      <c r="L158" s="36"/>
      <c r="M158" s="36"/>
      <c r="N158" s="36"/>
      <c r="O158" s="36"/>
      <c r="P158" s="36"/>
      <c r="Q158" s="36"/>
      <c r="R158" s="36"/>
      <c r="S158" s="36"/>
      <c r="T158" s="36"/>
      <c r="U158" s="36"/>
      <c r="V158" s="36"/>
      <c r="W158" s="36"/>
      <c r="X158" s="36"/>
      <c r="Y158" s="36"/>
      <c r="Z158" s="36"/>
    </row>
    <row r="159" ht="15.75" customHeight="1">
      <c r="A159" s="36"/>
      <c r="B159" s="36"/>
      <c r="C159" s="36"/>
      <c r="D159" s="36"/>
      <c r="E159" s="36"/>
      <c r="F159" s="36"/>
      <c r="G159" s="36"/>
      <c r="H159" s="1"/>
      <c r="I159" s="36"/>
      <c r="J159" s="36"/>
      <c r="K159" s="36"/>
      <c r="L159" s="36"/>
      <c r="M159" s="36"/>
      <c r="N159" s="36"/>
      <c r="O159" s="36"/>
      <c r="P159" s="36"/>
      <c r="Q159" s="36"/>
      <c r="R159" s="36"/>
      <c r="S159" s="36"/>
      <c r="T159" s="36"/>
      <c r="U159" s="36"/>
      <c r="V159" s="36"/>
      <c r="W159" s="36"/>
      <c r="X159" s="36"/>
      <c r="Y159" s="36"/>
      <c r="Z159" s="36"/>
    </row>
    <row r="160" ht="15.75" customHeight="1">
      <c r="A160" s="36"/>
      <c r="B160" s="36"/>
      <c r="C160" s="36"/>
      <c r="D160" s="36"/>
      <c r="E160" s="36"/>
      <c r="F160" s="36"/>
      <c r="G160" s="36"/>
      <c r="H160" s="1"/>
      <c r="I160" s="36"/>
      <c r="J160" s="36"/>
      <c r="K160" s="36"/>
      <c r="L160" s="36"/>
      <c r="M160" s="36"/>
      <c r="N160" s="36"/>
      <c r="O160" s="36"/>
      <c r="P160" s="36"/>
      <c r="Q160" s="36"/>
      <c r="R160" s="36"/>
      <c r="S160" s="36"/>
      <c r="T160" s="36"/>
      <c r="U160" s="36"/>
      <c r="V160" s="36"/>
      <c r="W160" s="36"/>
      <c r="X160" s="36"/>
      <c r="Y160" s="36"/>
      <c r="Z160" s="36"/>
    </row>
    <row r="161" ht="15.75" customHeight="1">
      <c r="A161" s="36"/>
      <c r="B161" s="36"/>
      <c r="C161" s="36"/>
      <c r="D161" s="36"/>
      <c r="E161" s="36"/>
      <c r="F161" s="36"/>
      <c r="G161" s="36"/>
      <c r="H161" s="1"/>
      <c r="I161" s="36"/>
      <c r="J161" s="36"/>
      <c r="K161" s="36"/>
      <c r="L161" s="36"/>
      <c r="M161" s="36"/>
      <c r="N161" s="36"/>
      <c r="O161" s="36"/>
      <c r="P161" s="36"/>
      <c r="Q161" s="36"/>
      <c r="R161" s="36"/>
      <c r="S161" s="36"/>
      <c r="T161" s="36"/>
      <c r="U161" s="36"/>
      <c r="V161" s="36"/>
      <c r="W161" s="36"/>
      <c r="X161" s="36"/>
      <c r="Y161" s="36"/>
      <c r="Z161" s="36"/>
    </row>
    <row r="162" ht="15.75" customHeight="1">
      <c r="A162" s="36"/>
      <c r="B162" s="36"/>
      <c r="C162" s="36"/>
      <c r="D162" s="36"/>
      <c r="E162" s="36"/>
      <c r="F162" s="36"/>
      <c r="G162" s="36"/>
      <c r="H162" s="1"/>
      <c r="I162" s="36"/>
      <c r="J162" s="36"/>
      <c r="K162" s="36"/>
      <c r="L162" s="36"/>
      <c r="M162" s="36"/>
      <c r="N162" s="36"/>
      <c r="O162" s="36"/>
      <c r="P162" s="36"/>
      <c r="Q162" s="36"/>
      <c r="R162" s="36"/>
      <c r="S162" s="36"/>
      <c r="T162" s="36"/>
      <c r="U162" s="36"/>
      <c r="V162" s="36"/>
      <c r="W162" s="36"/>
      <c r="X162" s="36"/>
      <c r="Y162" s="36"/>
      <c r="Z162" s="36"/>
    </row>
    <row r="163" ht="15.75" customHeight="1">
      <c r="A163" s="36"/>
      <c r="B163" s="36"/>
      <c r="C163" s="36"/>
      <c r="D163" s="36"/>
      <c r="E163" s="36"/>
      <c r="F163" s="36"/>
      <c r="G163" s="36"/>
      <c r="H163" s="1"/>
      <c r="I163" s="36"/>
      <c r="J163" s="36"/>
      <c r="K163" s="36"/>
      <c r="L163" s="36"/>
      <c r="M163" s="36"/>
      <c r="N163" s="36"/>
      <c r="O163" s="36"/>
      <c r="P163" s="36"/>
      <c r="Q163" s="36"/>
      <c r="R163" s="36"/>
      <c r="S163" s="36"/>
      <c r="T163" s="36"/>
      <c r="U163" s="36"/>
      <c r="V163" s="36"/>
      <c r="W163" s="36"/>
      <c r="X163" s="36"/>
      <c r="Y163" s="36"/>
      <c r="Z163" s="36"/>
    </row>
    <row r="164" ht="15.75" customHeight="1">
      <c r="A164" s="36"/>
      <c r="B164" s="36"/>
      <c r="C164" s="36"/>
      <c r="D164" s="36"/>
      <c r="E164" s="36"/>
      <c r="F164" s="36"/>
      <c r="G164" s="36"/>
      <c r="H164" s="1"/>
      <c r="I164" s="36"/>
      <c r="J164" s="36"/>
      <c r="K164" s="36"/>
      <c r="L164" s="36"/>
      <c r="M164" s="36"/>
      <c r="N164" s="36"/>
      <c r="O164" s="36"/>
      <c r="P164" s="36"/>
      <c r="Q164" s="36"/>
      <c r="R164" s="36"/>
      <c r="S164" s="36"/>
      <c r="T164" s="36"/>
      <c r="U164" s="36"/>
      <c r="V164" s="36"/>
      <c r="W164" s="36"/>
      <c r="X164" s="36"/>
      <c r="Y164" s="36"/>
      <c r="Z164" s="36"/>
    </row>
    <row r="165" ht="15.75" customHeight="1">
      <c r="A165" s="36"/>
      <c r="B165" s="36"/>
      <c r="C165" s="36"/>
      <c r="D165" s="36"/>
      <c r="E165" s="36"/>
      <c r="F165" s="36"/>
      <c r="G165" s="36"/>
      <c r="H165" s="1"/>
      <c r="I165" s="36"/>
      <c r="J165" s="36"/>
      <c r="K165" s="36"/>
      <c r="L165" s="36"/>
      <c r="M165" s="36"/>
      <c r="N165" s="36"/>
      <c r="O165" s="36"/>
      <c r="P165" s="36"/>
      <c r="Q165" s="36"/>
      <c r="R165" s="36"/>
      <c r="S165" s="36"/>
      <c r="T165" s="36"/>
      <c r="U165" s="36"/>
      <c r="V165" s="36"/>
      <c r="W165" s="36"/>
      <c r="X165" s="36"/>
      <c r="Y165" s="36"/>
      <c r="Z165" s="36"/>
    </row>
    <row r="166" ht="15.75" customHeight="1">
      <c r="A166" s="36"/>
      <c r="B166" s="36"/>
      <c r="C166" s="36"/>
      <c r="D166" s="36"/>
      <c r="E166" s="36"/>
      <c r="F166" s="36"/>
      <c r="G166" s="36"/>
      <c r="H166" s="1"/>
      <c r="I166" s="36"/>
      <c r="J166" s="36"/>
      <c r="K166" s="36"/>
      <c r="L166" s="36"/>
      <c r="M166" s="36"/>
      <c r="N166" s="36"/>
      <c r="O166" s="36"/>
      <c r="P166" s="36"/>
      <c r="Q166" s="36"/>
      <c r="R166" s="36"/>
      <c r="S166" s="36"/>
      <c r="T166" s="36"/>
      <c r="U166" s="36"/>
      <c r="V166" s="36"/>
      <c r="W166" s="36"/>
      <c r="X166" s="36"/>
      <c r="Y166" s="36"/>
      <c r="Z166" s="36"/>
    </row>
    <row r="167" ht="15.75" customHeight="1">
      <c r="A167" s="36"/>
      <c r="B167" s="36"/>
      <c r="C167" s="36"/>
      <c r="D167" s="36"/>
      <c r="E167" s="36"/>
      <c r="F167" s="36"/>
      <c r="G167" s="36"/>
      <c r="H167" s="1"/>
      <c r="I167" s="36"/>
      <c r="J167" s="36"/>
      <c r="K167" s="36"/>
      <c r="L167" s="36"/>
      <c r="M167" s="36"/>
      <c r="N167" s="36"/>
      <c r="O167" s="36"/>
      <c r="P167" s="36"/>
      <c r="Q167" s="36"/>
      <c r="R167" s="36"/>
      <c r="S167" s="36"/>
      <c r="T167" s="36"/>
      <c r="U167" s="36"/>
      <c r="V167" s="36"/>
      <c r="W167" s="36"/>
      <c r="X167" s="36"/>
      <c r="Y167" s="36"/>
      <c r="Z167" s="36"/>
    </row>
    <row r="168" ht="15.75" customHeight="1">
      <c r="A168" s="36"/>
      <c r="B168" s="36"/>
      <c r="C168" s="36"/>
      <c r="D168" s="36"/>
      <c r="E168" s="36"/>
      <c r="F168" s="36"/>
      <c r="G168" s="36"/>
      <c r="H168" s="1"/>
      <c r="I168" s="36"/>
      <c r="J168" s="36"/>
      <c r="K168" s="36"/>
      <c r="L168" s="36"/>
      <c r="M168" s="36"/>
      <c r="N168" s="36"/>
      <c r="O168" s="36"/>
      <c r="P168" s="36"/>
      <c r="Q168" s="36"/>
      <c r="R168" s="36"/>
      <c r="S168" s="36"/>
      <c r="T168" s="36"/>
      <c r="U168" s="36"/>
      <c r="V168" s="36"/>
      <c r="W168" s="36"/>
      <c r="X168" s="36"/>
      <c r="Y168" s="36"/>
      <c r="Z168" s="36"/>
    </row>
    <row r="169" ht="15.75" customHeight="1">
      <c r="A169" s="36"/>
      <c r="B169" s="36"/>
      <c r="C169" s="36"/>
      <c r="D169" s="36"/>
      <c r="E169" s="36"/>
      <c r="F169" s="36"/>
      <c r="G169" s="36"/>
      <c r="H169" s="1"/>
      <c r="I169" s="36"/>
      <c r="J169" s="36"/>
      <c r="K169" s="36"/>
      <c r="L169" s="36"/>
      <c r="M169" s="36"/>
      <c r="N169" s="36"/>
      <c r="O169" s="36"/>
      <c r="P169" s="36"/>
      <c r="Q169" s="36"/>
      <c r="R169" s="36"/>
      <c r="S169" s="36"/>
      <c r="T169" s="36"/>
      <c r="U169" s="36"/>
      <c r="V169" s="36"/>
      <c r="W169" s="36"/>
      <c r="X169" s="36"/>
      <c r="Y169" s="36"/>
      <c r="Z169" s="36"/>
    </row>
    <row r="170" ht="15.75" customHeight="1">
      <c r="A170" s="36"/>
      <c r="B170" s="36"/>
      <c r="C170" s="36"/>
      <c r="D170" s="36"/>
      <c r="E170" s="36"/>
      <c r="F170" s="36"/>
      <c r="G170" s="36"/>
      <c r="H170" s="1"/>
      <c r="I170" s="36"/>
      <c r="J170" s="36"/>
      <c r="K170" s="36"/>
      <c r="L170" s="36"/>
      <c r="M170" s="36"/>
      <c r="N170" s="36"/>
      <c r="O170" s="36"/>
      <c r="P170" s="36"/>
      <c r="Q170" s="36"/>
      <c r="R170" s="36"/>
      <c r="S170" s="36"/>
      <c r="T170" s="36"/>
      <c r="U170" s="36"/>
      <c r="V170" s="36"/>
      <c r="W170" s="36"/>
      <c r="X170" s="36"/>
      <c r="Y170" s="36"/>
      <c r="Z170" s="36"/>
    </row>
    <row r="171" ht="15.75" customHeight="1">
      <c r="A171" s="36"/>
      <c r="B171" s="36"/>
      <c r="C171" s="36"/>
      <c r="D171" s="36"/>
      <c r="E171" s="36"/>
      <c r="F171" s="36"/>
      <c r="G171" s="36"/>
      <c r="H171" s="1"/>
      <c r="I171" s="36"/>
      <c r="J171" s="36"/>
      <c r="K171" s="36"/>
      <c r="L171" s="36"/>
      <c r="M171" s="36"/>
      <c r="N171" s="36"/>
      <c r="O171" s="36"/>
      <c r="P171" s="36"/>
      <c r="Q171" s="36"/>
      <c r="R171" s="36"/>
      <c r="S171" s="36"/>
      <c r="T171" s="36"/>
      <c r="U171" s="36"/>
      <c r="V171" s="36"/>
      <c r="W171" s="36"/>
      <c r="X171" s="36"/>
      <c r="Y171" s="36"/>
      <c r="Z171" s="36"/>
    </row>
    <row r="172" ht="15.75" customHeight="1">
      <c r="A172" s="36"/>
      <c r="B172" s="36"/>
      <c r="C172" s="36"/>
      <c r="D172" s="36"/>
      <c r="E172" s="36"/>
      <c r="F172" s="36"/>
      <c r="G172" s="36"/>
      <c r="H172" s="1"/>
      <c r="I172" s="36"/>
      <c r="J172" s="36"/>
      <c r="K172" s="36"/>
      <c r="L172" s="36"/>
      <c r="M172" s="36"/>
      <c r="N172" s="36"/>
      <c r="O172" s="36"/>
      <c r="P172" s="36"/>
      <c r="Q172" s="36"/>
      <c r="R172" s="36"/>
      <c r="S172" s="36"/>
      <c r="T172" s="36"/>
      <c r="U172" s="36"/>
      <c r="V172" s="36"/>
      <c r="W172" s="36"/>
      <c r="X172" s="36"/>
      <c r="Y172" s="36"/>
      <c r="Z172" s="36"/>
    </row>
    <row r="173" ht="15.75" customHeight="1">
      <c r="A173" s="36"/>
      <c r="B173" s="36"/>
      <c r="C173" s="36"/>
      <c r="D173" s="36"/>
      <c r="E173" s="36"/>
      <c r="F173" s="36"/>
      <c r="G173" s="36"/>
      <c r="H173" s="1"/>
      <c r="I173" s="36"/>
      <c r="J173" s="36"/>
      <c r="K173" s="36"/>
      <c r="L173" s="36"/>
      <c r="M173" s="36"/>
      <c r="N173" s="36"/>
      <c r="O173" s="36"/>
      <c r="P173" s="36"/>
      <c r="Q173" s="36"/>
      <c r="R173" s="36"/>
      <c r="S173" s="36"/>
      <c r="T173" s="36"/>
      <c r="U173" s="36"/>
      <c r="V173" s="36"/>
      <c r="W173" s="36"/>
      <c r="X173" s="36"/>
      <c r="Y173" s="36"/>
      <c r="Z173" s="36"/>
    </row>
    <row r="174" ht="15.75" customHeight="1">
      <c r="A174" s="36"/>
      <c r="B174" s="36"/>
      <c r="C174" s="36"/>
      <c r="D174" s="36"/>
      <c r="E174" s="36"/>
      <c r="F174" s="36"/>
      <c r="G174" s="36"/>
      <c r="H174" s="1"/>
      <c r="I174" s="36"/>
      <c r="J174" s="36"/>
      <c r="K174" s="36"/>
      <c r="L174" s="36"/>
      <c r="M174" s="36"/>
      <c r="N174" s="36"/>
      <c r="O174" s="36"/>
      <c r="P174" s="36"/>
      <c r="Q174" s="36"/>
      <c r="R174" s="36"/>
      <c r="S174" s="36"/>
      <c r="T174" s="36"/>
      <c r="U174" s="36"/>
      <c r="V174" s="36"/>
      <c r="W174" s="36"/>
      <c r="X174" s="36"/>
      <c r="Y174" s="36"/>
      <c r="Z174" s="36"/>
    </row>
    <row r="175" ht="15.75" customHeight="1">
      <c r="A175" s="36"/>
      <c r="B175" s="36"/>
      <c r="C175" s="36"/>
      <c r="D175" s="36"/>
      <c r="E175" s="36"/>
      <c r="F175" s="36"/>
      <c r="G175" s="36"/>
      <c r="H175" s="1"/>
      <c r="I175" s="36"/>
      <c r="J175" s="36"/>
      <c r="K175" s="36"/>
      <c r="L175" s="36"/>
      <c r="M175" s="36"/>
      <c r="N175" s="36"/>
      <c r="O175" s="36"/>
      <c r="P175" s="36"/>
      <c r="Q175" s="36"/>
      <c r="R175" s="36"/>
      <c r="S175" s="36"/>
      <c r="T175" s="36"/>
      <c r="U175" s="36"/>
      <c r="V175" s="36"/>
      <c r="W175" s="36"/>
      <c r="X175" s="36"/>
      <c r="Y175" s="36"/>
      <c r="Z175" s="36"/>
    </row>
    <row r="176" ht="15.75" customHeight="1">
      <c r="A176" s="36"/>
      <c r="B176" s="36"/>
      <c r="C176" s="36"/>
      <c r="D176" s="36"/>
      <c r="E176" s="36"/>
      <c r="F176" s="36"/>
      <c r="G176" s="36"/>
      <c r="H176" s="1"/>
      <c r="I176" s="36"/>
      <c r="J176" s="36"/>
      <c r="K176" s="36"/>
      <c r="L176" s="36"/>
      <c r="M176" s="36"/>
      <c r="N176" s="36"/>
      <c r="O176" s="36"/>
      <c r="P176" s="36"/>
      <c r="Q176" s="36"/>
      <c r="R176" s="36"/>
      <c r="S176" s="36"/>
      <c r="T176" s="36"/>
      <c r="U176" s="36"/>
      <c r="V176" s="36"/>
      <c r="W176" s="36"/>
      <c r="X176" s="36"/>
      <c r="Y176" s="36"/>
      <c r="Z176" s="36"/>
    </row>
    <row r="177" ht="15.75" customHeight="1">
      <c r="A177" s="36"/>
      <c r="B177" s="36"/>
      <c r="C177" s="36"/>
      <c r="D177" s="36"/>
      <c r="E177" s="36"/>
      <c r="F177" s="36"/>
      <c r="G177" s="36"/>
      <c r="H177" s="1"/>
      <c r="I177" s="36"/>
      <c r="J177" s="36"/>
      <c r="K177" s="36"/>
      <c r="L177" s="36"/>
      <c r="M177" s="36"/>
      <c r="N177" s="36"/>
      <c r="O177" s="36"/>
      <c r="P177" s="36"/>
      <c r="Q177" s="36"/>
      <c r="R177" s="36"/>
      <c r="S177" s="36"/>
      <c r="T177" s="36"/>
      <c r="U177" s="36"/>
      <c r="V177" s="36"/>
      <c r="W177" s="36"/>
      <c r="X177" s="36"/>
      <c r="Y177" s="36"/>
      <c r="Z177" s="36"/>
    </row>
    <row r="178" ht="15.75" customHeight="1">
      <c r="A178" s="36"/>
      <c r="B178" s="36"/>
      <c r="C178" s="36"/>
      <c r="D178" s="36"/>
      <c r="E178" s="36"/>
      <c r="F178" s="36"/>
      <c r="G178" s="36"/>
      <c r="H178" s="1"/>
      <c r="I178" s="36"/>
      <c r="J178" s="36"/>
      <c r="K178" s="36"/>
      <c r="L178" s="36"/>
      <c r="M178" s="36"/>
      <c r="N178" s="36"/>
      <c r="O178" s="36"/>
      <c r="P178" s="36"/>
      <c r="Q178" s="36"/>
      <c r="R178" s="36"/>
      <c r="S178" s="36"/>
      <c r="T178" s="36"/>
      <c r="U178" s="36"/>
      <c r="V178" s="36"/>
      <c r="W178" s="36"/>
      <c r="X178" s="36"/>
      <c r="Y178" s="36"/>
      <c r="Z178" s="36"/>
    </row>
    <row r="179" ht="15.75" customHeight="1">
      <c r="A179" s="36"/>
      <c r="B179" s="36"/>
      <c r="C179" s="36"/>
      <c r="D179" s="36"/>
      <c r="E179" s="36"/>
      <c r="F179" s="36"/>
      <c r="G179" s="36"/>
      <c r="H179" s="1"/>
      <c r="I179" s="36"/>
      <c r="J179" s="36"/>
      <c r="K179" s="36"/>
      <c r="L179" s="36"/>
      <c r="M179" s="36"/>
      <c r="N179" s="36"/>
      <c r="O179" s="36"/>
      <c r="P179" s="36"/>
      <c r="Q179" s="36"/>
      <c r="R179" s="36"/>
      <c r="S179" s="36"/>
      <c r="T179" s="36"/>
      <c r="U179" s="36"/>
      <c r="V179" s="36"/>
      <c r="W179" s="36"/>
      <c r="X179" s="36"/>
      <c r="Y179" s="36"/>
      <c r="Z179" s="36"/>
    </row>
    <row r="180" ht="15.75" customHeight="1">
      <c r="A180" s="36"/>
      <c r="B180" s="36"/>
      <c r="C180" s="36"/>
      <c r="D180" s="36"/>
      <c r="E180" s="36"/>
      <c r="F180" s="36"/>
      <c r="G180" s="36"/>
      <c r="H180" s="1"/>
      <c r="I180" s="36"/>
      <c r="J180" s="36"/>
      <c r="K180" s="36"/>
      <c r="L180" s="36"/>
      <c r="M180" s="36"/>
      <c r="N180" s="36"/>
      <c r="O180" s="36"/>
      <c r="P180" s="36"/>
      <c r="Q180" s="36"/>
      <c r="R180" s="36"/>
      <c r="S180" s="36"/>
      <c r="T180" s="36"/>
      <c r="U180" s="36"/>
      <c r="V180" s="36"/>
      <c r="W180" s="36"/>
      <c r="X180" s="36"/>
      <c r="Y180" s="36"/>
      <c r="Z180" s="36"/>
    </row>
    <row r="181" ht="15.75" customHeight="1">
      <c r="A181" s="36"/>
      <c r="B181" s="36"/>
      <c r="C181" s="36"/>
      <c r="D181" s="36"/>
      <c r="E181" s="36"/>
      <c r="F181" s="36"/>
      <c r="G181" s="36"/>
      <c r="H181" s="1"/>
      <c r="I181" s="36"/>
      <c r="J181" s="36"/>
      <c r="K181" s="36"/>
      <c r="L181" s="36"/>
      <c r="M181" s="36"/>
      <c r="N181" s="36"/>
      <c r="O181" s="36"/>
      <c r="P181" s="36"/>
      <c r="Q181" s="36"/>
      <c r="R181" s="36"/>
      <c r="S181" s="36"/>
      <c r="T181" s="36"/>
      <c r="U181" s="36"/>
      <c r="V181" s="36"/>
      <c r="W181" s="36"/>
      <c r="X181" s="36"/>
      <c r="Y181" s="36"/>
      <c r="Z181" s="36"/>
    </row>
    <row r="182" ht="15.75" customHeight="1">
      <c r="A182" s="36"/>
      <c r="B182" s="36"/>
      <c r="C182" s="36"/>
      <c r="D182" s="36"/>
      <c r="E182" s="36"/>
      <c r="F182" s="36"/>
      <c r="G182" s="36"/>
      <c r="H182" s="1"/>
      <c r="I182" s="36"/>
      <c r="J182" s="36"/>
      <c r="K182" s="36"/>
      <c r="L182" s="36"/>
      <c r="M182" s="36"/>
      <c r="N182" s="36"/>
      <c r="O182" s="36"/>
      <c r="P182" s="36"/>
      <c r="Q182" s="36"/>
      <c r="R182" s="36"/>
      <c r="S182" s="36"/>
      <c r="T182" s="36"/>
      <c r="U182" s="36"/>
      <c r="V182" s="36"/>
      <c r="W182" s="36"/>
      <c r="X182" s="36"/>
      <c r="Y182" s="36"/>
      <c r="Z182" s="36"/>
    </row>
    <row r="183" ht="15.75" customHeight="1">
      <c r="A183" s="36"/>
      <c r="B183" s="36"/>
      <c r="C183" s="36"/>
      <c r="D183" s="36"/>
      <c r="E183" s="36"/>
      <c r="F183" s="36"/>
      <c r="G183" s="36"/>
      <c r="H183" s="1"/>
      <c r="I183" s="36"/>
      <c r="J183" s="36"/>
      <c r="K183" s="36"/>
      <c r="L183" s="36"/>
      <c r="M183" s="36"/>
      <c r="N183" s="36"/>
      <c r="O183" s="36"/>
      <c r="P183" s="36"/>
      <c r="Q183" s="36"/>
      <c r="R183" s="36"/>
      <c r="S183" s="36"/>
      <c r="T183" s="36"/>
      <c r="U183" s="36"/>
      <c r="V183" s="36"/>
      <c r="W183" s="36"/>
      <c r="X183" s="36"/>
      <c r="Y183" s="36"/>
      <c r="Z183" s="36"/>
    </row>
    <row r="184" ht="15.75" customHeight="1">
      <c r="A184" s="36"/>
      <c r="B184" s="36"/>
      <c r="C184" s="36"/>
      <c r="D184" s="36"/>
      <c r="E184" s="36"/>
      <c r="F184" s="36"/>
      <c r="G184" s="36"/>
      <c r="H184" s="1"/>
      <c r="I184" s="36"/>
      <c r="J184" s="36"/>
      <c r="K184" s="36"/>
      <c r="L184" s="36"/>
      <c r="M184" s="36"/>
      <c r="N184" s="36"/>
      <c r="O184" s="36"/>
      <c r="P184" s="36"/>
      <c r="Q184" s="36"/>
      <c r="R184" s="36"/>
      <c r="S184" s="36"/>
      <c r="T184" s="36"/>
      <c r="U184" s="36"/>
      <c r="V184" s="36"/>
      <c r="W184" s="36"/>
      <c r="X184" s="36"/>
      <c r="Y184" s="36"/>
      <c r="Z184" s="36"/>
    </row>
    <row r="185" ht="15.75" customHeight="1">
      <c r="A185" s="36"/>
      <c r="B185" s="36"/>
      <c r="C185" s="36"/>
      <c r="D185" s="36"/>
      <c r="E185" s="36"/>
      <c r="F185" s="36"/>
      <c r="G185" s="36"/>
      <c r="H185" s="1"/>
      <c r="I185" s="36"/>
      <c r="J185" s="36"/>
      <c r="K185" s="36"/>
      <c r="L185" s="36"/>
      <c r="M185" s="36"/>
      <c r="N185" s="36"/>
      <c r="O185" s="36"/>
      <c r="P185" s="36"/>
      <c r="Q185" s="36"/>
      <c r="R185" s="36"/>
      <c r="S185" s="36"/>
      <c r="T185" s="36"/>
      <c r="U185" s="36"/>
      <c r="V185" s="36"/>
      <c r="W185" s="36"/>
      <c r="X185" s="36"/>
      <c r="Y185" s="36"/>
      <c r="Z185" s="36"/>
    </row>
    <row r="186" ht="15.75" customHeight="1">
      <c r="A186" s="36"/>
      <c r="B186" s="36"/>
      <c r="C186" s="36"/>
      <c r="D186" s="36"/>
      <c r="E186" s="36"/>
      <c r="F186" s="36"/>
      <c r="G186" s="36"/>
      <c r="H186" s="1"/>
      <c r="I186" s="36"/>
      <c r="J186" s="36"/>
      <c r="K186" s="36"/>
      <c r="L186" s="36"/>
      <c r="M186" s="36"/>
      <c r="N186" s="36"/>
      <c r="O186" s="36"/>
      <c r="P186" s="36"/>
      <c r="Q186" s="36"/>
      <c r="R186" s="36"/>
      <c r="S186" s="36"/>
      <c r="T186" s="36"/>
      <c r="U186" s="36"/>
      <c r="V186" s="36"/>
      <c r="W186" s="36"/>
      <c r="X186" s="36"/>
      <c r="Y186" s="36"/>
      <c r="Z186" s="36"/>
    </row>
    <row r="187" ht="15.75" customHeight="1">
      <c r="H187" s="1"/>
    </row>
    <row r="188" ht="15.75" customHeight="1">
      <c r="H188" s="1"/>
    </row>
    <row r="189" ht="15.75" customHeight="1">
      <c r="H189" s="1"/>
    </row>
    <row r="190" ht="15.75" customHeight="1">
      <c r="H190" s="1"/>
    </row>
    <row r="191" ht="15.75" customHeight="1">
      <c r="H191" s="1"/>
    </row>
    <row r="192" ht="15.75" customHeight="1">
      <c r="H192" s="1"/>
    </row>
    <row r="193" ht="15.75" customHeight="1">
      <c r="H193" s="1"/>
    </row>
    <row r="194" ht="15.75" customHeight="1">
      <c r="H194" s="1"/>
    </row>
    <row r="195" ht="15.75" customHeight="1">
      <c r="H195" s="1"/>
    </row>
    <row r="196" ht="15.75" customHeight="1">
      <c r="H196" s="1"/>
    </row>
    <row r="197" ht="15.75" customHeight="1">
      <c r="H197" s="1"/>
    </row>
    <row r="198" ht="15.75" customHeight="1">
      <c r="H198" s="1"/>
    </row>
    <row r="199" ht="15.75" customHeight="1">
      <c r="H199" s="1"/>
    </row>
    <row r="200" ht="15.75" customHeight="1">
      <c r="H200" s="1"/>
    </row>
    <row r="201" ht="15.75" customHeight="1">
      <c r="H201" s="1"/>
    </row>
    <row r="202" ht="15.75" customHeight="1">
      <c r="H202" s="1"/>
    </row>
    <row r="203" ht="15.75" customHeight="1">
      <c r="H203" s="1"/>
    </row>
    <row r="204" ht="15.75" customHeight="1">
      <c r="H204" s="1"/>
    </row>
    <row r="205" ht="15.75" customHeight="1">
      <c r="H205" s="1"/>
    </row>
    <row r="206" ht="15.75" customHeight="1">
      <c r="H206" s="1"/>
    </row>
    <row r="207" ht="15.75" customHeight="1">
      <c r="H207" s="1"/>
    </row>
    <row r="208" ht="15.75" customHeight="1">
      <c r="H208" s="1"/>
    </row>
    <row r="209" ht="15.75" customHeight="1">
      <c r="H209" s="1"/>
    </row>
    <row r="210" ht="15.75" customHeight="1">
      <c r="H210" s="1"/>
    </row>
    <row r="211" ht="15.75" customHeight="1">
      <c r="H211" s="1"/>
    </row>
    <row r="212" ht="15.75" customHeight="1">
      <c r="H212" s="1"/>
    </row>
    <row r="213" ht="15.75" customHeight="1">
      <c r="H213" s="1"/>
    </row>
    <row r="214" ht="15.75" customHeight="1">
      <c r="H214" s="1"/>
    </row>
    <row r="215" ht="15.75" customHeight="1">
      <c r="H215" s="1"/>
    </row>
    <row r="216" ht="15.75" customHeight="1">
      <c r="H216" s="1"/>
    </row>
    <row r="217" ht="15.75" customHeight="1">
      <c r="H217" s="1"/>
    </row>
    <row r="218" ht="15.75" customHeight="1">
      <c r="H218" s="1"/>
    </row>
    <row r="219" ht="15.75" customHeight="1">
      <c r="H219" s="1"/>
    </row>
    <row r="220" ht="15.75" customHeight="1">
      <c r="H220" s="1"/>
    </row>
    <row r="221" ht="15.75" customHeight="1">
      <c r="H221" s="1"/>
    </row>
    <row r="222" ht="15.75" customHeight="1">
      <c r="H222" s="1"/>
    </row>
    <row r="223" ht="15.75" customHeight="1">
      <c r="H223" s="1"/>
    </row>
    <row r="224" ht="15.75" customHeight="1">
      <c r="H224" s="1"/>
    </row>
    <row r="225" ht="15.75" customHeight="1">
      <c r="H225" s="1"/>
    </row>
    <row r="226" ht="15.75" customHeight="1">
      <c r="H226" s="1"/>
    </row>
    <row r="227" ht="15.75" customHeight="1">
      <c r="H227" s="1"/>
    </row>
    <row r="228" ht="15.75" customHeight="1">
      <c r="H228" s="1"/>
    </row>
    <row r="229" ht="15.75" customHeight="1">
      <c r="H229" s="1"/>
    </row>
    <row r="230" ht="15.75" customHeight="1">
      <c r="H230" s="1"/>
    </row>
    <row r="231" ht="15.75" customHeight="1">
      <c r="H231" s="1"/>
    </row>
    <row r="232" ht="15.75" customHeight="1">
      <c r="H232" s="1"/>
    </row>
    <row r="233" ht="15.75" customHeight="1">
      <c r="H233" s="1"/>
    </row>
    <row r="234" ht="15.75" customHeight="1">
      <c r="H234" s="1"/>
    </row>
    <row r="235" ht="15.75" customHeight="1">
      <c r="H235" s="1"/>
    </row>
    <row r="236" ht="15.75" customHeight="1">
      <c r="H236" s="1"/>
    </row>
    <row r="237" ht="15.75" customHeight="1">
      <c r="H237" s="1"/>
    </row>
    <row r="238" ht="15.75" customHeight="1">
      <c r="H238" s="1"/>
    </row>
    <row r="239" ht="15.75" customHeight="1">
      <c r="H239" s="1"/>
    </row>
    <row r="240" ht="15.75" customHeight="1">
      <c r="H240" s="1"/>
    </row>
    <row r="241" ht="15.75" customHeight="1">
      <c r="H241" s="1"/>
    </row>
    <row r="242" ht="15.75" customHeight="1">
      <c r="H242" s="1"/>
    </row>
    <row r="243" ht="15.75" customHeight="1">
      <c r="H243" s="1"/>
    </row>
    <row r="244" ht="15.75" customHeight="1">
      <c r="H244" s="1"/>
    </row>
    <row r="245" ht="15.75" customHeight="1">
      <c r="H245" s="1"/>
    </row>
    <row r="246" ht="15.75" customHeight="1">
      <c r="H246" s="1"/>
    </row>
    <row r="247" ht="15.75" customHeight="1">
      <c r="H247" s="1"/>
    </row>
    <row r="248" ht="15.75" customHeight="1">
      <c r="H248" s="1"/>
    </row>
    <row r="249" ht="15.75" customHeight="1">
      <c r="H249" s="1"/>
    </row>
    <row r="250" ht="15.75" customHeight="1">
      <c r="H250" s="1"/>
    </row>
    <row r="251" ht="15.75" customHeight="1">
      <c r="H251" s="1"/>
    </row>
    <row r="252" ht="15.75" customHeight="1">
      <c r="H252" s="1"/>
    </row>
    <row r="253" ht="15.75" customHeight="1">
      <c r="H253" s="1"/>
    </row>
    <row r="254" ht="15.75" customHeight="1">
      <c r="H254" s="1"/>
    </row>
    <row r="255" ht="15.75" customHeight="1">
      <c r="H255" s="1"/>
    </row>
    <row r="256" ht="15.75" customHeight="1">
      <c r="H256" s="1"/>
    </row>
    <row r="257" ht="15.75" customHeight="1">
      <c r="H257" s="1"/>
    </row>
    <row r="258" ht="15.75" customHeight="1">
      <c r="H258" s="1"/>
    </row>
    <row r="259" ht="15.75" customHeight="1">
      <c r="H259" s="1"/>
    </row>
    <row r="260" ht="15.75" customHeight="1">
      <c r="H260" s="1"/>
    </row>
    <row r="261" ht="15.75" customHeight="1">
      <c r="H261" s="1"/>
    </row>
    <row r="262" ht="15.75" customHeight="1">
      <c r="H262" s="1"/>
    </row>
    <row r="263" ht="15.75" customHeight="1">
      <c r="H263" s="1"/>
    </row>
    <row r="264" ht="15.75" customHeight="1">
      <c r="H264" s="1"/>
    </row>
    <row r="265" ht="15.75" customHeight="1">
      <c r="H265" s="1"/>
    </row>
    <row r="266" ht="15.75" customHeight="1">
      <c r="H266" s="1"/>
    </row>
    <row r="267" ht="15.75" customHeight="1">
      <c r="H267" s="1"/>
    </row>
    <row r="268" ht="15.75" customHeight="1">
      <c r="H268" s="1"/>
    </row>
    <row r="269" ht="15.75" customHeight="1">
      <c r="H269" s="1"/>
    </row>
    <row r="270" ht="15.75" customHeight="1">
      <c r="H270" s="1"/>
    </row>
    <row r="271" ht="15.75" customHeight="1">
      <c r="H271" s="1"/>
    </row>
    <row r="272" ht="15.75" customHeight="1">
      <c r="H272" s="1"/>
    </row>
    <row r="273" ht="15.75" customHeight="1">
      <c r="H273" s="1"/>
    </row>
    <row r="274" ht="15.75" customHeight="1">
      <c r="H274" s="1"/>
    </row>
    <row r="275" ht="15.75" customHeight="1">
      <c r="H275" s="1"/>
    </row>
    <row r="276" ht="15.75" customHeight="1">
      <c r="H276" s="1"/>
    </row>
    <row r="277" ht="15.75" customHeight="1">
      <c r="H277" s="1"/>
    </row>
    <row r="278" ht="15.75" customHeight="1">
      <c r="H278" s="1"/>
    </row>
    <row r="279" ht="15.75" customHeight="1">
      <c r="H279" s="1"/>
    </row>
    <row r="280" ht="15.75" customHeight="1">
      <c r="H280" s="1"/>
    </row>
    <row r="281" ht="15.75" customHeight="1">
      <c r="H281" s="1"/>
    </row>
    <row r="282" ht="15.75" customHeight="1">
      <c r="H282" s="1"/>
    </row>
    <row r="283" ht="15.75" customHeight="1">
      <c r="H283" s="1"/>
    </row>
    <row r="284" ht="15.75" customHeight="1">
      <c r="H284" s="1"/>
    </row>
    <row r="285" ht="15.75" customHeight="1">
      <c r="H285" s="1"/>
    </row>
    <row r="286" ht="15.75" customHeight="1">
      <c r="H286" s="1"/>
    </row>
    <row r="287" ht="15.75" customHeight="1">
      <c r="H287" s="1"/>
    </row>
    <row r="288" ht="15.75" customHeight="1">
      <c r="H288" s="1"/>
    </row>
    <row r="289" ht="15.75" customHeight="1">
      <c r="H289" s="1"/>
    </row>
    <row r="290" ht="15.75" customHeight="1">
      <c r="H290" s="1"/>
    </row>
    <row r="291" ht="15.75" customHeight="1">
      <c r="H291" s="1"/>
    </row>
    <row r="292" ht="15.75" customHeight="1">
      <c r="H292" s="1"/>
    </row>
    <row r="293" ht="15.75" customHeight="1">
      <c r="H293" s="1"/>
    </row>
    <row r="294" ht="15.75" customHeight="1">
      <c r="H294" s="1"/>
    </row>
    <row r="295" ht="15.75" customHeight="1">
      <c r="H295" s="1"/>
    </row>
    <row r="296" ht="15.75" customHeight="1">
      <c r="H296" s="1"/>
    </row>
    <row r="297" ht="15.75" customHeight="1">
      <c r="H297" s="1"/>
    </row>
    <row r="298" ht="15.75" customHeight="1">
      <c r="H298" s="1"/>
    </row>
    <row r="299" ht="15.75" customHeight="1">
      <c r="H299" s="1"/>
    </row>
    <row r="300" ht="15.75" customHeight="1">
      <c r="H300" s="1"/>
    </row>
    <row r="301" ht="15.75" customHeight="1">
      <c r="H301" s="1"/>
    </row>
    <row r="302" ht="15.75" customHeight="1">
      <c r="H302" s="1"/>
    </row>
    <row r="303" ht="15.75" customHeight="1">
      <c r="H303" s="1"/>
    </row>
    <row r="304" ht="15.75" customHeight="1">
      <c r="H304" s="1"/>
    </row>
    <row r="305" ht="15.75" customHeight="1">
      <c r="H305" s="1"/>
    </row>
    <row r="306" ht="15.75" customHeight="1">
      <c r="H306" s="1"/>
    </row>
    <row r="307" ht="15.75" customHeight="1">
      <c r="H307" s="1"/>
    </row>
    <row r="308" ht="15.75" customHeight="1">
      <c r="H308" s="1"/>
    </row>
    <row r="309" ht="15.75" customHeight="1">
      <c r="H309" s="1"/>
    </row>
    <row r="310" ht="15.75" customHeight="1">
      <c r="H310" s="1"/>
    </row>
    <row r="311" ht="15.75" customHeight="1">
      <c r="H311" s="1"/>
    </row>
    <row r="312" ht="15.75" customHeight="1">
      <c r="H312" s="1"/>
    </row>
    <row r="313" ht="15.75" customHeight="1">
      <c r="H313" s="1"/>
    </row>
    <row r="314" ht="15.75" customHeight="1">
      <c r="H314" s="1"/>
    </row>
    <row r="315" ht="15.75" customHeight="1">
      <c r="H315" s="1"/>
    </row>
    <row r="316" ht="15.75" customHeight="1">
      <c r="H316" s="1"/>
    </row>
    <row r="317" ht="15.75" customHeight="1">
      <c r="H317" s="1"/>
    </row>
    <row r="318" ht="15.75" customHeight="1">
      <c r="H318" s="1"/>
    </row>
    <row r="319" ht="15.75" customHeight="1">
      <c r="H319" s="1"/>
    </row>
    <row r="320" ht="15.75" customHeight="1">
      <c r="H320" s="1"/>
    </row>
    <row r="321" ht="15.75" customHeight="1">
      <c r="H321" s="1"/>
    </row>
    <row r="322" ht="15.75" customHeight="1">
      <c r="H322" s="1"/>
    </row>
    <row r="323" ht="15.75" customHeight="1">
      <c r="H323" s="1"/>
    </row>
    <row r="324" ht="15.75" customHeight="1">
      <c r="H324" s="1"/>
    </row>
    <row r="325" ht="15.75" customHeight="1">
      <c r="H325" s="1"/>
    </row>
    <row r="326" ht="15.75" customHeight="1">
      <c r="H326" s="1"/>
    </row>
    <row r="327" ht="15.75" customHeight="1">
      <c r="H327" s="1"/>
    </row>
    <row r="328" ht="15.75" customHeight="1">
      <c r="H328" s="1"/>
    </row>
    <row r="329" ht="15.75" customHeight="1">
      <c r="H329" s="1"/>
    </row>
    <row r="330" ht="15.75" customHeight="1">
      <c r="H330" s="1"/>
    </row>
    <row r="331" ht="15.75" customHeight="1">
      <c r="H331" s="1"/>
    </row>
    <row r="332" ht="15.75" customHeight="1">
      <c r="H332" s="1"/>
    </row>
    <row r="333" ht="15.75" customHeight="1">
      <c r="H333" s="1"/>
    </row>
    <row r="334" ht="15.75" customHeight="1">
      <c r="H334" s="1"/>
    </row>
    <row r="335" ht="15.75" customHeight="1">
      <c r="H335" s="1"/>
    </row>
    <row r="336" ht="15.75" customHeight="1">
      <c r="H336" s="1"/>
    </row>
    <row r="337" ht="15.75" customHeight="1">
      <c r="H337" s="1"/>
    </row>
    <row r="338" ht="15.75" customHeight="1">
      <c r="H338" s="1"/>
    </row>
    <row r="339" ht="15.75" customHeight="1">
      <c r="H339" s="1"/>
    </row>
    <row r="340" ht="15.75" customHeight="1">
      <c r="H340" s="1"/>
    </row>
    <row r="341" ht="15.75" customHeight="1">
      <c r="H341" s="1"/>
    </row>
    <row r="342" ht="15.75" customHeight="1">
      <c r="H342" s="1"/>
    </row>
    <row r="343" ht="15.75" customHeight="1">
      <c r="H343" s="1"/>
    </row>
    <row r="344" ht="15.75" customHeight="1">
      <c r="H344" s="1"/>
    </row>
    <row r="345" ht="15.75" customHeight="1">
      <c r="H345" s="1"/>
    </row>
    <row r="346" ht="15.75" customHeight="1">
      <c r="H346" s="1"/>
    </row>
    <row r="347" ht="15.75" customHeight="1">
      <c r="H347" s="1"/>
    </row>
    <row r="348" ht="15.75" customHeight="1">
      <c r="H348" s="1"/>
    </row>
    <row r="349" ht="15.75" customHeight="1">
      <c r="H349" s="1"/>
    </row>
    <row r="350" ht="15.75" customHeight="1">
      <c r="H350" s="1"/>
    </row>
    <row r="351" ht="15.75" customHeight="1">
      <c r="H351" s="1"/>
    </row>
    <row r="352" ht="15.75" customHeight="1">
      <c r="H352" s="1"/>
    </row>
    <row r="353" ht="15.75" customHeight="1">
      <c r="H353" s="1"/>
    </row>
    <row r="354" ht="15.75" customHeight="1">
      <c r="H354" s="1"/>
    </row>
    <row r="355" ht="15.75" customHeight="1">
      <c r="H355" s="1"/>
    </row>
    <row r="356" ht="15.75" customHeight="1">
      <c r="H356" s="1"/>
    </row>
    <row r="357" ht="15.75" customHeight="1">
      <c r="H357" s="1"/>
    </row>
    <row r="358" ht="15.75" customHeight="1">
      <c r="H358" s="1"/>
    </row>
    <row r="359" ht="15.75" customHeight="1">
      <c r="H359" s="1"/>
    </row>
    <row r="360" ht="15.75" customHeight="1">
      <c r="H360" s="1"/>
    </row>
    <row r="361" ht="15.75" customHeight="1">
      <c r="H361" s="1"/>
    </row>
    <row r="362" ht="15.75" customHeight="1">
      <c r="H362" s="1"/>
    </row>
    <row r="363" ht="15.75" customHeight="1">
      <c r="H363" s="1"/>
    </row>
    <row r="364" ht="15.75" customHeight="1">
      <c r="H364" s="1"/>
    </row>
    <row r="365" ht="15.75" customHeight="1">
      <c r="H365" s="1"/>
    </row>
    <row r="366" ht="15.75" customHeight="1">
      <c r="H366" s="1"/>
    </row>
    <row r="367" ht="15.75" customHeight="1">
      <c r="H367" s="1"/>
    </row>
    <row r="368" ht="15.75" customHeight="1">
      <c r="H368" s="1"/>
    </row>
    <row r="369" ht="15.75" customHeight="1">
      <c r="H369" s="1"/>
    </row>
    <row r="370" ht="15.75" customHeight="1">
      <c r="H370" s="1"/>
    </row>
    <row r="371" ht="15.75" customHeight="1">
      <c r="H371" s="1"/>
    </row>
    <row r="372" ht="15.75" customHeight="1">
      <c r="H372" s="1"/>
    </row>
    <row r="373" ht="15.75" customHeight="1">
      <c r="H373" s="1"/>
    </row>
    <row r="374" ht="15.75" customHeight="1">
      <c r="H374" s="1"/>
    </row>
    <row r="375" ht="15.75" customHeight="1">
      <c r="H375" s="1"/>
    </row>
    <row r="376" ht="15.75" customHeight="1">
      <c r="H376" s="1"/>
    </row>
    <row r="377" ht="15.75" customHeight="1">
      <c r="H377" s="1"/>
    </row>
    <row r="378" ht="15.75" customHeight="1">
      <c r="H378" s="1"/>
    </row>
    <row r="379" ht="15.75" customHeight="1">
      <c r="H379" s="1"/>
    </row>
    <row r="380" ht="15.75" customHeight="1">
      <c r="H380" s="1"/>
    </row>
    <row r="381" ht="15.75" customHeight="1">
      <c r="H381" s="1"/>
    </row>
    <row r="382" ht="15.75" customHeight="1">
      <c r="H382" s="1"/>
    </row>
    <row r="383" ht="15.75" customHeight="1">
      <c r="H383" s="1"/>
    </row>
    <row r="384" ht="15.75" customHeight="1">
      <c r="H384" s="1"/>
    </row>
    <row r="385" ht="15.75" customHeight="1">
      <c r="H385" s="1"/>
    </row>
    <row r="386" ht="15.75" customHeight="1">
      <c r="H386" s="1"/>
    </row>
    <row r="387" ht="15.75" customHeight="1">
      <c r="H387" s="1"/>
    </row>
    <row r="388" ht="15.75" customHeight="1">
      <c r="H388" s="1"/>
    </row>
    <row r="389" ht="15.75" customHeight="1">
      <c r="H389" s="1"/>
    </row>
    <row r="390" ht="15.75" customHeight="1">
      <c r="H390" s="1"/>
    </row>
    <row r="391" ht="15.75" customHeight="1">
      <c r="H391" s="1"/>
    </row>
    <row r="392" ht="15.75" customHeight="1">
      <c r="H392" s="1"/>
    </row>
    <row r="393" ht="15.75" customHeight="1">
      <c r="H393" s="1"/>
    </row>
    <row r="394" ht="15.75" customHeight="1">
      <c r="H394" s="1"/>
    </row>
    <row r="395" ht="15.75" customHeight="1">
      <c r="H395" s="1"/>
    </row>
    <row r="396" ht="15.75" customHeight="1">
      <c r="H396" s="1"/>
    </row>
    <row r="397" ht="15.75" customHeight="1">
      <c r="H397" s="1"/>
    </row>
    <row r="398" ht="15.75" customHeight="1">
      <c r="H398" s="1"/>
    </row>
    <row r="399" ht="15.75" customHeight="1">
      <c r="H399" s="1"/>
    </row>
    <row r="400" ht="15.75" customHeight="1">
      <c r="H400" s="1"/>
    </row>
    <row r="401" ht="15.75" customHeight="1">
      <c r="H401" s="1"/>
    </row>
    <row r="402" ht="15.75" customHeight="1">
      <c r="H402" s="1"/>
    </row>
    <row r="403" ht="15.75" customHeight="1">
      <c r="H403" s="1"/>
    </row>
    <row r="404" ht="15.75" customHeight="1">
      <c r="H404" s="1"/>
    </row>
    <row r="405" ht="15.75" customHeight="1">
      <c r="H405" s="1"/>
    </row>
    <row r="406" ht="15.75" customHeight="1">
      <c r="H406" s="1"/>
    </row>
    <row r="407" ht="15.75" customHeight="1">
      <c r="H407" s="1"/>
    </row>
    <row r="408" ht="15.75" customHeight="1">
      <c r="H408" s="1"/>
    </row>
    <row r="409" ht="15.75" customHeight="1">
      <c r="H409" s="1"/>
    </row>
    <row r="410" ht="15.75" customHeight="1">
      <c r="H410" s="1"/>
    </row>
    <row r="411" ht="15.75" customHeight="1">
      <c r="H411" s="1"/>
    </row>
    <row r="412" ht="15.75" customHeight="1">
      <c r="H412" s="1"/>
    </row>
    <row r="413" ht="15.75" customHeight="1">
      <c r="H413" s="1"/>
    </row>
    <row r="414" ht="15.75" customHeight="1">
      <c r="H414" s="1"/>
    </row>
    <row r="415" ht="15.75" customHeight="1">
      <c r="H415" s="1"/>
    </row>
    <row r="416" ht="15.75" customHeight="1">
      <c r="H416" s="1"/>
    </row>
    <row r="417" ht="15.75" customHeight="1">
      <c r="H417" s="1"/>
    </row>
    <row r="418" ht="15.75" customHeight="1">
      <c r="H418" s="1"/>
    </row>
    <row r="419" ht="15.75" customHeight="1">
      <c r="H419" s="1"/>
    </row>
    <row r="420" ht="15.75" customHeight="1">
      <c r="H420" s="1"/>
    </row>
    <row r="421" ht="15.75" customHeight="1">
      <c r="H421" s="1"/>
    </row>
    <row r="422" ht="15.75" customHeight="1">
      <c r="H422" s="1"/>
    </row>
    <row r="423" ht="15.75" customHeight="1">
      <c r="H423" s="1"/>
    </row>
    <row r="424" ht="15.75" customHeight="1">
      <c r="H424" s="1"/>
    </row>
    <row r="425" ht="15.75" customHeight="1">
      <c r="H425" s="1"/>
    </row>
    <row r="426" ht="15.75" customHeight="1">
      <c r="H426" s="1"/>
    </row>
    <row r="427" ht="15.75" customHeight="1">
      <c r="H427" s="1"/>
    </row>
    <row r="428" ht="15.75" customHeight="1">
      <c r="H428" s="1"/>
    </row>
    <row r="429" ht="15.75" customHeight="1">
      <c r="H429" s="1"/>
    </row>
    <row r="430" ht="15.75" customHeight="1">
      <c r="H430" s="1"/>
    </row>
    <row r="431" ht="15.75" customHeight="1">
      <c r="H431" s="1"/>
    </row>
    <row r="432" ht="15.75" customHeight="1">
      <c r="H432" s="1"/>
    </row>
    <row r="433" ht="15.75" customHeight="1">
      <c r="H433" s="1"/>
    </row>
    <row r="434" ht="15.75" customHeight="1">
      <c r="H434" s="1"/>
    </row>
    <row r="435" ht="15.75" customHeight="1">
      <c r="H435" s="1"/>
    </row>
    <row r="436" ht="15.75" customHeight="1">
      <c r="H436" s="1"/>
    </row>
    <row r="437" ht="15.75" customHeight="1">
      <c r="H437" s="1"/>
    </row>
    <row r="438" ht="15.75" customHeight="1">
      <c r="H438" s="1"/>
    </row>
    <row r="439" ht="15.75" customHeight="1">
      <c r="H439" s="1"/>
    </row>
    <row r="440" ht="15.75" customHeight="1">
      <c r="H440" s="1"/>
    </row>
    <row r="441" ht="15.75" customHeight="1">
      <c r="H441" s="1"/>
    </row>
    <row r="442" ht="15.75" customHeight="1">
      <c r="H442" s="1"/>
    </row>
    <row r="443" ht="15.75" customHeight="1">
      <c r="H443" s="1"/>
    </row>
    <row r="444" ht="15.75" customHeight="1">
      <c r="H444" s="1"/>
    </row>
    <row r="445" ht="15.75" customHeight="1">
      <c r="H445" s="1"/>
    </row>
    <row r="446" ht="15.75" customHeight="1">
      <c r="H446" s="1"/>
    </row>
    <row r="447" ht="15.75" customHeight="1">
      <c r="H447" s="1"/>
    </row>
    <row r="448" ht="15.75" customHeight="1">
      <c r="H448" s="1"/>
    </row>
    <row r="449" ht="15.75" customHeight="1">
      <c r="H449" s="1"/>
    </row>
    <row r="450" ht="15.75" customHeight="1">
      <c r="H450" s="1"/>
    </row>
    <row r="451" ht="15.75" customHeight="1">
      <c r="H451" s="1"/>
    </row>
    <row r="452" ht="15.75" customHeight="1">
      <c r="H452" s="1"/>
    </row>
    <row r="453" ht="15.75" customHeight="1">
      <c r="H453" s="1"/>
    </row>
    <row r="454" ht="15.75" customHeight="1">
      <c r="H454" s="1"/>
    </row>
    <row r="455" ht="15.75" customHeight="1">
      <c r="H455" s="1"/>
    </row>
    <row r="456" ht="15.75" customHeight="1">
      <c r="H456" s="1"/>
    </row>
    <row r="457" ht="15.75" customHeight="1">
      <c r="H457" s="1"/>
    </row>
    <row r="458" ht="15.75" customHeight="1">
      <c r="H458" s="1"/>
    </row>
    <row r="459" ht="15.75" customHeight="1">
      <c r="H459" s="1"/>
    </row>
    <row r="460" ht="15.75" customHeight="1">
      <c r="H460" s="1"/>
    </row>
    <row r="461" ht="15.75" customHeight="1">
      <c r="H461" s="1"/>
    </row>
    <row r="462" ht="15.75" customHeight="1">
      <c r="H462" s="1"/>
    </row>
    <row r="463" ht="15.75" customHeight="1">
      <c r="H463" s="1"/>
    </row>
    <row r="464" ht="15.75" customHeight="1">
      <c r="H464" s="1"/>
    </row>
    <row r="465" ht="15.75" customHeight="1">
      <c r="H465" s="1"/>
    </row>
    <row r="466" ht="15.75" customHeight="1">
      <c r="H466" s="1"/>
    </row>
    <row r="467" ht="15.75" customHeight="1">
      <c r="H467" s="1"/>
    </row>
    <row r="468" ht="15.75" customHeight="1">
      <c r="H468" s="1"/>
    </row>
    <row r="469" ht="15.75" customHeight="1">
      <c r="H469" s="1"/>
    </row>
    <row r="470" ht="15.75" customHeight="1">
      <c r="H470" s="1"/>
    </row>
    <row r="471" ht="15.75" customHeight="1">
      <c r="H471" s="1"/>
    </row>
    <row r="472" ht="15.75" customHeight="1">
      <c r="H472" s="1"/>
    </row>
    <row r="473" ht="15.75" customHeight="1">
      <c r="H473" s="1"/>
    </row>
    <row r="474" ht="15.75" customHeight="1">
      <c r="H474" s="1"/>
    </row>
    <row r="475" ht="15.75" customHeight="1">
      <c r="H475" s="1"/>
    </row>
    <row r="476" ht="15.75" customHeight="1">
      <c r="H476" s="1"/>
    </row>
    <row r="477" ht="15.75" customHeight="1">
      <c r="H477" s="1"/>
    </row>
    <row r="478" ht="15.75" customHeight="1">
      <c r="H478" s="1"/>
    </row>
    <row r="479" ht="15.75" customHeight="1">
      <c r="H479" s="1"/>
    </row>
    <row r="480" ht="15.75" customHeight="1">
      <c r="H480" s="1"/>
    </row>
    <row r="481" ht="15.75" customHeight="1">
      <c r="H481" s="1"/>
    </row>
    <row r="482" ht="15.75" customHeight="1">
      <c r="H482" s="1"/>
    </row>
    <row r="483" ht="15.75" customHeight="1">
      <c r="H483" s="1"/>
    </row>
    <row r="484" ht="15.75" customHeight="1">
      <c r="H484" s="1"/>
    </row>
    <row r="485" ht="15.75" customHeight="1">
      <c r="H485" s="1"/>
    </row>
    <row r="486" ht="15.75" customHeight="1">
      <c r="H486" s="1"/>
    </row>
    <row r="487" ht="15.75" customHeight="1">
      <c r="H487" s="1"/>
    </row>
    <row r="488" ht="15.75" customHeight="1">
      <c r="H488" s="1"/>
    </row>
    <row r="489" ht="15.75" customHeight="1">
      <c r="H489" s="1"/>
    </row>
    <row r="490" ht="15.75" customHeight="1">
      <c r="H490" s="1"/>
    </row>
    <row r="491" ht="15.75" customHeight="1">
      <c r="H491" s="1"/>
    </row>
    <row r="492" ht="15.75" customHeight="1">
      <c r="H492" s="1"/>
    </row>
    <row r="493" ht="15.75" customHeight="1">
      <c r="H493" s="1"/>
    </row>
    <row r="494" ht="15.75" customHeight="1">
      <c r="H494" s="1"/>
    </row>
    <row r="495" ht="15.75" customHeight="1">
      <c r="H495" s="1"/>
    </row>
    <row r="496" ht="15.75" customHeight="1">
      <c r="H496" s="1"/>
    </row>
    <row r="497" ht="15.75" customHeight="1">
      <c r="H497" s="1"/>
    </row>
    <row r="498" ht="15.75" customHeight="1">
      <c r="H498" s="1"/>
    </row>
    <row r="499" ht="15.75" customHeight="1">
      <c r="H499" s="1"/>
    </row>
    <row r="500" ht="15.75" customHeight="1">
      <c r="H500" s="1"/>
    </row>
    <row r="501" ht="15.75" customHeight="1">
      <c r="H501" s="1"/>
    </row>
    <row r="502" ht="15.75" customHeight="1">
      <c r="H502" s="1"/>
    </row>
    <row r="503" ht="15.75" customHeight="1">
      <c r="H503" s="1"/>
    </row>
    <row r="504" ht="15.75" customHeight="1">
      <c r="H504" s="1"/>
    </row>
    <row r="505" ht="15.75" customHeight="1">
      <c r="H505" s="1"/>
    </row>
    <row r="506" ht="15.75" customHeight="1">
      <c r="H506" s="1"/>
    </row>
    <row r="507" ht="15.75" customHeight="1">
      <c r="H507" s="1"/>
    </row>
    <row r="508" ht="15.75" customHeight="1">
      <c r="H508" s="1"/>
    </row>
    <row r="509" ht="15.75" customHeight="1">
      <c r="H509" s="1"/>
    </row>
    <row r="510" ht="15.75" customHeight="1">
      <c r="H510" s="1"/>
    </row>
    <row r="511" ht="15.75" customHeight="1">
      <c r="H511" s="1"/>
    </row>
    <row r="512" ht="15.75" customHeight="1">
      <c r="H512" s="1"/>
    </row>
    <row r="513" ht="15.75" customHeight="1">
      <c r="H513" s="1"/>
    </row>
    <row r="514" ht="15.75" customHeight="1">
      <c r="H514" s="1"/>
    </row>
    <row r="515" ht="15.75" customHeight="1">
      <c r="H515" s="1"/>
    </row>
    <row r="516" ht="15.75" customHeight="1">
      <c r="H516" s="1"/>
    </row>
    <row r="517" ht="15.75" customHeight="1">
      <c r="H517" s="1"/>
    </row>
    <row r="518" ht="15.75" customHeight="1">
      <c r="H518" s="1"/>
    </row>
    <row r="519" ht="15.75" customHeight="1">
      <c r="H519" s="1"/>
    </row>
    <row r="520" ht="15.75" customHeight="1">
      <c r="H520" s="1"/>
    </row>
    <row r="521" ht="15.75" customHeight="1">
      <c r="H521" s="1"/>
    </row>
    <row r="522" ht="15.75" customHeight="1">
      <c r="H522" s="1"/>
    </row>
    <row r="523" ht="15.75" customHeight="1">
      <c r="H523" s="1"/>
    </row>
    <row r="524" ht="15.75" customHeight="1">
      <c r="H524" s="1"/>
    </row>
    <row r="525" ht="15.75" customHeight="1">
      <c r="H525" s="1"/>
    </row>
    <row r="526" ht="15.75" customHeight="1">
      <c r="H526" s="1"/>
    </row>
    <row r="527" ht="15.75" customHeight="1">
      <c r="H527" s="1"/>
    </row>
    <row r="528" ht="15.75" customHeight="1">
      <c r="H528" s="1"/>
    </row>
    <row r="529" ht="15.75" customHeight="1">
      <c r="H529" s="1"/>
    </row>
    <row r="530" ht="15.75" customHeight="1">
      <c r="H530" s="1"/>
    </row>
    <row r="531" ht="15.75" customHeight="1">
      <c r="H531" s="1"/>
    </row>
    <row r="532" ht="15.75" customHeight="1">
      <c r="H532" s="1"/>
    </row>
    <row r="533" ht="15.75" customHeight="1">
      <c r="H533" s="1"/>
    </row>
    <row r="534" ht="15.75" customHeight="1">
      <c r="H534" s="1"/>
    </row>
    <row r="535" ht="15.75" customHeight="1">
      <c r="H535" s="1"/>
    </row>
    <row r="536" ht="15.75" customHeight="1">
      <c r="H536" s="1"/>
    </row>
    <row r="537" ht="15.75" customHeight="1">
      <c r="H537" s="1"/>
    </row>
    <row r="538" ht="15.75" customHeight="1">
      <c r="H538" s="1"/>
    </row>
    <row r="539" ht="15.75" customHeight="1">
      <c r="H539" s="1"/>
    </row>
    <row r="540" ht="15.75" customHeight="1">
      <c r="H540" s="1"/>
    </row>
    <row r="541" ht="15.75" customHeight="1">
      <c r="H541" s="1"/>
    </row>
    <row r="542" ht="15.75" customHeight="1">
      <c r="H542" s="1"/>
    </row>
    <row r="543" ht="15.75" customHeight="1">
      <c r="H543" s="1"/>
    </row>
    <row r="544" ht="15.75" customHeight="1">
      <c r="H544" s="1"/>
    </row>
    <row r="545" ht="15.75" customHeight="1">
      <c r="H545" s="1"/>
    </row>
    <row r="546" ht="15.75" customHeight="1">
      <c r="H546" s="1"/>
    </row>
    <row r="547" ht="15.75" customHeight="1">
      <c r="H547" s="1"/>
    </row>
    <row r="548" ht="15.75" customHeight="1">
      <c r="H548" s="1"/>
    </row>
    <row r="549" ht="15.75" customHeight="1">
      <c r="H549" s="1"/>
    </row>
    <row r="550" ht="15.75" customHeight="1">
      <c r="H550" s="1"/>
    </row>
    <row r="551" ht="15.75" customHeight="1">
      <c r="H551" s="1"/>
    </row>
    <row r="552" ht="15.75" customHeight="1">
      <c r="H552" s="1"/>
    </row>
    <row r="553" ht="15.75" customHeight="1">
      <c r="H553" s="1"/>
    </row>
    <row r="554" ht="15.75" customHeight="1">
      <c r="H554" s="1"/>
    </row>
    <row r="555" ht="15.75" customHeight="1">
      <c r="H555" s="1"/>
    </row>
    <row r="556" ht="15.75" customHeight="1">
      <c r="H556" s="1"/>
    </row>
    <row r="557" ht="15.75" customHeight="1">
      <c r="H557" s="1"/>
    </row>
    <row r="558" ht="15.75" customHeight="1">
      <c r="H558" s="1"/>
    </row>
    <row r="559" ht="15.75" customHeight="1">
      <c r="H559" s="1"/>
    </row>
    <row r="560" ht="15.75" customHeight="1">
      <c r="H560" s="1"/>
    </row>
    <row r="561" ht="15.75" customHeight="1">
      <c r="H561" s="1"/>
    </row>
    <row r="562" ht="15.75" customHeight="1">
      <c r="H562" s="1"/>
    </row>
    <row r="563" ht="15.75" customHeight="1">
      <c r="H563" s="1"/>
    </row>
    <row r="564" ht="15.75" customHeight="1">
      <c r="H564" s="1"/>
    </row>
    <row r="565" ht="15.75" customHeight="1">
      <c r="H565" s="1"/>
    </row>
    <row r="566" ht="15.75" customHeight="1">
      <c r="H566" s="1"/>
    </row>
    <row r="567" ht="15.75" customHeight="1">
      <c r="H567" s="1"/>
    </row>
    <row r="568" ht="15.75" customHeight="1">
      <c r="H568" s="1"/>
    </row>
    <row r="569" ht="15.75" customHeight="1">
      <c r="H569" s="1"/>
    </row>
    <row r="570" ht="15.75" customHeight="1">
      <c r="H570" s="1"/>
    </row>
    <row r="571" ht="15.75" customHeight="1">
      <c r="H571" s="1"/>
    </row>
    <row r="572" ht="15.75" customHeight="1">
      <c r="H572" s="1"/>
    </row>
    <row r="573" ht="15.75" customHeight="1">
      <c r="H573" s="1"/>
    </row>
    <row r="574" ht="15.75" customHeight="1">
      <c r="H574" s="1"/>
    </row>
    <row r="575" ht="15.75" customHeight="1">
      <c r="H575" s="1"/>
    </row>
    <row r="576" ht="15.75" customHeight="1">
      <c r="H576" s="1"/>
    </row>
    <row r="577" ht="15.75" customHeight="1">
      <c r="H577" s="1"/>
    </row>
    <row r="578" ht="15.75" customHeight="1">
      <c r="H578" s="1"/>
    </row>
    <row r="579" ht="15.75" customHeight="1">
      <c r="H579" s="1"/>
    </row>
    <row r="580" ht="15.75" customHeight="1">
      <c r="H580" s="1"/>
    </row>
    <row r="581" ht="15.75" customHeight="1">
      <c r="H581" s="1"/>
    </row>
    <row r="582" ht="15.75" customHeight="1">
      <c r="H582" s="1"/>
    </row>
    <row r="583" ht="15.75" customHeight="1">
      <c r="H583" s="1"/>
    </row>
    <row r="584" ht="15.75" customHeight="1">
      <c r="H584" s="1"/>
    </row>
    <row r="585" ht="15.75" customHeight="1">
      <c r="H585" s="1"/>
    </row>
    <row r="586" ht="15.75" customHeight="1">
      <c r="H586" s="1"/>
    </row>
    <row r="587" ht="15.75" customHeight="1">
      <c r="H587" s="1"/>
    </row>
    <row r="588" ht="15.75" customHeight="1">
      <c r="H588" s="1"/>
    </row>
    <row r="589" ht="15.75" customHeight="1">
      <c r="H589" s="1"/>
    </row>
    <row r="590" ht="15.75" customHeight="1">
      <c r="H590" s="1"/>
    </row>
    <row r="591" ht="15.75" customHeight="1">
      <c r="H591" s="1"/>
    </row>
    <row r="592" ht="15.75" customHeight="1">
      <c r="H592" s="1"/>
    </row>
    <row r="593" ht="15.75" customHeight="1">
      <c r="H593" s="1"/>
    </row>
    <row r="594" ht="15.75" customHeight="1">
      <c r="H594" s="1"/>
    </row>
    <row r="595" ht="15.75" customHeight="1">
      <c r="H595" s="1"/>
    </row>
    <row r="596" ht="15.75" customHeight="1">
      <c r="H596" s="1"/>
    </row>
    <row r="597" ht="15.75" customHeight="1">
      <c r="H597" s="1"/>
    </row>
    <row r="598" ht="15.75" customHeight="1">
      <c r="H598" s="1"/>
    </row>
    <row r="599" ht="15.75" customHeight="1">
      <c r="H599" s="1"/>
    </row>
    <row r="600" ht="15.75" customHeight="1">
      <c r="H600" s="1"/>
    </row>
    <row r="601" ht="15.75" customHeight="1">
      <c r="H601" s="1"/>
    </row>
    <row r="602" ht="15.75" customHeight="1">
      <c r="H602" s="1"/>
    </row>
    <row r="603" ht="15.75" customHeight="1">
      <c r="H603" s="1"/>
    </row>
    <row r="604" ht="15.75" customHeight="1">
      <c r="H604" s="1"/>
    </row>
    <row r="605" ht="15.75" customHeight="1">
      <c r="H605" s="1"/>
    </row>
    <row r="606" ht="15.75" customHeight="1">
      <c r="H606" s="1"/>
    </row>
    <row r="607" ht="15.75" customHeight="1">
      <c r="H607" s="1"/>
    </row>
    <row r="608" ht="15.75" customHeight="1">
      <c r="H608" s="1"/>
    </row>
    <row r="609" ht="15.75" customHeight="1">
      <c r="H609" s="1"/>
    </row>
    <row r="610" ht="15.75" customHeight="1">
      <c r="H610" s="1"/>
    </row>
    <row r="611" ht="15.75" customHeight="1">
      <c r="H611" s="1"/>
    </row>
    <row r="612" ht="15.75" customHeight="1">
      <c r="H612" s="1"/>
    </row>
    <row r="613" ht="15.75" customHeight="1">
      <c r="H613" s="1"/>
    </row>
    <row r="614" ht="15.75" customHeight="1">
      <c r="H614" s="1"/>
    </row>
    <row r="615" ht="15.75" customHeight="1">
      <c r="H615" s="1"/>
    </row>
    <row r="616" ht="15.75" customHeight="1">
      <c r="H616" s="1"/>
    </row>
    <row r="617" ht="15.75" customHeight="1">
      <c r="H617" s="1"/>
    </row>
    <row r="618" ht="15.75" customHeight="1">
      <c r="H618" s="1"/>
    </row>
    <row r="619" ht="15.75" customHeight="1">
      <c r="H619" s="1"/>
    </row>
    <row r="620" ht="15.75" customHeight="1">
      <c r="H620" s="1"/>
    </row>
    <row r="621" ht="15.75" customHeight="1">
      <c r="H621" s="1"/>
    </row>
    <row r="622" ht="15.75" customHeight="1">
      <c r="H622" s="1"/>
    </row>
    <row r="623" ht="15.75" customHeight="1">
      <c r="H623" s="1"/>
    </row>
    <row r="624" ht="15.75" customHeight="1">
      <c r="H624" s="1"/>
    </row>
    <row r="625" ht="15.75" customHeight="1">
      <c r="H625" s="1"/>
    </row>
    <row r="626" ht="15.75" customHeight="1">
      <c r="H626" s="1"/>
    </row>
    <row r="627" ht="15.75" customHeight="1">
      <c r="H627" s="1"/>
    </row>
    <row r="628" ht="15.75" customHeight="1">
      <c r="H628" s="1"/>
    </row>
    <row r="629" ht="15.75" customHeight="1">
      <c r="H629" s="1"/>
    </row>
    <row r="630" ht="15.75" customHeight="1">
      <c r="H630" s="1"/>
    </row>
    <row r="631" ht="15.75" customHeight="1">
      <c r="H631" s="1"/>
    </row>
    <row r="632" ht="15.75" customHeight="1">
      <c r="H632" s="1"/>
    </row>
    <row r="633" ht="15.75" customHeight="1">
      <c r="H633" s="1"/>
    </row>
    <row r="634" ht="15.75" customHeight="1">
      <c r="H634" s="1"/>
    </row>
    <row r="635" ht="15.75" customHeight="1">
      <c r="H635" s="1"/>
    </row>
    <row r="636" ht="15.75" customHeight="1">
      <c r="H636" s="1"/>
    </row>
    <row r="637" ht="15.75" customHeight="1">
      <c r="H637" s="1"/>
    </row>
    <row r="638" ht="15.75" customHeight="1">
      <c r="H638" s="1"/>
    </row>
    <row r="639" ht="15.75" customHeight="1">
      <c r="H639" s="1"/>
    </row>
    <row r="640" ht="15.75" customHeight="1">
      <c r="H640" s="1"/>
    </row>
    <row r="641" ht="15.75" customHeight="1">
      <c r="H641" s="1"/>
    </row>
    <row r="642" ht="15.75" customHeight="1">
      <c r="H642" s="1"/>
    </row>
    <row r="643" ht="15.75" customHeight="1">
      <c r="H643" s="1"/>
    </row>
    <row r="644" ht="15.75" customHeight="1">
      <c r="H644" s="1"/>
    </row>
    <row r="645" ht="15.75" customHeight="1">
      <c r="H645" s="1"/>
    </row>
    <row r="646" ht="15.75" customHeight="1">
      <c r="H646" s="1"/>
    </row>
    <row r="647" ht="15.75" customHeight="1">
      <c r="H647" s="1"/>
    </row>
    <row r="648" ht="15.75" customHeight="1">
      <c r="H648" s="1"/>
    </row>
    <row r="649" ht="15.75" customHeight="1">
      <c r="H649" s="1"/>
    </row>
    <row r="650" ht="15.75" customHeight="1">
      <c r="H650" s="1"/>
    </row>
    <row r="651" ht="15.75" customHeight="1">
      <c r="H651" s="1"/>
    </row>
    <row r="652" ht="15.75" customHeight="1">
      <c r="H652" s="1"/>
    </row>
    <row r="653" ht="15.75" customHeight="1">
      <c r="H653" s="1"/>
    </row>
    <row r="654" ht="15.75" customHeight="1">
      <c r="H654" s="1"/>
    </row>
    <row r="655" ht="15.75" customHeight="1">
      <c r="H655" s="1"/>
    </row>
    <row r="656" ht="15.75" customHeight="1">
      <c r="H656" s="1"/>
    </row>
    <row r="657" ht="15.75" customHeight="1">
      <c r="H657" s="1"/>
    </row>
    <row r="658" ht="15.75" customHeight="1">
      <c r="H658" s="1"/>
    </row>
    <row r="659" ht="15.75" customHeight="1">
      <c r="H659" s="1"/>
    </row>
    <row r="660" ht="15.75" customHeight="1">
      <c r="H660" s="1"/>
    </row>
    <row r="661" ht="15.75" customHeight="1">
      <c r="H661" s="1"/>
    </row>
    <row r="662" ht="15.75" customHeight="1">
      <c r="H662" s="1"/>
    </row>
    <row r="663" ht="15.75" customHeight="1">
      <c r="H663" s="1"/>
    </row>
    <row r="664" ht="15.75" customHeight="1">
      <c r="H664" s="1"/>
    </row>
    <row r="665" ht="15.75" customHeight="1">
      <c r="H665" s="1"/>
    </row>
    <row r="666" ht="15.75" customHeight="1">
      <c r="H666" s="1"/>
    </row>
    <row r="667" ht="15.75" customHeight="1">
      <c r="H667" s="1"/>
    </row>
    <row r="668" ht="15.75" customHeight="1">
      <c r="H668" s="1"/>
    </row>
    <row r="669" ht="15.75" customHeight="1">
      <c r="H669" s="1"/>
    </row>
    <row r="670" ht="15.75" customHeight="1">
      <c r="H670" s="1"/>
    </row>
    <row r="671" ht="15.75" customHeight="1">
      <c r="H671" s="1"/>
    </row>
    <row r="672" ht="15.75" customHeight="1">
      <c r="H672" s="1"/>
    </row>
    <row r="673" ht="15.75" customHeight="1">
      <c r="H673" s="1"/>
    </row>
    <row r="674" ht="15.75" customHeight="1">
      <c r="H674" s="1"/>
    </row>
    <row r="675" ht="15.75" customHeight="1">
      <c r="H675" s="1"/>
    </row>
    <row r="676" ht="15.75" customHeight="1">
      <c r="H676" s="1"/>
    </row>
    <row r="677" ht="15.75" customHeight="1">
      <c r="H677" s="1"/>
    </row>
    <row r="678" ht="15.75" customHeight="1">
      <c r="H678" s="1"/>
    </row>
    <row r="679" ht="15.75" customHeight="1">
      <c r="H679" s="1"/>
    </row>
    <row r="680" ht="15.75" customHeight="1">
      <c r="H680" s="1"/>
    </row>
    <row r="681" ht="15.75" customHeight="1">
      <c r="H681" s="1"/>
    </row>
    <row r="682" ht="15.75" customHeight="1">
      <c r="H682" s="1"/>
    </row>
    <row r="683" ht="15.75" customHeight="1">
      <c r="H683" s="1"/>
    </row>
    <row r="684" ht="15.75" customHeight="1">
      <c r="H684" s="1"/>
    </row>
    <row r="685" ht="15.75" customHeight="1">
      <c r="H685" s="1"/>
    </row>
    <row r="686" ht="15.75" customHeight="1">
      <c r="H686" s="1"/>
    </row>
    <row r="687" ht="15.75" customHeight="1">
      <c r="H687" s="1"/>
    </row>
    <row r="688" ht="15.75" customHeight="1">
      <c r="H688" s="1"/>
    </row>
    <row r="689" ht="15.75" customHeight="1">
      <c r="H689" s="1"/>
    </row>
    <row r="690" ht="15.75" customHeight="1">
      <c r="H690" s="1"/>
    </row>
    <row r="691" ht="15.75" customHeight="1">
      <c r="H691" s="1"/>
    </row>
    <row r="692" ht="15.75" customHeight="1">
      <c r="H692" s="1"/>
    </row>
    <row r="693" ht="15.75" customHeight="1">
      <c r="H693" s="1"/>
    </row>
    <row r="694" ht="15.75" customHeight="1">
      <c r="H694" s="1"/>
    </row>
    <row r="695" ht="15.75" customHeight="1">
      <c r="H695" s="1"/>
    </row>
    <row r="696" ht="15.75" customHeight="1">
      <c r="H696" s="1"/>
    </row>
    <row r="697" ht="15.75" customHeight="1">
      <c r="H697" s="1"/>
    </row>
    <row r="698" ht="15.75" customHeight="1">
      <c r="H698" s="1"/>
    </row>
    <row r="699" ht="15.75" customHeight="1">
      <c r="H699" s="1"/>
    </row>
    <row r="700" ht="15.75" customHeight="1">
      <c r="H700" s="1"/>
    </row>
    <row r="701" ht="15.75" customHeight="1">
      <c r="H701" s="1"/>
    </row>
    <row r="702" ht="15.75" customHeight="1">
      <c r="H702" s="1"/>
    </row>
    <row r="703" ht="15.75" customHeight="1">
      <c r="H703" s="1"/>
    </row>
    <row r="704" ht="15.75" customHeight="1">
      <c r="H704" s="1"/>
    </row>
    <row r="705" ht="15.75" customHeight="1">
      <c r="H705" s="1"/>
    </row>
    <row r="706" ht="15.75" customHeight="1">
      <c r="H706" s="1"/>
    </row>
    <row r="707" ht="15.75" customHeight="1">
      <c r="H707" s="1"/>
    </row>
    <row r="708" ht="15.75" customHeight="1">
      <c r="H708" s="1"/>
    </row>
    <row r="709" ht="15.75" customHeight="1">
      <c r="H709" s="1"/>
    </row>
    <row r="710" ht="15.75" customHeight="1">
      <c r="H710" s="1"/>
    </row>
    <row r="711" ht="15.75" customHeight="1">
      <c r="H711" s="1"/>
    </row>
    <row r="712" ht="15.75" customHeight="1">
      <c r="H712" s="1"/>
    </row>
    <row r="713" ht="15.75" customHeight="1">
      <c r="H713" s="1"/>
    </row>
    <row r="714" ht="15.75" customHeight="1">
      <c r="H714" s="1"/>
    </row>
    <row r="715" ht="15.75" customHeight="1">
      <c r="H715" s="1"/>
    </row>
    <row r="716" ht="15.75" customHeight="1">
      <c r="H716" s="1"/>
    </row>
    <row r="717" ht="15.75" customHeight="1">
      <c r="H717" s="1"/>
    </row>
    <row r="718" ht="15.75" customHeight="1">
      <c r="H718" s="1"/>
    </row>
    <row r="719" ht="15.75" customHeight="1">
      <c r="H719" s="1"/>
    </row>
    <row r="720" ht="15.75" customHeight="1">
      <c r="H720" s="1"/>
    </row>
    <row r="721" ht="15.75" customHeight="1">
      <c r="H721" s="1"/>
    </row>
    <row r="722" ht="15.75" customHeight="1">
      <c r="H722" s="1"/>
    </row>
    <row r="723" ht="15.75" customHeight="1">
      <c r="H723" s="1"/>
    </row>
    <row r="724" ht="15.75" customHeight="1">
      <c r="H724" s="1"/>
    </row>
    <row r="725" ht="15.75" customHeight="1">
      <c r="H725" s="1"/>
    </row>
    <row r="726" ht="15.75" customHeight="1">
      <c r="H726" s="1"/>
    </row>
    <row r="727" ht="15.75" customHeight="1">
      <c r="H727" s="1"/>
    </row>
    <row r="728" ht="15.75" customHeight="1">
      <c r="H728" s="1"/>
    </row>
    <row r="729" ht="15.75" customHeight="1">
      <c r="H729" s="1"/>
    </row>
    <row r="730" ht="15.75" customHeight="1">
      <c r="H730" s="1"/>
    </row>
    <row r="731" ht="15.75" customHeight="1">
      <c r="H731" s="1"/>
    </row>
    <row r="732" ht="15.75" customHeight="1">
      <c r="H732" s="1"/>
    </row>
    <row r="733" ht="15.75" customHeight="1">
      <c r="H733" s="1"/>
    </row>
    <row r="734" ht="15.75" customHeight="1">
      <c r="H734" s="1"/>
    </row>
    <row r="735" ht="15.75" customHeight="1">
      <c r="H735" s="1"/>
    </row>
    <row r="736" ht="15.75" customHeight="1">
      <c r="H736" s="1"/>
    </row>
    <row r="737" ht="15.75" customHeight="1">
      <c r="H737" s="1"/>
    </row>
    <row r="738" ht="15.75" customHeight="1">
      <c r="H738" s="1"/>
    </row>
    <row r="739" ht="15.75" customHeight="1">
      <c r="H739" s="1"/>
    </row>
    <row r="740" ht="15.75" customHeight="1">
      <c r="H740" s="1"/>
    </row>
    <row r="741" ht="15.75" customHeight="1">
      <c r="H741" s="1"/>
    </row>
    <row r="742" ht="15.75" customHeight="1">
      <c r="H742" s="1"/>
    </row>
    <row r="743" ht="15.75" customHeight="1">
      <c r="H743" s="1"/>
    </row>
    <row r="744" ht="15.75" customHeight="1">
      <c r="H744" s="1"/>
    </row>
    <row r="745" ht="15.75" customHeight="1">
      <c r="H745" s="1"/>
    </row>
    <row r="746" ht="15.75" customHeight="1">
      <c r="H746" s="1"/>
    </row>
    <row r="747" ht="15.75" customHeight="1">
      <c r="H747" s="1"/>
    </row>
    <row r="748" ht="15.75" customHeight="1">
      <c r="H748" s="1"/>
    </row>
    <row r="749" ht="15.75" customHeight="1">
      <c r="H749" s="1"/>
    </row>
    <row r="750" ht="15.75" customHeight="1">
      <c r="H750" s="1"/>
    </row>
    <row r="751" ht="15.75" customHeight="1">
      <c r="H751" s="1"/>
    </row>
    <row r="752" ht="15.75" customHeight="1">
      <c r="H752" s="1"/>
    </row>
    <row r="753" ht="15.75" customHeight="1">
      <c r="H753" s="1"/>
    </row>
    <row r="754" ht="15.75" customHeight="1">
      <c r="H754" s="1"/>
    </row>
    <row r="755" ht="15.75" customHeight="1">
      <c r="H755" s="1"/>
    </row>
    <row r="756" ht="15.75" customHeight="1">
      <c r="H756" s="1"/>
    </row>
    <row r="757" ht="15.75" customHeight="1">
      <c r="H757" s="1"/>
    </row>
    <row r="758" ht="15.75" customHeight="1">
      <c r="H758" s="1"/>
    </row>
    <row r="759" ht="15.75" customHeight="1">
      <c r="H759" s="1"/>
    </row>
    <row r="760" ht="15.75" customHeight="1">
      <c r="H760" s="1"/>
    </row>
    <row r="761" ht="15.75" customHeight="1">
      <c r="H761" s="1"/>
    </row>
    <row r="762" ht="15.75" customHeight="1">
      <c r="H762" s="1"/>
    </row>
    <row r="763" ht="15.75" customHeight="1">
      <c r="H763" s="1"/>
    </row>
    <row r="764" ht="15.75" customHeight="1">
      <c r="H764" s="1"/>
    </row>
    <row r="765" ht="15.75" customHeight="1">
      <c r="H765" s="1"/>
    </row>
    <row r="766" ht="15.75" customHeight="1">
      <c r="H766" s="1"/>
    </row>
    <row r="767" ht="15.75" customHeight="1">
      <c r="H767" s="1"/>
    </row>
    <row r="768" ht="15.75" customHeight="1">
      <c r="H768" s="1"/>
    </row>
    <row r="769" ht="15.75" customHeight="1">
      <c r="H769" s="1"/>
    </row>
    <row r="770" ht="15.75" customHeight="1">
      <c r="H770" s="1"/>
    </row>
    <row r="771" ht="15.75" customHeight="1">
      <c r="H771" s="1"/>
    </row>
    <row r="772" ht="15.75" customHeight="1">
      <c r="H772" s="1"/>
    </row>
    <row r="773" ht="15.75" customHeight="1">
      <c r="H773" s="1"/>
    </row>
    <row r="774" ht="15.75" customHeight="1">
      <c r="H774" s="1"/>
    </row>
    <row r="775" ht="15.75" customHeight="1">
      <c r="H775" s="1"/>
    </row>
    <row r="776" ht="15.75" customHeight="1">
      <c r="H776" s="1"/>
    </row>
    <row r="777" ht="15.75" customHeight="1">
      <c r="H777" s="1"/>
    </row>
    <row r="778" ht="15.75" customHeight="1">
      <c r="H778" s="1"/>
    </row>
    <row r="779" ht="15.75" customHeight="1">
      <c r="H779" s="1"/>
    </row>
    <row r="780" ht="15.75" customHeight="1">
      <c r="H780" s="1"/>
    </row>
    <row r="781" ht="15.75" customHeight="1">
      <c r="H781" s="1"/>
    </row>
    <row r="782" ht="15.75" customHeight="1">
      <c r="H782" s="1"/>
    </row>
    <row r="783" ht="15.75" customHeight="1">
      <c r="H783" s="1"/>
    </row>
    <row r="784" ht="15.75" customHeight="1">
      <c r="H784" s="1"/>
    </row>
    <row r="785" ht="15.75" customHeight="1">
      <c r="H785" s="1"/>
    </row>
    <row r="786" ht="15.75" customHeight="1">
      <c r="H786" s="1"/>
    </row>
    <row r="787" ht="15.75" customHeight="1">
      <c r="H787" s="1"/>
    </row>
    <row r="788" ht="15.75" customHeight="1">
      <c r="H788" s="1"/>
    </row>
    <row r="789" ht="15.75" customHeight="1">
      <c r="H789" s="1"/>
    </row>
    <row r="790" ht="15.75" customHeight="1">
      <c r="H790" s="1"/>
    </row>
    <row r="791" ht="15.75" customHeight="1">
      <c r="H791" s="1"/>
    </row>
    <row r="792" ht="15.75" customHeight="1">
      <c r="H792" s="1"/>
    </row>
    <row r="793" ht="15.75" customHeight="1">
      <c r="H793" s="1"/>
    </row>
    <row r="794" ht="15.75" customHeight="1">
      <c r="H794" s="1"/>
    </row>
    <row r="795" ht="15.75" customHeight="1">
      <c r="H795" s="1"/>
    </row>
    <row r="796" ht="15.75" customHeight="1">
      <c r="H796" s="1"/>
    </row>
    <row r="797" ht="15.75" customHeight="1">
      <c r="H797" s="1"/>
    </row>
    <row r="798" ht="15.75" customHeight="1">
      <c r="H798" s="1"/>
    </row>
    <row r="799" ht="15.75" customHeight="1">
      <c r="H799" s="1"/>
    </row>
    <row r="800" ht="15.75" customHeight="1">
      <c r="H800" s="1"/>
    </row>
    <row r="801" ht="15.75" customHeight="1">
      <c r="H801" s="1"/>
    </row>
    <row r="802" ht="15.75" customHeight="1">
      <c r="H802" s="1"/>
    </row>
    <row r="803" ht="15.75" customHeight="1">
      <c r="H803" s="1"/>
    </row>
    <row r="804" ht="15.75" customHeight="1">
      <c r="H804" s="1"/>
    </row>
    <row r="805" ht="15.75" customHeight="1">
      <c r="H805" s="1"/>
    </row>
    <row r="806" ht="15.75" customHeight="1">
      <c r="H806" s="1"/>
    </row>
    <row r="807" ht="15.75" customHeight="1">
      <c r="H807" s="1"/>
    </row>
    <row r="808" ht="15.75" customHeight="1">
      <c r="H808" s="1"/>
    </row>
    <row r="809" ht="15.75" customHeight="1">
      <c r="H809" s="1"/>
    </row>
    <row r="810" ht="15.75" customHeight="1">
      <c r="H810" s="1"/>
    </row>
    <row r="811" ht="15.75" customHeight="1">
      <c r="H811" s="1"/>
    </row>
    <row r="812" ht="15.75" customHeight="1">
      <c r="H812" s="1"/>
    </row>
    <row r="813" ht="15.75" customHeight="1">
      <c r="H813" s="1"/>
    </row>
    <row r="814" ht="15.75" customHeight="1">
      <c r="H814" s="1"/>
    </row>
    <row r="815" ht="15.75" customHeight="1">
      <c r="H815" s="1"/>
    </row>
    <row r="816" ht="15.75" customHeight="1">
      <c r="H816" s="1"/>
    </row>
    <row r="817" ht="15.75" customHeight="1">
      <c r="H817" s="1"/>
    </row>
    <row r="818" ht="15.75" customHeight="1">
      <c r="H818" s="1"/>
    </row>
    <row r="819" ht="15.75" customHeight="1">
      <c r="H819" s="1"/>
    </row>
    <row r="820" ht="15.75" customHeight="1">
      <c r="H820" s="1"/>
    </row>
    <row r="821" ht="15.75" customHeight="1">
      <c r="H821" s="1"/>
    </row>
    <row r="822" ht="15.75" customHeight="1">
      <c r="H822" s="1"/>
    </row>
    <row r="823" ht="15.75" customHeight="1">
      <c r="H823" s="1"/>
    </row>
    <row r="824" ht="15.75" customHeight="1">
      <c r="H824" s="1"/>
    </row>
    <row r="825" ht="15.75" customHeight="1">
      <c r="H825" s="1"/>
    </row>
    <row r="826" ht="15.75" customHeight="1">
      <c r="H826" s="1"/>
    </row>
    <row r="827" ht="15.75" customHeight="1">
      <c r="H827" s="1"/>
    </row>
    <row r="828" ht="15.75" customHeight="1">
      <c r="H828" s="1"/>
    </row>
    <row r="829" ht="15.75" customHeight="1">
      <c r="H829" s="1"/>
    </row>
    <row r="830" ht="15.75" customHeight="1">
      <c r="H830" s="1"/>
    </row>
    <row r="831" ht="15.75" customHeight="1">
      <c r="H831" s="1"/>
    </row>
    <row r="832" ht="15.75" customHeight="1">
      <c r="H832" s="1"/>
    </row>
    <row r="833" ht="15.75" customHeight="1">
      <c r="H833" s="1"/>
    </row>
    <row r="834" ht="15.75" customHeight="1">
      <c r="H834" s="1"/>
    </row>
    <row r="835" ht="15.75" customHeight="1">
      <c r="H835" s="1"/>
    </row>
    <row r="836" ht="15.75" customHeight="1">
      <c r="H836" s="1"/>
    </row>
    <row r="837" ht="15.75" customHeight="1">
      <c r="H837" s="1"/>
    </row>
    <row r="838" ht="15.75" customHeight="1">
      <c r="H838" s="1"/>
    </row>
    <row r="839" ht="15.75" customHeight="1">
      <c r="H839" s="1"/>
    </row>
    <row r="840" ht="15.75" customHeight="1">
      <c r="H840" s="1"/>
    </row>
    <row r="841" ht="15.75" customHeight="1">
      <c r="H841" s="1"/>
    </row>
    <row r="842" ht="15.75" customHeight="1">
      <c r="H842" s="1"/>
    </row>
    <row r="843" ht="15.75" customHeight="1">
      <c r="H843" s="1"/>
    </row>
    <row r="844" ht="15.75" customHeight="1">
      <c r="H844" s="1"/>
    </row>
    <row r="845" ht="15.75" customHeight="1">
      <c r="H845" s="1"/>
    </row>
    <row r="846" ht="15.75" customHeight="1">
      <c r="H846" s="1"/>
    </row>
    <row r="847" ht="15.75" customHeight="1">
      <c r="H847" s="1"/>
    </row>
    <row r="848" ht="15.75" customHeight="1">
      <c r="H848" s="1"/>
    </row>
    <row r="849" ht="15.75" customHeight="1">
      <c r="H849" s="1"/>
    </row>
    <row r="850" ht="15.75" customHeight="1">
      <c r="H850" s="1"/>
    </row>
    <row r="851" ht="15.75" customHeight="1">
      <c r="H851" s="1"/>
    </row>
    <row r="852" ht="15.75" customHeight="1">
      <c r="H852" s="1"/>
    </row>
    <row r="853" ht="15.75" customHeight="1">
      <c r="H853" s="1"/>
    </row>
    <row r="854" ht="15.75" customHeight="1">
      <c r="H854" s="1"/>
    </row>
    <row r="855" ht="15.75" customHeight="1">
      <c r="H855" s="1"/>
    </row>
    <row r="856" ht="15.75" customHeight="1">
      <c r="H856" s="1"/>
    </row>
    <row r="857" ht="15.75" customHeight="1">
      <c r="H857" s="1"/>
    </row>
    <row r="858" ht="15.75" customHeight="1">
      <c r="H858" s="1"/>
    </row>
    <row r="859" ht="15.75" customHeight="1">
      <c r="H859" s="1"/>
    </row>
    <row r="860" ht="15.75" customHeight="1">
      <c r="H860" s="1"/>
    </row>
    <row r="861" ht="15.75" customHeight="1">
      <c r="H861" s="1"/>
    </row>
    <row r="862" ht="15.75" customHeight="1">
      <c r="H862" s="1"/>
    </row>
    <row r="863" ht="15.75" customHeight="1">
      <c r="H863" s="1"/>
    </row>
    <row r="864" ht="15.75" customHeight="1">
      <c r="H864" s="1"/>
    </row>
    <row r="865" ht="15.75" customHeight="1">
      <c r="H865" s="1"/>
    </row>
    <row r="866" ht="15.75" customHeight="1">
      <c r="H866" s="1"/>
    </row>
    <row r="867" ht="15.75" customHeight="1">
      <c r="H867" s="1"/>
    </row>
    <row r="868" ht="15.75" customHeight="1">
      <c r="H868" s="1"/>
    </row>
    <row r="869" ht="15.75" customHeight="1">
      <c r="H869" s="1"/>
    </row>
    <row r="870" ht="15.75" customHeight="1">
      <c r="H870" s="1"/>
    </row>
    <row r="871" ht="15.75" customHeight="1">
      <c r="H871" s="1"/>
    </row>
    <row r="872" ht="15.75" customHeight="1">
      <c r="H872" s="1"/>
    </row>
    <row r="873" ht="15.75" customHeight="1">
      <c r="H873" s="1"/>
    </row>
    <row r="874" ht="15.75" customHeight="1">
      <c r="H874" s="1"/>
    </row>
    <row r="875" ht="15.75" customHeight="1">
      <c r="H875" s="1"/>
    </row>
    <row r="876" ht="15.75" customHeight="1">
      <c r="H876" s="1"/>
    </row>
    <row r="877" ht="15.75" customHeight="1">
      <c r="H877" s="1"/>
    </row>
    <row r="878" ht="15.75" customHeight="1">
      <c r="H878" s="1"/>
    </row>
    <row r="879" ht="15.75" customHeight="1">
      <c r="H879" s="1"/>
    </row>
    <row r="880" ht="15.75" customHeight="1">
      <c r="H880" s="1"/>
    </row>
    <row r="881" ht="15.75" customHeight="1">
      <c r="H881" s="1"/>
    </row>
    <row r="882" ht="15.75" customHeight="1">
      <c r="H882" s="1"/>
    </row>
    <row r="883" ht="15.75" customHeight="1">
      <c r="H883" s="1"/>
    </row>
    <row r="884" ht="15.75" customHeight="1">
      <c r="H884" s="1"/>
    </row>
    <row r="885" ht="15.75" customHeight="1">
      <c r="H885" s="1"/>
    </row>
    <row r="886" ht="15.75" customHeight="1">
      <c r="H886" s="1"/>
    </row>
    <row r="887" ht="15.75" customHeight="1">
      <c r="H887" s="1"/>
    </row>
    <row r="888" ht="15.75" customHeight="1">
      <c r="H888" s="1"/>
    </row>
    <row r="889" ht="15.75" customHeight="1">
      <c r="H889" s="1"/>
    </row>
    <row r="890" ht="15.75" customHeight="1">
      <c r="H890" s="1"/>
    </row>
    <row r="891" ht="15.75" customHeight="1">
      <c r="H891" s="1"/>
    </row>
    <row r="892" ht="15.75" customHeight="1">
      <c r="H892" s="1"/>
    </row>
    <row r="893" ht="15.75" customHeight="1">
      <c r="H893" s="1"/>
    </row>
    <row r="894" ht="15.75" customHeight="1">
      <c r="H894" s="1"/>
    </row>
    <row r="895" ht="15.75" customHeight="1">
      <c r="H895" s="1"/>
    </row>
    <row r="896" ht="15.75" customHeight="1">
      <c r="H896" s="1"/>
    </row>
    <row r="897" ht="15.75" customHeight="1">
      <c r="H897" s="1"/>
    </row>
    <row r="898" ht="15.75" customHeight="1">
      <c r="H898" s="1"/>
    </row>
    <row r="899" ht="15.75" customHeight="1">
      <c r="H899" s="1"/>
    </row>
    <row r="900" ht="15.75" customHeight="1">
      <c r="H900" s="1"/>
    </row>
    <row r="901" ht="15.75" customHeight="1">
      <c r="H901" s="1"/>
    </row>
    <row r="902" ht="15.75" customHeight="1">
      <c r="H902" s="1"/>
    </row>
    <row r="903" ht="15.75" customHeight="1">
      <c r="H903" s="1"/>
    </row>
    <row r="904" ht="15.75" customHeight="1">
      <c r="H904" s="1"/>
    </row>
    <row r="905" ht="15.75" customHeight="1">
      <c r="H905" s="1"/>
    </row>
    <row r="906" ht="15.75" customHeight="1">
      <c r="H906" s="1"/>
    </row>
    <row r="907" ht="15.75" customHeight="1">
      <c r="H907" s="1"/>
    </row>
    <row r="908" ht="15.75" customHeight="1">
      <c r="H908" s="1"/>
    </row>
    <row r="909" ht="15.75" customHeight="1">
      <c r="H909" s="1"/>
    </row>
    <row r="910" ht="15.75" customHeight="1">
      <c r="H910" s="1"/>
    </row>
    <row r="911" ht="15.75" customHeight="1">
      <c r="H911" s="1"/>
    </row>
    <row r="912" ht="15.75" customHeight="1">
      <c r="H912" s="1"/>
    </row>
    <row r="913" ht="15.75" customHeight="1">
      <c r="H913" s="1"/>
    </row>
    <row r="914" ht="15.75" customHeight="1">
      <c r="H914" s="1"/>
    </row>
    <row r="915" ht="15.75" customHeight="1">
      <c r="H915" s="1"/>
    </row>
    <row r="916" ht="15.75" customHeight="1">
      <c r="H916" s="1"/>
    </row>
    <row r="917" ht="15.75" customHeight="1">
      <c r="H917" s="1"/>
    </row>
    <row r="918" ht="15.75" customHeight="1">
      <c r="H918" s="1"/>
    </row>
    <row r="919" ht="15.75" customHeight="1">
      <c r="H919" s="1"/>
    </row>
    <row r="920" ht="15.75" customHeight="1">
      <c r="H920" s="1"/>
    </row>
    <row r="921" ht="15.75" customHeight="1">
      <c r="H921" s="1"/>
    </row>
    <row r="922" ht="15.75" customHeight="1">
      <c r="H922" s="1"/>
    </row>
    <row r="923" ht="15.75" customHeight="1">
      <c r="H923" s="1"/>
    </row>
    <row r="924" ht="15.75" customHeight="1">
      <c r="H924" s="1"/>
    </row>
    <row r="925" ht="15.75" customHeight="1">
      <c r="H925" s="1"/>
    </row>
    <row r="926" ht="15.75" customHeight="1">
      <c r="H926" s="1"/>
    </row>
    <row r="927" ht="15.75" customHeight="1">
      <c r="H927" s="1"/>
    </row>
    <row r="928" ht="15.75" customHeight="1">
      <c r="H928" s="1"/>
    </row>
    <row r="929" ht="15.75" customHeight="1">
      <c r="H929" s="1"/>
    </row>
    <row r="930" ht="15.75" customHeight="1">
      <c r="H930" s="1"/>
    </row>
    <row r="931" ht="15.75" customHeight="1">
      <c r="H931" s="1"/>
    </row>
    <row r="932" ht="15.75" customHeight="1">
      <c r="H932" s="1"/>
    </row>
    <row r="933" ht="15.75" customHeight="1">
      <c r="H933" s="1"/>
    </row>
    <row r="934" ht="15.75" customHeight="1">
      <c r="H934" s="1"/>
    </row>
    <row r="935" ht="15.75" customHeight="1">
      <c r="H935" s="1"/>
    </row>
    <row r="936" ht="15.75" customHeight="1">
      <c r="H936" s="1"/>
    </row>
    <row r="937" ht="15.75" customHeight="1">
      <c r="H937" s="1"/>
    </row>
    <row r="938" ht="15.75" customHeight="1">
      <c r="H938" s="1"/>
    </row>
    <row r="939" ht="15.75" customHeight="1">
      <c r="H939" s="1"/>
    </row>
    <row r="940" ht="15.75" customHeight="1">
      <c r="H940" s="1"/>
    </row>
    <row r="941" ht="15.75" customHeight="1">
      <c r="H941" s="1"/>
    </row>
    <row r="942" ht="15.75" customHeight="1">
      <c r="H942" s="1"/>
    </row>
    <row r="943" ht="15.75" customHeight="1">
      <c r="H943" s="1"/>
    </row>
    <row r="944" ht="15.75" customHeight="1">
      <c r="H944" s="1"/>
    </row>
    <row r="945" ht="15.75" customHeight="1">
      <c r="H945" s="1"/>
    </row>
    <row r="946" ht="15.75" customHeight="1">
      <c r="H946" s="1"/>
    </row>
    <row r="947" ht="15.75" customHeight="1">
      <c r="H947" s="1"/>
    </row>
    <row r="948" ht="15.75" customHeight="1">
      <c r="H948" s="1"/>
    </row>
    <row r="949" ht="15.75" customHeight="1">
      <c r="H949" s="1"/>
    </row>
    <row r="950" ht="15.75" customHeight="1">
      <c r="H950" s="1"/>
    </row>
    <row r="951" ht="15.75" customHeight="1">
      <c r="H951" s="1"/>
    </row>
    <row r="952" ht="15.75" customHeight="1">
      <c r="H952" s="1"/>
    </row>
    <row r="953" ht="15.75" customHeight="1">
      <c r="H953" s="1"/>
    </row>
    <row r="954" ht="15.75" customHeight="1">
      <c r="H954" s="1"/>
    </row>
    <row r="955" ht="15.75" customHeight="1">
      <c r="H955" s="1"/>
    </row>
    <row r="956" ht="15.75" customHeight="1">
      <c r="H956" s="1"/>
    </row>
    <row r="957" ht="15.75" customHeight="1">
      <c r="H957" s="1"/>
    </row>
    <row r="958" ht="15.75" customHeight="1">
      <c r="H958" s="1"/>
    </row>
    <row r="959" ht="15.75" customHeight="1">
      <c r="H959" s="1"/>
    </row>
    <row r="960" ht="15.75" customHeight="1">
      <c r="H960" s="1"/>
    </row>
    <row r="961" ht="15.75" customHeight="1">
      <c r="H961" s="1"/>
    </row>
    <row r="962" ht="15.75" customHeight="1">
      <c r="H962" s="1"/>
    </row>
    <row r="963" ht="15.75" customHeight="1">
      <c r="H963" s="1"/>
    </row>
    <row r="964" ht="15.75" customHeight="1">
      <c r="H964" s="1"/>
    </row>
    <row r="965" ht="15.75" customHeight="1">
      <c r="H965" s="1"/>
    </row>
    <row r="966" ht="15.75" customHeight="1">
      <c r="H966" s="1"/>
    </row>
    <row r="967" ht="15.75" customHeight="1">
      <c r="H967" s="1"/>
    </row>
    <row r="968" ht="15.75" customHeight="1">
      <c r="H968" s="1"/>
    </row>
    <row r="969" ht="15.75" customHeight="1">
      <c r="H969" s="1"/>
    </row>
    <row r="970" ht="15.75" customHeight="1">
      <c r="H970" s="1"/>
    </row>
    <row r="971" ht="15.75" customHeight="1">
      <c r="H971" s="1"/>
    </row>
    <row r="972" ht="15.75" customHeight="1">
      <c r="H972" s="1"/>
    </row>
    <row r="973" ht="15.75" customHeight="1">
      <c r="H973" s="1"/>
    </row>
    <row r="974" ht="15.75" customHeight="1">
      <c r="H974" s="1"/>
    </row>
    <row r="975" ht="15.75" customHeight="1">
      <c r="H975" s="1"/>
    </row>
    <row r="976" ht="15.75" customHeight="1">
      <c r="H976" s="1"/>
    </row>
    <row r="977" ht="15.75" customHeight="1">
      <c r="H977" s="1"/>
    </row>
    <row r="978" ht="15.75" customHeight="1">
      <c r="H978" s="1"/>
    </row>
    <row r="979" ht="15.75" customHeight="1">
      <c r="H979" s="1"/>
    </row>
    <row r="980" ht="15.75" customHeight="1">
      <c r="H980" s="1"/>
    </row>
    <row r="981" ht="15.75" customHeight="1">
      <c r="H981" s="1"/>
    </row>
    <row r="982" ht="15.75" customHeight="1">
      <c r="H982" s="1"/>
    </row>
    <row r="983" ht="15.75" customHeight="1">
      <c r="H983" s="1"/>
    </row>
    <row r="984" ht="15.75" customHeight="1">
      <c r="H984" s="1"/>
    </row>
    <row r="985" ht="15.75" customHeight="1">
      <c r="H985" s="1"/>
    </row>
    <row r="986" ht="15.75" customHeight="1">
      <c r="H986" s="1"/>
    </row>
    <row r="987" ht="15.75" customHeight="1">
      <c r="H987" s="1"/>
    </row>
    <row r="988" ht="15.75" customHeight="1">
      <c r="H988" s="1"/>
    </row>
    <row r="989" ht="15.75" customHeight="1">
      <c r="H989" s="1"/>
    </row>
    <row r="990" ht="15.75" customHeight="1">
      <c r="H990" s="1"/>
    </row>
    <row r="991" ht="15.75" customHeight="1">
      <c r="H991" s="1"/>
    </row>
    <row r="992" ht="15.75" customHeight="1">
      <c r="H992" s="1"/>
    </row>
    <row r="993" ht="15.75" customHeight="1">
      <c r="H993" s="1"/>
    </row>
    <row r="994" ht="15.75" customHeight="1">
      <c r="H994" s="1"/>
    </row>
    <row r="995" ht="15.75" customHeight="1">
      <c r="H995" s="1"/>
    </row>
    <row r="996" ht="15.75" customHeight="1">
      <c r="H996" s="1"/>
    </row>
    <row r="997" ht="15.75" customHeight="1">
      <c r="H997" s="1"/>
    </row>
    <row r="998" ht="15.75" customHeight="1">
      <c r="H998" s="1"/>
    </row>
    <row r="999" ht="15.75" customHeight="1">
      <c r="H999" s="1"/>
    </row>
    <row r="1000" ht="15.75" customHeight="1">
      <c r="H1000" s="1"/>
    </row>
  </sheetData>
  <mergeCells count="53">
    <mergeCell ref="B2:F2"/>
    <mergeCell ref="I2:M2"/>
    <mergeCell ref="B3:C3"/>
    <mergeCell ref="D3:E3"/>
    <mergeCell ref="I3:J3"/>
    <mergeCell ref="K3:L3"/>
    <mergeCell ref="M3:M4"/>
    <mergeCell ref="K13:L13"/>
    <mergeCell ref="M13:M14"/>
    <mergeCell ref="F3:F4"/>
    <mergeCell ref="B12:F12"/>
    <mergeCell ref="I12:M12"/>
    <mergeCell ref="B13:C13"/>
    <mergeCell ref="D13:E13"/>
    <mergeCell ref="F13:F14"/>
    <mergeCell ref="I13:J13"/>
    <mergeCell ref="B22:F22"/>
    <mergeCell ref="I22:M22"/>
    <mergeCell ref="B23:C23"/>
    <mergeCell ref="D23:E23"/>
    <mergeCell ref="I23:J23"/>
    <mergeCell ref="K23:L23"/>
    <mergeCell ref="M23:M24"/>
    <mergeCell ref="B40:F40"/>
    <mergeCell ref="I40:M40"/>
    <mergeCell ref="B41:C41"/>
    <mergeCell ref="D41:E41"/>
    <mergeCell ref="F41:F42"/>
    <mergeCell ref="I41:J41"/>
    <mergeCell ref="K41:L41"/>
    <mergeCell ref="M41:M42"/>
    <mergeCell ref="F23:F24"/>
    <mergeCell ref="B31:F31"/>
    <mergeCell ref="I31:M31"/>
    <mergeCell ref="B32:C32"/>
    <mergeCell ref="D32:E32"/>
    <mergeCell ref="F32:F33"/>
    <mergeCell ref="I32:J32"/>
    <mergeCell ref="L76:M76"/>
    <mergeCell ref="L77:M77"/>
    <mergeCell ref="L78:M78"/>
    <mergeCell ref="L79:M79"/>
    <mergeCell ref="L80:M80"/>
    <mergeCell ref="L81:M81"/>
    <mergeCell ref="L82:M82"/>
    <mergeCell ref="K85:Q88"/>
    <mergeCell ref="K32:L32"/>
    <mergeCell ref="M32:M33"/>
    <mergeCell ref="M72:N72"/>
    <mergeCell ref="K73:Q73"/>
    <mergeCell ref="R73:R74"/>
    <mergeCell ref="K74:Q74"/>
    <mergeCell ref="L75:M75"/>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5" width="10.57"/>
    <col customWidth="1" min="6" max="6" width="11.71"/>
    <col customWidth="1" min="7" max="7" width="13.0"/>
    <col customWidth="1" min="8" max="8" width="16.29"/>
    <col customWidth="1" min="9" max="9" width="15.14"/>
    <col customWidth="1" min="10" max="16" width="11.43"/>
    <col customWidth="1" min="17" max="17" width="28.29"/>
    <col customWidth="1" min="18" max="26" width="11.43"/>
  </cols>
  <sheetData>
    <row r="1">
      <c r="H1" s="1"/>
    </row>
    <row r="2">
      <c r="A2" s="2"/>
      <c r="B2" s="3" t="s">
        <v>0</v>
      </c>
      <c r="C2" s="4"/>
      <c r="D2" s="4"/>
      <c r="E2" s="4"/>
      <c r="F2" s="5"/>
      <c r="G2" s="6"/>
      <c r="H2" s="7"/>
      <c r="I2" s="3" t="s">
        <v>1</v>
      </c>
      <c r="J2" s="4"/>
      <c r="K2" s="4"/>
      <c r="L2" s="4"/>
      <c r="M2" s="5"/>
    </row>
    <row r="3">
      <c r="A3" s="2"/>
      <c r="B3" s="8" t="s">
        <v>2</v>
      </c>
      <c r="C3" s="9"/>
      <c r="D3" s="8" t="s">
        <v>3</v>
      </c>
      <c r="E3" s="9"/>
      <c r="F3" s="10" t="s">
        <v>4</v>
      </c>
      <c r="G3" s="6"/>
      <c r="H3" s="7"/>
      <c r="I3" s="8" t="s">
        <v>2</v>
      </c>
      <c r="J3" s="9"/>
      <c r="K3" s="8" t="s">
        <v>3</v>
      </c>
      <c r="L3" s="9"/>
      <c r="M3" s="10" t="s">
        <v>4</v>
      </c>
    </row>
    <row r="4">
      <c r="A4" s="2"/>
      <c r="B4" s="11" t="s">
        <v>5</v>
      </c>
      <c r="C4" s="11" t="s">
        <v>6</v>
      </c>
      <c r="D4" s="11" t="s">
        <v>7</v>
      </c>
      <c r="E4" s="11" t="s">
        <v>8</v>
      </c>
      <c r="F4" s="12"/>
      <c r="G4" s="6"/>
      <c r="H4" s="7"/>
      <c r="I4" s="11" t="s">
        <v>5</v>
      </c>
      <c r="J4" s="11" t="s">
        <v>6</v>
      </c>
      <c r="K4" s="11" t="s">
        <v>7</v>
      </c>
      <c r="L4" s="11" t="s">
        <v>8</v>
      </c>
      <c r="M4" s="12"/>
    </row>
    <row r="5">
      <c r="A5" s="13" t="s">
        <v>9</v>
      </c>
      <c r="B5" s="14">
        <f t="shared" ref="B5:F5" si="1">B51</f>
        <v>10.22489</v>
      </c>
      <c r="C5" s="14">
        <f t="shared" si="1"/>
        <v>4.546884</v>
      </c>
      <c r="D5" s="14">
        <f t="shared" si="1"/>
        <v>7.877769</v>
      </c>
      <c r="E5" s="14">
        <f t="shared" si="1"/>
        <v>7.218318</v>
      </c>
      <c r="F5" s="14">
        <f t="shared" si="1"/>
        <v>7.347374</v>
      </c>
      <c r="G5" s="6"/>
      <c r="H5" s="13" t="s">
        <v>9</v>
      </c>
      <c r="I5" s="15">
        <f t="shared" ref="I5:M5" si="2">G51</f>
        <v>490780.3</v>
      </c>
      <c r="J5" s="15">
        <f t="shared" si="2"/>
        <v>224246.4</v>
      </c>
      <c r="K5" s="15">
        <f t="shared" si="2"/>
        <v>150034.4</v>
      </c>
      <c r="L5" s="15">
        <f t="shared" si="2"/>
        <v>564992.3</v>
      </c>
      <c r="M5" s="15">
        <f t="shared" si="2"/>
        <v>715026.8</v>
      </c>
    </row>
    <row r="6">
      <c r="A6" s="13" t="s">
        <v>10</v>
      </c>
      <c r="B6" s="14">
        <f t="shared" ref="B6:F6" si="3">B52</f>
        <v>61.75066</v>
      </c>
      <c r="C6" s="14">
        <f t="shared" si="3"/>
        <v>49.96091</v>
      </c>
      <c r="D6" s="14">
        <f t="shared" si="3"/>
        <v>35.30473</v>
      </c>
      <c r="E6" s="14">
        <f t="shared" si="3"/>
        <v>60.75689</v>
      </c>
      <c r="F6" s="14">
        <f t="shared" si="3"/>
        <v>55.77582</v>
      </c>
      <c r="G6" s="6"/>
      <c r="H6" s="13" t="s">
        <v>10</v>
      </c>
      <c r="I6" s="15">
        <f t="shared" ref="I6:M6" si="4">G52</f>
        <v>2963946</v>
      </c>
      <c r="J6" s="15">
        <f t="shared" si="4"/>
        <v>2464007</v>
      </c>
      <c r="K6" s="15">
        <f t="shared" si="4"/>
        <v>672389</v>
      </c>
      <c r="L6" s="15">
        <f t="shared" si="4"/>
        <v>4755564</v>
      </c>
      <c r="M6" s="15">
        <f t="shared" si="4"/>
        <v>5427953</v>
      </c>
    </row>
    <row r="7">
      <c r="A7" s="13" t="s">
        <v>11</v>
      </c>
      <c r="B7" s="14">
        <f t="shared" ref="B7:F7" si="5">B53</f>
        <v>62.47563</v>
      </c>
      <c r="C7" s="14">
        <f t="shared" si="5"/>
        <v>50.32739</v>
      </c>
      <c r="D7" s="14">
        <f t="shared" si="5"/>
        <v>36.03506</v>
      </c>
      <c r="E7" s="14">
        <f t="shared" si="5"/>
        <v>61.25467</v>
      </c>
      <c r="F7" s="14">
        <f t="shared" si="5"/>
        <v>56.31912</v>
      </c>
      <c r="G7" s="6"/>
      <c r="H7" s="13" t="s">
        <v>11</v>
      </c>
      <c r="I7" s="15">
        <f t="shared" ref="I7:M7" si="6">G53</f>
        <v>2998743</v>
      </c>
      <c r="J7" s="15">
        <f t="shared" si="6"/>
        <v>2482082</v>
      </c>
      <c r="K7" s="15">
        <f t="shared" si="6"/>
        <v>686298.4</v>
      </c>
      <c r="L7" s="15">
        <f t="shared" si="6"/>
        <v>4794527</v>
      </c>
      <c r="M7" s="15">
        <f t="shared" si="6"/>
        <v>5480825</v>
      </c>
    </row>
    <row r="8">
      <c r="A8" s="16" t="s">
        <v>12</v>
      </c>
      <c r="B8" s="17"/>
      <c r="C8" s="17"/>
      <c r="D8" s="17"/>
      <c r="E8" s="17"/>
      <c r="F8" s="17"/>
      <c r="G8" s="18"/>
      <c r="H8" s="16" t="s">
        <v>12</v>
      </c>
      <c r="I8" s="19"/>
      <c r="J8" s="19"/>
      <c r="K8" s="19"/>
      <c r="L8" s="19"/>
      <c r="M8" s="19"/>
      <c r="N8" s="16"/>
      <c r="O8" s="16"/>
      <c r="P8" s="16"/>
      <c r="Q8" s="16"/>
      <c r="R8" s="16"/>
      <c r="S8" s="16"/>
      <c r="T8" s="16"/>
      <c r="U8" s="16"/>
      <c r="V8" s="16"/>
      <c r="W8" s="16"/>
      <c r="X8" s="16"/>
      <c r="Y8" s="16"/>
      <c r="Z8" s="16"/>
    </row>
    <row r="9">
      <c r="A9" s="16" t="s">
        <v>13</v>
      </c>
      <c r="B9" s="17"/>
      <c r="C9" s="17"/>
      <c r="D9" s="17"/>
      <c r="E9" s="17"/>
      <c r="F9" s="17"/>
      <c r="G9" s="18"/>
      <c r="H9" s="16" t="s">
        <v>13</v>
      </c>
      <c r="I9" s="19"/>
      <c r="J9" s="19"/>
      <c r="K9" s="19"/>
      <c r="L9" s="19"/>
      <c r="M9" s="19"/>
      <c r="N9" s="16"/>
      <c r="O9" s="16"/>
      <c r="P9" s="16"/>
      <c r="Q9" s="16"/>
      <c r="R9" s="16"/>
      <c r="S9" s="16"/>
      <c r="T9" s="16"/>
      <c r="U9" s="16"/>
      <c r="V9" s="16"/>
      <c r="W9" s="16"/>
      <c r="X9" s="16"/>
      <c r="Y9" s="16"/>
      <c r="Z9" s="16"/>
    </row>
    <row r="10">
      <c r="A10" s="16" t="s">
        <v>14</v>
      </c>
      <c r="B10" s="18"/>
      <c r="C10" s="18"/>
      <c r="D10" s="18"/>
      <c r="E10" s="18"/>
      <c r="F10" s="18"/>
      <c r="G10" s="18"/>
      <c r="H10" s="16" t="s">
        <v>14</v>
      </c>
      <c r="I10" s="18"/>
      <c r="J10" s="18"/>
      <c r="K10" s="18"/>
      <c r="L10" s="18"/>
      <c r="M10" s="18"/>
      <c r="N10" s="16"/>
      <c r="O10" s="16"/>
      <c r="P10" s="16"/>
      <c r="Q10" s="16"/>
      <c r="R10" s="16"/>
      <c r="S10" s="16"/>
      <c r="T10" s="16"/>
      <c r="U10" s="16"/>
      <c r="V10" s="16"/>
      <c r="W10" s="16"/>
      <c r="X10" s="16"/>
      <c r="Y10" s="16"/>
      <c r="Z10" s="16"/>
    </row>
    <row r="11">
      <c r="A11" s="2"/>
      <c r="B11" s="6"/>
      <c r="C11" s="6"/>
      <c r="D11" s="6"/>
      <c r="E11" s="6"/>
      <c r="F11" s="6"/>
      <c r="G11" s="6"/>
      <c r="H11" s="2"/>
      <c r="I11" s="6"/>
      <c r="J11" s="6"/>
      <c r="K11" s="6"/>
      <c r="L11" s="6"/>
      <c r="M11" s="6"/>
    </row>
    <row r="12">
      <c r="A12" s="2"/>
      <c r="B12" s="20" t="s">
        <v>15</v>
      </c>
      <c r="C12" s="4"/>
      <c r="D12" s="4"/>
      <c r="E12" s="4"/>
      <c r="F12" s="5"/>
      <c r="G12" s="6"/>
      <c r="H12" s="7"/>
      <c r="I12" s="20" t="s">
        <v>16</v>
      </c>
      <c r="J12" s="4"/>
      <c r="K12" s="4"/>
      <c r="L12" s="4"/>
      <c r="M12" s="5"/>
    </row>
    <row r="13">
      <c r="A13" s="2"/>
      <c r="B13" s="8" t="s">
        <v>2</v>
      </c>
      <c r="C13" s="9"/>
      <c r="D13" s="8" t="s">
        <v>3</v>
      </c>
      <c r="E13" s="9"/>
      <c r="F13" s="10" t="s">
        <v>4</v>
      </c>
      <c r="G13" s="6"/>
      <c r="H13" s="7"/>
      <c r="I13" s="8" t="s">
        <v>2</v>
      </c>
      <c r="J13" s="9"/>
      <c r="K13" s="8" t="s">
        <v>3</v>
      </c>
      <c r="L13" s="9"/>
      <c r="M13" s="10" t="s">
        <v>4</v>
      </c>
      <c r="Q13" s="21"/>
    </row>
    <row r="14">
      <c r="A14" s="2"/>
      <c r="B14" s="11" t="s">
        <v>5</v>
      </c>
      <c r="C14" s="11" t="s">
        <v>6</v>
      </c>
      <c r="D14" s="11" t="s">
        <v>7</v>
      </c>
      <c r="E14" s="11" t="s">
        <v>8</v>
      </c>
      <c r="F14" s="12"/>
      <c r="G14" s="6"/>
      <c r="H14" s="7"/>
      <c r="I14" s="11" t="s">
        <v>5</v>
      </c>
      <c r="J14" s="11" t="s">
        <v>6</v>
      </c>
      <c r="K14" s="11" t="s">
        <v>7</v>
      </c>
      <c r="L14" s="11" t="s">
        <v>8</v>
      </c>
      <c r="M14" s="12"/>
    </row>
    <row r="15">
      <c r="A15" s="22" t="s">
        <v>9</v>
      </c>
      <c r="B15" s="14">
        <f t="shared" ref="B15:F15" si="7">B54</f>
        <v>29.63301</v>
      </c>
      <c r="C15" s="14">
        <f t="shared" si="7"/>
        <v>24.88041</v>
      </c>
      <c r="D15" s="14">
        <f t="shared" si="7"/>
        <v>32.08568</v>
      </c>
      <c r="E15" s="14">
        <f t="shared" si="7"/>
        <v>27.09538</v>
      </c>
      <c r="F15" s="14">
        <f t="shared" si="7"/>
        <v>28.1425</v>
      </c>
      <c r="G15" s="6"/>
      <c r="H15" s="22" t="s">
        <v>9</v>
      </c>
      <c r="I15" s="15">
        <f t="shared" ref="I15:M15" si="8">G54</f>
        <v>145433</v>
      </c>
      <c r="J15" s="15">
        <f t="shared" si="8"/>
        <v>55793.43</v>
      </c>
      <c r="K15" s="15">
        <f t="shared" si="8"/>
        <v>48139.57</v>
      </c>
      <c r="L15" s="15">
        <f t="shared" si="8"/>
        <v>153086.8</v>
      </c>
      <c r="M15" s="15">
        <f t="shared" si="8"/>
        <v>201226.4</v>
      </c>
    </row>
    <row r="16">
      <c r="A16" s="22" t="s">
        <v>17</v>
      </c>
      <c r="B16" s="14">
        <f t="shared" ref="B16:F16" si="9">B55</f>
        <v>11.50493</v>
      </c>
      <c r="C16" s="14">
        <f t="shared" si="9"/>
        <v>3.284484</v>
      </c>
      <c r="D16" s="14">
        <f t="shared" si="9"/>
        <v>9.129792</v>
      </c>
      <c r="E16" s="14">
        <f t="shared" si="9"/>
        <v>7.581481</v>
      </c>
      <c r="F16" s="14">
        <f t="shared" si="9"/>
        <v>7.773279</v>
      </c>
      <c r="G16" s="6"/>
      <c r="H16" s="22" t="s">
        <v>17</v>
      </c>
      <c r="I16" s="15">
        <f t="shared" ref="I16:M16" si="10">G55</f>
        <v>341000</v>
      </c>
      <c r="J16" s="15">
        <f t="shared" si="10"/>
        <v>80929.93</v>
      </c>
      <c r="K16" s="15">
        <f t="shared" si="10"/>
        <v>61387.72</v>
      </c>
      <c r="L16" s="15">
        <f t="shared" si="10"/>
        <v>360542.2</v>
      </c>
      <c r="M16" s="15">
        <f t="shared" si="10"/>
        <v>421929.9</v>
      </c>
    </row>
    <row r="17">
      <c r="A17" s="22" t="s">
        <v>18</v>
      </c>
      <c r="B17" s="14">
        <f t="shared" ref="B17:F17" si="11">B56</f>
        <v>13.4932</v>
      </c>
      <c r="C17" s="14">
        <f t="shared" si="11"/>
        <v>4.619205</v>
      </c>
      <c r="D17" s="14">
        <f t="shared" si="11"/>
        <v>12.10898</v>
      </c>
      <c r="E17" s="14">
        <f t="shared" si="11"/>
        <v>9.097356</v>
      </c>
      <c r="F17" s="14">
        <f t="shared" si="11"/>
        <v>9.474465</v>
      </c>
      <c r="G17" s="6"/>
      <c r="H17" s="23" t="s">
        <v>18</v>
      </c>
      <c r="I17" s="15">
        <f t="shared" ref="I17:M17" si="12">G56</f>
        <v>404626.4</v>
      </c>
      <c r="J17" s="15">
        <f t="shared" si="12"/>
        <v>114652.5</v>
      </c>
      <c r="K17" s="15">
        <f t="shared" si="12"/>
        <v>83103.73</v>
      </c>
      <c r="L17" s="15">
        <f t="shared" si="12"/>
        <v>436175.2</v>
      </c>
      <c r="M17" s="15">
        <f t="shared" si="12"/>
        <v>519278.9</v>
      </c>
      <c r="O17" s="24"/>
      <c r="P17" s="24"/>
    </row>
    <row r="18">
      <c r="A18" s="16" t="s">
        <v>19</v>
      </c>
      <c r="B18" s="17"/>
      <c r="C18" s="17"/>
      <c r="D18" s="17"/>
      <c r="E18" s="17"/>
      <c r="F18" s="17"/>
      <c r="G18" s="18"/>
      <c r="H18" s="16" t="s">
        <v>19</v>
      </c>
      <c r="I18" s="19"/>
      <c r="J18" s="19"/>
      <c r="K18" s="19"/>
      <c r="L18" s="19"/>
      <c r="M18" s="19"/>
      <c r="N18" s="16"/>
      <c r="O18" s="16"/>
      <c r="P18" s="16"/>
      <c r="Q18" s="16"/>
      <c r="R18" s="16"/>
      <c r="S18" s="16"/>
      <c r="T18" s="16"/>
      <c r="U18" s="16"/>
      <c r="V18" s="16"/>
      <c r="W18" s="16"/>
      <c r="X18" s="16"/>
      <c r="Y18" s="16"/>
      <c r="Z18" s="16"/>
    </row>
    <row r="19">
      <c r="A19" s="16" t="s">
        <v>20</v>
      </c>
      <c r="B19" s="17"/>
      <c r="C19" s="17"/>
      <c r="D19" s="17"/>
      <c r="E19" s="17"/>
      <c r="F19" s="17"/>
      <c r="G19" s="18"/>
      <c r="H19" s="16" t="s">
        <v>20</v>
      </c>
      <c r="I19" s="19"/>
      <c r="J19" s="19"/>
      <c r="K19" s="19"/>
      <c r="L19" s="19"/>
      <c r="M19" s="19"/>
      <c r="N19" s="16"/>
      <c r="O19" s="16"/>
      <c r="P19" s="16"/>
      <c r="Q19" s="25"/>
      <c r="R19" s="16"/>
      <c r="S19" s="16"/>
      <c r="T19" s="16"/>
      <c r="U19" s="16"/>
      <c r="V19" s="16"/>
      <c r="W19" s="16"/>
      <c r="X19" s="16"/>
      <c r="Y19" s="16"/>
      <c r="Z19" s="16"/>
    </row>
    <row r="20">
      <c r="A20" s="16" t="s">
        <v>14</v>
      </c>
      <c r="B20" s="18"/>
      <c r="C20" s="18"/>
      <c r="D20" s="18"/>
      <c r="E20" s="18"/>
      <c r="F20" s="18"/>
      <c r="G20" s="18"/>
      <c r="H20" s="16" t="s">
        <v>14</v>
      </c>
      <c r="I20" s="18"/>
      <c r="J20" s="18"/>
      <c r="K20" s="18"/>
      <c r="L20" s="18"/>
      <c r="M20" s="18"/>
      <c r="N20" s="16"/>
      <c r="O20" s="16"/>
      <c r="P20" s="16"/>
      <c r="Q20" s="25"/>
      <c r="R20" s="16"/>
      <c r="S20" s="16"/>
      <c r="T20" s="16"/>
      <c r="U20" s="16"/>
      <c r="V20" s="16"/>
      <c r="W20" s="16"/>
      <c r="X20" s="16"/>
      <c r="Y20" s="16"/>
      <c r="Z20" s="16"/>
    </row>
    <row r="21" ht="15.75" customHeight="1">
      <c r="A21" s="2"/>
      <c r="B21" s="6"/>
      <c r="C21" s="6"/>
      <c r="D21" s="6"/>
      <c r="E21" s="6"/>
      <c r="F21" s="6"/>
      <c r="G21" s="6"/>
      <c r="H21" s="7"/>
      <c r="I21" s="6"/>
      <c r="J21" s="6"/>
      <c r="K21" s="6"/>
      <c r="L21" s="6"/>
      <c r="M21" s="6"/>
    </row>
    <row r="22" ht="15.75" customHeight="1">
      <c r="A22" s="2"/>
      <c r="B22" s="26" t="s">
        <v>21</v>
      </c>
      <c r="C22" s="4"/>
      <c r="D22" s="4"/>
      <c r="E22" s="4"/>
      <c r="F22" s="5"/>
      <c r="G22" s="6"/>
      <c r="H22" s="7"/>
      <c r="I22" s="26" t="s">
        <v>22</v>
      </c>
      <c r="J22" s="4"/>
      <c r="K22" s="4"/>
      <c r="L22" s="4"/>
      <c r="M22" s="5"/>
    </row>
    <row r="23" ht="15.75" customHeight="1">
      <c r="A23" s="2"/>
      <c r="B23" s="8" t="s">
        <v>2</v>
      </c>
      <c r="C23" s="9"/>
      <c r="D23" s="8" t="s">
        <v>3</v>
      </c>
      <c r="E23" s="9"/>
      <c r="F23" s="27" t="s">
        <v>4</v>
      </c>
      <c r="G23" s="6"/>
      <c r="H23" s="7"/>
      <c r="I23" s="8" t="s">
        <v>2</v>
      </c>
      <c r="J23" s="9"/>
      <c r="K23" s="8" t="s">
        <v>3</v>
      </c>
      <c r="L23" s="9"/>
      <c r="M23" s="10" t="s">
        <v>4</v>
      </c>
    </row>
    <row r="24" ht="15.75" customHeight="1">
      <c r="A24" s="2"/>
      <c r="B24" s="11" t="s">
        <v>5</v>
      </c>
      <c r="C24" s="11" t="s">
        <v>6</v>
      </c>
      <c r="D24" s="11" t="s">
        <v>7</v>
      </c>
      <c r="E24" s="11" t="s">
        <v>8</v>
      </c>
      <c r="F24" s="28"/>
      <c r="G24" s="6"/>
      <c r="H24" s="7"/>
      <c r="I24" s="11" t="s">
        <v>5</v>
      </c>
      <c r="J24" s="11" t="s">
        <v>6</v>
      </c>
      <c r="K24" s="11" t="s">
        <v>7</v>
      </c>
      <c r="L24" s="11" t="s">
        <v>8</v>
      </c>
      <c r="M24" s="12"/>
    </row>
    <row r="25" ht="15.75" customHeight="1">
      <c r="A25" s="22" t="s">
        <v>23</v>
      </c>
      <c r="B25" s="14">
        <f t="shared" ref="B25:F25" si="13">B57</f>
        <v>5.779784</v>
      </c>
      <c r="C25" s="14">
        <f t="shared" si="13"/>
        <v>0.5751311</v>
      </c>
      <c r="D25" s="14">
        <f t="shared" si="13"/>
        <v>2.886544</v>
      </c>
      <c r="E25" s="14">
        <f t="shared" si="13"/>
        <v>4.792722</v>
      </c>
      <c r="F25" s="14">
        <f t="shared" si="13"/>
        <v>4.336706</v>
      </c>
      <c r="G25" s="6"/>
      <c r="H25" s="23" t="s">
        <v>23</v>
      </c>
      <c r="I25" s="15">
        <f t="shared" ref="I25:M25" si="14">G57</f>
        <v>8405.711</v>
      </c>
      <c r="J25" s="15">
        <f t="shared" si="14"/>
        <v>320.8854</v>
      </c>
      <c r="K25" s="15">
        <f t="shared" si="14"/>
        <v>1389.57</v>
      </c>
      <c r="L25" s="15">
        <f t="shared" si="14"/>
        <v>7337.026</v>
      </c>
      <c r="M25" s="15">
        <f t="shared" si="14"/>
        <v>8726.597</v>
      </c>
    </row>
    <row r="26" ht="15.75" customHeight="1">
      <c r="A26" s="22" t="s">
        <v>10</v>
      </c>
      <c r="B26" s="14">
        <f t="shared" ref="B26:F26" si="15">B58</f>
        <v>5.931454</v>
      </c>
      <c r="C26" s="14">
        <f t="shared" si="15"/>
        <v>8.312697</v>
      </c>
      <c r="D26" s="14">
        <f t="shared" si="15"/>
        <v>5.041494</v>
      </c>
      <c r="E26" s="14">
        <f t="shared" si="15"/>
        <v>6.617495</v>
      </c>
      <c r="F26" s="14">
        <f t="shared" si="15"/>
        <v>6.388198</v>
      </c>
      <c r="G26" s="6"/>
      <c r="H26" s="23" t="s">
        <v>10</v>
      </c>
      <c r="I26" s="15">
        <f t="shared" ref="I26:M26" si="16">G58</f>
        <v>20226.26</v>
      </c>
      <c r="J26" s="15">
        <f t="shared" si="16"/>
        <v>6727.46</v>
      </c>
      <c r="K26" s="15">
        <f t="shared" si="16"/>
        <v>3094.858</v>
      </c>
      <c r="L26" s="15">
        <f t="shared" si="16"/>
        <v>23858.86</v>
      </c>
      <c r="M26" s="15">
        <f t="shared" si="16"/>
        <v>26953.72</v>
      </c>
      <c r="N26" s="29"/>
    </row>
    <row r="27" ht="15.75" customHeight="1">
      <c r="A27" s="22" t="s">
        <v>18</v>
      </c>
      <c r="B27" s="14">
        <f t="shared" ref="B27:F27" si="17">B59</f>
        <v>6.256352</v>
      </c>
      <c r="C27" s="14">
        <f t="shared" si="17"/>
        <v>6.147575</v>
      </c>
      <c r="D27" s="14">
        <f t="shared" si="17"/>
        <v>4.402245</v>
      </c>
      <c r="E27" s="14">
        <f t="shared" si="17"/>
        <v>6.581019</v>
      </c>
      <c r="F27" s="14">
        <f t="shared" si="17"/>
        <v>6.232335</v>
      </c>
      <c r="G27" s="6"/>
      <c r="H27" s="23" t="s">
        <v>18</v>
      </c>
      <c r="I27" s="15">
        <f t="shared" ref="I27:M27" si="18">G59</f>
        <v>25314.85</v>
      </c>
      <c r="J27" s="15">
        <f t="shared" si="18"/>
        <v>7048.346</v>
      </c>
      <c r="K27" s="15">
        <f t="shared" si="18"/>
        <v>3658.43</v>
      </c>
      <c r="L27" s="15">
        <f t="shared" si="18"/>
        <v>28704.77</v>
      </c>
      <c r="M27" s="15">
        <f t="shared" si="18"/>
        <v>32363.2</v>
      </c>
    </row>
    <row r="28" ht="15.75" customHeight="1">
      <c r="A28" s="16" t="s">
        <v>24</v>
      </c>
      <c r="B28" s="17"/>
      <c r="C28" s="17"/>
      <c r="D28" s="17"/>
      <c r="E28" s="17"/>
      <c r="F28" s="17"/>
      <c r="G28" s="18"/>
      <c r="H28" s="16" t="s">
        <v>24</v>
      </c>
      <c r="I28" s="19"/>
      <c r="J28" s="19"/>
      <c r="K28" s="19"/>
      <c r="L28" s="19"/>
      <c r="M28" s="19"/>
      <c r="N28" s="16"/>
      <c r="O28" s="16"/>
      <c r="P28" s="16"/>
      <c r="Q28" s="16"/>
      <c r="R28" s="16"/>
      <c r="S28" s="16"/>
      <c r="T28" s="16"/>
      <c r="U28" s="16"/>
      <c r="V28" s="16"/>
      <c r="W28" s="16"/>
      <c r="X28" s="16"/>
      <c r="Y28" s="16"/>
      <c r="Z28" s="16"/>
    </row>
    <row r="29" ht="15.75" customHeight="1">
      <c r="A29" s="16" t="s">
        <v>14</v>
      </c>
      <c r="B29" s="17"/>
      <c r="C29" s="17"/>
      <c r="D29" s="17"/>
      <c r="E29" s="17"/>
      <c r="F29" s="17"/>
      <c r="G29" s="18"/>
      <c r="H29" s="16" t="s">
        <v>14</v>
      </c>
      <c r="I29" s="19"/>
      <c r="J29" s="19"/>
      <c r="K29" s="19"/>
      <c r="L29" s="19"/>
      <c r="M29" s="19"/>
      <c r="N29" s="16"/>
      <c r="O29" s="16"/>
      <c r="P29" s="16"/>
      <c r="Q29" s="16"/>
      <c r="R29" s="16"/>
      <c r="S29" s="16"/>
      <c r="T29" s="16"/>
      <c r="U29" s="16"/>
      <c r="V29" s="16"/>
      <c r="W29" s="16"/>
      <c r="X29" s="16"/>
      <c r="Y29" s="16"/>
      <c r="Z29" s="16"/>
    </row>
    <row r="30" ht="15.75" customHeight="1">
      <c r="A30" s="2"/>
      <c r="B30" s="6"/>
      <c r="C30" s="6"/>
      <c r="D30" s="6"/>
      <c r="E30" s="6"/>
      <c r="F30" s="6"/>
      <c r="G30" s="6"/>
      <c r="H30" s="7"/>
      <c r="I30" s="6"/>
      <c r="J30" s="6"/>
      <c r="K30" s="6"/>
      <c r="L30" s="6"/>
      <c r="M30" s="6"/>
      <c r="P30" s="30"/>
    </row>
    <row r="31" ht="15.75" customHeight="1">
      <c r="A31" s="2"/>
      <c r="B31" s="31" t="s">
        <v>25</v>
      </c>
      <c r="C31" s="4"/>
      <c r="D31" s="4"/>
      <c r="E31" s="4"/>
      <c r="F31" s="5"/>
      <c r="G31" s="6"/>
      <c r="H31" s="7"/>
      <c r="I31" s="31" t="s">
        <v>26</v>
      </c>
      <c r="J31" s="4"/>
      <c r="K31" s="4"/>
      <c r="L31" s="4"/>
      <c r="M31" s="5"/>
      <c r="P31" s="32"/>
    </row>
    <row r="32" ht="15.75" customHeight="1">
      <c r="A32" s="2"/>
      <c r="B32" s="8" t="s">
        <v>2</v>
      </c>
      <c r="C32" s="9"/>
      <c r="D32" s="8" t="s">
        <v>3</v>
      </c>
      <c r="E32" s="9"/>
      <c r="F32" s="27" t="s">
        <v>4</v>
      </c>
      <c r="G32" s="6"/>
      <c r="H32" s="7"/>
      <c r="I32" s="8" t="s">
        <v>2</v>
      </c>
      <c r="J32" s="9"/>
      <c r="K32" s="8" t="s">
        <v>3</v>
      </c>
      <c r="L32" s="9"/>
      <c r="M32" s="27" t="s">
        <v>4</v>
      </c>
      <c r="P32" s="33"/>
    </row>
    <row r="33" ht="15.75" customHeight="1">
      <c r="A33" s="2"/>
      <c r="B33" s="11" t="s">
        <v>5</v>
      </c>
      <c r="C33" s="11" t="s">
        <v>6</v>
      </c>
      <c r="D33" s="11" t="s">
        <v>7</v>
      </c>
      <c r="E33" s="11" t="s">
        <v>8</v>
      </c>
      <c r="F33" s="28"/>
      <c r="G33" s="6"/>
      <c r="H33" s="7"/>
      <c r="I33" s="11" t="s">
        <v>5</v>
      </c>
      <c r="J33" s="11" t="s">
        <v>6</v>
      </c>
      <c r="K33" s="11" t="s">
        <v>7</v>
      </c>
      <c r="L33" s="11" t="s">
        <v>8</v>
      </c>
      <c r="M33" s="28"/>
      <c r="P33" s="33"/>
    </row>
    <row r="34" ht="15.75" customHeight="1">
      <c r="A34" s="22" t="s">
        <v>23</v>
      </c>
      <c r="B34" s="14">
        <f t="shared" ref="B34:F34" si="19">B60</f>
        <v>1.118437</v>
      </c>
      <c r="C34" s="14">
        <f t="shared" si="19"/>
        <v>1.443398</v>
      </c>
      <c r="D34" s="14">
        <f t="shared" si="19"/>
        <v>1.025237</v>
      </c>
      <c r="E34" s="14">
        <f t="shared" si="19"/>
        <v>1.272012</v>
      </c>
      <c r="F34" s="14">
        <f t="shared" si="19"/>
        <v>1.212081</v>
      </c>
      <c r="G34" s="6"/>
      <c r="H34" s="34" t="s">
        <v>23</v>
      </c>
      <c r="I34" s="15"/>
      <c r="J34" s="15"/>
      <c r="K34" s="15"/>
      <c r="L34" s="15"/>
      <c r="M34" s="15"/>
    </row>
    <row r="35" ht="15.75" customHeight="1">
      <c r="A35" s="22" t="s">
        <v>10</v>
      </c>
      <c r="B35" s="14">
        <f t="shared" ref="B35:F35" si="20">B61</f>
        <v>4.006068</v>
      </c>
      <c r="C35" s="14">
        <f t="shared" si="20"/>
        <v>0.6459329</v>
      </c>
      <c r="D35" s="14">
        <f t="shared" si="20"/>
        <v>0.8222244</v>
      </c>
      <c r="E35" s="14">
        <f t="shared" si="20"/>
        <v>3.816766</v>
      </c>
      <c r="F35" s="14">
        <f t="shared" si="20"/>
        <v>3.374814</v>
      </c>
      <c r="G35" s="6"/>
      <c r="H35" s="34" t="s">
        <v>10</v>
      </c>
      <c r="I35" s="15"/>
      <c r="J35" s="15"/>
      <c r="K35" s="15"/>
      <c r="L35" s="15"/>
      <c r="M35" s="15"/>
      <c r="O35" s="16"/>
    </row>
    <row r="36" ht="15.75" customHeight="1">
      <c r="A36" s="22" t="s">
        <v>18</v>
      </c>
      <c r="B36" s="14">
        <f t="shared" ref="B36:F36" si="21">B62</f>
        <v>3.578274</v>
      </c>
      <c r="C36" s="14">
        <f t="shared" si="21"/>
        <v>0.744107</v>
      </c>
      <c r="D36" s="14">
        <f t="shared" si="21"/>
        <v>0.6033058</v>
      </c>
      <c r="E36" s="14">
        <f t="shared" si="21"/>
        <v>3.409867</v>
      </c>
      <c r="F36" s="14">
        <f t="shared" si="21"/>
        <v>2.951948</v>
      </c>
      <c r="G36" s="6"/>
      <c r="H36" s="34" t="s">
        <v>18</v>
      </c>
      <c r="I36" s="15"/>
      <c r="J36" s="15"/>
      <c r="K36" s="15"/>
      <c r="L36" s="15"/>
      <c r="M36" s="15"/>
      <c r="O36" s="35"/>
    </row>
    <row r="37" ht="15.75" customHeight="1">
      <c r="A37" s="16" t="s">
        <v>27</v>
      </c>
      <c r="B37" s="16"/>
      <c r="C37" s="16"/>
      <c r="D37" s="16"/>
      <c r="E37" s="16"/>
      <c r="F37" s="16"/>
      <c r="G37" s="16"/>
      <c r="H37" s="16" t="s">
        <v>28</v>
      </c>
      <c r="I37" s="16"/>
      <c r="J37" s="16"/>
      <c r="K37" s="16"/>
      <c r="L37" s="16"/>
      <c r="M37" s="16"/>
      <c r="N37" s="16"/>
      <c r="O37" s="16"/>
      <c r="P37" s="16"/>
      <c r="Q37" s="16"/>
      <c r="R37" s="16"/>
      <c r="S37" s="16"/>
      <c r="T37" s="16"/>
      <c r="U37" s="16"/>
      <c r="V37" s="16"/>
      <c r="W37" s="16"/>
      <c r="X37" s="16"/>
      <c r="Y37" s="16"/>
      <c r="Z37" s="16"/>
    </row>
    <row r="38" ht="15.75" customHeight="1">
      <c r="A38" s="16" t="s">
        <v>14</v>
      </c>
      <c r="B38" s="16"/>
      <c r="C38" s="16"/>
      <c r="D38" s="16"/>
      <c r="E38" s="16"/>
      <c r="F38" s="16"/>
      <c r="G38" s="16"/>
      <c r="H38" s="16" t="s">
        <v>14</v>
      </c>
      <c r="I38" s="16"/>
      <c r="J38" s="16"/>
      <c r="K38" s="16"/>
      <c r="L38" s="16"/>
      <c r="M38" s="16"/>
      <c r="N38" s="16"/>
      <c r="O38" s="16"/>
      <c r="P38" s="16"/>
      <c r="Q38" s="16"/>
      <c r="R38" s="16"/>
      <c r="S38" s="16"/>
      <c r="T38" s="16"/>
      <c r="U38" s="16"/>
      <c r="V38" s="16"/>
      <c r="W38" s="16"/>
      <c r="X38" s="16"/>
      <c r="Y38" s="16"/>
      <c r="Z38" s="16"/>
    </row>
    <row r="39" ht="15.7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5.75" customHeight="1">
      <c r="A40" s="2"/>
      <c r="B40" s="31" t="s">
        <v>29</v>
      </c>
      <c r="C40" s="4"/>
      <c r="D40" s="4"/>
      <c r="E40" s="4"/>
      <c r="F40" s="5"/>
      <c r="G40" s="6"/>
      <c r="H40" s="7"/>
      <c r="I40" s="31" t="s">
        <v>30</v>
      </c>
      <c r="J40" s="4"/>
      <c r="K40" s="4"/>
      <c r="L40" s="4"/>
      <c r="M40" s="5"/>
    </row>
    <row r="41" ht="15.75" customHeight="1">
      <c r="A41" s="2"/>
      <c r="B41" s="8" t="s">
        <v>2</v>
      </c>
      <c r="C41" s="9"/>
      <c r="D41" s="8" t="s">
        <v>3</v>
      </c>
      <c r="E41" s="9"/>
      <c r="F41" s="27" t="s">
        <v>4</v>
      </c>
      <c r="G41" s="6"/>
      <c r="H41" s="7"/>
      <c r="I41" s="8" t="s">
        <v>2</v>
      </c>
      <c r="J41" s="9"/>
      <c r="K41" s="8" t="s">
        <v>3</v>
      </c>
      <c r="L41" s="9"/>
      <c r="M41" s="27" t="s">
        <v>4</v>
      </c>
    </row>
    <row r="42" ht="15.75" customHeight="1">
      <c r="A42" s="2"/>
      <c r="B42" s="11" t="s">
        <v>5</v>
      </c>
      <c r="C42" s="11" t="s">
        <v>6</v>
      </c>
      <c r="D42" s="11" t="s">
        <v>7</v>
      </c>
      <c r="E42" s="11" t="s">
        <v>8</v>
      </c>
      <c r="F42" s="28"/>
      <c r="G42" s="6"/>
      <c r="H42" s="7"/>
      <c r="I42" s="11" t="s">
        <v>5</v>
      </c>
      <c r="J42" s="11" t="s">
        <v>6</v>
      </c>
      <c r="K42" s="11" t="s">
        <v>7</v>
      </c>
      <c r="L42" s="11" t="s">
        <v>8</v>
      </c>
      <c r="M42" s="28"/>
    </row>
    <row r="43" ht="15.75" customHeight="1">
      <c r="A43" s="22" t="s">
        <v>23</v>
      </c>
      <c r="B43" s="14">
        <f t="shared" ref="B43:F43" si="22">B63</f>
        <v>1.118437</v>
      </c>
      <c r="C43" s="14">
        <f t="shared" si="22"/>
        <v>1.443398</v>
      </c>
      <c r="D43" s="14">
        <f t="shared" si="22"/>
        <v>1.025237</v>
      </c>
      <c r="E43" s="14">
        <f t="shared" si="22"/>
        <v>1.272012</v>
      </c>
      <c r="F43" s="14">
        <f t="shared" si="22"/>
        <v>1.212081</v>
      </c>
      <c r="G43" s="6"/>
      <c r="H43" s="34" t="s">
        <v>23</v>
      </c>
      <c r="I43" s="15">
        <f t="shared" ref="I43:M43" si="23">G63</f>
        <v>1532.564</v>
      </c>
      <c r="J43" s="15">
        <f t="shared" si="23"/>
        <v>800.6897</v>
      </c>
      <c r="K43" s="15">
        <f t="shared" si="23"/>
        <v>479.2981</v>
      </c>
      <c r="L43" s="15">
        <f t="shared" si="23"/>
        <v>1853.955</v>
      </c>
      <c r="M43" s="15">
        <f t="shared" si="23"/>
        <v>2333.254</v>
      </c>
    </row>
    <row r="44" ht="15.75" customHeight="1">
      <c r="A44" s="22" t="s">
        <v>10</v>
      </c>
      <c r="B44" s="14">
        <f t="shared" ref="B44:F44" si="24">B64</f>
        <v>4.006068</v>
      </c>
      <c r="C44" s="14">
        <f t="shared" si="24"/>
        <v>0.6459329</v>
      </c>
      <c r="D44" s="14">
        <f t="shared" si="24"/>
        <v>0.8222244</v>
      </c>
      <c r="E44" s="14">
        <f t="shared" si="24"/>
        <v>3.816766</v>
      </c>
      <c r="F44" s="14">
        <f t="shared" si="24"/>
        <v>3.374814</v>
      </c>
      <c r="G44" s="6"/>
      <c r="H44" s="34" t="s">
        <v>10</v>
      </c>
      <c r="I44" s="15">
        <f t="shared" ref="I44:M44" si="25">G64</f>
        <v>12850.41</v>
      </c>
      <c r="J44" s="15">
        <f t="shared" si="25"/>
        <v>479.2981</v>
      </c>
      <c r="K44" s="15">
        <f t="shared" si="25"/>
        <v>479.2981</v>
      </c>
      <c r="L44" s="15">
        <f t="shared" si="25"/>
        <v>12850.41</v>
      </c>
      <c r="M44" s="15">
        <f t="shared" si="25"/>
        <v>13329.71</v>
      </c>
    </row>
    <row r="45" ht="15.75" customHeight="1">
      <c r="A45" s="22" t="s">
        <v>18</v>
      </c>
      <c r="B45" s="14">
        <f t="shared" ref="B45:F45" si="26">B65</f>
        <v>3.578274</v>
      </c>
      <c r="C45" s="14">
        <f t="shared" si="26"/>
        <v>0.744107</v>
      </c>
      <c r="D45" s="14">
        <f t="shared" si="26"/>
        <v>0.6033058</v>
      </c>
      <c r="E45" s="14">
        <f t="shared" si="26"/>
        <v>3.409867</v>
      </c>
      <c r="F45" s="14">
        <f t="shared" si="26"/>
        <v>2.951948</v>
      </c>
      <c r="G45" s="6"/>
      <c r="H45" s="34" t="s">
        <v>18</v>
      </c>
      <c r="I45" s="15">
        <f t="shared" ref="I45:M45" si="27">G65</f>
        <v>13572.81</v>
      </c>
      <c r="J45" s="15">
        <f t="shared" si="27"/>
        <v>800.6897</v>
      </c>
      <c r="K45" s="15">
        <f t="shared" si="27"/>
        <v>479.2981</v>
      </c>
      <c r="L45" s="15">
        <f t="shared" si="27"/>
        <v>13894.2</v>
      </c>
      <c r="M45" s="15">
        <f t="shared" si="27"/>
        <v>14373.5</v>
      </c>
    </row>
    <row r="46" ht="15.75" customHeight="1">
      <c r="A46" s="16" t="s">
        <v>31</v>
      </c>
      <c r="B46" s="16"/>
      <c r="C46" s="16"/>
      <c r="D46" s="16"/>
      <c r="E46" s="16"/>
      <c r="F46" s="16"/>
      <c r="G46" s="16"/>
      <c r="H46" s="16" t="s">
        <v>31</v>
      </c>
      <c r="I46" s="16"/>
      <c r="J46" s="16"/>
      <c r="K46" s="16"/>
      <c r="L46" s="16"/>
      <c r="M46" s="16"/>
      <c r="N46" s="16"/>
      <c r="O46" s="16"/>
      <c r="P46" s="16"/>
      <c r="Q46" s="16"/>
      <c r="R46" s="16"/>
      <c r="S46" s="16"/>
      <c r="T46" s="16"/>
      <c r="U46" s="16"/>
      <c r="V46" s="16"/>
      <c r="W46" s="16"/>
      <c r="X46" s="16"/>
      <c r="Y46" s="16"/>
      <c r="Z46" s="16"/>
    </row>
    <row r="47" ht="15.75" customHeight="1">
      <c r="A47" s="16" t="s">
        <v>14</v>
      </c>
      <c r="B47" s="16"/>
      <c r="C47" s="16"/>
      <c r="D47" s="16"/>
      <c r="E47" s="16"/>
      <c r="F47" s="16"/>
      <c r="G47" s="16"/>
      <c r="H47" s="16" t="s">
        <v>14</v>
      </c>
      <c r="I47" s="16"/>
      <c r="J47" s="16"/>
      <c r="K47" s="16"/>
      <c r="L47" s="16"/>
      <c r="M47" s="16"/>
      <c r="N47" s="16"/>
      <c r="O47" s="16"/>
      <c r="P47" s="16"/>
      <c r="Q47" s="16"/>
      <c r="R47" s="16"/>
      <c r="S47" s="16"/>
      <c r="T47" s="16"/>
      <c r="U47" s="16"/>
      <c r="V47" s="16"/>
      <c r="W47" s="16"/>
      <c r="X47" s="16"/>
      <c r="Y47" s="16"/>
      <c r="Z47" s="16"/>
    </row>
    <row r="48" ht="15.75" customHeight="1">
      <c r="H48" s="1"/>
    </row>
    <row r="49" ht="15.75" customHeight="1">
      <c r="A49" s="36"/>
      <c r="B49" s="36"/>
      <c r="C49" s="36"/>
      <c r="D49" s="36"/>
      <c r="E49" s="36"/>
      <c r="F49" s="36"/>
      <c r="G49" s="36"/>
      <c r="H49" s="1"/>
      <c r="I49" s="36"/>
      <c r="J49" s="36"/>
      <c r="K49" s="36"/>
      <c r="L49" s="36"/>
      <c r="M49" s="36"/>
      <c r="N49" s="36"/>
      <c r="O49" s="36"/>
      <c r="P49" s="36"/>
      <c r="Q49" s="36"/>
      <c r="R49" s="36"/>
      <c r="S49" s="36"/>
      <c r="T49" s="36"/>
      <c r="U49" s="36"/>
      <c r="V49" s="36"/>
      <c r="W49" s="36"/>
      <c r="X49" s="36"/>
      <c r="Y49" s="36"/>
      <c r="Z49" s="36"/>
    </row>
    <row r="50" ht="15.75" customHeight="1">
      <c r="A50" s="36"/>
      <c r="B50" s="36" t="s">
        <v>32</v>
      </c>
      <c r="C50" s="36" t="s">
        <v>33</v>
      </c>
      <c r="D50" s="36" t="s">
        <v>34</v>
      </c>
      <c r="E50" s="36" t="s">
        <v>35</v>
      </c>
      <c r="F50" s="36" t="s">
        <v>36</v>
      </c>
      <c r="G50" s="36" t="s">
        <v>37</v>
      </c>
      <c r="H50" s="1" t="s">
        <v>38</v>
      </c>
      <c r="I50" s="36" t="s">
        <v>39</v>
      </c>
      <c r="J50" s="36" t="s">
        <v>40</v>
      </c>
      <c r="K50" s="36" t="s">
        <v>41</v>
      </c>
      <c r="L50" s="36"/>
      <c r="M50" s="36"/>
      <c r="N50" s="36"/>
      <c r="O50" s="36"/>
      <c r="P50" s="36"/>
      <c r="Q50" s="36"/>
      <c r="R50" s="36"/>
      <c r="S50" s="36"/>
      <c r="T50" s="36"/>
      <c r="U50" s="36"/>
      <c r="V50" s="36"/>
      <c r="W50" s="36"/>
      <c r="X50" s="36"/>
      <c r="Y50" s="36"/>
      <c r="Z50" s="36"/>
    </row>
    <row r="51" ht="15.75" customHeight="1">
      <c r="A51" s="36"/>
      <c r="B51" s="33">
        <v>10.22489</v>
      </c>
      <c r="C51" s="33">
        <v>4.546884</v>
      </c>
      <c r="D51" s="33">
        <v>7.877769</v>
      </c>
      <c r="E51" s="33">
        <v>7.218318</v>
      </c>
      <c r="F51" s="33">
        <v>7.347374</v>
      </c>
      <c r="G51" s="36">
        <v>490780.3</v>
      </c>
      <c r="H51" s="1">
        <v>224246.4</v>
      </c>
      <c r="I51" s="36">
        <v>150034.4</v>
      </c>
      <c r="J51" s="36">
        <v>564992.3</v>
      </c>
      <c r="K51" s="36">
        <v>715026.8</v>
      </c>
      <c r="L51" s="36"/>
      <c r="M51" s="36"/>
      <c r="N51" s="36"/>
      <c r="O51" s="36"/>
      <c r="P51" s="36"/>
      <c r="Q51" s="36"/>
      <c r="R51" s="36"/>
      <c r="S51" s="36"/>
      <c r="T51" s="36"/>
      <c r="U51" s="36"/>
      <c r="V51" s="36"/>
      <c r="W51" s="36"/>
      <c r="X51" s="36"/>
      <c r="Y51" s="36"/>
      <c r="Z51" s="36"/>
    </row>
    <row r="52" ht="15.75" customHeight="1">
      <c r="A52" s="36"/>
      <c r="B52" s="33">
        <v>61.75066</v>
      </c>
      <c r="C52" s="33">
        <v>49.96091</v>
      </c>
      <c r="D52" s="33">
        <v>35.30473</v>
      </c>
      <c r="E52" s="33">
        <v>60.75689</v>
      </c>
      <c r="F52" s="33">
        <v>55.77582</v>
      </c>
      <c r="G52" s="36">
        <v>2963946.0</v>
      </c>
      <c r="H52" s="1">
        <v>2464007.0</v>
      </c>
      <c r="I52" s="36">
        <v>672389.0</v>
      </c>
      <c r="J52" s="36">
        <v>4755564.0</v>
      </c>
      <c r="K52" s="36">
        <v>5427953.0</v>
      </c>
      <c r="L52" s="36"/>
      <c r="M52" s="36"/>
      <c r="N52" s="36"/>
      <c r="O52" s="36"/>
      <c r="P52" s="36"/>
      <c r="Q52" s="36"/>
      <c r="R52" s="36"/>
      <c r="S52" s="36"/>
      <c r="T52" s="36"/>
      <c r="U52" s="36"/>
      <c r="V52" s="36"/>
      <c r="W52" s="36"/>
      <c r="X52" s="36"/>
      <c r="Y52" s="36"/>
      <c r="Z52" s="36"/>
    </row>
    <row r="53" ht="15.75" customHeight="1">
      <c r="A53" s="36"/>
      <c r="B53" s="33">
        <v>62.47563</v>
      </c>
      <c r="C53" s="33">
        <v>50.32739</v>
      </c>
      <c r="D53" s="33">
        <v>36.03506</v>
      </c>
      <c r="E53" s="33">
        <v>61.25467</v>
      </c>
      <c r="F53" s="33">
        <v>56.31912</v>
      </c>
      <c r="G53" s="36">
        <v>2998743.0</v>
      </c>
      <c r="H53" s="1">
        <v>2482082.0</v>
      </c>
      <c r="I53" s="36">
        <v>686298.4</v>
      </c>
      <c r="J53" s="36">
        <v>4794527.0</v>
      </c>
      <c r="K53" s="36">
        <v>5480825.0</v>
      </c>
      <c r="L53" s="36"/>
      <c r="M53" s="36"/>
      <c r="N53" s="36"/>
      <c r="O53" s="36"/>
      <c r="P53" s="36"/>
      <c r="Q53" s="36"/>
      <c r="R53" s="36"/>
      <c r="S53" s="36"/>
      <c r="T53" s="36"/>
      <c r="U53" s="36"/>
      <c r="V53" s="36"/>
      <c r="W53" s="36"/>
      <c r="X53" s="36"/>
      <c r="Y53" s="36"/>
      <c r="Z53" s="36"/>
    </row>
    <row r="54" ht="15.75" customHeight="1">
      <c r="A54" s="36"/>
      <c r="B54" s="33">
        <v>29.63301</v>
      </c>
      <c r="C54" s="33">
        <v>24.88041</v>
      </c>
      <c r="D54" s="33">
        <v>32.08568</v>
      </c>
      <c r="E54" s="33">
        <v>27.09538</v>
      </c>
      <c r="F54" s="33">
        <v>28.1425</v>
      </c>
      <c r="G54" s="36">
        <v>145433.0</v>
      </c>
      <c r="H54" s="1">
        <v>55793.43</v>
      </c>
      <c r="I54" s="36">
        <v>48139.57</v>
      </c>
      <c r="J54" s="36">
        <v>153086.8</v>
      </c>
      <c r="K54" s="36">
        <v>201226.4</v>
      </c>
      <c r="L54" s="36"/>
      <c r="M54" s="36"/>
      <c r="N54" s="36"/>
      <c r="O54" s="36"/>
      <c r="P54" s="36"/>
      <c r="Q54" s="36"/>
      <c r="R54" s="36"/>
      <c r="S54" s="36"/>
      <c r="T54" s="36"/>
      <c r="U54" s="36"/>
      <c r="V54" s="36"/>
      <c r="W54" s="36"/>
      <c r="X54" s="36"/>
      <c r="Y54" s="36"/>
      <c r="Z54" s="36"/>
    </row>
    <row r="55" ht="15.75" customHeight="1">
      <c r="A55" s="36"/>
      <c r="B55" s="33">
        <v>11.50493</v>
      </c>
      <c r="C55" s="33">
        <v>3.284484</v>
      </c>
      <c r="D55" s="33">
        <v>9.129792</v>
      </c>
      <c r="E55" s="33">
        <v>7.581481</v>
      </c>
      <c r="F55" s="33">
        <v>7.773279</v>
      </c>
      <c r="G55" s="36">
        <v>341000.0</v>
      </c>
      <c r="H55" s="1">
        <v>80929.93</v>
      </c>
      <c r="I55" s="36">
        <v>61387.72</v>
      </c>
      <c r="J55" s="36">
        <v>360542.2</v>
      </c>
      <c r="K55" s="36">
        <v>421929.9</v>
      </c>
      <c r="L55" s="36"/>
      <c r="M55" s="36"/>
      <c r="N55" s="36"/>
      <c r="O55" s="36"/>
      <c r="P55" s="36"/>
      <c r="Q55" s="36"/>
      <c r="R55" s="36"/>
      <c r="S55" s="36"/>
      <c r="T55" s="36"/>
      <c r="U55" s="36"/>
      <c r="V55" s="36"/>
      <c r="W55" s="36"/>
      <c r="X55" s="36"/>
      <c r="Y55" s="36"/>
      <c r="Z55" s="36"/>
    </row>
    <row r="56" ht="15.75" customHeight="1">
      <c r="A56" s="36"/>
      <c r="B56" s="33">
        <v>13.4932</v>
      </c>
      <c r="C56" s="33">
        <v>4.619205</v>
      </c>
      <c r="D56" s="33">
        <v>12.10898</v>
      </c>
      <c r="E56" s="33">
        <v>9.097356</v>
      </c>
      <c r="F56" s="33">
        <v>9.474465</v>
      </c>
      <c r="G56" s="36">
        <v>404626.4</v>
      </c>
      <c r="H56" s="1">
        <v>114652.5</v>
      </c>
      <c r="I56" s="36">
        <v>83103.73</v>
      </c>
      <c r="J56" s="36">
        <v>436175.2</v>
      </c>
      <c r="K56" s="36">
        <v>519278.9</v>
      </c>
      <c r="L56" s="36"/>
      <c r="M56" s="36"/>
      <c r="N56" s="36"/>
      <c r="O56" s="36"/>
      <c r="P56" s="36"/>
      <c r="Q56" s="36"/>
      <c r="R56" s="36"/>
      <c r="S56" s="36"/>
      <c r="T56" s="36"/>
      <c r="U56" s="36"/>
      <c r="V56" s="36"/>
      <c r="W56" s="36"/>
      <c r="X56" s="36"/>
      <c r="Y56" s="36"/>
      <c r="Z56" s="36"/>
    </row>
    <row r="57" ht="15.75" customHeight="1">
      <c r="A57" s="36"/>
      <c r="B57" s="33">
        <v>5.779784</v>
      </c>
      <c r="C57" s="36">
        <v>0.5751311</v>
      </c>
      <c r="D57" s="33">
        <v>2.886544</v>
      </c>
      <c r="E57" s="33">
        <v>4.792722</v>
      </c>
      <c r="F57" s="33">
        <v>4.336706</v>
      </c>
      <c r="G57" s="33">
        <v>8405.711</v>
      </c>
      <c r="H57" s="70">
        <v>320.8854</v>
      </c>
      <c r="I57" s="36">
        <v>1389.57</v>
      </c>
      <c r="J57" s="33">
        <v>7337.026</v>
      </c>
      <c r="K57" s="33">
        <v>8726.597</v>
      </c>
      <c r="L57" s="36"/>
      <c r="M57" s="36"/>
      <c r="N57" s="36"/>
      <c r="O57" s="36"/>
      <c r="P57" s="36"/>
      <c r="Q57" s="36"/>
      <c r="R57" s="36"/>
      <c r="S57" s="36"/>
      <c r="T57" s="36"/>
      <c r="U57" s="36"/>
      <c r="V57" s="36"/>
      <c r="W57" s="36"/>
      <c r="X57" s="36"/>
      <c r="Y57" s="36"/>
      <c r="Z57" s="36"/>
    </row>
    <row r="58" ht="15.75" customHeight="1">
      <c r="A58" s="36"/>
      <c r="B58" s="33">
        <v>5.931454</v>
      </c>
      <c r="C58" s="33">
        <v>8.312697</v>
      </c>
      <c r="D58" s="33">
        <v>5.041494</v>
      </c>
      <c r="E58" s="33">
        <v>6.617495</v>
      </c>
      <c r="F58" s="33">
        <v>6.388198</v>
      </c>
      <c r="G58" s="36">
        <v>20226.26</v>
      </c>
      <c r="H58" s="1">
        <v>6727.46</v>
      </c>
      <c r="I58" s="33">
        <v>3094.858</v>
      </c>
      <c r="J58" s="36">
        <v>23858.86</v>
      </c>
      <c r="K58" s="36">
        <v>26953.72</v>
      </c>
      <c r="L58" s="36"/>
      <c r="M58" s="36"/>
      <c r="N58" s="36"/>
      <c r="O58" s="36"/>
      <c r="P58" s="36"/>
      <c r="Q58" s="36"/>
      <c r="R58" s="36"/>
      <c r="S58" s="36"/>
      <c r="T58" s="36"/>
      <c r="U58" s="36"/>
      <c r="V58" s="36"/>
      <c r="W58" s="36"/>
      <c r="X58" s="36"/>
      <c r="Y58" s="36"/>
      <c r="Z58" s="36"/>
    </row>
    <row r="59" ht="15.75" customHeight="1">
      <c r="A59" s="36"/>
      <c r="B59" s="33">
        <v>6.256352</v>
      </c>
      <c r="C59" s="33">
        <v>6.147575</v>
      </c>
      <c r="D59" s="33">
        <v>4.402245</v>
      </c>
      <c r="E59" s="33">
        <v>6.581019</v>
      </c>
      <c r="F59" s="33">
        <v>6.232335</v>
      </c>
      <c r="G59" s="36">
        <v>25314.85</v>
      </c>
      <c r="H59" s="70">
        <v>7048.346</v>
      </c>
      <c r="I59" s="36">
        <v>3658.43</v>
      </c>
      <c r="J59" s="36">
        <v>28704.77</v>
      </c>
      <c r="K59" s="36">
        <v>32363.2</v>
      </c>
      <c r="L59" s="36"/>
      <c r="M59" s="36"/>
      <c r="N59" s="36"/>
      <c r="O59" s="36"/>
      <c r="P59" s="36"/>
      <c r="Q59" s="36"/>
      <c r="R59" s="36"/>
      <c r="S59" s="36"/>
      <c r="T59" s="36"/>
      <c r="U59" s="36"/>
      <c r="V59" s="36"/>
      <c r="W59" s="36"/>
      <c r="X59" s="36"/>
      <c r="Y59" s="36"/>
      <c r="Z59" s="36"/>
    </row>
    <row r="60" ht="15.75" customHeight="1">
      <c r="A60" s="36"/>
      <c r="B60" s="33">
        <v>1.118437</v>
      </c>
      <c r="C60" s="33">
        <v>1.443398</v>
      </c>
      <c r="D60" s="33">
        <v>1.025237</v>
      </c>
      <c r="E60" s="33">
        <v>1.272012</v>
      </c>
      <c r="F60" s="33">
        <v>1.212081</v>
      </c>
      <c r="G60" s="33">
        <v>1532.564</v>
      </c>
      <c r="H60" s="70">
        <v>800.6897</v>
      </c>
      <c r="I60" s="33">
        <v>479.2981</v>
      </c>
      <c r="J60" s="33">
        <v>1853.955</v>
      </c>
      <c r="K60" s="33">
        <v>2333.254</v>
      </c>
      <c r="L60" s="36"/>
      <c r="M60" s="36"/>
      <c r="N60" s="36"/>
      <c r="O60" s="36"/>
      <c r="P60" s="36"/>
      <c r="Q60" s="36"/>
      <c r="R60" s="36"/>
      <c r="S60" s="36"/>
      <c r="T60" s="36"/>
      <c r="U60" s="36"/>
      <c r="V60" s="36"/>
      <c r="W60" s="36"/>
      <c r="X60" s="36"/>
      <c r="Y60" s="36"/>
      <c r="Z60" s="36"/>
    </row>
    <row r="61" ht="15.75" customHeight="1">
      <c r="A61" s="36"/>
      <c r="B61" s="33">
        <v>4.006068</v>
      </c>
      <c r="C61" s="36">
        <v>0.6459329</v>
      </c>
      <c r="D61" s="36">
        <v>0.8222244</v>
      </c>
      <c r="E61" s="33">
        <v>3.816766</v>
      </c>
      <c r="F61" s="33">
        <v>3.374814</v>
      </c>
      <c r="G61" s="36">
        <v>12850.41</v>
      </c>
      <c r="H61" s="70">
        <v>479.2981</v>
      </c>
      <c r="I61" s="33">
        <v>479.2981</v>
      </c>
      <c r="J61" s="36">
        <v>12850.41</v>
      </c>
      <c r="K61" s="36">
        <v>13329.71</v>
      </c>
      <c r="L61" s="36"/>
      <c r="M61" s="36"/>
      <c r="N61" s="36"/>
      <c r="O61" s="36"/>
      <c r="P61" s="36"/>
      <c r="Q61" s="36"/>
      <c r="R61" s="36"/>
      <c r="S61" s="36"/>
      <c r="T61" s="36"/>
      <c r="U61" s="36"/>
      <c r="V61" s="36"/>
      <c r="W61" s="36"/>
      <c r="X61" s="36"/>
      <c r="Y61" s="36"/>
      <c r="Z61" s="36"/>
    </row>
    <row r="62" ht="15.75" customHeight="1">
      <c r="A62" s="36"/>
      <c r="B62" s="33">
        <v>3.578274</v>
      </c>
      <c r="C62" s="36">
        <v>0.744107</v>
      </c>
      <c r="D62" s="36">
        <v>0.6033058</v>
      </c>
      <c r="E62" s="33">
        <v>3.409867</v>
      </c>
      <c r="F62" s="33">
        <v>2.951948</v>
      </c>
      <c r="G62" s="36">
        <v>13572.81</v>
      </c>
      <c r="H62" s="70">
        <v>800.6897</v>
      </c>
      <c r="I62" s="33">
        <v>479.2981</v>
      </c>
      <c r="J62" s="36">
        <v>13894.2</v>
      </c>
      <c r="K62" s="36">
        <v>14373.5</v>
      </c>
      <c r="L62" s="36"/>
      <c r="M62" s="36"/>
      <c r="N62" s="36"/>
      <c r="O62" s="36"/>
      <c r="P62" s="36"/>
      <c r="Q62" s="36"/>
      <c r="R62" s="36"/>
      <c r="S62" s="36"/>
      <c r="T62" s="36"/>
      <c r="U62" s="36"/>
      <c r="V62" s="36"/>
      <c r="W62" s="36"/>
      <c r="X62" s="36"/>
      <c r="Y62" s="36"/>
      <c r="Z62" s="36"/>
    </row>
    <row r="63" ht="15.75" customHeight="1">
      <c r="A63" s="36"/>
      <c r="B63" s="33">
        <v>1.118437</v>
      </c>
      <c r="C63" s="33">
        <v>1.443398</v>
      </c>
      <c r="D63" s="33">
        <v>1.025237</v>
      </c>
      <c r="E63" s="33">
        <v>1.272012</v>
      </c>
      <c r="F63" s="33">
        <v>1.212081</v>
      </c>
      <c r="G63" s="33">
        <v>1532.564</v>
      </c>
      <c r="H63" s="70">
        <v>800.6897</v>
      </c>
      <c r="I63" s="33">
        <v>479.2981</v>
      </c>
      <c r="J63" s="33">
        <v>1853.955</v>
      </c>
      <c r="K63" s="33">
        <v>2333.254</v>
      </c>
      <c r="L63" s="36"/>
      <c r="M63" s="36"/>
      <c r="N63" s="36"/>
      <c r="O63" s="36"/>
      <c r="P63" s="36"/>
      <c r="Q63" s="36"/>
      <c r="R63" s="36"/>
      <c r="S63" s="36"/>
      <c r="T63" s="36"/>
      <c r="U63" s="36"/>
      <c r="V63" s="36"/>
      <c r="W63" s="36"/>
      <c r="X63" s="36"/>
      <c r="Y63" s="36"/>
      <c r="Z63" s="36"/>
    </row>
    <row r="64" ht="15.75" customHeight="1">
      <c r="A64" s="36"/>
      <c r="B64" s="33">
        <v>4.006068</v>
      </c>
      <c r="C64" s="36">
        <v>0.6459329</v>
      </c>
      <c r="D64" s="36">
        <v>0.8222244</v>
      </c>
      <c r="E64" s="33">
        <v>3.816766</v>
      </c>
      <c r="F64" s="33">
        <v>3.374814</v>
      </c>
      <c r="G64" s="36">
        <v>12850.41</v>
      </c>
      <c r="H64" s="70">
        <v>479.2981</v>
      </c>
      <c r="I64" s="33">
        <v>479.2981</v>
      </c>
      <c r="J64" s="36">
        <v>12850.41</v>
      </c>
      <c r="K64" s="36">
        <v>13329.71</v>
      </c>
      <c r="L64" s="36"/>
      <c r="M64" s="36"/>
      <c r="N64" s="36"/>
      <c r="O64" s="36"/>
      <c r="P64" s="36"/>
      <c r="Q64" s="36"/>
      <c r="R64" s="36"/>
      <c r="S64" s="36"/>
      <c r="T64" s="36"/>
      <c r="U64" s="36"/>
      <c r="V64" s="36"/>
      <c r="W64" s="36"/>
      <c r="X64" s="36"/>
      <c r="Y64" s="36"/>
      <c r="Z64" s="36"/>
    </row>
    <row r="65" ht="15.75" customHeight="1">
      <c r="A65" s="36"/>
      <c r="B65" s="33">
        <v>3.578274</v>
      </c>
      <c r="C65" s="36">
        <v>0.744107</v>
      </c>
      <c r="D65" s="36">
        <v>0.6033058</v>
      </c>
      <c r="E65" s="33">
        <v>3.409867</v>
      </c>
      <c r="F65" s="33">
        <v>2.951948</v>
      </c>
      <c r="G65" s="36">
        <v>13572.81</v>
      </c>
      <c r="H65" s="70">
        <v>800.6897</v>
      </c>
      <c r="I65" s="33">
        <v>479.2981</v>
      </c>
      <c r="J65" s="36">
        <v>13894.2</v>
      </c>
      <c r="K65" s="36">
        <v>14373.5</v>
      </c>
      <c r="L65" s="36"/>
      <c r="M65" s="36"/>
      <c r="N65" s="36"/>
      <c r="O65" s="36"/>
      <c r="P65" s="36"/>
      <c r="Q65" s="36"/>
      <c r="R65" s="36"/>
      <c r="S65" s="36"/>
      <c r="T65" s="36"/>
      <c r="U65" s="36"/>
      <c r="V65" s="36"/>
      <c r="W65" s="36"/>
      <c r="X65" s="36"/>
      <c r="Y65" s="36"/>
      <c r="Z65" s="36"/>
    </row>
    <row r="66" ht="15.75" customHeight="1">
      <c r="A66" s="36"/>
      <c r="B66" s="36"/>
      <c r="C66" s="36"/>
      <c r="D66" s="36"/>
      <c r="E66" s="36"/>
      <c r="F66" s="36"/>
      <c r="G66" s="36"/>
      <c r="H66" s="1"/>
      <c r="I66" s="36"/>
      <c r="J66" s="36"/>
      <c r="K66" s="36"/>
      <c r="L66" s="36"/>
      <c r="M66" s="36"/>
      <c r="N66" s="36"/>
      <c r="O66" s="36"/>
      <c r="P66" s="36"/>
      <c r="Q66" s="36"/>
      <c r="R66" s="36"/>
      <c r="S66" s="36"/>
      <c r="T66" s="36"/>
      <c r="U66" s="36"/>
      <c r="V66" s="36"/>
      <c r="W66" s="36"/>
      <c r="X66" s="36"/>
      <c r="Y66" s="36"/>
      <c r="Z66" s="36"/>
    </row>
    <row r="67" ht="15.75" customHeight="1">
      <c r="A67" s="36"/>
      <c r="B67" s="36"/>
      <c r="C67" s="36"/>
      <c r="D67" s="36"/>
      <c r="E67" s="36"/>
      <c r="F67" s="36"/>
      <c r="G67" s="36"/>
      <c r="H67" s="1"/>
      <c r="I67" s="36"/>
      <c r="J67" s="36"/>
      <c r="K67" s="36"/>
      <c r="L67" s="36"/>
      <c r="M67" s="36"/>
      <c r="N67" s="36"/>
      <c r="O67" s="36"/>
      <c r="P67" s="36"/>
      <c r="Q67" s="36"/>
      <c r="R67" s="36"/>
      <c r="S67" s="36"/>
      <c r="T67" s="36"/>
      <c r="U67" s="36"/>
      <c r="V67" s="36"/>
      <c r="W67" s="36"/>
      <c r="X67" s="36"/>
      <c r="Y67" s="36"/>
      <c r="Z67" s="36"/>
    </row>
    <row r="68" ht="15.75" customHeight="1">
      <c r="A68" s="36"/>
      <c r="B68" s="36"/>
      <c r="C68" s="36"/>
      <c r="D68" s="36"/>
      <c r="E68" s="36"/>
      <c r="F68" s="36"/>
      <c r="G68" s="36"/>
      <c r="H68" s="1"/>
      <c r="I68" s="36"/>
      <c r="J68" s="36"/>
      <c r="K68" s="36"/>
      <c r="L68" s="36"/>
      <c r="M68" s="36"/>
      <c r="N68" s="36"/>
      <c r="O68" s="36"/>
      <c r="P68" s="36"/>
      <c r="Q68" s="36"/>
      <c r="R68" s="36"/>
      <c r="S68" s="36"/>
      <c r="T68" s="36"/>
      <c r="U68" s="36"/>
      <c r="V68" s="36"/>
      <c r="W68" s="36"/>
      <c r="X68" s="36"/>
      <c r="Y68" s="36"/>
      <c r="Z68" s="36"/>
    </row>
    <row r="69" ht="15.75" customHeight="1">
      <c r="A69" s="36"/>
      <c r="B69" s="36"/>
      <c r="C69" s="36"/>
      <c r="D69" s="36"/>
      <c r="E69" s="36"/>
      <c r="F69" s="36"/>
      <c r="G69" s="36"/>
      <c r="H69" s="1"/>
      <c r="I69" s="36"/>
      <c r="J69" s="36"/>
      <c r="K69" s="36"/>
      <c r="L69" s="36"/>
      <c r="M69" s="36"/>
      <c r="N69" s="36"/>
      <c r="O69" s="36"/>
      <c r="P69" s="36"/>
      <c r="Q69" s="36"/>
      <c r="R69" s="36"/>
      <c r="S69" s="36"/>
      <c r="T69" s="36"/>
      <c r="U69" s="36"/>
      <c r="V69" s="36"/>
      <c r="W69" s="36"/>
      <c r="X69" s="36"/>
      <c r="Y69" s="36"/>
      <c r="Z69" s="36"/>
    </row>
    <row r="70" ht="15.75" customHeight="1">
      <c r="A70" s="36"/>
      <c r="B70" s="36"/>
      <c r="C70" s="36"/>
      <c r="D70" s="36"/>
      <c r="E70" s="36"/>
      <c r="F70" s="36"/>
      <c r="G70" s="36"/>
      <c r="H70" s="1"/>
      <c r="I70" s="36"/>
      <c r="J70" s="36"/>
      <c r="K70" s="36"/>
      <c r="L70" s="36"/>
      <c r="M70" s="36"/>
      <c r="N70" s="36"/>
      <c r="O70" s="36"/>
      <c r="P70" s="36"/>
      <c r="Q70" s="36"/>
      <c r="R70" s="36"/>
      <c r="S70" s="36"/>
      <c r="T70" s="36"/>
      <c r="U70" s="36"/>
      <c r="V70" s="36"/>
      <c r="W70" s="36"/>
      <c r="X70" s="36"/>
      <c r="Y70" s="36"/>
      <c r="Z70" s="36"/>
    </row>
    <row r="71" ht="15.75" customHeight="1">
      <c r="A71" s="36"/>
      <c r="B71" s="36"/>
      <c r="C71" s="36"/>
      <c r="D71" s="36"/>
      <c r="E71" s="36"/>
      <c r="F71" s="36"/>
      <c r="G71" s="36"/>
      <c r="H71" s="1"/>
      <c r="I71" s="36"/>
      <c r="J71" s="36"/>
      <c r="K71" s="36"/>
      <c r="L71" s="36"/>
      <c r="M71" s="36"/>
      <c r="N71" s="36"/>
      <c r="O71" s="36"/>
      <c r="P71" s="36"/>
      <c r="Q71" s="36"/>
      <c r="R71" s="36"/>
      <c r="S71" s="36"/>
      <c r="T71" s="36"/>
      <c r="U71" s="36"/>
      <c r="V71" s="36"/>
      <c r="W71" s="36"/>
      <c r="X71" s="36"/>
      <c r="Y71" s="36"/>
      <c r="Z71" s="36"/>
    </row>
    <row r="72" ht="15.75" customHeight="1">
      <c r="A72" s="36"/>
      <c r="B72" s="36"/>
      <c r="C72" s="36"/>
      <c r="D72" s="36"/>
      <c r="E72" s="36"/>
      <c r="F72" s="36"/>
      <c r="G72" s="36"/>
      <c r="H72" s="1"/>
      <c r="I72" s="36"/>
      <c r="J72" s="36"/>
      <c r="K72" s="37"/>
      <c r="L72" s="37"/>
      <c r="M72" s="38"/>
      <c r="N72" s="39"/>
      <c r="O72" s="37"/>
      <c r="P72" s="37"/>
      <c r="Q72" s="37"/>
      <c r="R72" s="40"/>
      <c r="S72" s="36"/>
      <c r="T72" s="36"/>
      <c r="U72" s="36"/>
      <c r="V72" s="36"/>
      <c r="W72" s="36"/>
      <c r="X72" s="36"/>
      <c r="Y72" s="36"/>
      <c r="Z72" s="36"/>
    </row>
    <row r="73" ht="78.75" customHeight="1">
      <c r="A73" s="36"/>
      <c r="B73" s="36"/>
      <c r="C73" s="36"/>
      <c r="D73" s="36"/>
      <c r="E73" s="36"/>
      <c r="F73" s="36"/>
      <c r="G73" s="36"/>
      <c r="H73" s="1"/>
      <c r="I73" s="36"/>
      <c r="J73" s="36"/>
      <c r="K73" s="41" t="s">
        <v>42</v>
      </c>
      <c r="L73" s="42"/>
      <c r="M73" s="42"/>
      <c r="N73" s="42"/>
      <c r="O73" s="42"/>
      <c r="P73" s="42"/>
      <c r="Q73" s="43"/>
      <c r="R73" s="44"/>
      <c r="S73" s="36"/>
      <c r="T73" s="36"/>
      <c r="U73" s="36"/>
      <c r="V73" s="36"/>
      <c r="W73" s="36"/>
      <c r="X73" s="36"/>
      <c r="Y73" s="36"/>
      <c r="Z73" s="36"/>
    </row>
    <row r="74" ht="47.25" customHeight="1">
      <c r="A74" s="36"/>
      <c r="B74" s="36"/>
      <c r="C74" s="36"/>
      <c r="D74" s="36"/>
      <c r="E74" s="36"/>
      <c r="F74" s="36"/>
      <c r="G74" s="36"/>
      <c r="H74" s="1"/>
      <c r="I74" s="36"/>
      <c r="J74" s="36"/>
      <c r="K74" s="45" t="s">
        <v>43</v>
      </c>
      <c r="L74" s="46"/>
      <c r="M74" s="46"/>
      <c r="N74" s="46"/>
      <c r="O74" s="46"/>
      <c r="P74" s="46"/>
      <c r="Q74" s="47"/>
      <c r="R74" s="48"/>
      <c r="S74" s="36"/>
      <c r="T74" s="36"/>
      <c r="U74" s="36"/>
      <c r="V74" s="36"/>
      <c r="W74" s="36"/>
      <c r="X74" s="36"/>
      <c r="Y74" s="36"/>
      <c r="Z74" s="36"/>
    </row>
    <row r="75" ht="15.75" customHeight="1">
      <c r="A75" s="36"/>
      <c r="B75" s="36"/>
      <c r="C75" s="36"/>
      <c r="D75" s="36"/>
      <c r="E75" s="36"/>
      <c r="F75" s="36"/>
      <c r="G75" s="36"/>
      <c r="H75" s="1"/>
      <c r="I75" s="36"/>
      <c r="J75" s="36"/>
      <c r="K75" s="49"/>
      <c r="L75" s="50"/>
      <c r="M75" s="51"/>
      <c r="N75" s="49"/>
      <c r="O75" s="49"/>
      <c r="P75" s="49"/>
      <c r="Q75" s="49"/>
      <c r="R75" s="49"/>
      <c r="S75" s="36"/>
      <c r="T75" s="36"/>
      <c r="U75" s="36"/>
      <c r="V75" s="36"/>
      <c r="W75" s="36"/>
      <c r="X75" s="36"/>
      <c r="Y75" s="36"/>
      <c r="Z75" s="36"/>
    </row>
    <row r="76" ht="15.75" customHeight="1">
      <c r="A76" s="36"/>
      <c r="B76" s="36"/>
      <c r="C76" s="36"/>
      <c r="D76" s="36"/>
      <c r="E76" s="36"/>
      <c r="F76" s="36"/>
      <c r="G76" s="36"/>
      <c r="H76" s="1"/>
      <c r="I76" s="36"/>
      <c r="J76" s="36"/>
      <c r="K76" s="49" t="s">
        <v>44</v>
      </c>
      <c r="L76" s="52" t="s">
        <v>10</v>
      </c>
      <c r="M76" s="39"/>
      <c r="N76" s="49" t="s">
        <v>45</v>
      </c>
      <c r="O76" s="49" t="s">
        <v>46</v>
      </c>
      <c r="P76" s="49" t="s">
        <v>47</v>
      </c>
      <c r="Q76" s="49" t="s">
        <v>48</v>
      </c>
      <c r="R76" s="49" t="s">
        <v>49</v>
      </c>
      <c r="S76" s="36"/>
      <c r="T76" s="36"/>
      <c r="U76" s="36"/>
      <c r="V76" s="36"/>
      <c r="W76" s="36"/>
      <c r="X76" s="36"/>
      <c r="Y76" s="36"/>
      <c r="Z76" s="36"/>
    </row>
    <row r="77" ht="15.75" customHeight="1">
      <c r="A77" s="36"/>
      <c r="B77" s="36"/>
      <c r="C77" s="36"/>
      <c r="D77" s="36"/>
      <c r="E77" s="36"/>
      <c r="F77" s="36"/>
      <c r="G77" s="36"/>
      <c r="H77" s="1"/>
      <c r="I77" s="36"/>
      <c r="J77" s="36"/>
      <c r="K77" s="49" t="s">
        <v>50</v>
      </c>
      <c r="L77" s="52"/>
      <c r="M77" s="39"/>
      <c r="N77" s="49"/>
      <c r="O77" s="49"/>
      <c r="P77" s="49"/>
      <c r="Q77" s="49"/>
      <c r="R77" s="49"/>
      <c r="S77" s="36"/>
      <c r="T77" s="36"/>
      <c r="U77" s="36"/>
      <c r="V77" s="36"/>
      <c r="W77" s="36"/>
      <c r="X77" s="36"/>
      <c r="Y77" s="36"/>
      <c r="Z77" s="36"/>
    </row>
    <row r="78" ht="15.75" customHeight="1">
      <c r="A78" s="36"/>
      <c r="B78" s="36"/>
      <c r="C78" s="36"/>
      <c r="D78" s="36"/>
      <c r="E78" s="36"/>
      <c r="F78" s="36"/>
      <c r="G78" s="36"/>
      <c r="H78" s="1"/>
      <c r="I78" s="36"/>
      <c r="J78" s="36"/>
      <c r="K78" s="49" t="s">
        <v>51</v>
      </c>
      <c r="L78" s="52" t="s">
        <v>68</v>
      </c>
      <c r="M78" s="39"/>
      <c r="N78" s="49"/>
      <c r="O78" s="49"/>
      <c r="P78" s="49"/>
      <c r="Q78" s="49"/>
      <c r="R78" s="49" t="s">
        <v>69</v>
      </c>
      <c r="S78" s="36"/>
      <c r="T78" s="36"/>
      <c r="U78" s="36"/>
      <c r="V78" s="36"/>
      <c r="W78" s="36"/>
      <c r="X78" s="36"/>
      <c r="Y78" s="36"/>
      <c r="Z78" s="36"/>
    </row>
    <row r="79" ht="15.75" customHeight="1">
      <c r="A79" s="36"/>
      <c r="B79" s="36"/>
      <c r="C79" s="36"/>
      <c r="D79" s="36"/>
      <c r="E79" s="36"/>
      <c r="F79" s="36"/>
      <c r="G79" s="36"/>
      <c r="H79" s="1"/>
      <c r="I79" s="36"/>
      <c r="J79" s="36"/>
      <c r="K79" s="49" t="s">
        <v>54</v>
      </c>
      <c r="L79" s="52"/>
      <c r="M79" s="39"/>
      <c r="N79" s="49"/>
      <c r="O79" s="49"/>
      <c r="P79" s="49"/>
      <c r="Q79" s="49"/>
      <c r="R79" s="49"/>
      <c r="S79" s="36"/>
      <c r="T79" s="36"/>
      <c r="U79" s="36"/>
      <c r="V79" s="36"/>
      <c r="W79" s="36"/>
      <c r="X79" s="36"/>
      <c r="Y79" s="36"/>
      <c r="Z79" s="36"/>
    </row>
    <row r="80" ht="15.75" customHeight="1">
      <c r="A80" s="36"/>
      <c r="B80" s="36"/>
      <c r="C80" s="36"/>
      <c r="D80" s="36"/>
      <c r="E80" s="36"/>
      <c r="F80" s="36"/>
      <c r="G80" s="36"/>
      <c r="H80" s="1"/>
      <c r="I80" s="36"/>
      <c r="J80" s="36"/>
      <c r="K80" s="49" t="s">
        <v>55</v>
      </c>
      <c r="L80" s="53"/>
      <c r="M80" s="54"/>
      <c r="N80" s="49"/>
      <c r="O80" s="49"/>
      <c r="P80" s="49"/>
      <c r="Q80" s="49"/>
      <c r="R80" s="49"/>
      <c r="S80" s="36"/>
      <c r="T80" s="36"/>
      <c r="U80" s="36"/>
      <c r="V80" s="36"/>
      <c r="W80" s="36"/>
      <c r="X80" s="36"/>
      <c r="Y80" s="36"/>
      <c r="Z80" s="36"/>
    </row>
    <row r="81" ht="15.75" customHeight="1">
      <c r="A81" s="36"/>
      <c r="B81" s="36"/>
      <c r="C81" s="36"/>
      <c r="D81" s="36"/>
      <c r="E81" s="36"/>
      <c r="F81" s="36"/>
      <c r="G81" s="36"/>
      <c r="H81" s="1"/>
      <c r="I81" s="36"/>
      <c r="J81" s="36"/>
      <c r="K81" s="49" t="s">
        <v>56</v>
      </c>
      <c r="L81" s="50"/>
      <c r="M81" s="51"/>
      <c r="N81" s="49"/>
      <c r="O81" s="49"/>
      <c r="P81" s="49"/>
      <c r="Q81" s="49"/>
      <c r="R81" s="49"/>
      <c r="S81" s="36"/>
      <c r="T81" s="36"/>
      <c r="U81" s="36"/>
      <c r="V81" s="36"/>
      <c r="W81" s="36"/>
      <c r="X81" s="36"/>
      <c r="Y81" s="36"/>
      <c r="Z81" s="36"/>
    </row>
    <row r="82" ht="15.75" customHeight="1">
      <c r="A82" s="36"/>
      <c r="B82" s="36"/>
      <c r="C82" s="36"/>
      <c r="D82" s="36"/>
      <c r="E82" s="36"/>
      <c r="F82" s="36"/>
      <c r="G82" s="36"/>
      <c r="H82" s="1"/>
      <c r="I82" s="36"/>
      <c r="J82" s="36"/>
      <c r="K82" s="49" t="s">
        <v>57</v>
      </c>
      <c r="L82" s="52"/>
      <c r="M82" s="39"/>
      <c r="N82" s="37"/>
      <c r="O82" s="55"/>
      <c r="P82" s="55"/>
      <c r="Q82" s="55"/>
      <c r="R82" s="56"/>
      <c r="S82" s="36"/>
      <c r="T82" s="36"/>
      <c r="U82" s="36"/>
      <c r="V82" s="36"/>
      <c r="W82" s="36"/>
      <c r="X82" s="36"/>
      <c r="Y82" s="36"/>
      <c r="Z82" s="36"/>
    </row>
    <row r="83" ht="15.75" customHeight="1">
      <c r="A83" s="36"/>
      <c r="B83" s="36"/>
      <c r="C83" s="36"/>
      <c r="D83" s="36"/>
      <c r="E83" s="36"/>
      <c r="F83" s="36"/>
      <c r="G83" s="36"/>
      <c r="H83" s="1"/>
      <c r="I83" s="36"/>
      <c r="J83" s="36"/>
      <c r="K83" s="57"/>
      <c r="L83" s="58"/>
      <c r="M83" s="58"/>
      <c r="N83" s="58"/>
      <c r="O83" s="58"/>
      <c r="P83" s="58"/>
      <c r="Q83" s="58"/>
      <c r="R83" s="59"/>
      <c r="S83" s="36"/>
      <c r="T83" s="36"/>
      <c r="U83" s="36"/>
      <c r="V83" s="36"/>
      <c r="W83" s="36"/>
      <c r="X83" s="36"/>
      <c r="Y83" s="36"/>
      <c r="Z83" s="36"/>
    </row>
    <row r="84" ht="15.75" customHeight="1">
      <c r="A84" s="36"/>
      <c r="B84" s="36"/>
      <c r="C84" s="36"/>
      <c r="D84" s="36"/>
      <c r="E84" s="36"/>
      <c r="F84" s="36"/>
      <c r="G84" s="36"/>
      <c r="H84" s="1"/>
      <c r="I84" s="36"/>
      <c r="J84" s="36"/>
      <c r="K84" s="60"/>
      <c r="L84" s="36"/>
      <c r="M84" s="36"/>
      <c r="N84" s="36"/>
      <c r="O84" s="36"/>
      <c r="P84" s="36"/>
      <c r="Q84" s="36"/>
      <c r="R84" s="36"/>
      <c r="S84" s="36"/>
      <c r="T84" s="36"/>
      <c r="U84" s="36"/>
      <c r="V84" s="36"/>
      <c r="W84" s="36"/>
      <c r="X84" s="36"/>
      <c r="Y84" s="36"/>
      <c r="Z84" s="36"/>
    </row>
    <row r="85" ht="17.25" customHeight="1">
      <c r="A85" s="36"/>
      <c r="B85" s="36"/>
      <c r="C85" s="36"/>
      <c r="D85" s="36"/>
      <c r="E85" s="36"/>
      <c r="F85" s="36"/>
      <c r="G85" s="36"/>
      <c r="H85" s="1"/>
      <c r="I85" s="36"/>
      <c r="J85" s="36"/>
      <c r="K85" s="41" t="s">
        <v>58</v>
      </c>
      <c r="L85" s="42"/>
      <c r="M85" s="42"/>
      <c r="N85" s="42"/>
      <c r="O85" s="42"/>
      <c r="P85" s="42"/>
      <c r="Q85" s="43"/>
      <c r="R85" s="61"/>
      <c r="S85" s="36"/>
      <c r="T85" s="36"/>
      <c r="U85" s="36"/>
      <c r="V85" s="36"/>
      <c r="W85" s="36"/>
      <c r="X85" s="36"/>
      <c r="Y85" s="36"/>
      <c r="Z85" s="36"/>
    </row>
    <row r="86" ht="15.75" customHeight="1">
      <c r="A86" s="36"/>
      <c r="B86" s="36"/>
      <c r="C86" s="36"/>
      <c r="D86" s="36"/>
      <c r="E86" s="36"/>
      <c r="F86" s="36"/>
      <c r="G86" s="36"/>
      <c r="H86" s="1"/>
      <c r="I86" s="36"/>
      <c r="J86" s="36"/>
      <c r="K86" s="62"/>
      <c r="Q86" s="63"/>
      <c r="R86" s="64"/>
      <c r="S86" s="36"/>
      <c r="T86" s="36"/>
      <c r="U86" s="36"/>
      <c r="V86" s="36"/>
      <c r="W86" s="36"/>
      <c r="X86" s="36"/>
      <c r="Y86" s="36"/>
      <c r="Z86" s="36"/>
    </row>
    <row r="87" ht="15.75" customHeight="1">
      <c r="A87" s="36"/>
      <c r="B87" s="36"/>
      <c r="C87" s="36"/>
      <c r="D87" s="36"/>
      <c r="E87" s="36"/>
      <c r="F87" s="36"/>
      <c r="G87" s="36"/>
      <c r="H87" s="1"/>
      <c r="I87" s="36"/>
      <c r="J87" s="36"/>
      <c r="K87" s="62"/>
      <c r="Q87" s="63"/>
      <c r="R87" s="64"/>
      <c r="S87" s="36"/>
      <c r="T87" s="36"/>
      <c r="U87" s="36"/>
      <c r="V87" s="36"/>
      <c r="W87" s="36"/>
      <c r="X87" s="36"/>
      <c r="Y87" s="36"/>
      <c r="Z87" s="36"/>
    </row>
    <row r="88" ht="15.75" customHeight="1">
      <c r="A88" s="36"/>
      <c r="B88" s="36"/>
      <c r="C88" s="36"/>
      <c r="D88" s="36"/>
      <c r="E88" s="36"/>
      <c r="F88" s="36"/>
      <c r="G88" s="36"/>
      <c r="H88" s="1"/>
      <c r="I88" s="36"/>
      <c r="J88" s="36"/>
      <c r="K88" s="65"/>
      <c r="L88" s="46"/>
      <c r="M88" s="46"/>
      <c r="N88" s="46"/>
      <c r="O88" s="46"/>
      <c r="P88" s="46"/>
      <c r="Q88" s="47"/>
      <c r="R88" s="64"/>
      <c r="S88" s="36"/>
      <c r="T88" s="36"/>
      <c r="U88" s="36"/>
      <c r="V88" s="36"/>
      <c r="W88" s="36"/>
      <c r="X88" s="36"/>
      <c r="Y88" s="36"/>
      <c r="Z88" s="36"/>
    </row>
    <row r="89" ht="15.75" customHeight="1">
      <c r="A89" s="36"/>
      <c r="B89" s="36"/>
      <c r="C89" s="36"/>
      <c r="D89" s="36"/>
      <c r="E89" s="36"/>
      <c r="F89" s="36"/>
      <c r="G89" s="36"/>
      <c r="H89" s="1"/>
      <c r="I89" s="36"/>
      <c r="J89" s="36"/>
      <c r="K89" s="66" t="s">
        <v>44</v>
      </c>
      <c r="L89" s="67" t="s">
        <v>10</v>
      </c>
      <c r="M89" s="67" t="s">
        <v>45</v>
      </c>
      <c r="N89" s="67" t="s">
        <v>46</v>
      </c>
      <c r="O89" s="67" t="s">
        <v>47</v>
      </c>
      <c r="P89" s="67" t="s">
        <v>48</v>
      </c>
      <c r="Q89" s="67" t="s">
        <v>23</v>
      </c>
      <c r="R89" s="64"/>
      <c r="S89" s="36"/>
      <c r="T89" s="36"/>
      <c r="U89" s="36"/>
      <c r="V89" s="36"/>
      <c r="W89" s="36"/>
      <c r="X89" s="36"/>
      <c r="Y89" s="36"/>
      <c r="Z89" s="36"/>
    </row>
    <row r="90" ht="15.75" customHeight="1">
      <c r="A90" s="36"/>
      <c r="B90" s="36"/>
      <c r="C90" s="36"/>
      <c r="D90" s="36"/>
      <c r="E90" s="36"/>
      <c r="F90" s="36"/>
      <c r="G90" s="36"/>
      <c r="H90" s="1"/>
      <c r="I90" s="36"/>
      <c r="J90" s="36"/>
      <c r="K90" s="66" t="s">
        <v>59</v>
      </c>
      <c r="L90" s="55"/>
      <c r="M90" s="67"/>
      <c r="N90" s="67"/>
      <c r="O90" s="67"/>
      <c r="P90" s="67"/>
      <c r="Q90" s="55"/>
      <c r="R90" s="64"/>
      <c r="S90" s="36"/>
      <c r="T90" s="36"/>
      <c r="U90" s="36"/>
      <c r="V90" s="36"/>
      <c r="W90" s="36"/>
      <c r="X90" s="36"/>
      <c r="Y90" s="36"/>
      <c r="Z90" s="36"/>
    </row>
    <row r="91" ht="15.75" customHeight="1">
      <c r="A91" s="36"/>
      <c r="B91" s="36"/>
      <c r="C91" s="36"/>
      <c r="D91" s="36"/>
      <c r="E91" s="36"/>
      <c r="F91" s="36"/>
      <c r="G91" s="36"/>
      <c r="H91" s="1"/>
      <c r="I91" s="36"/>
      <c r="J91" s="36"/>
      <c r="K91" s="66" t="s">
        <v>60</v>
      </c>
      <c r="L91" s="67"/>
      <c r="M91" s="67"/>
      <c r="N91" s="67"/>
      <c r="O91" s="67"/>
      <c r="P91" s="67"/>
      <c r="Q91" s="67"/>
      <c r="R91" s="64"/>
      <c r="S91" s="36"/>
      <c r="T91" s="36"/>
      <c r="U91" s="36"/>
      <c r="V91" s="36"/>
      <c r="W91" s="36"/>
      <c r="X91" s="36"/>
      <c r="Y91" s="36"/>
      <c r="Z91" s="36"/>
    </row>
    <row r="92" ht="15.75" customHeight="1">
      <c r="A92" s="36"/>
      <c r="B92" s="36"/>
      <c r="C92" s="36"/>
      <c r="D92" s="36"/>
      <c r="E92" s="36"/>
      <c r="F92" s="36"/>
      <c r="G92" s="36"/>
      <c r="H92" s="1"/>
      <c r="I92" s="36"/>
      <c r="J92" s="36"/>
      <c r="K92" s="66" t="s">
        <v>61</v>
      </c>
      <c r="L92" s="67" t="s">
        <v>70</v>
      </c>
      <c r="M92" s="67"/>
      <c r="N92" s="67"/>
      <c r="O92" s="67"/>
      <c r="P92" s="67"/>
      <c r="Q92" s="55"/>
      <c r="R92" s="64"/>
      <c r="S92" s="36"/>
      <c r="T92" s="36"/>
      <c r="U92" s="36"/>
      <c r="V92" s="36"/>
      <c r="W92" s="36"/>
      <c r="X92" s="36"/>
      <c r="Y92" s="36"/>
      <c r="Z92" s="36"/>
    </row>
    <row r="93" ht="15.75" customHeight="1">
      <c r="A93" s="36"/>
      <c r="B93" s="36"/>
      <c r="C93" s="36"/>
      <c r="D93" s="36"/>
      <c r="E93" s="36"/>
      <c r="F93" s="36"/>
      <c r="G93" s="36"/>
      <c r="H93" s="1"/>
      <c r="I93" s="36"/>
      <c r="J93" s="36"/>
      <c r="K93" s="66" t="s">
        <v>63</v>
      </c>
      <c r="L93" s="67"/>
      <c r="M93" s="67"/>
      <c r="N93" s="67"/>
      <c r="O93" s="67"/>
      <c r="P93" s="67"/>
      <c r="Q93" s="67" t="s">
        <v>71</v>
      </c>
      <c r="R93" s="64"/>
      <c r="S93" s="36"/>
      <c r="T93" s="36"/>
      <c r="U93" s="36"/>
      <c r="V93" s="36"/>
      <c r="W93" s="36"/>
      <c r="X93" s="36"/>
      <c r="Y93" s="36"/>
      <c r="Z93" s="36"/>
    </row>
    <row r="94" ht="15.75" customHeight="1">
      <c r="A94" s="36"/>
      <c r="B94" s="36"/>
      <c r="C94" s="36"/>
      <c r="D94" s="36"/>
      <c r="E94" s="36"/>
      <c r="F94" s="36"/>
      <c r="G94" s="36"/>
      <c r="H94" s="1"/>
      <c r="I94" s="36"/>
      <c r="J94" s="36"/>
      <c r="K94" s="66" t="s">
        <v>65</v>
      </c>
      <c r="L94" s="67"/>
      <c r="M94" s="67"/>
      <c r="N94" s="67"/>
      <c r="O94" s="67"/>
      <c r="P94" s="67"/>
      <c r="Q94" s="67"/>
      <c r="R94" s="64"/>
      <c r="S94" s="36"/>
      <c r="T94" s="36"/>
      <c r="U94" s="36"/>
      <c r="V94" s="36"/>
      <c r="W94" s="36"/>
      <c r="X94" s="36"/>
      <c r="Y94" s="36"/>
      <c r="Z94" s="36"/>
    </row>
    <row r="95" ht="15.75" customHeight="1">
      <c r="A95" s="36"/>
      <c r="B95" s="36"/>
      <c r="C95" s="36"/>
      <c r="D95" s="36"/>
      <c r="E95" s="36"/>
      <c r="F95" s="36"/>
      <c r="G95" s="36"/>
      <c r="H95" s="1"/>
      <c r="I95" s="36"/>
      <c r="J95" s="36"/>
      <c r="K95" s="66" t="s">
        <v>66</v>
      </c>
      <c r="L95" s="67"/>
      <c r="M95" s="67"/>
      <c r="N95" s="67"/>
      <c r="O95" s="67"/>
      <c r="P95" s="67"/>
      <c r="Q95" s="67"/>
      <c r="R95" s="64"/>
      <c r="S95" s="36"/>
      <c r="T95" s="36"/>
      <c r="U95" s="36"/>
      <c r="V95" s="36"/>
      <c r="W95" s="36"/>
      <c r="X95" s="36"/>
      <c r="Y95" s="36"/>
      <c r="Z95" s="36"/>
    </row>
    <row r="96" ht="15.75" customHeight="1">
      <c r="A96" s="36"/>
      <c r="B96" s="36"/>
      <c r="C96" s="36"/>
      <c r="D96" s="36"/>
      <c r="E96" s="36"/>
      <c r="F96" s="36"/>
      <c r="G96" s="36"/>
      <c r="H96" s="1"/>
      <c r="I96" s="36"/>
      <c r="J96" s="36"/>
      <c r="K96" s="68" t="s">
        <v>67</v>
      </c>
      <c r="L96" s="69"/>
      <c r="M96" s="69"/>
      <c r="N96" s="69"/>
      <c r="O96" s="69"/>
      <c r="P96" s="69"/>
      <c r="Q96" s="69"/>
      <c r="R96" s="59"/>
      <c r="S96" s="36"/>
      <c r="T96" s="36"/>
      <c r="U96" s="36"/>
      <c r="V96" s="36"/>
      <c r="W96" s="36"/>
      <c r="X96" s="36"/>
      <c r="Y96" s="36"/>
      <c r="Z96" s="36"/>
    </row>
    <row r="97" ht="15.75" customHeight="1">
      <c r="A97" s="36"/>
      <c r="B97" s="36"/>
      <c r="C97" s="36"/>
      <c r="D97" s="36"/>
      <c r="E97" s="36"/>
      <c r="F97" s="36"/>
      <c r="G97" s="36"/>
      <c r="H97" s="1"/>
      <c r="I97" s="36"/>
      <c r="J97" s="36"/>
      <c r="K97" s="60"/>
      <c r="L97" s="36"/>
      <c r="M97" s="36"/>
      <c r="N97" s="36"/>
      <c r="O97" s="36"/>
      <c r="P97" s="36"/>
      <c r="Q97" s="36"/>
      <c r="R97" s="36"/>
      <c r="S97" s="36"/>
      <c r="T97" s="36"/>
      <c r="U97" s="36"/>
      <c r="V97" s="36"/>
      <c r="W97" s="36"/>
      <c r="X97" s="36"/>
      <c r="Y97" s="36"/>
      <c r="Z97" s="36"/>
    </row>
    <row r="98" ht="15.75" customHeight="1">
      <c r="A98" s="36"/>
      <c r="B98" s="36"/>
      <c r="C98" s="36"/>
      <c r="D98" s="36"/>
      <c r="E98" s="36"/>
      <c r="F98" s="36"/>
      <c r="G98" s="36"/>
      <c r="H98" s="1"/>
      <c r="I98" s="36"/>
      <c r="J98" s="36"/>
      <c r="K98" s="36"/>
      <c r="L98" s="36"/>
      <c r="M98" s="36"/>
      <c r="N98" s="36"/>
      <c r="O98" s="36"/>
      <c r="P98" s="36"/>
      <c r="Q98" s="36"/>
      <c r="R98" s="36"/>
      <c r="S98" s="36"/>
      <c r="T98" s="36"/>
      <c r="U98" s="36"/>
      <c r="V98" s="36"/>
      <c r="W98" s="36"/>
      <c r="X98" s="36"/>
      <c r="Y98" s="36"/>
      <c r="Z98" s="36"/>
    </row>
    <row r="99" ht="15.75" customHeight="1">
      <c r="A99" s="36"/>
      <c r="B99" s="36"/>
      <c r="C99" s="36"/>
      <c r="D99" s="36"/>
      <c r="E99" s="36"/>
      <c r="F99" s="36"/>
      <c r="G99" s="36"/>
      <c r="H99" s="1"/>
      <c r="I99" s="36"/>
      <c r="J99" s="36"/>
      <c r="K99" s="36"/>
      <c r="L99" s="36"/>
      <c r="M99" s="36"/>
      <c r="N99" s="36"/>
      <c r="O99" s="36"/>
      <c r="P99" s="36"/>
      <c r="Q99" s="36"/>
      <c r="R99" s="36"/>
      <c r="S99" s="36"/>
      <c r="T99" s="36"/>
      <c r="U99" s="36"/>
      <c r="V99" s="36"/>
      <c r="W99" s="36"/>
      <c r="X99" s="36"/>
      <c r="Y99" s="36"/>
      <c r="Z99" s="36"/>
    </row>
    <row r="100" ht="15.75" customHeight="1">
      <c r="A100" s="36"/>
      <c r="B100" s="36"/>
      <c r="C100" s="36"/>
      <c r="D100" s="36"/>
      <c r="E100" s="36"/>
      <c r="F100" s="36"/>
      <c r="G100" s="36"/>
      <c r="H100" s="1"/>
      <c r="I100" s="36"/>
      <c r="J100" s="36"/>
      <c r="K100" s="36"/>
      <c r="L100" s="36"/>
      <c r="M100" s="36"/>
      <c r="N100" s="36"/>
      <c r="O100" s="36"/>
      <c r="P100" s="36"/>
      <c r="Q100" s="36"/>
      <c r="R100" s="36"/>
      <c r="S100" s="36"/>
      <c r="T100" s="36"/>
      <c r="U100" s="36"/>
      <c r="V100" s="36"/>
      <c r="W100" s="36"/>
      <c r="X100" s="36"/>
      <c r="Y100" s="36"/>
      <c r="Z100" s="36"/>
    </row>
    <row r="101" ht="15.75" customHeight="1">
      <c r="A101" s="36"/>
      <c r="B101" s="36"/>
      <c r="C101" s="36"/>
      <c r="D101" s="36"/>
      <c r="E101" s="36"/>
      <c r="F101" s="36"/>
      <c r="G101" s="36"/>
      <c r="H101" s="1"/>
      <c r="I101" s="36"/>
      <c r="J101" s="36"/>
      <c r="K101" s="36"/>
      <c r="L101" s="36"/>
      <c r="M101" s="36"/>
      <c r="N101" s="36"/>
      <c r="O101" s="36"/>
      <c r="P101" s="36"/>
      <c r="Q101" s="36"/>
      <c r="R101" s="36"/>
      <c r="S101" s="36"/>
      <c r="T101" s="36"/>
      <c r="U101" s="36"/>
      <c r="V101" s="36"/>
      <c r="W101" s="36"/>
      <c r="X101" s="36"/>
      <c r="Y101" s="36"/>
      <c r="Z101" s="36"/>
    </row>
    <row r="102" ht="15.75" customHeight="1">
      <c r="A102" s="36"/>
      <c r="B102" s="36"/>
      <c r="C102" s="36"/>
      <c r="D102" s="36"/>
      <c r="E102" s="36"/>
      <c r="F102" s="36"/>
      <c r="G102" s="36"/>
      <c r="H102" s="1"/>
      <c r="I102" s="36"/>
      <c r="J102" s="36"/>
      <c r="K102" s="36"/>
      <c r="L102" s="36"/>
      <c r="M102" s="36"/>
      <c r="N102" s="36"/>
      <c r="O102" s="36"/>
      <c r="P102" s="36"/>
      <c r="Q102" s="36"/>
      <c r="R102" s="36"/>
      <c r="S102" s="36"/>
      <c r="T102" s="36"/>
      <c r="U102" s="36"/>
      <c r="V102" s="36"/>
      <c r="W102" s="36"/>
      <c r="X102" s="36"/>
      <c r="Y102" s="36"/>
      <c r="Z102" s="36"/>
    </row>
    <row r="103" ht="15.75" customHeight="1">
      <c r="A103" s="36"/>
      <c r="B103" s="36"/>
      <c r="C103" s="36"/>
      <c r="D103" s="36"/>
      <c r="E103" s="36"/>
      <c r="F103" s="36"/>
      <c r="G103" s="36"/>
      <c r="H103" s="1"/>
      <c r="I103" s="36"/>
      <c r="J103" s="36"/>
      <c r="K103" s="36"/>
      <c r="L103" s="36"/>
      <c r="M103" s="36"/>
      <c r="N103" s="36"/>
      <c r="O103" s="36"/>
      <c r="P103" s="36"/>
      <c r="Q103" s="36"/>
      <c r="R103" s="36"/>
      <c r="S103" s="36"/>
      <c r="T103" s="36"/>
      <c r="U103" s="36"/>
      <c r="V103" s="36"/>
      <c r="W103" s="36"/>
      <c r="X103" s="36"/>
      <c r="Y103" s="36"/>
      <c r="Z103" s="36"/>
    </row>
    <row r="104" ht="15.75" customHeight="1">
      <c r="A104" s="36"/>
      <c r="B104" s="36"/>
      <c r="C104" s="36"/>
      <c r="D104" s="36"/>
      <c r="E104" s="36"/>
      <c r="F104" s="36"/>
      <c r="G104" s="36"/>
      <c r="H104" s="1"/>
      <c r="I104" s="36"/>
      <c r="J104" s="36"/>
      <c r="K104" s="36"/>
      <c r="L104" s="36"/>
      <c r="M104" s="36"/>
      <c r="N104" s="36"/>
      <c r="O104" s="36"/>
      <c r="P104" s="36"/>
      <c r="Q104" s="36"/>
      <c r="R104" s="36"/>
      <c r="S104" s="36"/>
      <c r="T104" s="36"/>
      <c r="U104" s="36"/>
      <c r="V104" s="36"/>
      <c r="W104" s="36"/>
      <c r="X104" s="36"/>
      <c r="Y104" s="36"/>
      <c r="Z104" s="36"/>
    </row>
    <row r="105" ht="15.75" customHeight="1">
      <c r="A105" s="36"/>
      <c r="B105" s="36"/>
      <c r="C105" s="36"/>
      <c r="D105" s="36"/>
      <c r="E105" s="36"/>
      <c r="F105" s="36"/>
      <c r="G105" s="36"/>
      <c r="H105" s="1"/>
      <c r="I105" s="36"/>
      <c r="J105" s="36"/>
      <c r="K105" s="36"/>
      <c r="L105" s="36"/>
      <c r="M105" s="36"/>
      <c r="N105" s="36"/>
      <c r="O105" s="36"/>
      <c r="P105" s="36"/>
      <c r="Q105" s="36"/>
      <c r="R105" s="36"/>
      <c r="S105" s="36"/>
      <c r="T105" s="36"/>
      <c r="U105" s="36"/>
      <c r="V105" s="36"/>
      <c r="W105" s="36"/>
      <c r="X105" s="36"/>
      <c r="Y105" s="36"/>
      <c r="Z105" s="36"/>
    </row>
    <row r="106" ht="15.75" customHeight="1">
      <c r="A106" s="36"/>
      <c r="B106" s="36"/>
      <c r="C106" s="36"/>
      <c r="D106" s="36"/>
      <c r="E106" s="36"/>
      <c r="F106" s="36"/>
      <c r="G106" s="36"/>
      <c r="H106" s="1"/>
      <c r="I106" s="36"/>
      <c r="J106" s="36"/>
      <c r="K106" s="36"/>
      <c r="L106" s="36"/>
      <c r="M106" s="36"/>
      <c r="N106" s="36"/>
      <c r="O106" s="36"/>
      <c r="P106" s="36"/>
      <c r="Q106" s="36"/>
      <c r="R106" s="36"/>
      <c r="S106" s="36"/>
      <c r="T106" s="36"/>
      <c r="U106" s="36"/>
      <c r="V106" s="36"/>
      <c r="W106" s="36"/>
      <c r="X106" s="36"/>
      <c r="Y106" s="36"/>
      <c r="Z106" s="36"/>
    </row>
    <row r="107" ht="15.75" customHeight="1">
      <c r="A107" s="36"/>
      <c r="B107" s="36"/>
      <c r="C107" s="36"/>
      <c r="D107" s="36"/>
      <c r="E107" s="36"/>
      <c r="F107" s="36"/>
      <c r="G107" s="36"/>
      <c r="H107" s="1"/>
      <c r="I107" s="36"/>
      <c r="J107" s="36"/>
      <c r="K107" s="36"/>
      <c r="L107" s="36"/>
      <c r="M107" s="36"/>
      <c r="N107" s="36"/>
      <c r="O107" s="36"/>
      <c r="P107" s="36"/>
      <c r="Q107" s="36"/>
      <c r="R107" s="36"/>
      <c r="S107" s="36"/>
      <c r="T107" s="36"/>
      <c r="U107" s="36"/>
      <c r="V107" s="36"/>
      <c r="W107" s="36"/>
      <c r="X107" s="36"/>
      <c r="Y107" s="36"/>
      <c r="Z107" s="36"/>
    </row>
    <row r="108" ht="15.75" customHeight="1">
      <c r="A108" s="36"/>
      <c r="B108" s="36"/>
      <c r="C108" s="36"/>
      <c r="D108" s="36"/>
      <c r="E108" s="36"/>
      <c r="F108" s="36"/>
      <c r="G108" s="36"/>
      <c r="H108" s="1"/>
      <c r="I108" s="36"/>
      <c r="J108" s="36"/>
      <c r="K108" s="36"/>
      <c r="L108" s="36"/>
      <c r="M108" s="36"/>
      <c r="N108" s="36"/>
      <c r="O108" s="36"/>
      <c r="P108" s="36"/>
      <c r="Q108" s="36"/>
      <c r="R108" s="36"/>
      <c r="S108" s="36"/>
      <c r="T108" s="36"/>
      <c r="U108" s="36"/>
      <c r="V108" s="36"/>
      <c r="W108" s="36"/>
      <c r="X108" s="36"/>
      <c r="Y108" s="36"/>
      <c r="Z108" s="36"/>
    </row>
    <row r="109" ht="15.75" customHeight="1">
      <c r="A109" s="36"/>
      <c r="B109" s="36"/>
      <c r="C109" s="36"/>
      <c r="D109" s="36"/>
      <c r="E109" s="36"/>
      <c r="F109" s="36"/>
      <c r="G109" s="36"/>
      <c r="H109" s="1"/>
      <c r="I109" s="36"/>
      <c r="J109" s="36"/>
      <c r="K109" s="36"/>
      <c r="L109" s="36"/>
      <c r="M109" s="36"/>
      <c r="N109" s="36"/>
      <c r="O109" s="36"/>
      <c r="P109" s="36"/>
      <c r="Q109" s="36"/>
      <c r="R109" s="36"/>
      <c r="S109" s="36"/>
      <c r="T109" s="36"/>
      <c r="U109" s="36"/>
      <c r="V109" s="36"/>
      <c r="W109" s="36"/>
      <c r="X109" s="36"/>
      <c r="Y109" s="36"/>
      <c r="Z109" s="36"/>
    </row>
    <row r="110" ht="15.75" customHeight="1">
      <c r="A110" s="36"/>
      <c r="B110" s="36"/>
      <c r="C110" s="36"/>
      <c r="D110" s="36"/>
      <c r="E110" s="36"/>
      <c r="F110" s="36"/>
      <c r="G110" s="36"/>
      <c r="H110" s="1"/>
      <c r="I110" s="36"/>
      <c r="J110" s="36"/>
      <c r="K110" s="36"/>
      <c r="L110" s="36"/>
      <c r="M110" s="36"/>
      <c r="N110" s="36"/>
      <c r="O110" s="36"/>
      <c r="P110" s="36"/>
      <c r="Q110" s="36"/>
      <c r="R110" s="36"/>
      <c r="S110" s="36"/>
      <c r="T110" s="36"/>
      <c r="U110" s="36"/>
      <c r="V110" s="36"/>
      <c r="W110" s="36"/>
      <c r="X110" s="36"/>
      <c r="Y110" s="36"/>
      <c r="Z110" s="36"/>
    </row>
    <row r="111" ht="15.75" customHeight="1">
      <c r="A111" s="36"/>
      <c r="B111" s="36"/>
      <c r="C111" s="36"/>
      <c r="D111" s="36"/>
      <c r="E111" s="36"/>
      <c r="F111" s="36"/>
      <c r="G111" s="36"/>
      <c r="H111" s="1"/>
      <c r="I111" s="36"/>
      <c r="J111" s="36"/>
      <c r="K111" s="36"/>
      <c r="L111" s="36"/>
      <c r="M111" s="36"/>
      <c r="N111" s="36"/>
      <c r="O111" s="36"/>
      <c r="P111" s="36"/>
      <c r="Q111" s="36"/>
      <c r="R111" s="36"/>
      <c r="S111" s="36"/>
      <c r="T111" s="36"/>
      <c r="U111" s="36"/>
      <c r="V111" s="36"/>
      <c r="W111" s="36"/>
      <c r="X111" s="36"/>
      <c r="Y111" s="36"/>
      <c r="Z111" s="36"/>
    </row>
    <row r="112" ht="15.75" customHeight="1">
      <c r="A112" s="36"/>
      <c r="B112" s="36"/>
      <c r="C112" s="36"/>
      <c r="D112" s="36"/>
      <c r="E112" s="36"/>
      <c r="F112" s="36"/>
      <c r="G112" s="36"/>
      <c r="H112" s="1"/>
      <c r="I112" s="36"/>
      <c r="J112" s="36"/>
      <c r="K112" s="36"/>
      <c r="L112" s="36"/>
      <c r="M112" s="36"/>
      <c r="N112" s="36"/>
      <c r="O112" s="36"/>
      <c r="P112" s="36"/>
      <c r="Q112" s="36"/>
      <c r="R112" s="36"/>
      <c r="S112" s="36"/>
      <c r="T112" s="36"/>
      <c r="U112" s="36"/>
      <c r="V112" s="36"/>
      <c r="W112" s="36"/>
      <c r="X112" s="36"/>
      <c r="Y112" s="36"/>
      <c r="Z112" s="36"/>
    </row>
    <row r="113" ht="15.75" customHeight="1">
      <c r="A113" s="36"/>
      <c r="B113" s="36"/>
      <c r="C113" s="36"/>
      <c r="D113" s="36"/>
      <c r="E113" s="36"/>
      <c r="F113" s="36"/>
      <c r="G113" s="36"/>
      <c r="H113" s="1"/>
      <c r="I113" s="36"/>
      <c r="J113" s="36"/>
      <c r="K113" s="36"/>
      <c r="L113" s="36"/>
      <c r="M113" s="36"/>
      <c r="N113" s="36"/>
      <c r="O113" s="36"/>
      <c r="P113" s="36"/>
      <c r="Q113" s="36"/>
      <c r="R113" s="36"/>
      <c r="S113" s="36"/>
      <c r="T113" s="36"/>
      <c r="U113" s="36"/>
      <c r="V113" s="36"/>
      <c r="W113" s="36"/>
      <c r="X113" s="36"/>
      <c r="Y113" s="36"/>
      <c r="Z113" s="36"/>
    </row>
    <row r="114" ht="15.75" customHeight="1">
      <c r="A114" s="36"/>
      <c r="B114" s="36"/>
      <c r="C114" s="36"/>
      <c r="D114" s="36"/>
      <c r="E114" s="36"/>
      <c r="F114" s="36"/>
      <c r="G114" s="36"/>
      <c r="H114" s="1"/>
      <c r="I114" s="36"/>
      <c r="J114" s="36"/>
      <c r="K114" s="36"/>
      <c r="L114" s="36"/>
      <c r="M114" s="36"/>
      <c r="N114" s="36"/>
      <c r="O114" s="36"/>
      <c r="P114" s="36"/>
      <c r="Q114" s="36"/>
      <c r="R114" s="36"/>
      <c r="S114" s="36"/>
      <c r="T114" s="36"/>
      <c r="U114" s="36"/>
      <c r="V114" s="36"/>
      <c r="W114" s="36"/>
      <c r="X114" s="36"/>
      <c r="Y114" s="36"/>
      <c r="Z114" s="36"/>
    </row>
    <row r="115" ht="15.75" customHeight="1">
      <c r="A115" s="36"/>
      <c r="B115" s="36"/>
      <c r="C115" s="36"/>
      <c r="D115" s="36"/>
      <c r="E115" s="36"/>
      <c r="F115" s="36"/>
      <c r="G115" s="36"/>
      <c r="H115" s="1"/>
      <c r="I115" s="36"/>
      <c r="J115" s="36"/>
      <c r="K115" s="36"/>
      <c r="L115" s="36"/>
      <c r="M115" s="36"/>
      <c r="N115" s="36"/>
      <c r="O115" s="36"/>
      <c r="P115" s="36"/>
      <c r="Q115" s="36"/>
      <c r="R115" s="36"/>
      <c r="S115" s="36"/>
      <c r="T115" s="36"/>
      <c r="U115" s="36"/>
      <c r="V115" s="36"/>
      <c r="W115" s="36"/>
      <c r="X115" s="36"/>
      <c r="Y115" s="36"/>
      <c r="Z115" s="36"/>
    </row>
    <row r="116" ht="15.75" customHeight="1">
      <c r="A116" s="36"/>
      <c r="B116" s="36"/>
      <c r="C116" s="36"/>
      <c r="D116" s="36"/>
      <c r="E116" s="36"/>
      <c r="F116" s="36"/>
      <c r="G116" s="36"/>
      <c r="H116" s="1"/>
      <c r="I116" s="36"/>
      <c r="J116" s="36"/>
      <c r="K116" s="36"/>
      <c r="L116" s="36"/>
      <c r="M116" s="36"/>
      <c r="N116" s="36"/>
      <c r="O116" s="36"/>
      <c r="P116" s="36"/>
      <c r="Q116" s="36"/>
      <c r="R116" s="36"/>
      <c r="S116" s="36"/>
      <c r="T116" s="36"/>
      <c r="U116" s="36"/>
      <c r="V116" s="36"/>
      <c r="W116" s="36"/>
      <c r="X116" s="36"/>
      <c r="Y116" s="36"/>
      <c r="Z116" s="36"/>
    </row>
    <row r="117" ht="15.75" customHeight="1">
      <c r="A117" s="36"/>
      <c r="B117" s="36"/>
      <c r="C117" s="36"/>
      <c r="D117" s="36"/>
      <c r="E117" s="36"/>
      <c r="F117" s="36"/>
      <c r="G117" s="36"/>
      <c r="H117" s="1"/>
      <c r="I117" s="36"/>
      <c r="J117" s="36"/>
      <c r="K117" s="36"/>
      <c r="L117" s="36"/>
      <c r="M117" s="36"/>
      <c r="N117" s="36"/>
      <c r="O117" s="36"/>
      <c r="P117" s="36"/>
      <c r="Q117" s="36"/>
      <c r="R117" s="36"/>
      <c r="S117" s="36"/>
      <c r="T117" s="36"/>
      <c r="U117" s="36"/>
      <c r="V117" s="36"/>
      <c r="W117" s="36"/>
      <c r="X117" s="36"/>
      <c r="Y117" s="36"/>
      <c r="Z117" s="36"/>
    </row>
    <row r="118" ht="15.75" customHeight="1">
      <c r="A118" s="36"/>
      <c r="B118" s="36"/>
      <c r="C118" s="36"/>
      <c r="D118" s="36"/>
      <c r="E118" s="36"/>
      <c r="F118" s="36"/>
      <c r="G118" s="36"/>
      <c r="H118" s="1"/>
      <c r="I118" s="36"/>
      <c r="J118" s="36"/>
      <c r="K118" s="36"/>
      <c r="L118" s="36"/>
      <c r="M118" s="36"/>
      <c r="N118" s="36"/>
      <c r="O118" s="36"/>
      <c r="P118" s="36"/>
      <c r="Q118" s="36"/>
      <c r="R118" s="36"/>
      <c r="S118" s="36"/>
      <c r="T118" s="36"/>
      <c r="U118" s="36"/>
      <c r="V118" s="36"/>
      <c r="W118" s="36"/>
      <c r="X118" s="36"/>
      <c r="Y118" s="36"/>
      <c r="Z118" s="36"/>
    </row>
    <row r="119" ht="15.75" customHeight="1">
      <c r="A119" s="36"/>
      <c r="B119" s="36"/>
      <c r="C119" s="36"/>
      <c r="D119" s="36"/>
      <c r="E119" s="36"/>
      <c r="F119" s="36"/>
      <c r="G119" s="36"/>
      <c r="H119" s="1"/>
      <c r="I119" s="36"/>
      <c r="J119" s="36"/>
      <c r="K119" s="36"/>
      <c r="L119" s="36"/>
      <c r="M119" s="36"/>
      <c r="N119" s="36"/>
      <c r="O119" s="36"/>
      <c r="P119" s="36"/>
      <c r="Q119" s="36"/>
      <c r="R119" s="36"/>
      <c r="S119" s="36"/>
      <c r="T119" s="36"/>
      <c r="U119" s="36"/>
      <c r="V119" s="36"/>
      <c r="W119" s="36"/>
      <c r="X119" s="36"/>
      <c r="Y119" s="36"/>
      <c r="Z119" s="36"/>
    </row>
    <row r="120" ht="15.75" customHeight="1">
      <c r="A120" s="36"/>
      <c r="B120" s="36"/>
      <c r="C120" s="36"/>
      <c r="D120" s="36"/>
      <c r="E120" s="36"/>
      <c r="F120" s="36"/>
      <c r="G120" s="36"/>
      <c r="H120" s="1"/>
      <c r="I120" s="36"/>
      <c r="J120" s="36"/>
      <c r="K120" s="36"/>
      <c r="L120" s="36"/>
      <c r="M120" s="36"/>
      <c r="N120" s="36"/>
      <c r="O120" s="36"/>
      <c r="P120" s="36"/>
      <c r="Q120" s="36"/>
      <c r="R120" s="36"/>
      <c r="S120" s="36"/>
      <c r="T120" s="36"/>
      <c r="U120" s="36"/>
      <c r="V120" s="36"/>
      <c r="W120" s="36"/>
      <c r="X120" s="36"/>
      <c r="Y120" s="36"/>
      <c r="Z120" s="36"/>
    </row>
    <row r="121" ht="15.75" customHeight="1">
      <c r="A121" s="36"/>
      <c r="B121" s="36"/>
      <c r="C121" s="36"/>
      <c r="D121" s="36"/>
      <c r="E121" s="36"/>
      <c r="F121" s="36"/>
      <c r="G121" s="36"/>
      <c r="H121" s="1"/>
      <c r="I121" s="36"/>
      <c r="J121" s="36"/>
      <c r="K121" s="36"/>
      <c r="L121" s="36"/>
      <c r="M121" s="36"/>
      <c r="N121" s="36"/>
      <c r="O121" s="36"/>
      <c r="P121" s="36"/>
      <c r="Q121" s="36"/>
      <c r="R121" s="36"/>
      <c r="S121" s="36"/>
      <c r="T121" s="36"/>
      <c r="U121" s="36"/>
      <c r="V121" s="36"/>
      <c r="W121" s="36"/>
      <c r="X121" s="36"/>
      <c r="Y121" s="36"/>
      <c r="Z121" s="36"/>
    </row>
    <row r="122" ht="15.75" customHeight="1">
      <c r="A122" s="36"/>
      <c r="B122" s="36"/>
      <c r="C122" s="36"/>
      <c r="D122" s="36"/>
      <c r="E122" s="36"/>
      <c r="F122" s="36"/>
      <c r="G122" s="36"/>
      <c r="H122" s="1"/>
      <c r="I122" s="36"/>
      <c r="J122" s="36"/>
      <c r="K122" s="36"/>
      <c r="L122" s="36"/>
      <c r="M122" s="36"/>
      <c r="N122" s="36"/>
      <c r="O122" s="36"/>
      <c r="P122" s="36"/>
      <c r="Q122" s="36"/>
      <c r="R122" s="36"/>
      <c r="S122" s="36"/>
      <c r="T122" s="36"/>
      <c r="U122" s="36"/>
      <c r="V122" s="36"/>
      <c r="W122" s="36"/>
      <c r="X122" s="36"/>
      <c r="Y122" s="36"/>
      <c r="Z122" s="36"/>
    </row>
    <row r="123" ht="15.75" customHeight="1">
      <c r="A123" s="36"/>
      <c r="B123" s="36"/>
      <c r="C123" s="36"/>
      <c r="D123" s="36"/>
      <c r="E123" s="36"/>
      <c r="F123" s="36"/>
      <c r="G123" s="36"/>
      <c r="H123" s="1"/>
      <c r="I123" s="36"/>
      <c r="J123" s="36"/>
      <c r="K123" s="36"/>
      <c r="L123" s="36"/>
      <c r="M123" s="36"/>
      <c r="N123" s="36"/>
      <c r="O123" s="36"/>
      <c r="P123" s="36"/>
      <c r="Q123" s="36"/>
      <c r="R123" s="36"/>
      <c r="S123" s="36"/>
      <c r="T123" s="36"/>
      <c r="U123" s="36"/>
      <c r="V123" s="36"/>
      <c r="W123" s="36"/>
      <c r="X123" s="36"/>
      <c r="Y123" s="36"/>
      <c r="Z123" s="36"/>
    </row>
    <row r="124" ht="15.75" customHeight="1">
      <c r="A124" s="36"/>
      <c r="B124" s="36"/>
      <c r="C124" s="36"/>
      <c r="D124" s="36"/>
      <c r="E124" s="36"/>
      <c r="F124" s="36"/>
      <c r="G124" s="36"/>
      <c r="H124" s="1"/>
      <c r="I124" s="36"/>
      <c r="J124" s="36"/>
      <c r="K124" s="36"/>
      <c r="L124" s="36"/>
      <c r="M124" s="36"/>
      <c r="N124" s="36"/>
      <c r="O124" s="36"/>
      <c r="P124" s="36"/>
      <c r="Q124" s="36"/>
      <c r="R124" s="36"/>
      <c r="S124" s="36"/>
      <c r="T124" s="36"/>
      <c r="U124" s="36"/>
      <c r="V124" s="36"/>
      <c r="W124" s="36"/>
      <c r="X124" s="36"/>
      <c r="Y124" s="36"/>
      <c r="Z124" s="36"/>
    </row>
    <row r="125" ht="15.75" customHeight="1">
      <c r="A125" s="36"/>
      <c r="B125" s="36"/>
      <c r="C125" s="36"/>
      <c r="D125" s="36"/>
      <c r="E125" s="36"/>
      <c r="F125" s="36"/>
      <c r="G125" s="36"/>
      <c r="H125" s="1"/>
      <c r="I125" s="36"/>
      <c r="J125" s="36"/>
      <c r="K125" s="36"/>
      <c r="L125" s="36"/>
      <c r="M125" s="36"/>
      <c r="N125" s="36"/>
      <c r="O125" s="36"/>
      <c r="P125" s="36"/>
      <c r="Q125" s="36"/>
      <c r="R125" s="36"/>
      <c r="S125" s="36"/>
      <c r="T125" s="36"/>
      <c r="U125" s="36"/>
      <c r="V125" s="36"/>
      <c r="W125" s="36"/>
      <c r="X125" s="36"/>
      <c r="Y125" s="36"/>
      <c r="Z125" s="36"/>
    </row>
    <row r="126" ht="15.75" customHeight="1">
      <c r="A126" s="36"/>
      <c r="B126" s="36"/>
      <c r="C126" s="36"/>
      <c r="D126" s="36"/>
      <c r="E126" s="36"/>
      <c r="F126" s="36"/>
      <c r="G126" s="36"/>
      <c r="H126" s="1"/>
      <c r="I126" s="36"/>
      <c r="J126" s="36"/>
      <c r="K126" s="36"/>
      <c r="L126" s="36"/>
      <c r="M126" s="36"/>
      <c r="N126" s="36"/>
      <c r="O126" s="36"/>
      <c r="P126" s="36"/>
      <c r="Q126" s="36"/>
      <c r="R126" s="36"/>
      <c r="S126" s="36"/>
      <c r="T126" s="36"/>
      <c r="U126" s="36"/>
      <c r="V126" s="36"/>
      <c r="W126" s="36"/>
      <c r="X126" s="36"/>
      <c r="Y126" s="36"/>
      <c r="Z126" s="36"/>
    </row>
    <row r="127" ht="15.75" customHeight="1">
      <c r="A127" s="36"/>
      <c r="B127" s="36"/>
      <c r="C127" s="36"/>
      <c r="D127" s="36"/>
      <c r="E127" s="36"/>
      <c r="F127" s="36"/>
      <c r="G127" s="36"/>
      <c r="H127" s="1"/>
      <c r="I127" s="36"/>
      <c r="J127" s="36"/>
      <c r="K127" s="36"/>
      <c r="L127" s="36"/>
      <c r="M127" s="36"/>
      <c r="N127" s="36"/>
      <c r="O127" s="36"/>
      <c r="P127" s="36"/>
      <c r="Q127" s="36"/>
      <c r="R127" s="36"/>
      <c r="S127" s="36"/>
      <c r="T127" s="36"/>
      <c r="U127" s="36"/>
      <c r="V127" s="36"/>
      <c r="W127" s="36"/>
      <c r="X127" s="36"/>
      <c r="Y127" s="36"/>
      <c r="Z127" s="36"/>
    </row>
    <row r="128" ht="15.75" customHeight="1">
      <c r="A128" s="36"/>
      <c r="B128" s="36"/>
      <c r="C128" s="36"/>
      <c r="D128" s="36"/>
      <c r="E128" s="36"/>
      <c r="F128" s="36"/>
      <c r="G128" s="36"/>
      <c r="H128" s="1"/>
      <c r="I128" s="36"/>
      <c r="J128" s="36"/>
      <c r="K128" s="36"/>
      <c r="L128" s="36"/>
      <c r="M128" s="36"/>
      <c r="N128" s="36"/>
      <c r="O128" s="36"/>
      <c r="P128" s="36"/>
      <c r="Q128" s="36"/>
      <c r="R128" s="36"/>
      <c r="S128" s="36"/>
      <c r="T128" s="36"/>
      <c r="U128" s="36"/>
      <c r="V128" s="36"/>
      <c r="W128" s="36"/>
      <c r="X128" s="36"/>
      <c r="Y128" s="36"/>
      <c r="Z128" s="36"/>
    </row>
    <row r="129" ht="15.75" customHeight="1">
      <c r="A129" s="36"/>
      <c r="B129" s="36"/>
      <c r="C129" s="36"/>
      <c r="D129" s="36"/>
      <c r="E129" s="36"/>
      <c r="F129" s="36"/>
      <c r="G129" s="36"/>
      <c r="H129" s="1"/>
      <c r="I129" s="36"/>
      <c r="J129" s="36"/>
      <c r="K129" s="36"/>
      <c r="L129" s="36"/>
      <c r="M129" s="36"/>
      <c r="N129" s="36"/>
      <c r="O129" s="36"/>
      <c r="P129" s="36"/>
      <c r="Q129" s="36"/>
      <c r="R129" s="36"/>
      <c r="S129" s="36"/>
      <c r="T129" s="36"/>
      <c r="U129" s="36"/>
      <c r="V129" s="36"/>
      <c r="W129" s="36"/>
      <c r="X129" s="36"/>
      <c r="Y129" s="36"/>
      <c r="Z129" s="36"/>
    </row>
    <row r="130" ht="15.75" customHeight="1">
      <c r="A130" s="36"/>
      <c r="B130" s="36"/>
      <c r="C130" s="36"/>
      <c r="D130" s="36"/>
      <c r="E130" s="36"/>
      <c r="F130" s="36"/>
      <c r="G130" s="36"/>
      <c r="H130" s="1"/>
      <c r="I130" s="36"/>
      <c r="J130" s="36"/>
      <c r="K130" s="36"/>
      <c r="L130" s="36"/>
      <c r="M130" s="36"/>
      <c r="N130" s="36"/>
      <c r="O130" s="36"/>
      <c r="P130" s="36"/>
      <c r="Q130" s="36"/>
      <c r="R130" s="36"/>
      <c r="S130" s="36"/>
      <c r="T130" s="36"/>
      <c r="U130" s="36"/>
      <c r="V130" s="36"/>
      <c r="W130" s="36"/>
      <c r="X130" s="36"/>
      <c r="Y130" s="36"/>
      <c r="Z130" s="36"/>
    </row>
    <row r="131" ht="15.75" customHeight="1">
      <c r="A131" s="36"/>
      <c r="B131" s="36"/>
      <c r="C131" s="36"/>
      <c r="D131" s="36"/>
      <c r="E131" s="36"/>
      <c r="F131" s="36"/>
      <c r="G131" s="36"/>
      <c r="H131" s="1"/>
      <c r="I131" s="36"/>
      <c r="J131" s="36"/>
      <c r="K131" s="36"/>
      <c r="L131" s="36"/>
      <c r="M131" s="36"/>
      <c r="N131" s="36"/>
      <c r="O131" s="36"/>
      <c r="P131" s="36"/>
      <c r="Q131" s="36"/>
      <c r="R131" s="36"/>
      <c r="S131" s="36"/>
      <c r="T131" s="36"/>
      <c r="U131" s="36"/>
      <c r="V131" s="36"/>
      <c r="W131" s="36"/>
      <c r="X131" s="36"/>
      <c r="Y131" s="36"/>
      <c r="Z131" s="36"/>
    </row>
    <row r="132" ht="15.75" customHeight="1">
      <c r="A132" s="36"/>
      <c r="B132" s="36"/>
      <c r="C132" s="36"/>
      <c r="D132" s="36"/>
      <c r="E132" s="36"/>
      <c r="F132" s="36"/>
      <c r="G132" s="36"/>
      <c r="H132" s="1"/>
      <c r="I132" s="36"/>
      <c r="J132" s="36"/>
      <c r="K132" s="36"/>
      <c r="L132" s="36"/>
      <c r="M132" s="36"/>
      <c r="N132" s="36"/>
      <c r="O132" s="36"/>
      <c r="P132" s="36"/>
      <c r="Q132" s="36"/>
      <c r="R132" s="36"/>
      <c r="S132" s="36"/>
      <c r="T132" s="36"/>
      <c r="U132" s="36"/>
      <c r="V132" s="36"/>
      <c r="W132" s="36"/>
      <c r="X132" s="36"/>
      <c r="Y132" s="36"/>
      <c r="Z132" s="36"/>
    </row>
    <row r="133" ht="15.75" customHeight="1">
      <c r="A133" s="36"/>
      <c r="B133" s="36"/>
      <c r="C133" s="36"/>
      <c r="D133" s="36"/>
      <c r="E133" s="36"/>
      <c r="F133" s="36"/>
      <c r="G133" s="36"/>
      <c r="H133" s="1"/>
      <c r="I133" s="36"/>
      <c r="J133" s="36"/>
      <c r="K133" s="36"/>
      <c r="L133" s="36"/>
      <c r="M133" s="36"/>
      <c r="N133" s="36"/>
      <c r="O133" s="36"/>
      <c r="P133" s="36"/>
      <c r="Q133" s="36"/>
      <c r="R133" s="36"/>
      <c r="S133" s="36"/>
      <c r="T133" s="36"/>
      <c r="U133" s="36"/>
      <c r="V133" s="36"/>
      <c r="W133" s="36"/>
      <c r="X133" s="36"/>
      <c r="Y133" s="36"/>
      <c r="Z133" s="36"/>
    </row>
    <row r="134" ht="15.75" customHeight="1">
      <c r="A134" s="36"/>
      <c r="B134" s="36"/>
      <c r="C134" s="36"/>
      <c r="D134" s="36"/>
      <c r="E134" s="36"/>
      <c r="F134" s="36"/>
      <c r="G134" s="36"/>
      <c r="H134" s="1"/>
      <c r="I134" s="36"/>
      <c r="J134" s="36"/>
      <c r="K134" s="36"/>
      <c r="L134" s="36"/>
      <c r="M134" s="36"/>
      <c r="N134" s="36"/>
      <c r="O134" s="36"/>
      <c r="P134" s="36"/>
      <c r="Q134" s="36"/>
      <c r="R134" s="36"/>
      <c r="S134" s="36"/>
      <c r="T134" s="36"/>
      <c r="U134" s="36"/>
      <c r="V134" s="36"/>
      <c r="W134" s="36"/>
      <c r="X134" s="36"/>
      <c r="Y134" s="36"/>
      <c r="Z134" s="36"/>
    </row>
    <row r="135" ht="15.75" customHeight="1">
      <c r="A135" s="36"/>
      <c r="B135" s="36"/>
      <c r="C135" s="36"/>
      <c r="D135" s="36"/>
      <c r="E135" s="36"/>
      <c r="F135" s="36"/>
      <c r="G135" s="36"/>
      <c r="H135" s="1"/>
      <c r="I135" s="36"/>
      <c r="J135" s="36"/>
      <c r="K135" s="36"/>
      <c r="L135" s="36"/>
      <c r="M135" s="36"/>
      <c r="N135" s="36"/>
      <c r="O135" s="36"/>
      <c r="P135" s="36"/>
      <c r="Q135" s="36"/>
      <c r="R135" s="36"/>
      <c r="S135" s="36"/>
      <c r="T135" s="36"/>
      <c r="U135" s="36"/>
      <c r="V135" s="36"/>
      <c r="W135" s="36"/>
      <c r="X135" s="36"/>
      <c r="Y135" s="36"/>
      <c r="Z135" s="36"/>
    </row>
    <row r="136" ht="15.75" customHeight="1">
      <c r="A136" s="36"/>
      <c r="B136" s="36"/>
      <c r="C136" s="36"/>
      <c r="D136" s="36"/>
      <c r="E136" s="36"/>
      <c r="F136" s="36"/>
      <c r="G136" s="36"/>
      <c r="H136" s="1"/>
      <c r="I136" s="36"/>
      <c r="J136" s="36"/>
      <c r="K136" s="36"/>
      <c r="L136" s="36"/>
      <c r="M136" s="36"/>
      <c r="N136" s="36"/>
      <c r="O136" s="36"/>
      <c r="P136" s="36"/>
      <c r="Q136" s="36"/>
      <c r="R136" s="36"/>
      <c r="S136" s="36"/>
      <c r="T136" s="36"/>
      <c r="U136" s="36"/>
      <c r="V136" s="36"/>
      <c r="W136" s="36"/>
      <c r="X136" s="36"/>
      <c r="Y136" s="36"/>
      <c r="Z136" s="36"/>
    </row>
    <row r="137" ht="15.75" customHeight="1">
      <c r="A137" s="36"/>
      <c r="B137" s="36"/>
      <c r="C137" s="36"/>
      <c r="D137" s="36"/>
      <c r="E137" s="36"/>
      <c r="F137" s="36"/>
      <c r="G137" s="36"/>
      <c r="H137" s="1"/>
      <c r="I137" s="36"/>
      <c r="J137" s="36"/>
      <c r="K137" s="36"/>
      <c r="L137" s="36"/>
      <c r="M137" s="36"/>
      <c r="N137" s="36"/>
      <c r="O137" s="36"/>
      <c r="P137" s="36"/>
      <c r="Q137" s="36"/>
      <c r="R137" s="36"/>
      <c r="S137" s="36"/>
      <c r="T137" s="36"/>
      <c r="U137" s="36"/>
      <c r="V137" s="36"/>
      <c r="W137" s="36"/>
      <c r="X137" s="36"/>
      <c r="Y137" s="36"/>
      <c r="Z137" s="36"/>
    </row>
    <row r="138" ht="15.75" customHeight="1">
      <c r="A138" s="36"/>
      <c r="B138" s="36"/>
      <c r="C138" s="36"/>
      <c r="D138" s="36"/>
      <c r="E138" s="36"/>
      <c r="F138" s="36"/>
      <c r="G138" s="36"/>
      <c r="H138" s="1"/>
      <c r="I138" s="36"/>
      <c r="J138" s="36"/>
      <c r="K138" s="36"/>
      <c r="L138" s="36"/>
      <c r="M138" s="36"/>
      <c r="N138" s="36"/>
      <c r="O138" s="36"/>
      <c r="P138" s="36"/>
      <c r="Q138" s="36"/>
      <c r="R138" s="36"/>
      <c r="S138" s="36"/>
      <c r="T138" s="36"/>
      <c r="U138" s="36"/>
      <c r="V138" s="36"/>
      <c r="W138" s="36"/>
      <c r="X138" s="36"/>
      <c r="Y138" s="36"/>
      <c r="Z138" s="36"/>
    </row>
    <row r="139" ht="15.75" customHeight="1">
      <c r="A139" s="36"/>
      <c r="B139" s="36"/>
      <c r="C139" s="36"/>
      <c r="D139" s="36"/>
      <c r="E139" s="36"/>
      <c r="F139" s="36"/>
      <c r="G139" s="36"/>
      <c r="H139" s="1"/>
      <c r="I139" s="36"/>
      <c r="J139" s="36"/>
      <c r="K139" s="36"/>
      <c r="L139" s="36"/>
      <c r="M139" s="36"/>
      <c r="N139" s="36"/>
      <c r="O139" s="36"/>
      <c r="P139" s="36"/>
      <c r="Q139" s="36"/>
      <c r="R139" s="36"/>
      <c r="S139" s="36"/>
      <c r="T139" s="36"/>
      <c r="U139" s="36"/>
      <c r="V139" s="36"/>
      <c r="W139" s="36"/>
      <c r="X139" s="36"/>
      <c r="Y139" s="36"/>
      <c r="Z139" s="36"/>
    </row>
    <row r="140" ht="15.75" customHeight="1">
      <c r="A140" s="36"/>
      <c r="B140" s="36"/>
      <c r="C140" s="36"/>
      <c r="D140" s="36"/>
      <c r="E140" s="36"/>
      <c r="F140" s="36"/>
      <c r="G140" s="36"/>
      <c r="H140" s="1"/>
      <c r="I140" s="36"/>
      <c r="J140" s="36"/>
      <c r="K140" s="36"/>
      <c r="L140" s="36"/>
      <c r="M140" s="36"/>
      <c r="N140" s="36"/>
      <c r="O140" s="36"/>
      <c r="P140" s="36"/>
      <c r="Q140" s="36"/>
      <c r="R140" s="36"/>
      <c r="S140" s="36"/>
      <c r="T140" s="36"/>
      <c r="U140" s="36"/>
      <c r="V140" s="36"/>
      <c r="W140" s="36"/>
      <c r="X140" s="36"/>
      <c r="Y140" s="36"/>
      <c r="Z140" s="36"/>
    </row>
    <row r="141" ht="15.75" customHeight="1">
      <c r="A141" s="36"/>
      <c r="B141" s="36"/>
      <c r="C141" s="36"/>
      <c r="D141" s="36"/>
      <c r="E141" s="36"/>
      <c r="F141" s="36"/>
      <c r="G141" s="36"/>
      <c r="H141" s="1"/>
      <c r="I141" s="36"/>
      <c r="J141" s="36"/>
      <c r="K141" s="36"/>
      <c r="L141" s="36"/>
      <c r="M141" s="36"/>
      <c r="N141" s="36"/>
      <c r="O141" s="36"/>
      <c r="P141" s="36"/>
      <c r="Q141" s="36"/>
      <c r="R141" s="36"/>
      <c r="S141" s="36"/>
      <c r="T141" s="36"/>
      <c r="U141" s="36"/>
      <c r="V141" s="36"/>
      <c r="W141" s="36"/>
      <c r="X141" s="36"/>
      <c r="Y141" s="36"/>
      <c r="Z141" s="36"/>
    </row>
    <row r="142" ht="15.75" customHeight="1">
      <c r="A142" s="36"/>
      <c r="B142" s="36"/>
      <c r="C142" s="36"/>
      <c r="D142" s="36"/>
      <c r="E142" s="36"/>
      <c r="F142" s="36"/>
      <c r="G142" s="36"/>
      <c r="H142" s="1"/>
      <c r="I142" s="36"/>
      <c r="J142" s="36"/>
      <c r="K142" s="36"/>
      <c r="L142" s="36"/>
      <c r="M142" s="36"/>
      <c r="N142" s="36"/>
      <c r="O142" s="36"/>
      <c r="P142" s="36"/>
      <c r="Q142" s="36"/>
      <c r="R142" s="36"/>
      <c r="S142" s="36"/>
      <c r="T142" s="36"/>
      <c r="U142" s="36"/>
      <c r="V142" s="36"/>
      <c r="W142" s="36"/>
      <c r="X142" s="36"/>
      <c r="Y142" s="36"/>
      <c r="Z142" s="36"/>
    </row>
    <row r="143" ht="15.75" customHeight="1">
      <c r="A143" s="36"/>
      <c r="B143" s="36"/>
      <c r="C143" s="36"/>
      <c r="D143" s="36"/>
      <c r="E143" s="36"/>
      <c r="F143" s="36"/>
      <c r="G143" s="36"/>
      <c r="H143" s="1"/>
      <c r="I143" s="36"/>
      <c r="J143" s="36"/>
      <c r="K143" s="36"/>
      <c r="L143" s="36"/>
      <c r="M143" s="36"/>
      <c r="N143" s="36"/>
      <c r="O143" s="36"/>
      <c r="P143" s="36"/>
      <c r="Q143" s="36"/>
      <c r="R143" s="36"/>
      <c r="S143" s="36"/>
      <c r="T143" s="36"/>
      <c r="U143" s="36"/>
      <c r="V143" s="36"/>
      <c r="W143" s="36"/>
      <c r="X143" s="36"/>
      <c r="Y143" s="36"/>
      <c r="Z143" s="36"/>
    </row>
    <row r="144" ht="15.75" customHeight="1">
      <c r="A144" s="36"/>
      <c r="B144" s="36"/>
      <c r="C144" s="36"/>
      <c r="D144" s="36"/>
      <c r="E144" s="36"/>
      <c r="F144" s="36"/>
      <c r="G144" s="36"/>
      <c r="H144" s="1"/>
      <c r="I144" s="36"/>
      <c r="J144" s="36"/>
      <c r="K144" s="36"/>
      <c r="L144" s="36"/>
      <c r="M144" s="36"/>
      <c r="N144" s="36"/>
      <c r="O144" s="36"/>
      <c r="P144" s="36"/>
      <c r="Q144" s="36"/>
      <c r="R144" s="36"/>
      <c r="S144" s="36"/>
      <c r="T144" s="36"/>
      <c r="U144" s="36"/>
      <c r="V144" s="36"/>
      <c r="W144" s="36"/>
      <c r="X144" s="36"/>
      <c r="Y144" s="36"/>
      <c r="Z144" s="36"/>
    </row>
    <row r="145" ht="15.75" customHeight="1">
      <c r="A145" s="36"/>
      <c r="B145" s="36"/>
      <c r="C145" s="36"/>
      <c r="D145" s="36"/>
      <c r="E145" s="36"/>
      <c r="F145" s="36"/>
      <c r="G145" s="36"/>
      <c r="H145" s="1"/>
      <c r="I145" s="36"/>
      <c r="J145" s="36"/>
      <c r="K145" s="36"/>
      <c r="L145" s="36"/>
      <c r="M145" s="36"/>
      <c r="N145" s="36"/>
      <c r="O145" s="36"/>
      <c r="P145" s="36"/>
      <c r="Q145" s="36"/>
      <c r="R145" s="36"/>
      <c r="S145" s="36"/>
      <c r="T145" s="36"/>
      <c r="U145" s="36"/>
      <c r="V145" s="36"/>
      <c r="W145" s="36"/>
      <c r="X145" s="36"/>
      <c r="Y145" s="36"/>
      <c r="Z145" s="36"/>
    </row>
    <row r="146" ht="15.75" customHeight="1">
      <c r="A146" s="36"/>
      <c r="B146" s="36"/>
      <c r="C146" s="36"/>
      <c r="D146" s="36"/>
      <c r="E146" s="36"/>
      <c r="F146" s="36"/>
      <c r="G146" s="36"/>
      <c r="H146" s="1"/>
      <c r="I146" s="36"/>
      <c r="J146" s="36"/>
      <c r="K146" s="36"/>
      <c r="L146" s="36"/>
      <c r="M146" s="36"/>
      <c r="N146" s="36"/>
      <c r="O146" s="36"/>
      <c r="P146" s="36"/>
      <c r="Q146" s="36"/>
      <c r="R146" s="36"/>
      <c r="S146" s="36"/>
      <c r="T146" s="36"/>
      <c r="U146" s="36"/>
      <c r="V146" s="36"/>
      <c r="W146" s="36"/>
      <c r="X146" s="36"/>
      <c r="Y146" s="36"/>
      <c r="Z146" s="36"/>
    </row>
    <row r="147" ht="15.75" customHeight="1">
      <c r="A147" s="36"/>
      <c r="B147" s="36"/>
      <c r="C147" s="36"/>
      <c r="D147" s="36"/>
      <c r="E147" s="36"/>
      <c r="F147" s="36"/>
      <c r="G147" s="36"/>
      <c r="H147" s="1"/>
      <c r="I147" s="36"/>
      <c r="J147" s="36"/>
      <c r="K147" s="36"/>
      <c r="L147" s="36"/>
      <c r="M147" s="36"/>
      <c r="N147" s="36"/>
      <c r="O147" s="36"/>
      <c r="P147" s="36"/>
      <c r="Q147" s="36"/>
      <c r="R147" s="36"/>
      <c r="S147" s="36"/>
      <c r="T147" s="36"/>
      <c r="U147" s="36"/>
      <c r="V147" s="36"/>
      <c r="W147" s="36"/>
      <c r="X147" s="36"/>
      <c r="Y147" s="36"/>
      <c r="Z147" s="36"/>
    </row>
    <row r="148" ht="15.75" customHeight="1">
      <c r="A148" s="36"/>
      <c r="B148" s="36"/>
      <c r="C148" s="36"/>
      <c r="D148" s="36"/>
      <c r="E148" s="36"/>
      <c r="F148" s="36"/>
      <c r="G148" s="36"/>
      <c r="H148" s="1"/>
      <c r="I148" s="36"/>
      <c r="J148" s="36"/>
      <c r="K148" s="36"/>
      <c r="L148" s="36"/>
      <c r="M148" s="36"/>
      <c r="N148" s="36"/>
      <c r="O148" s="36"/>
      <c r="P148" s="36"/>
      <c r="Q148" s="36"/>
      <c r="R148" s="36"/>
      <c r="S148" s="36"/>
      <c r="T148" s="36"/>
      <c r="U148" s="36"/>
      <c r="V148" s="36"/>
      <c r="W148" s="36"/>
      <c r="X148" s="36"/>
      <c r="Y148" s="36"/>
      <c r="Z148" s="36"/>
    </row>
    <row r="149" ht="15.75" customHeight="1">
      <c r="A149" s="36"/>
      <c r="B149" s="36"/>
      <c r="C149" s="36"/>
      <c r="D149" s="36"/>
      <c r="E149" s="36"/>
      <c r="F149" s="36"/>
      <c r="G149" s="36"/>
      <c r="H149" s="1"/>
      <c r="I149" s="36"/>
      <c r="J149" s="36"/>
      <c r="K149" s="36"/>
      <c r="L149" s="36"/>
      <c r="M149" s="36"/>
      <c r="N149" s="36"/>
      <c r="O149" s="36"/>
      <c r="P149" s="36"/>
      <c r="Q149" s="36"/>
      <c r="R149" s="36"/>
      <c r="S149" s="36"/>
      <c r="T149" s="36"/>
      <c r="U149" s="36"/>
      <c r="V149" s="36"/>
      <c r="W149" s="36"/>
      <c r="X149" s="36"/>
      <c r="Y149" s="36"/>
      <c r="Z149" s="36"/>
    </row>
    <row r="150" ht="15.75" customHeight="1">
      <c r="A150" s="36"/>
      <c r="B150" s="36"/>
      <c r="C150" s="36"/>
      <c r="D150" s="36"/>
      <c r="E150" s="36"/>
      <c r="F150" s="36"/>
      <c r="G150" s="36"/>
      <c r="H150" s="1"/>
      <c r="I150" s="36"/>
      <c r="J150" s="36"/>
      <c r="K150" s="36"/>
      <c r="L150" s="36"/>
      <c r="M150" s="36"/>
      <c r="N150" s="36"/>
      <c r="O150" s="36"/>
      <c r="P150" s="36"/>
      <c r="Q150" s="36"/>
      <c r="R150" s="36"/>
      <c r="S150" s="36"/>
      <c r="T150" s="36"/>
      <c r="U150" s="36"/>
      <c r="V150" s="36"/>
      <c r="W150" s="36"/>
      <c r="X150" s="36"/>
      <c r="Y150" s="36"/>
      <c r="Z150" s="36"/>
    </row>
    <row r="151" ht="15.75" customHeight="1">
      <c r="A151" s="36"/>
      <c r="B151" s="36"/>
      <c r="C151" s="36"/>
      <c r="D151" s="36"/>
      <c r="E151" s="36"/>
      <c r="F151" s="36"/>
      <c r="G151" s="36"/>
      <c r="H151" s="1"/>
      <c r="I151" s="36"/>
      <c r="J151" s="36"/>
      <c r="K151" s="36"/>
      <c r="L151" s="36"/>
      <c r="M151" s="36"/>
      <c r="N151" s="36"/>
      <c r="O151" s="36"/>
      <c r="P151" s="36"/>
      <c r="Q151" s="36"/>
      <c r="R151" s="36"/>
      <c r="S151" s="36"/>
      <c r="T151" s="36"/>
      <c r="U151" s="36"/>
      <c r="V151" s="36"/>
      <c r="W151" s="36"/>
      <c r="X151" s="36"/>
      <c r="Y151" s="36"/>
      <c r="Z151" s="36"/>
    </row>
    <row r="152" ht="15.75" customHeight="1">
      <c r="A152" s="36"/>
      <c r="B152" s="36"/>
      <c r="C152" s="36"/>
      <c r="D152" s="36"/>
      <c r="E152" s="36"/>
      <c r="F152" s="36"/>
      <c r="G152" s="36"/>
      <c r="H152" s="1"/>
      <c r="I152" s="36"/>
      <c r="J152" s="36"/>
      <c r="K152" s="36"/>
      <c r="L152" s="36"/>
      <c r="M152" s="36"/>
      <c r="N152" s="36"/>
      <c r="O152" s="36"/>
      <c r="P152" s="36"/>
      <c r="Q152" s="36"/>
      <c r="R152" s="36"/>
      <c r="S152" s="36"/>
      <c r="T152" s="36"/>
      <c r="U152" s="36"/>
      <c r="V152" s="36"/>
      <c r="W152" s="36"/>
      <c r="X152" s="36"/>
      <c r="Y152" s="36"/>
      <c r="Z152" s="36"/>
    </row>
    <row r="153" ht="15.75" customHeight="1">
      <c r="A153" s="36"/>
      <c r="B153" s="36"/>
      <c r="C153" s="36"/>
      <c r="D153" s="36"/>
      <c r="E153" s="36"/>
      <c r="F153" s="36"/>
      <c r="G153" s="36"/>
      <c r="H153" s="1"/>
      <c r="I153" s="36"/>
      <c r="J153" s="36"/>
      <c r="K153" s="36"/>
      <c r="L153" s="36"/>
      <c r="M153" s="36"/>
      <c r="N153" s="36"/>
      <c r="O153" s="36"/>
      <c r="P153" s="36"/>
      <c r="Q153" s="36"/>
      <c r="R153" s="36"/>
      <c r="S153" s="36"/>
      <c r="T153" s="36"/>
      <c r="U153" s="36"/>
      <c r="V153" s="36"/>
      <c r="W153" s="36"/>
      <c r="X153" s="36"/>
      <c r="Y153" s="36"/>
      <c r="Z153" s="36"/>
    </row>
    <row r="154" ht="15.75" customHeight="1">
      <c r="A154" s="36"/>
      <c r="B154" s="36"/>
      <c r="C154" s="36"/>
      <c r="D154" s="36"/>
      <c r="E154" s="36"/>
      <c r="F154" s="36"/>
      <c r="G154" s="36"/>
      <c r="H154" s="1"/>
      <c r="I154" s="36"/>
      <c r="J154" s="36"/>
      <c r="K154" s="36"/>
      <c r="L154" s="36"/>
      <c r="M154" s="36"/>
      <c r="N154" s="36"/>
      <c r="O154" s="36"/>
      <c r="P154" s="36"/>
      <c r="Q154" s="36"/>
      <c r="R154" s="36"/>
      <c r="S154" s="36"/>
      <c r="T154" s="36"/>
      <c r="U154" s="36"/>
      <c r="V154" s="36"/>
      <c r="W154" s="36"/>
      <c r="X154" s="36"/>
      <c r="Y154" s="36"/>
      <c r="Z154" s="36"/>
    </row>
    <row r="155" ht="15.75" customHeight="1">
      <c r="A155" s="36"/>
      <c r="B155" s="36"/>
      <c r="C155" s="36"/>
      <c r="D155" s="36"/>
      <c r="E155" s="36"/>
      <c r="F155" s="36"/>
      <c r="G155" s="36"/>
      <c r="H155" s="1"/>
      <c r="I155" s="36"/>
      <c r="J155" s="36"/>
      <c r="K155" s="36"/>
      <c r="L155" s="36"/>
      <c r="M155" s="36"/>
      <c r="N155" s="36"/>
      <c r="O155" s="36"/>
      <c r="P155" s="36"/>
      <c r="Q155" s="36"/>
      <c r="R155" s="36"/>
      <c r="S155" s="36"/>
      <c r="T155" s="36"/>
      <c r="U155" s="36"/>
      <c r="V155" s="36"/>
      <c r="W155" s="36"/>
      <c r="X155" s="36"/>
      <c r="Y155" s="36"/>
      <c r="Z155" s="36"/>
    </row>
    <row r="156" ht="15.75" customHeight="1">
      <c r="A156" s="36"/>
      <c r="B156" s="36"/>
      <c r="C156" s="36"/>
      <c r="D156" s="36"/>
      <c r="E156" s="36"/>
      <c r="F156" s="36"/>
      <c r="G156" s="36"/>
      <c r="H156" s="1"/>
      <c r="I156" s="36"/>
      <c r="J156" s="36"/>
      <c r="K156" s="36"/>
      <c r="L156" s="36"/>
      <c r="M156" s="36"/>
      <c r="N156" s="36"/>
      <c r="O156" s="36"/>
      <c r="P156" s="36"/>
      <c r="Q156" s="36"/>
      <c r="R156" s="36"/>
      <c r="S156" s="36"/>
      <c r="T156" s="36"/>
      <c r="U156" s="36"/>
      <c r="V156" s="36"/>
      <c r="W156" s="36"/>
      <c r="X156" s="36"/>
      <c r="Y156" s="36"/>
      <c r="Z156" s="36"/>
    </row>
    <row r="157" ht="15.75" customHeight="1">
      <c r="A157" s="36"/>
      <c r="B157" s="36"/>
      <c r="C157" s="36"/>
      <c r="D157" s="36"/>
      <c r="E157" s="36"/>
      <c r="F157" s="36"/>
      <c r="G157" s="36"/>
      <c r="H157" s="1"/>
      <c r="I157" s="36"/>
      <c r="J157" s="36"/>
      <c r="K157" s="36"/>
      <c r="L157" s="36"/>
      <c r="M157" s="36"/>
      <c r="N157" s="36"/>
      <c r="O157" s="36"/>
      <c r="P157" s="36"/>
      <c r="Q157" s="36"/>
      <c r="R157" s="36"/>
      <c r="S157" s="36"/>
      <c r="T157" s="36"/>
      <c r="U157" s="36"/>
      <c r="V157" s="36"/>
      <c r="W157" s="36"/>
      <c r="X157" s="36"/>
      <c r="Y157" s="36"/>
      <c r="Z157" s="36"/>
    </row>
    <row r="158" ht="15.75" customHeight="1">
      <c r="A158" s="36"/>
      <c r="B158" s="36"/>
      <c r="C158" s="36"/>
      <c r="D158" s="36"/>
      <c r="E158" s="36"/>
      <c r="F158" s="36"/>
      <c r="G158" s="36"/>
      <c r="H158" s="1"/>
      <c r="I158" s="36"/>
      <c r="J158" s="36"/>
      <c r="K158" s="36"/>
      <c r="L158" s="36"/>
      <c r="M158" s="36"/>
      <c r="N158" s="36"/>
      <c r="O158" s="36"/>
      <c r="P158" s="36"/>
      <c r="Q158" s="36"/>
      <c r="R158" s="36"/>
      <c r="S158" s="36"/>
      <c r="T158" s="36"/>
      <c r="U158" s="36"/>
      <c r="V158" s="36"/>
      <c r="W158" s="36"/>
      <c r="X158" s="36"/>
      <c r="Y158" s="36"/>
      <c r="Z158" s="36"/>
    </row>
    <row r="159" ht="15.75" customHeight="1">
      <c r="A159" s="36"/>
      <c r="B159" s="36"/>
      <c r="C159" s="36"/>
      <c r="D159" s="36"/>
      <c r="E159" s="36"/>
      <c r="F159" s="36"/>
      <c r="G159" s="36"/>
      <c r="H159" s="1"/>
      <c r="I159" s="36"/>
      <c r="J159" s="36"/>
      <c r="K159" s="36"/>
      <c r="L159" s="36"/>
      <c r="M159" s="36"/>
      <c r="N159" s="36"/>
      <c r="O159" s="36"/>
      <c r="P159" s="36"/>
      <c r="Q159" s="36"/>
      <c r="R159" s="36"/>
      <c r="S159" s="36"/>
      <c r="T159" s="36"/>
      <c r="U159" s="36"/>
      <c r="V159" s="36"/>
      <c r="W159" s="36"/>
      <c r="X159" s="36"/>
      <c r="Y159" s="36"/>
      <c r="Z159" s="36"/>
    </row>
    <row r="160" ht="15.75" customHeight="1">
      <c r="A160" s="36"/>
      <c r="B160" s="36"/>
      <c r="C160" s="36"/>
      <c r="D160" s="36"/>
      <c r="E160" s="36"/>
      <c r="F160" s="36"/>
      <c r="G160" s="36"/>
      <c r="H160" s="1"/>
      <c r="I160" s="36"/>
      <c r="J160" s="36"/>
      <c r="K160" s="36"/>
      <c r="L160" s="36"/>
      <c r="M160" s="36"/>
      <c r="N160" s="36"/>
      <c r="O160" s="36"/>
      <c r="P160" s="36"/>
      <c r="Q160" s="36"/>
      <c r="R160" s="36"/>
      <c r="S160" s="36"/>
      <c r="T160" s="36"/>
      <c r="U160" s="36"/>
      <c r="V160" s="36"/>
      <c r="W160" s="36"/>
      <c r="X160" s="36"/>
      <c r="Y160" s="36"/>
      <c r="Z160" s="36"/>
    </row>
    <row r="161" ht="15.75" customHeight="1">
      <c r="A161" s="36"/>
      <c r="B161" s="36"/>
      <c r="C161" s="36"/>
      <c r="D161" s="36"/>
      <c r="E161" s="36"/>
      <c r="F161" s="36"/>
      <c r="G161" s="36"/>
      <c r="H161" s="1"/>
      <c r="I161" s="36"/>
      <c r="J161" s="36"/>
      <c r="K161" s="36"/>
      <c r="L161" s="36"/>
      <c r="M161" s="36"/>
      <c r="N161" s="36"/>
      <c r="O161" s="36"/>
      <c r="P161" s="36"/>
      <c r="Q161" s="36"/>
      <c r="R161" s="36"/>
      <c r="S161" s="36"/>
      <c r="T161" s="36"/>
      <c r="U161" s="36"/>
      <c r="V161" s="36"/>
      <c r="W161" s="36"/>
      <c r="X161" s="36"/>
      <c r="Y161" s="36"/>
      <c r="Z161" s="36"/>
    </row>
    <row r="162" ht="15.75" customHeight="1">
      <c r="A162" s="36"/>
      <c r="B162" s="36"/>
      <c r="C162" s="36"/>
      <c r="D162" s="36"/>
      <c r="E162" s="36"/>
      <c r="F162" s="36"/>
      <c r="G162" s="36"/>
      <c r="H162" s="1"/>
      <c r="I162" s="36"/>
      <c r="J162" s="36"/>
      <c r="K162" s="36"/>
      <c r="L162" s="36"/>
      <c r="M162" s="36"/>
      <c r="N162" s="36"/>
      <c r="O162" s="36"/>
      <c r="P162" s="36"/>
      <c r="Q162" s="36"/>
      <c r="R162" s="36"/>
      <c r="S162" s="36"/>
      <c r="T162" s="36"/>
      <c r="U162" s="36"/>
      <c r="V162" s="36"/>
      <c r="W162" s="36"/>
      <c r="X162" s="36"/>
      <c r="Y162" s="36"/>
      <c r="Z162" s="36"/>
    </row>
    <row r="163" ht="15.75" customHeight="1">
      <c r="A163" s="36"/>
      <c r="B163" s="36"/>
      <c r="C163" s="36"/>
      <c r="D163" s="36"/>
      <c r="E163" s="36"/>
      <c r="F163" s="36"/>
      <c r="G163" s="36"/>
      <c r="H163" s="1"/>
      <c r="I163" s="36"/>
      <c r="J163" s="36"/>
      <c r="K163" s="36"/>
      <c r="L163" s="36"/>
      <c r="M163" s="36"/>
      <c r="N163" s="36"/>
      <c r="O163" s="36"/>
      <c r="P163" s="36"/>
      <c r="Q163" s="36"/>
      <c r="R163" s="36"/>
      <c r="S163" s="36"/>
      <c r="T163" s="36"/>
      <c r="U163" s="36"/>
      <c r="V163" s="36"/>
      <c r="W163" s="36"/>
      <c r="X163" s="36"/>
      <c r="Y163" s="36"/>
      <c r="Z163" s="36"/>
    </row>
    <row r="164" ht="15.75" customHeight="1">
      <c r="A164" s="36"/>
      <c r="B164" s="36"/>
      <c r="C164" s="36"/>
      <c r="D164" s="36"/>
      <c r="E164" s="36"/>
      <c r="F164" s="36"/>
      <c r="G164" s="36"/>
      <c r="H164" s="1"/>
      <c r="I164" s="36"/>
      <c r="J164" s="36"/>
      <c r="K164" s="36"/>
      <c r="L164" s="36"/>
      <c r="M164" s="36"/>
      <c r="N164" s="36"/>
      <c r="O164" s="36"/>
      <c r="P164" s="36"/>
      <c r="Q164" s="36"/>
      <c r="R164" s="36"/>
      <c r="S164" s="36"/>
      <c r="T164" s="36"/>
      <c r="U164" s="36"/>
      <c r="V164" s="36"/>
      <c r="W164" s="36"/>
      <c r="X164" s="36"/>
      <c r="Y164" s="36"/>
      <c r="Z164" s="36"/>
    </row>
    <row r="165" ht="15.75" customHeight="1">
      <c r="A165" s="36"/>
      <c r="B165" s="36"/>
      <c r="C165" s="36"/>
      <c r="D165" s="36"/>
      <c r="E165" s="36"/>
      <c r="F165" s="36"/>
      <c r="G165" s="36"/>
      <c r="H165" s="1"/>
      <c r="I165" s="36"/>
      <c r="J165" s="36"/>
      <c r="K165" s="36"/>
      <c r="L165" s="36"/>
      <c r="M165" s="36"/>
      <c r="N165" s="36"/>
      <c r="O165" s="36"/>
      <c r="P165" s="36"/>
      <c r="Q165" s="36"/>
      <c r="R165" s="36"/>
      <c r="S165" s="36"/>
      <c r="T165" s="36"/>
      <c r="U165" s="36"/>
      <c r="V165" s="36"/>
      <c r="W165" s="36"/>
      <c r="X165" s="36"/>
      <c r="Y165" s="36"/>
      <c r="Z165" s="36"/>
    </row>
    <row r="166" ht="15.75" customHeight="1">
      <c r="A166" s="36"/>
      <c r="B166" s="36"/>
      <c r="C166" s="36"/>
      <c r="D166" s="36"/>
      <c r="E166" s="36"/>
      <c r="F166" s="36"/>
      <c r="G166" s="36"/>
      <c r="H166" s="1"/>
      <c r="I166" s="36"/>
      <c r="J166" s="36"/>
      <c r="K166" s="36"/>
      <c r="L166" s="36"/>
      <c r="M166" s="36"/>
      <c r="N166" s="36"/>
      <c r="O166" s="36"/>
      <c r="P166" s="36"/>
      <c r="Q166" s="36"/>
      <c r="R166" s="36"/>
      <c r="S166" s="36"/>
      <c r="T166" s="36"/>
      <c r="U166" s="36"/>
      <c r="V166" s="36"/>
      <c r="W166" s="36"/>
      <c r="X166" s="36"/>
      <c r="Y166" s="36"/>
      <c r="Z166" s="36"/>
    </row>
    <row r="167" ht="15.75" customHeight="1">
      <c r="A167" s="36"/>
      <c r="B167" s="36"/>
      <c r="C167" s="36"/>
      <c r="D167" s="36"/>
      <c r="E167" s="36"/>
      <c r="F167" s="36"/>
      <c r="G167" s="36"/>
      <c r="H167" s="1"/>
      <c r="I167" s="36"/>
      <c r="J167" s="36"/>
      <c r="K167" s="36"/>
      <c r="L167" s="36"/>
      <c r="M167" s="36"/>
      <c r="N167" s="36"/>
      <c r="O167" s="36"/>
      <c r="P167" s="36"/>
      <c r="Q167" s="36"/>
      <c r="R167" s="36"/>
      <c r="S167" s="36"/>
      <c r="T167" s="36"/>
      <c r="U167" s="36"/>
      <c r="V167" s="36"/>
      <c r="W167" s="36"/>
      <c r="X167" s="36"/>
      <c r="Y167" s="36"/>
      <c r="Z167" s="36"/>
    </row>
    <row r="168" ht="15.75" customHeight="1">
      <c r="A168" s="36"/>
      <c r="B168" s="36"/>
      <c r="C168" s="36"/>
      <c r="D168" s="36"/>
      <c r="E168" s="36"/>
      <c r="F168" s="36"/>
      <c r="G168" s="36"/>
      <c r="H168" s="1"/>
      <c r="I168" s="36"/>
      <c r="J168" s="36"/>
      <c r="K168" s="36"/>
      <c r="L168" s="36"/>
      <c r="M168" s="36"/>
      <c r="N168" s="36"/>
      <c r="O168" s="36"/>
      <c r="P168" s="36"/>
      <c r="Q168" s="36"/>
      <c r="R168" s="36"/>
      <c r="S168" s="36"/>
      <c r="T168" s="36"/>
      <c r="U168" s="36"/>
      <c r="V168" s="36"/>
      <c r="W168" s="36"/>
      <c r="X168" s="36"/>
      <c r="Y168" s="36"/>
      <c r="Z168" s="36"/>
    </row>
    <row r="169" ht="15.75" customHeight="1">
      <c r="A169" s="36"/>
      <c r="B169" s="36"/>
      <c r="C169" s="36"/>
      <c r="D169" s="36"/>
      <c r="E169" s="36"/>
      <c r="F169" s="36"/>
      <c r="G169" s="36"/>
      <c r="H169" s="1"/>
      <c r="I169" s="36"/>
      <c r="J169" s="36"/>
      <c r="K169" s="36"/>
      <c r="L169" s="36"/>
      <c r="M169" s="36"/>
      <c r="N169" s="36"/>
      <c r="O169" s="36"/>
      <c r="P169" s="36"/>
      <c r="Q169" s="36"/>
      <c r="R169" s="36"/>
      <c r="S169" s="36"/>
      <c r="T169" s="36"/>
      <c r="U169" s="36"/>
      <c r="V169" s="36"/>
      <c r="W169" s="36"/>
      <c r="X169" s="36"/>
      <c r="Y169" s="36"/>
      <c r="Z169" s="36"/>
    </row>
    <row r="170" ht="15.75" customHeight="1">
      <c r="A170" s="36"/>
      <c r="B170" s="36"/>
      <c r="C170" s="36"/>
      <c r="D170" s="36"/>
      <c r="E170" s="36"/>
      <c r="F170" s="36"/>
      <c r="G170" s="36"/>
      <c r="H170" s="1"/>
      <c r="I170" s="36"/>
      <c r="J170" s="36"/>
      <c r="K170" s="36"/>
      <c r="L170" s="36"/>
      <c r="M170" s="36"/>
      <c r="N170" s="36"/>
      <c r="O170" s="36"/>
      <c r="P170" s="36"/>
      <c r="Q170" s="36"/>
      <c r="R170" s="36"/>
      <c r="S170" s="36"/>
      <c r="T170" s="36"/>
      <c r="U170" s="36"/>
      <c r="V170" s="36"/>
      <c r="W170" s="36"/>
      <c r="X170" s="36"/>
      <c r="Y170" s="36"/>
      <c r="Z170" s="36"/>
    </row>
    <row r="171" ht="15.75" customHeight="1">
      <c r="A171" s="36"/>
      <c r="B171" s="36"/>
      <c r="C171" s="36"/>
      <c r="D171" s="36"/>
      <c r="E171" s="36"/>
      <c r="F171" s="36"/>
      <c r="G171" s="36"/>
      <c r="H171" s="1"/>
      <c r="I171" s="36"/>
      <c r="J171" s="36"/>
      <c r="K171" s="36"/>
      <c r="L171" s="36"/>
      <c r="M171" s="36"/>
      <c r="N171" s="36"/>
      <c r="O171" s="36"/>
      <c r="P171" s="36"/>
      <c r="Q171" s="36"/>
      <c r="R171" s="36"/>
      <c r="S171" s="36"/>
      <c r="T171" s="36"/>
      <c r="U171" s="36"/>
      <c r="V171" s="36"/>
      <c r="W171" s="36"/>
      <c r="X171" s="36"/>
      <c r="Y171" s="36"/>
      <c r="Z171" s="36"/>
    </row>
    <row r="172" ht="15.75" customHeight="1">
      <c r="A172" s="36"/>
      <c r="B172" s="36"/>
      <c r="C172" s="36"/>
      <c r="D172" s="36"/>
      <c r="E172" s="36"/>
      <c r="F172" s="36"/>
      <c r="G172" s="36"/>
      <c r="H172" s="1"/>
      <c r="I172" s="36"/>
      <c r="J172" s="36"/>
      <c r="K172" s="36"/>
      <c r="L172" s="36"/>
      <c r="M172" s="36"/>
      <c r="N172" s="36"/>
      <c r="O172" s="36"/>
      <c r="P172" s="36"/>
      <c r="Q172" s="36"/>
      <c r="R172" s="36"/>
      <c r="S172" s="36"/>
      <c r="T172" s="36"/>
      <c r="U172" s="36"/>
      <c r="V172" s="36"/>
      <c r="W172" s="36"/>
      <c r="X172" s="36"/>
      <c r="Y172" s="36"/>
      <c r="Z172" s="36"/>
    </row>
    <row r="173" ht="15.75" customHeight="1">
      <c r="A173" s="36"/>
      <c r="B173" s="36"/>
      <c r="C173" s="36"/>
      <c r="D173" s="36"/>
      <c r="E173" s="36"/>
      <c r="F173" s="36"/>
      <c r="G173" s="36"/>
      <c r="H173" s="1"/>
      <c r="I173" s="36"/>
      <c r="J173" s="36"/>
      <c r="K173" s="36"/>
      <c r="L173" s="36"/>
      <c r="M173" s="36"/>
      <c r="N173" s="36"/>
      <c r="O173" s="36"/>
      <c r="P173" s="36"/>
      <c r="Q173" s="36"/>
      <c r="R173" s="36"/>
      <c r="S173" s="36"/>
      <c r="T173" s="36"/>
      <c r="U173" s="36"/>
      <c r="V173" s="36"/>
      <c r="W173" s="36"/>
      <c r="X173" s="36"/>
      <c r="Y173" s="36"/>
      <c r="Z173" s="36"/>
    </row>
    <row r="174" ht="15.75" customHeight="1">
      <c r="A174" s="36"/>
      <c r="B174" s="36"/>
      <c r="C174" s="36"/>
      <c r="D174" s="36"/>
      <c r="E174" s="36"/>
      <c r="F174" s="36"/>
      <c r="G174" s="36"/>
      <c r="H174" s="1"/>
      <c r="I174" s="36"/>
      <c r="J174" s="36"/>
      <c r="K174" s="36"/>
      <c r="L174" s="36"/>
      <c r="M174" s="36"/>
      <c r="N174" s="36"/>
      <c r="O174" s="36"/>
      <c r="P174" s="36"/>
      <c r="Q174" s="36"/>
      <c r="R174" s="36"/>
      <c r="S174" s="36"/>
      <c r="T174" s="36"/>
      <c r="U174" s="36"/>
      <c r="V174" s="36"/>
      <c r="W174" s="36"/>
      <c r="X174" s="36"/>
      <c r="Y174" s="36"/>
      <c r="Z174" s="36"/>
    </row>
    <row r="175" ht="15.75" customHeight="1">
      <c r="A175" s="36"/>
      <c r="B175" s="36"/>
      <c r="C175" s="36"/>
      <c r="D175" s="36"/>
      <c r="E175" s="36"/>
      <c r="F175" s="36"/>
      <c r="G175" s="36"/>
      <c r="H175" s="1"/>
      <c r="I175" s="36"/>
      <c r="J175" s="36"/>
      <c r="K175" s="36"/>
      <c r="L175" s="36"/>
      <c r="M175" s="36"/>
      <c r="N175" s="36"/>
      <c r="O175" s="36"/>
      <c r="P175" s="36"/>
      <c r="Q175" s="36"/>
      <c r="R175" s="36"/>
      <c r="S175" s="36"/>
      <c r="T175" s="36"/>
      <c r="U175" s="36"/>
      <c r="V175" s="36"/>
      <c r="W175" s="36"/>
      <c r="X175" s="36"/>
      <c r="Y175" s="36"/>
      <c r="Z175" s="36"/>
    </row>
    <row r="176" ht="15.75" customHeight="1">
      <c r="A176" s="36"/>
      <c r="B176" s="36"/>
      <c r="C176" s="36"/>
      <c r="D176" s="36"/>
      <c r="E176" s="36"/>
      <c r="F176" s="36"/>
      <c r="G176" s="36"/>
      <c r="H176" s="1"/>
      <c r="I176" s="36"/>
      <c r="J176" s="36"/>
      <c r="K176" s="36"/>
      <c r="L176" s="36"/>
      <c r="M176" s="36"/>
      <c r="N176" s="36"/>
      <c r="O176" s="36"/>
      <c r="P176" s="36"/>
      <c r="Q176" s="36"/>
      <c r="R176" s="36"/>
      <c r="S176" s="36"/>
      <c r="T176" s="36"/>
      <c r="U176" s="36"/>
      <c r="V176" s="36"/>
      <c r="W176" s="36"/>
      <c r="X176" s="36"/>
      <c r="Y176" s="36"/>
      <c r="Z176" s="36"/>
    </row>
    <row r="177" ht="15.75" customHeight="1">
      <c r="A177" s="36"/>
      <c r="B177" s="36"/>
      <c r="C177" s="36"/>
      <c r="D177" s="36"/>
      <c r="E177" s="36"/>
      <c r="F177" s="36"/>
      <c r="G177" s="36"/>
      <c r="H177" s="1"/>
      <c r="I177" s="36"/>
      <c r="J177" s="36"/>
      <c r="K177" s="36"/>
      <c r="L177" s="36"/>
      <c r="M177" s="36"/>
      <c r="N177" s="36"/>
      <c r="O177" s="36"/>
      <c r="P177" s="36"/>
      <c r="Q177" s="36"/>
      <c r="R177" s="36"/>
      <c r="S177" s="36"/>
      <c r="T177" s="36"/>
      <c r="U177" s="36"/>
      <c r="V177" s="36"/>
      <c r="W177" s="36"/>
      <c r="X177" s="36"/>
      <c r="Y177" s="36"/>
      <c r="Z177" s="36"/>
    </row>
    <row r="178" ht="15.75" customHeight="1">
      <c r="A178" s="36"/>
      <c r="B178" s="36"/>
      <c r="C178" s="36"/>
      <c r="D178" s="36"/>
      <c r="E178" s="36"/>
      <c r="F178" s="36"/>
      <c r="G178" s="36"/>
      <c r="H178" s="1"/>
      <c r="I178" s="36"/>
      <c r="J178" s="36"/>
      <c r="K178" s="36"/>
      <c r="L178" s="36"/>
      <c r="M178" s="36"/>
      <c r="N178" s="36"/>
      <c r="O178" s="36"/>
      <c r="P178" s="36"/>
      <c r="Q178" s="36"/>
      <c r="R178" s="36"/>
      <c r="S178" s="36"/>
      <c r="T178" s="36"/>
      <c r="U178" s="36"/>
      <c r="V178" s="36"/>
      <c r="W178" s="36"/>
      <c r="X178" s="36"/>
      <c r="Y178" s="36"/>
      <c r="Z178" s="36"/>
    </row>
    <row r="179" ht="15.75" customHeight="1">
      <c r="A179" s="36"/>
      <c r="B179" s="36"/>
      <c r="C179" s="36"/>
      <c r="D179" s="36"/>
      <c r="E179" s="36"/>
      <c r="F179" s="36"/>
      <c r="G179" s="36"/>
      <c r="H179" s="1"/>
      <c r="I179" s="36"/>
      <c r="J179" s="36"/>
      <c r="K179" s="36"/>
      <c r="L179" s="36"/>
      <c r="M179" s="36"/>
      <c r="N179" s="36"/>
      <c r="O179" s="36"/>
      <c r="P179" s="36"/>
      <c r="Q179" s="36"/>
      <c r="R179" s="36"/>
      <c r="S179" s="36"/>
      <c r="T179" s="36"/>
      <c r="U179" s="36"/>
      <c r="V179" s="36"/>
      <c r="W179" s="36"/>
      <c r="X179" s="36"/>
      <c r="Y179" s="36"/>
      <c r="Z179" s="36"/>
    </row>
    <row r="180" ht="15.75" customHeight="1">
      <c r="A180" s="36"/>
      <c r="B180" s="36"/>
      <c r="C180" s="36"/>
      <c r="D180" s="36"/>
      <c r="E180" s="36"/>
      <c r="F180" s="36"/>
      <c r="G180" s="36"/>
      <c r="H180" s="1"/>
      <c r="I180" s="36"/>
      <c r="J180" s="36"/>
      <c r="K180" s="36"/>
      <c r="L180" s="36"/>
      <c r="M180" s="36"/>
      <c r="N180" s="36"/>
      <c r="O180" s="36"/>
      <c r="P180" s="36"/>
      <c r="Q180" s="36"/>
      <c r="R180" s="36"/>
      <c r="S180" s="36"/>
      <c r="T180" s="36"/>
      <c r="U180" s="36"/>
      <c r="V180" s="36"/>
      <c r="W180" s="36"/>
      <c r="X180" s="36"/>
      <c r="Y180" s="36"/>
      <c r="Z180" s="36"/>
    </row>
    <row r="181" ht="15.75" customHeight="1">
      <c r="A181" s="36"/>
      <c r="B181" s="36"/>
      <c r="C181" s="36"/>
      <c r="D181" s="36"/>
      <c r="E181" s="36"/>
      <c r="F181" s="36"/>
      <c r="G181" s="36"/>
      <c r="H181" s="1"/>
      <c r="I181" s="36"/>
      <c r="J181" s="36"/>
      <c r="K181" s="36"/>
      <c r="L181" s="36"/>
      <c r="M181" s="36"/>
      <c r="N181" s="36"/>
      <c r="O181" s="36"/>
      <c r="P181" s="36"/>
      <c r="Q181" s="36"/>
      <c r="R181" s="36"/>
      <c r="S181" s="36"/>
      <c r="T181" s="36"/>
      <c r="U181" s="36"/>
      <c r="V181" s="36"/>
      <c r="W181" s="36"/>
      <c r="X181" s="36"/>
      <c r="Y181" s="36"/>
      <c r="Z181" s="36"/>
    </row>
    <row r="182" ht="15.75" customHeight="1">
      <c r="A182" s="36"/>
      <c r="B182" s="36"/>
      <c r="C182" s="36"/>
      <c r="D182" s="36"/>
      <c r="E182" s="36"/>
      <c r="F182" s="36"/>
      <c r="G182" s="36"/>
      <c r="H182" s="1"/>
      <c r="I182" s="36"/>
      <c r="J182" s="36"/>
      <c r="K182" s="36"/>
      <c r="L182" s="36"/>
      <c r="M182" s="36"/>
      <c r="N182" s="36"/>
      <c r="O182" s="36"/>
      <c r="P182" s="36"/>
      <c r="Q182" s="36"/>
      <c r="R182" s="36"/>
      <c r="S182" s="36"/>
      <c r="T182" s="36"/>
      <c r="U182" s="36"/>
      <c r="V182" s="36"/>
      <c r="W182" s="36"/>
      <c r="X182" s="36"/>
      <c r="Y182" s="36"/>
      <c r="Z182" s="36"/>
    </row>
    <row r="183" ht="15.75" customHeight="1">
      <c r="A183" s="36"/>
      <c r="B183" s="36"/>
      <c r="C183" s="36"/>
      <c r="D183" s="36"/>
      <c r="E183" s="36"/>
      <c r="F183" s="36"/>
      <c r="G183" s="36"/>
      <c r="H183" s="1"/>
      <c r="I183" s="36"/>
      <c r="J183" s="36"/>
      <c r="K183" s="36"/>
      <c r="L183" s="36"/>
      <c r="M183" s="36"/>
      <c r="N183" s="36"/>
      <c r="O183" s="36"/>
      <c r="P183" s="36"/>
      <c r="Q183" s="36"/>
      <c r="R183" s="36"/>
      <c r="S183" s="36"/>
      <c r="T183" s="36"/>
      <c r="U183" s="36"/>
      <c r="V183" s="36"/>
      <c r="W183" s="36"/>
      <c r="X183" s="36"/>
      <c r="Y183" s="36"/>
      <c r="Z183" s="36"/>
    </row>
    <row r="184" ht="15.75" customHeight="1">
      <c r="A184" s="36"/>
      <c r="B184" s="36"/>
      <c r="C184" s="36"/>
      <c r="D184" s="36"/>
      <c r="E184" s="36"/>
      <c r="F184" s="36"/>
      <c r="G184" s="36"/>
      <c r="H184" s="1"/>
      <c r="I184" s="36"/>
      <c r="J184" s="36"/>
      <c r="K184" s="36"/>
      <c r="L184" s="36"/>
      <c r="M184" s="36"/>
      <c r="N184" s="36"/>
      <c r="O184" s="36"/>
      <c r="P184" s="36"/>
      <c r="Q184" s="36"/>
      <c r="R184" s="36"/>
      <c r="S184" s="36"/>
      <c r="T184" s="36"/>
      <c r="U184" s="36"/>
      <c r="V184" s="36"/>
      <c r="W184" s="36"/>
      <c r="X184" s="36"/>
      <c r="Y184" s="36"/>
      <c r="Z184" s="36"/>
    </row>
    <row r="185" ht="15.75" customHeight="1">
      <c r="A185" s="36"/>
      <c r="B185" s="36"/>
      <c r="C185" s="36"/>
      <c r="D185" s="36"/>
      <c r="E185" s="36"/>
      <c r="F185" s="36"/>
      <c r="G185" s="36"/>
      <c r="H185" s="1"/>
      <c r="I185" s="36"/>
      <c r="J185" s="36"/>
      <c r="K185" s="36"/>
      <c r="L185" s="36"/>
      <c r="M185" s="36"/>
      <c r="N185" s="36"/>
      <c r="O185" s="36"/>
      <c r="P185" s="36"/>
      <c r="Q185" s="36"/>
      <c r="R185" s="36"/>
      <c r="S185" s="36"/>
      <c r="T185" s="36"/>
      <c r="U185" s="36"/>
      <c r="V185" s="36"/>
      <c r="W185" s="36"/>
      <c r="X185" s="36"/>
      <c r="Y185" s="36"/>
      <c r="Z185" s="36"/>
    </row>
    <row r="186" ht="15.75" customHeight="1">
      <c r="A186" s="36"/>
      <c r="B186" s="36"/>
      <c r="C186" s="36"/>
      <c r="D186" s="36"/>
      <c r="E186" s="36"/>
      <c r="F186" s="36"/>
      <c r="G186" s="36"/>
      <c r="H186" s="1"/>
      <c r="I186" s="36"/>
      <c r="J186" s="36"/>
      <c r="K186" s="36"/>
      <c r="L186" s="36"/>
      <c r="M186" s="36"/>
      <c r="N186" s="36"/>
      <c r="O186" s="36"/>
      <c r="P186" s="36"/>
      <c r="Q186" s="36"/>
      <c r="R186" s="36"/>
      <c r="S186" s="36"/>
      <c r="T186" s="36"/>
      <c r="U186" s="36"/>
      <c r="V186" s="36"/>
      <c r="W186" s="36"/>
      <c r="X186" s="36"/>
      <c r="Y186" s="36"/>
      <c r="Z186" s="36"/>
    </row>
    <row r="187" ht="15.75" customHeight="1">
      <c r="H187" s="1"/>
    </row>
    <row r="188" ht="15.75" customHeight="1">
      <c r="H188" s="1"/>
    </row>
    <row r="189" ht="15.75" customHeight="1">
      <c r="H189" s="1"/>
    </row>
    <row r="190" ht="15.75" customHeight="1">
      <c r="H190" s="1"/>
    </row>
    <row r="191" ht="15.75" customHeight="1">
      <c r="H191" s="1"/>
    </row>
    <row r="192" ht="15.75" customHeight="1">
      <c r="H192" s="1"/>
    </row>
    <row r="193" ht="15.75" customHeight="1">
      <c r="H193" s="1"/>
    </row>
    <row r="194" ht="15.75" customHeight="1">
      <c r="H194" s="1"/>
    </row>
    <row r="195" ht="15.75" customHeight="1">
      <c r="H195" s="1"/>
    </row>
    <row r="196" ht="15.75" customHeight="1">
      <c r="H196" s="1"/>
    </row>
    <row r="197" ht="15.75" customHeight="1">
      <c r="H197" s="1"/>
    </row>
    <row r="198" ht="15.75" customHeight="1">
      <c r="H198" s="1"/>
    </row>
    <row r="199" ht="15.75" customHeight="1">
      <c r="H199" s="1"/>
    </row>
    <row r="200" ht="15.75" customHeight="1">
      <c r="H200" s="1"/>
    </row>
    <row r="201" ht="15.75" customHeight="1">
      <c r="H201" s="1"/>
    </row>
    <row r="202" ht="15.75" customHeight="1">
      <c r="H202" s="1"/>
    </row>
    <row r="203" ht="15.75" customHeight="1">
      <c r="H203" s="1"/>
    </row>
    <row r="204" ht="15.75" customHeight="1">
      <c r="H204" s="1"/>
    </row>
    <row r="205" ht="15.75" customHeight="1">
      <c r="H205" s="1"/>
    </row>
    <row r="206" ht="15.75" customHeight="1">
      <c r="H206" s="1"/>
    </row>
    <row r="207" ht="15.75" customHeight="1">
      <c r="H207" s="1"/>
    </row>
    <row r="208" ht="15.75" customHeight="1">
      <c r="H208" s="1"/>
    </row>
    <row r="209" ht="15.75" customHeight="1">
      <c r="H209" s="1"/>
    </row>
    <row r="210" ht="15.75" customHeight="1">
      <c r="H210" s="1"/>
    </row>
    <row r="211" ht="15.75" customHeight="1">
      <c r="H211" s="1"/>
    </row>
    <row r="212" ht="15.75" customHeight="1">
      <c r="H212" s="1"/>
    </row>
    <row r="213" ht="15.75" customHeight="1">
      <c r="H213" s="1"/>
    </row>
    <row r="214" ht="15.75" customHeight="1">
      <c r="H214" s="1"/>
    </row>
    <row r="215" ht="15.75" customHeight="1">
      <c r="H215" s="1"/>
    </row>
    <row r="216" ht="15.75" customHeight="1">
      <c r="H216" s="1"/>
    </row>
    <row r="217" ht="15.75" customHeight="1">
      <c r="H217" s="1"/>
    </row>
    <row r="218" ht="15.75" customHeight="1">
      <c r="H218" s="1"/>
    </row>
    <row r="219" ht="15.75" customHeight="1">
      <c r="H219" s="1"/>
    </row>
    <row r="220" ht="15.75" customHeight="1">
      <c r="H220" s="1"/>
    </row>
    <row r="221" ht="15.75" customHeight="1">
      <c r="H221" s="1"/>
    </row>
    <row r="222" ht="15.75" customHeight="1">
      <c r="H222" s="1"/>
    </row>
    <row r="223" ht="15.75" customHeight="1">
      <c r="H223" s="1"/>
    </row>
    <row r="224" ht="15.75" customHeight="1">
      <c r="H224" s="1"/>
    </row>
    <row r="225" ht="15.75" customHeight="1">
      <c r="H225" s="1"/>
    </row>
    <row r="226" ht="15.75" customHeight="1">
      <c r="H226" s="1"/>
    </row>
    <row r="227" ht="15.75" customHeight="1">
      <c r="H227" s="1"/>
    </row>
    <row r="228" ht="15.75" customHeight="1">
      <c r="H228" s="1"/>
    </row>
    <row r="229" ht="15.75" customHeight="1">
      <c r="H229" s="1"/>
    </row>
    <row r="230" ht="15.75" customHeight="1">
      <c r="H230" s="1"/>
    </row>
    <row r="231" ht="15.75" customHeight="1">
      <c r="H231" s="1"/>
    </row>
    <row r="232" ht="15.75" customHeight="1">
      <c r="H232" s="1"/>
    </row>
    <row r="233" ht="15.75" customHeight="1">
      <c r="H233" s="1"/>
    </row>
    <row r="234" ht="15.75" customHeight="1">
      <c r="H234" s="1"/>
    </row>
    <row r="235" ht="15.75" customHeight="1">
      <c r="H235" s="1"/>
    </row>
    <row r="236" ht="15.75" customHeight="1">
      <c r="H236" s="1"/>
    </row>
    <row r="237" ht="15.75" customHeight="1">
      <c r="H237" s="1"/>
    </row>
    <row r="238" ht="15.75" customHeight="1">
      <c r="H238" s="1"/>
    </row>
    <row r="239" ht="15.75" customHeight="1">
      <c r="H239" s="1"/>
    </row>
    <row r="240" ht="15.75" customHeight="1">
      <c r="H240" s="1"/>
    </row>
    <row r="241" ht="15.75" customHeight="1">
      <c r="H241" s="1"/>
    </row>
    <row r="242" ht="15.75" customHeight="1">
      <c r="H242" s="1"/>
    </row>
    <row r="243" ht="15.75" customHeight="1">
      <c r="H243" s="1"/>
    </row>
    <row r="244" ht="15.75" customHeight="1">
      <c r="H244" s="1"/>
    </row>
    <row r="245" ht="15.75" customHeight="1">
      <c r="H245" s="1"/>
    </row>
    <row r="246" ht="15.75" customHeight="1">
      <c r="H246" s="1"/>
    </row>
    <row r="247" ht="15.75" customHeight="1">
      <c r="H247" s="1"/>
    </row>
    <row r="248" ht="15.75" customHeight="1">
      <c r="H248" s="1"/>
    </row>
    <row r="249" ht="15.75" customHeight="1">
      <c r="H249" s="1"/>
    </row>
    <row r="250" ht="15.75" customHeight="1">
      <c r="H250" s="1"/>
    </row>
    <row r="251" ht="15.75" customHeight="1">
      <c r="H251" s="1"/>
    </row>
    <row r="252" ht="15.75" customHeight="1">
      <c r="H252" s="1"/>
    </row>
    <row r="253" ht="15.75" customHeight="1">
      <c r="H253" s="1"/>
    </row>
    <row r="254" ht="15.75" customHeight="1">
      <c r="H254" s="1"/>
    </row>
    <row r="255" ht="15.75" customHeight="1">
      <c r="H255" s="1"/>
    </row>
    <row r="256" ht="15.75" customHeight="1">
      <c r="H256" s="1"/>
    </row>
    <row r="257" ht="15.75" customHeight="1">
      <c r="H257" s="1"/>
    </row>
    <row r="258" ht="15.75" customHeight="1">
      <c r="H258" s="1"/>
    </row>
    <row r="259" ht="15.75" customHeight="1">
      <c r="H259" s="1"/>
    </row>
    <row r="260" ht="15.75" customHeight="1">
      <c r="H260" s="1"/>
    </row>
    <row r="261" ht="15.75" customHeight="1">
      <c r="H261" s="1"/>
    </row>
    <row r="262" ht="15.75" customHeight="1">
      <c r="H262" s="1"/>
    </row>
    <row r="263" ht="15.75" customHeight="1">
      <c r="H263" s="1"/>
    </row>
    <row r="264" ht="15.75" customHeight="1">
      <c r="H264" s="1"/>
    </row>
    <row r="265" ht="15.75" customHeight="1">
      <c r="H265" s="1"/>
    </row>
    <row r="266" ht="15.75" customHeight="1">
      <c r="H266" s="1"/>
    </row>
    <row r="267" ht="15.75" customHeight="1">
      <c r="H267" s="1"/>
    </row>
    <row r="268" ht="15.75" customHeight="1">
      <c r="H268" s="1"/>
    </row>
    <row r="269" ht="15.75" customHeight="1">
      <c r="H269" s="1"/>
    </row>
    <row r="270" ht="15.75" customHeight="1">
      <c r="H270" s="1"/>
    </row>
    <row r="271" ht="15.75" customHeight="1">
      <c r="H271" s="1"/>
    </row>
    <row r="272" ht="15.75" customHeight="1">
      <c r="H272" s="1"/>
    </row>
    <row r="273" ht="15.75" customHeight="1">
      <c r="H273" s="1"/>
    </row>
    <row r="274" ht="15.75" customHeight="1">
      <c r="H274" s="1"/>
    </row>
    <row r="275" ht="15.75" customHeight="1">
      <c r="H275" s="1"/>
    </row>
    <row r="276" ht="15.75" customHeight="1">
      <c r="H276" s="1"/>
    </row>
    <row r="277" ht="15.75" customHeight="1">
      <c r="H277" s="1"/>
    </row>
    <row r="278" ht="15.75" customHeight="1">
      <c r="H278" s="1"/>
    </row>
    <row r="279" ht="15.75" customHeight="1">
      <c r="H279" s="1"/>
    </row>
    <row r="280" ht="15.75" customHeight="1">
      <c r="H280" s="1"/>
    </row>
    <row r="281" ht="15.75" customHeight="1">
      <c r="H281" s="1"/>
    </row>
    <row r="282" ht="15.75" customHeight="1">
      <c r="H282" s="1"/>
    </row>
    <row r="283" ht="15.75" customHeight="1">
      <c r="H283" s="1"/>
    </row>
    <row r="284" ht="15.75" customHeight="1">
      <c r="H284" s="1"/>
    </row>
    <row r="285" ht="15.75" customHeight="1">
      <c r="H285" s="1"/>
    </row>
    <row r="286" ht="15.75" customHeight="1">
      <c r="H286" s="1"/>
    </row>
    <row r="287" ht="15.75" customHeight="1">
      <c r="H287" s="1"/>
    </row>
    <row r="288" ht="15.75" customHeight="1">
      <c r="H288" s="1"/>
    </row>
    <row r="289" ht="15.75" customHeight="1">
      <c r="H289" s="1"/>
    </row>
    <row r="290" ht="15.75" customHeight="1">
      <c r="H290" s="1"/>
    </row>
    <row r="291" ht="15.75" customHeight="1">
      <c r="H291" s="1"/>
    </row>
    <row r="292" ht="15.75" customHeight="1">
      <c r="H292" s="1"/>
    </row>
    <row r="293" ht="15.75" customHeight="1">
      <c r="H293" s="1"/>
    </row>
    <row r="294" ht="15.75" customHeight="1">
      <c r="H294" s="1"/>
    </row>
    <row r="295" ht="15.75" customHeight="1">
      <c r="H295" s="1"/>
    </row>
    <row r="296" ht="15.75" customHeight="1">
      <c r="H296" s="1"/>
    </row>
    <row r="297" ht="15.75" customHeight="1">
      <c r="H297" s="1"/>
    </row>
    <row r="298" ht="15.75" customHeight="1">
      <c r="H298" s="1"/>
    </row>
    <row r="299" ht="15.75" customHeight="1">
      <c r="H299" s="1"/>
    </row>
    <row r="300" ht="15.75" customHeight="1">
      <c r="H300" s="1"/>
    </row>
    <row r="301" ht="15.75" customHeight="1">
      <c r="H301" s="1"/>
    </row>
    <row r="302" ht="15.75" customHeight="1">
      <c r="H302" s="1"/>
    </row>
    <row r="303" ht="15.75" customHeight="1">
      <c r="H303" s="1"/>
    </row>
    <row r="304" ht="15.75" customHeight="1">
      <c r="H304" s="1"/>
    </row>
    <row r="305" ht="15.75" customHeight="1">
      <c r="H305" s="1"/>
    </row>
    <row r="306" ht="15.75" customHeight="1">
      <c r="H306" s="1"/>
    </row>
    <row r="307" ht="15.75" customHeight="1">
      <c r="H307" s="1"/>
    </row>
    <row r="308" ht="15.75" customHeight="1">
      <c r="H308" s="1"/>
    </row>
    <row r="309" ht="15.75" customHeight="1">
      <c r="H309" s="1"/>
    </row>
    <row r="310" ht="15.75" customHeight="1">
      <c r="H310" s="1"/>
    </row>
    <row r="311" ht="15.75" customHeight="1">
      <c r="H311" s="1"/>
    </row>
    <row r="312" ht="15.75" customHeight="1">
      <c r="H312" s="1"/>
    </row>
    <row r="313" ht="15.75" customHeight="1">
      <c r="H313" s="1"/>
    </row>
    <row r="314" ht="15.75" customHeight="1">
      <c r="H314" s="1"/>
    </row>
    <row r="315" ht="15.75" customHeight="1">
      <c r="H315" s="1"/>
    </row>
    <row r="316" ht="15.75" customHeight="1">
      <c r="H316" s="1"/>
    </row>
    <row r="317" ht="15.75" customHeight="1">
      <c r="H317" s="1"/>
    </row>
    <row r="318" ht="15.75" customHeight="1">
      <c r="H318" s="1"/>
    </row>
    <row r="319" ht="15.75" customHeight="1">
      <c r="H319" s="1"/>
    </row>
    <row r="320" ht="15.75" customHeight="1">
      <c r="H320" s="1"/>
    </row>
    <row r="321" ht="15.75" customHeight="1">
      <c r="H321" s="1"/>
    </row>
    <row r="322" ht="15.75" customHeight="1">
      <c r="H322" s="1"/>
    </row>
    <row r="323" ht="15.75" customHeight="1">
      <c r="H323" s="1"/>
    </row>
    <row r="324" ht="15.75" customHeight="1">
      <c r="H324" s="1"/>
    </row>
    <row r="325" ht="15.75" customHeight="1">
      <c r="H325" s="1"/>
    </row>
    <row r="326" ht="15.75" customHeight="1">
      <c r="H326" s="1"/>
    </row>
    <row r="327" ht="15.75" customHeight="1">
      <c r="H327" s="1"/>
    </row>
    <row r="328" ht="15.75" customHeight="1">
      <c r="H328" s="1"/>
    </row>
    <row r="329" ht="15.75" customHeight="1">
      <c r="H329" s="1"/>
    </row>
    <row r="330" ht="15.75" customHeight="1">
      <c r="H330" s="1"/>
    </row>
    <row r="331" ht="15.75" customHeight="1">
      <c r="H331" s="1"/>
    </row>
    <row r="332" ht="15.75" customHeight="1">
      <c r="H332" s="1"/>
    </row>
    <row r="333" ht="15.75" customHeight="1">
      <c r="H333" s="1"/>
    </row>
    <row r="334" ht="15.75" customHeight="1">
      <c r="H334" s="1"/>
    </row>
    <row r="335" ht="15.75" customHeight="1">
      <c r="H335" s="1"/>
    </row>
    <row r="336" ht="15.75" customHeight="1">
      <c r="H336" s="1"/>
    </row>
    <row r="337" ht="15.75" customHeight="1">
      <c r="H337" s="1"/>
    </row>
    <row r="338" ht="15.75" customHeight="1">
      <c r="H338" s="1"/>
    </row>
    <row r="339" ht="15.75" customHeight="1">
      <c r="H339" s="1"/>
    </row>
    <row r="340" ht="15.75" customHeight="1">
      <c r="H340" s="1"/>
    </row>
    <row r="341" ht="15.75" customHeight="1">
      <c r="H341" s="1"/>
    </row>
    <row r="342" ht="15.75" customHeight="1">
      <c r="H342" s="1"/>
    </row>
    <row r="343" ht="15.75" customHeight="1">
      <c r="H343" s="1"/>
    </row>
    <row r="344" ht="15.75" customHeight="1">
      <c r="H344" s="1"/>
    </row>
    <row r="345" ht="15.75" customHeight="1">
      <c r="H345" s="1"/>
    </row>
    <row r="346" ht="15.75" customHeight="1">
      <c r="H346" s="1"/>
    </row>
    <row r="347" ht="15.75" customHeight="1">
      <c r="H347" s="1"/>
    </row>
    <row r="348" ht="15.75" customHeight="1">
      <c r="H348" s="1"/>
    </row>
    <row r="349" ht="15.75" customHeight="1">
      <c r="H349" s="1"/>
    </row>
    <row r="350" ht="15.75" customHeight="1">
      <c r="H350" s="1"/>
    </row>
    <row r="351" ht="15.75" customHeight="1">
      <c r="H351" s="1"/>
    </row>
    <row r="352" ht="15.75" customHeight="1">
      <c r="H352" s="1"/>
    </row>
    <row r="353" ht="15.75" customHeight="1">
      <c r="H353" s="1"/>
    </row>
    <row r="354" ht="15.75" customHeight="1">
      <c r="H354" s="1"/>
    </row>
    <row r="355" ht="15.75" customHeight="1">
      <c r="H355" s="1"/>
    </row>
    <row r="356" ht="15.75" customHeight="1">
      <c r="H356" s="1"/>
    </row>
    <row r="357" ht="15.75" customHeight="1">
      <c r="H357" s="1"/>
    </row>
    <row r="358" ht="15.75" customHeight="1">
      <c r="H358" s="1"/>
    </row>
    <row r="359" ht="15.75" customHeight="1">
      <c r="H359" s="1"/>
    </row>
    <row r="360" ht="15.75" customHeight="1">
      <c r="H360" s="1"/>
    </row>
    <row r="361" ht="15.75" customHeight="1">
      <c r="H361" s="1"/>
    </row>
    <row r="362" ht="15.75" customHeight="1">
      <c r="H362" s="1"/>
    </row>
    <row r="363" ht="15.75" customHeight="1">
      <c r="H363" s="1"/>
    </row>
    <row r="364" ht="15.75" customHeight="1">
      <c r="H364" s="1"/>
    </row>
    <row r="365" ht="15.75" customHeight="1">
      <c r="H365" s="1"/>
    </row>
    <row r="366" ht="15.75" customHeight="1">
      <c r="H366" s="1"/>
    </row>
    <row r="367" ht="15.75" customHeight="1">
      <c r="H367" s="1"/>
    </row>
    <row r="368" ht="15.75" customHeight="1">
      <c r="H368" s="1"/>
    </row>
    <row r="369" ht="15.75" customHeight="1">
      <c r="H369" s="1"/>
    </row>
    <row r="370" ht="15.75" customHeight="1">
      <c r="H370" s="1"/>
    </row>
    <row r="371" ht="15.75" customHeight="1">
      <c r="H371" s="1"/>
    </row>
    <row r="372" ht="15.75" customHeight="1">
      <c r="H372" s="1"/>
    </row>
    <row r="373" ht="15.75" customHeight="1">
      <c r="H373" s="1"/>
    </row>
    <row r="374" ht="15.75" customHeight="1">
      <c r="H374" s="1"/>
    </row>
    <row r="375" ht="15.75" customHeight="1">
      <c r="H375" s="1"/>
    </row>
    <row r="376" ht="15.75" customHeight="1">
      <c r="H376" s="1"/>
    </row>
    <row r="377" ht="15.75" customHeight="1">
      <c r="H377" s="1"/>
    </row>
    <row r="378" ht="15.75" customHeight="1">
      <c r="H378" s="1"/>
    </row>
    <row r="379" ht="15.75" customHeight="1">
      <c r="H379" s="1"/>
    </row>
    <row r="380" ht="15.75" customHeight="1">
      <c r="H380" s="1"/>
    </row>
    <row r="381" ht="15.75" customHeight="1">
      <c r="H381" s="1"/>
    </row>
    <row r="382" ht="15.75" customHeight="1">
      <c r="H382" s="1"/>
    </row>
    <row r="383" ht="15.75" customHeight="1">
      <c r="H383" s="1"/>
    </row>
    <row r="384" ht="15.75" customHeight="1">
      <c r="H384" s="1"/>
    </row>
    <row r="385" ht="15.75" customHeight="1">
      <c r="H385" s="1"/>
    </row>
    <row r="386" ht="15.75" customHeight="1">
      <c r="H386" s="1"/>
    </row>
    <row r="387" ht="15.75" customHeight="1">
      <c r="H387" s="1"/>
    </row>
    <row r="388" ht="15.75" customHeight="1">
      <c r="H388" s="1"/>
    </row>
    <row r="389" ht="15.75" customHeight="1">
      <c r="H389" s="1"/>
    </row>
    <row r="390" ht="15.75" customHeight="1">
      <c r="H390" s="1"/>
    </row>
    <row r="391" ht="15.75" customHeight="1">
      <c r="H391" s="1"/>
    </row>
    <row r="392" ht="15.75" customHeight="1">
      <c r="H392" s="1"/>
    </row>
    <row r="393" ht="15.75" customHeight="1">
      <c r="H393" s="1"/>
    </row>
    <row r="394" ht="15.75" customHeight="1">
      <c r="H394" s="1"/>
    </row>
    <row r="395" ht="15.75" customHeight="1">
      <c r="H395" s="1"/>
    </row>
    <row r="396" ht="15.75" customHeight="1">
      <c r="H396" s="1"/>
    </row>
    <row r="397" ht="15.75" customHeight="1">
      <c r="H397" s="1"/>
    </row>
    <row r="398" ht="15.75" customHeight="1">
      <c r="H398" s="1"/>
    </row>
    <row r="399" ht="15.75" customHeight="1">
      <c r="H399" s="1"/>
    </row>
    <row r="400" ht="15.75" customHeight="1">
      <c r="H400" s="1"/>
    </row>
    <row r="401" ht="15.75" customHeight="1">
      <c r="H401" s="1"/>
    </row>
    <row r="402" ht="15.75" customHeight="1">
      <c r="H402" s="1"/>
    </row>
    <row r="403" ht="15.75" customHeight="1">
      <c r="H403" s="1"/>
    </row>
    <row r="404" ht="15.75" customHeight="1">
      <c r="H404" s="1"/>
    </row>
    <row r="405" ht="15.75" customHeight="1">
      <c r="H405" s="1"/>
    </row>
    <row r="406" ht="15.75" customHeight="1">
      <c r="H406" s="1"/>
    </row>
    <row r="407" ht="15.75" customHeight="1">
      <c r="H407" s="1"/>
    </row>
    <row r="408" ht="15.75" customHeight="1">
      <c r="H408" s="1"/>
    </row>
    <row r="409" ht="15.75" customHeight="1">
      <c r="H409" s="1"/>
    </row>
    <row r="410" ht="15.75" customHeight="1">
      <c r="H410" s="1"/>
    </row>
    <row r="411" ht="15.75" customHeight="1">
      <c r="H411" s="1"/>
    </row>
    <row r="412" ht="15.75" customHeight="1">
      <c r="H412" s="1"/>
    </row>
    <row r="413" ht="15.75" customHeight="1">
      <c r="H413" s="1"/>
    </row>
    <row r="414" ht="15.75" customHeight="1">
      <c r="H414" s="1"/>
    </row>
    <row r="415" ht="15.75" customHeight="1">
      <c r="H415" s="1"/>
    </row>
    <row r="416" ht="15.75" customHeight="1">
      <c r="H416" s="1"/>
    </row>
    <row r="417" ht="15.75" customHeight="1">
      <c r="H417" s="1"/>
    </row>
    <row r="418" ht="15.75" customHeight="1">
      <c r="H418" s="1"/>
    </row>
    <row r="419" ht="15.75" customHeight="1">
      <c r="H419" s="1"/>
    </row>
    <row r="420" ht="15.75" customHeight="1">
      <c r="H420" s="1"/>
    </row>
    <row r="421" ht="15.75" customHeight="1">
      <c r="H421" s="1"/>
    </row>
    <row r="422" ht="15.75" customHeight="1">
      <c r="H422" s="1"/>
    </row>
    <row r="423" ht="15.75" customHeight="1">
      <c r="H423" s="1"/>
    </row>
    <row r="424" ht="15.75" customHeight="1">
      <c r="H424" s="1"/>
    </row>
    <row r="425" ht="15.75" customHeight="1">
      <c r="H425" s="1"/>
    </row>
    <row r="426" ht="15.75" customHeight="1">
      <c r="H426" s="1"/>
    </row>
    <row r="427" ht="15.75" customHeight="1">
      <c r="H427" s="1"/>
    </row>
    <row r="428" ht="15.75" customHeight="1">
      <c r="H428" s="1"/>
    </row>
    <row r="429" ht="15.75" customHeight="1">
      <c r="H429" s="1"/>
    </row>
    <row r="430" ht="15.75" customHeight="1">
      <c r="H430" s="1"/>
    </row>
    <row r="431" ht="15.75" customHeight="1">
      <c r="H431" s="1"/>
    </row>
    <row r="432" ht="15.75" customHeight="1">
      <c r="H432" s="1"/>
    </row>
    <row r="433" ht="15.75" customHeight="1">
      <c r="H433" s="1"/>
    </row>
    <row r="434" ht="15.75" customHeight="1">
      <c r="H434" s="1"/>
    </row>
    <row r="435" ht="15.75" customHeight="1">
      <c r="H435" s="1"/>
    </row>
    <row r="436" ht="15.75" customHeight="1">
      <c r="H436" s="1"/>
    </row>
    <row r="437" ht="15.75" customHeight="1">
      <c r="H437" s="1"/>
    </row>
    <row r="438" ht="15.75" customHeight="1">
      <c r="H438" s="1"/>
    </row>
    <row r="439" ht="15.75" customHeight="1">
      <c r="H439" s="1"/>
    </row>
    <row r="440" ht="15.75" customHeight="1">
      <c r="H440" s="1"/>
    </row>
    <row r="441" ht="15.75" customHeight="1">
      <c r="H441" s="1"/>
    </row>
    <row r="442" ht="15.75" customHeight="1">
      <c r="H442" s="1"/>
    </row>
    <row r="443" ht="15.75" customHeight="1">
      <c r="H443" s="1"/>
    </row>
    <row r="444" ht="15.75" customHeight="1">
      <c r="H444" s="1"/>
    </row>
    <row r="445" ht="15.75" customHeight="1">
      <c r="H445" s="1"/>
    </row>
    <row r="446" ht="15.75" customHeight="1">
      <c r="H446" s="1"/>
    </row>
    <row r="447" ht="15.75" customHeight="1">
      <c r="H447" s="1"/>
    </row>
    <row r="448" ht="15.75" customHeight="1">
      <c r="H448" s="1"/>
    </row>
    <row r="449" ht="15.75" customHeight="1">
      <c r="H449" s="1"/>
    </row>
    <row r="450" ht="15.75" customHeight="1">
      <c r="H450" s="1"/>
    </row>
    <row r="451" ht="15.75" customHeight="1">
      <c r="H451" s="1"/>
    </row>
    <row r="452" ht="15.75" customHeight="1">
      <c r="H452" s="1"/>
    </row>
    <row r="453" ht="15.75" customHeight="1">
      <c r="H453" s="1"/>
    </row>
    <row r="454" ht="15.75" customHeight="1">
      <c r="H454" s="1"/>
    </row>
    <row r="455" ht="15.75" customHeight="1">
      <c r="H455" s="1"/>
    </row>
    <row r="456" ht="15.75" customHeight="1">
      <c r="H456" s="1"/>
    </row>
    <row r="457" ht="15.75" customHeight="1">
      <c r="H457" s="1"/>
    </row>
    <row r="458" ht="15.75" customHeight="1">
      <c r="H458" s="1"/>
    </row>
    <row r="459" ht="15.75" customHeight="1">
      <c r="H459" s="1"/>
    </row>
    <row r="460" ht="15.75" customHeight="1">
      <c r="H460" s="1"/>
    </row>
    <row r="461" ht="15.75" customHeight="1">
      <c r="H461" s="1"/>
    </row>
    <row r="462" ht="15.75" customHeight="1">
      <c r="H462" s="1"/>
    </row>
    <row r="463" ht="15.75" customHeight="1">
      <c r="H463" s="1"/>
    </row>
    <row r="464" ht="15.75" customHeight="1">
      <c r="H464" s="1"/>
    </row>
    <row r="465" ht="15.75" customHeight="1">
      <c r="H465" s="1"/>
    </row>
    <row r="466" ht="15.75" customHeight="1">
      <c r="H466" s="1"/>
    </row>
    <row r="467" ht="15.75" customHeight="1">
      <c r="H467" s="1"/>
    </row>
    <row r="468" ht="15.75" customHeight="1">
      <c r="H468" s="1"/>
    </row>
    <row r="469" ht="15.75" customHeight="1">
      <c r="H469" s="1"/>
    </row>
    <row r="470" ht="15.75" customHeight="1">
      <c r="H470" s="1"/>
    </row>
    <row r="471" ht="15.75" customHeight="1">
      <c r="H471" s="1"/>
    </row>
    <row r="472" ht="15.75" customHeight="1">
      <c r="H472" s="1"/>
    </row>
    <row r="473" ht="15.75" customHeight="1">
      <c r="H473" s="1"/>
    </row>
    <row r="474" ht="15.75" customHeight="1">
      <c r="H474" s="1"/>
    </row>
    <row r="475" ht="15.75" customHeight="1">
      <c r="H475" s="1"/>
    </row>
    <row r="476" ht="15.75" customHeight="1">
      <c r="H476" s="1"/>
    </row>
    <row r="477" ht="15.75" customHeight="1">
      <c r="H477" s="1"/>
    </row>
    <row r="478" ht="15.75" customHeight="1">
      <c r="H478" s="1"/>
    </row>
    <row r="479" ht="15.75" customHeight="1">
      <c r="H479" s="1"/>
    </row>
    <row r="480" ht="15.75" customHeight="1">
      <c r="H480" s="1"/>
    </row>
    <row r="481" ht="15.75" customHeight="1">
      <c r="H481" s="1"/>
    </row>
    <row r="482" ht="15.75" customHeight="1">
      <c r="H482" s="1"/>
    </row>
    <row r="483" ht="15.75" customHeight="1">
      <c r="H483" s="1"/>
    </row>
    <row r="484" ht="15.75" customHeight="1">
      <c r="H484" s="1"/>
    </row>
    <row r="485" ht="15.75" customHeight="1">
      <c r="H485" s="1"/>
    </row>
    <row r="486" ht="15.75" customHeight="1">
      <c r="H486" s="1"/>
    </row>
    <row r="487" ht="15.75" customHeight="1">
      <c r="H487" s="1"/>
    </row>
    <row r="488" ht="15.75" customHeight="1">
      <c r="H488" s="1"/>
    </row>
    <row r="489" ht="15.75" customHeight="1">
      <c r="H489" s="1"/>
    </row>
    <row r="490" ht="15.75" customHeight="1">
      <c r="H490" s="1"/>
    </row>
    <row r="491" ht="15.75" customHeight="1">
      <c r="H491" s="1"/>
    </row>
    <row r="492" ht="15.75" customHeight="1">
      <c r="H492" s="1"/>
    </row>
    <row r="493" ht="15.75" customHeight="1">
      <c r="H493" s="1"/>
    </row>
    <row r="494" ht="15.75" customHeight="1">
      <c r="H494" s="1"/>
    </row>
    <row r="495" ht="15.75" customHeight="1">
      <c r="H495" s="1"/>
    </row>
    <row r="496" ht="15.75" customHeight="1">
      <c r="H496" s="1"/>
    </row>
    <row r="497" ht="15.75" customHeight="1">
      <c r="H497" s="1"/>
    </row>
    <row r="498" ht="15.75" customHeight="1">
      <c r="H498" s="1"/>
    </row>
    <row r="499" ht="15.75" customHeight="1">
      <c r="H499" s="1"/>
    </row>
    <row r="500" ht="15.75" customHeight="1">
      <c r="H500" s="1"/>
    </row>
    <row r="501" ht="15.75" customHeight="1">
      <c r="H501" s="1"/>
    </row>
    <row r="502" ht="15.75" customHeight="1">
      <c r="H502" s="1"/>
    </row>
    <row r="503" ht="15.75" customHeight="1">
      <c r="H503" s="1"/>
    </row>
    <row r="504" ht="15.75" customHeight="1">
      <c r="H504" s="1"/>
    </row>
    <row r="505" ht="15.75" customHeight="1">
      <c r="H505" s="1"/>
    </row>
    <row r="506" ht="15.75" customHeight="1">
      <c r="H506" s="1"/>
    </row>
    <row r="507" ht="15.75" customHeight="1">
      <c r="H507" s="1"/>
    </row>
    <row r="508" ht="15.75" customHeight="1">
      <c r="H508" s="1"/>
    </row>
    <row r="509" ht="15.75" customHeight="1">
      <c r="H509" s="1"/>
    </row>
    <row r="510" ht="15.75" customHeight="1">
      <c r="H510" s="1"/>
    </row>
    <row r="511" ht="15.75" customHeight="1">
      <c r="H511" s="1"/>
    </row>
    <row r="512" ht="15.75" customHeight="1">
      <c r="H512" s="1"/>
    </row>
    <row r="513" ht="15.75" customHeight="1">
      <c r="H513" s="1"/>
    </row>
    <row r="514" ht="15.75" customHeight="1">
      <c r="H514" s="1"/>
    </row>
    <row r="515" ht="15.75" customHeight="1">
      <c r="H515" s="1"/>
    </row>
    <row r="516" ht="15.75" customHeight="1">
      <c r="H516" s="1"/>
    </row>
    <row r="517" ht="15.75" customHeight="1">
      <c r="H517" s="1"/>
    </row>
    <row r="518" ht="15.75" customHeight="1">
      <c r="H518" s="1"/>
    </row>
    <row r="519" ht="15.75" customHeight="1">
      <c r="H519" s="1"/>
    </row>
    <row r="520" ht="15.75" customHeight="1">
      <c r="H520" s="1"/>
    </row>
    <row r="521" ht="15.75" customHeight="1">
      <c r="H521" s="1"/>
    </row>
    <row r="522" ht="15.75" customHeight="1">
      <c r="H522" s="1"/>
    </row>
    <row r="523" ht="15.75" customHeight="1">
      <c r="H523" s="1"/>
    </row>
    <row r="524" ht="15.75" customHeight="1">
      <c r="H524" s="1"/>
    </row>
    <row r="525" ht="15.75" customHeight="1">
      <c r="H525" s="1"/>
    </row>
    <row r="526" ht="15.75" customHeight="1">
      <c r="H526" s="1"/>
    </row>
    <row r="527" ht="15.75" customHeight="1">
      <c r="H527" s="1"/>
    </row>
    <row r="528" ht="15.75" customHeight="1">
      <c r="H528" s="1"/>
    </row>
    <row r="529" ht="15.75" customHeight="1">
      <c r="H529" s="1"/>
    </row>
    <row r="530" ht="15.75" customHeight="1">
      <c r="H530" s="1"/>
    </row>
    <row r="531" ht="15.75" customHeight="1">
      <c r="H531" s="1"/>
    </row>
    <row r="532" ht="15.75" customHeight="1">
      <c r="H532" s="1"/>
    </row>
    <row r="533" ht="15.75" customHeight="1">
      <c r="H533" s="1"/>
    </row>
    <row r="534" ht="15.75" customHeight="1">
      <c r="H534" s="1"/>
    </row>
    <row r="535" ht="15.75" customHeight="1">
      <c r="H535" s="1"/>
    </row>
    <row r="536" ht="15.75" customHeight="1">
      <c r="H536" s="1"/>
    </row>
    <row r="537" ht="15.75" customHeight="1">
      <c r="H537" s="1"/>
    </row>
    <row r="538" ht="15.75" customHeight="1">
      <c r="H538" s="1"/>
    </row>
    <row r="539" ht="15.75" customHeight="1">
      <c r="H539" s="1"/>
    </row>
    <row r="540" ht="15.75" customHeight="1">
      <c r="H540" s="1"/>
    </row>
    <row r="541" ht="15.75" customHeight="1">
      <c r="H541" s="1"/>
    </row>
    <row r="542" ht="15.75" customHeight="1">
      <c r="H542" s="1"/>
    </row>
    <row r="543" ht="15.75" customHeight="1">
      <c r="H543" s="1"/>
    </row>
    <row r="544" ht="15.75" customHeight="1">
      <c r="H544" s="1"/>
    </row>
    <row r="545" ht="15.75" customHeight="1">
      <c r="H545" s="1"/>
    </row>
    <row r="546" ht="15.75" customHeight="1">
      <c r="H546" s="1"/>
    </row>
    <row r="547" ht="15.75" customHeight="1">
      <c r="H547" s="1"/>
    </row>
    <row r="548" ht="15.75" customHeight="1">
      <c r="H548" s="1"/>
    </row>
    <row r="549" ht="15.75" customHeight="1">
      <c r="H549" s="1"/>
    </row>
    <row r="550" ht="15.75" customHeight="1">
      <c r="H550" s="1"/>
    </row>
    <row r="551" ht="15.75" customHeight="1">
      <c r="H551" s="1"/>
    </row>
    <row r="552" ht="15.75" customHeight="1">
      <c r="H552" s="1"/>
    </row>
    <row r="553" ht="15.75" customHeight="1">
      <c r="H553" s="1"/>
    </row>
    <row r="554" ht="15.75" customHeight="1">
      <c r="H554" s="1"/>
    </row>
    <row r="555" ht="15.75" customHeight="1">
      <c r="H555" s="1"/>
    </row>
    <row r="556" ht="15.75" customHeight="1">
      <c r="H556" s="1"/>
    </row>
    <row r="557" ht="15.75" customHeight="1">
      <c r="H557" s="1"/>
    </row>
    <row r="558" ht="15.75" customHeight="1">
      <c r="H558" s="1"/>
    </row>
    <row r="559" ht="15.75" customHeight="1">
      <c r="H559" s="1"/>
    </row>
    <row r="560" ht="15.75" customHeight="1">
      <c r="H560" s="1"/>
    </row>
    <row r="561" ht="15.75" customHeight="1">
      <c r="H561" s="1"/>
    </row>
    <row r="562" ht="15.75" customHeight="1">
      <c r="H562" s="1"/>
    </row>
    <row r="563" ht="15.75" customHeight="1">
      <c r="H563" s="1"/>
    </row>
    <row r="564" ht="15.75" customHeight="1">
      <c r="H564" s="1"/>
    </row>
    <row r="565" ht="15.75" customHeight="1">
      <c r="H565" s="1"/>
    </row>
    <row r="566" ht="15.75" customHeight="1">
      <c r="H566" s="1"/>
    </row>
    <row r="567" ht="15.75" customHeight="1">
      <c r="H567" s="1"/>
    </row>
    <row r="568" ht="15.75" customHeight="1">
      <c r="H568" s="1"/>
    </row>
    <row r="569" ht="15.75" customHeight="1">
      <c r="H569" s="1"/>
    </row>
    <row r="570" ht="15.75" customHeight="1">
      <c r="H570" s="1"/>
    </row>
    <row r="571" ht="15.75" customHeight="1">
      <c r="H571" s="1"/>
    </row>
    <row r="572" ht="15.75" customHeight="1">
      <c r="H572" s="1"/>
    </row>
    <row r="573" ht="15.75" customHeight="1">
      <c r="H573" s="1"/>
    </row>
    <row r="574" ht="15.75" customHeight="1">
      <c r="H574" s="1"/>
    </row>
    <row r="575" ht="15.75" customHeight="1">
      <c r="H575" s="1"/>
    </row>
    <row r="576" ht="15.75" customHeight="1">
      <c r="H576" s="1"/>
    </row>
    <row r="577" ht="15.75" customHeight="1">
      <c r="H577" s="1"/>
    </row>
    <row r="578" ht="15.75" customHeight="1">
      <c r="H578" s="1"/>
    </row>
    <row r="579" ht="15.75" customHeight="1">
      <c r="H579" s="1"/>
    </row>
    <row r="580" ht="15.75" customHeight="1">
      <c r="H580" s="1"/>
    </row>
    <row r="581" ht="15.75" customHeight="1">
      <c r="H581" s="1"/>
    </row>
    <row r="582" ht="15.75" customHeight="1">
      <c r="H582" s="1"/>
    </row>
    <row r="583" ht="15.75" customHeight="1">
      <c r="H583" s="1"/>
    </row>
    <row r="584" ht="15.75" customHeight="1">
      <c r="H584" s="1"/>
    </row>
    <row r="585" ht="15.75" customHeight="1">
      <c r="H585" s="1"/>
    </row>
    <row r="586" ht="15.75" customHeight="1">
      <c r="H586" s="1"/>
    </row>
    <row r="587" ht="15.75" customHeight="1">
      <c r="H587" s="1"/>
    </row>
    <row r="588" ht="15.75" customHeight="1">
      <c r="H588" s="1"/>
    </row>
    <row r="589" ht="15.75" customHeight="1">
      <c r="H589" s="1"/>
    </row>
    <row r="590" ht="15.75" customHeight="1">
      <c r="H590" s="1"/>
    </row>
    <row r="591" ht="15.75" customHeight="1">
      <c r="H591" s="1"/>
    </row>
    <row r="592" ht="15.75" customHeight="1">
      <c r="H592" s="1"/>
    </row>
    <row r="593" ht="15.75" customHeight="1">
      <c r="H593" s="1"/>
    </row>
    <row r="594" ht="15.75" customHeight="1">
      <c r="H594" s="1"/>
    </row>
    <row r="595" ht="15.75" customHeight="1">
      <c r="H595" s="1"/>
    </row>
    <row r="596" ht="15.75" customHeight="1">
      <c r="H596" s="1"/>
    </row>
    <row r="597" ht="15.75" customHeight="1">
      <c r="H597" s="1"/>
    </row>
    <row r="598" ht="15.75" customHeight="1">
      <c r="H598" s="1"/>
    </row>
    <row r="599" ht="15.75" customHeight="1">
      <c r="H599" s="1"/>
    </row>
    <row r="600" ht="15.75" customHeight="1">
      <c r="H600" s="1"/>
    </row>
    <row r="601" ht="15.75" customHeight="1">
      <c r="H601" s="1"/>
    </row>
    <row r="602" ht="15.75" customHeight="1">
      <c r="H602" s="1"/>
    </row>
    <row r="603" ht="15.75" customHeight="1">
      <c r="H603" s="1"/>
    </row>
    <row r="604" ht="15.75" customHeight="1">
      <c r="H604" s="1"/>
    </row>
    <row r="605" ht="15.75" customHeight="1">
      <c r="H605" s="1"/>
    </row>
    <row r="606" ht="15.75" customHeight="1">
      <c r="H606" s="1"/>
    </row>
    <row r="607" ht="15.75" customHeight="1">
      <c r="H607" s="1"/>
    </row>
    <row r="608" ht="15.75" customHeight="1">
      <c r="H608" s="1"/>
    </row>
    <row r="609" ht="15.75" customHeight="1">
      <c r="H609" s="1"/>
    </row>
    <row r="610" ht="15.75" customHeight="1">
      <c r="H610" s="1"/>
    </row>
    <row r="611" ht="15.75" customHeight="1">
      <c r="H611" s="1"/>
    </row>
    <row r="612" ht="15.75" customHeight="1">
      <c r="H612" s="1"/>
    </row>
    <row r="613" ht="15.75" customHeight="1">
      <c r="H613" s="1"/>
    </row>
    <row r="614" ht="15.75" customHeight="1">
      <c r="H614" s="1"/>
    </row>
    <row r="615" ht="15.75" customHeight="1">
      <c r="H615" s="1"/>
    </row>
    <row r="616" ht="15.75" customHeight="1">
      <c r="H616" s="1"/>
    </row>
    <row r="617" ht="15.75" customHeight="1">
      <c r="H617" s="1"/>
    </row>
    <row r="618" ht="15.75" customHeight="1">
      <c r="H618" s="1"/>
    </row>
    <row r="619" ht="15.75" customHeight="1">
      <c r="H619" s="1"/>
    </row>
    <row r="620" ht="15.75" customHeight="1">
      <c r="H620" s="1"/>
    </row>
    <row r="621" ht="15.75" customHeight="1">
      <c r="H621" s="1"/>
    </row>
    <row r="622" ht="15.75" customHeight="1">
      <c r="H622" s="1"/>
    </row>
    <row r="623" ht="15.75" customHeight="1">
      <c r="H623" s="1"/>
    </row>
    <row r="624" ht="15.75" customHeight="1">
      <c r="H624" s="1"/>
    </row>
    <row r="625" ht="15.75" customHeight="1">
      <c r="H625" s="1"/>
    </row>
    <row r="626" ht="15.75" customHeight="1">
      <c r="H626" s="1"/>
    </row>
    <row r="627" ht="15.75" customHeight="1">
      <c r="H627" s="1"/>
    </row>
    <row r="628" ht="15.75" customHeight="1">
      <c r="H628" s="1"/>
    </row>
    <row r="629" ht="15.75" customHeight="1">
      <c r="H629" s="1"/>
    </row>
    <row r="630" ht="15.75" customHeight="1">
      <c r="H630" s="1"/>
    </row>
    <row r="631" ht="15.75" customHeight="1">
      <c r="H631" s="1"/>
    </row>
    <row r="632" ht="15.75" customHeight="1">
      <c r="H632" s="1"/>
    </row>
    <row r="633" ht="15.75" customHeight="1">
      <c r="H633" s="1"/>
    </row>
    <row r="634" ht="15.75" customHeight="1">
      <c r="H634" s="1"/>
    </row>
    <row r="635" ht="15.75" customHeight="1">
      <c r="H635" s="1"/>
    </row>
    <row r="636" ht="15.75" customHeight="1">
      <c r="H636" s="1"/>
    </row>
    <row r="637" ht="15.75" customHeight="1">
      <c r="H637" s="1"/>
    </row>
    <row r="638" ht="15.75" customHeight="1">
      <c r="H638" s="1"/>
    </row>
    <row r="639" ht="15.75" customHeight="1">
      <c r="H639" s="1"/>
    </row>
    <row r="640" ht="15.75" customHeight="1">
      <c r="H640" s="1"/>
    </row>
    <row r="641" ht="15.75" customHeight="1">
      <c r="H641" s="1"/>
    </row>
    <row r="642" ht="15.75" customHeight="1">
      <c r="H642" s="1"/>
    </row>
    <row r="643" ht="15.75" customHeight="1">
      <c r="H643" s="1"/>
    </row>
    <row r="644" ht="15.75" customHeight="1">
      <c r="H644" s="1"/>
    </row>
    <row r="645" ht="15.75" customHeight="1">
      <c r="H645" s="1"/>
    </row>
    <row r="646" ht="15.75" customHeight="1">
      <c r="H646" s="1"/>
    </row>
    <row r="647" ht="15.75" customHeight="1">
      <c r="H647" s="1"/>
    </row>
    <row r="648" ht="15.75" customHeight="1">
      <c r="H648" s="1"/>
    </row>
    <row r="649" ht="15.75" customHeight="1">
      <c r="H649" s="1"/>
    </row>
    <row r="650" ht="15.75" customHeight="1">
      <c r="H650" s="1"/>
    </row>
    <row r="651" ht="15.75" customHeight="1">
      <c r="H651" s="1"/>
    </row>
    <row r="652" ht="15.75" customHeight="1">
      <c r="H652" s="1"/>
    </row>
    <row r="653" ht="15.75" customHeight="1">
      <c r="H653" s="1"/>
    </row>
    <row r="654" ht="15.75" customHeight="1">
      <c r="H654" s="1"/>
    </row>
    <row r="655" ht="15.75" customHeight="1">
      <c r="H655" s="1"/>
    </row>
    <row r="656" ht="15.75" customHeight="1">
      <c r="H656" s="1"/>
    </row>
    <row r="657" ht="15.75" customHeight="1">
      <c r="H657" s="1"/>
    </row>
    <row r="658" ht="15.75" customHeight="1">
      <c r="H658" s="1"/>
    </row>
    <row r="659" ht="15.75" customHeight="1">
      <c r="H659" s="1"/>
    </row>
    <row r="660" ht="15.75" customHeight="1">
      <c r="H660" s="1"/>
    </row>
    <row r="661" ht="15.75" customHeight="1">
      <c r="H661" s="1"/>
    </row>
    <row r="662" ht="15.75" customHeight="1">
      <c r="H662" s="1"/>
    </row>
    <row r="663" ht="15.75" customHeight="1">
      <c r="H663" s="1"/>
    </row>
    <row r="664" ht="15.75" customHeight="1">
      <c r="H664" s="1"/>
    </row>
    <row r="665" ht="15.75" customHeight="1">
      <c r="H665" s="1"/>
    </row>
    <row r="666" ht="15.75" customHeight="1">
      <c r="H666" s="1"/>
    </row>
    <row r="667" ht="15.75" customHeight="1">
      <c r="H667" s="1"/>
    </row>
    <row r="668" ht="15.75" customHeight="1">
      <c r="H668" s="1"/>
    </row>
    <row r="669" ht="15.75" customHeight="1">
      <c r="H669" s="1"/>
    </row>
    <row r="670" ht="15.75" customHeight="1">
      <c r="H670" s="1"/>
    </row>
    <row r="671" ht="15.75" customHeight="1">
      <c r="H671" s="1"/>
    </row>
    <row r="672" ht="15.75" customHeight="1">
      <c r="H672" s="1"/>
    </row>
    <row r="673" ht="15.75" customHeight="1">
      <c r="H673" s="1"/>
    </row>
    <row r="674" ht="15.75" customHeight="1">
      <c r="H674" s="1"/>
    </row>
    <row r="675" ht="15.75" customHeight="1">
      <c r="H675" s="1"/>
    </row>
    <row r="676" ht="15.75" customHeight="1">
      <c r="H676" s="1"/>
    </row>
    <row r="677" ht="15.75" customHeight="1">
      <c r="H677" s="1"/>
    </row>
    <row r="678" ht="15.75" customHeight="1">
      <c r="H678" s="1"/>
    </row>
    <row r="679" ht="15.75" customHeight="1">
      <c r="H679" s="1"/>
    </row>
    <row r="680" ht="15.75" customHeight="1">
      <c r="H680" s="1"/>
    </row>
    <row r="681" ht="15.75" customHeight="1">
      <c r="H681" s="1"/>
    </row>
    <row r="682" ht="15.75" customHeight="1">
      <c r="H682" s="1"/>
    </row>
    <row r="683" ht="15.75" customHeight="1">
      <c r="H683" s="1"/>
    </row>
    <row r="684" ht="15.75" customHeight="1">
      <c r="H684" s="1"/>
    </row>
    <row r="685" ht="15.75" customHeight="1">
      <c r="H685" s="1"/>
    </row>
    <row r="686" ht="15.75" customHeight="1">
      <c r="H686" s="1"/>
    </row>
    <row r="687" ht="15.75" customHeight="1">
      <c r="H687" s="1"/>
    </row>
    <row r="688" ht="15.75" customHeight="1">
      <c r="H688" s="1"/>
    </row>
    <row r="689" ht="15.75" customHeight="1">
      <c r="H689" s="1"/>
    </row>
    <row r="690" ht="15.75" customHeight="1">
      <c r="H690" s="1"/>
    </row>
    <row r="691" ht="15.75" customHeight="1">
      <c r="H691" s="1"/>
    </row>
    <row r="692" ht="15.75" customHeight="1">
      <c r="H692" s="1"/>
    </row>
    <row r="693" ht="15.75" customHeight="1">
      <c r="H693" s="1"/>
    </row>
    <row r="694" ht="15.75" customHeight="1">
      <c r="H694" s="1"/>
    </row>
    <row r="695" ht="15.75" customHeight="1">
      <c r="H695" s="1"/>
    </row>
    <row r="696" ht="15.75" customHeight="1">
      <c r="H696" s="1"/>
    </row>
    <row r="697" ht="15.75" customHeight="1">
      <c r="H697" s="1"/>
    </row>
    <row r="698" ht="15.75" customHeight="1">
      <c r="H698" s="1"/>
    </row>
    <row r="699" ht="15.75" customHeight="1">
      <c r="H699" s="1"/>
    </row>
    <row r="700" ht="15.75" customHeight="1">
      <c r="H700" s="1"/>
    </row>
    <row r="701" ht="15.75" customHeight="1">
      <c r="H701" s="1"/>
    </row>
    <row r="702" ht="15.75" customHeight="1">
      <c r="H702" s="1"/>
    </row>
    <row r="703" ht="15.75" customHeight="1">
      <c r="H703" s="1"/>
    </row>
    <row r="704" ht="15.75" customHeight="1">
      <c r="H704" s="1"/>
    </row>
    <row r="705" ht="15.75" customHeight="1">
      <c r="H705" s="1"/>
    </row>
    <row r="706" ht="15.75" customHeight="1">
      <c r="H706" s="1"/>
    </row>
    <row r="707" ht="15.75" customHeight="1">
      <c r="H707" s="1"/>
    </row>
    <row r="708" ht="15.75" customHeight="1">
      <c r="H708" s="1"/>
    </row>
    <row r="709" ht="15.75" customHeight="1">
      <c r="H709" s="1"/>
    </row>
    <row r="710" ht="15.75" customHeight="1">
      <c r="H710" s="1"/>
    </row>
    <row r="711" ht="15.75" customHeight="1">
      <c r="H711" s="1"/>
    </row>
    <row r="712" ht="15.75" customHeight="1">
      <c r="H712" s="1"/>
    </row>
    <row r="713" ht="15.75" customHeight="1">
      <c r="H713" s="1"/>
    </row>
    <row r="714" ht="15.75" customHeight="1">
      <c r="H714" s="1"/>
    </row>
    <row r="715" ht="15.75" customHeight="1">
      <c r="H715" s="1"/>
    </row>
    <row r="716" ht="15.75" customHeight="1">
      <c r="H716" s="1"/>
    </row>
    <row r="717" ht="15.75" customHeight="1">
      <c r="H717" s="1"/>
    </row>
    <row r="718" ht="15.75" customHeight="1">
      <c r="H718" s="1"/>
    </row>
    <row r="719" ht="15.75" customHeight="1">
      <c r="H719" s="1"/>
    </row>
    <row r="720" ht="15.75" customHeight="1">
      <c r="H720" s="1"/>
    </row>
    <row r="721" ht="15.75" customHeight="1">
      <c r="H721" s="1"/>
    </row>
    <row r="722" ht="15.75" customHeight="1">
      <c r="H722" s="1"/>
    </row>
    <row r="723" ht="15.75" customHeight="1">
      <c r="H723" s="1"/>
    </row>
    <row r="724" ht="15.75" customHeight="1">
      <c r="H724" s="1"/>
    </row>
    <row r="725" ht="15.75" customHeight="1">
      <c r="H725" s="1"/>
    </row>
    <row r="726" ht="15.75" customHeight="1">
      <c r="H726" s="1"/>
    </row>
    <row r="727" ht="15.75" customHeight="1">
      <c r="H727" s="1"/>
    </row>
    <row r="728" ht="15.75" customHeight="1">
      <c r="H728" s="1"/>
    </row>
    <row r="729" ht="15.75" customHeight="1">
      <c r="H729" s="1"/>
    </row>
    <row r="730" ht="15.75" customHeight="1">
      <c r="H730" s="1"/>
    </row>
    <row r="731" ht="15.75" customHeight="1">
      <c r="H731" s="1"/>
    </row>
    <row r="732" ht="15.75" customHeight="1">
      <c r="H732" s="1"/>
    </row>
    <row r="733" ht="15.75" customHeight="1">
      <c r="H733" s="1"/>
    </row>
    <row r="734" ht="15.75" customHeight="1">
      <c r="H734" s="1"/>
    </row>
    <row r="735" ht="15.75" customHeight="1">
      <c r="H735" s="1"/>
    </row>
    <row r="736" ht="15.75" customHeight="1">
      <c r="H736" s="1"/>
    </row>
    <row r="737" ht="15.75" customHeight="1">
      <c r="H737" s="1"/>
    </row>
    <row r="738" ht="15.75" customHeight="1">
      <c r="H738" s="1"/>
    </row>
    <row r="739" ht="15.75" customHeight="1">
      <c r="H739" s="1"/>
    </row>
    <row r="740" ht="15.75" customHeight="1">
      <c r="H740" s="1"/>
    </row>
    <row r="741" ht="15.75" customHeight="1">
      <c r="H741" s="1"/>
    </row>
    <row r="742" ht="15.75" customHeight="1">
      <c r="H742" s="1"/>
    </row>
    <row r="743" ht="15.75" customHeight="1">
      <c r="H743" s="1"/>
    </row>
    <row r="744" ht="15.75" customHeight="1">
      <c r="H744" s="1"/>
    </row>
    <row r="745" ht="15.75" customHeight="1">
      <c r="H745" s="1"/>
    </row>
    <row r="746" ht="15.75" customHeight="1">
      <c r="H746" s="1"/>
    </row>
    <row r="747" ht="15.75" customHeight="1">
      <c r="H747" s="1"/>
    </row>
    <row r="748" ht="15.75" customHeight="1">
      <c r="H748" s="1"/>
    </row>
    <row r="749" ht="15.75" customHeight="1">
      <c r="H749" s="1"/>
    </row>
    <row r="750" ht="15.75" customHeight="1">
      <c r="H750" s="1"/>
    </row>
    <row r="751" ht="15.75" customHeight="1">
      <c r="H751" s="1"/>
    </row>
    <row r="752" ht="15.75" customHeight="1">
      <c r="H752" s="1"/>
    </row>
    <row r="753" ht="15.75" customHeight="1">
      <c r="H753" s="1"/>
    </row>
    <row r="754" ht="15.75" customHeight="1">
      <c r="H754" s="1"/>
    </row>
    <row r="755" ht="15.75" customHeight="1">
      <c r="H755" s="1"/>
    </row>
    <row r="756" ht="15.75" customHeight="1">
      <c r="H756" s="1"/>
    </row>
    <row r="757" ht="15.75" customHeight="1">
      <c r="H757" s="1"/>
    </row>
    <row r="758" ht="15.75" customHeight="1">
      <c r="H758" s="1"/>
    </row>
    <row r="759" ht="15.75" customHeight="1">
      <c r="H759" s="1"/>
    </row>
    <row r="760" ht="15.75" customHeight="1">
      <c r="H760" s="1"/>
    </row>
    <row r="761" ht="15.75" customHeight="1">
      <c r="H761" s="1"/>
    </row>
    <row r="762" ht="15.75" customHeight="1">
      <c r="H762" s="1"/>
    </row>
    <row r="763" ht="15.75" customHeight="1">
      <c r="H763" s="1"/>
    </row>
    <row r="764" ht="15.75" customHeight="1">
      <c r="H764" s="1"/>
    </row>
    <row r="765" ht="15.75" customHeight="1">
      <c r="H765" s="1"/>
    </row>
    <row r="766" ht="15.75" customHeight="1">
      <c r="H766" s="1"/>
    </row>
    <row r="767" ht="15.75" customHeight="1">
      <c r="H767" s="1"/>
    </row>
    <row r="768" ht="15.75" customHeight="1">
      <c r="H768" s="1"/>
    </row>
    <row r="769" ht="15.75" customHeight="1">
      <c r="H769" s="1"/>
    </row>
    <row r="770" ht="15.75" customHeight="1">
      <c r="H770" s="1"/>
    </row>
    <row r="771" ht="15.75" customHeight="1">
      <c r="H771" s="1"/>
    </row>
    <row r="772" ht="15.75" customHeight="1">
      <c r="H772" s="1"/>
    </row>
    <row r="773" ht="15.75" customHeight="1">
      <c r="H773" s="1"/>
    </row>
    <row r="774" ht="15.75" customHeight="1">
      <c r="H774" s="1"/>
    </row>
    <row r="775" ht="15.75" customHeight="1">
      <c r="H775" s="1"/>
    </row>
    <row r="776" ht="15.75" customHeight="1">
      <c r="H776" s="1"/>
    </row>
    <row r="777" ht="15.75" customHeight="1">
      <c r="H777" s="1"/>
    </row>
    <row r="778" ht="15.75" customHeight="1">
      <c r="H778" s="1"/>
    </row>
    <row r="779" ht="15.75" customHeight="1">
      <c r="H779" s="1"/>
    </row>
    <row r="780" ht="15.75" customHeight="1">
      <c r="H780" s="1"/>
    </row>
    <row r="781" ht="15.75" customHeight="1">
      <c r="H781" s="1"/>
    </row>
    <row r="782" ht="15.75" customHeight="1">
      <c r="H782" s="1"/>
    </row>
    <row r="783" ht="15.75" customHeight="1">
      <c r="H783" s="1"/>
    </row>
    <row r="784" ht="15.75" customHeight="1">
      <c r="H784" s="1"/>
    </row>
    <row r="785" ht="15.75" customHeight="1">
      <c r="H785" s="1"/>
    </row>
    <row r="786" ht="15.75" customHeight="1">
      <c r="H786" s="1"/>
    </row>
    <row r="787" ht="15.75" customHeight="1">
      <c r="H787" s="1"/>
    </row>
    <row r="788" ht="15.75" customHeight="1">
      <c r="H788" s="1"/>
    </row>
    <row r="789" ht="15.75" customHeight="1">
      <c r="H789" s="1"/>
    </row>
    <row r="790" ht="15.75" customHeight="1">
      <c r="H790" s="1"/>
    </row>
    <row r="791" ht="15.75" customHeight="1">
      <c r="H791" s="1"/>
    </row>
    <row r="792" ht="15.75" customHeight="1">
      <c r="H792" s="1"/>
    </row>
    <row r="793" ht="15.75" customHeight="1">
      <c r="H793" s="1"/>
    </row>
    <row r="794" ht="15.75" customHeight="1">
      <c r="H794" s="1"/>
    </row>
    <row r="795" ht="15.75" customHeight="1">
      <c r="H795" s="1"/>
    </row>
    <row r="796" ht="15.75" customHeight="1">
      <c r="H796" s="1"/>
    </row>
    <row r="797" ht="15.75" customHeight="1">
      <c r="H797" s="1"/>
    </row>
    <row r="798" ht="15.75" customHeight="1">
      <c r="H798" s="1"/>
    </row>
    <row r="799" ht="15.75" customHeight="1">
      <c r="H799" s="1"/>
    </row>
    <row r="800" ht="15.75" customHeight="1">
      <c r="H800" s="1"/>
    </row>
    <row r="801" ht="15.75" customHeight="1">
      <c r="H801" s="1"/>
    </row>
    <row r="802" ht="15.75" customHeight="1">
      <c r="H802" s="1"/>
    </row>
    <row r="803" ht="15.75" customHeight="1">
      <c r="H803" s="1"/>
    </row>
    <row r="804" ht="15.75" customHeight="1">
      <c r="H804" s="1"/>
    </row>
    <row r="805" ht="15.75" customHeight="1">
      <c r="H805" s="1"/>
    </row>
    <row r="806" ht="15.75" customHeight="1">
      <c r="H806" s="1"/>
    </row>
    <row r="807" ht="15.75" customHeight="1">
      <c r="H807" s="1"/>
    </row>
    <row r="808" ht="15.75" customHeight="1">
      <c r="H808" s="1"/>
    </row>
    <row r="809" ht="15.75" customHeight="1">
      <c r="H809" s="1"/>
    </row>
    <row r="810" ht="15.75" customHeight="1">
      <c r="H810" s="1"/>
    </row>
    <row r="811" ht="15.75" customHeight="1">
      <c r="H811" s="1"/>
    </row>
    <row r="812" ht="15.75" customHeight="1">
      <c r="H812" s="1"/>
    </row>
    <row r="813" ht="15.75" customHeight="1">
      <c r="H813" s="1"/>
    </row>
    <row r="814" ht="15.75" customHeight="1">
      <c r="H814" s="1"/>
    </row>
    <row r="815" ht="15.75" customHeight="1">
      <c r="H815" s="1"/>
    </row>
    <row r="816" ht="15.75" customHeight="1">
      <c r="H816" s="1"/>
    </row>
    <row r="817" ht="15.75" customHeight="1">
      <c r="H817" s="1"/>
    </row>
    <row r="818" ht="15.75" customHeight="1">
      <c r="H818" s="1"/>
    </row>
    <row r="819" ht="15.75" customHeight="1">
      <c r="H819" s="1"/>
    </row>
    <row r="820" ht="15.75" customHeight="1">
      <c r="H820" s="1"/>
    </row>
    <row r="821" ht="15.75" customHeight="1">
      <c r="H821" s="1"/>
    </row>
    <row r="822" ht="15.75" customHeight="1">
      <c r="H822" s="1"/>
    </row>
    <row r="823" ht="15.75" customHeight="1">
      <c r="H823" s="1"/>
    </row>
    <row r="824" ht="15.75" customHeight="1">
      <c r="H824" s="1"/>
    </row>
    <row r="825" ht="15.75" customHeight="1">
      <c r="H825" s="1"/>
    </row>
    <row r="826" ht="15.75" customHeight="1">
      <c r="H826" s="1"/>
    </row>
    <row r="827" ht="15.75" customHeight="1">
      <c r="H827" s="1"/>
    </row>
    <row r="828" ht="15.75" customHeight="1">
      <c r="H828" s="1"/>
    </row>
    <row r="829" ht="15.75" customHeight="1">
      <c r="H829" s="1"/>
    </row>
    <row r="830" ht="15.75" customHeight="1">
      <c r="H830" s="1"/>
    </row>
    <row r="831" ht="15.75" customHeight="1">
      <c r="H831" s="1"/>
    </row>
    <row r="832" ht="15.75" customHeight="1">
      <c r="H832" s="1"/>
    </row>
    <row r="833" ht="15.75" customHeight="1">
      <c r="H833" s="1"/>
    </row>
    <row r="834" ht="15.75" customHeight="1">
      <c r="H834" s="1"/>
    </row>
    <row r="835" ht="15.75" customHeight="1">
      <c r="H835" s="1"/>
    </row>
    <row r="836" ht="15.75" customHeight="1">
      <c r="H836" s="1"/>
    </row>
    <row r="837" ht="15.75" customHeight="1">
      <c r="H837" s="1"/>
    </row>
    <row r="838" ht="15.75" customHeight="1">
      <c r="H838" s="1"/>
    </row>
    <row r="839" ht="15.75" customHeight="1">
      <c r="H839" s="1"/>
    </row>
    <row r="840" ht="15.75" customHeight="1">
      <c r="H840" s="1"/>
    </row>
    <row r="841" ht="15.75" customHeight="1">
      <c r="H841" s="1"/>
    </row>
    <row r="842" ht="15.75" customHeight="1">
      <c r="H842" s="1"/>
    </row>
    <row r="843" ht="15.75" customHeight="1">
      <c r="H843" s="1"/>
    </row>
    <row r="844" ht="15.75" customHeight="1">
      <c r="H844" s="1"/>
    </row>
    <row r="845" ht="15.75" customHeight="1">
      <c r="H845" s="1"/>
    </row>
    <row r="846" ht="15.75" customHeight="1">
      <c r="H846" s="1"/>
    </row>
    <row r="847" ht="15.75" customHeight="1">
      <c r="H847" s="1"/>
    </row>
    <row r="848" ht="15.75" customHeight="1">
      <c r="H848" s="1"/>
    </row>
    <row r="849" ht="15.75" customHeight="1">
      <c r="H849" s="1"/>
    </row>
    <row r="850" ht="15.75" customHeight="1">
      <c r="H850" s="1"/>
    </row>
    <row r="851" ht="15.75" customHeight="1">
      <c r="H851" s="1"/>
    </row>
    <row r="852" ht="15.75" customHeight="1">
      <c r="H852" s="1"/>
    </row>
    <row r="853" ht="15.75" customHeight="1">
      <c r="H853" s="1"/>
    </row>
    <row r="854" ht="15.75" customHeight="1">
      <c r="H854" s="1"/>
    </row>
    <row r="855" ht="15.75" customHeight="1">
      <c r="H855" s="1"/>
    </row>
    <row r="856" ht="15.75" customHeight="1">
      <c r="H856" s="1"/>
    </row>
    <row r="857" ht="15.75" customHeight="1">
      <c r="H857" s="1"/>
    </row>
    <row r="858" ht="15.75" customHeight="1">
      <c r="H858" s="1"/>
    </row>
    <row r="859" ht="15.75" customHeight="1">
      <c r="H859" s="1"/>
    </row>
    <row r="860" ht="15.75" customHeight="1">
      <c r="H860" s="1"/>
    </row>
    <row r="861" ht="15.75" customHeight="1">
      <c r="H861" s="1"/>
    </row>
    <row r="862" ht="15.75" customHeight="1">
      <c r="H862" s="1"/>
    </row>
    <row r="863" ht="15.75" customHeight="1">
      <c r="H863" s="1"/>
    </row>
    <row r="864" ht="15.75" customHeight="1">
      <c r="H864" s="1"/>
    </row>
    <row r="865" ht="15.75" customHeight="1">
      <c r="H865" s="1"/>
    </row>
    <row r="866" ht="15.75" customHeight="1">
      <c r="H866" s="1"/>
    </row>
    <row r="867" ht="15.75" customHeight="1">
      <c r="H867" s="1"/>
    </row>
    <row r="868" ht="15.75" customHeight="1">
      <c r="H868" s="1"/>
    </row>
    <row r="869" ht="15.75" customHeight="1">
      <c r="H869" s="1"/>
    </row>
    <row r="870" ht="15.75" customHeight="1">
      <c r="H870" s="1"/>
    </row>
    <row r="871" ht="15.75" customHeight="1">
      <c r="H871" s="1"/>
    </row>
    <row r="872" ht="15.75" customHeight="1">
      <c r="H872" s="1"/>
    </row>
    <row r="873" ht="15.75" customHeight="1">
      <c r="H873" s="1"/>
    </row>
    <row r="874" ht="15.75" customHeight="1">
      <c r="H874" s="1"/>
    </row>
    <row r="875" ht="15.75" customHeight="1">
      <c r="H875" s="1"/>
    </row>
    <row r="876" ht="15.75" customHeight="1">
      <c r="H876" s="1"/>
    </row>
    <row r="877" ht="15.75" customHeight="1">
      <c r="H877" s="1"/>
    </row>
    <row r="878" ht="15.75" customHeight="1">
      <c r="H878" s="1"/>
    </row>
    <row r="879" ht="15.75" customHeight="1">
      <c r="H879" s="1"/>
    </row>
    <row r="880" ht="15.75" customHeight="1">
      <c r="H880" s="1"/>
    </row>
    <row r="881" ht="15.75" customHeight="1">
      <c r="H881" s="1"/>
    </row>
    <row r="882" ht="15.75" customHeight="1">
      <c r="H882" s="1"/>
    </row>
    <row r="883" ht="15.75" customHeight="1">
      <c r="H883" s="1"/>
    </row>
    <row r="884" ht="15.75" customHeight="1">
      <c r="H884" s="1"/>
    </row>
    <row r="885" ht="15.75" customHeight="1">
      <c r="H885" s="1"/>
    </row>
    <row r="886" ht="15.75" customHeight="1">
      <c r="H886" s="1"/>
    </row>
    <row r="887" ht="15.75" customHeight="1">
      <c r="H887" s="1"/>
    </row>
    <row r="888" ht="15.75" customHeight="1">
      <c r="H888" s="1"/>
    </row>
    <row r="889" ht="15.75" customHeight="1">
      <c r="H889" s="1"/>
    </row>
    <row r="890" ht="15.75" customHeight="1">
      <c r="H890" s="1"/>
    </row>
    <row r="891" ht="15.75" customHeight="1">
      <c r="H891" s="1"/>
    </row>
    <row r="892" ht="15.75" customHeight="1">
      <c r="H892" s="1"/>
    </row>
    <row r="893" ht="15.75" customHeight="1">
      <c r="H893" s="1"/>
    </row>
    <row r="894" ht="15.75" customHeight="1">
      <c r="H894" s="1"/>
    </row>
    <row r="895" ht="15.75" customHeight="1">
      <c r="H895" s="1"/>
    </row>
    <row r="896" ht="15.75" customHeight="1">
      <c r="H896" s="1"/>
    </row>
    <row r="897" ht="15.75" customHeight="1">
      <c r="H897" s="1"/>
    </row>
    <row r="898" ht="15.75" customHeight="1">
      <c r="H898" s="1"/>
    </row>
    <row r="899" ht="15.75" customHeight="1">
      <c r="H899" s="1"/>
    </row>
    <row r="900" ht="15.75" customHeight="1">
      <c r="H900" s="1"/>
    </row>
    <row r="901" ht="15.75" customHeight="1">
      <c r="H901" s="1"/>
    </row>
    <row r="902" ht="15.75" customHeight="1">
      <c r="H902" s="1"/>
    </row>
    <row r="903" ht="15.75" customHeight="1">
      <c r="H903" s="1"/>
    </row>
    <row r="904" ht="15.75" customHeight="1">
      <c r="H904" s="1"/>
    </row>
    <row r="905" ht="15.75" customHeight="1">
      <c r="H905" s="1"/>
    </row>
    <row r="906" ht="15.75" customHeight="1">
      <c r="H906" s="1"/>
    </row>
    <row r="907" ht="15.75" customHeight="1">
      <c r="H907" s="1"/>
    </row>
    <row r="908" ht="15.75" customHeight="1">
      <c r="H908" s="1"/>
    </row>
    <row r="909" ht="15.75" customHeight="1">
      <c r="H909" s="1"/>
    </row>
    <row r="910" ht="15.75" customHeight="1">
      <c r="H910" s="1"/>
    </row>
    <row r="911" ht="15.75" customHeight="1">
      <c r="H911" s="1"/>
    </row>
    <row r="912" ht="15.75" customHeight="1">
      <c r="H912" s="1"/>
    </row>
    <row r="913" ht="15.75" customHeight="1">
      <c r="H913" s="1"/>
    </row>
    <row r="914" ht="15.75" customHeight="1">
      <c r="H914" s="1"/>
    </row>
    <row r="915" ht="15.75" customHeight="1">
      <c r="H915" s="1"/>
    </row>
    <row r="916" ht="15.75" customHeight="1">
      <c r="H916" s="1"/>
    </row>
    <row r="917" ht="15.75" customHeight="1">
      <c r="H917" s="1"/>
    </row>
    <row r="918" ht="15.75" customHeight="1">
      <c r="H918" s="1"/>
    </row>
    <row r="919" ht="15.75" customHeight="1">
      <c r="H919" s="1"/>
    </row>
    <row r="920" ht="15.75" customHeight="1">
      <c r="H920" s="1"/>
    </row>
    <row r="921" ht="15.75" customHeight="1">
      <c r="H921" s="1"/>
    </row>
    <row r="922" ht="15.75" customHeight="1">
      <c r="H922" s="1"/>
    </row>
    <row r="923" ht="15.75" customHeight="1">
      <c r="H923" s="1"/>
    </row>
    <row r="924" ht="15.75" customHeight="1">
      <c r="H924" s="1"/>
    </row>
    <row r="925" ht="15.75" customHeight="1">
      <c r="H925" s="1"/>
    </row>
    <row r="926" ht="15.75" customHeight="1">
      <c r="H926" s="1"/>
    </row>
    <row r="927" ht="15.75" customHeight="1">
      <c r="H927" s="1"/>
    </row>
    <row r="928" ht="15.75" customHeight="1">
      <c r="H928" s="1"/>
    </row>
    <row r="929" ht="15.75" customHeight="1">
      <c r="H929" s="1"/>
    </row>
    <row r="930" ht="15.75" customHeight="1">
      <c r="H930" s="1"/>
    </row>
    <row r="931" ht="15.75" customHeight="1">
      <c r="H931" s="1"/>
    </row>
    <row r="932" ht="15.75" customHeight="1">
      <c r="H932" s="1"/>
    </row>
    <row r="933" ht="15.75" customHeight="1">
      <c r="H933" s="1"/>
    </row>
    <row r="934" ht="15.75" customHeight="1">
      <c r="H934" s="1"/>
    </row>
    <row r="935" ht="15.75" customHeight="1">
      <c r="H935" s="1"/>
    </row>
    <row r="936" ht="15.75" customHeight="1">
      <c r="H936" s="1"/>
    </row>
    <row r="937" ht="15.75" customHeight="1">
      <c r="H937" s="1"/>
    </row>
    <row r="938" ht="15.75" customHeight="1">
      <c r="H938" s="1"/>
    </row>
    <row r="939" ht="15.75" customHeight="1">
      <c r="H939" s="1"/>
    </row>
    <row r="940" ht="15.75" customHeight="1">
      <c r="H940" s="1"/>
    </row>
    <row r="941" ht="15.75" customHeight="1">
      <c r="H941" s="1"/>
    </row>
    <row r="942" ht="15.75" customHeight="1">
      <c r="H942" s="1"/>
    </row>
    <row r="943" ht="15.75" customHeight="1">
      <c r="H943" s="1"/>
    </row>
    <row r="944" ht="15.75" customHeight="1">
      <c r="H944" s="1"/>
    </row>
    <row r="945" ht="15.75" customHeight="1">
      <c r="H945" s="1"/>
    </row>
    <row r="946" ht="15.75" customHeight="1">
      <c r="H946" s="1"/>
    </row>
    <row r="947" ht="15.75" customHeight="1">
      <c r="H947" s="1"/>
    </row>
    <row r="948" ht="15.75" customHeight="1">
      <c r="H948" s="1"/>
    </row>
    <row r="949" ht="15.75" customHeight="1">
      <c r="H949" s="1"/>
    </row>
    <row r="950" ht="15.75" customHeight="1">
      <c r="H950" s="1"/>
    </row>
    <row r="951" ht="15.75" customHeight="1">
      <c r="H951" s="1"/>
    </row>
    <row r="952" ht="15.75" customHeight="1">
      <c r="H952" s="1"/>
    </row>
    <row r="953" ht="15.75" customHeight="1">
      <c r="H953" s="1"/>
    </row>
    <row r="954" ht="15.75" customHeight="1">
      <c r="H954" s="1"/>
    </row>
    <row r="955" ht="15.75" customHeight="1">
      <c r="H955" s="1"/>
    </row>
    <row r="956" ht="15.75" customHeight="1">
      <c r="H956" s="1"/>
    </row>
    <row r="957" ht="15.75" customHeight="1">
      <c r="H957" s="1"/>
    </row>
    <row r="958" ht="15.75" customHeight="1">
      <c r="H958" s="1"/>
    </row>
    <row r="959" ht="15.75" customHeight="1">
      <c r="H959" s="1"/>
    </row>
    <row r="960" ht="15.75" customHeight="1">
      <c r="H960" s="1"/>
    </row>
    <row r="961" ht="15.75" customHeight="1">
      <c r="H961" s="1"/>
    </row>
    <row r="962" ht="15.75" customHeight="1">
      <c r="H962" s="1"/>
    </row>
    <row r="963" ht="15.75" customHeight="1">
      <c r="H963" s="1"/>
    </row>
    <row r="964" ht="15.75" customHeight="1">
      <c r="H964" s="1"/>
    </row>
    <row r="965" ht="15.75" customHeight="1">
      <c r="H965" s="1"/>
    </row>
    <row r="966" ht="15.75" customHeight="1">
      <c r="H966" s="1"/>
    </row>
    <row r="967" ht="15.75" customHeight="1">
      <c r="H967" s="1"/>
    </row>
    <row r="968" ht="15.75" customHeight="1">
      <c r="H968" s="1"/>
    </row>
    <row r="969" ht="15.75" customHeight="1">
      <c r="H969" s="1"/>
    </row>
    <row r="970" ht="15.75" customHeight="1">
      <c r="H970" s="1"/>
    </row>
    <row r="971" ht="15.75" customHeight="1">
      <c r="H971" s="1"/>
    </row>
    <row r="972" ht="15.75" customHeight="1">
      <c r="H972" s="1"/>
    </row>
    <row r="973" ht="15.75" customHeight="1">
      <c r="H973" s="1"/>
    </row>
    <row r="974" ht="15.75" customHeight="1">
      <c r="H974" s="1"/>
    </row>
    <row r="975" ht="15.75" customHeight="1">
      <c r="H975" s="1"/>
    </row>
    <row r="976" ht="15.75" customHeight="1">
      <c r="H976" s="1"/>
    </row>
    <row r="977" ht="15.75" customHeight="1">
      <c r="H977" s="1"/>
    </row>
    <row r="978" ht="15.75" customHeight="1">
      <c r="H978" s="1"/>
    </row>
    <row r="979" ht="15.75" customHeight="1">
      <c r="H979" s="1"/>
    </row>
    <row r="980" ht="15.75" customHeight="1">
      <c r="H980" s="1"/>
    </row>
    <row r="981" ht="15.75" customHeight="1">
      <c r="H981" s="1"/>
    </row>
    <row r="982" ht="15.75" customHeight="1">
      <c r="H982" s="1"/>
    </row>
    <row r="983" ht="15.75" customHeight="1">
      <c r="H983" s="1"/>
    </row>
    <row r="984" ht="15.75" customHeight="1">
      <c r="H984" s="1"/>
    </row>
    <row r="985" ht="15.75" customHeight="1">
      <c r="H985" s="1"/>
    </row>
    <row r="986" ht="15.75" customHeight="1">
      <c r="H986" s="1"/>
    </row>
    <row r="987" ht="15.75" customHeight="1">
      <c r="H987" s="1"/>
    </row>
    <row r="988" ht="15.75" customHeight="1">
      <c r="H988" s="1"/>
    </row>
    <row r="989" ht="15.75" customHeight="1">
      <c r="H989" s="1"/>
    </row>
    <row r="990" ht="15.75" customHeight="1">
      <c r="H990" s="1"/>
    </row>
    <row r="991" ht="15.75" customHeight="1">
      <c r="H991" s="1"/>
    </row>
    <row r="992" ht="15.75" customHeight="1">
      <c r="H992" s="1"/>
    </row>
    <row r="993" ht="15.75" customHeight="1">
      <c r="H993" s="1"/>
    </row>
    <row r="994" ht="15.75" customHeight="1">
      <c r="H994" s="1"/>
    </row>
    <row r="995" ht="15.75" customHeight="1">
      <c r="H995" s="1"/>
    </row>
    <row r="996" ht="15.75" customHeight="1">
      <c r="H996" s="1"/>
    </row>
    <row r="997" ht="15.75" customHeight="1">
      <c r="H997" s="1"/>
    </row>
    <row r="998" ht="15.75" customHeight="1">
      <c r="H998" s="1"/>
    </row>
    <row r="999" ht="15.75" customHeight="1">
      <c r="H999" s="1"/>
    </row>
    <row r="1000" ht="15.75" customHeight="1">
      <c r="H1000" s="1"/>
    </row>
  </sheetData>
  <mergeCells count="53">
    <mergeCell ref="B2:F2"/>
    <mergeCell ref="I2:M2"/>
    <mergeCell ref="B3:C3"/>
    <mergeCell ref="D3:E3"/>
    <mergeCell ref="I3:J3"/>
    <mergeCell ref="K3:L3"/>
    <mergeCell ref="M3:M4"/>
    <mergeCell ref="K13:L13"/>
    <mergeCell ref="M13:M14"/>
    <mergeCell ref="F3:F4"/>
    <mergeCell ref="B12:F12"/>
    <mergeCell ref="I12:M12"/>
    <mergeCell ref="B13:C13"/>
    <mergeCell ref="D13:E13"/>
    <mergeCell ref="F13:F14"/>
    <mergeCell ref="I13:J13"/>
    <mergeCell ref="B22:F22"/>
    <mergeCell ref="I22:M22"/>
    <mergeCell ref="B23:C23"/>
    <mergeCell ref="D23:E23"/>
    <mergeCell ref="I23:J23"/>
    <mergeCell ref="K23:L23"/>
    <mergeCell ref="M23:M24"/>
    <mergeCell ref="B40:F40"/>
    <mergeCell ref="I40:M40"/>
    <mergeCell ref="B41:C41"/>
    <mergeCell ref="D41:E41"/>
    <mergeCell ref="F41:F42"/>
    <mergeCell ref="I41:J41"/>
    <mergeCell ref="K41:L41"/>
    <mergeCell ref="M41:M42"/>
    <mergeCell ref="F23:F24"/>
    <mergeCell ref="B31:F31"/>
    <mergeCell ref="I31:M31"/>
    <mergeCell ref="B32:C32"/>
    <mergeCell ref="D32:E32"/>
    <mergeCell ref="F32:F33"/>
    <mergeCell ref="I32:J32"/>
    <mergeCell ref="L76:M76"/>
    <mergeCell ref="L77:M77"/>
    <mergeCell ref="L78:M78"/>
    <mergeCell ref="L79:M79"/>
    <mergeCell ref="L80:M80"/>
    <mergeCell ref="L81:M81"/>
    <mergeCell ref="L82:M82"/>
    <mergeCell ref="K85:Q88"/>
    <mergeCell ref="K32:L32"/>
    <mergeCell ref="M32:M33"/>
    <mergeCell ref="M72:N72"/>
    <mergeCell ref="K73:Q73"/>
    <mergeCell ref="R73:R74"/>
    <mergeCell ref="K74:Q74"/>
    <mergeCell ref="L75:M7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5" width="10.57"/>
    <col customWidth="1" min="6" max="6" width="11.71"/>
    <col customWidth="1" min="7" max="7" width="13.0"/>
    <col customWidth="1" min="8" max="8" width="16.29"/>
    <col customWidth="1" min="9" max="9" width="15.14"/>
    <col customWidth="1" min="10" max="16" width="11.43"/>
    <col customWidth="1" min="17" max="17" width="28.29"/>
    <col customWidth="1" min="18" max="26" width="11.43"/>
  </cols>
  <sheetData>
    <row r="1" ht="15.0" customHeight="1">
      <c r="H1" s="1"/>
    </row>
    <row r="2">
      <c r="A2" s="2"/>
      <c r="B2" s="3" t="s">
        <v>0</v>
      </c>
      <c r="C2" s="4"/>
      <c r="D2" s="4"/>
      <c r="E2" s="4"/>
      <c r="F2" s="5"/>
      <c r="G2" s="6"/>
      <c r="H2" s="7"/>
      <c r="I2" s="3" t="s">
        <v>1</v>
      </c>
      <c r="J2" s="4"/>
      <c r="K2" s="4"/>
      <c r="L2" s="4"/>
      <c r="M2" s="5"/>
    </row>
    <row r="3">
      <c r="A3" s="2"/>
      <c r="B3" s="8" t="s">
        <v>2</v>
      </c>
      <c r="C3" s="9"/>
      <c r="D3" s="8" t="s">
        <v>3</v>
      </c>
      <c r="E3" s="9"/>
      <c r="F3" s="10" t="s">
        <v>4</v>
      </c>
      <c r="G3" s="6"/>
      <c r="H3" s="7"/>
      <c r="I3" s="8" t="s">
        <v>2</v>
      </c>
      <c r="J3" s="9"/>
      <c r="K3" s="8" t="s">
        <v>3</v>
      </c>
      <c r="L3" s="9"/>
      <c r="M3" s="10" t="s">
        <v>4</v>
      </c>
    </row>
    <row r="4">
      <c r="A4" s="2"/>
      <c r="B4" s="11" t="s">
        <v>5</v>
      </c>
      <c r="C4" s="11" t="s">
        <v>6</v>
      </c>
      <c r="D4" s="11" t="s">
        <v>7</v>
      </c>
      <c r="E4" s="11" t="s">
        <v>8</v>
      </c>
      <c r="F4" s="12"/>
      <c r="G4" s="6"/>
      <c r="H4" s="7"/>
      <c r="I4" s="11" t="s">
        <v>5</v>
      </c>
      <c r="J4" s="11" t="s">
        <v>6</v>
      </c>
      <c r="K4" s="11" t="s">
        <v>7</v>
      </c>
      <c r="L4" s="11" t="s">
        <v>8</v>
      </c>
      <c r="M4" s="12"/>
    </row>
    <row r="5" ht="14.25" customHeight="1">
      <c r="A5" s="13" t="s">
        <v>9</v>
      </c>
      <c r="B5" s="14">
        <f t="shared" ref="B5:F5" si="1">B51</f>
        <v>15.16685</v>
      </c>
      <c r="C5" s="14">
        <f t="shared" si="1"/>
        <v>8.235289</v>
      </c>
      <c r="D5" s="14">
        <f t="shared" si="1"/>
        <v>9.611295</v>
      </c>
      <c r="E5" s="14">
        <f t="shared" si="1"/>
        <v>11.90411</v>
      </c>
      <c r="F5" s="14">
        <f t="shared" si="1"/>
        <v>11.6637</v>
      </c>
      <c r="G5" s="6"/>
      <c r="H5" s="13" t="s">
        <v>9</v>
      </c>
      <c r="I5" s="15">
        <f t="shared" ref="I5:M5" si="2">G51</f>
        <v>737276.2</v>
      </c>
      <c r="J5" s="15">
        <f t="shared" si="2"/>
        <v>409053.3</v>
      </c>
      <c r="K5" s="15">
        <f t="shared" si="2"/>
        <v>99047.2</v>
      </c>
      <c r="L5" s="15">
        <f t="shared" si="2"/>
        <v>1047282</v>
      </c>
      <c r="M5" s="15">
        <f t="shared" si="2"/>
        <v>1146330</v>
      </c>
    </row>
    <row r="6" ht="14.25" customHeight="1">
      <c r="A6" s="13" t="s">
        <v>10</v>
      </c>
      <c r="B6" s="14">
        <f t="shared" ref="B6:F6" si="3">B52</f>
        <v>68.94965</v>
      </c>
      <c r="C6" s="14">
        <f t="shared" si="3"/>
        <v>58.00744</v>
      </c>
      <c r="D6" s="14">
        <f t="shared" si="3"/>
        <v>30.78188</v>
      </c>
      <c r="E6" s="14">
        <f t="shared" si="3"/>
        <v>67.24262</v>
      </c>
      <c r="F6" s="14">
        <f t="shared" si="3"/>
        <v>63.41955</v>
      </c>
      <c r="G6" s="6"/>
      <c r="H6" s="13" t="s">
        <v>10</v>
      </c>
      <c r="I6" s="15">
        <f t="shared" ref="I6:M6" si="4">G52</f>
        <v>3351713</v>
      </c>
      <c r="J6" s="15">
        <f t="shared" si="4"/>
        <v>2881276</v>
      </c>
      <c r="K6" s="15">
        <f t="shared" si="4"/>
        <v>317216.3</v>
      </c>
      <c r="L6" s="15">
        <f t="shared" si="4"/>
        <v>5915773</v>
      </c>
      <c r="M6" s="15">
        <f t="shared" si="4"/>
        <v>6232989</v>
      </c>
    </row>
    <row r="7" ht="14.25" customHeight="1">
      <c r="A7" s="13" t="s">
        <v>11</v>
      </c>
      <c r="B7" s="14">
        <f t="shared" ref="B7:F7" si="5">B53</f>
        <v>70.06578</v>
      </c>
      <c r="C7" s="14">
        <f t="shared" si="5"/>
        <v>58.57576</v>
      </c>
      <c r="D7" s="14">
        <f t="shared" si="5"/>
        <v>31.88034</v>
      </c>
      <c r="E7" s="14">
        <f t="shared" si="5"/>
        <v>68.05154</v>
      </c>
      <c r="F7" s="14">
        <f t="shared" si="5"/>
        <v>64.25882</v>
      </c>
      <c r="G7" s="6"/>
      <c r="H7" s="13" t="s">
        <v>11</v>
      </c>
      <c r="I7" s="15">
        <f t="shared" ref="I7:M7" si="6">G53</f>
        <v>3405969</v>
      </c>
      <c r="J7" s="15">
        <f t="shared" si="6"/>
        <v>2909505</v>
      </c>
      <c r="K7" s="15">
        <f t="shared" si="6"/>
        <v>328536.3</v>
      </c>
      <c r="L7" s="15">
        <f t="shared" si="6"/>
        <v>5986938</v>
      </c>
      <c r="M7" s="15">
        <f t="shared" si="6"/>
        <v>6315474</v>
      </c>
    </row>
    <row r="8">
      <c r="A8" s="16" t="s">
        <v>12</v>
      </c>
      <c r="B8" s="17"/>
      <c r="C8" s="17"/>
      <c r="D8" s="17"/>
      <c r="E8" s="17"/>
      <c r="F8" s="17"/>
      <c r="G8" s="18"/>
      <c r="H8" s="16" t="s">
        <v>12</v>
      </c>
      <c r="I8" s="19"/>
      <c r="J8" s="19"/>
      <c r="K8" s="19"/>
      <c r="L8" s="19"/>
      <c r="M8" s="19"/>
      <c r="N8" s="16"/>
      <c r="O8" s="16"/>
      <c r="P8" s="16"/>
      <c r="Q8" s="16"/>
      <c r="R8" s="16"/>
      <c r="S8" s="16"/>
      <c r="T8" s="16"/>
      <c r="U8" s="16"/>
      <c r="V8" s="16"/>
      <c r="W8" s="16"/>
      <c r="X8" s="16"/>
      <c r="Y8" s="16"/>
      <c r="Z8" s="16"/>
    </row>
    <row r="9">
      <c r="A9" s="16" t="s">
        <v>13</v>
      </c>
      <c r="B9" s="17"/>
      <c r="C9" s="17"/>
      <c r="D9" s="17"/>
      <c r="E9" s="17"/>
      <c r="F9" s="17"/>
      <c r="G9" s="18"/>
      <c r="H9" s="16" t="s">
        <v>13</v>
      </c>
      <c r="I9" s="19"/>
      <c r="J9" s="19"/>
      <c r="K9" s="19"/>
      <c r="L9" s="19"/>
      <c r="M9" s="19"/>
      <c r="N9" s="16"/>
      <c r="O9" s="16"/>
      <c r="P9" s="16"/>
      <c r="Q9" s="16"/>
      <c r="R9" s="16"/>
      <c r="S9" s="16"/>
      <c r="T9" s="16"/>
      <c r="U9" s="16"/>
      <c r="V9" s="16"/>
      <c r="W9" s="16"/>
      <c r="X9" s="16"/>
      <c r="Y9" s="16"/>
      <c r="Z9" s="16"/>
    </row>
    <row r="10">
      <c r="A10" s="16" t="s">
        <v>14</v>
      </c>
      <c r="B10" s="18"/>
      <c r="C10" s="18"/>
      <c r="D10" s="18"/>
      <c r="E10" s="18"/>
      <c r="F10" s="18"/>
      <c r="G10" s="18"/>
      <c r="H10" s="16" t="s">
        <v>14</v>
      </c>
      <c r="I10" s="18"/>
      <c r="J10" s="18"/>
      <c r="K10" s="18"/>
      <c r="L10" s="18"/>
      <c r="M10" s="18"/>
      <c r="N10" s="16"/>
      <c r="O10" s="16"/>
      <c r="P10" s="16"/>
      <c r="Q10" s="16"/>
      <c r="R10" s="16"/>
      <c r="S10" s="16"/>
      <c r="T10" s="16"/>
      <c r="U10" s="16"/>
      <c r="V10" s="16"/>
      <c r="W10" s="16"/>
      <c r="X10" s="16"/>
      <c r="Y10" s="16"/>
      <c r="Z10" s="16"/>
    </row>
    <row r="11" ht="15.0" customHeight="1">
      <c r="A11" s="2"/>
      <c r="B11" s="6"/>
      <c r="C11" s="6"/>
      <c r="D11" s="6"/>
      <c r="E11" s="6"/>
      <c r="F11" s="6"/>
      <c r="G11" s="6"/>
      <c r="H11" s="2"/>
      <c r="I11" s="6"/>
      <c r="J11" s="6"/>
      <c r="K11" s="6"/>
      <c r="L11" s="6"/>
      <c r="M11" s="6"/>
    </row>
    <row r="12">
      <c r="A12" s="2"/>
      <c r="B12" s="20" t="s">
        <v>15</v>
      </c>
      <c r="C12" s="4"/>
      <c r="D12" s="4"/>
      <c r="E12" s="4"/>
      <c r="F12" s="5"/>
      <c r="G12" s="6"/>
      <c r="H12" s="7"/>
      <c r="I12" s="20" t="s">
        <v>16</v>
      </c>
      <c r="J12" s="4"/>
      <c r="K12" s="4"/>
      <c r="L12" s="4"/>
      <c r="M12" s="5"/>
    </row>
    <row r="13">
      <c r="A13" s="2"/>
      <c r="B13" s="8" t="s">
        <v>2</v>
      </c>
      <c r="C13" s="9"/>
      <c r="D13" s="8" t="s">
        <v>3</v>
      </c>
      <c r="E13" s="9"/>
      <c r="F13" s="10" t="s">
        <v>4</v>
      </c>
      <c r="G13" s="6"/>
      <c r="H13" s="7"/>
      <c r="I13" s="8" t="s">
        <v>2</v>
      </c>
      <c r="J13" s="9"/>
      <c r="K13" s="8" t="s">
        <v>3</v>
      </c>
      <c r="L13" s="9"/>
      <c r="M13" s="10" t="s">
        <v>4</v>
      </c>
      <c r="Q13" s="21"/>
    </row>
    <row r="14">
      <c r="A14" s="2"/>
      <c r="B14" s="11" t="s">
        <v>5</v>
      </c>
      <c r="C14" s="11" t="s">
        <v>6</v>
      </c>
      <c r="D14" s="11" t="s">
        <v>7</v>
      </c>
      <c r="E14" s="11" t="s">
        <v>8</v>
      </c>
      <c r="F14" s="12"/>
      <c r="G14" s="6"/>
      <c r="H14" s="7"/>
      <c r="I14" s="11" t="s">
        <v>5</v>
      </c>
      <c r="J14" s="11" t="s">
        <v>6</v>
      </c>
      <c r="K14" s="11" t="s">
        <v>7</v>
      </c>
      <c r="L14" s="11" t="s">
        <v>8</v>
      </c>
      <c r="M14" s="12"/>
    </row>
    <row r="15" ht="14.25" customHeight="1">
      <c r="A15" s="22" t="s">
        <v>9</v>
      </c>
      <c r="B15" s="14">
        <f t="shared" ref="B15:F15" si="7">B54</f>
        <v>25.04141</v>
      </c>
      <c r="C15" s="14">
        <f t="shared" si="7"/>
        <v>20.62479</v>
      </c>
      <c r="D15" s="14">
        <f t="shared" si="7"/>
        <v>28.25969</v>
      </c>
      <c r="E15" s="14">
        <f t="shared" si="7"/>
        <v>23.01197</v>
      </c>
      <c r="F15" s="14">
        <f t="shared" si="7"/>
        <v>23.46539</v>
      </c>
      <c r="G15" s="6"/>
      <c r="H15" s="22" t="s">
        <v>9</v>
      </c>
      <c r="I15" s="15">
        <f t="shared" ref="I15:M15" si="8">G54</f>
        <v>184624.3</v>
      </c>
      <c r="J15" s="15">
        <f t="shared" si="8"/>
        <v>84366.41</v>
      </c>
      <c r="K15" s="15">
        <f t="shared" si="8"/>
        <v>27990.43</v>
      </c>
      <c r="L15" s="15">
        <f t="shared" si="8"/>
        <v>241000.3</v>
      </c>
      <c r="M15" s="15">
        <f t="shared" si="8"/>
        <v>268990.7</v>
      </c>
    </row>
    <row r="16" ht="14.25" customHeight="1">
      <c r="A16" s="22" t="s">
        <v>17</v>
      </c>
      <c r="B16" s="14">
        <f t="shared" ref="B16:F16" si="9">B55</f>
        <v>9.81418</v>
      </c>
      <c r="C16" s="14">
        <f t="shared" si="9"/>
        <v>4.661084</v>
      </c>
      <c r="D16" s="14">
        <f t="shared" si="9"/>
        <v>9.175327</v>
      </c>
      <c r="E16" s="14">
        <f t="shared" si="9"/>
        <v>7.338623</v>
      </c>
      <c r="F16" s="14">
        <f t="shared" si="9"/>
        <v>7.432098</v>
      </c>
      <c r="G16" s="6"/>
      <c r="H16" s="22" t="s">
        <v>17</v>
      </c>
      <c r="I16" s="15">
        <f t="shared" ref="I16:M16" si="10">G55</f>
        <v>328943.2</v>
      </c>
      <c r="J16" s="15">
        <f t="shared" si="10"/>
        <v>134298.7</v>
      </c>
      <c r="K16" s="15">
        <f t="shared" si="10"/>
        <v>29105.63</v>
      </c>
      <c r="L16" s="15">
        <f t="shared" si="10"/>
        <v>434136.2</v>
      </c>
      <c r="M16" s="15">
        <f t="shared" si="10"/>
        <v>463241.8</v>
      </c>
    </row>
    <row r="17" ht="12.0" customHeight="1">
      <c r="A17" s="22" t="s">
        <v>18</v>
      </c>
      <c r="B17" s="14">
        <f t="shared" ref="B17:F17" si="11">B56</f>
        <v>12.27767</v>
      </c>
      <c r="C17" s="14">
        <f t="shared" si="11"/>
        <v>5.927048</v>
      </c>
      <c r="D17" s="14">
        <f t="shared" si="11"/>
        <v>12.81617</v>
      </c>
      <c r="E17" s="14">
        <f t="shared" si="11"/>
        <v>9.161871</v>
      </c>
      <c r="F17" s="14">
        <f t="shared" si="11"/>
        <v>9.351972</v>
      </c>
      <c r="G17" s="6"/>
      <c r="H17" s="23" t="s">
        <v>18</v>
      </c>
      <c r="I17" s="15">
        <f t="shared" ref="I17:M17" si="12">G56</f>
        <v>418173.5</v>
      </c>
      <c r="J17" s="15">
        <f t="shared" si="12"/>
        <v>172447.7</v>
      </c>
      <c r="K17" s="15">
        <f t="shared" si="12"/>
        <v>42105.78</v>
      </c>
      <c r="L17" s="15">
        <f t="shared" si="12"/>
        <v>548515.5</v>
      </c>
      <c r="M17" s="15">
        <f t="shared" si="12"/>
        <v>590621.3</v>
      </c>
      <c r="O17" s="24"/>
      <c r="P17" s="24"/>
    </row>
    <row r="18" ht="12.0" customHeight="1">
      <c r="A18" s="16" t="s">
        <v>19</v>
      </c>
      <c r="B18" s="17"/>
      <c r="C18" s="17"/>
      <c r="D18" s="17"/>
      <c r="E18" s="17"/>
      <c r="F18" s="17"/>
      <c r="G18" s="18"/>
      <c r="H18" s="16" t="s">
        <v>19</v>
      </c>
      <c r="I18" s="19"/>
      <c r="J18" s="19"/>
      <c r="K18" s="19"/>
      <c r="L18" s="19"/>
      <c r="M18" s="19"/>
      <c r="N18" s="16"/>
      <c r="O18" s="16"/>
      <c r="P18" s="16"/>
      <c r="Q18" s="16"/>
      <c r="R18" s="16"/>
      <c r="S18" s="16"/>
      <c r="T18" s="16"/>
      <c r="U18" s="16"/>
      <c r="V18" s="16"/>
      <c r="W18" s="16"/>
      <c r="X18" s="16"/>
      <c r="Y18" s="16"/>
      <c r="Z18" s="16"/>
    </row>
    <row r="19" ht="12.0" customHeight="1">
      <c r="A19" s="16" t="s">
        <v>20</v>
      </c>
      <c r="B19" s="17"/>
      <c r="C19" s="17"/>
      <c r="D19" s="17"/>
      <c r="E19" s="17"/>
      <c r="F19" s="17"/>
      <c r="G19" s="18"/>
      <c r="H19" s="16" t="s">
        <v>20</v>
      </c>
      <c r="I19" s="19"/>
      <c r="J19" s="19"/>
      <c r="K19" s="19"/>
      <c r="L19" s="19"/>
      <c r="M19" s="19"/>
      <c r="N19" s="16"/>
      <c r="O19" s="16"/>
      <c r="P19" s="16"/>
      <c r="Q19" s="25"/>
      <c r="R19" s="16"/>
      <c r="S19" s="16"/>
      <c r="T19" s="16"/>
      <c r="U19" s="16"/>
      <c r="V19" s="16"/>
      <c r="W19" s="16"/>
      <c r="X19" s="16"/>
      <c r="Y19" s="16"/>
      <c r="Z19" s="16"/>
    </row>
    <row r="20" ht="12.0" customHeight="1">
      <c r="A20" s="16" t="s">
        <v>14</v>
      </c>
      <c r="B20" s="18"/>
      <c r="C20" s="18"/>
      <c r="D20" s="18"/>
      <c r="E20" s="18"/>
      <c r="F20" s="18"/>
      <c r="G20" s="18"/>
      <c r="H20" s="16" t="s">
        <v>14</v>
      </c>
      <c r="I20" s="18"/>
      <c r="J20" s="18"/>
      <c r="K20" s="18"/>
      <c r="L20" s="18"/>
      <c r="M20" s="18"/>
      <c r="N20" s="16"/>
      <c r="O20" s="16"/>
      <c r="P20" s="16"/>
      <c r="Q20" s="25"/>
      <c r="R20" s="16"/>
      <c r="S20" s="16"/>
      <c r="T20" s="16"/>
      <c r="U20" s="16"/>
      <c r="V20" s="16"/>
      <c r="W20" s="16"/>
      <c r="X20" s="16"/>
      <c r="Y20" s="16"/>
      <c r="Z20" s="16"/>
    </row>
    <row r="21" ht="12.0" customHeight="1">
      <c r="A21" s="2"/>
      <c r="B21" s="6"/>
      <c r="C21" s="6"/>
      <c r="D21" s="6"/>
      <c r="E21" s="6"/>
      <c r="F21" s="6"/>
      <c r="G21" s="6"/>
      <c r="H21" s="7"/>
      <c r="I21" s="6"/>
      <c r="J21" s="6"/>
      <c r="K21" s="6"/>
      <c r="L21" s="6"/>
      <c r="M21" s="6"/>
    </row>
    <row r="22" ht="12.0" customHeight="1">
      <c r="A22" s="2"/>
      <c r="B22" s="26" t="s">
        <v>21</v>
      </c>
      <c r="C22" s="4"/>
      <c r="D22" s="4"/>
      <c r="E22" s="4"/>
      <c r="F22" s="5"/>
      <c r="G22" s="6"/>
      <c r="H22" s="7"/>
      <c r="I22" s="26" t="s">
        <v>22</v>
      </c>
      <c r="J22" s="4"/>
      <c r="K22" s="4"/>
      <c r="L22" s="4"/>
      <c r="M22" s="5"/>
    </row>
    <row r="23" ht="12.0" customHeight="1">
      <c r="A23" s="2"/>
      <c r="B23" s="8" t="s">
        <v>2</v>
      </c>
      <c r="C23" s="9"/>
      <c r="D23" s="8" t="s">
        <v>3</v>
      </c>
      <c r="E23" s="9"/>
      <c r="F23" s="27" t="s">
        <v>4</v>
      </c>
      <c r="G23" s="6"/>
      <c r="H23" s="7"/>
      <c r="I23" s="8" t="s">
        <v>2</v>
      </c>
      <c r="J23" s="9"/>
      <c r="K23" s="8" t="s">
        <v>3</v>
      </c>
      <c r="L23" s="9"/>
      <c r="M23" s="10" t="s">
        <v>4</v>
      </c>
    </row>
    <row r="24" ht="12.0" customHeight="1">
      <c r="A24" s="2"/>
      <c r="B24" s="11" t="s">
        <v>5</v>
      </c>
      <c r="C24" s="11" t="s">
        <v>6</v>
      </c>
      <c r="D24" s="11" t="s">
        <v>7</v>
      </c>
      <c r="E24" s="11" t="s">
        <v>8</v>
      </c>
      <c r="F24" s="28"/>
      <c r="G24" s="6"/>
      <c r="H24" s="7"/>
      <c r="I24" s="11" t="s">
        <v>5</v>
      </c>
      <c r="J24" s="11" t="s">
        <v>6</v>
      </c>
      <c r="K24" s="11" t="s">
        <v>7</v>
      </c>
      <c r="L24" s="11" t="s">
        <v>8</v>
      </c>
      <c r="M24" s="12"/>
    </row>
    <row r="25" ht="12.0" customHeight="1">
      <c r="A25" s="22" t="s">
        <v>23</v>
      </c>
      <c r="B25" s="14">
        <f t="shared" ref="B25:F25" si="13">B57</f>
        <v>6.185526</v>
      </c>
      <c r="C25" s="14">
        <f t="shared" si="13"/>
        <v>3.591213</v>
      </c>
      <c r="D25" s="14">
        <f t="shared" si="13"/>
        <v>2.073051</v>
      </c>
      <c r="E25" s="14">
        <f t="shared" si="13"/>
        <v>5.754975</v>
      </c>
      <c r="F25" s="14">
        <f t="shared" si="13"/>
        <v>5.371844</v>
      </c>
      <c r="G25" s="6"/>
      <c r="H25" s="23" t="s">
        <v>23</v>
      </c>
      <c r="I25" s="15">
        <f t="shared" ref="I25:M25" si="14">G57</f>
        <v>11419.99</v>
      </c>
      <c r="J25" s="15">
        <f t="shared" si="14"/>
        <v>3029.778</v>
      </c>
      <c r="K25" s="15">
        <f t="shared" si="14"/>
        <v>580.2558</v>
      </c>
      <c r="L25" s="15">
        <f t="shared" si="14"/>
        <v>13869.51</v>
      </c>
      <c r="M25" s="15">
        <f t="shared" si="14"/>
        <v>14449.76</v>
      </c>
    </row>
    <row r="26" ht="12.0" customHeight="1">
      <c r="A26" s="22" t="s">
        <v>10</v>
      </c>
      <c r="B26" s="14">
        <f t="shared" ref="B26:F26" si="15">B58</f>
        <v>6.46349</v>
      </c>
      <c r="C26" s="14">
        <f t="shared" si="15"/>
        <v>2.682847</v>
      </c>
      <c r="D26" s="14">
        <f t="shared" si="15"/>
        <v>1.993621</v>
      </c>
      <c r="E26" s="14">
        <f t="shared" si="15"/>
        <v>5.593631</v>
      </c>
      <c r="F26" s="14">
        <f t="shared" si="15"/>
        <v>5.367442</v>
      </c>
      <c r="G26" s="6"/>
      <c r="H26" s="23" t="s">
        <v>10</v>
      </c>
      <c r="I26" s="15">
        <f t="shared" ref="I26:M26" si="16">G58</f>
        <v>21261.21</v>
      </c>
      <c r="J26" s="15">
        <f t="shared" si="16"/>
        <v>3603.028</v>
      </c>
      <c r="K26" s="15">
        <f t="shared" si="16"/>
        <v>580.2558</v>
      </c>
      <c r="L26" s="15">
        <f t="shared" si="16"/>
        <v>24283.98</v>
      </c>
      <c r="M26" s="15">
        <f t="shared" si="16"/>
        <v>24864.24</v>
      </c>
      <c r="N26" s="29"/>
    </row>
    <row r="27" ht="12.0" customHeight="1">
      <c r="A27" s="22" t="s">
        <v>18</v>
      </c>
      <c r="B27" s="14">
        <f t="shared" ref="B27:F27" si="17">B59</f>
        <v>5.784214</v>
      </c>
      <c r="C27" s="14">
        <f t="shared" si="17"/>
        <v>2.978586</v>
      </c>
      <c r="D27" s="14">
        <f t="shared" si="17"/>
        <v>1.378091</v>
      </c>
      <c r="E27" s="14">
        <f t="shared" si="17"/>
        <v>5.24038</v>
      </c>
      <c r="F27" s="14">
        <f t="shared" si="17"/>
        <v>4.965035</v>
      </c>
      <c r="G27" s="6"/>
      <c r="H27" s="23" t="s">
        <v>18</v>
      </c>
      <c r="I27" s="15">
        <f t="shared" ref="I27:M27" si="18">G59</f>
        <v>24188.05</v>
      </c>
      <c r="J27" s="15">
        <f t="shared" si="18"/>
        <v>5136.503</v>
      </c>
      <c r="K27" s="15">
        <f t="shared" si="18"/>
        <v>580.2558</v>
      </c>
      <c r="L27" s="15">
        <f t="shared" si="18"/>
        <v>28744.3</v>
      </c>
      <c r="M27" s="15">
        <f t="shared" si="18"/>
        <v>29324.55</v>
      </c>
    </row>
    <row r="28" ht="12.0" customHeight="1">
      <c r="A28" s="16" t="s">
        <v>24</v>
      </c>
      <c r="B28" s="17"/>
      <c r="C28" s="17"/>
      <c r="D28" s="17"/>
      <c r="E28" s="17"/>
      <c r="F28" s="17"/>
      <c r="G28" s="18"/>
      <c r="H28" s="16" t="s">
        <v>24</v>
      </c>
      <c r="I28" s="19"/>
      <c r="J28" s="19"/>
      <c r="K28" s="19"/>
      <c r="L28" s="19"/>
      <c r="M28" s="19"/>
      <c r="N28" s="16"/>
      <c r="O28" s="16"/>
      <c r="P28" s="16"/>
      <c r="Q28" s="16"/>
      <c r="R28" s="16"/>
      <c r="S28" s="16"/>
      <c r="T28" s="16"/>
      <c r="U28" s="16"/>
      <c r="V28" s="16"/>
      <c r="W28" s="16"/>
      <c r="X28" s="16"/>
      <c r="Y28" s="16"/>
      <c r="Z28" s="16"/>
    </row>
    <row r="29" ht="12.0" customHeight="1">
      <c r="A29" s="16" t="s">
        <v>14</v>
      </c>
      <c r="B29" s="17"/>
      <c r="C29" s="17"/>
      <c r="D29" s="17"/>
      <c r="E29" s="17"/>
      <c r="F29" s="17"/>
      <c r="G29" s="18"/>
      <c r="H29" s="16" t="s">
        <v>14</v>
      </c>
      <c r="I29" s="19"/>
      <c r="J29" s="19"/>
      <c r="K29" s="19"/>
      <c r="L29" s="19"/>
      <c r="M29" s="19"/>
      <c r="N29" s="16"/>
      <c r="O29" s="16"/>
      <c r="P29" s="16"/>
      <c r="Q29" s="16"/>
      <c r="R29" s="16"/>
      <c r="S29" s="16"/>
      <c r="T29" s="16"/>
      <c r="U29" s="16"/>
      <c r="V29" s="16"/>
      <c r="W29" s="16"/>
      <c r="X29" s="16"/>
      <c r="Y29" s="16"/>
      <c r="Z29" s="16"/>
    </row>
    <row r="30" ht="12.0" customHeight="1">
      <c r="A30" s="2"/>
      <c r="B30" s="6"/>
      <c r="C30" s="6"/>
      <c r="D30" s="6"/>
      <c r="E30" s="6"/>
      <c r="F30" s="6"/>
      <c r="G30" s="6"/>
      <c r="H30" s="7"/>
      <c r="I30" s="6"/>
      <c r="J30" s="6"/>
      <c r="K30" s="6"/>
      <c r="L30" s="6"/>
      <c r="M30" s="6"/>
      <c r="P30" s="30"/>
    </row>
    <row r="31" ht="12.0" customHeight="1">
      <c r="A31" s="2"/>
      <c r="B31" s="31" t="s">
        <v>25</v>
      </c>
      <c r="C31" s="4"/>
      <c r="D31" s="4"/>
      <c r="E31" s="4"/>
      <c r="F31" s="5"/>
      <c r="G31" s="6"/>
      <c r="H31" s="7"/>
      <c r="I31" s="31" t="s">
        <v>26</v>
      </c>
      <c r="J31" s="4"/>
      <c r="K31" s="4"/>
      <c r="L31" s="4"/>
      <c r="M31" s="5"/>
      <c r="P31" s="32"/>
    </row>
    <row r="32" ht="12.0" customHeight="1">
      <c r="A32" s="2"/>
      <c r="B32" s="8" t="s">
        <v>2</v>
      </c>
      <c r="C32" s="9"/>
      <c r="D32" s="8" t="s">
        <v>3</v>
      </c>
      <c r="E32" s="9"/>
      <c r="F32" s="27" t="s">
        <v>4</v>
      </c>
      <c r="G32" s="6"/>
      <c r="H32" s="7"/>
      <c r="I32" s="8" t="s">
        <v>2</v>
      </c>
      <c r="J32" s="9"/>
      <c r="K32" s="8" t="s">
        <v>3</v>
      </c>
      <c r="L32" s="9"/>
      <c r="M32" s="27" t="s">
        <v>4</v>
      </c>
      <c r="P32" s="33"/>
    </row>
    <row r="33" ht="15.75" customHeight="1">
      <c r="A33" s="2"/>
      <c r="B33" s="11" t="s">
        <v>5</v>
      </c>
      <c r="C33" s="11" t="s">
        <v>6</v>
      </c>
      <c r="D33" s="11" t="s">
        <v>7</v>
      </c>
      <c r="E33" s="11" t="s">
        <v>8</v>
      </c>
      <c r="F33" s="28"/>
      <c r="G33" s="6"/>
      <c r="H33" s="7"/>
      <c r="I33" s="11" t="s">
        <v>5</v>
      </c>
      <c r="J33" s="11" t="s">
        <v>6</v>
      </c>
      <c r="K33" s="11" t="s">
        <v>7</v>
      </c>
      <c r="L33" s="11" t="s">
        <v>8</v>
      </c>
      <c r="M33" s="28"/>
      <c r="P33" s="33"/>
    </row>
    <row r="34" ht="15.75" customHeight="1">
      <c r="A34" s="22" t="s">
        <v>23</v>
      </c>
      <c r="B34" s="14">
        <f t="shared" ref="B34:F34" si="19">B60</f>
        <v>18.80488</v>
      </c>
      <c r="C34" s="14">
        <f t="shared" si="19"/>
        <v>5.033316</v>
      </c>
      <c r="D34" s="14">
        <f t="shared" si="19"/>
        <v>0.4605893</v>
      </c>
      <c r="E34" s="14">
        <f t="shared" si="19"/>
        <v>16.08701</v>
      </c>
      <c r="F34" s="14">
        <f t="shared" si="19"/>
        <v>14.40428</v>
      </c>
      <c r="G34" s="6"/>
      <c r="H34" s="34" t="s">
        <v>23</v>
      </c>
      <c r="I34" s="15">
        <f t="shared" ref="I34:M34" si="20">G60</f>
        <v>32570.88</v>
      </c>
      <c r="J34" s="15">
        <f t="shared" si="20"/>
        <v>4093.93</v>
      </c>
      <c r="K34" s="15">
        <f t="shared" si="20"/>
        <v>126.2483</v>
      </c>
      <c r="L34" s="15">
        <f t="shared" si="20"/>
        <v>36538.56</v>
      </c>
      <c r="M34" s="15">
        <f t="shared" si="20"/>
        <v>36664.8</v>
      </c>
    </row>
    <row r="35" ht="15.75" customHeight="1">
      <c r="A35" s="22" t="s">
        <v>10</v>
      </c>
      <c r="B35" s="14">
        <f t="shared" ref="B35:F35" si="21">B61</f>
        <v>8.475057</v>
      </c>
      <c r="C35" s="14">
        <f t="shared" si="21"/>
        <v>7.705242</v>
      </c>
      <c r="D35" s="14">
        <f t="shared" si="21"/>
        <v>1.367495</v>
      </c>
      <c r="E35" s="14">
        <f t="shared" si="21"/>
        <v>8.724255</v>
      </c>
      <c r="F35" s="14">
        <f t="shared" si="21"/>
        <v>8.245548</v>
      </c>
      <c r="G35" s="6"/>
      <c r="H35" s="34" t="s">
        <v>10</v>
      </c>
      <c r="I35" s="15">
        <f t="shared" ref="I35:M35" si="22">G61</f>
        <v>26076.22</v>
      </c>
      <c r="J35" s="15">
        <f t="shared" si="22"/>
        <v>10070.42</v>
      </c>
      <c r="K35" s="15">
        <f t="shared" si="22"/>
        <v>390.0829</v>
      </c>
      <c r="L35" s="15">
        <f t="shared" si="22"/>
        <v>35756.55</v>
      </c>
      <c r="M35" s="15">
        <f t="shared" si="22"/>
        <v>36146.64</v>
      </c>
      <c r="O35" s="16"/>
    </row>
    <row r="36" ht="15.75" customHeight="1">
      <c r="A36" s="22" t="s">
        <v>18</v>
      </c>
      <c r="B36" s="14">
        <f t="shared" ref="B36:F36" si="23">B62</f>
        <v>12.59681</v>
      </c>
      <c r="C36" s="14">
        <f t="shared" si="23"/>
        <v>6.524409</v>
      </c>
      <c r="D36" s="14">
        <f t="shared" si="23"/>
        <v>0.9393812</v>
      </c>
      <c r="E36" s="14">
        <f t="shared" si="23"/>
        <v>11.57347</v>
      </c>
      <c r="F36" s="14">
        <f t="shared" si="23"/>
        <v>10.78675</v>
      </c>
      <c r="G36" s="6"/>
      <c r="H36" s="34" t="s">
        <v>18</v>
      </c>
      <c r="I36" s="15">
        <f t="shared" ref="I36:M36" si="24">G62</f>
        <v>49629.59</v>
      </c>
      <c r="J36" s="15">
        <f t="shared" si="24"/>
        <v>10916.07</v>
      </c>
      <c r="K36" s="15">
        <f t="shared" si="24"/>
        <v>390.0829</v>
      </c>
      <c r="L36" s="15">
        <f t="shared" si="24"/>
        <v>60155.58</v>
      </c>
      <c r="M36" s="15">
        <f t="shared" si="24"/>
        <v>60545.66</v>
      </c>
      <c r="O36" s="35"/>
    </row>
    <row r="37" ht="15.75" customHeight="1">
      <c r="A37" s="16" t="s">
        <v>27</v>
      </c>
      <c r="B37" s="16"/>
      <c r="C37" s="16"/>
      <c r="D37" s="16"/>
      <c r="E37" s="16"/>
      <c r="F37" s="16"/>
      <c r="G37" s="16"/>
      <c r="H37" s="16" t="s">
        <v>28</v>
      </c>
      <c r="I37" s="16"/>
      <c r="J37" s="16"/>
      <c r="K37" s="16"/>
      <c r="L37" s="16"/>
      <c r="M37" s="16"/>
      <c r="N37" s="16"/>
      <c r="O37" s="16"/>
      <c r="P37" s="16"/>
      <c r="Q37" s="16"/>
      <c r="R37" s="16"/>
      <c r="S37" s="16"/>
      <c r="T37" s="16"/>
      <c r="U37" s="16"/>
      <c r="V37" s="16"/>
      <c r="W37" s="16"/>
      <c r="X37" s="16"/>
      <c r="Y37" s="16"/>
      <c r="Z37" s="16"/>
    </row>
    <row r="38" ht="15.75" customHeight="1">
      <c r="A38" s="16" t="s">
        <v>14</v>
      </c>
      <c r="B38" s="16"/>
      <c r="C38" s="16"/>
      <c r="D38" s="16"/>
      <c r="E38" s="16"/>
      <c r="F38" s="16"/>
      <c r="G38" s="16"/>
      <c r="H38" s="16" t="s">
        <v>14</v>
      </c>
      <c r="I38" s="16"/>
      <c r="J38" s="16"/>
      <c r="K38" s="16"/>
      <c r="L38" s="16"/>
      <c r="M38" s="16"/>
      <c r="N38" s="16"/>
      <c r="O38" s="16"/>
      <c r="P38" s="16"/>
      <c r="Q38" s="16"/>
      <c r="R38" s="16"/>
      <c r="S38" s="16"/>
      <c r="T38" s="16"/>
      <c r="U38" s="16"/>
      <c r="V38" s="16"/>
      <c r="W38" s="16"/>
      <c r="X38" s="16"/>
      <c r="Y38" s="16"/>
      <c r="Z38" s="16"/>
    </row>
    <row r="39" ht="15.7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5.75" customHeight="1">
      <c r="A40" s="2"/>
      <c r="B40" s="31" t="s">
        <v>29</v>
      </c>
      <c r="C40" s="4"/>
      <c r="D40" s="4"/>
      <c r="E40" s="4"/>
      <c r="F40" s="5"/>
      <c r="G40" s="6"/>
      <c r="H40" s="7"/>
      <c r="I40" s="31" t="s">
        <v>30</v>
      </c>
      <c r="J40" s="4"/>
      <c r="K40" s="4"/>
      <c r="L40" s="4"/>
      <c r="M40" s="5"/>
    </row>
    <row r="41" ht="15.75" customHeight="1">
      <c r="A41" s="2"/>
      <c r="B41" s="8" t="s">
        <v>2</v>
      </c>
      <c r="C41" s="9"/>
      <c r="D41" s="8" t="s">
        <v>3</v>
      </c>
      <c r="E41" s="9"/>
      <c r="F41" s="27" t="s">
        <v>4</v>
      </c>
      <c r="G41" s="6"/>
      <c r="H41" s="7"/>
      <c r="I41" s="8" t="s">
        <v>2</v>
      </c>
      <c r="J41" s="9"/>
      <c r="K41" s="8" t="s">
        <v>3</v>
      </c>
      <c r="L41" s="9"/>
      <c r="M41" s="27" t="s">
        <v>4</v>
      </c>
    </row>
    <row r="42" ht="15.75" customHeight="1">
      <c r="A42" s="2"/>
      <c r="B42" s="11" t="s">
        <v>5</v>
      </c>
      <c r="C42" s="11" t="s">
        <v>6</v>
      </c>
      <c r="D42" s="11" t="s">
        <v>7</v>
      </c>
      <c r="E42" s="11" t="s">
        <v>8</v>
      </c>
      <c r="F42" s="28"/>
      <c r="G42" s="6"/>
      <c r="H42" s="7"/>
      <c r="I42" s="11" t="s">
        <v>5</v>
      </c>
      <c r="J42" s="11" t="s">
        <v>6</v>
      </c>
      <c r="K42" s="11" t="s">
        <v>7</v>
      </c>
      <c r="L42" s="11" t="s">
        <v>8</v>
      </c>
      <c r="M42" s="28"/>
    </row>
    <row r="43" ht="15.75" customHeight="1">
      <c r="A43" s="22" t="s">
        <v>23</v>
      </c>
      <c r="B43" s="14">
        <f t="shared" ref="B43:C43" si="25">B63</f>
        <v>15.06926</v>
      </c>
      <c r="C43" s="14">
        <f t="shared" si="25"/>
        <v>32.23814</v>
      </c>
      <c r="D43" s="14" t="s">
        <v>72</v>
      </c>
      <c r="E43" s="14">
        <f t="shared" ref="E43:F43" si="26">E63</f>
        <v>17.045</v>
      </c>
      <c r="F43" s="14">
        <f t="shared" si="26"/>
        <v>16.98631</v>
      </c>
      <c r="G43" s="6"/>
      <c r="H43" s="34" t="s">
        <v>23</v>
      </c>
      <c r="I43" s="15">
        <f t="shared" ref="I43:J43" si="27">G63</f>
        <v>4908.189</v>
      </c>
      <c r="J43" s="15">
        <f t="shared" si="27"/>
        <v>1319.807</v>
      </c>
      <c r="K43" s="15" t="s">
        <v>72</v>
      </c>
      <c r="L43" s="15">
        <f t="shared" ref="L43:M43" si="28">J63</f>
        <v>6227.996</v>
      </c>
      <c r="M43" s="15">
        <f t="shared" si="28"/>
        <v>6227.996</v>
      </c>
    </row>
    <row r="44" ht="15.75" customHeight="1">
      <c r="A44" s="22" t="s">
        <v>10</v>
      </c>
      <c r="B44" s="14">
        <f t="shared" ref="B44:C44" si="29">B64</f>
        <v>34.80162</v>
      </c>
      <c r="C44" s="14">
        <f t="shared" si="29"/>
        <v>62.35057</v>
      </c>
      <c r="D44" s="14" t="s">
        <v>72</v>
      </c>
      <c r="E44" s="14">
        <f t="shared" ref="E44:F44" si="30">E64</f>
        <v>42.94013</v>
      </c>
      <c r="F44" s="14">
        <f t="shared" si="30"/>
        <v>42.47673</v>
      </c>
      <c r="G44" s="6"/>
      <c r="H44" s="34" t="s">
        <v>10</v>
      </c>
      <c r="I44" s="15">
        <f t="shared" ref="I44:J44" si="31">G64</f>
        <v>9074.947</v>
      </c>
      <c r="J44" s="15">
        <f t="shared" si="31"/>
        <v>6278.963</v>
      </c>
      <c r="K44" s="15" t="s">
        <v>72</v>
      </c>
      <c r="L44" s="15">
        <f t="shared" ref="L44:M44" si="32">J64</f>
        <v>15353.91</v>
      </c>
      <c r="M44" s="15">
        <f t="shared" si="32"/>
        <v>15353.91</v>
      </c>
    </row>
    <row r="45" ht="15.75" customHeight="1">
      <c r="A45" s="22" t="s">
        <v>18</v>
      </c>
      <c r="B45" s="14">
        <f t="shared" ref="B45:C45" si="33">B65</f>
        <v>19.31615</v>
      </c>
      <c r="C45" s="14">
        <f t="shared" si="33"/>
        <v>58.70942</v>
      </c>
      <c r="D45" s="14" t="s">
        <v>72</v>
      </c>
      <c r="E45" s="14">
        <f t="shared" ref="E45:F45" si="34">E65</f>
        <v>26.58986</v>
      </c>
      <c r="F45" s="14">
        <f t="shared" si="34"/>
        <v>26.41855</v>
      </c>
      <c r="G45" s="6"/>
      <c r="H45" s="34" t="s">
        <v>18</v>
      </c>
      <c r="I45" s="15">
        <f t="shared" ref="I45:J45" si="35">G65</f>
        <v>9586.524</v>
      </c>
      <c r="J45" s="15">
        <f t="shared" si="35"/>
        <v>6408.761</v>
      </c>
      <c r="K45" s="15" t="s">
        <v>72</v>
      </c>
      <c r="L45" s="15">
        <f t="shared" ref="L45:M45" si="36">J65</f>
        <v>15995.29</v>
      </c>
      <c r="M45" s="15">
        <f t="shared" si="36"/>
        <v>15995.29</v>
      </c>
    </row>
    <row r="46" ht="15.75" customHeight="1">
      <c r="A46" s="16" t="s">
        <v>31</v>
      </c>
      <c r="B46" s="16"/>
      <c r="C46" s="16"/>
      <c r="D46" s="16"/>
      <c r="E46" s="16"/>
      <c r="F46" s="16"/>
      <c r="G46" s="16"/>
      <c r="H46" s="16" t="s">
        <v>31</v>
      </c>
      <c r="I46" s="16"/>
      <c r="J46" s="16"/>
      <c r="K46" s="16"/>
      <c r="L46" s="16"/>
      <c r="M46" s="16"/>
      <c r="N46" s="16"/>
      <c r="O46" s="16"/>
      <c r="P46" s="16"/>
      <c r="Q46" s="16"/>
      <c r="R46" s="16"/>
      <c r="S46" s="16"/>
      <c r="T46" s="16"/>
      <c r="U46" s="16"/>
      <c r="V46" s="16"/>
      <c r="W46" s="16"/>
      <c r="X46" s="16"/>
      <c r="Y46" s="16"/>
      <c r="Z46" s="16"/>
    </row>
    <row r="47" ht="15.75" customHeight="1">
      <c r="A47" s="16" t="s">
        <v>14</v>
      </c>
      <c r="B47" s="16"/>
      <c r="C47" s="16"/>
      <c r="D47" s="16"/>
      <c r="E47" s="16"/>
      <c r="F47" s="16"/>
      <c r="G47" s="16"/>
      <c r="H47" s="16" t="s">
        <v>14</v>
      </c>
      <c r="I47" s="16"/>
      <c r="J47" s="16"/>
      <c r="K47" s="16"/>
      <c r="L47" s="16"/>
      <c r="M47" s="16"/>
      <c r="N47" s="16"/>
      <c r="O47" s="16"/>
      <c r="P47" s="16"/>
      <c r="Q47" s="16"/>
      <c r="R47" s="16"/>
      <c r="S47" s="16"/>
      <c r="T47" s="16"/>
      <c r="U47" s="16"/>
      <c r="V47" s="16"/>
      <c r="W47" s="16"/>
      <c r="X47" s="16"/>
      <c r="Y47" s="16"/>
      <c r="Z47" s="16"/>
    </row>
    <row r="48" ht="15.75" customHeight="1">
      <c r="H48" s="1"/>
    </row>
    <row r="49" ht="15.75" customHeight="1">
      <c r="A49" s="36"/>
      <c r="B49" s="36"/>
      <c r="C49" s="36"/>
      <c r="D49" s="36"/>
      <c r="E49" s="36"/>
      <c r="F49" s="36"/>
      <c r="G49" s="36"/>
      <c r="H49" s="1"/>
      <c r="I49" s="36"/>
      <c r="J49" s="36"/>
      <c r="K49" s="36"/>
      <c r="L49" s="36"/>
      <c r="M49" s="36"/>
      <c r="N49" s="36"/>
      <c r="O49" s="36"/>
      <c r="P49" s="36"/>
      <c r="Q49" s="36"/>
      <c r="R49" s="36"/>
      <c r="S49" s="36"/>
      <c r="T49" s="36"/>
      <c r="U49" s="36"/>
      <c r="V49" s="36"/>
      <c r="W49" s="36"/>
      <c r="X49" s="36"/>
      <c r="Y49" s="36"/>
      <c r="Z49" s="36"/>
    </row>
    <row r="50" ht="15.75" customHeight="1">
      <c r="A50" s="36"/>
      <c r="B50" s="36" t="s">
        <v>32</v>
      </c>
      <c r="C50" s="36" t="s">
        <v>33</v>
      </c>
      <c r="D50" s="36" t="s">
        <v>34</v>
      </c>
      <c r="E50" s="36" t="s">
        <v>35</v>
      </c>
      <c r="F50" s="36" t="s">
        <v>36</v>
      </c>
      <c r="G50" s="36" t="s">
        <v>37</v>
      </c>
      <c r="H50" s="1" t="s">
        <v>38</v>
      </c>
      <c r="I50" s="36" t="s">
        <v>39</v>
      </c>
      <c r="J50" s="36" t="s">
        <v>40</v>
      </c>
      <c r="K50" s="36" t="s">
        <v>41</v>
      </c>
      <c r="L50" s="36"/>
      <c r="M50" s="36"/>
      <c r="N50" s="36"/>
      <c r="O50" s="36"/>
      <c r="P50" s="36"/>
      <c r="Q50" s="36"/>
      <c r="R50" s="36"/>
      <c r="S50" s="36"/>
      <c r="T50" s="36"/>
      <c r="U50" s="36"/>
      <c r="V50" s="36"/>
      <c r="W50" s="36"/>
      <c r="X50" s="36"/>
      <c r="Y50" s="36"/>
      <c r="Z50" s="36"/>
    </row>
    <row r="51" ht="15.75" customHeight="1">
      <c r="A51" s="36"/>
      <c r="B51" s="36">
        <v>15.16685</v>
      </c>
      <c r="C51" s="36">
        <v>8.235289</v>
      </c>
      <c r="D51" s="36">
        <v>9.611295</v>
      </c>
      <c r="E51" s="36">
        <v>11.90411</v>
      </c>
      <c r="F51" s="36">
        <v>11.6637</v>
      </c>
      <c r="G51" s="36">
        <v>737276.2</v>
      </c>
      <c r="H51" s="1">
        <v>409053.3</v>
      </c>
      <c r="I51" s="36">
        <v>99047.2</v>
      </c>
      <c r="J51" s="36">
        <v>1047282.0</v>
      </c>
      <c r="K51" s="36">
        <v>1146330.0</v>
      </c>
      <c r="L51" s="36"/>
      <c r="M51" s="36"/>
      <c r="N51" s="36"/>
      <c r="O51" s="36"/>
      <c r="P51" s="36"/>
      <c r="Q51" s="36"/>
      <c r="R51" s="36"/>
      <c r="S51" s="36"/>
      <c r="T51" s="36"/>
      <c r="U51" s="36"/>
      <c r="V51" s="36"/>
      <c r="W51" s="36"/>
      <c r="X51" s="36"/>
      <c r="Y51" s="36"/>
      <c r="Z51" s="36"/>
    </row>
    <row r="52" ht="15.75" customHeight="1">
      <c r="A52" s="36"/>
      <c r="B52" s="36">
        <v>68.94965</v>
      </c>
      <c r="C52" s="36">
        <v>58.00744</v>
      </c>
      <c r="D52" s="36">
        <v>30.78188</v>
      </c>
      <c r="E52" s="36">
        <v>67.24262</v>
      </c>
      <c r="F52" s="36">
        <v>63.41955</v>
      </c>
      <c r="G52" s="36">
        <v>3351713.0</v>
      </c>
      <c r="H52" s="1">
        <v>2881276.0</v>
      </c>
      <c r="I52" s="36">
        <v>317216.3</v>
      </c>
      <c r="J52" s="36">
        <v>5915773.0</v>
      </c>
      <c r="K52" s="36">
        <v>6232989.0</v>
      </c>
      <c r="L52" s="36"/>
      <c r="M52" s="36"/>
      <c r="N52" s="36"/>
      <c r="O52" s="36"/>
      <c r="P52" s="36"/>
      <c r="Q52" s="36"/>
      <c r="R52" s="36"/>
      <c r="S52" s="36"/>
      <c r="T52" s="36"/>
      <c r="U52" s="36"/>
      <c r="V52" s="36"/>
      <c r="W52" s="36"/>
      <c r="X52" s="36"/>
      <c r="Y52" s="36"/>
      <c r="Z52" s="36"/>
    </row>
    <row r="53" ht="15.75" customHeight="1">
      <c r="A53" s="36"/>
      <c r="B53" s="36">
        <v>70.06578</v>
      </c>
      <c r="C53" s="36">
        <v>58.57576</v>
      </c>
      <c r="D53" s="36">
        <v>31.88034</v>
      </c>
      <c r="E53" s="36">
        <v>68.05154</v>
      </c>
      <c r="F53" s="36">
        <v>64.25882</v>
      </c>
      <c r="G53" s="36">
        <v>3405969.0</v>
      </c>
      <c r="H53" s="1">
        <v>2909505.0</v>
      </c>
      <c r="I53" s="36">
        <v>328536.3</v>
      </c>
      <c r="J53" s="36">
        <v>5986938.0</v>
      </c>
      <c r="K53" s="36">
        <v>6315474.0</v>
      </c>
      <c r="L53" s="36"/>
      <c r="M53" s="36"/>
      <c r="N53" s="36"/>
      <c r="O53" s="36"/>
      <c r="P53" s="36"/>
      <c r="Q53" s="36"/>
      <c r="R53" s="36"/>
      <c r="S53" s="36"/>
      <c r="T53" s="36"/>
      <c r="U53" s="36"/>
      <c r="V53" s="36"/>
      <c r="W53" s="36"/>
      <c r="X53" s="36"/>
      <c r="Y53" s="36"/>
      <c r="Z53" s="36"/>
    </row>
    <row r="54" ht="15.75" customHeight="1">
      <c r="A54" s="36"/>
      <c r="B54" s="36">
        <v>25.04141</v>
      </c>
      <c r="C54" s="36">
        <v>20.62479</v>
      </c>
      <c r="D54" s="36">
        <v>28.25969</v>
      </c>
      <c r="E54" s="36">
        <v>23.01197</v>
      </c>
      <c r="F54" s="36">
        <v>23.46539</v>
      </c>
      <c r="G54" s="36">
        <v>184624.3</v>
      </c>
      <c r="H54" s="1">
        <v>84366.41</v>
      </c>
      <c r="I54" s="36">
        <v>27990.43</v>
      </c>
      <c r="J54" s="36">
        <v>241000.3</v>
      </c>
      <c r="K54" s="36">
        <v>268990.7</v>
      </c>
      <c r="L54" s="36"/>
      <c r="M54" s="36"/>
      <c r="N54" s="36"/>
      <c r="O54" s="36"/>
      <c r="P54" s="36"/>
      <c r="Q54" s="36"/>
      <c r="R54" s="36"/>
      <c r="S54" s="36"/>
      <c r="T54" s="36"/>
      <c r="U54" s="36"/>
      <c r="V54" s="36"/>
      <c r="W54" s="36"/>
      <c r="X54" s="36"/>
      <c r="Y54" s="36"/>
      <c r="Z54" s="36"/>
    </row>
    <row r="55" ht="15.75" customHeight="1">
      <c r="A55" s="36"/>
      <c r="B55" s="36">
        <v>9.81418</v>
      </c>
      <c r="C55" s="36">
        <v>4.661084</v>
      </c>
      <c r="D55" s="36">
        <v>9.175327</v>
      </c>
      <c r="E55" s="36">
        <v>7.338623</v>
      </c>
      <c r="F55" s="36">
        <v>7.432098</v>
      </c>
      <c r="G55" s="36">
        <v>328943.2</v>
      </c>
      <c r="H55" s="1">
        <v>134298.7</v>
      </c>
      <c r="I55" s="36">
        <v>29105.63</v>
      </c>
      <c r="J55" s="36">
        <v>434136.2</v>
      </c>
      <c r="K55" s="36">
        <v>463241.8</v>
      </c>
      <c r="L55" s="36"/>
      <c r="M55" s="36"/>
      <c r="N55" s="36"/>
      <c r="O55" s="36"/>
      <c r="P55" s="36"/>
      <c r="Q55" s="36"/>
      <c r="R55" s="36"/>
      <c r="S55" s="36"/>
      <c r="T55" s="36"/>
      <c r="U55" s="36"/>
      <c r="V55" s="36"/>
      <c r="W55" s="36"/>
      <c r="X55" s="36"/>
      <c r="Y55" s="36"/>
      <c r="Z55" s="36"/>
    </row>
    <row r="56" ht="15.75" customHeight="1">
      <c r="A56" s="36"/>
      <c r="B56" s="36">
        <v>12.27767</v>
      </c>
      <c r="C56" s="36">
        <v>5.927048</v>
      </c>
      <c r="D56" s="36">
        <v>12.81617</v>
      </c>
      <c r="E56" s="36">
        <v>9.161871</v>
      </c>
      <c r="F56" s="36">
        <v>9.351972</v>
      </c>
      <c r="G56" s="36">
        <v>418173.5</v>
      </c>
      <c r="H56" s="1">
        <v>172447.7</v>
      </c>
      <c r="I56" s="36">
        <v>42105.78</v>
      </c>
      <c r="J56" s="36">
        <v>548515.5</v>
      </c>
      <c r="K56" s="36">
        <v>590621.3</v>
      </c>
      <c r="L56" s="36"/>
      <c r="M56" s="36"/>
      <c r="N56" s="36"/>
      <c r="O56" s="36"/>
      <c r="P56" s="36"/>
      <c r="Q56" s="36"/>
      <c r="R56" s="36"/>
      <c r="S56" s="36"/>
      <c r="T56" s="36"/>
      <c r="U56" s="36"/>
      <c r="V56" s="36"/>
      <c r="W56" s="36"/>
      <c r="X56" s="36"/>
      <c r="Y56" s="36"/>
      <c r="Z56" s="36"/>
    </row>
    <row r="57" ht="15.75" customHeight="1">
      <c r="A57" s="36"/>
      <c r="B57" s="36">
        <v>6.185526</v>
      </c>
      <c r="C57" s="36">
        <v>3.591213</v>
      </c>
      <c r="D57" s="36">
        <v>2.073051</v>
      </c>
      <c r="E57" s="36">
        <v>5.754975</v>
      </c>
      <c r="F57" s="36">
        <v>5.371844</v>
      </c>
      <c r="G57" s="36">
        <v>11419.99</v>
      </c>
      <c r="H57" s="1">
        <v>3029.778</v>
      </c>
      <c r="I57" s="36">
        <v>580.2558</v>
      </c>
      <c r="J57" s="36">
        <v>13869.51</v>
      </c>
      <c r="K57" s="36">
        <v>14449.76</v>
      </c>
      <c r="L57" s="36"/>
      <c r="M57" s="36"/>
      <c r="N57" s="36"/>
      <c r="O57" s="36"/>
      <c r="P57" s="36"/>
      <c r="Q57" s="36"/>
      <c r="R57" s="36"/>
      <c r="S57" s="36"/>
      <c r="T57" s="36"/>
      <c r="U57" s="36"/>
      <c r="V57" s="36"/>
      <c r="W57" s="36"/>
      <c r="X57" s="36"/>
      <c r="Y57" s="36"/>
      <c r="Z57" s="36"/>
    </row>
    <row r="58" ht="15.75" customHeight="1">
      <c r="A58" s="36"/>
      <c r="B58" s="36">
        <v>6.46349</v>
      </c>
      <c r="C58" s="36">
        <v>2.682847</v>
      </c>
      <c r="D58" s="36">
        <v>1.993621</v>
      </c>
      <c r="E58" s="36">
        <v>5.593631</v>
      </c>
      <c r="F58" s="36">
        <v>5.367442</v>
      </c>
      <c r="G58" s="36">
        <v>21261.21</v>
      </c>
      <c r="H58" s="1">
        <v>3603.028</v>
      </c>
      <c r="I58" s="36">
        <v>580.2558</v>
      </c>
      <c r="J58" s="36">
        <v>24283.98</v>
      </c>
      <c r="K58" s="36">
        <v>24864.24</v>
      </c>
      <c r="L58" s="36"/>
      <c r="M58" s="36"/>
      <c r="N58" s="36"/>
      <c r="O58" s="36"/>
      <c r="P58" s="36"/>
      <c r="Q58" s="36"/>
      <c r="R58" s="36"/>
      <c r="S58" s="36"/>
      <c r="T58" s="36"/>
      <c r="U58" s="36"/>
      <c r="V58" s="36"/>
      <c r="W58" s="36"/>
      <c r="X58" s="36"/>
      <c r="Y58" s="36"/>
      <c r="Z58" s="36"/>
    </row>
    <row r="59" ht="15.75" customHeight="1">
      <c r="A59" s="36"/>
      <c r="B59" s="36">
        <v>5.784214</v>
      </c>
      <c r="C59" s="36">
        <v>2.978586</v>
      </c>
      <c r="D59" s="36">
        <v>1.378091</v>
      </c>
      <c r="E59" s="36">
        <v>5.24038</v>
      </c>
      <c r="F59" s="36">
        <v>4.965035</v>
      </c>
      <c r="G59" s="36">
        <v>24188.05</v>
      </c>
      <c r="H59" s="1">
        <v>5136.503</v>
      </c>
      <c r="I59" s="36">
        <v>580.2558</v>
      </c>
      <c r="J59" s="36">
        <v>28744.3</v>
      </c>
      <c r="K59" s="36">
        <v>29324.55</v>
      </c>
      <c r="L59" s="36"/>
      <c r="M59" s="36"/>
      <c r="N59" s="36"/>
      <c r="O59" s="36"/>
      <c r="P59" s="36"/>
      <c r="Q59" s="36"/>
      <c r="R59" s="36"/>
      <c r="S59" s="36"/>
      <c r="T59" s="36"/>
      <c r="U59" s="36"/>
      <c r="V59" s="36"/>
      <c r="W59" s="36"/>
      <c r="X59" s="36"/>
      <c r="Y59" s="36"/>
      <c r="Z59" s="36"/>
    </row>
    <row r="60" ht="15.75" customHeight="1">
      <c r="A60" s="36"/>
      <c r="B60" s="36">
        <v>18.80488</v>
      </c>
      <c r="C60" s="36">
        <v>5.033316</v>
      </c>
      <c r="D60" s="36">
        <v>0.4605893</v>
      </c>
      <c r="E60" s="36">
        <v>16.08701</v>
      </c>
      <c r="F60" s="36">
        <v>14.40428</v>
      </c>
      <c r="G60" s="36">
        <v>32570.88</v>
      </c>
      <c r="H60" s="1">
        <v>4093.93</v>
      </c>
      <c r="I60" s="36">
        <v>126.2483</v>
      </c>
      <c r="J60" s="36">
        <v>36538.56</v>
      </c>
      <c r="K60" s="36">
        <v>36664.8</v>
      </c>
      <c r="L60" s="36"/>
      <c r="M60" s="36"/>
      <c r="N60" s="36"/>
      <c r="O60" s="36"/>
      <c r="P60" s="36"/>
      <c r="Q60" s="36"/>
      <c r="R60" s="36"/>
      <c r="S60" s="36"/>
      <c r="T60" s="36"/>
      <c r="U60" s="36"/>
      <c r="V60" s="36"/>
      <c r="W60" s="36"/>
      <c r="X60" s="36"/>
      <c r="Y60" s="36"/>
      <c r="Z60" s="36"/>
    </row>
    <row r="61" ht="15.75" customHeight="1">
      <c r="A61" s="36"/>
      <c r="B61" s="36">
        <v>8.475057</v>
      </c>
      <c r="C61" s="36">
        <v>7.705242</v>
      </c>
      <c r="D61" s="36">
        <v>1.367495</v>
      </c>
      <c r="E61" s="36">
        <v>8.724255</v>
      </c>
      <c r="F61" s="36">
        <v>8.245548</v>
      </c>
      <c r="G61" s="36">
        <v>26076.22</v>
      </c>
      <c r="H61" s="1">
        <v>10070.42</v>
      </c>
      <c r="I61" s="36">
        <v>390.0829</v>
      </c>
      <c r="J61" s="36">
        <v>35756.55</v>
      </c>
      <c r="K61" s="36">
        <v>36146.64</v>
      </c>
      <c r="L61" s="36"/>
      <c r="M61" s="36"/>
      <c r="N61" s="36"/>
      <c r="O61" s="36"/>
      <c r="P61" s="36"/>
      <c r="Q61" s="36"/>
      <c r="R61" s="36"/>
      <c r="S61" s="36"/>
      <c r="T61" s="36"/>
      <c r="U61" s="36"/>
      <c r="V61" s="36"/>
      <c r="W61" s="36"/>
      <c r="X61" s="36"/>
      <c r="Y61" s="36"/>
      <c r="Z61" s="36"/>
    </row>
    <row r="62" ht="15.75" customHeight="1">
      <c r="A62" s="36"/>
      <c r="B62" s="36">
        <v>12.59681</v>
      </c>
      <c r="C62" s="36">
        <v>6.524409</v>
      </c>
      <c r="D62" s="36">
        <v>0.9393812</v>
      </c>
      <c r="E62" s="36">
        <v>11.57347</v>
      </c>
      <c r="F62" s="36">
        <v>10.78675</v>
      </c>
      <c r="G62" s="36">
        <v>49629.59</v>
      </c>
      <c r="H62" s="1">
        <v>10916.07</v>
      </c>
      <c r="I62" s="36">
        <v>390.0829</v>
      </c>
      <c r="J62" s="36">
        <v>60155.58</v>
      </c>
      <c r="K62" s="36">
        <v>60545.66</v>
      </c>
      <c r="L62" s="36"/>
      <c r="M62" s="36"/>
      <c r="N62" s="36"/>
      <c r="O62" s="36"/>
      <c r="P62" s="36"/>
      <c r="Q62" s="36"/>
      <c r="R62" s="36"/>
      <c r="S62" s="36"/>
      <c r="T62" s="36"/>
      <c r="U62" s="36"/>
      <c r="V62" s="36"/>
      <c r="W62" s="36"/>
      <c r="X62" s="36"/>
      <c r="Y62" s="36"/>
      <c r="Z62" s="36"/>
    </row>
    <row r="63" ht="15.75" customHeight="1">
      <c r="A63" s="36"/>
      <c r="B63" s="36">
        <v>15.06926</v>
      </c>
      <c r="C63" s="36">
        <v>32.23814</v>
      </c>
      <c r="D63" s="36">
        <v>0.0</v>
      </c>
      <c r="E63" s="36">
        <v>17.045</v>
      </c>
      <c r="F63" s="36">
        <v>16.98631</v>
      </c>
      <c r="G63" s="36">
        <v>4908.189</v>
      </c>
      <c r="H63" s="1">
        <v>1319.807</v>
      </c>
      <c r="I63" s="36">
        <v>0.0</v>
      </c>
      <c r="J63" s="36">
        <v>6227.996</v>
      </c>
      <c r="K63" s="36">
        <v>6227.996</v>
      </c>
      <c r="L63" s="36"/>
      <c r="M63" s="36"/>
      <c r="N63" s="36"/>
      <c r="O63" s="36"/>
      <c r="P63" s="36"/>
      <c r="Q63" s="36"/>
      <c r="R63" s="36"/>
      <c r="S63" s="36"/>
      <c r="T63" s="36"/>
      <c r="U63" s="36"/>
      <c r="V63" s="36"/>
      <c r="W63" s="36"/>
      <c r="X63" s="36"/>
      <c r="Y63" s="36"/>
      <c r="Z63" s="36"/>
    </row>
    <row r="64" ht="15.75" customHeight="1">
      <c r="A64" s="36"/>
      <c r="B64" s="36">
        <v>34.80162</v>
      </c>
      <c r="C64" s="36">
        <v>62.35057</v>
      </c>
      <c r="D64" s="36">
        <v>0.0</v>
      </c>
      <c r="E64" s="36">
        <v>42.94013</v>
      </c>
      <c r="F64" s="36">
        <v>42.47673</v>
      </c>
      <c r="G64" s="36">
        <v>9074.947</v>
      </c>
      <c r="H64" s="1">
        <v>6278.963</v>
      </c>
      <c r="I64" s="36">
        <v>0.0</v>
      </c>
      <c r="J64" s="36">
        <v>15353.91</v>
      </c>
      <c r="K64" s="36">
        <v>15353.91</v>
      </c>
      <c r="L64" s="36"/>
      <c r="M64" s="36"/>
      <c r="N64" s="36"/>
      <c r="O64" s="36"/>
      <c r="P64" s="36"/>
      <c r="Q64" s="36"/>
      <c r="R64" s="36"/>
      <c r="S64" s="36"/>
      <c r="T64" s="36"/>
      <c r="U64" s="36"/>
      <c r="V64" s="36"/>
      <c r="W64" s="36"/>
      <c r="X64" s="36"/>
      <c r="Y64" s="36"/>
      <c r="Z64" s="36"/>
    </row>
    <row r="65" ht="15.75" customHeight="1">
      <c r="A65" s="36"/>
      <c r="B65" s="36">
        <v>19.31615</v>
      </c>
      <c r="C65" s="36">
        <v>58.70942</v>
      </c>
      <c r="D65" s="36">
        <v>0.0</v>
      </c>
      <c r="E65" s="36">
        <v>26.58986</v>
      </c>
      <c r="F65" s="36">
        <v>26.41855</v>
      </c>
      <c r="G65" s="36">
        <v>9586.524</v>
      </c>
      <c r="H65" s="1">
        <v>6408.761</v>
      </c>
      <c r="I65" s="36">
        <v>0.0</v>
      </c>
      <c r="J65" s="36">
        <v>15995.29</v>
      </c>
      <c r="K65" s="36">
        <v>15995.29</v>
      </c>
      <c r="L65" s="36"/>
      <c r="M65" s="36"/>
      <c r="N65" s="36"/>
      <c r="O65" s="36"/>
      <c r="P65" s="36"/>
      <c r="Q65" s="36"/>
      <c r="R65" s="36"/>
      <c r="S65" s="36"/>
      <c r="T65" s="36"/>
      <c r="U65" s="36"/>
      <c r="V65" s="36"/>
      <c r="W65" s="36"/>
      <c r="X65" s="36"/>
      <c r="Y65" s="36"/>
      <c r="Z65" s="36"/>
    </row>
    <row r="66" ht="15.75" customHeight="1">
      <c r="A66" s="36"/>
      <c r="B66" s="36"/>
      <c r="C66" s="36"/>
      <c r="D66" s="36"/>
      <c r="E66" s="36"/>
      <c r="F66" s="36"/>
      <c r="G66" s="36"/>
      <c r="H66" s="1"/>
      <c r="I66" s="36"/>
      <c r="J66" s="36"/>
      <c r="K66" s="36"/>
      <c r="L66" s="36"/>
      <c r="M66" s="36"/>
      <c r="N66" s="36"/>
      <c r="O66" s="36"/>
      <c r="P66" s="36"/>
      <c r="Q66" s="36"/>
      <c r="R66" s="36"/>
      <c r="S66" s="36"/>
      <c r="T66" s="36"/>
      <c r="U66" s="36"/>
      <c r="V66" s="36"/>
      <c r="W66" s="36"/>
      <c r="X66" s="36"/>
      <c r="Y66" s="36"/>
      <c r="Z66" s="36"/>
    </row>
    <row r="67" ht="15.75" customHeight="1">
      <c r="A67" s="36"/>
      <c r="B67" s="36"/>
      <c r="C67" s="36"/>
      <c r="D67" s="36"/>
      <c r="E67" s="36"/>
      <c r="F67" s="36"/>
      <c r="G67" s="36"/>
      <c r="H67" s="1"/>
      <c r="I67" s="36"/>
      <c r="J67" s="36"/>
      <c r="K67" s="36"/>
      <c r="L67" s="36"/>
      <c r="M67" s="36"/>
      <c r="N67" s="36"/>
      <c r="O67" s="36"/>
      <c r="P67" s="36"/>
      <c r="Q67" s="36"/>
      <c r="R67" s="36"/>
      <c r="S67" s="36"/>
      <c r="T67" s="36"/>
      <c r="U67" s="36"/>
      <c r="V67" s="36"/>
      <c r="W67" s="36"/>
      <c r="X67" s="36"/>
      <c r="Y67" s="36"/>
      <c r="Z67" s="36"/>
    </row>
    <row r="68" ht="15.75" customHeight="1">
      <c r="A68" s="36"/>
      <c r="B68" s="36"/>
      <c r="C68" s="36"/>
      <c r="D68" s="36"/>
      <c r="E68" s="36"/>
      <c r="F68" s="36"/>
      <c r="G68" s="36"/>
      <c r="H68" s="1"/>
      <c r="I68" s="36"/>
      <c r="J68" s="36"/>
      <c r="K68" s="36"/>
      <c r="L68" s="36"/>
      <c r="M68" s="36"/>
      <c r="N68" s="36"/>
      <c r="O68" s="36"/>
      <c r="P68" s="36"/>
      <c r="Q68" s="36"/>
      <c r="R68" s="36"/>
      <c r="S68" s="36"/>
      <c r="T68" s="36"/>
      <c r="U68" s="36"/>
      <c r="V68" s="36"/>
      <c r="W68" s="36"/>
      <c r="X68" s="36"/>
      <c r="Y68" s="36"/>
      <c r="Z68" s="36"/>
    </row>
    <row r="69" ht="15.75" customHeight="1">
      <c r="A69" s="36"/>
      <c r="B69" s="36"/>
      <c r="C69" s="36"/>
      <c r="D69" s="36"/>
      <c r="E69" s="36"/>
      <c r="F69" s="36"/>
      <c r="G69" s="36"/>
      <c r="H69" s="1"/>
      <c r="I69" s="36"/>
      <c r="J69" s="36"/>
      <c r="K69" s="36"/>
      <c r="L69" s="36"/>
      <c r="M69" s="36"/>
      <c r="N69" s="36"/>
      <c r="O69" s="36"/>
      <c r="P69" s="36"/>
      <c r="Q69" s="36"/>
      <c r="R69" s="36"/>
      <c r="S69" s="36"/>
      <c r="T69" s="36"/>
      <c r="U69" s="36"/>
      <c r="V69" s="36"/>
      <c r="W69" s="36"/>
      <c r="X69" s="36"/>
      <c r="Y69" s="36"/>
      <c r="Z69" s="36"/>
    </row>
    <row r="70" ht="15.75" customHeight="1">
      <c r="A70" s="36"/>
      <c r="B70" s="36"/>
      <c r="C70" s="36"/>
      <c r="D70" s="36"/>
      <c r="E70" s="36"/>
      <c r="F70" s="36"/>
      <c r="G70" s="36"/>
      <c r="H70" s="1"/>
      <c r="I70" s="36"/>
      <c r="J70" s="36"/>
      <c r="K70" s="36"/>
      <c r="L70" s="36"/>
      <c r="M70" s="36"/>
      <c r="N70" s="36"/>
      <c r="O70" s="36"/>
      <c r="P70" s="36"/>
      <c r="Q70" s="36"/>
      <c r="R70" s="36"/>
      <c r="S70" s="36"/>
      <c r="T70" s="36"/>
      <c r="U70" s="36"/>
      <c r="V70" s="36"/>
      <c r="W70" s="36"/>
      <c r="X70" s="36"/>
      <c r="Y70" s="36"/>
      <c r="Z70" s="36"/>
    </row>
    <row r="71" ht="15.75" customHeight="1">
      <c r="A71" s="36"/>
      <c r="B71" s="36"/>
      <c r="C71" s="36"/>
      <c r="D71" s="36"/>
      <c r="E71" s="36"/>
      <c r="F71" s="36"/>
      <c r="G71" s="36"/>
      <c r="H71" s="1"/>
      <c r="I71" s="36"/>
      <c r="J71" s="36"/>
      <c r="K71" s="36"/>
      <c r="L71" s="36"/>
      <c r="M71" s="36"/>
      <c r="N71" s="36"/>
      <c r="O71" s="36"/>
      <c r="P71" s="36"/>
      <c r="Q71" s="36"/>
      <c r="R71" s="36"/>
      <c r="S71" s="36"/>
      <c r="T71" s="36"/>
      <c r="U71" s="36"/>
      <c r="V71" s="36"/>
      <c r="W71" s="36"/>
      <c r="X71" s="36"/>
      <c r="Y71" s="36"/>
      <c r="Z71" s="36"/>
    </row>
    <row r="72" ht="15.75" customHeight="1">
      <c r="A72" s="36"/>
      <c r="B72" s="36"/>
      <c r="C72" s="36"/>
      <c r="D72" s="36"/>
      <c r="E72" s="36"/>
      <c r="F72" s="36"/>
      <c r="G72" s="36"/>
      <c r="H72" s="1"/>
      <c r="I72" s="36"/>
      <c r="J72" s="36"/>
      <c r="K72" s="37"/>
      <c r="L72" s="37"/>
      <c r="M72" s="38"/>
      <c r="N72" s="39"/>
      <c r="O72" s="37"/>
      <c r="P72" s="37"/>
      <c r="Q72" s="37"/>
      <c r="R72" s="40"/>
      <c r="S72" s="36"/>
      <c r="T72" s="36"/>
      <c r="U72" s="36"/>
      <c r="V72" s="36"/>
      <c r="W72" s="36"/>
      <c r="X72" s="36"/>
      <c r="Y72" s="36"/>
      <c r="Z72" s="36"/>
    </row>
    <row r="73" ht="78.75" customHeight="1">
      <c r="A73" s="36"/>
      <c r="B73" s="36"/>
      <c r="C73" s="36"/>
      <c r="D73" s="36"/>
      <c r="E73" s="36"/>
      <c r="F73" s="36"/>
      <c r="G73" s="36"/>
      <c r="H73" s="1"/>
      <c r="I73" s="36"/>
      <c r="J73" s="36"/>
      <c r="K73" s="41" t="s">
        <v>42</v>
      </c>
      <c r="L73" s="42"/>
      <c r="M73" s="42"/>
      <c r="N73" s="42"/>
      <c r="O73" s="42"/>
      <c r="P73" s="42"/>
      <c r="Q73" s="43"/>
      <c r="R73" s="44"/>
      <c r="S73" s="36"/>
      <c r="T73" s="36"/>
      <c r="U73" s="36"/>
      <c r="V73" s="36"/>
      <c r="W73" s="36"/>
      <c r="X73" s="36"/>
      <c r="Y73" s="36"/>
      <c r="Z73" s="36"/>
    </row>
    <row r="74" ht="47.25" customHeight="1">
      <c r="A74" s="36"/>
      <c r="B74" s="36"/>
      <c r="C74" s="36"/>
      <c r="D74" s="36"/>
      <c r="E74" s="36"/>
      <c r="F74" s="36"/>
      <c r="G74" s="36"/>
      <c r="H74" s="1"/>
      <c r="I74" s="36"/>
      <c r="J74" s="36"/>
      <c r="K74" s="45" t="s">
        <v>43</v>
      </c>
      <c r="L74" s="46"/>
      <c r="M74" s="46"/>
      <c r="N74" s="46"/>
      <c r="O74" s="46"/>
      <c r="P74" s="46"/>
      <c r="Q74" s="47"/>
      <c r="R74" s="48"/>
      <c r="S74" s="36"/>
      <c r="T74" s="36"/>
      <c r="U74" s="36"/>
      <c r="V74" s="36"/>
      <c r="W74" s="36"/>
      <c r="X74" s="36"/>
      <c r="Y74" s="36"/>
      <c r="Z74" s="36"/>
    </row>
    <row r="75" ht="15.75" customHeight="1">
      <c r="A75" s="36"/>
      <c r="B75" s="36"/>
      <c r="C75" s="36"/>
      <c r="D75" s="36"/>
      <c r="E75" s="36"/>
      <c r="F75" s="36"/>
      <c r="G75" s="36"/>
      <c r="H75" s="1"/>
      <c r="I75" s="36"/>
      <c r="J75" s="36"/>
      <c r="K75" s="49"/>
      <c r="L75" s="50"/>
      <c r="M75" s="51"/>
      <c r="N75" s="49"/>
      <c r="O75" s="49"/>
      <c r="P75" s="49"/>
      <c r="Q75" s="49"/>
      <c r="R75" s="49"/>
      <c r="S75" s="36"/>
      <c r="T75" s="36"/>
      <c r="U75" s="36"/>
      <c r="V75" s="36"/>
      <c r="W75" s="36"/>
      <c r="X75" s="36"/>
      <c r="Y75" s="36"/>
      <c r="Z75" s="36"/>
    </row>
    <row r="76" ht="15.75" customHeight="1">
      <c r="A76" s="36"/>
      <c r="B76" s="36"/>
      <c r="C76" s="36"/>
      <c r="D76" s="36"/>
      <c r="E76" s="36"/>
      <c r="F76" s="36"/>
      <c r="G76" s="36"/>
      <c r="H76" s="1"/>
      <c r="I76" s="36"/>
      <c r="J76" s="36"/>
      <c r="K76" s="49" t="s">
        <v>44</v>
      </c>
      <c r="L76" s="52" t="s">
        <v>10</v>
      </c>
      <c r="M76" s="39"/>
      <c r="N76" s="49" t="s">
        <v>45</v>
      </c>
      <c r="O76" s="49" t="s">
        <v>46</v>
      </c>
      <c r="P76" s="49" t="s">
        <v>47</v>
      </c>
      <c r="Q76" s="49" t="s">
        <v>48</v>
      </c>
      <c r="R76" s="49" t="s">
        <v>49</v>
      </c>
      <c r="S76" s="36"/>
      <c r="T76" s="36"/>
      <c r="U76" s="36"/>
      <c r="V76" s="36"/>
      <c r="W76" s="36"/>
      <c r="X76" s="36"/>
      <c r="Y76" s="36"/>
      <c r="Z76" s="36"/>
    </row>
    <row r="77" ht="15.75" customHeight="1">
      <c r="A77" s="36"/>
      <c r="B77" s="36"/>
      <c r="C77" s="36"/>
      <c r="D77" s="36"/>
      <c r="E77" s="36"/>
      <c r="F77" s="36"/>
      <c r="G77" s="36"/>
      <c r="H77" s="1"/>
      <c r="I77" s="36"/>
      <c r="J77" s="36"/>
      <c r="K77" s="49" t="s">
        <v>50</v>
      </c>
      <c r="L77" s="52"/>
      <c r="M77" s="39"/>
      <c r="N77" s="49"/>
      <c r="O77" s="49"/>
      <c r="P77" s="49"/>
      <c r="Q77" s="49"/>
      <c r="R77" s="49"/>
      <c r="S77" s="36"/>
      <c r="T77" s="36"/>
      <c r="U77" s="36"/>
      <c r="V77" s="36"/>
      <c r="W77" s="36"/>
      <c r="X77" s="36"/>
      <c r="Y77" s="36"/>
      <c r="Z77" s="36"/>
    </row>
    <row r="78" ht="15.75" customHeight="1">
      <c r="A78" s="36"/>
      <c r="B78" s="36"/>
      <c r="C78" s="36"/>
      <c r="D78" s="36"/>
      <c r="E78" s="36"/>
      <c r="F78" s="36"/>
      <c r="G78" s="36"/>
      <c r="H78" s="1"/>
      <c r="I78" s="36"/>
      <c r="J78" s="36"/>
      <c r="K78" s="49" t="s">
        <v>51</v>
      </c>
      <c r="L78" s="52" t="s">
        <v>73</v>
      </c>
      <c r="M78" s="39"/>
      <c r="N78" s="49"/>
      <c r="O78" s="49"/>
      <c r="P78" s="49"/>
      <c r="Q78" s="49"/>
      <c r="R78" s="49" t="s">
        <v>74</v>
      </c>
      <c r="S78" s="36"/>
      <c r="T78" s="36"/>
      <c r="U78" s="36"/>
      <c r="V78" s="36"/>
      <c r="W78" s="36"/>
      <c r="X78" s="36"/>
      <c r="Y78" s="36"/>
      <c r="Z78" s="36"/>
    </row>
    <row r="79" ht="15.75" customHeight="1">
      <c r="A79" s="36"/>
      <c r="B79" s="36"/>
      <c r="C79" s="36"/>
      <c r="D79" s="36"/>
      <c r="E79" s="36"/>
      <c r="F79" s="36"/>
      <c r="G79" s="36"/>
      <c r="H79" s="1"/>
      <c r="I79" s="36"/>
      <c r="J79" s="36"/>
      <c r="K79" s="49" t="s">
        <v>54</v>
      </c>
      <c r="L79" s="52"/>
      <c r="M79" s="39"/>
      <c r="N79" s="49"/>
      <c r="O79" s="49"/>
      <c r="P79" s="49"/>
      <c r="Q79" s="49"/>
      <c r="R79" s="49"/>
      <c r="S79" s="36"/>
      <c r="T79" s="36"/>
      <c r="U79" s="36"/>
      <c r="V79" s="36"/>
      <c r="W79" s="36"/>
      <c r="X79" s="36"/>
      <c r="Y79" s="36"/>
      <c r="Z79" s="36"/>
    </row>
    <row r="80" ht="15.75" customHeight="1">
      <c r="A80" s="36"/>
      <c r="B80" s="36"/>
      <c r="C80" s="36"/>
      <c r="D80" s="36"/>
      <c r="E80" s="36"/>
      <c r="F80" s="36"/>
      <c r="G80" s="36"/>
      <c r="H80" s="1"/>
      <c r="I80" s="36"/>
      <c r="J80" s="36"/>
      <c r="K80" s="49" t="s">
        <v>55</v>
      </c>
      <c r="L80" s="53"/>
      <c r="M80" s="54"/>
      <c r="N80" s="49"/>
      <c r="O80" s="49"/>
      <c r="P80" s="49"/>
      <c r="Q80" s="49"/>
      <c r="R80" s="49"/>
      <c r="S80" s="36"/>
      <c r="T80" s="36"/>
      <c r="U80" s="36"/>
      <c r="V80" s="36"/>
      <c r="W80" s="36"/>
      <c r="X80" s="36"/>
      <c r="Y80" s="36"/>
      <c r="Z80" s="36"/>
    </row>
    <row r="81" ht="15.75" customHeight="1">
      <c r="A81" s="36"/>
      <c r="B81" s="36"/>
      <c r="C81" s="36"/>
      <c r="D81" s="36"/>
      <c r="E81" s="36"/>
      <c r="F81" s="36"/>
      <c r="G81" s="36"/>
      <c r="H81" s="1"/>
      <c r="I81" s="36"/>
      <c r="J81" s="36"/>
      <c r="K81" s="49" t="s">
        <v>56</v>
      </c>
      <c r="L81" s="50"/>
      <c r="M81" s="51"/>
      <c r="N81" s="49"/>
      <c r="O81" s="49"/>
      <c r="P81" s="49"/>
      <c r="Q81" s="49"/>
      <c r="R81" s="49"/>
      <c r="S81" s="36"/>
      <c r="T81" s="36"/>
      <c r="U81" s="36"/>
      <c r="V81" s="36"/>
      <c r="W81" s="36"/>
      <c r="X81" s="36"/>
      <c r="Y81" s="36"/>
      <c r="Z81" s="36"/>
    </row>
    <row r="82" ht="15.75" customHeight="1">
      <c r="A82" s="36"/>
      <c r="B82" s="36"/>
      <c r="C82" s="36"/>
      <c r="D82" s="36"/>
      <c r="E82" s="36"/>
      <c r="F82" s="36"/>
      <c r="G82" s="36"/>
      <c r="H82" s="1"/>
      <c r="I82" s="36"/>
      <c r="J82" s="36"/>
      <c r="K82" s="49" t="s">
        <v>57</v>
      </c>
      <c r="L82" s="52"/>
      <c r="M82" s="39"/>
      <c r="N82" s="37"/>
      <c r="O82" s="55"/>
      <c r="P82" s="55"/>
      <c r="Q82" s="55"/>
      <c r="R82" s="56"/>
      <c r="S82" s="36"/>
      <c r="T82" s="36"/>
      <c r="U82" s="36"/>
      <c r="V82" s="36"/>
      <c r="W82" s="36"/>
      <c r="X82" s="36"/>
      <c r="Y82" s="36"/>
      <c r="Z82" s="36"/>
    </row>
    <row r="83" ht="15.75" customHeight="1">
      <c r="A83" s="36"/>
      <c r="B83" s="36"/>
      <c r="C83" s="36"/>
      <c r="D83" s="36"/>
      <c r="E83" s="36"/>
      <c r="F83" s="36"/>
      <c r="G83" s="36"/>
      <c r="H83" s="1"/>
      <c r="I83" s="36"/>
      <c r="J83" s="36"/>
      <c r="K83" s="57"/>
      <c r="L83" s="58"/>
      <c r="M83" s="58"/>
      <c r="N83" s="58"/>
      <c r="O83" s="58"/>
      <c r="P83" s="58"/>
      <c r="Q83" s="58"/>
      <c r="R83" s="59"/>
      <c r="S83" s="36"/>
      <c r="T83" s="36"/>
      <c r="U83" s="36"/>
      <c r="V83" s="36"/>
      <c r="W83" s="36"/>
      <c r="X83" s="36"/>
      <c r="Y83" s="36"/>
      <c r="Z83" s="36"/>
    </row>
    <row r="84" ht="15.75" customHeight="1">
      <c r="A84" s="36"/>
      <c r="B84" s="36"/>
      <c r="C84" s="36"/>
      <c r="D84" s="36"/>
      <c r="E84" s="36"/>
      <c r="F84" s="36"/>
      <c r="G84" s="36"/>
      <c r="H84" s="1"/>
      <c r="I84" s="36"/>
      <c r="J84" s="36"/>
      <c r="K84" s="60"/>
      <c r="L84" s="36"/>
      <c r="M84" s="36"/>
      <c r="N84" s="36"/>
      <c r="O84" s="36"/>
      <c r="P84" s="36"/>
      <c r="Q84" s="36"/>
      <c r="R84" s="36"/>
      <c r="S84" s="36"/>
      <c r="T84" s="36"/>
      <c r="U84" s="36"/>
      <c r="V84" s="36"/>
      <c r="W84" s="36"/>
      <c r="X84" s="36"/>
      <c r="Y84" s="36"/>
      <c r="Z84" s="36"/>
    </row>
    <row r="85" ht="17.25" customHeight="1">
      <c r="A85" s="36"/>
      <c r="B85" s="36"/>
      <c r="C85" s="36"/>
      <c r="D85" s="36"/>
      <c r="E85" s="36"/>
      <c r="F85" s="36"/>
      <c r="G85" s="36"/>
      <c r="H85" s="1"/>
      <c r="I85" s="36"/>
      <c r="J85" s="36"/>
      <c r="K85" s="41" t="s">
        <v>58</v>
      </c>
      <c r="L85" s="42"/>
      <c r="M85" s="42"/>
      <c r="N85" s="42"/>
      <c r="O85" s="42"/>
      <c r="P85" s="42"/>
      <c r="Q85" s="43"/>
      <c r="R85" s="61"/>
      <c r="S85" s="36"/>
      <c r="T85" s="36"/>
      <c r="U85" s="36"/>
      <c r="V85" s="36"/>
      <c r="W85" s="36"/>
      <c r="X85" s="36"/>
      <c r="Y85" s="36"/>
      <c r="Z85" s="36"/>
    </row>
    <row r="86" ht="15.75" customHeight="1">
      <c r="A86" s="36"/>
      <c r="B86" s="36"/>
      <c r="C86" s="36"/>
      <c r="D86" s="36"/>
      <c r="E86" s="36"/>
      <c r="F86" s="36"/>
      <c r="G86" s="36"/>
      <c r="H86" s="1"/>
      <c r="I86" s="36"/>
      <c r="J86" s="36"/>
      <c r="K86" s="62"/>
      <c r="Q86" s="63"/>
      <c r="R86" s="64"/>
      <c r="S86" s="36"/>
      <c r="T86" s="36"/>
      <c r="U86" s="36"/>
      <c r="V86" s="36"/>
      <c r="W86" s="36"/>
      <c r="X86" s="36"/>
      <c r="Y86" s="36"/>
      <c r="Z86" s="36"/>
    </row>
    <row r="87" ht="15.75" customHeight="1">
      <c r="A87" s="36"/>
      <c r="B87" s="36"/>
      <c r="C87" s="36"/>
      <c r="D87" s="36"/>
      <c r="E87" s="36"/>
      <c r="F87" s="36"/>
      <c r="G87" s="36"/>
      <c r="H87" s="1"/>
      <c r="I87" s="36"/>
      <c r="J87" s="36"/>
      <c r="K87" s="62"/>
      <c r="Q87" s="63"/>
      <c r="R87" s="64"/>
      <c r="S87" s="36"/>
      <c r="T87" s="36"/>
      <c r="U87" s="36"/>
      <c r="V87" s="36"/>
      <c r="W87" s="36"/>
      <c r="X87" s="36"/>
      <c r="Y87" s="36"/>
      <c r="Z87" s="36"/>
    </row>
    <row r="88" ht="15.75" customHeight="1">
      <c r="A88" s="36"/>
      <c r="B88" s="36"/>
      <c r="C88" s="36"/>
      <c r="D88" s="36"/>
      <c r="E88" s="36"/>
      <c r="F88" s="36"/>
      <c r="G88" s="36"/>
      <c r="H88" s="1"/>
      <c r="I88" s="36"/>
      <c r="J88" s="36"/>
      <c r="K88" s="65"/>
      <c r="L88" s="46"/>
      <c r="M88" s="46"/>
      <c r="N88" s="46"/>
      <c r="O88" s="46"/>
      <c r="P88" s="46"/>
      <c r="Q88" s="47"/>
      <c r="R88" s="64"/>
      <c r="S88" s="36"/>
      <c r="T88" s="36"/>
      <c r="U88" s="36"/>
      <c r="V88" s="36"/>
      <c r="W88" s="36"/>
      <c r="X88" s="36"/>
      <c r="Y88" s="36"/>
      <c r="Z88" s="36"/>
    </row>
    <row r="89" ht="15.75" customHeight="1">
      <c r="A89" s="36"/>
      <c r="B89" s="36"/>
      <c r="C89" s="36"/>
      <c r="D89" s="36"/>
      <c r="E89" s="36"/>
      <c r="F89" s="36"/>
      <c r="G89" s="36"/>
      <c r="H89" s="1"/>
      <c r="I89" s="36"/>
      <c r="J89" s="36"/>
      <c r="K89" s="66" t="s">
        <v>44</v>
      </c>
      <c r="L89" s="67" t="s">
        <v>10</v>
      </c>
      <c r="M89" s="67" t="s">
        <v>45</v>
      </c>
      <c r="N89" s="67" t="s">
        <v>46</v>
      </c>
      <c r="O89" s="67" t="s">
        <v>47</v>
      </c>
      <c r="P89" s="67" t="s">
        <v>48</v>
      </c>
      <c r="Q89" s="67" t="s">
        <v>23</v>
      </c>
      <c r="R89" s="64"/>
      <c r="S89" s="36"/>
      <c r="T89" s="36"/>
      <c r="U89" s="36"/>
      <c r="V89" s="36"/>
      <c r="W89" s="36"/>
      <c r="X89" s="36"/>
      <c r="Y89" s="36"/>
      <c r="Z89" s="36"/>
    </row>
    <row r="90" ht="15.75" customHeight="1">
      <c r="A90" s="36"/>
      <c r="B90" s="36"/>
      <c r="C90" s="36"/>
      <c r="D90" s="36"/>
      <c r="E90" s="36"/>
      <c r="F90" s="36"/>
      <c r="G90" s="36"/>
      <c r="H90" s="1"/>
      <c r="I90" s="36"/>
      <c r="J90" s="36"/>
      <c r="K90" s="66" t="s">
        <v>59</v>
      </c>
      <c r="L90" s="55"/>
      <c r="M90" s="67"/>
      <c r="N90" s="67"/>
      <c r="O90" s="67"/>
      <c r="P90" s="67"/>
      <c r="Q90" s="55"/>
      <c r="R90" s="64"/>
      <c r="S90" s="36"/>
      <c r="T90" s="36"/>
      <c r="U90" s="36"/>
      <c r="V90" s="36"/>
      <c r="W90" s="36"/>
      <c r="X90" s="36"/>
      <c r="Y90" s="36"/>
      <c r="Z90" s="36"/>
    </row>
    <row r="91" ht="15.75" customHeight="1">
      <c r="A91" s="36"/>
      <c r="B91" s="36"/>
      <c r="C91" s="36"/>
      <c r="D91" s="36"/>
      <c r="E91" s="36"/>
      <c r="F91" s="36"/>
      <c r="G91" s="36"/>
      <c r="H91" s="1"/>
      <c r="I91" s="36"/>
      <c r="J91" s="36"/>
      <c r="K91" s="66" t="s">
        <v>60</v>
      </c>
      <c r="L91" s="67"/>
      <c r="M91" s="67"/>
      <c r="N91" s="67"/>
      <c r="O91" s="67"/>
      <c r="P91" s="67"/>
      <c r="Q91" s="67"/>
      <c r="R91" s="64"/>
      <c r="S91" s="36"/>
      <c r="T91" s="36"/>
      <c r="U91" s="36"/>
      <c r="V91" s="36"/>
      <c r="W91" s="36"/>
      <c r="X91" s="36"/>
      <c r="Y91" s="36"/>
      <c r="Z91" s="36"/>
    </row>
    <row r="92" ht="15.75" customHeight="1">
      <c r="A92" s="36"/>
      <c r="B92" s="36"/>
      <c r="C92" s="36"/>
      <c r="D92" s="36"/>
      <c r="E92" s="36"/>
      <c r="F92" s="36"/>
      <c r="G92" s="36"/>
      <c r="H92" s="1"/>
      <c r="I92" s="36"/>
      <c r="J92" s="36"/>
      <c r="K92" s="66" t="s">
        <v>61</v>
      </c>
      <c r="L92" s="67" t="s">
        <v>75</v>
      </c>
      <c r="M92" s="67"/>
      <c r="N92" s="67"/>
      <c r="O92" s="67"/>
      <c r="P92" s="67"/>
      <c r="Q92" s="55"/>
      <c r="R92" s="64"/>
      <c r="S92" s="36"/>
      <c r="T92" s="36"/>
      <c r="U92" s="36"/>
      <c r="V92" s="36"/>
      <c r="W92" s="36"/>
      <c r="X92" s="36"/>
      <c r="Y92" s="36"/>
      <c r="Z92" s="36"/>
    </row>
    <row r="93" ht="15.75" customHeight="1">
      <c r="A93" s="36"/>
      <c r="B93" s="36"/>
      <c r="C93" s="36"/>
      <c r="D93" s="36"/>
      <c r="E93" s="36"/>
      <c r="F93" s="36"/>
      <c r="G93" s="36"/>
      <c r="H93" s="1"/>
      <c r="I93" s="36"/>
      <c r="J93" s="36"/>
      <c r="K93" s="66" t="s">
        <v>63</v>
      </c>
      <c r="L93" s="67"/>
      <c r="M93" s="67"/>
      <c r="N93" s="67"/>
      <c r="O93" s="67"/>
      <c r="P93" s="67"/>
      <c r="Q93" s="67" t="s">
        <v>76</v>
      </c>
      <c r="R93" s="64"/>
      <c r="S93" s="36"/>
      <c r="T93" s="36"/>
      <c r="U93" s="36"/>
      <c r="V93" s="36"/>
      <c r="W93" s="36"/>
      <c r="X93" s="36"/>
      <c r="Y93" s="36"/>
      <c r="Z93" s="36"/>
    </row>
    <row r="94" ht="15.75" customHeight="1">
      <c r="A94" s="36"/>
      <c r="B94" s="36"/>
      <c r="C94" s="36"/>
      <c r="D94" s="36"/>
      <c r="E94" s="36"/>
      <c r="F94" s="36"/>
      <c r="G94" s="36"/>
      <c r="H94" s="1"/>
      <c r="I94" s="36"/>
      <c r="J94" s="36"/>
      <c r="K94" s="66" t="s">
        <v>65</v>
      </c>
      <c r="L94" s="67"/>
      <c r="M94" s="67"/>
      <c r="N94" s="67"/>
      <c r="O94" s="67"/>
      <c r="P94" s="67"/>
      <c r="Q94" s="67"/>
      <c r="R94" s="64"/>
      <c r="S94" s="36"/>
      <c r="T94" s="36"/>
      <c r="U94" s="36"/>
      <c r="V94" s="36"/>
      <c r="W94" s="36"/>
      <c r="X94" s="36"/>
      <c r="Y94" s="36"/>
      <c r="Z94" s="36"/>
    </row>
    <row r="95" ht="15.75" customHeight="1">
      <c r="A95" s="36"/>
      <c r="B95" s="36"/>
      <c r="C95" s="36"/>
      <c r="D95" s="36"/>
      <c r="E95" s="36"/>
      <c r="F95" s="36"/>
      <c r="G95" s="36"/>
      <c r="H95" s="1"/>
      <c r="I95" s="36"/>
      <c r="J95" s="36"/>
      <c r="K95" s="66" t="s">
        <v>66</v>
      </c>
      <c r="L95" s="67"/>
      <c r="M95" s="67"/>
      <c r="N95" s="67"/>
      <c r="O95" s="67"/>
      <c r="P95" s="67"/>
      <c r="Q95" s="67"/>
      <c r="R95" s="64"/>
      <c r="S95" s="36"/>
      <c r="T95" s="36"/>
      <c r="U95" s="36"/>
      <c r="V95" s="36"/>
      <c r="W95" s="36"/>
      <c r="X95" s="36"/>
      <c r="Y95" s="36"/>
      <c r="Z95" s="36"/>
    </row>
    <row r="96" ht="15.75" customHeight="1">
      <c r="A96" s="36"/>
      <c r="B96" s="36"/>
      <c r="C96" s="36"/>
      <c r="D96" s="36"/>
      <c r="E96" s="36"/>
      <c r="F96" s="36"/>
      <c r="G96" s="36"/>
      <c r="H96" s="1"/>
      <c r="I96" s="36"/>
      <c r="J96" s="36"/>
      <c r="K96" s="68" t="s">
        <v>67</v>
      </c>
      <c r="L96" s="69"/>
      <c r="M96" s="69"/>
      <c r="N96" s="69"/>
      <c r="O96" s="69"/>
      <c r="P96" s="69"/>
      <c r="Q96" s="69"/>
      <c r="R96" s="59"/>
      <c r="S96" s="36"/>
      <c r="T96" s="36"/>
      <c r="U96" s="36"/>
      <c r="V96" s="36"/>
      <c r="W96" s="36"/>
      <c r="X96" s="36"/>
      <c r="Y96" s="36"/>
      <c r="Z96" s="36"/>
    </row>
    <row r="97" ht="15.75" customHeight="1">
      <c r="A97" s="36"/>
      <c r="B97" s="36"/>
      <c r="C97" s="36"/>
      <c r="D97" s="36"/>
      <c r="E97" s="36"/>
      <c r="F97" s="36"/>
      <c r="G97" s="36"/>
      <c r="H97" s="1"/>
      <c r="I97" s="36"/>
      <c r="J97" s="36"/>
      <c r="K97" s="60"/>
      <c r="L97" s="36"/>
      <c r="M97" s="36"/>
      <c r="N97" s="36"/>
      <c r="O97" s="36"/>
      <c r="P97" s="36"/>
      <c r="Q97" s="36"/>
      <c r="R97" s="36"/>
      <c r="S97" s="36"/>
      <c r="T97" s="36"/>
      <c r="U97" s="36"/>
      <c r="V97" s="36"/>
      <c r="W97" s="36"/>
      <c r="X97" s="36"/>
      <c r="Y97" s="36"/>
      <c r="Z97" s="36"/>
    </row>
    <row r="98" ht="15.75" customHeight="1">
      <c r="A98" s="36"/>
      <c r="B98" s="36"/>
      <c r="C98" s="36"/>
      <c r="D98" s="36"/>
      <c r="E98" s="36"/>
      <c r="F98" s="36"/>
      <c r="G98" s="36"/>
      <c r="H98" s="1"/>
      <c r="I98" s="36"/>
      <c r="J98" s="36"/>
      <c r="K98" s="36"/>
      <c r="L98" s="36"/>
      <c r="M98" s="36"/>
      <c r="N98" s="36"/>
      <c r="O98" s="36"/>
      <c r="P98" s="36"/>
      <c r="Q98" s="36"/>
      <c r="R98" s="36"/>
      <c r="S98" s="36"/>
      <c r="T98" s="36"/>
      <c r="U98" s="36"/>
      <c r="V98" s="36"/>
      <c r="W98" s="36"/>
      <c r="X98" s="36"/>
      <c r="Y98" s="36"/>
      <c r="Z98" s="36"/>
    </row>
    <row r="99" ht="15.75" customHeight="1">
      <c r="A99" s="36"/>
      <c r="B99" s="36"/>
      <c r="C99" s="36"/>
      <c r="D99" s="36"/>
      <c r="E99" s="36"/>
      <c r="F99" s="36"/>
      <c r="G99" s="36"/>
      <c r="H99" s="1"/>
      <c r="I99" s="36"/>
      <c r="J99" s="36"/>
      <c r="K99" s="36"/>
      <c r="L99" s="36"/>
      <c r="M99" s="36"/>
      <c r="N99" s="36"/>
      <c r="O99" s="36"/>
      <c r="P99" s="36"/>
      <c r="Q99" s="36"/>
      <c r="R99" s="36"/>
      <c r="S99" s="36"/>
      <c r="T99" s="36"/>
      <c r="U99" s="36"/>
      <c r="V99" s="36"/>
      <c r="W99" s="36"/>
      <c r="X99" s="36"/>
      <c r="Y99" s="36"/>
      <c r="Z99" s="36"/>
    </row>
    <row r="100" ht="15.75" customHeight="1">
      <c r="A100" s="36"/>
      <c r="B100" s="36"/>
      <c r="C100" s="36"/>
      <c r="D100" s="36"/>
      <c r="E100" s="36"/>
      <c r="F100" s="36"/>
      <c r="G100" s="36"/>
      <c r="H100" s="1"/>
      <c r="I100" s="36"/>
      <c r="J100" s="36"/>
      <c r="K100" s="36"/>
      <c r="L100" s="36"/>
      <c r="M100" s="36"/>
      <c r="N100" s="36"/>
      <c r="O100" s="36"/>
      <c r="P100" s="36"/>
      <c r="Q100" s="36"/>
      <c r="R100" s="36"/>
      <c r="S100" s="36"/>
      <c r="T100" s="36"/>
      <c r="U100" s="36"/>
      <c r="V100" s="36"/>
      <c r="W100" s="36"/>
      <c r="X100" s="36"/>
      <c r="Y100" s="36"/>
      <c r="Z100" s="36"/>
    </row>
    <row r="101" ht="15.75" customHeight="1">
      <c r="A101" s="36"/>
      <c r="B101" s="36"/>
      <c r="C101" s="36"/>
      <c r="D101" s="36"/>
      <c r="E101" s="36"/>
      <c r="F101" s="36"/>
      <c r="G101" s="36"/>
      <c r="H101" s="1"/>
      <c r="I101" s="36"/>
      <c r="J101" s="36"/>
      <c r="K101" s="36"/>
      <c r="L101" s="36"/>
      <c r="M101" s="36"/>
      <c r="N101" s="36"/>
      <c r="O101" s="36"/>
      <c r="P101" s="36"/>
      <c r="Q101" s="36"/>
      <c r="R101" s="36"/>
      <c r="S101" s="36"/>
      <c r="T101" s="36"/>
      <c r="U101" s="36"/>
      <c r="V101" s="36"/>
      <c r="W101" s="36"/>
      <c r="X101" s="36"/>
      <c r="Y101" s="36"/>
      <c r="Z101" s="36"/>
    </row>
    <row r="102" ht="15.75" customHeight="1">
      <c r="A102" s="36"/>
      <c r="B102" s="36"/>
      <c r="C102" s="36"/>
      <c r="D102" s="36"/>
      <c r="E102" s="36"/>
      <c r="F102" s="36"/>
      <c r="G102" s="36"/>
      <c r="H102" s="1"/>
      <c r="I102" s="36"/>
      <c r="J102" s="36"/>
      <c r="K102" s="36"/>
      <c r="L102" s="36"/>
      <c r="M102" s="36"/>
      <c r="N102" s="36"/>
      <c r="O102" s="36"/>
      <c r="P102" s="36"/>
      <c r="Q102" s="36"/>
      <c r="R102" s="36"/>
      <c r="S102" s="36"/>
      <c r="T102" s="36"/>
      <c r="U102" s="36"/>
      <c r="V102" s="36"/>
      <c r="W102" s="36"/>
      <c r="X102" s="36"/>
      <c r="Y102" s="36"/>
      <c r="Z102" s="36"/>
    </row>
    <row r="103" ht="15.75" customHeight="1">
      <c r="A103" s="36"/>
      <c r="B103" s="36"/>
      <c r="C103" s="36"/>
      <c r="D103" s="36"/>
      <c r="E103" s="36"/>
      <c r="F103" s="36"/>
      <c r="G103" s="36"/>
      <c r="H103" s="1"/>
      <c r="I103" s="36"/>
      <c r="J103" s="36"/>
      <c r="K103" s="36"/>
      <c r="L103" s="36"/>
      <c r="M103" s="36"/>
      <c r="N103" s="36"/>
      <c r="O103" s="36"/>
      <c r="P103" s="36"/>
      <c r="Q103" s="36"/>
      <c r="R103" s="36"/>
      <c r="S103" s="36"/>
      <c r="T103" s="36"/>
      <c r="U103" s="36"/>
      <c r="V103" s="36"/>
      <c r="W103" s="36"/>
      <c r="X103" s="36"/>
      <c r="Y103" s="36"/>
      <c r="Z103" s="36"/>
    </row>
    <row r="104" ht="15.75" customHeight="1">
      <c r="A104" s="36"/>
      <c r="B104" s="36"/>
      <c r="C104" s="36"/>
      <c r="D104" s="36"/>
      <c r="E104" s="36"/>
      <c r="F104" s="36"/>
      <c r="G104" s="36"/>
      <c r="H104" s="1"/>
      <c r="I104" s="36"/>
      <c r="J104" s="36"/>
      <c r="K104" s="36"/>
      <c r="L104" s="36"/>
      <c r="M104" s="36"/>
      <c r="N104" s="36"/>
      <c r="O104" s="36"/>
      <c r="P104" s="36"/>
      <c r="Q104" s="36"/>
      <c r="R104" s="36"/>
      <c r="S104" s="36"/>
      <c r="T104" s="36"/>
      <c r="U104" s="36"/>
      <c r="V104" s="36"/>
      <c r="W104" s="36"/>
      <c r="X104" s="36"/>
      <c r="Y104" s="36"/>
      <c r="Z104" s="36"/>
    </row>
    <row r="105" ht="15.75" customHeight="1">
      <c r="A105" s="36"/>
      <c r="B105" s="36"/>
      <c r="C105" s="36"/>
      <c r="D105" s="36"/>
      <c r="E105" s="36"/>
      <c r="F105" s="36"/>
      <c r="G105" s="36"/>
      <c r="H105" s="1"/>
      <c r="I105" s="36"/>
      <c r="J105" s="36"/>
      <c r="K105" s="36"/>
      <c r="L105" s="36"/>
      <c r="M105" s="36"/>
      <c r="N105" s="36"/>
      <c r="O105" s="36"/>
      <c r="P105" s="36"/>
      <c r="Q105" s="36"/>
      <c r="R105" s="36"/>
      <c r="S105" s="36"/>
      <c r="T105" s="36"/>
      <c r="U105" s="36"/>
      <c r="V105" s="36"/>
      <c r="W105" s="36"/>
      <c r="X105" s="36"/>
      <c r="Y105" s="36"/>
      <c r="Z105" s="36"/>
    </row>
    <row r="106" ht="15.75" customHeight="1">
      <c r="A106" s="36"/>
      <c r="B106" s="36"/>
      <c r="C106" s="36"/>
      <c r="D106" s="36"/>
      <c r="E106" s="36"/>
      <c r="F106" s="36"/>
      <c r="G106" s="36"/>
      <c r="H106" s="1"/>
      <c r="I106" s="36"/>
      <c r="J106" s="36"/>
      <c r="K106" s="36"/>
      <c r="L106" s="36"/>
      <c r="M106" s="36"/>
      <c r="N106" s="36"/>
      <c r="O106" s="36"/>
      <c r="P106" s="36"/>
      <c r="Q106" s="36"/>
      <c r="R106" s="36"/>
      <c r="S106" s="36"/>
      <c r="T106" s="36"/>
      <c r="U106" s="36"/>
      <c r="V106" s="36"/>
      <c r="W106" s="36"/>
      <c r="X106" s="36"/>
      <c r="Y106" s="36"/>
      <c r="Z106" s="36"/>
    </row>
    <row r="107" ht="15.75" customHeight="1">
      <c r="A107" s="36"/>
      <c r="B107" s="36"/>
      <c r="C107" s="36"/>
      <c r="D107" s="36"/>
      <c r="E107" s="36"/>
      <c r="F107" s="36"/>
      <c r="G107" s="36"/>
      <c r="H107" s="1"/>
      <c r="I107" s="36"/>
      <c r="J107" s="36"/>
      <c r="K107" s="36"/>
      <c r="L107" s="36"/>
      <c r="M107" s="36"/>
      <c r="N107" s="36"/>
      <c r="O107" s="36"/>
      <c r="P107" s="36"/>
      <c r="Q107" s="36"/>
      <c r="R107" s="36"/>
      <c r="S107" s="36"/>
      <c r="T107" s="36"/>
      <c r="U107" s="36"/>
      <c r="V107" s="36"/>
      <c r="W107" s="36"/>
      <c r="X107" s="36"/>
      <c r="Y107" s="36"/>
      <c r="Z107" s="36"/>
    </row>
    <row r="108" ht="15.75" customHeight="1">
      <c r="A108" s="36"/>
      <c r="B108" s="36"/>
      <c r="C108" s="36"/>
      <c r="D108" s="36"/>
      <c r="E108" s="36"/>
      <c r="F108" s="36"/>
      <c r="G108" s="36"/>
      <c r="H108" s="1"/>
      <c r="I108" s="36"/>
      <c r="J108" s="36"/>
      <c r="K108" s="36"/>
      <c r="L108" s="36"/>
      <c r="M108" s="36"/>
      <c r="N108" s="36"/>
      <c r="O108" s="36"/>
      <c r="P108" s="36"/>
      <c r="Q108" s="36"/>
      <c r="R108" s="36"/>
      <c r="S108" s="36"/>
      <c r="T108" s="36"/>
      <c r="U108" s="36"/>
      <c r="V108" s="36"/>
      <c r="W108" s="36"/>
      <c r="X108" s="36"/>
      <c r="Y108" s="36"/>
      <c r="Z108" s="36"/>
    </row>
    <row r="109" ht="15.75" customHeight="1">
      <c r="A109" s="36"/>
      <c r="B109" s="36"/>
      <c r="C109" s="36"/>
      <c r="D109" s="36"/>
      <c r="E109" s="36"/>
      <c r="F109" s="36"/>
      <c r="G109" s="36"/>
      <c r="H109" s="1"/>
      <c r="I109" s="36"/>
      <c r="J109" s="36"/>
      <c r="K109" s="36"/>
      <c r="L109" s="36"/>
      <c r="M109" s="36"/>
      <c r="N109" s="36"/>
      <c r="O109" s="36"/>
      <c r="P109" s="36"/>
      <c r="Q109" s="36"/>
      <c r="R109" s="36"/>
      <c r="S109" s="36"/>
      <c r="T109" s="36"/>
      <c r="U109" s="36"/>
      <c r="V109" s="36"/>
      <c r="W109" s="36"/>
      <c r="X109" s="36"/>
      <c r="Y109" s="36"/>
      <c r="Z109" s="36"/>
    </row>
    <row r="110" ht="15.75" customHeight="1">
      <c r="A110" s="36"/>
      <c r="B110" s="36"/>
      <c r="C110" s="36"/>
      <c r="D110" s="36"/>
      <c r="E110" s="36"/>
      <c r="F110" s="36"/>
      <c r="G110" s="36"/>
      <c r="H110" s="1"/>
      <c r="I110" s="36"/>
      <c r="J110" s="36"/>
      <c r="K110" s="36"/>
      <c r="L110" s="36"/>
      <c r="M110" s="36"/>
      <c r="N110" s="36"/>
      <c r="O110" s="36"/>
      <c r="P110" s="36"/>
      <c r="Q110" s="36"/>
      <c r="R110" s="36"/>
      <c r="S110" s="36"/>
      <c r="T110" s="36"/>
      <c r="U110" s="36"/>
      <c r="V110" s="36"/>
      <c r="W110" s="36"/>
      <c r="X110" s="36"/>
      <c r="Y110" s="36"/>
      <c r="Z110" s="36"/>
    </row>
    <row r="111" ht="15.75" customHeight="1">
      <c r="A111" s="36"/>
      <c r="B111" s="36"/>
      <c r="C111" s="36"/>
      <c r="D111" s="36"/>
      <c r="E111" s="36"/>
      <c r="F111" s="36"/>
      <c r="G111" s="36"/>
      <c r="H111" s="1"/>
      <c r="I111" s="36"/>
      <c r="J111" s="36"/>
      <c r="K111" s="36"/>
      <c r="L111" s="36"/>
      <c r="M111" s="36"/>
      <c r="N111" s="36"/>
      <c r="O111" s="36"/>
      <c r="P111" s="36"/>
      <c r="Q111" s="36"/>
      <c r="R111" s="36"/>
      <c r="S111" s="36"/>
      <c r="T111" s="36"/>
      <c r="U111" s="36"/>
      <c r="V111" s="36"/>
      <c r="W111" s="36"/>
      <c r="X111" s="36"/>
      <c r="Y111" s="36"/>
      <c r="Z111" s="36"/>
    </row>
    <row r="112" ht="15.75" customHeight="1">
      <c r="A112" s="36"/>
      <c r="B112" s="36"/>
      <c r="C112" s="36"/>
      <c r="D112" s="36"/>
      <c r="E112" s="36"/>
      <c r="F112" s="36"/>
      <c r="G112" s="36"/>
      <c r="H112" s="1"/>
      <c r="I112" s="36"/>
      <c r="J112" s="36"/>
      <c r="K112" s="36"/>
      <c r="L112" s="36"/>
      <c r="M112" s="36"/>
      <c r="N112" s="36"/>
      <c r="O112" s="36"/>
      <c r="P112" s="36"/>
      <c r="Q112" s="36"/>
      <c r="R112" s="36"/>
      <c r="S112" s="36"/>
      <c r="T112" s="36"/>
      <c r="U112" s="36"/>
      <c r="V112" s="36"/>
      <c r="W112" s="36"/>
      <c r="X112" s="36"/>
      <c r="Y112" s="36"/>
      <c r="Z112" s="36"/>
    </row>
    <row r="113" ht="15.75" customHeight="1">
      <c r="A113" s="36"/>
      <c r="B113" s="36"/>
      <c r="C113" s="36"/>
      <c r="D113" s="36"/>
      <c r="E113" s="36"/>
      <c r="F113" s="36"/>
      <c r="G113" s="36"/>
      <c r="H113" s="1"/>
      <c r="I113" s="36"/>
      <c r="J113" s="36"/>
      <c r="K113" s="36"/>
      <c r="L113" s="36"/>
      <c r="M113" s="36"/>
      <c r="N113" s="36"/>
      <c r="O113" s="36"/>
      <c r="P113" s="36"/>
      <c r="Q113" s="36"/>
      <c r="R113" s="36"/>
      <c r="S113" s="36"/>
      <c r="T113" s="36"/>
      <c r="U113" s="36"/>
      <c r="V113" s="36"/>
      <c r="W113" s="36"/>
      <c r="X113" s="36"/>
      <c r="Y113" s="36"/>
      <c r="Z113" s="36"/>
    </row>
    <row r="114" ht="15.75" customHeight="1">
      <c r="A114" s="36"/>
      <c r="B114" s="36"/>
      <c r="C114" s="36"/>
      <c r="D114" s="36"/>
      <c r="E114" s="36"/>
      <c r="F114" s="36"/>
      <c r="G114" s="36"/>
      <c r="H114" s="1"/>
      <c r="I114" s="36"/>
      <c r="J114" s="36"/>
      <c r="K114" s="36"/>
      <c r="L114" s="36"/>
      <c r="M114" s="36"/>
      <c r="N114" s="36"/>
      <c r="O114" s="36"/>
      <c r="P114" s="36"/>
      <c r="Q114" s="36"/>
      <c r="R114" s="36"/>
      <c r="S114" s="36"/>
      <c r="T114" s="36"/>
      <c r="U114" s="36"/>
      <c r="V114" s="36"/>
      <c r="W114" s="36"/>
      <c r="X114" s="36"/>
      <c r="Y114" s="36"/>
      <c r="Z114" s="36"/>
    </row>
    <row r="115" ht="15.75" customHeight="1">
      <c r="A115" s="36"/>
      <c r="B115" s="36"/>
      <c r="C115" s="36"/>
      <c r="D115" s="36"/>
      <c r="E115" s="36"/>
      <c r="F115" s="36"/>
      <c r="G115" s="36"/>
      <c r="H115" s="1"/>
      <c r="I115" s="36"/>
      <c r="J115" s="36"/>
      <c r="K115" s="36"/>
      <c r="L115" s="36"/>
      <c r="M115" s="36"/>
      <c r="N115" s="36"/>
      <c r="O115" s="36"/>
      <c r="P115" s="36"/>
      <c r="Q115" s="36"/>
      <c r="R115" s="36"/>
      <c r="S115" s="36"/>
      <c r="T115" s="36"/>
      <c r="U115" s="36"/>
      <c r="V115" s="36"/>
      <c r="W115" s="36"/>
      <c r="X115" s="36"/>
      <c r="Y115" s="36"/>
      <c r="Z115" s="36"/>
    </row>
    <row r="116" ht="15.75" customHeight="1">
      <c r="A116" s="36"/>
      <c r="B116" s="36"/>
      <c r="C116" s="36"/>
      <c r="D116" s="36"/>
      <c r="E116" s="36"/>
      <c r="F116" s="36"/>
      <c r="G116" s="36"/>
      <c r="H116" s="1"/>
      <c r="I116" s="36"/>
      <c r="J116" s="36"/>
      <c r="K116" s="36"/>
      <c r="L116" s="36"/>
      <c r="M116" s="36"/>
      <c r="N116" s="36"/>
      <c r="O116" s="36"/>
      <c r="P116" s="36"/>
      <c r="Q116" s="36"/>
      <c r="R116" s="36"/>
      <c r="S116" s="36"/>
      <c r="T116" s="36"/>
      <c r="U116" s="36"/>
      <c r="V116" s="36"/>
      <c r="W116" s="36"/>
      <c r="X116" s="36"/>
      <c r="Y116" s="36"/>
      <c r="Z116" s="36"/>
    </row>
    <row r="117" ht="15.75" customHeight="1">
      <c r="A117" s="36"/>
      <c r="B117" s="36"/>
      <c r="C117" s="36"/>
      <c r="D117" s="36"/>
      <c r="E117" s="36"/>
      <c r="F117" s="36"/>
      <c r="G117" s="36"/>
      <c r="H117" s="1"/>
      <c r="I117" s="36"/>
      <c r="J117" s="36"/>
      <c r="K117" s="36"/>
      <c r="L117" s="36"/>
      <c r="M117" s="36"/>
      <c r="N117" s="36"/>
      <c r="O117" s="36"/>
      <c r="P117" s="36"/>
      <c r="Q117" s="36"/>
      <c r="R117" s="36"/>
      <c r="S117" s="36"/>
      <c r="T117" s="36"/>
      <c r="U117" s="36"/>
      <c r="V117" s="36"/>
      <c r="W117" s="36"/>
      <c r="X117" s="36"/>
      <c r="Y117" s="36"/>
      <c r="Z117" s="36"/>
    </row>
    <row r="118" ht="15.75" customHeight="1">
      <c r="A118" s="36"/>
      <c r="B118" s="36"/>
      <c r="C118" s="36"/>
      <c r="D118" s="36"/>
      <c r="E118" s="36"/>
      <c r="F118" s="36"/>
      <c r="G118" s="36"/>
      <c r="H118" s="1"/>
      <c r="I118" s="36"/>
      <c r="J118" s="36"/>
      <c r="K118" s="36"/>
      <c r="L118" s="36"/>
      <c r="M118" s="36"/>
      <c r="N118" s="36"/>
      <c r="O118" s="36"/>
      <c r="P118" s="36"/>
      <c r="Q118" s="36"/>
      <c r="R118" s="36"/>
      <c r="S118" s="36"/>
      <c r="T118" s="36"/>
      <c r="U118" s="36"/>
      <c r="V118" s="36"/>
      <c r="W118" s="36"/>
      <c r="X118" s="36"/>
      <c r="Y118" s="36"/>
      <c r="Z118" s="36"/>
    </row>
    <row r="119" ht="15.75" customHeight="1">
      <c r="A119" s="36"/>
      <c r="B119" s="36"/>
      <c r="C119" s="36"/>
      <c r="D119" s="36"/>
      <c r="E119" s="36"/>
      <c r="F119" s="36"/>
      <c r="G119" s="36"/>
      <c r="H119" s="1"/>
      <c r="I119" s="36"/>
      <c r="J119" s="36"/>
      <c r="K119" s="36"/>
      <c r="L119" s="36"/>
      <c r="M119" s="36"/>
      <c r="N119" s="36"/>
      <c r="O119" s="36"/>
      <c r="P119" s="36"/>
      <c r="Q119" s="36"/>
      <c r="R119" s="36"/>
      <c r="S119" s="36"/>
      <c r="T119" s="36"/>
      <c r="U119" s="36"/>
      <c r="V119" s="36"/>
      <c r="W119" s="36"/>
      <c r="X119" s="36"/>
      <c r="Y119" s="36"/>
      <c r="Z119" s="36"/>
    </row>
    <row r="120" ht="15.75" customHeight="1">
      <c r="A120" s="36"/>
      <c r="B120" s="36"/>
      <c r="C120" s="36"/>
      <c r="D120" s="36"/>
      <c r="E120" s="36"/>
      <c r="F120" s="36"/>
      <c r="G120" s="36"/>
      <c r="H120" s="1"/>
      <c r="I120" s="36"/>
      <c r="J120" s="36"/>
      <c r="K120" s="36"/>
      <c r="L120" s="36"/>
      <c r="M120" s="36"/>
      <c r="N120" s="36"/>
      <c r="O120" s="36"/>
      <c r="P120" s="36"/>
      <c r="Q120" s="36"/>
      <c r="R120" s="36"/>
      <c r="S120" s="36"/>
      <c r="T120" s="36"/>
      <c r="U120" s="36"/>
      <c r="V120" s="36"/>
      <c r="W120" s="36"/>
      <c r="X120" s="36"/>
      <c r="Y120" s="36"/>
      <c r="Z120" s="36"/>
    </row>
    <row r="121" ht="15.75" customHeight="1">
      <c r="A121" s="36"/>
      <c r="B121" s="36"/>
      <c r="C121" s="36"/>
      <c r="D121" s="36"/>
      <c r="E121" s="36"/>
      <c r="F121" s="36"/>
      <c r="G121" s="36"/>
      <c r="H121" s="1"/>
      <c r="I121" s="36"/>
      <c r="J121" s="36"/>
      <c r="K121" s="36"/>
      <c r="L121" s="36"/>
      <c r="M121" s="36"/>
      <c r="N121" s="36"/>
      <c r="O121" s="36"/>
      <c r="P121" s="36"/>
      <c r="Q121" s="36"/>
      <c r="R121" s="36"/>
      <c r="S121" s="36"/>
      <c r="T121" s="36"/>
      <c r="U121" s="36"/>
      <c r="V121" s="36"/>
      <c r="W121" s="36"/>
      <c r="X121" s="36"/>
      <c r="Y121" s="36"/>
      <c r="Z121" s="36"/>
    </row>
    <row r="122" ht="15.75" customHeight="1">
      <c r="A122" s="36"/>
      <c r="B122" s="36"/>
      <c r="C122" s="36"/>
      <c r="D122" s="36"/>
      <c r="E122" s="36"/>
      <c r="F122" s="36"/>
      <c r="G122" s="36"/>
      <c r="H122" s="1"/>
      <c r="I122" s="36"/>
      <c r="J122" s="36"/>
      <c r="K122" s="36"/>
      <c r="L122" s="36"/>
      <c r="M122" s="36"/>
      <c r="N122" s="36"/>
      <c r="O122" s="36"/>
      <c r="P122" s="36"/>
      <c r="Q122" s="36"/>
      <c r="R122" s="36"/>
      <c r="S122" s="36"/>
      <c r="T122" s="36"/>
      <c r="U122" s="36"/>
      <c r="V122" s="36"/>
      <c r="W122" s="36"/>
      <c r="X122" s="36"/>
      <c r="Y122" s="36"/>
      <c r="Z122" s="36"/>
    </row>
    <row r="123" ht="15.75" customHeight="1">
      <c r="A123" s="36"/>
      <c r="B123" s="36"/>
      <c r="C123" s="36"/>
      <c r="D123" s="36"/>
      <c r="E123" s="36"/>
      <c r="F123" s="36"/>
      <c r="G123" s="36"/>
      <c r="H123" s="1"/>
      <c r="I123" s="36"/>
      <c r="J123" s="36"/>
      <c r="K123" s="36"/>
      <c r="L123" s="36"/>
      <c r="M123" s="36"/>
      <c r="N123" s="36"/>
      <c r="O123" s="36"/>
      <c r="P123" s="36"/>
      <c r="Q123" s="36"/>
      <c r="R123" s="36"/>
      <c r="S123" s="36"/>
      <c r="T123" s="36"/>
      <c r="U123" s="36"/>
      <c r="V123" s="36"/>
      <c r="W123" s="36"/>
      <c r="X123" s="36"/>
      <c r="Y123" s="36"/>
      <c r="Z123" s="36"/>
    </row>
    <row r="124" ht="15.75" customHeight="1">
      <c r="A124" s="36"/>
      <c r="B124" s="36"/>
      <c r="C124" s="36"/>
      <c r="D124" s="36"/>
      <c r="E124" s="36"/>
      <c r="F124" s="36"/>
      <c r="G124" s="36"/>
      <c r="H124" s="1"/>
      <c r="I124" s="36"/>
      <c r="J124" s="36"/>
      <c r="K124" s="36"/>
      <c r="L124" s="36"/>
      <c r="M124" s="36"/>
      <c r="N124" s="36"/>
      <c r="O124" s="36"/>
      <c r="P124" s="36"/>
      <c r="Q124" s="36"/>
      <c r="R124" s="36"/>
      <c r="S124" s="36"/>
      <c r="T124" s="36"/>
      <c r="U124" s="36"/>
      <c r="V124" s="36"/>
      <c r="W124" s="36"/>
      <c r="X124" s="36"/>
      <c r="Y124" s="36"/>
      <c r="Z124" s="36"/>
    </row>
    <row r="125" ht="15.75" customHeight="1">
      <c r="A125" s="36"/>
      <c r="B125" s="36"/>
      <c r="C125" s="36"/>
      <c r="D125" s="36"/>
      <c r="E125" s="36"/>
      <c r="F125" s="36"/>
      <c r="G125" s="36"/>
      <c r="H125" s="1"/>
      <c r="I125" s="36"/>
      <c r="J125" s="36"/>
      <c r="K125" s="36"/>
      <c r="L125" s="36"/>
      <c r="M125" s="36"/>
      <c r="N125" s="36"/>
      <c r="O125" s="36"/>
      <c r="P125" s="36"/>
      <c r="Q125" s="36"/>
      <c r="R125" s="36"/>
      <c r="S125" s="36"/>
      <c r="T125" s="36"/>
      <c r="U125" s="36"/>
      <c r="V125" s="36"/>
      <c r="W125" s="36"/>
      <c r="X125" s="36"/>
      <c r="Y125" s="36"/>
      <c r="Z125" s="36"/>
    </row>
    <row r="126" ht="15.75" customHeight="1">
      <c r="A126" s="36"/>
      <c r="B126" s="36"/>
      <c r="C126" s="36"/>
      <c r="D126" s="36"/>
      <c r="E126" s="36"/>
      <c r="F126" s="36"/>
      <c r="G126" s="36"/>
      <c r="H126" s="1"/>
      <c r="I126" s="36"/>
      <c r="J126" s="36"/>
      <c r="K126" s="36"/>
      <c r="L126" s="36"/>
      <c r="M126" s="36"/>
      <c r="N126" s="36"/>
      <c r="O126" s="36"/>
      <c r="P126" s="36"/>
      <c r="Q126" s="36"/>
      <c r="R126" s="36"/>
      <c r="S126" s="36"/>
      <c r="T126" s="36"/>
      <c r="U126" s="36"/>
      <c r="V126" s="36"/>
      <c r="W126" s="36"/>
      <c r="X126" s="36"/>
      <c r="Y126" s="36"/>
      <c r="Z126" s="36"/>
    </row>
    <row r="127" ht="15.75" customHeight="1">
      <c r="A127" s="36"/>
      <c r="B127" s="36"/>
      <c r="C127" s="36"/>
      <c r="D127" s="36"/>
      <c r="E127" s="36"/>
      <c r="F127" s="36"/>
      <c r="G127" s="36"/>
      <c r="H127" s="1"/>
      <c r="I127" s="36"/>
      <c r="J127" s="36"/>
      <c r="K127" s="36"/>
      <c r="L127" s="36"/>
      <c r="M127" s="36"/>
      <c r="N127" s="36"/>
      <c r="O127" s="36"/>
      <c r="P127" s="36"/>
      <c r="Q127" s="36"/>
      <c r="R127" s="36"/>
      <c r="S127" s="36"/>
      <c r="T127" s="36"/>
      <c r="U127" s="36"/>
      <c r="V127" s="36"/>
      <c r="W127" s="36"/>
      <c r="X127" s="36"/>
      <c r="Y127" s="36"/>
      <c r="Z127" s="36"/>
    </row>
    <row r="128" ht="15.75" customHeight="1">
      <c r="A128" s="36"/>
      <c r="B128" s="36"/>
      <c r="C128" s="36"/>
      <c r="D128" s="36"/>
      <c r="E128" s="36"/>
      <c r="F128" s="36"/>
      <c r="G128" s="36"/>
      <c r="H128" s="1"/>
      <c r="I128" s="36"/>
      <c r="J128" s="36"/>
      <c r="K128" s="36"/>
      <c r="L128" s="36"/>
      <c r="M128" s="36"/>
      <c r="N128" s="36"/>
      <c r="O128" s="36"/>
      <c r="P128" s="36"/>
      <c r="Q128" s="36"/>
      <c r="R128" s="36"/>
      <c r="S128" s="36"/>
      <c r="T128" s="36"/>
      <c r="U128" s="36"/>
      <c r="V128" s="36"/>
      <c r="W128" s="36"/>
      <c r="X128" s="36"/>
      <c r="Y128" s="36"/>
      <c r="Z128" s="36"/>
    </row>
    <row r="129" ht="15.75" customHeight="1">
      <c r="A129" s="36"/>
      <c r="B129" s="36"/>
      <c r="C129" s="36"/>
      <c r="D129" s="36"/>
      <c r="E129" s="36"/>
      <c r="F129" s="36"/>
      <c r="G129" s="36"/>
      <c r="H129" s="1"/>
      <c r="I129" s="36"/>
      <c r="J129" s="36"/>
      <c r="K129" s="36"/>
      <c r="L129" s="36"/>
      <c r="M129" s="36"/>
      <c r="N129" s="36"/>
      <c r="O129" s="36"/>
      <c r="P129" s="36"/>
      <c r="Q129" s="36"/>
      <c r="R129" s="36"/>
      <c r="S129" s="36"/>
      <c r="T129" s="36"/>
      <c r="U129" s="36"/>
      <c r="V129" s="36"/>
      <c r="W129" s="36"/>
      <c r="X129" s="36"/>
      <c r="Y129" s="36"/>
      <c r="Z129" s="36"/>
    </row>
    <row r="130" ht="15.75" customHeight="1">
      <c r="A130" s="36"/>
      <c r="B130" s="36"/>
      <c r="C130" s="36"/>
      <c r="D130" s="36"/>
      <c r="E130" s="36"/>
      <c r="F130" s="36"/>
      <c r="G130" s="36"/>
      <c r="H130" s="1"/>
      <c r="I130" s="36"/>
      <c r="J130" s="36"/>
      <c r="K130" s="36"/>
      <c r="L130" s="36"/>
      <c r="M130" s="36"/>
      <c r="N130" s="36"/>
      <c r="O130" s="36"/>
      <c r="P130" s="36"/>
      <c r="Q130" s="36"/>
      <c r="R130" s="36"/>
      <c r="S130" s="36"/>
      <c r="T130" s="36"/>
      <c r="U130" s="36"/>
      <c r="V130" s="36"/>
      <c r="W130" s="36"/>
      <c r="X130" s="36"/>
      <c r="Y130" s="36"/>
      <c r="Z130" s="36"/>
    </row>
    <row r="131" ht="15.75" customHeight="1">
      <c r="A131" s="36"/>
      <c r="B131" s="36"/>
      <c r="C131" s="36"/>
      <c r="D131" s="36"/>
      <c r="E131" s="36"/>
      <c r="F131" s="36"/>
      <c r="G131" s="36"/>
      <c r="H131" s="1"/>
      <c r="I131" s="36"/>
      <c r="J131" s="36"/>
      <c r="K131" s="36"/>
      <c r="L131" s="36"/>
      <c r="M131" s="36"/>
      <c r="N131" s="36"/>
      <c r="O131" s="36"/>
      <c r="P131" s="36"/>
      <c r="Q131" s="36"/>
      <c r="R131" s="36"/>
      <c r="S131" s="36"/>
      <c r="T131" s="36"/>
      <c r="U131" s="36"/>
      <c r="V131" s="36"/>
      <c r="W131" s="36"/>
      <c r="X131" s="36"/>
      <c r="Y131" s="36"/>
      <c r="Z131" s="36"/>
    </row>
    <row r="132" ht="15.75" customHeight="1">
      <c r="A132" s="36"/>
      <c r="B132" s="36"/>
      <c r="C132" s="36"/>
      <c r="D132" s="36"/>
      <c r="E132" s="36"/>
      <c r="F132" s="36"/>
      <c r="G132" s="36"/>
      <c r="H132" s="1"/>
      <c r="I132" s="36"/>
      <c r="J132" s="36"/>
      <c r="K132" s="36"/>
      <c r="L132" s="36"/>
      <c r="M132" s="36"/>
      <c r="N132" s="36"/>
      <c r="O132" s="36"/>
      <c r="P132" s="36"/>
      <c r="Q132" s="36"/>
      <c r="R132" s="36"/>
      <c r="S132" s="36"/>
      <c r="T132" s="36"/>
      <c r="U132" s="36"/>
      <c r="V132" s="36"/>
      <c r="W132" s="36"/>
      <c r="X132" s="36"/>
      <c r="Y132" s="36"/>
      <c r="Z132" s="36"/>
    </row>
    <row r="133" ht="15.75" customHeight="1">
      <c r="A133" s="36"/>
      <c r="B133" s="36"/>
      <c r="C133" s="36"/>
      <c r="D133" s="36"/>
      <c r="E133" s="36"/>
      <c r="F133" s="36"/>
      <c r="G133" s="36"/>
      <c r="H133" s="1"/>
      <c r="I133" s="36"/>
      <c r="J133" s="36"/>
      <c r="K133" s="36"/>
      <c r="L133" s="36"/>
      <c r="M133" s="36"/>
      <c r="N133" s="36"/>
      <c r="O133" s="36"/>
      <c r="P133" s="36"/>
      <c r="Q133" s="36"/>
      <c r="R133" s="36"/>
      <c r="S133" s="36"/>
      <c r="T133" s="36"/>
      <c r="U133" s="36"/>
      <c r="V133" s="36"/>
      <c r="W133" s="36"/>
      <c r="X133" s="36"/>
      <c r="Y133" s="36"/>
      <c r="Z133" s="36"/>
    </row>
    <row r="134" ht="15.75" customHeight="1">
      <c r="A134" s="36"/>
      <c r="B134" s="36"/>
      <c r="C134" s="36"/>
      <c r="D134" s="36"/>
      <c r="E134" s="36"/>
      <c r="F134" s="36"/>
      <c r="G134" s="36"/>
      <c r="H134" s="1"/>
      <c r="I134" s="36"/>
      <c r="J134" s="36"/>
      <c r="K134" s="36"/>
      <c r="L134" s="36"/>
      <c r="M134" s="36"/>
      <c r="N134" s="36"/>
      <c r="O134" s="36"/>
      <c r="P134" s="36"/>
      <c r="Q134" s="36"/>
      <c r="R134" s="36"/>
      <c r="S134" s="36"/>
      <c r="T134" s="36"/>
      <c r="U134" s="36"/>
      <c r="V134" s="36"/>
      <c r="W134" s="36"/>
      <c r="X134" s="36"/>
      <c r="Y134" s="36"/>
      <c r="Z134" s="36"/>
    </row>
    <row r="135" ht="15.75" customHeight="1">
      <c r="A135" s="36"/>
      <c r="B135" s="36"/>
      <c r="C135" s="36"/>
      <c r="D135" s="36"/>
      <c r="E135" s="36"/>
      <c r="F135" s="36"/>
      <c r="G135" s="36"/>
      <c r="H135" s="1"/>
      <c r="I135" s="36"/>
      <c r="J135" s="36"/>
      <c r="K135" s="36"/>
      <c r="L135" s="36"/>
      <c r="M135" s="36"/>
      <c r="N135" s="36"/>
      <c r="O135" s="36"/>
      <c r="P135" s="36"/>
      <c r="Q135" s="36"/>
      <c r="R135" s="36"/>
      <c r="S135" s="36"/>
      <c r="T135" s="36"/>
      <c r="U135" s="36"/>
      <c r="V135" s="36"/>
      <c r="W135" s="36"/>
      <c r="X135" s="36"/>
      <c r="Y135" s="36"/>
      <c r="Z135" s="36"/>
    </row>
    <row r="136" ht="15.75" customHeight="1">
      <c r="A136" s="36"/>
      <c r="B136" s="36"/>
      <c r="C136" s="36"/>
      <c r="D136" s="36"/>
      <c r="E136" s="36"/>
      <c r="F136" s="36"/>
      <c r="G136" s="36"/>
      <c r="H136" s="1"/>
      <c r="I136" s="36"/>
      <c r="J136" s="36"/>
      <c r="K136" s="36"/>
      <c r="L136" s="36"/>
      <c r="M136" s="36"/>
      <c r="N136" s="36"/>
      <c r="O136" s="36"/>
      <c r="P136" s="36"/>
      <c r="Q136" s="36"/>
      <c r="R136" s="36"/>
      <c r="S136" s="36"/>
      <c r="T136" s="36"/>
      <c r="U136" s="36"/>
      <c r="V136" s="36"/>
      <c r="W136" s="36"/>
      <c r="X136" s="36"/>
      <c r="Y136" s="36"/>
      <c r="Z136" s="36"/>
    </row>
    <row r="137" ht="15.75" customHeight="1">
      <c r="A137" s="36"/>
      <c r="B137" s="36"/>
      <c r="C137" s="36"/>
      <c r="D137" s="36"/>
      <c r="E137" s="36"/>
      <c r="F137" s="36"/>
      <c r="G137" s="36"/>
      <c r="H137" s="1"/>
      <c r="I137" s="36"/>
      <c r="J137" s="36"/>
      <c r="K137" s="36"/>
      <c r="L137" s="36"/>
      <c r="M137" s="36"/>
      <c r="N137" s="36"/>
      <c r="O137" s="36"/>
      <c r="P137" s="36"/>
      <c r="Q137" s="36"/>
      <c r="R137" s="36"/>
      <c r="S137" s="36"/>
      <c r="T137" s="36"/>
      <c r="U137" s="36"/>
      <c r="V137" s="36"/>
      <c r="W137" s="36"/>
      <c r="X137" s="36"/>
      <c r="Y137" s="36"/>
      <c r="Z137" s="36"/>
    </row>
    <row r="138" ht="15.75" customHeight="1">
      <c r="A138" s="36"/>
      <c r="B138" s="36"/>
      <c r="C138" s="36"/>
      <c r="D138" s="36"/>
      <c r="E138" s="36"/>
      <c r="F138" s="36"/>
      <c r="G138" s="36"/>
      <c r="H138" s="1"/>
      <c r="I138" s="36"/>
      <c r="J138" s="36"/>
      <c r="K138" s="36"/>
      <c r="L138" s="36"/>
      <c r="M138" s="36"/>
      <c r="N138" s="36"/>
      <c r="O138" s="36"/>
      <c r="P138" s="36"/>
      <c r="Q138" s="36"/>
      <c r="R138" s="36"/>
      <c r="S138" s="36"/>
      <c r="T138" s="36"/>
      <c r="U138" s="36"/>
      <c r="V138" s="36"/>
      <c r="W138" s="36"/>
      <c r="X138" s="36"/>
      <c r="Y138" s="36"/>
      <c r="Z138" s="36"/>
    </row>
    <row r="139" ht="15.75" customHeight="1">
      <c r="A139" s="36"/>
      <c r="B139" s="36"/>
      <c r="C139" s="36"/>
      <c r="D139" s="36"/>
      <c r="E139" s="36"/>
      <c r="F139" s="36"/>
      <c r="G139" s="36"/>
      <c r="H139" s="1"/>
      <c r="I139" s="36"/>
      <c r="J139" s="36"/>
      <c r="K139" s="36"/>
      <c r="L139" s="36"/>
      <c r="M139" s="36"/>
      <c r="N139" s="36"/>
      <c r="O139" s="36"/>
      <c r="P139" s="36"/>
      <c r="Q139" s="36"/>
      <c r="R139" s="36"/>
      <c r="S139" s="36"/>
      <c r="T139" s="36"/>
      <c r="U139" s="36"/>
      <c r="V139" s="36"/>
      <c r="W139" s="36"/>
      <c r="X139" s="36"/>
      <c r="Y139" s="36"/>
      <c r="Z139" s="36"/>
    </row>
    <row r="140" ht="15.75" customHeight="1">
      <c r="A140" s="36"/>
      <c r="B140" s="36"/>
      <c r="C140" s="36"/>
      <c r="D140" s="36"/>
      <c r="E140" s="36"/>
      <c r="F140" s="36"/>
      <c r="G140" s="36"/>
      <c r="H140" s="1"/>
      <c r="I140" s="36"/>
      <c r="J140" s="36"/>
      <c r="K140" s="36"/>
      <c r="L140" s="36"/>
      <c r="M140" s="36"/>
      <c r="N140" s="36"/>
      <c r="O140" s="36"/>
      <c r="P140" s="36"/>
      <c r="Q140" s="36"/>
      <c r="R140" s="36"/>
      <c r="S140" s="36"/>
      <c r="T140" s="36"/>
      <c r="U140" s="36"/>
      <c r="V140" s="36"/>
      <c r="W140" s="36"/>
      <c r="X140" s="36"/>
      <c r="Y140" s="36"/>
      <c r="Z140" s="36"/>
    </row>
    <row r="141" ht="15.75" customHeight="1">
      <c r="A141" s="36"/>
      <c r="B141" s="36"/>
      <c r="C141" s="36"/>
      <c r="D141" s="36"/>
      <c r="E141" s="36"/>
      <c r="F141" s="36"/>
      <c r="G141" s="36"/>
      <c r="H141" s="1"/>
      <c r="I141" s="36"/>
      <c r="J141" s="36"/>
      <c r="K141" s="36"/>
      <c r="L141" s="36"/>
      <c r="M141" s="36"/>
      <c r="N141" s="36"/>
      <c r="O141" s="36"/>
      <c r="P141" s="36"/>
      <c r="Q141" s="36"/>
      <c r="R141" s="36"/>
      <c r="S141" s="36"/>
      <c r="T141" s="36"/>
      <c r="U141" s="36"/>
      <c r="V141" s="36"/>
      <c r="W141" s="36"/>
      <c r="X141" s="36"/>
      <c r="Y141" s="36"/>
      <c r="Z141" s="36"/>
    </row>
    <row r="142" ht="15.75" customHeight="1">
      <c r="A142" s="36"/>
      <c r="B142" s="36"/>
      <c r="C142" s="36"/>
      <c r="D142" s="36"/>
      <c r="E142" s="36"/>
      <c r="F142" s="36"/>
      <c r="G142" s="36"/>
      <c r="H142" s="1"/>
      <c r="I142" s="36"/>
      <c r="J142" s="36"/>
      <c r="K142" s="36"/>
      <c r="L142" s="36"/>
      <c r="M142" s="36"/>
      <c r="N142" s="36"/>
      <c r="O142" s="36"/>
      <c r="P142" s="36"/>
      <c r="Q142" s="36"/>
      <c r="R142" s="36"/>
      <c r="S142" s="36"/>
      <c r="T142" s="36"/>
      <c r="U142" s="36"/>
      <c r="V142" s="36"/>
      <c r="W142" s="36"/>
      <c r="X142" s="36"/>
      <c r="Y142" s="36"/>
      <c r="Z142" s="36"/>
    </row>
    <row r="143" ht="15.75" customHeight="1">
      <c r="A143" s="36"/>
      <c r="B143" s="36"/>
      <c r="C143" s="36"/>
      <c r="D143" s="36"/>
      <c r="E143" s="36"/>
      <c r="F143" s="36"/>
      <c r="G143" s="36"/>
      <c r="H143" s="1"/>
      <c r="I143" s="36"/>
      <c r="J143" s="36"/>
      <c r="K143" s="36"/>
      <c r="L143" s="36"/>
      <c r="M143" s="36"/>
      <c r="N143" s="36"/>
      <c r="O143" s="36"/>
      <c r="P143" s="36"/>
      <c r="Q143" s="36"/>
      <c r="R143" s="36"/>
      <c r="S143" s="36"/>
      <c r="T143" s="36"/>
      <c r="U143" s="36"/>
      <c r="V143" s="36"/>
      <c r="W143" s="36"/>
      <c r="X143" s="36"/>
      <c r="Y143" s="36"/>
      <c r="Z143" s="36"/>
    </row>
    <row r="144" ht="15.75" customHeight="1">
      <c r="A144" s="36"/>
      <c r="B144" s="36"/>
      <c r="C144" s="36"/>
      <c r="D144" s="36"/>
      <c r="E144" s="36"/>
      <c r="F144" s="36"/>
      <c r="G144" s="36"/>
      <c r="H144" s="1"/>
      <c r="I144" s="36"/>
      <c r="J144" s="36"/>
      <c r="K144" s="36"/>
      <c r="L144" s="36"/>
      <c r="M144" s="36"/>
      <c r="N144" s="36"/>
      <c r="O144" s="36"/>
      <c r="P144" s="36"/>
      <c r="Q144" s="36"/>
      <c r="R144" s="36"/>
      <c r="S144" s="36"/>
      <c r="T144" s="36"/>
      <c r="U144" s="36"/>
      <c r="V144" s="36"/>
      <c r="W144" s="36"/>
      <c r="X144" s="36"/>
      <c r="Y144" s="36"/>
      <c r="Z144" s="36"/>
    </row>
    <row r="145" ht="15.75" customHeight="1">
      <c r="A145" s="36"/>
      <c r="B145" s="36"/>
      <c r="C145" s="36"/>
      <c r="D145" s="36"/>
      <c r="E145" s="36"/>
      <c r="F145" s="36"/>
      <c r="G145" s="36"/>
      <c r="H145" s="1"/>
      <c r="I145" s="36"/>
      <c r="J145" s="36"/>
      <c r="K145" s="36"/>
      <c r="L145" s="36"/>
      <c r="M145" s="36"/>
      <c r="N145" s="36"/>
      <c r="O145" s="36"/>
      <c r="P145" s="36"/>
      <c r="Q145" s="36"/>
      <c r="R145" s="36"/>
      <c r="S145" s="36"/>
      <c r="T145" s="36"/>
      <c r="U145" s="36"/>
      <c r="V145" s="36"/>
      <c r="W145" s="36"/>
      <c r="X145" s="36"/>
      <c r="Y145" s="36"/>
      <c r="Z145" s="36"/>
    </row>
    <row r="146" ht="15.75" customHeight="1">
      <c r="A146" s="36"/>
      <c r="B146" s="36"/>
      <c r="C146" s="36"/>
      <c r="D146" s="36"/>
      <c r="E146" s="36"/>
      <c r="F146" s="36"/>
      <c r="G146" s="36"/>
      <c r="H146" s="1"/>
      <c r="I146" s="36"/>
      <c r="J146" s="36"/>
      <c r="K146" s="36"/>
      <c r="L146" s="36"/>
      <c r="M146" s="36"/>
      <c r="N146" s="36"/>
      <c r="O146" s="36"/>
      <c r="P146" s="36"/>
      <c r="Q146" s="36"/>
      <c r="R146" s="36"/>
      <c r="S146" s="36"/>
      <c r="T146" s="36"/>
      <c r="U146" s="36"/>
      <c r="V146" s="36"/>
      <c r="W146" s="36"/>
      <c r="X146" s="36"/>
      <c r="Y146" s="36"/>
      <c r="Z146" s="36"/>
    </row>
    <row r="147" ht="15.75" customHeight="1">
      <c r="A147" s="36"/>
      <c r="B147" s="36"/>
      <c r="C147" s="36"/>
      <c r="D147" s="36"/>
      <c r="E147" s="36"/>
      <c r="F147" s="36"/>
      <c r="G147" s="36"/>
      <c r="H147" s="1"/>
      <c r="I147" s="36"/>
      <c r="J147" s="36"/>
      <c r="K147" s="36"/>
      <c r="L147" s="36"/>
      <c r="M147" s="36"/>
      <c r="N147" s="36"/>
      <c r="O147" s="36"/>
      <c r="P147" s="36"/>
      <c r="Q147" s="36"/>
      <c r="R147" s="36"/>
      <c r="S147" s="36"/>
      <c r="T147" s="36"/>
      <c r="U147" s="36"/>
      <c r="V147" s="36"/>
      <c r="W147" s="36"/>
      <c r="X147" s="36"/>
      <c r="Y147" s="36"/>
      <c r="Z147" s="36"/>
    </row>
    <row r="148" ht="15.75" customHeight="1">
      <c r="A148" s="36"/>
      <c r="B148" s="36"/>
      <c r="C148" s="36"/>
      <c r="D148" s="36"/>
      <c r="E148" s="36"/>
      <c r="F148" s="36"/>
      <c r="G148" s="36"/>
      <c r="H148" s="1"/>
      <c r="I148" s="36"/>
      <c r="J148" s="36"/>
      <c r="K148" s="36"/>
      <c r="L148" s="36"/>
      <c r="M148" s="36"/>
      <c r="N148" s="36"/>
      <c r="O148" s="36"/>
      <c r="P148" s="36"/>
      <c r="Q148" s="36"/>
      <c r="R148" s="36"/>
      <c r="S148" s="36"/>
      <c r="T148" s="36"/>
      <c r="U148" s="36"/>
      <c r="V148" s="36"/>
      <c r="W148" s="36"/>
      <c r="X148" s="36"/>
      <c r="Y148" s="36"/>
      <c r="Z148" s="36"/>
    </row>
    <row r="149" ht="15.75" customHeight="1">
      <c r="A149" s="36"/>
      <c r="B149" s="36"/>
      <c r="C149" s="36"/>
      <c r="D149" s="36"/>
      <c r="E149" s="36"/>
      <c r="F149" s="36"/>
      <c r="G149" s="36"/>
      <c r="H149" s="1"/>
      <c r="I149" s="36"/>
      <c r="J149" s="36"/>
      <c r="K149" s="36"/>
      <c r="L149" s="36"/>
      <c r="M149" s="36"/>
      <c r="N149" s="36"/>
      <c r="O149" s="36"/>
      <c r="P149" s="36"/>
      <c r="Q149" s="36"/>
      <c r="R149" s="36"/>
      <c r="S149" s="36"/>
      <c r="T149" s="36"/>
      <c r="U149" s="36"/>
      <c r="V149" s="36"/>
      <c r="W149" s="36"/>
      <c r="X149" s="36"/>
      <c r="Y149" s="36"/>
      <c r="Z149" s="36"/>
    </row>
    <row r="150" ht="15.75" customHeight="1">
      <c r="A150" s="36"/>
      <c r="B150" s="36"/>
      <c r="C150" s="36"/>
      <c r="D150" s="36"/>
      <c r="E150" s="36"/>
      <c r="F150" s="36"/>
      <c r="G150" s="36"/>
      <c r="H150" s="1"/>
      <c r="I150" s="36"/>
      <c r="J150" s="36"/>
      <c r="K150" s="36"/>
      <c r="L150" s="36"/>
      <c r="M150" s="36"/>
      <c r="N150" s="36"/>
      <c r="O150" s="36"/>
      <c r="P150" s="36"/>
      <c r="Q150" s="36"/>
      <c r="R150" s="36"/>
      <c r="S150" s="36"/>
      <c r="T150" s="36"/>
      <c r="U150" s="36"/>
      <c r="V150" s="36"/>
      <c r="W150" s="36"/>
      <c r="X150" s="36"/>
      <c r="Y150" s="36"/>
      <c r="Z150" s="36"/>
    </row>
    <row r="151" ht="15.75" customHeight="1">
      <c r="A151" s="36"/>
      <c r="B151" s="36"/>
      <c r="C151" s="36"/>
      <c r="D151" s="36"/>
      <c r="E151" s="36"/>
      <c r="F151" s="36"/>
      <c r="G151" s="36"/>
      <c r="H151" s="1"/>
      <c r="I151" s="36"/>
      <c r="J151" s="36"/>
      <c r="K151" s="36"/>
      <c r="L151" s="36"/>
      <c r="M151" s="36"/>
      <c r="N151" s="36"/>
      <c r="O151" s="36"/>
      <c r="P151" s="36"/>
      <c r="Q151" s="36"/>
      <c r="R151" s="36"/>
      <c r="S151" s="36"/>
      <c r="T151" s="36"/>
      <c r="U151" s="36"/>
      <c r="V151" s="36"/>
      <c r="W151" s="36"/>
      <c r="X151" s="36"/>
      <c r="Y151" s="36"/>
      <c r="Z151" s="36"/>
    </row>
    <row r="152" ht="15.75" customHeight="1">
      <c r="A152" s="36"/>
      <c r="B152" s="36"/>
      <c r="C152" s="36"/>
      <c r="D152" s="36"/>
      <c r="E152" s="36"/>
      <c r="F152" s="36"/>
      <c r="G152" s="36"/>
      <c r="H152" s="1"/>
      <c r="I152" s="36"/>
      <c r="J152" s="36"/>
      <c r="K152" s="36"/>
      <c r="L152" s="36"/>
      <c r="M152" s="36"/>
      <c r="N152" s="36"/>
      <c r="O152" s="36"/>
      <c r="P152" s="36"/>
      <c r="Q152" s="36"/>
      <c r="R152" s="36"/>
      <c r="S152" s="36"/>
      <c r="T152" s="36"/>
      <c r="U152" s="36"/>
      <c r="V152" s="36"/>
      <c r="W152" s="36"/>
      <c r="X152" s="36"/>
      <c r="Y152" s="36"/>
      <c r="Z152" s="36"/>
    </row>
    <row r="153" ht="15.75" customHeight="1">
      <c r="A153" s="36"/>
      <c r="B153" s="36"/>
      <c r="C153" s="36"/>
      <c r="D153" s="36"/>
      <c r="E153" s="36"/>
      <c r="F153" s="36"/>
      <c r="G153" s="36"/>
      <c r="H153" s="1"/>
      <c r="I153" s="36"/>
      <c r="J153" s="36"/>
      <c r="K153" s="36"/>
      <c r="L153" s="36"/>
      <c r="M153" s="36"/>
      <c r="N153" s="36"/>
      <c r="O153" s="36"/>
      <c r="P153" s="36"/>
      <c r="Q153" s="36"/>
      <c r="R153" s="36"/>
      <c r="S153" s="36"/>
      <c r="T153" s="36"/>
      <c r="U153" s="36"/>
      <c r="V153" s="36"/>
      <c r="W153" s="36"/>
      <c r="X153" s="36"/>
      <c r="Y153" s="36"/>
      <c r="Z153" s="36"/>
    </row>
    <row r="154" ht="15.75" customHeight="1">
      <c r="A154" s="36"/>
      <c r="B154" s="36"/>
      <c r="C154" s="36"/>
      <c r="D154" s="36"/>
      <c r="E154" s="36"/>
      <c r="F154" s="36"/>
      <c r="G154" s="36"/>
      <c r="H154" s="1"/>
      <c r="I154" s="36"/>
      <c r="J154" s="36"/>
      <c r="K154" s="36"/>
      <c r="L154" s="36"/>
      <c r="M154" s="36"/>
      <c r="N154" s="36"/>
      <c r="O154" s="36"/>
      <c r="P154" s="36"/>
      <c r="Q154" s="36"/>
      <c r="R154" s="36"/>
      <c r="S154" s="36"/>
      <c r="T154" s="36"/>
      <c r="U154" s="36"/>
      <c r="V154" s="36"/>
      <c r="W154" s="36"/>
      <c r="X154" s="36"/>
      <c r="Y154" s="36"/>
      <c r="Z154" s="36"/>
    </row>
    <row r="155" ht="15.75" customHeight="1">
      <c r="A155" s="36"/>
      <c r="B155" s="36"/>
      <c r="C155" s="36"/>
      <c r="D155" s="36"/>
      <c r="E155" s="36"/>
      <c r="F155" s="36"/>
      <c r="G155" s="36"/>
      <c r="H155" s="1"/>
      <c r="I155" s="36"/>
      <c r="J155" s="36"/>
      <c r="K155" s="36"/>
      <c r="L155" s="36"/>
      <c r="M155" s="36"/>
      <c r="N155" s="36"/>
      <c r="O155" s="36"/>
      <c r="P155" s="36"/>
      <c r="Q155" s="36"/>
      <c r="R155" s="36"/>
      <c r="S155" s="36"/>
      <c r="T155" s="36"/>
      <c r="U155" s="36"/>
      <c r="V155" s="36"/>
      <c r="W155" s="36"/>
      <c r="X155" s="36"/>
      <c r="Y155" s="36"/>
      <c r="Z155" s="36"/>
    </row>
    <row r="156" ht="15.75" customHeight="1">
      <c r="A156" s="36"/>
      <c r="B156" s="36"/>
      <c r="C156" s="36"/>
      <c r="D156" s="36"/>
      <c r="E156" s="36"/>
      <c r="F156" s="36"/>
      <c r="G156" s="36"/>
      <c r="H156" s="1"/>
      <c r="I156" s="36"/>
      <c r="J156" s="36"/>
      <c r="K156" s="36"/>
      <c r="L156" s="36"/>
      <c r="M156" s="36"/>
      <c r="N156" s="36"/>
      <c r="O156" s="36"/>
      <c r="P156" s="36"/>
      <c r="Q156" s="36"/>
      <c r="R156" s="36"/>
      <c r="S156" s="36"/>
      <c r="T156" s="36"/>
      <c r="U156" s="36"/>
      <c r="V156" s="36"/>
      <c r="W156" s="36"/>
      <c r="X156" s="36"/>
      <c r="Y156" s="36"/>
      <c r="Z156" s="36"/>
    </row>
    <row r="157" ht="15.75" customHeight="1">
      <c r="A157" s="36"/>
      <c r="B157" s="36"/>
      <c r="C157" s="36"/>
      <c r="D157" s="36"/>
      <c r="E157" s="36"/>
      <c r="F157" s="36"/>
      <c r="G157" s="36"/>
      <c r="H157" s="1"/>
      <c r="I157" s="36"/>
      <c r="J157" s="36"/>
      <c r="K157" s="36"/>
      <c r="L157" s="36"/>
      <c r="M157" s="36"/>
      <c r="N157" s="36"/>
      <c r="O157" s="36"/>
      <c r="P157" s="36"/>
      <c r="Q157" s="36"/>
      <c r="R157" s="36"/>
      <c r="S157" s="36"/>
      <c r="T157" s="36"/>
      <c r="U157" s="36"/>
      <c r="V157" s="36"/>
      <c r="W157" s="36"/>
      <c r="X157" s="36"/>
      <c r="Y157" s="36"/>
      <c r="Z157" s="36"/>
    </row>
    <row r="158" ht="15.75" customHeight="1">
      <c r="A158" s="36"/>
      <c r="B158" s="36"/>
      <c r="C158" s="36"/>
      <c r="D158" s="36"/>
      <c r="E158" s="36"/>
      <c r="F158" s="36"/>
      <c r="G158" s="36"/>
      <c r="H158" s="1"/>
      <c r="I158" s="36"/>
      <c r="J158" s="36"/>
      <c r="K158" s="36"/>
      <c r="L158" s="36"/>
      <c r="M158" s="36"/>
      <c r="N158" s="36"/>
      <c r="O158" s="36"/>
      <c r="P158" s="36"/>
      <c r="Q158" s="36"/>
      <c r="R158" s="36"/>
      <c r="S158" s="36"/>
      <c r="T158" s="36"/>
      <c r="U158" s="36"/>
      <c r="V158" s="36"/>
      <c r="W158" s="36"/>
      <c r="X158" s="36"/>
      <c r="Y158" s="36"/>
      <c r="Z158" s="36"/>
    </row>
    <row r="159" ht="15.75" customHeight="1">
      <c r="A159" s="36"/>
      <c r="B159" s="36"/>
      <c r="C159" s="36"/>
      <c r="D159" s="36"/>
      <c r="E159" s="36"/>
      <c r="F159" s="36"/>
      <c r="G159" s="36"/>
      <c r="H159" s="1"/>
      <c r="I159" s="36"/>
      <c r="J159" s="36"/>
      <c r="K159" s="36"/>
      <c r="L159" s="36"/>
      <c r="M159" s="36"/>
      <c r="N159" s="36"/>
      <c r="O159" s="36"/>
      <c r="P159" s="36"/>
      <c r="Q159" s="36"/>
      <c r="R159" s="36"/>
      <c r="S159" s="36"/>
      <c r="T159" s="36"/>
      <c r="U159" s="36"/>
      <c r="V159" s="36"/>
      <c r="W159" s="36"/>
      <c r="X159" s="36"/>
      <c r="Y159" s="36"/>
      <c r="Z159" s="36"/>
    </row>
    <row r="160" ht="15.75" customHeight="1">
      <c r="A160" s="36"/>
      <c r="B160" s="36"/>
      <c r="C160" s="36"/>
      <c r="D160" s="36"/>
      <c r="E160" s="36"/>
      <c r="F160" s="36"/>
      <c r="G160" s="36"/>
      <c r="H160" s="1"/>
      <c r="I160" s="36"/>
      <c r="J160" s="36"/>
      <c r="K160" s="36"/>
      <c r="L160" s="36"/>
      <c r="M160" s="36"/>
      <c r="N160" s="36"/>
      <c r="O160" s="36"/>
      <c r="P160" s="36"/>
      <c r="Q160" s="36"/>
      <c r="R160" s="36"/>
      <c r="S160" s="36"/>
      <c r="T160" s="36"/>
      <c r="U160" s="36"/>
      <c r="V160" s="36"/>
      <c r="W160" s="36"/>
      <c r="X160" s="36"/>
      <c r="Y160" s="36"/>
      <c r="Z160" s="36"/>
    </row>
    <row r="161" ht="15.75" customHeight="1">
      <c r="A161" s="36"/>
      <c r="B161" s="36"/>
      <c r="C161" s="36"/>
      <c r="D161" s="36"/>
      <c r="E161" s="36"/>
      <c r="F161" s="36"/>
      <c r="G161" s="36"/>
      <c r="H161" s="1"/>
      <c r="I161" s="36"/>
      <c r="J161" s="36"/>
      <c r="K161" s="36"/>
      <c r="L161" s="36"/>
      <c r="M161" s="36"/>
      <c r="N161" s="36"/>
      <c r="O161" s="36"/>
      <c r="P161" s="36"/>
      <c r="Q161" s="36"/>
      <c r="R161" s="36"/>
      <c r="S161" s="36"/>
      <c r="T161" s="36"/>
      <c r="U161" s="36"/>
      <c r="V161" s="36"/>
      <c r="W161" s="36"/>
      <c r="X161" s="36"/>
      <c r="Y161" s="36"/>
      <c r="Z161" s="36"/>
    </row>
    <row r="162" ht="15.75" customHeight="1">
      <c r="A162" s="36"/>
      <c r="B162" s="36"/>
      <c r="C162" s="36"/>
      <c r="D162" s="36"/>
      <c r="E162" s="36"/>
      <c r="F162" s="36"/>
      <c r="G162" s="36"/>
      <c r="H162" s="1"/>
      <c r="I162" s="36"/>
      <c r="J162" s="36"/>
      <c r="K162" s="36"/>
      <c r="L162" s="36"/>
      <c r="M162" s="36"/>
      <c r="N162" s="36"/>
      <c r="O162" s="36"/>
      <c r="P162" s="36"/>
      <c r="Q162" s="36"/>
      <c r="R162" s="36"/>
      <c r="S162" s="36"/>
      <c r="T162" s="36"/>
      <c r="U162" s="36"/>
      <c r="V162" s="36"/>
      <c r="W162" s="36"/>
      <c r="X162" s="36"/>
      <c r="Y162" s="36"/>
      <c r="Z162" s="36"/>
    </row>
    <row r="163" ht="15.75" customHeight="1">
      <c r="A163" s="36"/>
      <c r="B163" s="36"/>
      <c r="C163" s="36"/>
      <c r="D163" s="36"/>
      <c r="E163" s="36"/>
      <c r="F163" s="36"/>
      <c r="G163" s="36"/>
      <c r="H163" s="1"/>
      <c r="I163" s="36"/>
      <c r="J163" s="36"/>
      <c r="K163" s="36"/>
      <c r="L163" s="36"/>
      <c r="M163" s="36"/>
      <c r="N163" s="36"/>
      <c r="O163" s="36"/>
      <c r="P163" s="36"/>
      <c r="Q163" s="36"/>
      <c r="R163" s="36"/>
      <c r="S163" s="36"/>
      <c r="T163" s="36"/>
      <c r="U163" s="36"/>
      <c r="V163" s="36"/>
      <c r="W163" s="36"/>
      <c r="X163" s="36"/>
      <c r="Y163" s="36"/>
      <c r="Z163" s="36"/>
    </row>
    <row r="164" ht="15.75" customHeight="1">
      <c r="A164" s="36"/>
      <c r="B164" s="36"/>
      <c r="C164" s="36"/>
      <c r="D164" s="36"/>
      <c r="E164" s="36"/>
      <c r="F164" s="36"/>
      <c r="G164" s="36"/>
      <c r="H164" s="1"/>
      <c r="I164" s="36"/>
      <c r="J164" s="36"/>
      <c r="K164" s="36"/>
      <c r="L164" s="36"/>
      <c r="M164" s="36"/>
      <c r="N164" s="36"/>
      <c r="O164" s="36"/>
      <c r="P164" s="36"/>
      <c r="Q164" s="36"/>
      <c r="R164" s="36"/>
      <c r="S164" s="36"/>
      <c r="T164" s="36"/>
      <c r="U164" s="36"/>
      <c r="V164" s="36"/>
      <c r="W164" s="36"/>
      <c r="X164" s="36"/>
      <c r="Y164" s="36"/>
      <c r="Z164" s="36"/>
    </row>
    <row r="165" ht="15.75" customHeight="1">
      <c r="A165" s="36"/>
      <c r="B165" s="36"/>
      <c r="C165" s="36"/>
      <c r="D165" s="36"/>
      <c r="E165" s="36"/>
      <c r="F165" s="36"/>
      <c r="G165" s="36"/>
      <c r="H165" s="1"/>
      <c r="I165" s="36"/>
      <c r="J165" s="36"/>
      <c r="K165" s="36"/>
      <c r="L165" s="36"/>
      <c r="M165" s="36"/>
      <c r="N165" s="36"/>
      <c r="O165" s="36"/>
      <c r="P165" s="36"/>
      <c r="Q165" s="36"/>
      <c r="R165" s="36"/>
      <c r="S165" s="36"/>
      <c r="T165" s="36"/>
      <c r="U165" s="36"/>
      <c r="V165" s="36"/>
      <c r="W165" s="36"/>
      <c r="X165" s="36"/>
      <c r="Y165" s="36"/>
      <c r="Z165" s="36"/>
    </row>
    <row r="166" ht="15.75" customHeight="1">
      <c r="A166" s="36"/>
      <c r="B166" s="36"/>
      <c r="C166" s="36"/>
      <c r="D166" s="36"/>
      <c r="E166" s="36"/>
      <c r="F166" s="36"/>
      <c r="G166" s="36"/>
      <c r="H166" s="1"/>
      <c r="I166" s="36"/>
      <c r="J166" s="36"/>
      <c r="K166" s="36"/>
      <c r="L166" s="36"/>
      <c r="M166" s="36"/>
      <c r="N166" s="36"/>
      <c r="O166" s="36"/>
      <c r="P166" s="36"/>
      <c r="Q166" s="36"/>
      <c r="R166" s="36"/>
      <c r="S166" s="36"/>
      <c r="T166" s="36"/>
      <c r="U166" s="36"/>
      <c r="V166" s="36"/>
      <c r="W166" s="36"/>
      <c r="X166" s="36"/>
      <c r="Y166" s="36"/>
      <c r="Z166" s="36"/>
    </row>
    <row r="167" ht="15.75" customHeight="1">
      <c r="A167" s="36"/>
      <c r="B167" s="36"/>
      <c r="C167" s="36"/>
      <c r="D167" s="36"/>
      <c r="E167" s="36"/>
      <c r="F167" s="36"/>
      <c r="G167" s="36"/>
      <c r="H167" s="1"/>
      <c r="I167" s="36"/>
      <c r="J167" s="36"/>
      <c r="K167" s="36"/>
      <c r="L167" s="36"/>
      <c r="M167" s="36"/>
      <c r="N167" s="36"/>
      <c r="O167" s="36"/>
      <c r="P167" s="36"/>
      <c r="Q167" s="36"/>
      <c r="R167" s="36"/>
      <c r="S167" s="36"/>
      <c r="T167" s="36"/>
      <c r="U167" s="36"/>
      <c r="V167" s="36"/>
      <c r="W167" s="36"/>
      <c r="X167" s="36"/>
      <c r="Y167" s="36"/>
      <c r="Z167" s="36"/>
    </row>
    <row r="168" ht="15.75" customHeight="1">
      <c r="A168" s="36"/>
      <c r="B168" s="36"/>
      <c r="C168" s="36"/>
      <c r="D168" s="36"/>
      <c r="E168" s="36"/>
      <c r="F168" s="36"/>
      <c r="G168" s="36"/>
      <c r="H168" s="1"/>
      <c r="I168" s="36"/>
      <c r="J168" s="36"/>
      <c r="K168" s="36"/>
      <c r="L168" s="36"/>
      <c r="M168" s="36"/>
      <c r="N168" s="36"/>
      <c r="O168" s="36"/>
      <c r="P168" s="36"/>
      <c r="Q168" s="36"/>
      <c r="R168" s="36"/>
      <c r="S168" s="36"/>
      <c r="T168" s="36"/>
      <c r="U168" s="36"/>
      <c r="V168" s="36"/>
      <c r="W168" s="36"/>
      <c r="X168" s="36"/>
      <c r="Y168" s="36"/>
      <c r="Z168" s="36"/>
    </row>
    <row r="169" ht="15.75" customHeight="1">
      <c r="A169" s="36"/>
      <c r="B169" s="36"/>
      <c r="C169" s="36"/>
      <c r="D169" s="36"/>
      <c r="E169" s="36"/>
      <c r="F169" s="36"/>
      <c r="G169" s="36"/>
      <c r="H169" s="1"/>
      <c r="I169" s="36"/>
      <c r="J169" s="36"/>
      <c r="K169" s="36"/>
      <c r="L169" s="36"/>
      <c r="M169" s="36"/>
      <c r="N169" s="36"/>
      <c r="O169" s="36"/>
      <c r="P169" s="36"/>
      <c r="Q169" s="36"/>
      <c r="R169" s="36"/>
      <c r="S169" s="36"/>
      <c r="T169" s="36"/>
      <c r="U169" s="36"/>
      <c r="V169" s="36"/>
      <c r="W169" s="36"/>
      <c r="X169" s="36"/>
      <c r="Y169" s="36"/>
      <c r="Z169" s="36"/>
    </row>
    <row r="170" ht="15.75" customHeight="1">
      <c r="A170" s="36"/>
      <c r="B170" s="36"/>
      <c r="C170" s="36"/>
      <c r="D170" s="36"/>
      <c r="E170" s="36"/>
      <c r="F170" s="36"/>
      <c r="G170" s="36"/>
      <c r="H170" s="1"/>
      <c r="I170" s="36"/>
      <c r="J170" s="36"/>
      <c r="K170" s="36"/>
      <c r="L170" s="36"/>
      <c r="M170" s="36"/>
      <c r="N170" s="36"/>
      <c r="O170" s="36"/>
      <c r="P170" s="36"/>
      <c r="Q170" s="36"/>
      <c r="R170" s="36"/>
      <c r="S170" s="36"/>
      <c r="T170" s="36"/>
      <c r="U170" s="36"/>
      <c r="V170" s="36"/>
      <c r="W170" s="36"/>
      <c r="X170" s="36"/>
      <c r="Y170" s="36"/>
      <c r="Z170" s="36"/>
    </row>
    <row r="171" ht="15.75" customHeight="1">
      <c r="A171" s="36"/>
      <c r="B171" s="36"/>
      <c r="C171" s="36"/>
      <c r="D171" s="36"/>
      <c r="E171" s="36"/>
      <c r="F171" s="36"/>
      <c r="G171" s="36"/>
      <c r="H171" s="1"/>
      <c r="I171" s="36"/>
      <c r="J171" s="36"/>
      <c r="K171" s="36"/>
      <c r="L171" s="36"/>
      <c r="M171" s="36"/>
      <c r="N171" s="36"/>
      <c r="O171" s="36"/>
      <c r="P171" s="36"/>
      <c r="Q171" s="36"/>
      <c r="R171" s="36"/>
      <c r="S171" s="36"/>
      <c r="T171" s="36"/>
      <c r="U171" s="36"/>
      <c r="V171" s="36"/>
      <c r="W171" s="36"/>
      <c r="X171" s="36"/>
      <c r="Y171" s="36"/>
      <c r="Z171" s="36"/>
    </row>
    <row r="172" ht="15.75" customHeight="1">
      <c r="A172" s="36"/>
      <c r="B172" s="36"/>
      <c r="C172" s="36"/>
      <c r="D172" s="36"/>
      <c r="E172" s="36"/>
      <c r="F172" s="36"/>
      <c r="G172" s="36"/>
      <c r="H172" s="1"/>
      <c r="I172" s="36"/>
      <c r="J172" s="36"/>
      <c r="K172" s="36"/>
      <c r="L172" s="36"/>
      <c r="M172" s="36"/>
      <c r="N172" s="36"/>
      <c r="O172" s="36"/>
      <c r="P172" s="36"/>
      <c r="Q172" s="36"/>
      <c r="R172" s="36"/>
      <c r="S172" s="36"/>
      <c r="T172" s="36"/>
      <c r="U172" s="36"/>
      <c r="V172" s="36"/>
      <c r="W172" s="36"/>
      <c r="X172" s="36"/>
      <c r="Y172" s="36"/>
      <c r="Z172" s="36"/>
    </row>
    <row r="173" ht="15.75" customHeight="1">
      <c r="A173" s="36"/>
      <c r="B173" s="36"/>
      <c r="C173" s="36"/>
      <c r="D173" s="36"/>
      <c r="E173" s="36"/>
      <c r="F173" s="36"/>
      <c r="G173" s="36"/>
      <c r="H173" s="1"/>
      <c r="I173" s="36"/>
      <c r="J173" s="36"/>
      <c r="K173" s="36"/>
      <c r="L173" s="36"/>
      <c r="M173" s="36"/>
      <c r="N173" s="36"/>
      <c r="O173" s="36"/>
      <c r="P173" s="36"/>
      <c r="Q173" s="36"/>
      <c r="R173" s="36"/>
      <c r="S173" s="36"/>
      <c r="T173" s="36"/>
      <c r="U173" s="36"/>
      <c r="V173" s="36"/>
      <c r="W173" s="36"/>
      <c r="X173" s="36"/>
      <c r="Y173" s="36"/>
      <c r="Z173" s="36"/>
    </row>
    <row r="174" ht="15.75" customHeight="1">
      <c r="A174" s="36"/>
      <c r="B174" s="36"/>
      <c r="C174" s="36"/>
      <c r="D174" s="36"/>
      <c r="E174" s="36"/>
      <c r="F174" s="36"/>
      <c r="G174" s="36"/>
      <c r="H174" s="1"/>
      <c r="I174" s="36"/>
      <c r="J174" s="36"/>
      <c r="K174" s="36"/>
      <c r="L174" s="36"/>
      <c r="M174" s="36"/>
      <c r="N174" s="36"/>
      <c r="O174" s="36"/>
      <c r="P174" s="36"/>
      <c r="Q174" s="36"/>
      <c r="R174" s="36"/>
      <c r="S174" s="36"/>
      <c r="T174" s="36"/>
      <c r="U174" s="36"/>
      <c r="V174" s="36"/>
      <c r="W174" s="36"/>
      <c r="X174" s="36"/>
      <c r="Y174" s="36"/>
      <c r="Z174" s="36"/>
    </row>
    <row r="175" ht="15.75" customHeight="1">
      <c r="A175" s="36"/>
      <c r="B175" s="36"/>
      <c r="C175" s="36"/>
      <c r="D175" s="36"/>
      <c r="E175" s="36"/>
      <c r="F175" s="36"/>
      <c r="G175" s="36"/>
      <c r="H175" s="1"/>
      <c r="I175" s="36"/>
      <c r="J175" s="36"/>
      <c r="K175" s="36"/>
      <c r="L175" s="36"/>
      <c r="M175" s="36"/>
      <c r="N175" s="36"/>
      <c r="O175" s="36"/>
      <c r="P175" s="36"/>
      <c r="Q175" s="36"/>
      <c r="R175" s="36"/>
      <c r="S175" s="36"/>
      <c r="T175" s="36"/>
      <c r="U175" s="36"/>
      <c r="V175" s="36"/>
      <c r="W175" s="36"/>
      <c r="X175" s="36"/>
      <c r="Y175" s="36"/>
      <c r="Z175" s="36"/>
    </row>
    <row r="176" ht="15.75" customHeight="1">
      <c r="A176" s="36"/>
      <c r="B176" s="36"/>
      <c r="C176" s="36"/>
      <c r="D176" s="36"/>
      <c r="E176" s="36"/>
      <c r="F176" s="36"/>
      <c r="G176" s="36"/>
      <c r="H176" s="1"/>
      <c r="I176" s="36"/>
      <c r="J176" s="36"/>
      <c r="K176" s="36"/>
      <c r="L176" s="36"/>
      <c r="M176" s="36"/>
      <c r="N176" s="36"/>
      <c r="O176" s="36"/>
      <c r="P176" s="36"/>
      <c r="Q176" s="36"/>
      <c r="R176" s="36"/>
      <c r="S176" s="36"/>
      <c r="T176" s="36"/>
      <c r="U176" s="36"/>
      <c r="V176" s="36"/>
      <c r="W176" s="36"/>
      <c r="X176" s="36"/>
      <c r="Y176" s="36"/>
      <c r="Z176" s="36"/>
    </row>
    <row r="177" ht="15.75" customHeight="1">
      <c r="A177" s="36"/>
      <c r="B177" s="36"/>
      <c r="C177" s="36"/>
      <c r="D177" s="36"/>
      <c r="E177" s="36"/>
      <c r="F177" s="36"/>
      <c r="G177" s="36"/>
      <c r="H177" s="1"/>
      <c r="I177" s="36"/>
      <c r="J177" s="36"/>
      <c r="K177" s="36"/>
      <c r="L177" s="36"/>
      <c r="M177" s="36"/>
      <c r="N177" s="36"/>
      <c r="O177" s="36"/>
      <c r="P177" s="36"/>
      <c r="Q177" s="36"/>
      <c r="R177" s="36"/>
      <c r="S177" s="36"/>
      <c r="T177" s="36"/>
      <c r="U177" s="36"/>
      <c r="V177" s="36"/>
      <c r="W177" s="36"/>
      <c r="X177" s="36"/>
      <c r="Y177" s="36"/>
      <c r="Z177" s="36"/>
    </row>
    <row r="178" ht="15.75" customHeight="1">
      <c r="A178" s="36"/>
      <c r="B178" s="36"/>
      <c r="C178" s="36"/>
      <c r="D178" s="36"/>
      <c r="E178" s="36"/>
      <c r="F178" s="36"/>
      <c r="G178" s="36"/>
      <c r="H178" s="1"/>
      <c r="I178" s="36"/>
      <c r="J178" s="36"/>
      <c r="K178" s="36"/>
      <c r="L178" s="36"/>
      <c r="M178" s="36"/>
      <c r="N178" s="36"/>
      <c r="O178" s="36"/>
      <c r="P178" s="36"/>
      <c r="Q178" s="36"/>
      <c r="R178" s="36"/>
      <c r="S178" s="36"/>
      <c r="T178" s="36"/>
      <c r="U178" s="36"/>
      <c r="V178" s="36"/>
      <c r="W178" s="36"/>
      <c r="X178" s="36"/>
      <c r="Y178" s="36"/>
      <c r="Z178" s="36"/>
    </row>
    <row r="179" ht="15.75" customHeight="1">
      <c r="A179" s="36"/>
      <c r="B179" s="36"/>
      <c r="C179" s="36"/>
      <c r="D179" s="36"/>
      <c r="E179" s="36"/>
      <c r="F179" s="36"/>
      <c r="G179" s="36"/>
      <c r="H179" s="1"/>
      <c r="I179" s="36"/>
      <c r="J179" s="36"/>
      <c r="K179" s="36"/>
      <c r="L179" s="36"/>
      <c r="M179" s="36"/>
      <c r="N179" s="36"/>
      <c r="O179" s="36"/>
      <c r="P179" s="36"/>
      <c r="Q179" s="36"/>
      <c r="R179" s="36"/>
      <c r="S179" s="36"/>
      <c r="T179" s="36"/>
      <c r="U179" s="36"/>
      <c r="V179" s="36"/>
      <c r="W179" s="36"/>
      <c r="X179" s="36"/>
      <c r="Y179" s="36"/>
      <c r="Z179" s="36"/>
    </row>
    <row r="180" ht="15.75" customHeight="1">
      <c r="A180" s="36"/>
      <c r="B180" s="36"/>
      <c r="C180" s="36"/>
      <c r="D180" s="36"/>
      <c r="E180" s="36"/>
      <c r="F180" s="36"/>
      <c r="G180" s="36"/>
      <c r="H180" s="1"/>
      <c r="I180" s="36"/>
      <c r="J180" s="36"/>
      <c r="K180" s="36"/>
      <c r="L180" s="36"/>
      <c r="M180" s="36"/>
      <c r="N180" s="36"/>
      <c r="O180" s="36"/>
      <c r="P180" s="36"/>
      <c r="Q180" s="36"/>
      <c r="R180" s="36"/>
      <c r="S180" s="36"/>
      <c r="T180" s="36"/>
      <c r="U180" s="36"/>
      <c r="V180" s="36"/>
      <c r="W180" s="36"/>
      <c r="X180" s="36"/>
      <c r="Y180" s="36"/>
      <c r="Z180" s="36"/>
    </row>
    <row r="181" ht="15.75" customHeight="1">
      <c r="A181" s="36"/>
      <c r="B181" s="36"/>
      <c r="C181" s="36"/>
      <c r="D181" s="36"/>
      <c r="E181" s="36"/>
      <c r="F181" s="36"/>
      <c r="G181" s="36"/>
      <c r="H181" s="1"/>
      <c r="I181" s="36"/>
      <c r="J181" s="36"/>
      <c r="K181" s="36"/>
      <c r="L181" s="36"/>
      <c r="M181" s="36"/>
      <c r="N181" s="36"/>
      <c r="O181" s="36"/>
      <c r="P181" s="36"/>
      <c r="Q181" s="36"/>
      <c r="R181" s="36"/>
      <c r="S181" s="36"/>
      <c r="T181" s="36"/>
      <c r="U181" s="36"/>
      <c r="V181" s="36"/>
      <c r="W181" s="36"/>
      <c r="X181" s="36"/>
      <c r="Y181" s="36"/>
      <c r="Z181" s="36"/>
    </row>
    <row r="182" ht="15.75" customHeight="1">
      <c r="A182" s="36"/>
      <c r="B182" s="36"/>
      <c r="C182" s="36"/>
      <c r="D182" s="36"/>
      <c r="E182" s="36"/>
      <c r="F182" s="36"/>
      <c r="G182" s="36"/>
      <c r="H182" s="1"/>
      <c r="I182" s="36"/>
      <c r="J182" s="36"/>
      <c r="K182" s="36"/>
      <c r="L182" s="36"/>
      <c r="M182" s="36"/>
      <c r="N182" s="36"/>
      <c r="O182" s="36"/>
      <c r="P182" s="36"/>
      <c r="Q182" s="36"/>
      <c r="R182" s="36"/>
      <c r="S182" s="36"/>
      <c r="T182" s="36"/>
      <c r="U182" s="36"/>
      <c r="V182" s="36"/>
      <c r="W182" s="36"/>
      <c r="X182" s="36"/>
      <c r="Y182" s="36"/>
      <c r="Z182" s="36"/>
    </row>
    <row r="183" ht="15.75" customHeight="1">
      <c r="A183" s="36"/>
      <c r="B183" s="36"/>
      <c r="C183" s="36"/>
      <c r="D183" s="36"/>
      <c r="E183" s="36"/>
      <c r="F183" s="36"/>
      <c r="G183" s="36"/>
      <c r="H183" s="1"/>
      <c r="I183" s="36"/>
      <c r="J183" s="36"/>
      <c r="K183" s="36"/>
      <c r="L183" s="36"/>
      <c r="M183" s="36"/>
      <c r="N183" s="36"/>
      <c r="O183" s="36"/>
      <c r="P183" s="36"/>
      <c r="Q183" s="36"/>
      <c r="R183" s="36"/>
      <c r="S183" s="36"/>
      <c r="T183" s="36"/>
      <c r="U183" s="36"/>
      <c r="V183" s="36"/>
      <c r="W183" s="36"/>
      <c r="X183" s="36"/>
      <c r="Y183" s="36"/>
      <c r="Z183" s="36"/>
    </row>
    <row r="184" ht="15.75" customHeight="1">
      <c r="A184" s="36"/>
      <c r="B184" s="36"/>
      <c r="C184" s="36"/>
      <c r="D184" s="36"/>
      <c r="E184" s="36"/>
      <c r="F184" s="36"/>
      <c r="G184" s="36"/>
      <c r="H184" s="1"/>
      <c r="I184" s="36"/>
      <c r="J184" s="36"/>
      <c r="K184" s="36"/>
      <c r="L184" s="36"/>
      <c r="M184" s="36"/>
      <c r="N184" s="36"/>
      <c r="O184" s="36"/>
      <c r="P184" s="36"/>
      <c r="Q184" s="36"/>
      <c r="R184" s="36"/>
      <c r="S184" s="36"/>
      <c r="T184" s="36"/>
      <c r="U184" s="36"/>
      <c r="V184" s="36"/>
      <c r="W184" s="36"/>
      <c r="X184" s="36"/>
      <c r="Y184" s="36"/>
      <c r="Z184" s="36"/>
    </row>
    <row r="185" ht="15.75" customHeight="1">
      <c r="A185" s="36"/>
      <c r="B185" s="36"/>
      <c r="C185" s="36"/>
      <c r="D185" s="36"/>
      <c r="E185" s="36"/>
      <c r="F185" s="36"/>
      <c r="G185" s="36"/>
      <c r="H185" s="1"/>
      <c r="I185" s="36"/>
      <c r="J185" s="36"/>
      <c r="K185" s="36"/>
      <c r="L185" s="36"/>
      <c r="M185" s="36"/>
      <c r="N185" s="36"/>
      <c r="O185" s="36"/>
      <c r="P185" s="36"/>
      <c r="Q185" s="36"/>
      <c r="R185" s="36"/>
      <c r="S185" s="36"/>
      <c r="T185" s="36"/>
      <c r="U185" s="36"/>
      <c r="V185" s="36"/>
      <c r="W185" s="36"/>
      <c r="X185" s="36"/>
      <c r="Y185" s="36"/>
      <c r="Z185" s="36"/>
    </row>
    <row r="186" ht="15.75" customHeight="1">
      <c r="A186" s="36"/>
      <c r="B186" s="36"/>
      <c r="C186" s="36"/>
      <c r="D186" s="36"/>
      <c r="E186" s="36"/>
      <c r="F186" s="36"/>
      <c r="G186" s="36"/>
      <c r="H186" s="1"/>
      <c r="I186" s="36"/>
      <c r="J186" s="36"/>
      <c r="K186" s="36"/>
      <c r="L186" s="36"/>
      <c r="M186" s="36"/>
      <c r="N186" s="36"/>
      <c r="O186" s="36"/>
      <c r="P186" s="36"/>
      <c r="Q186" s="36"/>
      <c r="R186" s="36"/>
      <c r="S186" s="36"/>
      <c r="T186" s="36"/>
      <c r="U186" s="36"/>
      <c r="V186" s="36"/>
      <c r="W186" s="36"/>
      <c r="X186" s="36"/>
      <c r="Y186" s="36"/>
      <c r="Z186" s="36"/>
    </row>
    <row r="187" ht="15.75" customHeight="1">
      <c r="H187" s="1"/>
    </row>
    <row r="188" ht="15.75" customHeight="1">
      <c r="H188" s="1"/>
    </row>
    <row r="189" ht="15.75" customHeight="1">
      <c r="H189" s="1"/>
    </row>
    <row r="190" ht="15.75" customHeight="1">
      <c r="H190" s="1"/>
    </row>
    <row r="191" ht="15.75" customHeight="1">
      <c r="H191" s="1"/>
    </row>
    <row r="192" ht="15.75" customHeight="1">
      <c r="H192" s="1"/>
    </row>
    <row r="193" ht="15.75" customHeight="1">
      <c r="H193" s="1"/>
    </row>
    <row r="194" ht="15.75" customHeight="1">
      <c r="H194" s="1"/>
    </row>
    <row r="195" ht="15.75" customHeight="1">
      <c r="H195" s="1"/>
    </row>
    <row r="196" ht="15.75" customHeight="1">
      <c r="H196" s="1"/>
    </row>
    <row r="197" ht="15.75" customHeight="1">
      <c r="H197" s="1"/>
    </row>
    <row r="198" ht="15.75" customHeight="1">
      <c r="H198" s="1"/>
    </row>
    <row r="199" ht="15.75" customHeight="1">
      <c r="H199" s="1"/>
    </row>
    <row r="200" ht="15.75" customHeight="1">
      <c r="H200" s="1"/>
    </row>
    <row r="201" ht="15.75" customHeight="1">
      <c r="H201" s="1"/>
    </row>
    <row r="202" ht="15.75" customHeight="1">
      <c r="H202" s="1"/>
    </row>
    <row r="203" ht="15.75" customHeight="1">
      <c r="H203" s="1"/>
    </row>
    <row r="204" ht="15.75" customHeight="1">
      <c r="H204" s="1"/>
    </row>
    <row r="205" ht="15.75" customHeight="1">
      <c r="H205" s="1"/>
    </row>
    <row r="206" ht="15.75" customHeight="1">
      <c r="H206" s="1"/>
    </row>
    <row r="207" ht="15.75" customHeight="1">
      <c r="H207" s="1"/>
    </row>
    <row r="208" ht="15.75" customHeight="1">
      <c r="H208" s="1"/>
    </row>
    <row r="209" ht="15.75" customHeight="1">
      <c r="H209" s="1"/>
    </row>
    <row r="210" ht="15.75" customHeight="1">
      <c r="H210" s="1"/>
    </row>
    <row r="211" ht="15.75" customHeight="1">
      <c r="H211" s="1"/>
    </row>
    <row r="212" ht="15.75" customHeight="1">
      <c r="H212" s="1"/>
    </row>
    <row r="213" ht="15.75" customHeight="1">
      <c r="H213" s="1"/>
    </row>
    <row r="214" ht="15.75" customHeight="1">
      <c r="H214" s="1"/>
    </row>
    <row r="215" ht="15.75" customHeight="1">
      <c r="H215" s="1"/>
    </row>
    <row r="216" ht="15.75" customHeight="1">
      <c r="H216" s="1"/>
    </row>
    <row r="217" ht="15.75" customHeight="1">
      <c r="H217" s="1"/>
    </row>
    <row r="218" ht="15.75" customHeight="1">
      <c r="H218" s="1"/>
    </row>
    <row r="219" ht="15.75" customHeight="1">
      <c r="H219" s="1"/>
    </row>
    <row r="220" ht="15.75" customHeight="1">
      <c r="H220" s="1"/>
    </row>
    <row r="221" ht="15.75" customHeight="1">
      <c r="H221" s="1"/>
    </row>
    <row r="222" ht="15.75" customHeight="1">
      <c r="H222" s="1"/>
    </row>
    <row r="223" ht="15.75" customHeight="1">
      <c r="H223" s="1"/>
    </row>
    <row r="224" ht="15.75" customHeight="1">
      <c r="H224" s="1"/>
    </row>
    <row r="225" ht="15.75" customHeight="1">
      <c r="H225" s="1"/>
    </row>
    <row r="226" ht="15.75" customHeight="1">
      <c r="H226" s="1"/>
    </row>
    <row r="227" ht="15.75" customHeight="1">
      <c r="H227" s="1"/>
    </row>
    <row r="228" ht="15.75" customHeight="1">
      <c r="H228" s="1"/>
    </row>
    <row r="229" ht="15.75" customHeight="1">
      <c r="H229" s="1"/>
    </row>
    <row r="230" ht="15.75" customHeight="1">
      <c r="H230" s="1"/>
    </row>
    <row r="231" ht="15.75" customHeight="1">
      <c r="H231" s="1"/>
    </row>
    <row r="232" ht="15.75" customHeight="1">
      <c r="H232" s="1"/>
    </row>
    <row r="233" ht="15.75" customHeight="1">
      <c r="H233" s="1"/>
    </row>
    <row r="234" ht="15.75" customHeight="1">
      <c r="H234" s="1"/>
    </row>
    <row r="235" ht="15.75" customHeight="1">
      <c r="H235" s="1"/>
    </row>
    <row r="236" ht="15.75" customHeight="1">
      <c r="H236" s="1"/>
    </row>
    <row r="237" ht="15.75" customHeight="1">
      <c r="H237" s="1"/>
    </row>
    <row r="238" ht="15.75" customHeight="1">
      <c r="H238" s="1"/>
    </row>
    <row r="239" ht="15.75" customHeight="1">
      <c r="H239" s="1"/>
    </row>
    <row r="240" ht="15.75" customHeight="1">
      <c r="H240" s="1"/>
    </row>
    <row r="241" ht="15.75" customHeight="1">
      <c r="H241" s="1"/>
    </row>
    <row r="242" ht="15.75" customHeight="1">
      <c r="H242" s="1"/>
    </row>
    <row r="243" ht="15.75" customHeight="1">
      <c r="H243" s="1"/>
    </row>
    <row r="244" ht="15.75" customHeight="1">
      <c r="H244" s="1"/>
    </row>
    <row r="245" ht="15.75" customHeight="1">
      <c r="H245" s="1"/>
    </row>
    <row r="246" ht="15.75" customHeight="1">
      <c r="H246" s="1"/>
    </row>
    <row r="247" ht="15.75" customHeight="1">
      <c r="H247" s="1"/>
    </row>
    <row r="248" ht="15.75" customHeight="1">
      <c r="H248" s="1"/>
    </row>
    <row r="249" ht="15.75" customHeight="1">
      <c r="H249" s="1"/>
    </row>
    <row r="250" ht="15.75" customHeight="1">
      <c r="H250" s="1"/>
    </row>
    <row r="251" ht="15.75" customHeight="1">
      <c r="H251" s="1"/>
    </row>
    <row r="252" ht="15.75" customHeight="1">
      <c r="H252" s="1"/>
    </row>
    <row r="253" ht="15.75" customHeight="1">
      <c r="H253" s="1"/>
    </row>
    <row r="254" ht="15.75" customHeight="1">
      <c r="H254" s="1"/>
    </row>
    <row r="255" ht="15.75" customHeight="1">
      <c r="H255" s="1"/>
    </row>
    <row r="256" ht="15.75" customHeight="1">
      <c r="H256" s="1"/>
    </row>
    <row r="257" ht="15.75" customHeight="1">
      <c r="H257" s="1"/>
    </row>
    <row r="258" ht="15.75" customHeight="1">
      <c r="H258" s="1"/>
    </row>
    <row r="259" ht="15.75" customHeight="1">
      <c r="H259" s="1"/>
    </row>
    <row r="260" ht="15.75" customHeight="1">
      <c r="H260" s="1"/>
    </row>
    <row r="261" ht="15.75" customHeight="1">
      <c r="H261" s="1"/>
    </row>
    <row r="262" ht="15.75" customHeight="1">
      <c r="H262" s="1"/>
    </row>
    <row r="263" ht="15.75" customHeight="1">
      <c r="H263" s="1"/>
    </row>
    <row r="264" ht="15.75" customHeight="1">
      <c r="H264" s="1"/>
    </row>
    <row r="265" ht="15.75" customHeight="1">
      <c r="H265" s="1"/>
    </row>
    <row r="266" ht="15.75" customHeight="1">
      <c r="H266" s="1"/>
    </row>
    <row r="267" ht="15.75" customHeight="1">
      <c r="H267" s="1"/>
    </row>
    <row r="268" ht="15.75" customHeight="1">
      <c r="H268" s="1"/>
    </row>
    <row r="269" ht="15.75" customHeight="1">
      <c r="H269" s="1"/>
    </row>
    <row r="270" ht="15.75" customHeight="1">
      <c r="H270" s="1"/>
    </row>
    <row r="271" ht="15.75" customHeight="1">
      <c r="H271" s="1"/>
    </row>
    <row r="272" ht="15.75" customHeight="1">
      <c r="H272" s="1"/>
    </row>
    <row r="273" ht="15.75" customHeight="1">
      <c r="H273" s="1"/>
    </row>
    <row r="274" ht="15.75" customHeight="1">
      <c r="H274" s="1"/>
    </row>
    <row r="275" ht="15.75" customHeight="1">
      <c r="H275" s="1"/>
    </row>
    <row r="276" ht="15.75" customHeight="1">
      <c r="H276" s="1"/>
    </row>
    <row r="277" ht="15.75" customHeight="1">
      <c r="H277" s="1"/>
    </row>
    <row r="278" ht="15.75" customHeight="1">
      <c r="H278" s="1"/>
    </row>
    <row r="279" ht="15.75" customHeight="1">
      <c r="H279" s="1"/>
    </row>
    <row r="280" ht="15.75" customHeight="1">
      <c r="H280" s="1"/>
    </row>
    <row r="281" ht="15.75" customHeight="1">
      <c r="H281" s="1"/>
    </row>
    <row r="282" ht="15.75" customHeight="1">
      <c r="H282" s="1"/>
    </row>
    <row r="283" ht="15.75" customHeight="1">
      <c r="H283" s="1"/>
    </row>
    <row r="284" ht="15.75" customHeight="1">
      <c r="H284" s="1"/>
    </row>
    <row r="285" ht="15.75" customHeight="1">
      <c r="H285" s="1"/>
    </row>
    <row r="286" ht="15.75" customHeight="1">
      <c r="H286" s="1"/>
    </row>
    <row r="287" ht="15.75" customHeight="1">
      <c r="H287" s="1"/>
    </row>
    <row r="288" ht="15.75" customHeight="1">
      <c r="H288" s="1"/>
    </row>
    <row r="289" ht="15.75" customHeight="1">
      <c r="H289" s="1"/>
    </row>
    <row r="290" ht="15.75" customHeight="1">
      <c r="H290" s="1"/>
    </row>
    <row r="291" ht="15.75" customHeight="1">
      <c r="H291" s="1"/>
    </row>
    <row r="292" ht="15.75" customHeight="1">
      <c r="H292" s="1"/>
    </row>
    <row r="293" ht="15.75" customHeight="1">
      <c r="H293" s="1"/>
    </row>
    <row r="294" ht="15.75" customHeight="1">
      <c r="H294" s="1"/>
    </row>
    <row r="295" ht="15.75" customHeight="1">
      <c r="H295" s="1"/>
    </row>
    <row r="296" ht="15.75" customHeight="1">
      <c r="H296" s="1"/>
    </row>
    <row r="297" ht="15.75" customHeight="1">
      <c r="H297" s="1"/>
    </row>
    <row r="298" ht="15.75" customHeight="1">
      <c r="H298" s="1"/>
    </row>
    <row r="299" ht="15.75" customHeight="1">
      <c r="H299" s="1"/>
    </row>
    <row r="300" ht="15.75" customHeight="1">
      <c r="H300" s="1"/>
    </row>
    <row r="301" ht="15.75" customHeight="1">
      <c r="H301" s="1"/>
    </row>
    <row r="302" ht="15.75" customHeight="1">
      <c r="H302" s="1"/>
    </row>
    <row r="303" ht="15.75" customHeight="1">
      <c r="H303" s="1"/>
    </row>
    <row r="304" ht="15.75" customHeight="1">
      <c r="H304" s="1"/>
    </row>
    <row r="305" ht="15.75" customHeight="1">
      <c r="H305" s="1"/>
    </row>
    <row r="306" ht="15.75" customHeight="1">
      <c r="H306" s="1"/>
    </row>
    <row r="307" ht="15.75" customHeight="1">
      <c r="H307" s="1"/>
    </row>
    <row r="308" ht="15.75" customHeight="1">
      <c r="H308" s="1"/>
    </row>
    <row r="309" ht="15.75" customHeight="1">
      <c r="H309" s="1"/>
    </row>
    <row r="310" ht="15.75" customHeight="1">
      <c r="H310" s="1"/>
    </row>
    <row r="311" ht="15.75" customHeight="1">
      <c r="H311" s="1"/>
    </row>
    <row r="312" ht="15.75" customHeight="1">
      <c r="H312" s="1"/>
    </row>
    <row r="313" ht="15.75" customHeight="1">
      <c r="H313" s="1"/>
    </row>
    <row r="314" ht="15.75" customHeight="1">
      <c r="H314" s="1"/>
    </row>
    <row r="315" ht="15.75" customHeight="1">
      <c r="H315" s="1"/>
    </row>
    <row r="316" ht="15.75" customHeight="1">
      <c r="H316" s="1"/>
    </row>
    <row r="317" ht="15.75" customHeight="1">
      <c r="H317" s="1"/>
    </row>
    <row r="318" ht="15.75" customHeight="1">
      <c r="H318" s="1"/>
    </row>
    <row r="319" ht="15.75" customHeight="1">
      <c r="H319" s="1"/>
    </row>
    <row r="320" ht="15.75" customHeight="1">
      <c r="H320" s="1"/>
    </row>
    <row r="321" ht="15.75" customHeight="1">
      <c r="H321" s="1"/>
    </row>
    <row r="322" ht="15.75" customHeight="1">
      <c r="H322" s="1"/>
    </row>
    <row r="323" ht="15.75" customHeight="1">
      <c r="H323" s="1"/>
    </row>
    <row r="324" ht="15.75" customHeight="1">
      <c r="H324" s="1"/>
    </row>
    <row r="325" ht="15.75" customHeight="1">
      <c r="H325" s="1"/>
    </row>
    <row r="326" ht="15.75" customHeight="1">
      <c r="H326" s="1"/>
    </row>
    <row r="327" ht="15.75" customHeight="1">
      <c r="H327" s="1"/>
    </row>
    <row r="328" ht="15.75" customHeight="1">
      <c r="H328" s="1"/>
    </row>
    <row r="329" ht="15.75" customHeight="1">
      <c r="H329" s="1"/>
    </row>
    <row r="330" ht="15.75" customHeight="1">
      <c r="H330" s="1"/>
    </row>
    <row r="331" ht="15.75" customHeight="1">
      <c r="H331" s="1"/>
    </row>
    <row r="332" ht="15.75" customHeight="1">
      <c r="H332" s="1"/>
    </row>
    <row r="333" ht="15.75" customHeight="1">
      <c r="H333" s="1"/>
    </row>
    <row r="334" ht="15.75" customHeight="1">
      <c r="H334" s="1"/>
    </row>
    <row r="335" ht="15.75" customHeight="1">
      <c r="H335" s="1"/>
    </row>
    <row r="336" ht="15.75" customHeight="1">
      <c r="H336" s="1"/>
    </row>
    <row r="337" ht="15.75" customHeight="1">
      <c r="H337" s="1"/>
    </row>
    <row r="338" ht="15.75" customHeight="1">
      <c r="H338" s="1"/>
    </row>
    <row r="339" ht="15.75" customHeight="1">
      <c r="H339" s="1"/>
    </row>
    <row r="340" ht="15.75" customHeight="1">
      <c r="H340" s="1"/>
    </row>
    <row r="341" ht="15.75" customHeight="1">
      <c r="H341" s="1"/>
    </row>
    <row r="342" ht="15.75" customHeight="1">
      <c r="H342" s="1"/>
    </row>
    <row r="343" ht="15.75" customHeight="1">
      <c r="H343" s="1"/>
    </row>
    <row r="344" ht="15.75" customHeight="1">
      <c r="H344" s="1"/>
    </row>
    <row r="345" ht="15.75" customHeight="1">
      <c r="H345" s="1"/>
    </row>
    <row r="346" ht="15.75" customHeight="1">
      <c r="H346" s="1"/>
    </row>
    <row r="347" ht="15.75" customHeight="1">
      <c r="H347" s="1"/>
    </row>
    <row r="348" ht="15.75" customHeight="1">
      <c r="H348" s="1"/>
    </row>
    <row r="349" ht="15.75" customHeight="1">
      <c r="H349" s="1"/>
    </row>
    <row r="350" ht="15.75" customHeight="1">
      <c r="H350" s="1"/>
    </row>
    <row r="351" ht="15.75" customHeight="1">
      <c r="H351" s="1"/>
    </row>
    <row r="352" ht="15.75" customHeight="1">
      <c r="H352" s="1"/>
    </row>
    <row r="353" ht="15.75" customHeight="1">
      <c r="H353" s="1"/>
    </row>
    <row r="354" ht="15.75" customHeight="1">
      <c r="H354" s="1"/>
    </row>
    <row r="355" ht="15.75" customHeight="1">
      <c r="H355" s="1"/>
    </row>
    <row r="356" ht="15.75" customHeight="1">
      <c r="H356" s="1"/>
    </row>
    <row r="357" ht="15.75" customHeight="1">
      <c r="H357" s="1"/>
    </row>
    <row r="358" ht="15.75" customHeight="1">
      <c r="H358" s="1"/>
    </row>
    <row r="359" ht="15.75" customHeight="1">
      <c r="H359" s="1"/>
    </row>
    <row r="360" ht="15.75" customHeight="1">
      <c r="H360" s="1"/>
    </row>
    <row r="361" ht="15.75" customHeight="1">
      <c r="H361" s="1"/>
    </row>
    <row r="362" ht="15.75" customHeight="1">
      <c r="H362" s="1"/>
    </row>
    <row r="363" ht="15.75" customHeight="1">
      <c r="H363" s="1"/>
    </row>
    <row r="364" ht="15.75" customHeight="1">
      <c r="H364" s="1"/>
    </row>
    <row r="365" ht="15.75" customHeight="1">
      <c r="H365" s="1"/>
    </row>
    <row r="366" ht="15.75" customHeight="1">
      <c r="H366" s="1"/>
    </row>
    <row r="367" ht="15.75" customHeight="1">
      <c r="H367" s="1"/>
    </row>
    <row r="368" ht="15.75" customHeight="1">
      <c r="H368" s="1"/>
    </row>
    <row r="369" ht="15.75" customHeight="1">
      <c r="H369" s="1"/>
    </row>
    <row r="370" ht="15.75" customHeight="1">
      <c r="H370" s="1"/>
    </row>
    <row r="371" ht="15.75" customHeight="1">
      <c r="H371" s="1"/>
    </row>
    <row r="372" ht="15.75" customHeight="1">
      <c r="H372" s="1"/>
    </row>
    <row r="373" ht="15.75" customHeight="1">
      <c r="H373" s="1"/>
    </row>
    <row r="374" ht="15.75" customHeight="1">
      <c r="H374" s="1"/>
    </row>
    <row r="375" ht="15.75" customHeight="1">
      <c r="H375" s="1"/>
    </row>
    <row r="376" ht="15.75" customHeight="1">
      <c r="H376" s="1"/>
    </row>
    <row r="377" ht="15.75" customHeight="1">
      <c r="H377" s="1"/>
    </row>
    <row r="378" ht="15.75" customHeight="1">
      <c r="H378" s="1"/>
    </row>
    <row r="379" ht="15.75" customHeight="1">
      <c r="H379" s="1"/>
    </row>
    <row r="380" ht="15.75" customHeight="1">
      <c r="H380" s="1"/>
    </row>
    <row r="381" ht="15.75" customHeight="1">
      <c r="H381" s="1"/>
    </row>
    <row r="382" ht="15.75" customHeight="1">
      <c r="H382" s="1"/>
    </row>
    <row r="383" ht="15.75" customHeight="1">
      <c r="H383" s="1"/>
    </row>
    <row r="384" ht="15.75" customHeight="1">
      <c r="H384" s="1"/>
    </row>
    <row r="385" ht="15.75" customHeight="1">
      <c r="H385" s="1"/>
    </row>
    <row r="386" ht="15.75" customHeight="1">
      <c r="H386" s="1"/>
    </row>
    <row r="387" ht="15.75" customHeight="1">
      <c r="H387" s="1"/>
    </row>
    <row r="388" ht="15.75" customHeight="1">
      <c r="H388" s="1"/>
    </row>
    <row r="389" ht="15.75" customHeight="1">
      <c r="H389" s="1"/>
    </row>
    <row r="390" ht="15.75" customHeight="1">
      <c r="H390" s="1"/>
    </row>
    <row r="391" ht="15.75" customHeight="1">
      <c r="H391" s="1"/>
    </row>
    <row r="392" ht="15.75" customHeight="1">
      <c r="H392" s="1"/>
    </row>
    <row r="393" ht="15.75" customHeight="1">
      <c r="H393" s="1"/>
    </row>
    <row r="394" ht="15.75" customHeight="1">
      <c r="H394" s="1"/>
    </row>
    <row r="395" ht="15.75" customHeight="1">
      <c r="H395" s="1"/>
    </row>
    <row r="396" ht="15.75" customHeight="1">
      <c r="H396" s="1"/>
    </row>
    <row r="397" ht="15.75" customHeight="1">
      <c r="H397" s="1"/>
    </row>
    <row r="398" ht="15.75" customHeight="1">
      <c r="H398" s="1"/>
    </row>
    <row r="399" ht="15.75" customHeight="1">
      <c r="H399" s="1"/>
    </row>
    <row r="400" ht="15.75" customHeight="1">
      <c r="H400" s="1"/>
    </row>
    <row r="401" ht="15.75" customHeight="1">
      <c r="H401" s="1"/>
    </row>
    <row r="402" ht="15.75" customHeight="1">
      <c r="H402" s="1"/>
    </row>
    <row r="403" ht="15.75" customHeight="1">
      <c r="H403" s="1"/>
    </row>
    <row r="404" ht="15.75" customHeight="1">
      <c r="H404" s="1"/>
    </row>
    <row r="405" ht="15.75" customHeight="1">
      <c r="H405" s="1"/>
    </row>
    <row r="406" ht="15.75" customHeight="1">
      <c r="H406" s="1"/>
    </row>
    <row r="407" ht="15.75" customHeight="1">
      <c r="H407" s="1"/>
    </row>
    <row r="408" ht="15.75" customHeight="1">
      <c r="H408" s="1"/>
    </row>
    <row r="409" ht="15.75" customHeight="1">
      <c r="H409" s="1"/>
    </row>
    <row r="410" ht="15.75" customHeight="1">
      <c r="H410" s="1"/>
    </row>
    <row r="411" ht="15.75" customHeight="1">
      <c r="H411" s="1"/>
    </row>
    <row r="412" ht="15.75" customHeight="1">
      <c r="H412" s="1"/>
    </row>
    <row r="413" ht="15.75" customHeight="1">
      <c r="H413" s="1"/>
    </row>
    <row r="414" ht="15.75" customHeight="1">
      <c r="H414" s="1"/>
    </row>
    <row r="415" ht="15.75" customHeight="1">
      <c r="H415" s="1"/>
    </row>
    <row r="416" ht="15.75" customHeight="1">
      <c r="H416" s="1"/>
    </row>
    <row r="417" ht="15.75" customHeight="1">
      <c r="H417" s="1"/>
    </row>
    <row r="418" ht="15.75" customHeight="1">
      <c r="H418" s="1"/>
    </row>
    <row r="419" ht="15.75" customHeight="1">
      <c r="H419" s="1"/>
    </row>
    <row r="420" ht="15.75" customHeight="1">
      <c r="H420" s="1"/>
    </row>
    <row r="421" ht="15.75" customHeight="1">
      <c r="H421" s="1"/>
    </row>
    <row r="422" ht="15.75" customHeight="1">
      <c r="H422" s="1"/>
    </row>
    <row r="423" ht="15.75" customHeight="1">
      <c r="H423" s="1"/>
    </row>
    <row r="424" ht="15.75" customHeight="1">
      <c r="H424" s="1"/>
    </row>
    <row r="425" ht="15.75" customHeight="1">
      <c r="H425" s="1"/>
    </row>
    <row r="426" ht="15.75" customHeight="1">
      <c r="H426" s="1"/>
    </row>
    <row r="427" ht="15.75" customHeight="1">
      <c r="H427" s="1"/>
    </row>
    <row r="428" ht="15.75" customHeight="1">
      <c r="H428" s="1"/>
    </row>
    <row r="429" ht="15.75" customHeight="1">
      <c r="H429" s="1"/>
    </row>
    <row r="430" ht="15.75" customHeight="1">
      <c r="H430" s="1"/>
    </row>
    <row r="431" ht="15.75" customHeight="1">
      <c r="H431" s="1"/>
    </row>
    <row r="432" ht="15.75" customHeight="1">
      <c r="H432" s="1"/>
    </row>
    <row r="433" ht="15.75" customHeight="1">
      <c r="H433" s="1"/>
    </row>
    <row r="434" ht="15.75" customHeight="1">
      <c r="H434" s="1"/>
    </row>
    <row r="435" ht="15.75" customHeight="1">
      <c r="H435" s="1"/>
    </row>
    <row r="436" ht="15.75" customHeight="1">
      <c r="H436" s="1"/>
    </row>
    <row r="437" ht="15.75" customHeight="1">
      <c r="H437" s="1"/>
    </row>
    <row r="438" ht="15.75" customHeight="1">
      <c r="H438" s="1"/>
    </row>
    <row r="439" ht="15.75" customHeight="1">
      <c r="H439" s="1"/>
    </row>
    <row r="440" ht="15.75" customHeight="1">
      <c r="H440" s="1"/>
    </row>
    <row r="441" ht="15.75" customHeight="1">
      <c r="H441" s="1"/>
    </row>
    <row r="442" ht="15.75" customHeight="1">
      <c r="H442" s="1"/>
    </row>
    <row r="443" ht="15.75" customHeight="1">
      <c r="H443" s="1"/>
    </row>
    <row r="444" ht="15.75" customHeight="1">
      <c r="H444" s="1"/>
    </row>
    <row r="445" ht="15.75" customHeight="1">
      <c r="H445" s="1"/>
    </row>
    <row r="446" ht="15.75" customHeight="1">
      <c r="H446" s="1"/>
    </row>
    <row r="447" ht="15.75" customHeight="1">
      <c r="H447" s="1"/>
    </row>
    <row r="448" ht="15.75" customHeight="1">
      <c r="H448" s="1"/>
    </row>
    <row r="449" ht="15.75" customHeight="1">
      <c r="H449" s="1"/>
    </row>
    <row r="450" ht="15.75" customHeight="1">
      <c r="H450" s="1"/>
    </row>
    <row r="451" ht="15.75" customHeight="1">
      <c r="H451" s="1"/>
    </row>
    <row r="452" ht="15.75" customHeight="1">
      <c r="H452" s="1"/>
    </row>
    <row r="453" ht="15.75" customHeight="1">
      <c r="H453" s="1"/>
    </row>
    <row r="454" ht="15.75" customHeight="1">
      <c r="H454" s="1"/>
    </row>
    <row r="455" ht="15.75" customHeight="1">
      <c r="H455" s="1"/>
    </row>
    <row r="456" ht="15.75" customHeight="1">
      <c r="H456" s="1"/>
    </row>
    <row r="457" ht="15.75" customHeight="1">
      <c r="H457" s="1"/>
    </row>
    <row r="458" ht="15.75" customHeight="1">
      <c r="H458" s="1"/>
    </row>
    <row r="459" ht="15.75" customHeight="1">
      <c r="H459" s="1"/>
    </row>
    <row r="460" ht="15.75" customHeight="1">
      <c r="H460" s="1"/>
    </row>
    <row r="461" ht="15.75" customHeight="1">
      <c r="H461" s="1"/>
    </row>
    <row r="462" ht="15.75" customHeight="1">
      <c r="H462" s="1"/>
    </row>
    <row r="463" ht="15.75" customHeight="1">
      <c r="H463" s="1"/>
    </row>
    <row r="464" ht="15.75" customHeight="1">
      <c r="H464" s="1"/>
    </row>
    <row r="465" ht="15.75" customHeight="1">
      <c r="H465" s="1"/>
    </row>
    <row r="466" ht="15.75" customHeight="1">
      <c r="H466" s="1"/>
    </row>
    <row r="467" ht="15.75" customHeight="1">
      <c r="H467" s="1"/>
    </row>
    <row r="468" ht="15.75" customHeight="1">
      <c r="H468" s="1"/>
    </row>
    <row r="469" ht="15.75" customHeight="1">
      <c r="H469" s="1"/>
    </row>
    <row r="470" ht="15.75" customHeight="1">
      <c r="H470" s="1"/>
    </row>
    <row r="471" ht="15.75" customHeight="1">
      <c r="H471" s="1"/>
    </row>
    <row r="472" ht="15.75" customHeight="1">
      <c r="H472" s="1"/>
    </row>
    <row r="473" ht="15.75" customHeight="1">
      <c r="H473" s="1"/>
    </row>
    <row r="474" ht="15.75" customHeight="1">
      <c r="H474" s="1"/>
    </row>
    <row r="475" ht="15.75" customHeight="1">
      <c r="H475" s="1"/>
    </row>
    <row r="476" ht="15.75" customHeight="1">
      <c r="H476" s="1"/>
    </row>
    <row r="477" ht="15.75" customHeight="1">
      <c r="H477" s="1"/>
    </row>
    <row r="478" ht="15.75" customHeight="1">
      <c r="H478" s="1"/>
    </row>
    <row r="479" ht="15.75" customHeight="1">
      <c r="H479" s="1"/>
    </row>
    <row r="480" ht="15.75" customHeight="1">
      <c r="H480" s="1"/>
    </row>
    <row r="481" ht="15.75" customHeight="1">
      <c r="H481" s="1"/>
    </row>
    <row r="482" ht="15.75" customHeight="1">
      <c r="H482" s="1"/>
    </row>
    <row r="483" ht="15.75" customHeight="1">
      <c r="H483" s="1"/>
    </row>
    <row r="484" ht="15.75" customHeight="1">
      <c r="H484" s="1"/>
    </row>
    <row r="485" ht="15.75" customHeight="1">
      <c r="H485" s="1"/>
    </row>
    <row r="486" ht="15.75" customHeight="1">
      <c r="H486" s="1"/>
    </row>
    <row r="487" ht="15.75" customHeight="1">
      <c r="H487" s="1"/>
    </row>
    <row r="488" ht="15.75" customHeight="1">
      <c r="H488" s="1"/>
    </row>
    <row r="489" ht="15.75" customHeight="1">
      <c r="H489" s="1"/>
    </row>
    <row r="490" ht="15.75" customHeight="1">
      <c r="H490" s="1"/>
    </row>
    <row r="491" ht="15.75" customHeight="1">
      <c r="H491" s="1"/>
    </row>
    <row r="492" ht="15.75" customHeight="1">
      <c r="H492" s="1"/>
    </row>
    <row r="493" ht="15.75" customHeight="1">
      <c r="H493" s="1"/>
    </row>
    <row r="494" ht="15.75" customHeight="1">
      <c r="H494" s="1"/>
    </row>
    <row r="495" ht="15.75" customHeight="1">
      <c r="H495" s="1"/>
    </row>
    <row r="496" ht="15.75" customHeight="1">
      <c r="H496" s="1"/>
    </row>
    <row r="497" ht="15.75" customHeight="1">
      <c r="H497" s="1"/>
    </row>
    <row r="498" ht="15.75" customHeight="1">
      <c r="H498" s="1"/>
    </row>
    <row r="499" ht="15.75" customHeight="1">
      <c r="H499" s="1"/>
    </row>
    <row r="500" ht="15.75" customHeight="1">
      <c r="H500" s="1"/>
    </row>
    <row r="501" ht="15.75" customHeight="1">
      <c r="H501" s="1"/>
    </row>
    <row r="502" ht="15.75" customHeight="1">
      <c r="H502" s="1"/>
    </row>
    <row r="503" ht="15.75" customHeight="1">
      <c r="H503" s="1"/>
    </row>
    <row r="504" ht="15.75" customHeight="1">
      <c r="H504" s="1"/>
    </row>
    <row r="505" ht="15.75" customHeight="1">
      <c r="H505" s="1"/>
    </row>
    <row r="506" ht="15.75" customHeight="1">
      <c r="H506" s="1"/>
    </row>
    <row r="507" ht="15.75" customHeight="1">
      <c r="H507" s="1"/>
    </row>
    <row r="508" ht="15.75" customHeight="1">
      <c r="H508" s="1"/>
    </row>
    <row r="509" ht="15.75" customHeight="1">
      <c r="H509" s="1"/>
    </row>
    <row r="510" ht="15.75" customHeight="1">
      <c r="H510" s="1"/>
    </row>
    <row r="511" ht="15.75" customHeight="1">
      <c r="H511" s="1"/>
    </row>
    <row r="512" ht="15.75" customHeight="1">
      <c r="H512" s="1"/>
    </row>
    <row r="513" ht="15.75" customHeight="1">
      <c r="H513" s="1"/>
    </row>
    <row r="514" ht="15.75" customHeight="1">
      <c r="H514" s="1"/>
    </row>
    <row r="515" ht="15.75" customHeight="1">
      <c r="H515" s="1"/>
    </row>
    <row r="516" ht="15.75" customHeight="1">
      <c r="H516" s="1"/>
    </row>
    <row r="517" ht="15.75" customHeight="1">
      <c r="H517" s="1"/>
    </row>
    <row r="518" ht="15.75" customHeight="1">
      <c r="H518" s="1"/>
    </row>
    <row r="519" ht="15.75" customHeight="1">
      <c r="H519" s="1"/>
    </row>
    <row r="520" ht="15.75" customHeight="1">
      <c r="H520" s="1"/>
    </row>
    <row r="521" ht="15.75" customHeight="1">
      <c r="H521" s="1"/>
    </row>
    <row r="522" ht="15.75" customHeight="1">
      <c r="H522" s="1"/>
    </row>
    <row r="523" ht="15.75" customHeight="1">
      <c r="H523" s="1"/>
    </row>
    <row r="524" ht="15.75" customHeight="1">
      <c r="H524" s="1"/>
    </row>
    <row r="525" ht="15.75" customHeight="1">
      <c r="H525" s="1"/>
    </row>
    <row r="526" ht="15.75" customHeight="1">
      <c r="H526" s="1"/>
    </row>
    <row r="527" ht="15.75" customHeight="1">
      <c r="H527" s="1"/>
    </row>
    <row r="528" ht="15.75" customHeight="1">
      <c r="H528" s="1"/>
    </row>
    <row r="529" ht="15.75" customHeight="1">
      <c r="H529" s="1"/>
    </row>
    <row r="530" ht="15.75" customHeight="1">
      <c r="H530" s="1"/>
    </row>
    <row r="531" ht="15.75" customHeight="1">
      <c r="H531" s="1"/>
    </row>
    <row r="532" ht="15.75" customHeight="1">
      <c r="H532" s="1"/>
    </row>
    <row r="533" ht="15.75" customHeight="1">
      <c r="H533" s="1"/>
    </row>
    <row r="534" ht="15.75" customHeight="1">
      <c r="H534" s="1"/>
    </row>
    <row r="535" ht="15.75" customHeight="1">
      <c r="H535" s="1"/>
    </row>
    <row r="536" ht="15.75" customHeight="1">
      <c r="H536" s="1"/>
    </row>
    <row r="537" ht="15.75" customHeight="1">
      <c r="H537" s="1"/>
    </row>
    <row r="538" ht="15.75" customHeight="1">
      <c r="H538" s="1"/>
    </row>
    <row r="539" ht="15.75" customHeight="1">
      <c r="H539" s="1"/>
    </row>
    <row r="540" ht="15.75" customHeight="1">
      <c r="H540" s="1"/>
    </row>
    <row r="541" ht="15.75" customHeight="1">
      <c r="H541" s="1"/>
    </row>
    <row r="542" ht="15.75" customHeight="1">
      <c r="H542" s="1"/>
    </row>
    <row r="543" ht="15.75" customHeight="1">
      <c r="H543" s="1"/>
    </row>
    <row r="544" ht="15.75" customHeight="1">
      <c r="H544" s="1"/>
    </row>
    <row r="545" ht="15.75" customHeight="1">
      <c r="H545" s="1"/>
    </row>
    <row r="546" ht="15.75" customHeight="1">
      <c r="H546" s="1"/>
    </row>
    <row r="547" ht="15.75" customHeight="1">
      <c r="H547" s="1"/>
    </row>
    <row r="548" ht="15.75" customHeight="1">
      <c r="H548" s="1"/>
    </row>
    <row r="549" ht="15.75" customHeight="1">
      <c r="H549" s="1"/>
    </row>
    <row r="550" ht="15.75" customHeight="1">
      <c r="H550" s="1"/>
    </row>
    <row r="551" ht="15.75" customHeight="1">
      <c r="H551" s="1"/>
    </row>
    <row r="552" ht="15.75" customHeight="1">
      <c r="H552" s="1"/>
    </row>
    <row r="553" ht="15.75" customHeight="1">
      <c r="H553" s="1"/>
    </row>
    <row r="554" ht="15.75" customHeight="1">
      <c r="H554" s="1"/>
    </row>
    <row r="555" ht="15.75" customHeight="1">
      <c r="H555" s="1"/>
    </row>
    <row r="556" ht="15.75" customHeight="1">
      <c r="H556" s="1"/>
    </row>
    <row r="557" ht="15.75" customHeight="1">
      <c r="H557" s="1"/>
    </row>
    <row r="558" ht="15.75" customHeight="1">
      <c r="H558" s="1"/>
    </row>
    <row r="559" ht="15.75" customHeight="1">
      <c r="H559" s="1"/>
    </row>
    <row r="560" ht="15.75" customHeight="1">
      <c r="H560" s="1"/>
    </row>
    <row r="561" ht="15.75" customHeight="1">
      <c r="H561" s="1"/>
    </row>
    <row r="562" ht="15.75" customHeight="1">
      <c r="H562" s="1"/>
    </row>
    <row r="563" ht="15.75" customHeight="1">
      <c r="H563" s="1"/>
    </row>
    <row r="564" ht="15.75" customHeight="1">
      <c r="H564" s="1"/>
    </row>
    <row r="565" ht="15.75" customHeight="1">
      <c r="H565" s="1"/>
    </row>
    <row r="566" ht="15.75" customHeight="1">
      <c r="H566" s="1"/>
    </row>
    <row r="567" ht="15.75" customHeight="1">
      <c r="H567" s="1"/>
    </row>
    <row r="568" ht="15.75" customHeight="1">
      <c r="H568" s="1"/>
    </row>
    <row r="569" ht="15.75" customHeight="1">
      <c r="H569" s="1"/>
    </row>
    <row r="570" ht="15.75" customHeight="1">
      <c r="H570" s="1"/>
    </row>
    <row r="571" ht="15.75" customHeight="1">
      <c r="H571" s="1"/>
    </row>
    <row r="572" ht="15.75" customHeight="1">
      <c r="H572" s="1"/>
    </row>
    <row r="573" ht="15.75" customHeight="1">
      <c r="H573" s="1"/>
    </row>
    <row r="574" ht="15.75" customHeight="1">
      <c r="H574" s="1"/>
    </row>
    <row r="575" ht="15.75" customHeight="1">
      <c r="H575" s="1"/>
    </row>
    <row r="576" ht="15.75" customHeight="1">
      <c r="H576" s="1"/>
    </row>
    <row r="577" ht="15.75" customHeight="1">
      <c r="H577" s="1"/>
    </row>
    <row r="578" ht="15.75" customHeight="1">
      <c r="H578" s="1"/>
    </row>
    <row r="579" ht="15.75" customHeight="1">
      <c r="H579" s="1"/>
    </row>
    <row r="580" ht="15.75" customHeight="1">
      <c r="H580" s="1"/>
    </row>
    <row r="581" ht="15.75" customHeight="1">
      <c r="H581" s="1"/>
    </row>
    <row r="582" ht="15.75" customHeight="1">
      <c r="H582" s="1"/>
    </row>
    <row r="583" ht="15.75" customHeight="1">
      <c r="H583" s="1"/>
    </row>
    <row r="584" ht="15.75" customHeight="1">
      <c r="H584" s="1"/>
    </row>
    <row r="585" ht="15.75" customHeight="1">
      <c r="H585" s="1"/>
    </row>
    <row r="586" ht="15.75" customHeight="1">
      <c r="H586" s="1"/>
    </row>
    <row r="587" ht="15.75" customHeight="1">
      <c r="H587" s="1"/>
    </row>
    <row r="588" ht="15.75" customHeight="1">
      <c r="H588" s="1"/>
    </row>
    <row r="589" ht="15.75" customHeight="1">
      <c r="H589" s="1"/>
    </row>
    <row r="590" ht="15.75" customHeight="1">
      <c r="H590" s="1"/>
    </row>
    <row r="591" ht="15.75" customHeight="1">
      <c r="H591" s="1"/>
    </row>
    <row r="592" ht="15.75" customHeight="1">
      <c r="H592" s="1"/>
    </row>
    <row r="593" ht="15.75" customHeight="1">
      <c r="H593" s="1"/>
    </row>
    <row r="594" ht="15.75" customHeight="1">
      <c r="H594" s="1"/>
    </row>
    <row r="595" ht="15.75" customHeight="1">
      <c r="H595" s="1"/>
    </row>
    <row r="596" ht="15.75" customHeight="1">
      <c r="H596" s="1"/>
    </row>
    <row r="597" ht="15.75" customHeight="1">
      <c r="H597" s="1"/>
    </row>
    <row r="598" ht="15.75" customHeight="1">
      <c r="H598" s="1"/>
    </row>
    <row r="599" ht="15.75" customHeight="1">
      <c r="H599" s="1"/>
    </row>
    <row r="600" ht="15.75" customHeight="1">
      <c r="H600" s="1"/>
    </row>
    <row r="601" ht="15.75" customHeight="1">
      <c r="H601" s="1"/>
    </row>
    <row r="602" ht="15.75" customHeight="1">
      <c r="H602" s="1"/>
    </row>
    <row r="603" ht="15.75" customHeight="1">
      <c r="H603" s="1"/>
    </row>
    <row r="604" ht="15.75" customHeight="1">
      <c r="H604" s="1"/>
    </row>
    <row r="605" ht="15.75" customHeight="1">
      <c r="H605" s="1"/>
    </row>
    <row r="606" ht="15.75" customHeight="1">
      <c r="H606" s="1"/>
    </row>
    <row r="607" ht="15.75" customHeight="1">
      <c r="H607" s="1"/>
    </row>
    <row r="608" ht="15.75" customHeight="1">
      <c r="H608" s="1"/>
    </row>
    <row r="609" ht="15.75" customHeight="1">
      <c r="H609" s="1"/>
    </row>
    <row r="610" ht="15.75" customHeight="1">
      <c r="H610" s="1"/>
    </row>
    <row r="611" ht="15.75" customHeight="1">
      <c r="H611" s="1"/>
    </row>
    <row r="612" ht="15.75" customHeight="1">
      <c r="H612" s="1"/>
    </row>
    <row r="613" ht="15.75" customHeight="1">
      <c r="H613" s="1"/>
    </row>
    <row r="614" ht="15.75" customHeight="1">
      <c r="H614" s="1"/>
    </row>
    <row r="615" ht="15.75" customHeight="1">
      <c r="H615" s="1"/>
    </row>
    <row r="616" ht="15.75" customHeight="1">
      <c r="H616" s="1"/>
    </row>
    <row r="617" ht="15.75" customHeight="1">
      <c r="H617" s="1"/>
    </row>
    <row r="618" ht="15.75" customHeight="1">
      <c r="H618" s="1"/>
    </row>
    <row r="619" ht="15.75" customHeight="1">
      <c r="H619" s="1"/>
    </row>
    <row r="620" ht="15.75" customHeight="1">
      <c r="H620" s="1"/>
    </row>
    <row r="621" ht="15.75" customHeight="1">
      <c r="H621" s="1"/>
    </row>
    <row r="622" ht="15.75" customHeight="1">
      <c r="H622" s="1"/>
    </row>
    <row r="623" ht="15.75" customHeight="1">
      <c r="H623" s="1"/>
    </row>
    <row r="624" ht="15.75" customHeight="1">
      <c r="H624" s="1"/>
    </row>
    <row r="625" ht="15.75" customHeight="1">
      <c r="H625" s="1"/>
    </row>
    <row r="626" ht="15.75" customHeight="1">
      <c r="H626" s="1"/>
    </row>
    <row r="627" ht="15.75" customHeight="1">
      <c r="H627" s="1"/>
    </row>
    <row r="628" ht="15.75" customHeight="1">
      <c r="H628" s="1"/>
    </row>
    <row r="629" ht="15.75" customHeight="1">
      <c r="H629" s="1"/>
    </row>
    <row r="630" ht="15.75" customHeight="1">
      <c r="H630" s="1"/>
    </row>
    <row r="631" ht="15.75" customHeight="1">
      <c r="H631" s="1"/>
    </row>
    <row r="632" ht="15.75" customHeight="1">
      <c r="H632" s="1"/>
    </row>
    <row r="633" ht="15.75" customHeight="1">
      <c r="H633" s="1"/>
    </row>
    <row r="634" ht="15.75" customHeight="1">
      <c r="H634" s="1"/>
    </row>
    <row r="635" ht="15.75" customHeight="1">
      <c r="H635" s="1"/>
    </row>
    <row r="636" ht="15.75" customHeight="1">
      <c r="H636" s="1"/>
    </row>
    <row r="637" ht="15.75" customHeight="1">
      <c r="H637" s="1"/>
    </row>
    <row r="638" ht="15.75" customHeight="1">
      <c r="H638" s="1"/>
    </row>
    <row r="639" ht="15.75" customHeight="1">
      <c r="H639" s="1"/>
    </row>
    <row r="640" ht="15.75" customHeight="1">
      <c r="H640" s="1"/>
    </row>
    <row r="641" ht="15.75" customHeight="1">
      <c r="H641" s="1"/>
    </row>
    <row r="642" ht="15.75" customHeight="1">
      <c r="H642" s="1"/>
    </row>
    <row r="643" ht="15.75" customHeight="1">
      <c r="H643" s="1"/>
    </row>
    <row r="644" ht="15.75" customHeight="1">
      <c r="H644" s="1"/>
    </row>
    <row r="645" ht="15.75" customHeight="1">
      <c r="H645" s="1"/>
    </row>
    <row r="646" ht="15.75" customHeight="1">
      <c r="H646" s="1"/>
    </row>
    <row r="647" ht="15.75" customHeight="1">
      <c r="H647" s="1"/>
    </row>
    <row r="648" ht="15.75" customHeight="1">
      <c r="H648" s="1"/>
    </row>
    <row r="649" ht="15.75" customHeight="1">
      <c r="H649" s="1"/>
    </row>
    <row r="650" ht="15.75" customHeight="1">
      <c r="H650" s="1"/>
    </row>
    <row r="651" ht="15.75" customHeight="1">
      <c r="H651" s="1"/>
    </row>
    <row r="652" ht="15.75" customHeight="1">
      <c r="H652" s="1"/>
    </row>
    <row r="653" ht="15.75" customHeight="1">
      <c r="H653" s="1"/>
    </row>
    <row r="654" ht="15.75" customHeight="1">
      <c r="H654" s="1"/>
    </row>
    <row r="655" ht="15.75" customHeight="1">
      <c r="H655" s="1"/>
    </row>
    <row r="656" ht="15.75" customHeight="1">
      <c r="H656" s="1"/>
    </row>
    <row r="657" ht="15.75" customHeight="1">
      <c r="H657" s="1"/>
    </row>
    <row r="658" ht="15.75" customHeight="1">
      <c r="H658" s="1"/>
    </row>
    <row r="659" ht="15.75" customHeight="1">
      <c r="H659" s="1"/>
    </row>
    <row r="660" ht="15.75" customHeight="1">
      <c r="H660" s="1"/>
    </row>
    <row r="661" ht="15.75" customHeight="1">
      <c r="H661" s="1"/>
    </row>
    <row r="662" ht="15.75" customHeight="1">
      <c r="H662" s="1"/>
    </row>
    <row r="663" ht="15.75" customHeight="1">
      <c r="H663" s="1"/>
    </row>
    <row r="664" ht="15.75" customHeight="1">
      <c r="H664" s="1"/>
    </row>
    <row r="665" ht="15.75" customHeight="1">
      <c r="H665" s="1"/>
    </row>
    <row r="666" ht="15.75" customHeight="1">
      <c r="H666" s="1"/>
    </row>
    <row r="667" ht="15.75" customHeight="1">
      <c r="H667" s="1"/>
    </row>
    <row r="668" ht="15.75" customHeight="1">
      <c r="H668" s="1"/>
    </row>
    <row r="669" ht="15.75" customHeight="1">
      <c r="H669" s="1"/>
    </row>
    <row r="670" ht="15.75" customHeight="1">
      <c r="H670" s="1"/>
    </row>
    <row r="671" ht="15.75" customHeight="1">
      <c r="H671" s="1"/>
    </row>
    <row r="672" ht="15.75" customHeight="1">
      <c r="H672" s="1"/>
    </row>
    <row r="673" ht="15.75" customHeight="1">
      <c r="H673" s="1"/>
    </row>
    <row r="674" ht="15.75" customHeight="1">
      <c r="H674" s="1"/>
    </row>
    <row r="675" ht="15.75" customHeight="1">
      <c r="H675" s="1"/>
    </row>
    <row r="676" ht="15.75" customHeight="1">
      <c r="H676" s="1"/>
    </row>
    <row r="677" ht="15.75" customHeight="1">
      <c r="H677" s="1"/>
    </row>
    <row r="678" ht="15.75" customHeight="1">
      <c r="H678" s="1"/>
    </row>
    <row r="679" ht="15.75" customHeight="1">
      <c r="H679" s="1"/>
    </row>
    <row r="680" ht="15.75" customHeight="1">
      <c r="H680" s="1"/>
    </row>
    <row r="681" ht="15.75" customHeight="1">
      <c r="H681" s="1"/>
    </row>
    <row r="682" ht="15.75" customHeight="1">
      <c r="H682" s="1"/>
    </row>
    <row r="683" ht="15.75" customHeight="1">
      <c r="H683" s="1"/>
    </row>
    <row r="684" ht="15.75" customHeight="1">
      <c r="H684" s="1"/>
    </row>
    <row r="685" ht="15.75" customHeight="1">
      <c r="H685" s="1"/>
    </row>
    <row r="686" ht="15.75" customHeight="1">
      <c r="H686" s="1"/>
    </row>
    <row r="687" ht="15.75" customHeight="1">
      <c r="H687" s="1"/>
    </row>
    <row r="688" ht="15.75" customHeight="1">
      <c r="H688" s="1"/>
    </row>
    <row r="689" ht="15.75" customHeight="1">
      <c r="H689" s="1"/>
    </row>
    <row r="690" ht="15.75" customHeight="1">
      <c r="H690" s="1"/>
    </row>
    <row r="691" ht="15.75" customHeight="1">
      <c r="H691" s="1"/>
    </row>
    <row r="692" ht="15.75" customHeight="1">
      <c r="H692" s="1"/>
    </row>
    <row r="693" ht="15.75" customHeight="1">
      <c r="H693" s="1"/>
    </row>
    <row r="694" ht="15.75" customHeight="1">
      <c r="H694" s="1"/>
    </row>
    <row r="695" ht="15.75" customHeight="1">
      <c r="H695" s="1"/>
    </row>
    <row r="696" ht="15.75" customHeight="1">
      <c r="H696" s="1"/>
    </row>
    <row r="697" ht="15.75" customHeight="1">
      <c r="H697" s="1"/>
    </row>
    <row r="698" ht="15.75" customHeight="1">
      <c r="H698" s="1"/>
    </row>
    <row r="699" ht="15.75" customHeight="1">
      <c r="H699" s="1"/>
    </row>
    <row r="700" ht="15.75" customHeight="1">
      <c r="H700" s="1"/>
    </row>
    <row r="701" ht="15.75" customHeight="1">
      <c r="H701" s="1"/>
    </row>
    <row r="702" ht="15.75" customHeight="1">
      <c r="H702" s="1"/>
    </row>
    <row r="703" ht="15.75" customHeight="1">
      <c r="H703" s="1"/>
    </row>
    <row r="704" ht="15.75" customHeight="1">
      <c r="H704" s="1"/>
    </row>
    <row r="705" ht="15.75" customHeight="1">
      <c r="H705" s="1"/>
    </row>
    <row r="706" ht="15.75" customHeight="1">
      <c r="H706" s="1"/>
    </row>
    <row r="707" ht="15.75" customHeight="1">
      <c r="H707" s="1"/>
    </row>
    <row r="708" ht="15.75" customHeight="1">
      <c r="H708" s="1"/>
    </row>
    <row r="709" ht="15.75" customHeight="1">
      <c r="H709" s="1"/>
    </row>
    <row r="710" ht="15.75" customHeight="1">
      <c r="H710" s="1"/>
    </row>
    <row r="711" ht="15.75" customHeight="1">
      <c r="H711" s="1"/>
    </row>
    <row r="712" ht="15.75" customHeight="1">
      <c r="H712" s="1"/>
    </row>
    <row r="713" ht="15.75" customHeight="1">
      <c r="H713" s="1"/>
    </row>
    <row r="714" ht="15.75" customHeight="1">
      <c r="H714" s="1"/>
    </row>
    <row r="715" ht="15.75" customHeight="1">
      <c r="H715" s="1"/>
    </row>
    <row r="716" ht="15.75" customHeight="1">
      <c r="H716" s="1"/>
    </row>
    <row r="717" ht="15.75" customHeight="1">
      <c r="H717" s="1"/>
    </row>
    <row r="718" ht="15.75" customHeight="1">
      <c r="H718" s="1"/>
    </row>
    <row r="719" ht="15.75" customHeight="1">
      <c r="H719" s="1"/>
    </row>
    <row r="720" ht="15.75" customHeight="1">
      <c r="H720" s="1"/>
    </row>
    <row r="721" ht="15.75" customHeight="1">
      <c r="H721" s="1"/>
    </row>
    <row r="722" ht="15.75" customHeight="1">
      <c r="H722" s="1"/>
    </row>
    <row r="723" ht="15.75" customHeight="1">
      <c r="H723" s="1"/>
    </row>
    <row r="724" ht="15.75" customHeight="1">
      <c r="H724" s="1"/>
    </row>
    <row r="725" ht="15.75" customHeight="1">
      <c r="H725" s="1"/>
    </row>
    <row r="726" ht="15.75" customHeight="1">
      <c r="H726" s="1"/>
    </row>
    <row r="727" ht="15.75" customHeight="1">
      <c r="H727" s="1"/>
    </row>
    <row r="728" ht="15.75" customHeight="1">
      <c r="H728" s="1"/>
    </row>
    <row r="729" ht="15.75" customHeight="1">
      <c r="H729" s="1"/>
    </row>
    <row r="730" ht="15.75" customHeight="1">
      <c r="H730" s="1"/>
    </row>
    <row r="731" ht="15.75" customHeight="1">
      <c r="H731" s="1"/>
    </row>
    <row r="732" ht="15.75" customHeight="1">
      <c r="H732" s="1"/>
    </row>
    <row r="733" ht="15.75" customHeight="1">
      <c r="H733" s="1"/>
    </row>
    <row r="734" ht="15.75" customHeight="1">
      <c r="H734" s="1"/>
    </row>
    <row r="735" ht="15.75" customHeight="1">
      <c r="H735" s="1"/>
    </row>
    <row r="736" ht="15.75" customHeight="1">
      <c r="H736" s="1"/>
    </row>
    <row r="737" ht="15.75" customHeight="1">
      <c r="H737" s="1"/>
    </row>
    <row r="738" ht="15.75" customHeight="1">
      <c r="H738" s="1"/>
    </row>
    <row r="739" ht="15.75" customHeight="1">
      <c r="H739" s="1"/>
    </row>
    <row r="740" ht="15.75" customHeight="1">
      <c r="H740" s="1"/>
    </row>
    <row r="741" ht="15.75" customHeight="1">
      <c r="H741" s="1"/>
    </row>
    <row r="742" ht="15.75" customHeight="1">
      <c r="H742" s="1"/>
    </row>
    <row r="743" ht="15.75" customHeight="1">
      <c r="H743" s="1"/>
    </row>
    <row r="744" ht="15.75" customHeight="1">
      <c r="H744" s="1"/>
    </row>
    <row r="745" ht="15.75" customHeight="1">
      <c r="H745" s="1"/>
    </row>
    <row r="746" ht="15.75" customHeight="1">
      <c r="H746" s="1"/>
    </row>
    <row r="747" ht="15.75" customHeight="1">
      <c r="H747" s="1"/>
    </row>
    <row r="748" ht="15.75" customHeight="1">
      <c r="H748" s="1"/>
    </row>
    <row r="749" ht="15.75" customHeight="1">
      <c r="H749" s="1"/>
    </row>
    <row r="750" ht="15.75" customHeight="1">
      <c r="H750" s="1"/>
    </row>
    <row r="751" ht="15.75" customHeight="1">
      <c r="H751" s="1"/>
    </row>
    <row r="752" ht="15.75" customHeight="1">
      <c r="H752" s="1"/>
    </row>
    <row r="753" ht="15.75" customHeight="1">
      <c r="H753" s="1"/>
    </row>
    <row r="754" ht="15.75" customHeight="1">
      <c r="H754" s="1"/>
    </row>
    <row r="755" ht="15.75" customHeight="1">
      <c r="H755" s="1"/>
    </row>
    <row r="756" ht="15.75" customHeight="1">
      <c r="H756" s="1"/>
    </row>
    <row r="757" ht="15.75" customHeight="1">
      <c r="H757" s="1"/>
    </row>
    <row r="758" ht="15.75" customHeight="1">
      <c r="H758" s="1"/>
    </row>
    <row r="759" ht="15.75" customHeight="1">
      <c r="H759" s="1"/>
    </row>
    <row r="760" ht="15.75" customHeight="1">
      <c r="H760" s="1"/>
    </row>
    <row r="761" ht="15.75" customHeight="1">
      <c r="H761" s="1"/>
    </row>
    <row r="762" ht="15.75" customHeight="1">
      <c r="H762" s="1"/>
    </row>
    <row r="763" ht="15.75" customHeight="1">
      <c r="H763" s="1"/>
    </row>
    <row r="764" ht="15.75" customHeight="1">
      <c r="H764" s="1"/>
    </row>
    <row r="765" ht="15.75" customHeight="1">
      <c r="H765" s="1"/>
    </row>
    <row r="766" ht="15.75" customHeight="1">
      <c r="H766" s="1"/>
    </row>
    <row r="767" ht="15.75" customHeight="1">
      <c r="H767" s="1"/>
    </row>
    <row r="768" ht="15.75" customHeight="1">
      <c r="H768" s="1"/>
    </row>
    <row r="769" ht="15.75" customHeight="1">
      <c r="H769" s="1"/>
    </row>
    <row r="770" ht="15.75" customHeight="1">
      <c r="H770" s="1"/>
    </row>
    <row r="771" ht="15.75" customHeight="1">
      <c r="H771" s="1"/>
    </row>
    <row r="772" ht="15.75" customHeight="1">
      <c r="H772" s="1"/>
    </row>
    <row r="773" ht="15.75" customHeight="1">
      <c r="H773" s="1"/>
    </row>
    <row r="774" ht="15.75" customHeight="1">
      <c r="H774" s="1"/>
    </row>
    <row r="775" ht="15.75" customHeight="1">
      <c r="H775" s="1"/>
    </row>
    <row r="776" ht="15.75" customHeight="1">
      <c r="H776" s="1"/>
    </row>
    <row r="777" ht="15.75" customHeight="1">
      <c r="H777" s="1"/>
    </row>
    <row r="778" ht="15.75" customHeight="1">
      <c r="H778" s="1"/>
    </row>
    <row r="779" ht="15.75" customHeight="1">
      <c r="H779" s="1"/>
    </row>
    <row r="780" ht="15.75" customHeight="1">
      <c r="H780" s="1"/>
    </row>
    <row r="781" ht="15.75" customHeight="1">
      <c r="H781" s="1"/>
    </row>
    <row r="782" ht="15.75" customHeight="1">
      <c r="H782" s="1"/>
    </row>
    <row r="783" ht="15.75" customHeight="1">
      <c r="H783" s="1"/>
    </row>
    <row r="784" ht="15.75" customHeight="1">
      <c r="H784" s="1"/>
    </row>
    <row r="785" ht="15.75" customHeight="1">
      <c r="H785" s="1"/>
    </row>
    <row r="786" ht="15.75" customHeight="1">
      <c r="H786" s="1"/>
    </row>
    <row r="787" ht="15.75" customHeight="1">
      <c r="H787" s="1"/>
    </row>
    <row r="788" ht="15.75" customHeight="1">
      <c r="H788" s="1"/>
    </row>
    <row r="789" ht="15.75" customHeight="1">
      <c r="H789" s="1"/>
    </row>
    <row r="790" ht="15.75" customHeight="1">
      <c r="H790" s="1"/>
    </row>
    <row r="791" ht="15.75" customHeight="1">
      <c r="H791" s="1"/>
    </row>
    <row r="792" ht="15.75" customHeight="1">
      <c r="H792" s="1"/>
    </row>
    <row r="793" ht="15.75" customHeight="1">
      <c r="H793" s="1"/>
    </row>
    <row r="794" ht="15.75" customHeight="1">
      <c r="H794" s="1"/>
    </row>
    <row r="795" ht="15.75" customHeight="1">
      <c r="H795" s="1"/>
    </row>
    <row r="796" ht="15.75" customHeight="1">
      <c r="H796" s="1"/>
    </row>
    <row r="797" ht="15.75" customHeight="1">
      <c r="H797" s="1"/>
    </row>
    <row r="798" ht="15.75" customHeight="1">
      <c r="H798" s="1"/>
    </row>
    <row r="799" ht="15.75" customHeight="1">
      <c r="H799" s="1"/>
    </row>
    <row r="800" ht="15.75" customHeight="1">
      <c r="H800" s="1"/>
    </row>
    <row r="801" ht="15.75" customHeight="1">
      <c r="H801" s="1"/>
    </row>
    <row r="802" ht="15.75" customHeight="1">
      <c r="H802" s="1"/>
    </row>
    <row r="803" ht="15.75" customHeight="1">
      <c r="H803" s="1"/>
    </row>
    <row r="804" ht="15.75" customHeight="1">
      <c r="H804" s="1"/>
    </row>
    <row r="805" ht="15.75" customHeight="1">
      <c r="H805" s="1"/>
    </row>
    <row r="806" ht="15.75" customHeight="1">
      <c r="H806" s="1"/>
    </row>
    <row r="807" ht="15.75" customHeight="1">
      <c r="H807" s="1"/>
    </row>
    <row r="808" ht="15.75" customHeight="1">
      <c r="H808" s="1"/>
    </row>
    <row r="809" ht="15.75" customHeight="1">
      <c r="H809" s="1"/>
    </row>
    <row r="810" ht="15.75" customHeight="1">
      <c r="H810" s="1"/>
    </row>
    <row r="811" ht="15.75" customHeight="1">
      <c r="H811" s="1"/>
    </row>
    <row r="812" ht="15.75" customHeight="1">
      <c r="H812" s="1"/>
    </row>
    <row r="813" ht="15.75" customHeight="1">
      <c r="H813" s="1"/>
    </row>
    <row r="814" ht="15.75" customHeight="1">
      <c r="H814" s="1"/>
    </row>
    <row r="815" ht="15.75" customHeight="1">
      <c r="H815" s="1"/>
    </row>
    <row r="816" ht="15.75" customHeight="1">
      <c r="H816" s="1"/>
    </row>
    <row r="817" ht="15.75" customHeight="1">
      <c r="H817" s="1"/>
    </row>
    <row r="818" ht="15.75" customHeight="1">
      <c r="H818" s="1"/>
    </row>
    <row r="819" ht="15.75" customHeight="1">
      <c r="H819" s="1"/>
    </row>
    <row r="820" ht="15.75" customHeight="1">
      <c r="H820" s="1"/>
    </row>
    <row r="821" ht="15.75" customHeight="1">
      <c r="H821" s="1"/>
    </row>
    <row r="822" ht="15.75" customHeight="1">
      <c r="H822" s="1"/>
    </row>
    <row r="823" ht="15.75" customHeight="1">
      <c r="H823" s="1"/>
    </row>
    <row r="824" ht="15.75" customHeight="1">
      <c r="H824" s="1"/>
    </row>
    <row r="825" ht="15.75" customHeight="1">
      <c r="H825" s="1"/>
    </row>
    <row r="826" ht="15.75" customHeight="1">
      <c r="H826" s="1"/>
    </row>
    <row r="827" ht="15.75" customHeight="1">
      <c r="H827" s="1"/>
    </row>
    <row r="828" ht="15.75" customHeight="1">
      <c r="H828" s="1"/>
    </row>
    <row r="829" ht="15.75" customHeight="1">
      <c r="H829" s="1"/>
    </row>
    <row r="830" ht="15.75" customHeight="1">
      <c r="H830" s="1"/>
    </row>
    <row r="831" ht="15.75" customHeight="1">
      <c r="H831" s="1"/>
    </row>
    <row r="832" ht="15.75" customHeight="1">
      <c r="H832" s="1"/>
    </row>
    <row r="833" ht="15.75" customHeight="1">
      <c r="H833" s="1"/>
    </row>
    <row r="834" ht="15.75" customHeight="1">
      <c r="H834" s="1"/>
    </row>
    <row r="835" ht="15.75" customHeight="1">
      <c r="H835" s="1"/>
    </row>
    <row r="836" ht="15.75" customHeight="1">
      <c r="H836" s="1"/>
    </row>
    <row r="837" ht="15.75" customHeight="1">
      <c r="H837" s="1"/>
    </row>
    <row r="838" ht="15.75" customHeight="1">
      <c r="H838" s="1"/>
    </row>
    <row r="839" ht="15.75" customHeight="1">
      <c r="H839" s="1"/>
    </row>
    <row r="840" ht="15.75" customHeight="1">
      <c r="H840" s="1"/>
    </row>
    <row r="841" ht="15.75" customHeight="1">
      <c r="H841" s="1"/>
    </row>
    <row r="842" ht="15.75" customHeight="1">
      <c r="H842" s="1"/>
    </row>
    <row r="843" ht="15.75" customHeight="1">
      <c r="H843" s="1"/>
    </row>
    <row r="844" ht="15.75" customHeight="1">
      <c r="H844" s="1"/>
    </row>
    <row r="845" ht="15.75" customHeight="1">
      <c r="H845" s="1"/>
    </row>
    <row r="846" ht="15.75" customHeight="1">
      <c r="H846" s="1"/>
    </row>
    <row r="847" ht="15.75" customHeight="1">
      <c r="H847" s="1"/>
    </row>
    <row r="848" ht="15.75" customHeight="1">
      <c r="H848" s="1"/>
    </row>
    <row r="849" ht="15.75" customHeight="1">
      <c r="H849" s="1"/>
    </row>
    <row r="850" ht="15.75" customHeight="1">
      <c r="H850" s="1"/>
    </row>
    <row r="851" ht="15.75" customHeight="1">
      <c r="H851" s="1"/>
    </row>
    <row r="852" ht="15.75" customHeight="1">
      <c r="H852" s="1"/>
    </row>
    <row r="853" ht="15.75" customHeight="1">
      <c r="H853" s="1"/>
    </row>
    <row r="854" ht="15.75" customHeight="1">
      <c r="H854" s="1"/>
    </row>
    <row r="855" ht="15.75" customHeight="1">
      <c r="H855" s="1"/>
    </row>
    <row r="856" ht="15.75" customHeight="1">
      <c r="H856" s="1"/>
    </row>
    <row r="857" ht="15.75" customHeight="1">
      <c r="H857" s="1"/>
    </row>
    <row r="858" ht="15.75" customHeight="1">
      <c r="H858" s="1"/>
    </row>
    <row r="859" ht="15.75" customHeight="1">
      <c r="H859" s="1"/>
    </row>
    <row r="860" ht="15.75" customHeight="1">
      <c r="H860" s="1"/>
    </row>
    <row r="861" ht="15.75" customHeight="1">
      <c r="H861" s="1"/>
    </row>
    <row r="862" ht="15.75" customHeight="1">
      <c r="H862" s="1"/>
    </row>
    <row r="863" ht="15.75" customHeight="1">
      <c r="H863" s="1"/>
    </row>
    <row r="864" ht="15.75" customHeight="1">
      <c r="H864" s="1"/>
    </row>
    <row r="865" ht="15.75" customHeight="1">
      <c r="H865" s="1"/>
    </row>
    <row r="866" ht="15.75" customHeight="1">
      <c r="H866" s="1"/>
    </row>
    <row r="867" ht="15.75" customHeight="1">
      <c r="H867" s="1"/>
    </row>
    <row r="868" ht="15.75" customHeight="1">
      <c r="H868" s="1"/>
    </row>
    <row r="869" ht="15.75" customHeight="1">
      <c r="H869" s="1"/>
    </row>
    <row r="870" ht="15.75" customHeight="1">
      <c r="H870" s="1"/>
    </row>
    <row r="871" ht="15.75" customHeight="1">
      <c r="H871" s="1"/>
    </row>
    <row r="872" ht="15.75" customHeight="1">
      <c r="H872" s="1"/>
    </row>
    <row r="873" ht="15.75" customHeight="1">
      <c r="H873" s="1"/>
    </row>
    <row r="874" ht="15.75" customHeight="1">
      <c r="H874" s="1"/>
    </row>
    <row r="875" ht="15.75" customHeight="1">
      <c r="H875" s="1"/>
    </row>
    <row r="876" ht="15.75" customHeight="1">
      <c r="H876" s="1"/>
    </row>
    <row r="877" ht="15.75" customHeight="1">
      <c r="H877" s="1"/>
    </row>
    <row r="878" ht="15.75" customHeight="1">
      <c r="H878" s="1"/>
    </row>
    <row r="879" ht="15.75" customHeight="1">
      <c r="H879" s="1"/>
    </row>
    <row r="880" ht="15.75" customHeight="1">
      <c r="H880" s="1"/>
    </row>
    <row r="881" ht="15.75" customHeight="1">
      <c r="H881" s="1"/>
    </row>
    <row r="882" ht="15.75" customHeight="1">
      <c r="H882" s="1"/>
    </row>
    <row r="883" ht="15.75" customHeight="1">
      <c r="H883" s="1"/>
    </row>
    <row r="884" ht="15.75" customHeight="1">
      <c r="H884" s="1"/>
    </row>
    <row r="885" ht="15.75" customHeight="1">
      <c r="H885" s="1"/>
    </row>
    <row r="886" ht="15.75" customHeight="1">
      <c r="H886" s="1"/>
    </row>
    <row r="887" ht="15.75" customHeight="1">
      <c r="H887" s="1"/>
    </row>
    <row r="888" ht="15.75" customHeight="1">
      <c r="H888" s="1"/>
    </row>
    <row r="889" ht="15.75" customHeight="1">
      <c r="H889" s="1"/>
    </row>
    <row r="890" ht="15.75" customHeight="1">
      <c r="H890" s="1"/>
    </row>
    <row r="891" ht="15.75" customHeight="1">
      <c r="H891" s="1"/>
    </row>
    <row r="892" ht="15.75" customHeight="1">
      <c r="H892" s="1"/>
    </row>
    <row r="893" ht="15.75" customHeight="1">
      <c r="H893" s="1"/>
    </row>
    <row r="894" ht="15.75" customHeight="1">
      <c r="H894" s="1"/>
    </row>
    <row r="895" ht="15.75" customHeight="1">
      <c r="H895" s="1"/>
    </row>
    <row r="896" ht="15.75" customHeight="1">
      <c r="H896" s="1"/>
    </row>
    <row r="897" ht="15.75" customHeight="1">
      <c r="H897" s="1"/>
    </row>
    <row r="898" ht="15.75" customHeight="1">
      <c r="H898" s="1"/>
    </row>
    <row r="899" ht="15.75" customHeight="1">
      <c r="H899" s="1"/>
    </row>
    <row r="900" ht="15.75" customHeight="1">
      <c r="H900" s="1"/>
    </row>
    <row r="901" ht="15.75" customHeight="1">
      <c r="H901" s="1"/>
    </row>
    <row r="902" ht="15.75" customHeight="1">
      <c r="H902" s="1"/>
    </row>
    <row r="903" ht="15.75" customHeight="1">
      <c r="H903" s="1"/>
    </row>
    <row r="904" ht="15.75" customHeight="1">
      <c r="H904" s="1"/>
    </row>
    <row r="905" ht="15.75" customHeight="1">
      <c r="H905" s="1"/>
    </row>
    <row r="906" ht="15.75" customHeight="1">
      <c r="H906" s="1"/>
    </row>
    <row r="907" ht="15.75" customHeight="1">
      <c r="H907" s="1"/>
    </row>
    <row r="908" ht="15.75" customHeight="1">
      <c r="H908" s="1"/>
    </row>
    <row r="909" ht="15.75" customHeight="1">
      <c r="H909" s="1"/>
    </row>
    <row r="910" ht="15.75" customHeight="1">
      <c r="H910" s="1"/>
    </row>
    <row r="911" ht="15.75" customHeight="1">
      <c r="H911" s="1"/>
    </row>
    <row r="912" ht="15.75" customHeight="1">
      <c r="H912" s="1"/>
    </row>
    <row r="913" ht="15.75" customHeight="1">
      <c r="H913" s="1"/>
    </row>
    <row r="914" ht="15.75" customHeight="1">
      <c r="H914" s="1"/>
    </row>
    <row r="915" ht="15.75" customHeight="1">
      <c r="H915" s="1"/>
    </row>
    <row r="916" ht="15.75" customHeight="1">
      <c r="H916" s="1"/>
    </row>
    <row r="917" ht="15.75" customHeight="1">
      <c r="H917" s="1"/>
    </row>
    <row r="918" ht="15.75" customHeight="1">
      <c r="H918" s="1"/>
    </row>
    <row r="919" ht="15.75" customHeight="1">
      <c r="H919" s="1"/>
    </row>
    <row r="920" ht="15.75" customHeight="1">
      <c r="H920" s="1"/>
    </row>
    <row r="921" ht="15.75" customHeight="1">
      <c r="H921" s="1"/>
    </row>
    <row r="922" ht="15.75" customHeight="1">
      <c r="H922" s="1"/>
    </row>
    <row r="923" ht="15.75" customHeight="1">
      <c r="H923" s="1"/>
    </row>
    <row r="924" ht="15.75" customHeight="1">
      <c r="H924" s="1"/>
    </row>
    <row r="925" ht="15.75" customHeight="1">
      <c r="H925" s="1"/>
    </row>
    <row r="926" ht="15.75" customHeight="1">
      <c r="H926" s="1"/>
    </row>
    <row r="927" ht="15.75" customHeight="1">
      <c r="H927" s="1"/>
    </row>
    <row r="928" ht="15.75" customHeight="1">
      <c r="H928" s="1"/>
    </row>
    <row r="929" ht="15.75" customHeight="1">
      <c r="H929" s="1"/>
    </row>
    <row r="930" ht="15.75" customHeight="1">
      <c r="H930" s="1"/>
    </row>
    <row r="931" ht="15.75" customHeight="1">
      <c r="H931" s="1"/>
    </row>
    <row r="932" ht="15.75" customHeight="1">
      <c r="H932" s="1"/>
    </row>
    <row r="933" ht="15.75" customHeight="1">
      <c r="H933" s="1"/>
    </row>
    <row r="934" ht="15.75" customHeight="1">
      <c r="H934" s="1"/>
    </row>
    <row r="935" ht="15.75" customHeight="1">
      <c r="H935" s="1"/>
    </row>
    <row r="936" ht="15.75" customHeight="1">
      <c r="H936" s="1"/>
    </row>
    <row r="937" ht="15.75" customHeight="1">
      <c r="H937" s="1"/>
    </row>
    <row r="938" ht="15.75" customHeight="1">
      <c r="H938" s="1"/>
    </row>
    <row r="939" ht="15.75" customHeight="1">
      <c r="H939" s="1"/>
    </row>
    <row r="940" ht="15.75" customHeight="1">
      <c r="H940" s="1"/>
    </row>
    <row r="941" ht="15.75" customHeight="1">
      <c r="H941" s="1"/>
    </row>
    <row r="942" ht="15.75" customHeight="1">
      <c r="H942" s="1"/>
    </row>
    <row r="943" ht="15.75" customHeight="1">
      <c r="H943" s="1"/>
    </row>
    <row r="944" ht="15.75" customHeight="1">
      <c r="H944" s="1"/>
    </row>
    <row r="945" ht="15.75" customHeight="1">
      <c r="H945" s="1"/>
    </row>
    <row r="946" ht="15.75" customHeight="1">
      <c r="H946" s="1"/>
    </row>
    <row r="947" ht="15.75" customHeight="1">
      <c r="H947" s="1"/>
    </row>
    <row r="948" ht="15.75" customHeight="1">
      <c r="H948" s="1"/>
    </row>
    <row r="949" ht="15.75" customHeight="1">
      <c r="H949" s="1"/>
    </row>
    <row r="950" ht="15.75" customHeight="1">
      <c r="H950" s="1"/>
    </row>
    <row r="951" ht="15.75" customHeight="1">
      <c r="H951" s="1"/>
    </row>
    <row r="952" ht="15.75" customHeight="1">
      <c r="H952" s="1"/>
    </row>
    <row r="953" ht="15.75" customHeight="1">
      <c r="H953" s="1"/>
    </row>
    <row r="954" ht="15.75" customHeight="1">
      <c r="H954" s="1"/>
    </row>
    <row r="955" ht="15.75" customHeight="1">
      <c r="H955" s="1"/>
    </row>
    <row r="956" ht="15.75" customHeight="1">
      <c r="H956" s="1"/>
    </row>
    <row r="957" ht="15.75" customHeight="1">
      <c r="H957" s="1"/>
    </row>
    <row r="958" ht="15.75" customHeight="1">
      <c r="H958" s="1"/>
    </row>
    <row r="959" ht="15.75" customHeight="1">
      <c r="H959" s="1"/>
    </row>
    <row r="960" ht="15.75" customHeight="1">
      <c r="H960" s="1"/>
    </row>
    <row r="961" ht="15.75" customHeight="1">
      <c r="H961" s="1"/>
    </row>
    <row r="962" ht="15.75" customHeight="1">
      <c r="H962" s="1"/>
    </row>
    <row r="963" ht="15.75" customHeight="1">
      <c r="H963" s="1"/>
    </row>
    <row r="964" ht="15.75" customHeight="1">
      <c r="H964" s="1"/>
    </row>
    <row r="965" ht="15.75" customHeight="1">
      <c r="H965" s="1"/>
    </row>
    <row r="966" ht="15.75" customHeight="1">
      <c r="H966" s="1"/>
    </row>
    <row r="967" ht="15.75" customHeight="1">
      <c r="H967" s="1"/>
    </row>
    <row r="968" ht="15.75" customHeight="1">
      <c r="H968" s="1"/>
    </row>
    <row r="969" ht="15.75" customHeight="1">
      <c r="H969" s="1"/>
    </row>
    <row r="970" ht="15.75" customHeight="1">
      <c r="H970" s="1"/>
    </row>
    <row r="971" ht="15.75" customHeight="1">
      <c r="H971" s="1"/>
    </row>
    <row r="972" ht="15.75" customHeight="1">
      <c r="H972" s="1"/>
    </row>
    <row r="973" ht="15.75" customHeight="1">
      <c r="H973" s="1"/>
    </row>
    <row r="974" ht="15.75" customHeight="1">
      <c r="H974" s="1"/>
    </row>
    <row r="975" ht="15.75" customHeight="1">
      <c r="H975" s="1"/>
    </row>
    <row r="976" ht="15.75" customHeight="1">
      <c r="H976" s="1"/>
    </row>
    <row r="977" ht="15.75" customHeight="1">
      <c r="H977" s="1"/>
    </row>
    <row r="978" ht="15.75" customHeight="1">
      <c r="H978" s="1"/>
    </row>
    <row r="979" ht="15.75" customHeight="1">
      <c r="H979" s="1"/>
    </row>
    <row r="980" ht="15.75" customHeight="1">
      <c r="H980" s="1"/>
    </row>
    <row r="981" ht="15.75" customHeight="1">
      <c r="H981" s="1"/>
    </row>
    <row r="982" ht="15.75" customHeight="1">
      <c r="H982" s="1"/>
    </row>
    <row r="983" ht="15.75" customHeight="1">
      <c r="H983" s="1"/>
    </row>
    <row r="984" ht="15.75" customHeight="1">
      <c r="H984" s="1"/>
    </row>
    <row r="985" ht="15.75" customHeight="1">
      <c r="H985" s="1"/>
    </row>
    <row r="986" ht="15.75" customHeight="1">
      <c r="H986" s="1"/>
    </row>
    <row r="987" ht="15.75" customHeight="1">
      <c r="H987" s="1"/>
    </row>
    <row r="988" ht="15.75" customHeight="1">
      <c r="H988" s="1"/>
    </row>
    <row r="989" ht="15.75" customHeight="1">
      <c r="H989" s="1"/>
    </row>
    <row r="990" ht="15.75" customHeight="1">
      <c r="H990" s="1"/>
    </row>
    <row r="991" ht="15.75" customHeight="1">
      <c r="H991" s="1"/>
    </row>
    <row r="992" ht="15.75" customHeight="1">
      <c r="H992" s="1"/>
    </row>
    <row r="993" ht="15.75" customHeight="1">
      <c r="H993" s="1"/>
    </row>
    <row r="994" ht="15.75" customHeight="1">
      <c r="H994" s="1"/>
    </row>
    <row r="995" ht="15.75" customHeight="1">
      <c r="H995" s="1"/>
    </row>
    <row r="996" ht="15.75" customHeight="1">
      <c r="H996" s="1"/>
    </row>
    <row r="997" ht="15.75" customHeight="1">
      <c r="H997" s="1"/>
    </row>
    <row r="998" ht="15.75" customHeight="1">
      <c r="H998" s="1"/>
    </row>
    <row r="999" ht="15.75" customHeight="1">
      <c r="H999" s="1"/>
    </row>
    <row r="1000" ht="15.75" customHeight="1">
      <c r="H1000" s="1"/>
    </row>
  </sheetData>
  <mergeCells count="53">
    <mergeCell ref="B2:F2"/>
    <mergeCell ref="I2:M2"/>
    <mergeCell ref="B3:C3"/>
    <mergeCell ref="D3:E3"/>
    <mergeCell ref="I3:J3"/>
    <mergeCell ref="K3:L3"/>
    <mergeCell ref="M3:M4"/>
    <mergeCell ref="K13:L13"/>
    <mergeCell ref="M13:M14"/>
    <mergeCell ref="F3:F4"/>
    <mergeCell ref="B12:F12"/>
    <mergeCell ref="I12:M12"/>
    <mergeCell ref="B13:C13"/>
    <mergeCell ref="D13:E13"/>
    <mergeCell ref="F13:F14"/>
    <mergeCell ref="I13:J13"/>
    <mergeCell ref="B22:F22"/>
    <mergeCell ref="I22:M22"/>
    <mergeCell ref="B23:C23"/>
    <mergeCell ref="D23:E23"/>
    <mergeCell ref="I23:J23"/>
    <mergeCell ref="K23:L23"/>
    <mergeCell ref="M23:M24"/>
    <mergeCell ref="B40:F40"/>
    <mergeCell ref="I40:M40"/>
    <mergeCell ref="B41:C41"/>
    <mergeCell ref="D41:E41"/>
    <mergeCell ref="F41:F42"/>
    <mergeCell ref="I41:J41"/>
    <mergeCell ref="K41:L41"/>
    <mergeCell ref="M41:M42"/>
    <mergeCell ref="F23:F24"/>
    <mergeCell ref="B31:F31"/>
    <mergeCell ref="I31:M31"/>
    <mergeCell ref="B32:C32"/>
    <mergeCell ref="D32:E32"/>
    <mergeCell ref="F32:F33"/>
    <mergeCell ref="I32:J32"/>
    <mergeCell ref="L76:M76"/>
    <mergeCell ref="L77:M77"/>
    <mergeCell ref="L78:M78"/>
    <mergeCell ref="L79:M79"/>
    <mergeCell ref="L80:M80"/>
    <mergeCell ref="L81:M81"/>
    <mergeCell ref="L82:M82"/>
    <mergeCell ref="K85:Q88"/>
    <mergeCell ref="K32:L32"/>
    <mergeCell ref="M32:M33"/>
    <mergeCell ref="M72:N72"/>
    <mergeCell ref="K73:Q73"/>
    <mergeCell ref="R73:R74"/>
    <mergeCell ref="K74:Q74"/>
    <mergeCell ref="L75:M75"/>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5" width="10.57"/>
    <col customWidth="1" min="6" max="6" width="11.71"/>
    <col customWidth="1" min="7" max="7" width="13.0"/>
    <col customWidth="1" min="8" max="8" width="16.29"/>
    <col customWidth="1" min="9" max="9" width="15.14"/>
    <col customWidth="1" min="10" max="16" width="11.43"/>
    <col customWidth="1" min="17" max="17" width="28.29"/>
    <col customWidth="1" min="18" max="26" width="11.43"/>
  </cols>
  <sheetData>
    <row r="1">
      <c r="H1" s="1"/>
    </row>
    <row r="2">
      <c r="A2" s="2"/>
      <c r="B2" s="3" t="s">
        <v>0</v>
      </c>
      <c r="C2" s="4"/>
      <c r="D2" s="4"/>
      <c r="E2" s="4"/>
      <c r="F2" s="5"/>
      <c r="G2" s="6"/>
      <c r="H2" s="7"/>
      <c r="I2" s="3" t="s">
        <v>1</v>
      </c>
      <c r="J2" s="4"/>
      <c r="K2" s="4"/>
      <c r="L2" s="4"/>
      <c r="M2" s="5"/>
    </row>
    <row r="3">
      <c r="A3" s="2"/>
      <c r="B3" s="8" t="s">
        <v>2</v>
      </c>
      <c r="C3" s="9"/>
      <c r="D3" s="8" t="s">
        <v>3</v>
      </c>
      <c r="E3" s="9"/>
      <c r="F3" s="10" t="s">
        <v>4</v>
      </c>
      <c r="G3" s="6"/>
      <c r="H3" s="7"/>
      <c r="I3" s="8" t="s">
        <v>2</v>
      </c>
      <c r="J3" s="9"/>
      <c r="K3" s="8" t="s">
        <v>3</v>
      </c>
      <c r="L3" s="9"/>
      <c r="M3" s="10" t="s">
        <v>4</v>
      </c>
    </row>
    <row r="4">
      <c r="A4" s="2"/>
      <c r="B4" s="11" t="s">
        <v>5</v>
      </c>
      <c r="C4" s="11" t="s">
        <v>6</v>
      </c>
      <c r="D4" s="11" t="s">
        <v>7</v>
      </c>
      <c r="E4" s="11" t="s">
        <v>8</v>
      </c>
      <c r="F4" s="12"/>
      <c r="G4" s="6"/>
      <c r="H4" s="7"/>
      <c r="I4" s="11" t="s">
        <v>5</v>
      </c>
      <c r="J4" s="11" t="s">
        <v>6</v>
      </c>
      <c r="K4" s="11" t="s">
        <v>7</v>
      </c>
      <c r="L4" s="11" t="s">
        <v>8</v>
      </c>
      <c r="M4" s="12"/>
    </row>
    <row r="5">
      <c r="A5" s="13" t="s">
        <v>9</v>
      </c>
      <c r="B5" s="14">
        <f t="shared" ref="B5:F5" si="1">B51</f>
        <v>18.94103</v>
      </c>
      <c r="C5" s="14">
        <f t="shared" si="1"/>
        <v>10.69744</v>
      </c>
      <c r="D5" s="14">
        <f t="shared" si="1"/>
        <v>9.869171</v>
      </c>
      <c r="E5" s="14">
        <f t="shared" si="1"/>
        <v>15.46769</v>
      </c>
      <c r="F5" s="14">
        <f t="shared" si="1"/>
        <v>14.82714</v>
      </c>
      <c r="G5" s="6"/>
      <c r="H5" s="13" t="s">
        <v>9</v>
      </c>
      <c r="I5" s="15">
        <f t="shared" ref="I5:M5" si="2">G51</f>
        <v>959804.5</v>
      </c>
      <c r="J5" s="15">
        <f t="shared" si="2"/>
        <v>539998.2</v>
      </c>
      <c r="K5" s="15">
        <f t="shared" si="2"/>
        <v>114217.5</v>
      </c>
      <c r="L5" s="15">
        <f t="shared" si="2"/>
        <v>1385585</v>
      </c>
      <c r="M5" s="15">
        <f t="shared" si="2"/>
        <v>1499803</v>
      </c>
    </row>
    <row r="6">
      <c r="A6" s="13" t="s">
        <v>10</v>
      </c>
      <c r="B6" s="14">
        <f t="shared" ref="B6:F6" si="3">B52</f>
        <v>68.72478</v>
      </c>
      <c r="C6" s="14">
        <f t="shared" si="3"/>
        <v>59.09944</v>
      </c>
      <c r="D6" s="14">
        <f t="shared" si="3"/>
        <v>27.39193</v>
      </c>
      <c r="E6" s="14">
        <f t="shared" si="3"/>
        <v>68.64074</v>
      </c>
      <c r="F6" s="14">
        <f t="shared" si="3"/>
        <v>63.92134</v>
      </c>
      <c r="G6" s="6"/>
      <c r="H6" s="13" t="s">
        <v>10</v>
      </c>
      <c r="I6" s="15">
        <f t="shared" ref="I6:M6" si="4">G52</f>
        <v>3482511</v>
      </c>
      <c r="J6" s="15">
        <f t="shared" si="4"/>
        <v>2983293</v>
      </c>
      <c r="K6" s="15">
        <f t="shared" si="4"/>
        <v>317011.2</v>
      </c>
      <c r="L6" s="15">
        <f t="shared" si="4"/>
        <v>6148792</v>
      </c>
      <c r="M6" s="15">
        <f t="shared" si="4"/>
        <v>6465803</v>
      </c>
    </row>
    <row r="7">
      <c r="A7" s="13" t="s">
        <v>11</v>
      </c>
      <c r="B7" s="14">
        <f t="shared" ref="B7:F7" si="5">B53</f>
        <v>70.20836</v>
      </c>
      <c r="C7" s="14">
        <f t="shared" si="5"/>
        <v>59.84</v>
      </c>
      <c r="D7" s="14">
        <f t="shared" si="5"/>
        <v>28.82305</v>
      </c>
      <c r="E7" s="14">
        <f t="shared" si="5"/>
        <v>69.7124</v>
      </c>
      <c r="F7" s="14">
        <f t="shared" si="5"/>
        <v>65.03413</v>
      </c>
      <c r="G7" s="6"/>
      <c r="H7" s="13" t="s">
        <v>11</v>
      </c>
      <c r="I7" s="15">
        <f t="shared" ref="I7:M7" si="6">G53</f>
        <v>3557689</v>
      </c>
      <c r="J7" s="15">
        <f t="shared" si="6"/>
        <v>3020676</v>
      </c>
      <c r="K7" s="15">
        <f t="shared" si="6"/>
        <v>333573.9</v>
      </c>
      <c r="L7" s="15">
        <f t="shared" si="6"/>
        <v>6244791</v>
      </c>
      <c r="M7" s="15">
        <f t="shared" si="6"/>
        <v>6578364</v>
      </c>
    </row>
    <row r="8">
      <c r="A8" s="16" t="s">
        <v>12</v>
      </c>
      <c r="B8" s="17"/>
      <c r="C8" s="17"/>
      <c r="D8" s="17"/>
      <c r="E8" s="17"/>
      <c r="F8" s="17"/>
      <c r="G8" s="18"/>
      <c r="H8" s="16" t="s">
        <v>12</v>
      </c>
      <c r="I8" s="19"/>
      <c r="J8" s="19"/>
      <c r="K8" s="19"/>
      <c r="L8" s="19"/>
      <c r="M8" s="19"/>
      <c r="N8" s="16"/>
      <c r="O8" s="16"/>
      <c r="P8" s="16"/>
      <c r="Q8" s="16"/>
      <c r="R8" s="16"/>
      <c r="S8" s="16"/>
      <c r="T8" s="16"/>
      <c r="U8" s="16"/>
      <c r="V8" s="16"/>
      <c r="W8" s="16"/>
      <c r="X8" s="16"/>
      <c r="Y8" s="16"/>
      <c r="Z8" s="16"/>
    </row>
    <row r="9">
      <c r="A9" s="16" t="s">
        <v>13</v>
      </c>
      <c r="B9" s="17"/>
      <c r="C9" s="17"/>
      <c r="D9" s="17"/>
      <c r="E9" s="17"/>
      <c r="F9" s="17"/>
      <c r="G9" s="18"/>
      <c r="H9" s="16" t="s">
        <v>13</v>
      </c>
      <c r="I9" s="19"/>
      <c r="J9" s="19"/>
      <c r="K9" s="19"/>
      <c r="L9" s="19"/>
      <c r="M9" s="19"/>
      <c r="N9" s="16"/>
      <c r="O9" s="16"/>
      <c r="P9" s="16"/>
      <c r="Q9" s="16"/>
      <c r="R9" s="16"/>
      <c r="S9" s="16"/>
      <c r="T9" s="16"/>
      <c r="U9" s="16"/>
      <c r="V9" s="16"/>
      <c r="W9" s="16"/>
      <c r="X9" s="16"/>
      <c r="Y9" s="16"/>
      <c r="Z9" s="16"/>
    </row>
    <row r="10">
      <c r="A10" s="16" t="s">
        <v>77</v>
      </c>
      <c r="B10" s="18"/>
      <c r="C10" s="18"/>
      <c r="D10" s="18"/>
      <c r="E10" s="18"/>
      <c r="F10" s="18"/>
      <c r="G10" s="18"/>
      <c r="H10" s="16" t="s">
        <v>77</v>
      </c>
      <c r="I10" s="18"/>
      <c r="J10" s="18"/>
      <c r="K10" s="18"/>
      <c r="L10" s="18"/>
      <c r="M10" s="18"/>
      <c r="N10" s="16"/>
      <c r="O10" s="16"/>
      <c r="P10" s="16"/>
      <c r="Q10" s="16"/>
      <c r="R10" s="16"/>
      <c r="S10" s="16"/>
      <c r="T10" s="16"/>
      <c r="U10" s="16"/>
      <c r="V10" s="16"/>
      <c r="W10" s="16"/>
      <c r="X10" s="16"/>
      <c r="Y10" s="16"/>
      <c r="Z10" s="16"/>
    </row>
    <row r="11">
      <c r="A11" s="2"/>
      <c r="B11" s="6"/>
      <c r="C11" s="6"/>
      <c r="D11" s="6"/>
      <c r="E11" s="6"/>
      <c r="F11" s="6"/>
      <c r="G11" s="6"/>
      <c r="H11" s="2"/>
      <c r="I11" s="6"/>
      <c r="J11" s="6"/>
      <c r="K11" s="6"/>
      <c r="L11" s="6"/>
      <c r="M11" s="6"/>
    </row>
    <row r="12">
      <c r="A12" s="2"/>
      <c r="B12" s="20" t="s">
        <v>15</v>
      </c>
      <c r="C12" s="4"/>
      <c r="D12" s="4"/>
      <c r="E12" s="4"/>
      <c r="F12" s="5"/>
      <c r="G12" s="6"/>
      <c r="H12" s="7"/>
      <c r="I12" s="20" t="s">
        <v>16</v>
      </c>
      <c r="J12" s="4"/>
      <c r="K12" s="4"/>
      <c r="L12" s="4"/>
      <c r="M12" s="5"/>
    </row>
    <row r="13">
      <c r="A13" s="2"/>
      <c r="B13" s="8" t="s">
        <v>2</v>
      </c>
      <c r="C13" s="9"/>
      <c r="D13" s="8" t="s">
        <v>3</v>
      </c>
      <c r="E13" s="9"/>
      <c r="F13" s="10" t="s">
        <v>4</v>
      </c>
      <c r="G13" s="6"/>
      <c r="H13" s="7"/>
      <c r="I13" s="8" t="s">
        <v>2</v>
      </c>
      <c r="J13" s="9"/>
      <c r="K13" s="8" t="s">
        <v>3</v>
      </c>
      <c r="L13" s="9"/>
      <c r="M13" s="10" t="s">
        <v>4</v>
      </c>
      <c r="Q13" s="21"/>
    </row>
    <row r="14">
      <c r="A14" s="2"/>
      <c r="B14" s="11" t="s">
        <v>5</v>
      </c>
      <c r="C14" s="11" t="s">
        <v>6</v>
      </c>
      <c r="D14" s="11" t="s">
        <v>7</v>
      </c>
      <c r="E14" s="11" t="s">
        <v>8</v>
      </c>
      <c r="F14" s="12"/>
      <c r="G14" s="6"/>
      <c r="H14" s="7"/>
      <c r="I14" s="11" t="s">
        <v>5</v>
      </c>
      <c r="J14" s="11" t="s">
        <v>6</v>
      </c>
      <c r="K14" s="11" t="s">
        <v>7</v>
      </c>
      <c r="L14" s="11" t="s">
        <v>8</v>
      </c>
      <c r="M14" s="12"/>
    </row>
    <row r="15">
      <c r="A15" s="22" t="s">
        <v>9</v>
      </c>
      <c r="B15" s="14">
        <f t="shared" ref="B15:F15" si="7">B54</f>
        <v>27.6668</v>
      </c>
      <c r="C15" s="14">
        <f t="shared" si="7"/>
        <v>13.32267</v>
      </c>
      <c r="D15" s="14">
        <f t="shared" si="7"/>
        <v>33.79438</v>
      </c>
      <c r="E15" s="14">
        <f t="shared" si="7"/>
        <v>21.57141</v>
      </c>
      <c r="F15" s="14">
        <f t="shared" si="7"/>
        <v>22.50225</v>
      </c>
      <c r="G15" s="6"/>
      <c r="H15" s="22" t="s">
        <v>9</v>
      </c>
      <c r="I15" s="15">
        <f t="shared" ref="I15:M15" si="8">G54</f>
        <v>265547.2</v>
      </c>
      <c r="J15" s="15">
        <f t="shared" si="8"/>
        <v>71942.2</v>
      </c>
      <c r="K15" s="15">
        <f t="shared" si="8"/>
        <v>38599.1</v>
      </c>
      <c r="L15" s="15">
        <f t="shared" si="8"/>
        <v>298890.3</v>
      </c>
      <c r="M15" s="15">
        <f t="shared" si="8"/>
        <v>337489.3</v>
      </c>
    </row>
    <row r="16">
      <c r="A16" s="22" t="s">
        <v>17</v>
      </c>
      <c r="B16" s="14">
        <f t="shared" ref="B16:F16" si="9">B55</f>
        <v>11.33904</v>
      </c>
      <c r="C16" s="14">
        <f t="shared" si="9"/>
        <v>3.572563</v>
      </c>
      <c r="D16" s="14">
        <f t="shared" si="9"/>
        <v>4.655395</v>
      </c>
      <c r="E16" s="14">
        <f t="shared" si="9"/>
        <v>7.915459</v>
      </c>
      <c r="F16" s="14">
        <f t="shared" si="9"/>
        <v>7.755622</v>
      </c>
      <c r="G16" s="6"/>
      <c r="H16" s="22" t="s">
        <v>17</v>
      </c>
      <c r="I16" s="15">
        <f t="shared" ref="I16:M16" si="10">G55</f>
        <v>394883.2</v>
      </c>
      <c r="J16" s="15">
        <f t="shared" si="10"/>
        <v>106580</v>
      </c>
      <c r="K16" s="15">
        <f t="shared" si="10"/>
        <v>14758.12</v>
      </c>
      <c r="L16" s="15">
        <f t="shared" si="10"/>
        <v>486705.1</v>
      </c>
      <c r="M16" s="15">
        <f t="shared" si="10"/>
        <v>501463.3</v>
      </c>
    </row>
    <row r="17">
      <c r="A17" s="22" t="s">
        <v>18</v>
      </c>
      <c r="B17" s="14">
        <f t="shared" ref="B17:F17" si="11">B56</f>
        <v>15.19899</v>
      </c>
      <c r="C17" s="14">
        <f t="shared" si="11"/>
        <v>5.04038</v>
      </c>
      <c r="D17" s="14">
        <f t="shared" si="11"/>
        <v>12.28427</v>
      </c>
      <c r="E17" s="14">
        <f t="shared" si="11"/>
        <v>10.44085</v>
      </c>
      <c r="F17" s="14">
        <f t="shared" si="11"/>
        <v>10.53432</v>
      </c>
      <c r="G17" s="6"/>
      <c r="H17" s="23" t="s">
        <v>18</v>
      </c>
      <c r="I17" s="15">
        <f t="shared" ref="I17:M17" si="12">G56</f>
        <v>540732.7</v>
      </c>
      <c r="J17" s="15">
        <f t="shared" si="12"/>
        <v>152253.5</v>
      </c>
      <c r="K17" s="15">
        <f t="shared" si="12"/>
        <v>40977.1</v>
      </c>
      <c r="L17" s="15">
        <f t="shared" si="12"/>
        <v>652009.1</v>
      </c>
      <c r="M17" s="15">
        <f t="shared" si="12"/>
        <v>692986.2</v>
      </c>
      <c r="O17" s="24"/>
      <c r="P17" s="24"/>
    </row>
    <row r="18">
      <c r="A18" s="16" t="s">
        <v>19</v>
      </c>
      <c r="B18" s="17"/>
      <c r="C18" s="17"/>
      <c r="D18" s="17"/>
      <c r="E18" s="17"/>
      <c r="F18" s="17"/>
      <c r="G18" s="18"/>
      <c r="H18" s="16" t="s">
        <v>19</v>
      </c>
      <c r="I18" s="19"/>
      <c r="J18" s="19"/>
      <c r="K18" s="19"/>
      <c r="L18" s="19"/>
      <c r="M18" s="19"/>
      <c r="N18" s="16"/>
      <c r="O18" s="16"/>
      <c r="P18" s="16"/>
      <c r="Q18" s="16"/>
      <c r="R18" s="16"/>
      <c r="S18" s="16"/>
      <c r="T18" s="16"/>
      <c r="U18" s="16"/>
      <c r="V18" s="16"/>
      <c r="W18" s="16"/>
      <c r="X18" s="16"/>
      <c r="Y18" s="16"/>
      <c r="Z18" s="16"/>
    </row>
    <row r="19">
      <c r="A19" s="16" t="s">
        <v>20</v>
      </c>
      <c r="B19" s="17"/>
      <c r="C19" s="17"/>
      <c r="D19" s="17"/>
      <c r="E19" s="17"/>
      <c r="F19" s="17"/>
      <c r="G19" s="18"/>
      <c r="H19" s="16" t="s">
        <v>20</v>
      </c>
      <c r="I19" s="19"/>
      <c r="J19" s="19"/>
      <c r="K19" s="19"/>
      <c r="L19" s="19"/>
      <c r="M19" s="19"/>
      <c r="N19" s="16"/>
      <c r="O19" s="16"/>
      <c r="P19" s="16"/>
      <c r="Q19" s="25"/>
      <c r="R19" s="16"/>
      <c r="S19" s="16"/>
      <c r="T19" s="16"/>
      <c r="U19" s="16"/>
      <c r="V19" s="16"/>
      <c r="W19" s="16"/>
      <c r="X19" s="16"/>
      <c r="Y19" s="16"/>
      <c r="Z19" s="16"/>
    </row>
    <row r="20">
      <c r="A20" s="16" t="s">
        <v>77</v>
      </c>
      <c r="B20" s="18"/>
      <c r="C20" s="18"/>
      <c r="D20" s="18"/>
      <c r="E20" s="18"/>
      <c r="F20" s="18"/>
      <c r="G20" s="18"/>
      <c r="H20" s="16" t="s">
        <v>77</v>
      </c>
      <c r="I20" s="18"/>
      <c r="J20" s="18"/>
      <c r="K20" s="18"/>
      <c r="L20" s="18"/>
      <c r="M20" s="18"/>
      <c r="N20" s="16"/>
      <c r="O20" s="16"/>
      <c r="P20" s="16"/>
      <c r="Q20" s="25"/>
      <c r="R20" s="16"/>
      <c r="S20" s="16"/>
      <c r="T20" s="16"/>
      <c r="U20" s="16"/>
      <c r="V20" s="16"/>
      <c r="W20" s="16"/>
      <c r="X20" s="16"/>
      <c r="Y20" s="16"/>
      <c r="Z20" s="16"/>
    </row>
    <row r="21" ht="15.75" customHeight="1">
      <c r="A21" s="2"/>
      <c r="B21" s="6"/>
      <c r="C21" s="6"/>
      <c r="D21" s="6"/>
      <c r="E21" s="6"/>
      <c r="F21" s="6"/>
      <c r="G21" s="6"/>
      <c r="H21" s="7"/>
      <c r="I21" s="6"/>
      <c r="J21" s="6"/>
      <c r="K21" s="6"/>
      <c r="L21" s="6"/>
      <c r="M21" s="6"/>
    </row>
    <row r="22" ht="15.75" customHeight="1">
      <c r="A22" s="2"/>
      <c r="B22" s="26" t="s">
        <v>21</v>
      </c>
      <c r="C22" s="4"/>
      <c r="D22" s="4"/>
      <c r="E22" s="4"/>
      <c r="F22" s="5"/>
      <c r="G22" s="6"/>
      <c r="H22" s="7"/>
      <c r="I22" s="26" t="s">
        <v>22</v>
      </c>
      <c r="J22" s="4"/>
      <c r="K22" s="4"/>
      <c r="L22" s="4"/>
      <c r="M22" s="5"/>
    </row>
    <row r="23" ht="15.75" customHeight="1">
      <c r="A23" s="2"/>
      <c r="B23" s="8" t="s">
        <v>2</v>
      </c>
      <c r="C23" s="9"/>
      <c r="D23" s="8" t="s">
        <v>3</v>
      </c>
      <c r="E23" s="9"/>
      <c r="F23" s="27" t="s">
        <v>4</v>
      </c>
      <c r="G23" s="6"/>
      <c r="H23" s="7"/>
      <c r="I23" s="8" t="s">
        <v>2</v>
      </c>
      <c r="J23" s="9"/>
      <c r="K23" s="8" t="s">
        <v>3</v>
      </c>
      <c r="L23" s="9"/>
      <c r="M23" s="10" t="s">
        <v>4</v>
      </c>
    </row>
    <row r="24" ht="15.75" customHeight="1">
      <c r="A24" s="2"/>
      <c r="B24" s="11" t="s">
        <v>5</v>
      </c>
      <c r="C24" s="11" t="s">
        <v>6</v>
      </c>
      <c r="D24" s="11" t="s">
        <v>7</v>
      </c>
      <c r="E24" s="11" t="s">
        <v>8</v>
      </c>
      <c r="F24" s="28"/>
      <c r="G24" s="6"/>
      <c r="H24" s="7"/>
      <c r="I24" s="11" t="s">
        <v>5</v>
      </c>
      <c r="J24" s="11" t="s">
        <v>6</v>
      </c>
      <c r="K24" s="11" t="s">
        <v>7</v>
      </c>
      <c r="L24" s="11" t="s">
        <v>8</v>
      </c>
      <c r="M24" s="12"/>
    </row>
    <row r="25" ht="15.75" customHeight="1">
      <c r="A25" s="22" t="s">
        <v>23</v>
      </c>
      <c r="B25" s="14">
        <f t="shared" ref="B25:F25" si="13">B57</f>
        <v>6.804023</v>
      </c>
      <c r="C25" s="14">
        <f t="shared" si="13"/>
        <v>9.655709</v>
      </c>
      <c r="D25" s="14">
        <f t="shared" si="13"/>
        <v>14.59637</v>
      </c>
      <c r="E25" s="14">
        <f t="shared" si="13"/>
        <v>6.484103</v>
      </c>
      <c r="F25" s="14">
        <f t="shared" si="13"/>
        <v>7.411914</v>
      </c>
      <c r="G25" s="6"/>
      <c r="H25" s="23" t="s">
        <v>23</v>
      </c>
      <c r="I25" s="15">
        <f t="shared" ref="I25:M25" si="14">G57</f>
        <v>18067.89</v>
      </c>
      <c r="J25" s="15">
        <f t="shared" si="14"/>
        <v>6946.529</v>
      </c>
      <c r="K25" s="15">
        <f t="shared" si="14"/>
        <v>5634.068</v>
      </c>
      <c r="L25" s="15">
        <f t="shared" si="14"/>
        <v>19380.35</v>
      </c>
      <c r="M25" s="15">
        <f t="shared" si="14"/>
        <v>25014.42</v>
      </c>
    </row>
    <row r="26" ht="15.75" customHeight="1">
      <c r="A26" s="22" t="s">
        <v>10</v>
      </c>
      <c r="B26" s="14">
        <f t="shared" ref="B26:F26" si="15">B58</f>
        <v>4.741415</v>
      </c>
      <c r="C26" s="14">
        <f t="shared" si="15"/>
        <v>2.089793</v>
      </c>
      <c r="D26" s="14">
        <f t="shared" si="15"/>
        <v>9.582981</v>
      </c>
      <c r="E26" s="14">
        <f t="shared" si="15"/>
        <v>4.013947</v>
      </c>
      <c r="F26" s="14">
        <f t="shared" si="15"/>
        <v>4.177844</v>
      </c>
      <c r="G26" s="6"/>
      <c r="H26" s="23" t="s">
        <v>10</v>
      </c>
      <c r="I26" s="15">
        <f t="shared" ref="I26:M26" si="16">G58</f>
        <v>18723.05</v>
      </c>
      <c r="J26" s="15">
        <f t="shared" si="16"/>
        <v>2227.302</v>
      </c>
      <c r="K26" s="15">
        <f t="shared" si="16"/>
        <v>1414.268</v>
      </c>
      <c r="L26" s="15">
        <f t="shared" si="16"/>
        <v>19536.08</v>
      </c>
      <c r="M26" s="15">
        <f t="shared" si="16"/>
        <v>20950.35</v>
      </c>
      <c r="N26" s="29"/>
    </row>
    <row r="27" ht="15.75" customHeight="1">
      <c r="A27" s="22" t="s">
        <v>18</v>
      </c>
      <c r="B27" s="14">
        <f t="shared" ref="B27:F27" si="17">B59</f>
        <v>4.56408</v>
      </c>
      <c r="C27" s="14">
        <f t="shared" si="17"/>
        <v>4.71069</v>
      </c>
      <c r="D27" s="14">
        <f t="shared" si="17"/>
        <v>13.74931</v>
      </c>
      <c r="E27" s="14">
        <f t="shared" si="17"/>
        <v>4.021048</v>
      </c>
      <c r="F27" s="14">
        <f t="shared" si="17"/>
        <v>4.596292</v>
      </c>
      <c r="G27" s="6"/>
      <c r="H27" s="23" t="s">
        <v>18</v>
      </c>
      <c r="I27" s="15">
        <f t="shared" ref="I27:M27" si="18">G59</f>
        <v>24679.47</v>
      </c>
      <c r="J27" s="15">
        <f t="shared" si="18"/>
        <v>7172.192</v>
      </c>
      <c r="K27" s="15">
        <f t="shared" si="18"/>
        <v>5634.068</v>
      </c>
      <c r="L27" s="15">
        <f t="shared" si="18"/>
        <v>26217.6</v>
      </c>
      <c r="M27" s="15">
        <f t="shared" si="18"/>
        <v>31851.67</v>
      </c>
    </row>
    <row r="28" ht="15.75" customHeight="1">
      <c r="A28" s="16" t="s">
        <v>24</v>
      </c>
      <c r="B28" s="17"/>
      <c r="C28" s="17"/>
      <c r="D28" s="17"/>
      <c r="E28" s="17"/>
      <c r="F28" s="17"/>
      <c r="G28" s="18"/>
      <c r="H28" s="16" t="s">
        <v>24</v>
      </c>
      <c r="I28" s="19"/>
      <c r="J28" s="19"/>
      <c r="K28" s="19"/>
      <c r="L28" s="19"/>
      <c r="M28" s="19"/>
      <c r="N28" s="16"/>
      <c r="O28" s="16"/>
      <c r="P28" s="16"/>
      <c r="Q28" s="16"/>
      <c r="R28" s="16"/>
      <c r="S28" s="16"/>
      <c r="T28" s="16"/>
      <c r="U28" s="16"/>
      <c r="V28" s="16"/>
      <c r="W28" s="16"/>
      <c r="X28" s="16"/>
      <c r="Y28" s="16"/>
      <c r="Z28" s="16"/>
    </row>
    <row r="29" ht="15.75" customHeight="1">
      <c r="A29" s="16" t="s">
        <v>77</v>
      </c>
      <c r="B29" s="17"/>
      <c r="C29" s="17"/>
      <c r="D29" s="17"/>
      <c r="E29" s="17"/>
      <c r="F29" s="17"/>
      <c r="G29" s="18"/>
      <c r="H29" s="16" t="s">
        <v>77</v>
      </c>
      <c r="I29" s="19"/>
      <c r="J29" s="19"/>
      <c r="K29" s="19"/>
      <c r="L29" s="19"/>
      <c r="M29" s="19"/>
      <c r="N29" s="16"/>
      <c r="O29" s="16"/>
      <c r="P29" s="16"/>
      <c r="Q29" s="16"/>
      <c r="R29" s="16"/>
      <c r="S29" s="16"/>
      <c r="T29" s="16"/>
      <c r="U29" s="16"/>
      <c r="V29" s="16"/>
      <c r="W29" s="16"/>
      <c r="X29" s="16"/>
      <c r="Y29" s="16"/>
      <c r="Z29" s="16"/>
    </row>
    <row r="30" ht="15.75" customHeight="1">
      <c r="A30" s="2"/>
      <c r="B30" s="6"/>
      <c r="C30" s="6"/>
      <c r="D30" s="6"/>
      <c r="E30" s="6"/>
      <c r="F30" s="6"/>
      <c r="G30" s="6"/>
      <c r="H30" s="7"/>
      <c r="I30" s="6"/>
      <c r="J30" s="6"/>
      <c r="K30" s="6"/>
      <c r="L30" s="6"/>
      <c r="M30" s="6"/>
      <c r="P30" s="30"/>
    </row>
    <row r="31" ht="15.75" customHeight="1">
      <c r="A31" s="2"/>
      <c r="B31" s="31" t="s">
        <v>25</v>
      </c>
      <c r="C31" s="4"/>
      <c r="D31" s="4"/>
      <c r="E31" s="4"/>
      <c r="F31" s="5"/>
      <c r="G31" s="6"/>
      <c r="H31" s="7"/>
      <c r="I31" s="31" t="s">
        <v>26</v>
      </c>
      <c r="J31" s="4"/>
      <c r="K31" s="4"/>
      <c r="L31" s="4"/>
      <c r="M31" s="5"/>
      <c r="P31" s="32"/>
    </row>
    <row r="32" ht="15.75" customHeight="1">
      <c r="A32" s="2"/>
      <c r="B32" s="8" t="s">
        <v>2</v>
      </c>
      <c r="C32" s="9"/>
      <c r="D32" s="8" t="s">
        <v>3</v>
      </c>
      <c r="E32" s="9"/>
      <c r="F32" s="27" t="s">
        <v>4</v>
      </c>
      <c r="G32" s="6"/>
      <c r="H32" s="7"/>
      <c r="I32" s="8" t="s">
        <v>2</v>
      </c>
      <c r="J32" s="9"/>
      <c r="K32" s="8" t="s">
        <v>3</v>
      </c>
      <c r="L32" s="9"/>
      <c r="M32" s="27" t="s">
        <v>4</v>
      </c>
      <c r="P32" s="33"/>
    </row>
    <row r="33" ht="15.75" customHeight="1">
      <c r="A33" s="2"/>
      <c r="B33" s="11" t="s">
        <v>5</v>
      </c>
      <c r="C33" s="11" t="s">
        <v>6</v>
      </c>
      <c r="D33" s="11" t="s">
        <v>7</v>
      </c>
      <c r="E33" s="11" t="s">
        <v>8</v>
      </c>
      <c r="F33" s="28"/>
      <c r="G33" s="6"/>
      <c r="H33" s="7"/>
      <c r="I33" s="11" t="s">
        <v>5</v>
      </c>
      <c r="J33" s="11" t="s">
        <v>6</v>
      </c>
      <c r="K33" s="11" t="s">
        <v>7</v>
      </c>
      <c r="L33" s="11" t="s">
        <v>8</v>
      </c>
      <c r="M33" s="28"/>
      <c r="P33" s="33"/>
    </row>
    <row r="34" ht="15.75" customHeight="1">
      <c r="A34" s="22" t="s">
        <v>23</v>
      </c>
      <c r="B34" s="14">
        <f t="shared" ref="B34:F34" si="19">B60</f>
        <v>10.47851</v>
      </c>
      <c r="C34" s="14">
        <f t="shared" si="19"/>
        <v>12.1153</v>
      </c>
      <c r="D34" s="14">
        <f t="shared" si="19"/>
        <v>0</v>
      </c>
      <c r="E34" s="14">
        <f t="shared" si="19"/>
        <v>12.09494</v>
      </c>
      <c r="F34" s="14">
        <f t="shared" si="19"/>
        <v>10.81897</v>
      </c>
      <c r="G34" s="6"/>
      <c r="H34" s="34" t="s">
        <v>23</v>
      </c>
      <c r="I34" s="15">
        <f t="shared" ref="I34:M34" si="20">G60</f>
        <v>25932.14</v>
      </c>
      <c r="J34" s="15">
        <f t="shared" si="20"/>
        <v>7874.42</v>
      </c>
      <c r="K34" s="15">
        <f t="shared" si="20"/>
        <v>0</v>
      </c>
      <c r="L34" s="15">
        <f t="shared" si="20"/>
        <v>33806.57</v>
      </c>
      <c r="M34" s="15">
        <f t="shared" si="20"/>
        <v>33806.57</v>
      </c>
    </row>
    <row r="35" ht="15.75" customHeight="1">
      <c r="A35" s="22" t="s">
        <v>10</v>
      </c>
      <c r="B35" s="14">
        <f t="shared" ref="B35:F35" si="21">B61</f>
        <v>10.73859</v>
      </c>
      <c r="C35" s="14">
        <f t="shared" si="21"/>
        <v>12.84556</v>
      </c>
      <c r="D35" s="14">
        <f t="shared" si="21"/>
        <v>0</v>
      </c>
      <c r="E35" s="14">
        <f t="shared" si="21"/>
        <v>11.51596</v>
      </c>
      <c r="F35" s="14">
        <f t="shared" si="21"/>
        <v>11.19616</v>
      </c>
      <c r="G35" s="6"/>
      <c r="H35" s="34" t="s">
        <v>10</v>
      </c>
      <c r="I35" s="15">
        <f t="shared" ref="I35:M35" si="22">G61</f>
        <v>40394.31</v>
      </c>
      <c r="J35" s="15">
        <f t="shared" si="22"/>
        <v>13404.69</v>
      </c>
      <c r="K35" s="15">
        <f t="shared" si="22"/>
        <v>0</v>
      </c>
      <c r="L35" s="15">
        <f t="shared" si="22"/>
        <v>53799</v>
      </c>
      <c r="M35" s="15">
        <f t="shared" si="22"/>
        <v>53799</v>
      </c>
      <c r="O35" s="16"/>
    </row>
    <row r="36" ht="15.75" customHeight="1">
      <c r="A36" s="22" t="s">
        <v>18</v>
      </c>
      <c r="B36" s="14">
        <f t="shared" ref="B36:F36" si="23">B62</f>
        <v>10.81849</v>
      </c>
      <c r="C36" s="14">
        <f t="shared" si="23"/>
        <v>9.239432</v>
      </c>
      <c r="D36" s="14">
        <f t="shared" si="23"/>
        <v>0</v>
      </c>
      <c r="E36" s="14">
        <f t="shared" si="23"/>
        <v>11.06341</v>
      </c>
      <c r="F36" s="14">
        <f t="shared" si="23"/>
        <v>10.47198</v>
      </c>
      <c r="G36" s="6"/>
      <c r="H36" s="34" t="s">
        <v>18</v>
      </c>
      <c r="I36" s="15">
        <f t="shared" ref="I36:M36" si="24">G62</f>
        <v>55829.16</v>
      </c>
      <c r="J36" s="15">
        <f t="shared" si="24"/>
        <v>13404.69</v>
      </c>
      <c r="K36" s="15">
        <f t="shared" si="24"/>
        <v>0</v>
      </c>
      <c r="L36" s="15">
        <f t="shared" si="24"/>
        <v>69233.85</v>
      </c>
      <c r="M36" s="15">
        <f t="shared" si="24"/>
        <v>69233.85</v>
      </c>
      <c r="O36" s="35"/>
    </row>
    <row r="37" ht="15.75" customHeight="1">
      <c r="A37" s="16" t="s">
        <v>27</v>
      </c>
      <c r="B37" s="16"/>
      <c r="C37" s="16"/>
      <c r="D37" s="16"/>
      <c r="E37" s="16"/>
      <c r="F37" s="16"/>
      <c r="G37" s="16"/>
      <c r="H37" s="16" t="s">
        <v>28</v>
      </c>
      <c r="I37" s="16"/>
      <c r="J37" s="16"/>
      <c r="K37" s="16"/>
      <c r="L37" s="16"/>
      <c r="M37" s="16"/>
      <c r="N37" s="16"/>
      <c r="O37" s="16"/>
      <c r="P37" s="16"/>
      <c r="Q37" s="16"/>
      <c r="R37" s="16"/>
      <c r="S37" s="16"/>
      <c r="T37" s="16"/>
      <c r="U37" s="16"/>
      <c r="V37" s="16"/>
      <c r="W37" s="16"/>
      <c r="X37" s="16"/>
      <c r="Y37" s="16"/>
      <c r="Z37" s="16"/>
    </row>
    <row r="38" ht="15.75" customHeight="1">
      <c r="A38" s="16" t="s">
        <v>77</v>
      </c>
      <c r="B38" s="16"/>
      <c r="C38" s="16"/>
      <c r="D38" s="16"/>
      <c r="E38" s="16"/>
      <c r="F38" s="16"/>
      <c r="G38" s="16"/>
      <c r="H38" s="16" t="s">
        <v>77</v>
      </c>
      <c r="I38" s="16"/>
      <c r="J38" s="16"/>
      <c r="K38" s="16"/>
      <c r="L38" s="16"/>
      <c r="M38" s="16"/>
      <c r="N38" s="16"/>
      <c r="O38" s="16"/>
      <c r="P38" s="16"/>
      <c r="Q38" s="16"/>
      <c r="R38" s="16"/>
      <c r="S38" s="16"/>
      <c r="T38" s="16"/>
      <c r="U38" s="16"/>
      <c r="V38" s="16"/>
      <c r="W38" s="16"/>
      <c r="X38" s="16"/>
      <c r="Y38" s="16"/>
      <c r="Z38" s="16"/>
    </row>
    <row r="39" ht="15.7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5.75" customHeight="1">
      <c r="A40" s="2"/>
      <c r="B40" s="31" t="s">
        <v>29</v>
      </c>
      <c r="C40" s="4"/>
      <c r="D40" s="4"/>
      <c r="E40" s="4"/>
      <c r="F40" s="5"/>
      <c r="G40" s="6"/>
      <c r="H40" s="7"/>
      <c r="I40" s="31" t="s">
        <v>30</v>
      </c>
      <c r="J40" s="4"/>
      <c r="K40" s="4"/>
      <c r="L40" s="4"/>
      <c r="M40" s="5"/>
    </row>
    <row r="41" ht="15.75" customHeight="1">
      <c r="A41" s="2"/>
      <c r="B41" s="8" t="s">
        <v>2</v>
      </c>
      <c r="C41" s="9"/>
      <c r="D41" s="8" t="s">
        <v>3</v>
      </c>
      <c r="E41" s="9"/>
      <c r="F41" s="27" t="s">
        <v>4</v>
      </c>
      <c r="G41" s="6"/>
      <c r="H41" s="7"/>
      <c r="I41" s="8" t="s">
        <v>2</v>
      </c>
      <c r="J41" s="9"/>
      <c r="K41" s="8" t="s">
        <v>3</v>
      </c>
      <c r="L41" s="9"/>
      <c r="M41" s="27" t="s">
        <v>4</v>
      </c>
    </row>
    <row r="42" ht="15.75" customHeight="1">
      <c r="A42" s="2"/>
      <c r="B42" s="11" t="s">
        <v>5</v>
      </c>
      <c r="C42" s="11" t="s">
        <v>6</v>
      </c>
      <c r="D42" s="11" t="s">
        <v>7</v>
      </c>
      <c r="E42" s="11" t="s">
        <v>8</v>
      </c>
      <c r="F42" s="28"/>
      <c r="G42" s="6"/>
      <c r="H42" s="7"/>
      <c r="I42" s="11" t="s">
        <v>5</v>
      </c>
      <c r="J42" s="11" t="s">
        <v>6</v>
      </c>
      <c r="K42" s="11" t="s">
        <v>7</v>
      </c>
      <c r="L42" s="11" t="s">
        <v>8</v>
      </c>
      <c r="M42" s="28"/>
    </row>
    <row r="43" ht="15.75" customHeight="1">
      <c r="A43" s="22" t="s">
        <v>23</v>
      </c>
      <c r="B43" s="14">
        <f t="shared" ref="B43:F43" si="25">B63</f>
        <v>27.15911</v>
      </c>
      <c r="C43" s="14">
        <f t="shared" si="25"/>
        <v>79.11831</v>
      </c>
      <c r="D43" s="14" t="str">
        <f t="shared" si="25"/>
        <v/>
      </c>
      <c r="E43" s="14">
        <f t="shared" si="25"/>
        <v>39.26175</v>
      </c>
      <c r="F43" s="14">
        <f t="shared" si="25"/>
        <v>39.26175</v>
      </c>
      <c r="G43" s="6"/>
      <c r="H43" s="34" t="s">
        <v>23</v>
      </c>
      <c r="I43" s="15">
        <f t="shared" ref="I43:M43" si="26">G63</f>
        <v>7042.94</v>
      </c>
      <c r="J43" s="15">
        <f t="shared" si="26"/>
        <v>6230.108</v>
      </c>
      <c r="K43" s="15">
        <f t="shared" si="26"/>
        <v>0</v>
      </c>
      <c r="L43" s="15">
        <f t="shared" si="26"/>
        <v>13273.05</v>
      </c>
      <c r="M43" s="15">
        <f t="shared" si="26"/>
        <v>13273.05</v>
      </c>
    </row>
    <row r="44" ht="15.75" customHeight="1">
      <c r="A44" s="22" t="s">
        <v>10</v>
      </c>
      <c r="B44" s="14">
        <f t="shared" ref="B44:F44" si="27">B64</f>
        <v>49.13541</v>
      </c>
      <c r="C44" s="14">
        <f t="shared" si="27"/>
        <v>60.06263</v>
      </c>
      <c r="D44" s="14" t="str">
        <f t="shared" si="27"/>
        <v/>
      </c>
      <c r="E44" s="14">
        <f t="shared" si="27"/>
        <v>51.85806</v>
      </c>
      <c r="F44" s="14">
        <f t="shared" si="27"/>
        <v>51.85806</v>
      </c>
      <c r="G44" s="6"/>
      <c r="H44" s="34" t="s">
        <v>10</v>
      </c>
      <c r="I44" s="15">
        <f t="shared" ref="I44:M44" si="28">G64</f>
        <v>19847.91</v>
      </c>
      <c r="J44" s="15">
        <f t="shared" si="28"/>
        <v>8051.21</v>
      </c>
      <c r="K44" s="15">
        <f t="shared" si="28"/>
        <v>0</v>
      </c>
      <c r="L44" s="15">
        <f t="shared" si="28"/>
        <v>27899.12</v>
      </c>
      <c r="M44" s="15">
        <f t="shared" si="28"/>
        <v>27899.12</v>
      </c>
    </row>
    <row r="45" ht="15.75" customHeight="1">
      <c r="A45" s="22" t="s">
        <v>18</v>
      </c>
      <c r="B45" s="14">
        <f t="shared" ref="B45:F45" si="29">B65</f>
        <v>40.33533</v>
      </c>
      <c r="C45" s="14">
        <f t="shared" si="29"/>
        <v>60.06263</v>
      </c>
      <c r="D45" s="14" t="str">
        <f t="shared" si="29"/>
        <v/>
      </c>
      <c r="E45" s="14">
        <f t="shared" si="29"/>
        <v>44.15483</v>
      </c>
      <c r="F45" s="14">
        <f t="shared" si="29"/>
        <v>44.15483</v>
      </c>
      <c r="G45" s="6"/>
      <c r="H45" s="34" t="s">
        <v>18</v>
      </c>
      <c r="I45" s="15">
        <f t="shared" ref="I45:M45" si="30">G65</f>
        <v>22518.88</v>
      </c>
      <c r="J45" s="15">
        <f t="shared" si="30"/>
        <v>8051.21</v>
      </c>
      <c r="K45" s="15">
        <f t="shared" si="30"/>
        <v>0</v>
      </c>
      <c r="L45" s="15">
        <f t="shared" si="30"/>
        <v>30570.09</v>
      </c>
      <c r="M45" s="15">
        <f t="shared" si="30"/>
        <v>30570.09</v>
      </c>
    </row>
    <row r="46" ht="15.75" customHeight="1">
      <c r="A46" s="16" t="s">
        <v>31</v>
      </c>
      <c r="B46" s="16"/>
      <c r="C46" s="16"/>
      <c r="D46" s="16"/>
      <c r="E46" s="16"/>
      <c r="F46" s="16"/>
      <c r="G46" s="16"/>
      <c r="H46" s="16" t="s">
        <v>31</v>
      </c>
      <c r="I46" s="16"/>
      <c r="J46" s="16"/>
      <c r="K46" s="16"/>
      <c r="L46" s="16"/>
      <c r="M46" s="16"/>
      <c r="N46" s="16"/>
      <c r="O46" s="16"/>
      <c r="P46" s="16"/>
      <c r="Q46" s="16"/>
      <c r="R46" s="16"/>
      <c r="S46" s="16"/>
      <c r="T46" s="16"/>
      <c r="U46" s="16"/>
      <c r="V46" s="16"/>
      <c r="W46" s="16"/>
      <c r="X46" s="16"/>
      <c r="Y46" s="16"/>
      <c r="Z46" s="16"/>
    </row>
    <row r="47" ht="15.75" customHeight="1">
      <c r="A47" s="16" t="s">
        <v>77</v>
      </c>
      <c r="B47" s="16"/>
      <c r="C47" s="16"/>
      <c r="D47" s="16"/>
      <c r="E47" s="16"/>
      <c r="F47" s="16"/>
      <c r="G47" s="16"/>
      <c r="H47" s="16" t="s">
        <v>77</v>
      </c>
      <c r="I47" s="16"/>
      <c r="J47" s="16"/>
      <c r="K47" s="16"/>
      <c r="L47" s="16"/>
      <c r="M47" s="16"/>
      <c r="N47" s="16"/>
      <c r="O47" s="16"/>
      <c r="P47" s="16"/>
      <c r="Q47" s="16"/>
      <c r="R47" s="16"/>
      <c r="S47" s="16"/>
      <c r="T47" s="16"/>
      <c r="U47" s="16"/>
      <c r="V47" s="16"/>
      <c r="W47" s="16"/>
      <c r="X47" s="16"/>
      <c r="Y47" s="16"/>
      <c r="Z47" s="16"/>
    </row>
    <row r="48" ht="15.75" customHeight="1">
      <c r="H48" s="1"/>
    </row>
    <row r="49" ht="15.75" customHeight="1">
      <c r="A49" s="36"/>
      <c r="B49" s="36"/>
      <c r="C49" s="36"/>
      <c r="D49" s="36"/>
      <c r="E49" s="36"/>
      <c r="F49" s="36"/>
      <c r="G49" s="36"/>
      <c r="H49" s="1"/>
      <c r="I49" s="36"/>
      <c r="J49" s="36"/>
      <c r="K49" s="36"/>
      <c r="L49" s="36"/>
      <c r="M49" s="36"/>
      <c r="N49" s="36"/>
      <c r="O49" s="36"/>
      <c r="P49" s="36"/>
      <c r="Q49" s="36"/>
      <c r="R49" s="36"/>
      <c r="S49" s="36"/>
      <c r="T49" s="36"/>
      <c r="U49" s="36"/>
      <c r="V49" s="36"/>
      <c r="W49" s="36"/>
      <c r="X49" s="36"/>
      <c r="Y49" s="36"/>
      <c r="Z49" s="36"/>
    </row>
    <row r="50" ht="15.75" customHeight="1">
      <c r="A50" s="36"/>
      <c r="B50" s="36" t="s">
        <v>32</v>
      </c>
      <c r="C50" s="36" t="s">
        <v>33</v>
      </c>
      <c r="D50" s="36" t="s">
        <v>34</v>
      </c>
      <c r="E50" s="36" t="s">
        <v>35</v>
      </c>
      <c r="F50" s="36" t="s">
        <v>36</v>
      </c>
      <c r="G50" s="36" t="s">
        <v>37</v>
      </c>
      <c r="H50" s="1" t="s">
        <v>38</v>
      </c>
      <c r="I50" s="36" t="s">
        <v>39</v>
      </c>
      <c r="J50" s="36" t="s">
        <v>40</v>
      </c>
      <c r="K50" s="36" t="s">
        <v>41</v>
      </c>
      <c r="L50" s="36"/>
      <c r="M50" s="36"/>
      <c r="N50" s="36"/>
      <c r="O50" s="36"/>
      <c r="P50" s="36"/>
      <c r="Q50" s="36"/>
      <c r="R50" s="36"/>
      <c r="S50" s="36"/>
      <c r="T50" s="36"/>
      <c r="U50" s="36"/>
      <c r="V50" s="36"/>
      <c r="W50" s="36"/>
      <c r="X50" s="36"/>
      <c r="Y50" s="36"/>
      <c r="Z50" s="36"/>
    </row>
    <row r="51" ht="15.75" customHeight="1">
      <c r="A51" s="36"/>
      <c r="B51" s="36">
        <v>18.94103</v>
      </c>
      <c r="C51" s="36">
        <v>10.69744</v>
      </c>
      <c r="D51" s="36">
        <v>9.869171</v>
      </c>
      <c r="E51" s="36">
        <v>15.46769</v>
      </c>
      <c r="F51" s="36">
        <v>14.82714</v>
      </c>
      <c r="G51" s="36">
        <v>959804.5</v>
      </c>
      <c r="H51" s="1">
        <v>539998.2</v>
      </c>
      <c r="I51" s="36">
        <v>114217.5</v>
      </c>
      <c r="J51" s="36">
        <v>1385585.0</v>
      </c>
      <c r="K51" s="36">
        <v>1499803.0</v>
      </c>
      <c r="L51" s="36"/>
      <c r="M51" s="36"/>
      <c r="N51" s="36"/>
      <c r="O51" s="36"/>
      <c r="P51" s="36"/>
      <c r="Q51" s="36"/>
      <c r="R51" s="36"/>
      <c r="S51" s="36"/>
      <c r="T51" s="36"/>
      <c r="U51" s="36"/>
      <c r="V51" s="36"/>
      <c r="W51" s="36"/>
      <c r="X51" s="36"/>
      <c r="Y51" s="36"/>
      <c r="Z51" s="36"/>
    </row>
    <row r="52" ht="15.75" customHeight="1">
      <c r="A52" s="36"/>
      <c r="B52" s="36">
        <v>68.72478</v>
      </c>
      <c r="C52" s="36">
        <v>59.09944</v>
      </c>
      <c r="D52" s="36">
        <v>27.39193</v>
      </c>
      <c r="E52" s="36">
        <v>68.64074</v>
      </c>
      <c r="F52" s="36">
        <v>63.92134</v>
      </c>
      <c r="G52" s="36">
        <v>3482511.0</v>
      </c>
      <c r="H52" s="1">
        <v>2983293.0</v>
      </c>
      <c r="I52" s="36">
        <v>317011.2</v>
      </c>
      <c r="J52" s="36">
        <v>6148792.0</v>
      </c>
      <c r="K52" s="36">
        <v>6465803.0</v>
      </c>
      <c r="L52" s="36"/>
      <c r="M52" s="36"/>
      <c r="N52" s="36"/>
      <c r="O52" s="36"/>
      <c r="P52" s="36"/>
      <c r="Q52" s="36"/>
      <c r="R52" s="36"/>
      <c r="S52" s="36"/>
      <c r="T52" s="36"/>
      <c r="U52" s="36"/>
      <c r="V52" s="36"/>
      <c r="W52" s="36"/>
      <c r="X52" s="36"/>
      <c r="Y52" s="36"/>
      <c r="Z52" s="36"/>
    </row>
    <row r="53" ht="15.75" customHeight="1">
      <c r="A53" s="36"/>
      <c r="B53" s="36">
        <v>70.20836</v>
      </c>
      <c r="C53" s="36">
        <v>59.84</v>
      </c>
      <c r="D53" s="36">
        <v>28.82305</v>
      </c>
      <c r="E53" s="36">
        <v>69.7124</v>
      </c>
      <c r="F53" s="36">
        <v>65.03413</v>
      </c>
      <c r="G53" s="36">
        <v>3557689.0</v>
      </c>
      <c r="H53" s="1">
        <v>3020676.0</v>
      </c>
      <c r="I53" s="36">
        <v>333573.9</v>
      </c>
      <c r="J53" s="36">
        <v>6244791.0</v>
      </c>
      <c r="K53" s="36">
        <v>6578364.0</v>
      </c>
      <c r="L53" s="36"/>
      <c r="M53" s="36"/>
      <c r="N53" s="36"/>
      <c r="O53" s="36"/>
      <c r="P53" s="36"/>
      <c r="Q53" s="36"/>
      <c r="R53" s="36"/>
      <c r="S53" s="36"/>
      <c r="T53" s="36"/>
      <c r="U53" s="36"/>
      <c r="V53" s="36"/>
      <c r="W53" s="36"/>
      <c r="X53" s="36"/>
      <c r="Y53" s="36"/>
      <c r="Z53" s="36"/>
    </row>
    <row r="54" ht="15.75" customHeight="1">
      <c r="A54" s="36"/>
      <c r="B54" s="36">
        <v>27.6668</v>
      </c>
      <c r="C54" s="36">
        <v>13.32267</v>
      </c>
      <c r="D54" s="36">
        <v>33.79438</v>
      </c>
      <c r="E54" s="36">
        <v>21.57141</v>
      </c>
      <c r="F54" s="36">
        <v>22.50225</v>
      </c>
      <c r="G54" s="36">
        <v>265547.2</v>
      </c>
      <c r="H54" s="1">
        <v>71942.2</v>
      </c>
      <c r="I54" s="36">
        <v>38599.1</v>
      </c>
      <c r="J54" s="36">
        <v>298890.3</v>
      </c>
      <c r="K54" s="36">
        <v>337489.3</v>
      </c>
      <c r="L54" s="36"/>
      <c r="M54" s="36"/>
      <c r="N54" s="36"/>
      <c r="O54" s="36"/>
      <c r="P54" s="36"/>
      <c r="Q54" s="36"/>
      <c r="R54" s="36"/>
      <c r="S54" s="36"/>
      <c r="T54" s="36"/>
      <c r="U54" s="36"/>
      <c r="V54" s="36"/>
      <c r="W54" s="36"/>
      <c r="X54" s="36"/>
      <c r="Y54" s="36"/>
      <c r="Z54" s="36"/>
    </row>
    <row r="55" ht="15.75" customHeight="1">
      <c r="A55" s="36"/>
      <c r="B55" s="36">
        <v>11.33904</v>
      </c>
      <c r="C55" s="36">
        <v>3.572563</v>
      </c>
      <c r="D55" s="36">
        <v>4.655395</v>
      </c>
      <c r="E55" s="36">
        <v>7.915459</v>
      </c>
      <c r="F55" s="36">
        <v>7.755622</v>
      </c>
      <c r="G55" s="36">
        <v>394883.2</v>
      </c>
      <c r="H55" s="1">
        <v>106580.0</v>
      </c>
      <c r="I55" s="36">
        <v>14758.12</v>
      </c>
      <c r="J55" s="36">
        <v>486705.1</v>
      </c>
      <c r="K55" s="36">
        <v>501463.3</v>
      </c>
      <c r="L55" s="36"/>
      <c r="M55" s="36"/>
      <c r="N55" s="36"/>
      <c r="O55" s="36"/>
      <c r="P55" s="36"/>
      <c r="Q55" s="36"/>
      <c r="R55" s="36"/>
      <c r="S55" s="36"/>
      <c r="T55" s="36"/>
      <c r="U55" s="36"/>
      <c r="V55" s="36"/>
      <c r="W55" s="36"/>
      <c r="X55" s="36"/>
      <c r="Y55" s="36"/>
      <c r="Z55" s="36"/>
    </row>
    <row r="56" ht="15.75" customHeight="1">
      <c r="A56" s="36"/>
      <c r="B56" s="36">
        <v>15.19899</v>
      </c>
      <c r="C56" s="36">
        <v>5.04038</v>
      </c>
      <c r="D56" s="36">
        <v>12.28427</v>
      </c>
      <c r="E56" s="36">
        <v>10.44085</v>
      </c>
      <c r="F56" s="36">
        <v>10.53432</v>
      </c>
      <c r="G56" s="36">
        <v>540732.7</v>
      </c>
      <c r="H56" s="1">
        <v>152253.5</v>
      </c>
      <c r="I56" s="36">
        <v>40977.1</v>
      </c>
      <c r="J56" s="36">
        <v>652009.1</v>
      </c>
      <c r="K56" s="36">
        <v>692986.2</v>
      </c>
      <c r="L56" s="36"/>
      <c r="M56" s="36"/>
      <c r="N56" s="36"/>
      <c r="O56" s="36"/>
      <c r="P56" s="36"/>
      <c r="Q56" s="36"/>
      <c r="R56" s="36"/>
      <c r="S56" s="36"/>
      <c r="T56" s="36"/>
      <c r="U56" s="36"/>
      <c r="V56" s="36"/>
      <c r="W56" s="36"/>
      <c r="X56" s="36"/>
      <c r="Y56" s="36"/>
      <c r="Z56" s="36"/>
    </row>
    <row r="57" ht="15.75" customHeight="1">
      <c r="A57" s="36"/>
      <c r="B57" s="36">
        <v>6.804023</v>
      </c>
      <c r="C57" s="36">
        <v>9.655709</v>
      </c>
      <c r="D57" s="36">
        <v>14.59637</v>
      </c>
      <c r="E57" s="36">
        <v>6.484103</v>
      </c>
      <c r="F57" s="36">
        <v>7.411914</v>
      </c>
      <c r="G57" s="36">
        <v>18067.89</v>
      </c>
      <c r="H57" s="1">
        <v>6946.529</v>
      </c>
      <c r="I57" s="36">
        <v>5634.068</v>
      </c>
      <c r="J57" s="36">
        <v>19380.35</v>
      </c>
      <c r="K57" s="36">
        <v>25014.42</v>
      </c>
      <c r="L57" s="36"/>
      <c r="M57" s="36"/>
      <c r="N57" s="36"/>
      <c r="O57" s="36"/>
      <c r="P57" s="36"/>
      <c r="Q57" s="36"/>
      <c r="R57" s="36"/>
      <c r="S57" s="36"/>
      <c r="T57" s="36"/>
      <c r="U57" s="36"/>
      <c r="V57" s="36"/>
      <c r="W57" s="36"/>
      <c r="X57" s="36"/>
      <c r="Y57" s="36"/>
      <c r="Z57" s="36"/>
    </row>
    <row r="58" ht="15.75" customHeight="1">
      <c r="A58" s="36"/>
      <c r="B58" s="36">
        <v>4.741415</v>
      </c>
      <c r="C58" s="36">
        <v>2.089793</v>
      </c>
      <c r="D58" s="36">
        <v>9.582981</v>
      </c>
      <c r="E58" s="36">
        <v>4.013947</v>
      </c>
      <c r="F58" s="36">
        <v>4.177844</v>
      </c>
      <c r="G58" s="36">
        <v>18723.05</v>
      </c>
      <c r="H58" s="1">
        <v>2227.302</v>
      </c>
      <c r="I58" s="36">
        <v>1414.268</v>
      </c>
      <c r="J58" s="36">
        <v>19536.08</v>
      </c>
      <c r="K58" s="36">
        <v>20950.35</v>
      </c>
      <c r="L58" s="36"/>
      <c r="M58" s="36"/>
      <c r="N58" s="36"/>
      <c r="O58" s="36"/>
      <c r="P58" s="36"/>
      <c r="Q58" s="36"/>
      <c r="R58" s="36"/>
      <c r="S58" s="36"/>
      <c r="T58" s="36"/>
      <c r="U58" s="36"/>
      <c r="V58" s="36"/>
      <c r="W58" s="36"/>
      <c r="X58" s="36"/>
      <c r="Y58" s="36"/>
      <c r="Z58" s="36"/>
    </row>
    <row r="59" ht="15.75" customHeight="1">
      <c r="A59" s="36"/>
      <c r="B59" s="36">
        <v>4.56408</v>
      </c>
      <c r="C59" s="36">
        <v>4.71069</v>
      </c>
      <c r="D59" s="36">
        <v>13.74931</v>
      </c>
      <c r="E59" s="36">
        <v>4.021048</v>
      </c>
      <c r="F59" s="36">
        <v>4.596292</v>
      </c>
      <c r="G59" s="36">
        <v>24679.47</v>
      </c>
      <c r="H59" s="1">
        <v>7172.192</v>
      </c>
      <c r="I59" s="36">
        <v>5634.068</v>
      </c>
      <c r="J59" s="36">
        <v>26217.6</v>
      </c>
      <c r="K59" s="36">
        <v>31851.67</v>
      </c>
      <c r="L59" s="36"/>
      <c r="M59" s="36"/>
      <c r="N59" s="36"/>
      <c r="O59" s="36"/>
      <c r="P59" s="36"/>
      <c r="Q59" s="36"/>
      <c r="R59" s="36"/>
      <c r="S59" s="36"/>
      <c r="T59" s="36"/>
      <c r="U59" s="36"/>
      <c r="V59" s="36"/>
      <c r="W59" s="36"/>
      <c r="X59" s="36"/>
      <c r="Y59" s="36"/>
      <c r="Z59" s="36"/>
    </row>
    <row r="60" ht="15.75" customHeight="1">
      <c r="A60" s="36"/>
      <c r="B60" s="36">
        <v>10.47851</v>
      </c>
      <c r="C60" s="36">
        <v>12.1153</v>
      </c>
      <c r="D60" s="36">
        <v>0.0</v>
      </c>
      <c r="E60" s="36">
        <v>12.09494</v>
      </c>
      <c r="F60" s="36">
        <v>10.81897</v>
      </c>
      <c r="G60" s="36">
        <v>25932.14</v>
      </c>
      <c r="H60" s="1">
        <v>7874.42</v>
      </c>
      <c r="I60" s="36">
        <v>0.0</v>
      </c>
      <c r="J60" s="36">
        <v>33806.57</v>
      </c>
      <c r="K60" s="36">
        <v>33806.57</v>
      </c>
      <c r="L60" s="36"/>
      <c r="M60" s="36"/>
      <c r="N60" s="36"/>
      <c r="O60" s="36"/>
      <c r="P60" s="36"/>
      <c r="Q60" s="36"/>
      <c r="R60" s="36"/>
      <c r="S60" s="36"/>
      <c r="T60" s="36"/>
      <c r="U60" s="36"/>
      <c r="V60" s="36"/>
      <c r="W60" s="36"/>
      <c r="X60" s="36"/>
      <c r="Y60" s="36"/>
      <c r="Z60" s="36"/>
    </row>
    <row r="61" ht="15.75" customHeight="1">
      <c r="A61" s="36"/>
      <c r="B61" s="36">
        <v>10.73859</v>
      </c>
      <c r="C61" s="36">
        <v>12.84556</v>
      </c>
      <c r="D61" s="36">
        <v>0.0</v>
      </c>
      <c r="E61" s="36">
        <v>11.51596</v>
      </c>
      <c r="F61" s="36">
        <v>11.19616</v>
      </c>
      <c r="G61" s="36">
        <v>40394.31</v>
      </c>
      <c r="H61" s="1">
        <v>13404.69</v>
      </c>
      <c r="I61" s="36">
        <v>0.0</v>
      </c>
      <c r="J61" s="36">
        <v>53799.0</v>
      </c>
      <c r="K61" s="36">
        <v>53799.0</v>
      </c>
      <c r="L61" s="36"/>
      <c r="M61" s="36"/>
      <c r="N61" s="36"/>
      <c r="O61" s="36"/>
      <c r="P61" s="36"/>
      <c r="Q61" s="36"/>
      <c r="R61" s="36"/>
      <c r="S61" s="36"/>
      <c r="T61" s="36"/>
      <c r="U61" s="36"/>
      <c r="V61" s="36"/>
      <c r="W61" s="36"/>
      <c r="X61" s="36"/>
      <c r="Y61" s="36"/>
      <c r="Z61" s="36"/>
    </row>
    <row r="62" ht="15.75" customHeight="1">
      <c r="A62" s="36"/>
      <c r="B62" s="36">
        <v>10.81849</v>
      </c>
      <c r="C62" s="36">
        <v>9.239432</v>
      </c>
      <c r="D62" s="36">
        <v>0.0</v>
      </c>
      <c r="E62" s="36">
        <v>11.06341</v>
      </c>
      <c r="F62" s="36">
        <v>10.47198</v>
      </c>
      <c r="G62" s="36">
        <v>55829.16</v>
      </c>
      <c r="H62" s="1">
        <v>13404.69</v>
      </c>
      <c r="I62" s="36">
        <v>0.0</v>
      </c>
      <c r="J62" s="36">
        <v>69233.85</v>
      </c>
      <c r="K62" s="36">
        <v>69233.85</v>
      </c>
      <c r="L62" s="36"/>
      <c r="M62" s="36"/>
      <c r="N62" s="36"/>
      <c r="O62" s="36"/>
      <c r="P62" s="36"/>
      <c r="Q62" s="36"/>
      <c r="R62" s="36"/>
      <c r="S62" s="36"/>
      <c r="T62" s="36"/>
      <c r="U62" s="36"/>
      <c r="V62" s="36"/>
      <c r="W62" s="36"/>
      <c r="X62" s="36"/>
      <c r="Y62" s="36"/>
      <c r="Z62" s="36"/>
    </row>
    <row r="63" ht="15.75" customHeight="1">
      <c r="A63" s="36"/>
      <c r="B63" s="36">
        <v>27.15911</v>
      </c>
      <c r="C63" s="36">
        <v>79.11831</v>
      </c>
      <c r="D63" s="36"/>
      <c r="E63" s="36">
        <v>39.26175</v>
      </c>
      <c r="F63" s="36">
        <v>39.26175</v>
      </c>
      <c r="G63" s="36">
        <v>7042.94</v>
      </c>
      <c r="H63" s="1">
        <v>6230.108</v>
      </c>
      <c r="I63" s="36">
        <v>0.0</v>
      </c>
      <c r="J63" s="36">
        <v>13273.05</v>
      </c>
      <c r="K63" s="36">
        <v>13273.05</v>
      </c>
      <c r="L63" s="36"/>
      <c r="M63" s="36"/>
      <c r="N63" s="36"/>
      <c r="O63" s="36"/>
      <c r="P63" s="36"/>
      <c r="Q63" s="36"/>
      <c r="R63" s="36"/>
      <c r="S63" s="36"/>
      <c r="T63" s="36"/>
      <c r="U63" s="36"/>
      <c r="V63" s="36"/>
      <c r="W63" s="36"/>
      <c r="X63" s="36"/>
      <c r="Y63" s="36"/>
      <c r="Z63" s="36"/>
    </row>
    <row r="64" ht="15.75" customHeight="1">
      <c r="A64" s="36"/>
      <c r="B64" s="36">
        <v>49.13541</v>
      </c>
      <c r="C64" s="36">
        <v>60.06263</v>
      </c>
      <c r="D64" s="36"/>
      <c r="E64" s="36">
        <v>51.85806</v>
      </c>
      <c r="F64" s="36">
        <v>51.85806</v>
      </c>
      <c r="G64" s="36">
        <v>19847.91</v>
      </c>
      <c r="H64" s="1">
        <v>8051.21</v>
      </c>
      <c r="I64" s="36">
        <v>0.0</v>
      </c>
      <c r="J64" s="36">
        <v>27899.12</v>
      </c>
      <c r="K64" s="36">
        <v>27899.12</v>
      </c>
      <c r="L64" s="36"/>
      <c r="M64" s="36"/>
      <c r="N64" s="36"/>
      <c r="O64" s="36"/>
      <c r="P64" s="36"/>
      <c r="Q64" s="36"/>
      <c r="R64" s="36"/>
      <c r="S64" s="36"/>
      <c r="T64" s="36"/>
      <c r="U64" s="36"/>
      <c r="V64" s="36"/>
      <c r="W64" s="36"/>
      <c r="X64" s="36"/>
      <c r="Y64" s="36"/>
      <c r="Z64" s="36"/>
    </row>
    <row r="65" ht="15.75" customHeight="1">
      <c r="A65" s="36"/>
      <c r="B65" s="36">
        <v>40.33533</v>
      </c>
      <c r="C65" s="36">
        <v>60.06263</v>
      </c>
      <c r="D65" s="36"/>
      <c r="E65" s="36">
        <v>44.15483</v>
      </c>
      <c r="F65" s="36">
        <v>44.15483</v>
      </c>
      <c r="G65" s="36">
        <v>22518.88</v>
      </c>
      <c r="H65" s="1">
        <v>8051.21</v>
      </c>
      <c r="I65" s="36">
        <v>0.0</v>
      </c>
      <c r="J65" s="36">
        <v>30570.09</v>
      </c>
      <c r="K65" s="36">
        <v>30570.09</v>
      </c>
      <c r="L65" s="36"/>
      <c r="M65" s="36"/>
      <c r="N65" s="36"/>
      <c r="O65" s="36"/>
      <c r="P65" s="36"/>
      <c r="Q65" s="36"/>
      <c r="R65" s="36"/>
      <c r="S65" s="36"/>
      <c r="T65" s="36"/>
      <c r="U65" s="36"/>
      <c r="V65" s="36"/>
      <c r="W65" s="36"/>
      <c r="X65" s="36"/>
      <c r="Y65" s="36"/>
      <c r="Z65" s="36"/>
    </row>
    <row r="66" ht="15.75" customHeight="1">
      <c r="A66" s="36"/>
      <c r="B66" s="36"/>
      <c r="C66" s="36"/>
      <c r="D66" s="36"/>
      <c r="E66" s="36"/>
      <c r="F66" s="36"/>
      <c r="G66" s="36"/>
      <c r="H66" s="1"/>
      <c r="I66" s="36"/>
      <c r="J66" s="36"/>
      <c r="K66" s="36"/>
      <c r="L66" s="36"/>
      <c r="M66" s="36"/>
      <c r="N66" s="36"/>
      <c r="O66" s="36"/>
      <c r="P66" s="36"/>
      <c r="Q66" s="36"/>
      <c r="R66" s="36"/>
      <c r="S66" s="36"/>
      <c r="T66" s="36"/>
      <c r="U66" s="36"/>
      <c r="V66" s="36"/>
      <c r="W66" s="36"/>
      <c r="X66" s="36"/>
      <c r="Y66" s="36"/>
      <c r="Z66" s="36"/>
    </row>
    <row r="67" ht="15.75" customHeight="1">
      <c r="A67" s="36"/>
      <c r="B67" s="36"/>
      <c r="C67" s="36"/>
      <c r="D67" s="36"/>
      <c r="E67" s="36"/>
      <c r="F67" s="36"/>
      <c r="G67" s="36"/>
      <c r="H67" s="1"/>
      <c r="I67" s="36"/>
      <c r="J67" s="36"/>
      <c r="K67" s="36"/>
      <c r="L67" s="36"/>
      <c r="M67" s="36"/>
      <c r="N67" s="36"/>
      <c r="O67" s="36"/>
      <c r="P67" s="36"/>
      <c r="Q67" s="36"/>
      <c r="R67" s="36"/>
      <c r="S67" s="36"/>
      <c r="T67" s="36"/>
      <c r="U67" s="36"/>
      <c r="V67" s="36"/>
      <c r="W67" s="36"/>
      <c r="X67" s="36"/>
      <c r="Y67" s="36"/>
      <c r="Z67" s="36"/>
    </row>
    <row r="68" ht="15.75" customHeight="1">
      <c r="A68" s="36"/>
      <c r="B68" s="36"/>
      <c r="C68" s="36"/>
      <c r="D68" s="36"/>
      <c r="E68" s="36"/>
      <c r="F68" s="36"/>
      <c r="G68" s="36"/>
      <c r="H68" s="1"/>
      <c r="I68" s="36"/>
      <c r="J68" s="36"/>
      <c r="K68" s="36"/>
      <c r="L68" s="36"/>
      <c r="M68" s="36"/>
      <c r="N68" s="36"/>
      <c r="O68" s="36"/>
      <c r="P68" s="36"/>
      <c r="Q68" s="36"/>
      <c r="R68" s="36"/>
      <c r="S68" s="36"/>
      <c r="T68" s="36"/>
      <c r="U68" s="36"/>
      <c r="V68" s="36"/>
      <c r="W68" s="36"/>
      <c r="X68" s="36"/>
      <c r="Y68" s="36"/>
      <c r="Z68" s="36"/>
    </row>
    <row r="69" ht="15.75" customHeight="1">
      <c r="A69" s="36"/>
      <c r="B69" s="36"/>
      <c r="C69" s="36"/>
      <c r="D69" s="36"/>
      <c r="E69" s="36"/>
      <c r="F69" s="36"/>
      <c r="G69" s="36"/>
      <c r="H69" s="1"/>
      <c r="I69" s="36"/>
      <c r="J69" s="36"/>
      <c r="K69" s="36"/>
      <c r="L69" s="36"/>
      <c r="M69" s="36"/>
      <c r="N69" s="36"/>
      <c r="O69" s="36"/>
      <c r="P69" s="36"/>
      <c r="Q69" s="36"/>
      <c r="R69" s="36"/>
      <c r="S69" s="36"/>
      <c r="T69" s="36"/>
      <c r="U69" s="36"/>
      <c r="V69" s="36"/>
      <c r="W69" s="36"/>
      <c r="X69" s="36"/>
      <c r="Y69" s="36"/>
      <c r="Z69" s="36"/>
    </row>
    <row r="70" ht="15.75" customHeight="1">
      <c r="A70" s="36"/>
      <c r="B70" s="36"/>
      <c r="C70" s="36"/>
      <c r="D70" s="36"/>
      <c r="E70" s="36"/>
      <c r="F70" s="36"/>
      <c r="G70" s="36"/>
      <c r="H70" s="1"/>
      <c r="I70" s="36"/>
      <c r="J70" s="36"/>
      <c r="K70" s="36"/>
      <c r="L70" s="36"/>
      <c r="M70" s="36"/>
      <c r="N70" s="36"/>
      <c r="O70" s="36"/>
      <c r="P70" s="36"/>
      <c r="Q70" s="36"/>
      <c r="R70" s="36"/>
      <c r="S70" s="36"/>
      <c r="T70" s="36"/>
      <c r="U70" s="36"/>
      <c r="V70" s="36"/>
      <c r="W70" s="36"/>
      <c r="X70" s="36"/>
      <c r="Y70" s="36"/>
      <c r="Z70" s="36"/>
    </row>
    <row r="71" ht="15.75" customHeight="1">
      <c r="A71" s="36"/>
      <c r="B71" s="36"/>
      <c r="C71" s="36"/>
      <c r="D71" s="36"/>
      <c r="E71" s="36"/>
      <c r="F71" s="36"/>
      <c r="G71" s="36"/>
      <c r="H71" s="1"/>
      <c r="I71" s="36"/>
      <c r="J71" s="36"/>
      <c r="K71" s="36"/>
      <c r="L71" s="36"/>
      <c r="M71" s="36"/>
      <c r="N71" s="36"/>
      <c r="O71" s="36"/>
      <c r="P71" s="36"/>
      <c r="Q71" s="36"/>
      <c r="R71" s="36"/>
      <c r="S71" s="36"/>
      <c r="T71" s="36"/>
      <c r="U71" s="36"/>
      <c r="V71" s="36"/>
      <c r="W71" s="36"/>
      <c r="X71" s="36"/>
      <c r="Y71" s="36"/>
      <c r="Z71" s="36"/>
    </row>
    <row r="72" ht="15.75" customHeight="1">
      <c r="A72" s="36"/>
      <c r="B72" s="36"/>
      <c r="C72" s="36"/>
      <c r="D72" s="36"/>
      <c r="E72" s="36"/>
      <c r="F72" s="36"/>
      <c r="G72" s="36"/>
      <c r="H72" s="1"/>
      <c r="I72" s="36"/>
      <c r="J72" s="36"/>
      <c r="K72" s="37"/>
      <c r="L72" s="37"/>
      <c r="M72" s="38"/>
      <c r="N72" s="39"/>
      <c r="O72" s="37"/>
      <c r="P72" s="37"/>
      <c r="Q72" s="37"/>
      <c r="R72" s="40"/>
      <c r="S72" s="36"/>
      <c r="T72" s="36"/>
      <c r="U72" s="36"/>
      <c r="V72" s="36"/>
      <c r="W72" s="36"/>
      <c r="X72" s="36"/>
      <c r="Y72" s="36"/>
      <c r="Z72" s="36"/>
    </row>
    <row r="73" ht="78.75" customHeight="1">
      <c r="A73" s="36"/>
      <c r="B73" s="36"/>
      <c r="C73" s="36"/>
      <c r="D73" s="36"/>
      <c r="E73" s="36"/>
      <c r="F73" s="36"/>
      <c r="G73" s="36"/>
      <c r="H73" s="1"/>
      <c r="I73" s="36"/>
      <c r="J73" s="36"/>
      <c r="K73" s="41" t="s">
        <v>42</v>
      </c>
      <c r="L73" s="42"/>
      <c r="M73" s="42"/>
      <c r="N73" s="42"/>
      <c r="O73" s="42"/>
      <c r="P73" s="42"/>
      <c r="Q73" s="43"/>
      <c r="R73" s="44"/>
      <c r="S73" s="36"/>
      <c r="T73" s="36"/>
      <c r="U73" s="36"/>
      <c r="V73" s="36"/>
      <c r="W73" s="36"/>
      <c r="X73" s="36"/>
      <c r="Y73" s="36"/>
      <c r="Z73" s="36"/>
    </row>
    <row r="74" ht="47.25" customHeight="1">
      <c r="A74" s="36"/>
      <c r="B74" s="36"/>
      <c r="C74" s="36"/>
      <c r="D74" s="36"/>
      <c r="E74" s="36"/>
      <c r="F74" s="36"/>
      <c r="G74" s="36"/>
      <c r="H74" s="1"/>
      <c r="I74" s="36"/>
      <c r="J74" s="36"/>
      <c r="K74" s="45" t="s">
        <v>43</v>
      </c>
      <c r="L74" s="46"/>
      <c r="M74" s="46"/>
      <c r="N74" s="46"/>
      <c r="O74" s="46"/>
      <c r="P74" s="46"/>
      <c r="Q74" s="47"/>
      <c r="R74" s="48"/>
      <c r="S74" s="36"/>
      <c r="T74" s="36"/>
      <c r="U74" s="36"/>
      <c r="V74" s="36"/>
      <c r="W74" s="36"/>
      <c r="X74" s="36"/>
      <c r="Y74" s="36"/>
      <c r="Z74" s="36"/>
    </row>
    <row r="75" ht="15.75" customHeight="1">
      <c r="A75" s="36"/>
      <c r="B75" s="36"/>
      <c r="C75" s="36"/>
      <c r="D75" s="36"/>
      <c r="E75" s="36"/>
      <c r="F75" s="36"/>
      <c r="G75" s="36"/>
      <c r="H75" s="1"/>
      <c r="I75" s="36"/>
      <c r="J75" s="36"/>
      <c r="K75" s="49"/>
      <c r="L75" s="50"/>
      <c r="M75" s="51"/>
      <c r="N75" s="49"/>
      <c r="O75" s="49"/>
      <c r="P75" s="49"/>
      <c r="Q75" s="49"/>
      <c r="R75" s="49"/>
      <c r="S75" s="36"/>
      <c r="T75" s="36"/>
      <c r="U75" s="36"/>
      <c r="V75" s="36"/>
      <c r="W75" s="36"/>
      <c r="X75" s="36"/>
      <c r="Y75" s="36"/>
      <c r="Z75" s="36"/>
    </row>
    <row r="76" ht="15.75" customHeight="1">
      <c r="A76" s="36"/>
      <c r="B76" s="36"/>
      <c r="C76" s="36"/>
      <c r="D76" s="36"/>
      <c r="E76" s="36"/>
      <c r="F76" s="36"/>
      <c r="G76" s="36"/>
      <c r="H76" s="1"/>
      <c r="I76" s="36"/>
      <c r="J76" s="36"/>
      <c r="K76" s="49" t="s">
        <v>44</v>
      </c>
      <c r="L76" s="52" t="s">
        <v>10</v>
      </c>
      <c r="M76" s="39"/>
      <c r="N76" s="49" t="s">
        <v>45</v>
      </c>
      <c r="O76" s="49" t="s">
        <v>46</v>
      </c>
      <c r="P76" s="49" t="s">
        <v>47</v>
      </c>
      <c r="Q76" s="49" t="s">
        <v>48</v>
      </c>
      <c r="R76" s="49" t="s">
        <v>49</v>
      </c>
      <c r="S76" s="36"/>
      <c r="T76" s="36"/>
      <c r="U76" s="36"/>
      <c r="V76" s="36"/>
      <c r="W76" s="36"/>
      <c r="X76" s="36"/>
      <c r="Y76" s="36"/>
      <c r="Z76" s="36"/>
    </row>
    <row r="77" ht="15.75" customHeight="1">
      <c r="A77" s="36"/>
      <c r="B77" s="36"/>
      <c r="C77" s="36"/>
      <c r="D77" s="36"/>
      <c r="E77" s="36"/>
      <c r="F77" s="36"/>
      <c r="G77" s="36"/>
      <c r="H77" s="1"/>
      <c r="I77" s="36"/>
      <c r="J77" s="36"/>
      <c r="K77" s="49" t="s">
        <v>50</v>
      </c>
      <c r="L77" s="52"/>
      <c r="M77" s="39"/>
      <c r="N77" s="49"/>
      <c r="O77" s="49"/>
      <c r="P77" s="49"/>
      <c r="Q77" s="49"/>
      <c r="R77" s="49"/>
      <c r="S77" s="36"/>
      <c r="T77" s="36"/>
      <c r="U77" s="36"/>
      <c r="V77" s="36"/>
      <c r="W77" s="36"/>
      <c r="X77" s="36"/>
      <c r="Y77" s="36"/>
      <c r="Z77" s="36"/>
    </row>
    <row r="78" ht="15.75" customHeight="1">
      <c r="A78" s="36"/>
      <c r="B78" s="36"/>
      <c r="C78" s="36"/>
      <c r="D78" s="36"/>
      <c r="E78" s="36"/>
      <c r="F78" s="36"/>
      <c r="G78" s="36"/>
      <c r="H78" s="1"/>
      <c r="I78" s="36"/>
      <c r="J78" s="36"/>
      <c r="K78" s="49" t="s">
        <v>51</v>
      </c>
      <c r="L78" s="52" t="s">
        <v>78</v>
      </c>
      <c r="M78" s="39"/>
      <c r="N78" s="49"/>
      <c r="O78" s="49"/>
      <c r="P78" s="49"/>
      <c r="Q78" s="49"/>
      <c r="R78" s="49" t="s">
        <v>79</v>
      </c>
      <c r="S78" s="36"/>
      <c r="T78" s="36"/>
      <c r="U78" s="36"/>
      <c r="V78" s="36"/>
      <c r="W78" s="36"/>
      <c r="X78" s="36"/>
      <c r="Y78" s="36"/>
      <c r="Z78" s="36"/>
    </row>
    <row r="79" ht="15.75" customHeight="1">
      <c r="A79" s="36"/>
      <c r="B79" s="36"/>
      <c r="C79" s="36"/>
      <c r="D79" s="36"/>
      <c r="E79" s="36"/>
      <c r="F79" s="36"/>
      <c r="G79" s="36"/>
      <c r="H79" s="1"/>
      <c r="I79" s="36"/>
      <c r="J79" s="36"/>
      <c r="K79" s="49" t="s">
        <v>54</v>
      </c>
      <c r="L79" s="52"/>
      <c r="M79" s="39"/>
      <c r="N79" s="49"/>
      <c r="O79" s="49"/>
      <c r="P79" s="49"/>
      <c r="Q79" s="49"/>
      <c r="R79" s="49"/>
      <c r="S79" s="36"/>
      <c r="T79" s="36"/>
      <c r="U79" s="36"/>
      <c r="V79" s="36"/>
      <c r="W79" s="36"/>
      <c r="X79" s="36"/>
      <c r="Y79" s="36"/>
      <c r="Z79" s="36"/>
    </row>
    <row r="80" ht="15.75" customHeight="1">
      <c r="A80" s="36"/>
      <c r="B80" s="36"/>
      <c r="C80" s="36"/>
      <c r="D80" s="36"/>
      <c r="E80" s="36"/>
      <c r="F80" s="36"/>
      <c r="G80" s="36"/>
      <c r="H80" s="1"/>
      <c r="I80" s="36"/>
      <c r="J80" s="36"/>
      <c r="K80" s="49" t="s">
        <v>55</v>
      </c>
      <c r="L80" s="53"/>
      <c r="M80" s="54"/>
      <c r="N80" s="49"/>
      <c r="O80" s="49"/>
      <c r="P80" s="49"/>
      <c r="Q80" s="49"/>
      <c r="R80" s="49"/>
      <c r="S80" s="36"/>
      <c r="T80" s="36"/>
      <c r="U80" s="36"/>
      <c r="V80" s="36"/>
      <c r="W80" s="36"/>
      <c r="X80" s="36"/>
      <c r="Y80" s="36"/>
      <c r="Z80" s="36"/>
    </row>
    <row r="81" ht="15.75" customHeight="1">
      <c r="A81" s="36"/>
      <c r="B81" s="36"/>
      <c r="C81" s="36"/>
      <c r="D81" s="36"/>
      <c r="E81" s="36"/>
      <c r="F81" s="36"/>
      <c r="G81" s="36"/>
      <c r="H81" s="1"/>
      <c r="I81" s="36"/>
      <c r="J81" s="36"/>
      <c r="K81" s="49" t="s">
        <v>56</v>
      </c>
      <c r="L81" s="50"/>
      <c r="M81" s="51"/>
      <c r="N81" s="49"/>
      <c r="O81" s="49"/>
      <c r="P81" s="49"/>
      <c r="Q81" s="49"/>
      <c r="R81" s="49"/>
      <c r="S81" s="36"/>
      <c r="T81" s="36"/>
      <c r="U81" s="36"/>
      <c r="V81" s="36"/>
      <c r="W81" s="36"/>
      <c r="X81" s="36"/>
      <c r="Y81" s="36"/>
      <c r="Z81" s="36"/>
    </row>
    <row r="82" ht="15.75" customHeight="1">
      <c r="A82" s="36"/>
      <c r="B82" s="36"/>
      <c r="C82" s="36"/>
      <c r="D82" s="36"/>
      <c r="E82" s="36"/>
      <c r="F82" s="36"/>
      <c r="G82" s="36"/>
      <c r="H82" s="1"/>
      <c r="I82" s="36"/>
      <c r="J82" s="36"/>
      <c r="K82" s="49" t="s">
        <v>57</v>
      </c>
      <c r="L82" s="52"/>
      <c r="M82" s="39"/>
      <c r="N82" s="37"/>
      <c r="O82" s="55"/>
      <c r="P82" s="55"/>
      <c r="Q82" s="55"/>
      <c r="R82" s="56"/>
      <c r="S82" s="36"/>
      <c r="T82" s="36"/>
      <c r="U82" s="36"/>
      <c r="V82" s="36"/>
      <c r="W82" s="36"/>
      <c r="X82" s="36"/>
      <c r="Y82" s="36"/>
      <c r="Z82" s="36"/>
    </row>
    <row r="83" ht="15.75" customHeight="1">
      <c r="A83" s="36"/>
      <c r="B83" s="36"/>
      <c r="C83" s="36"/>
      <c r="D83" s="36"/>
      <c r="E83" s="36"/>
      <c r="F83" s="36"/>
      <c r="G83" s="36"/>
      <c r="H83" s="1"/>
      <c r="I83" s="36"/>
      <c r="J83" s="36"/>
      <c r="K83" s="57"/>
      <c r="L83" s="58"/>
      <c r="M83" s="58"/>
      <c r="N83" s="58"/>
      <c r="O83" s="58"/>
      <c r="P83" s="58"/>
      <c r="Q83" s="58"/>
      <c r="R83" s="59"/>
      <c r="S83" s="36"/>
      <c r="T83" s="36"/>
      <c r="U83" s="36"/>
      <c r="V83" s="36"/>
      <c r="W83" s="36"/>
      <c r="X83" s="36"/>
      <c r="Y83" s="36"/>
      <c r="Z83" s="36"/>
    </row>
    <row r="84" ht="15.75" customHeight="1">
      <c r="A84" s="36"/>
      <c r="B84" s="36"/>
      <c r="C84" s="36"/>
      <c r="D84" s="36"/>
      <c r="E84" s="36"/>
      <c r="F84" s="36"/>
      <c r="G84" s="36"/>
      <c r="H84" s="1"/>
      <c r="I84" s="36"/>
      <c r="J84" s="36"/>
      <c r="K84" s="60"/>
      <c r="L84" s="36"/>
      <c r="M84" s="36"/>
      <c r="N84" s="36"/>
      <c r="O84" s="36"/>
      <c r="P84" s="36"/>
      <c r="Q84" s="36"/>
      <c r="R84" s="36"/>
      <c r="S84" s="36"/>
      <c r="T84" s="36"/>
      <c r="U84" s="36"/>
      <c r="V84" s="36"/>
      <c r="W84" s="36"/>
      <c r="X84" s="36"/>
      <c r="Y84" s="36"/>
      <c r="Z84" s="36"/>
    </row>
    <row r="85" ht="17.25" customHeight="1">
      <c r="A85" s="36"/>
      <c r="B85" s="36"/>
      <c r="C85" s="36"/>
      <c r="D85" s="36"/>
      <c r="E85" s="36"/>
      <c r="F85" s="36"/>
      <c r="G85" s="36"/>
      <c r="H85" s="1"/>
      <c r="I85" s="36"/>
      <c r="J85" s="36"/>
      <c r="K85" s="41" t="s">
        <v>58</v>
      </c>
      <c r="L85" s="42"/>
      <c r="M85" s="42"/>
      <c r="N85" s="42"/>
      <c r="O85" s="42"/>
      <c r="P85" s="42"/>
      <c r="Q85" s="43"/>
      <c r="R85" s="61"/>
      <c r="S85" s="36"/>
      <c r="T85" s="36"/>
      <c r="U85" s="36"/>
      <c r="V85" s="36"/>
      <c r="W85" s="36"/>
      <c r="X85" s="36"/>
      <c r="Y85" s="36"/>
      <c r="Z85" s="36"/>
    </row>
    <row r="86" ht="15.75" customHeight="1">
      <c r="A86" s="36"/>
      <c r="B86" s="36"/>
      <c r="C86" s="36"/>
      <c r="D86" s="36"/>
      <c r="E86" s="36"/>
      <c r="F86" s="36"/>
      <c r="G86" s="36"/>
      <c r="H86" s="1"/>
      <c r="I86" s="36"/>
      <c r="J86" s="36"/>
      <c r="K86" s="62"/>
      <c r="Q86" s="63"/>
      <c r="R86" s="64"/>
      <c r="S86" s="36"/>
      <c r="T86" s="36"/>
      <c r="U86" s="36"/>
      <c r="V86" s="36"/>
      <c r="W86" s="36"/>
      <c r="X86" s="36"/>
      <c r="Y86" s="36"/>
      <c r="Z86" s="36"/>
    </row>
    <row r="87" ht="15.75" customHeight="1">
      <c r="A87" s="36"/>
      <c r="B87" s="36"/>
      <c r="C87" s="36"/>
      <c r="D87" s="36"/>
      <c r="E87" s="36"/>
      <c r="F87" s="36"/>
      <c r="G87" s="36"/>
      <c r="H87" s="1"/>
      <c r="I87" s="36"/>
      <c r="J87" s="36"/>
      <c r="K87" s="62"/>
      <c r="Q87" s="63"/>
      <c r="R87" s="64"/>
      <c r="S87" s="36"/>
      <c r="T87" s="36"/>
      <c r="U87" s="36"/>
      <c r="V87" s="36"/>
      <c r="W87" s="36"/>
      <c r="X87" s="36"/>
      <c r="Y87" s="36"/>
      <c r="Z87" s="36"/>
    </row>
    <row r="88" ht="15.75" customHeight="1">
      <c r="A88" s="36"/>
      <c r="B88" s="36"/>
      <c r="C88" s="36"/>
      <c r="D88" s="36"/>
      <c r="E88" s="36"/>
      <c r="F88" s="36"/>
      <c r="G88" s="36"/>
      <c r="H88" s="1"/>
      <c r="I88" s="36"/>
      <c r="J88" s="36"/>
      <c r="K88" s="65"/>
      <c r="L88" s="46"/>
      <c r="M88" s="46"/>
      <c r="N88" s="46"/>
      <c r="O88" s="46"/>
      <c r="P88" s="46"/>
      <c r="Q88" s="47"/>
      <c r="R88" s="64"/>
      <c r="S88" s="36"/>
      <c r="T88" s="36"/>
      <c r="U88" s="36"/>
      <c r="V88" s="36"/>
      <c r="W88" s="36"/>
      <c r="X88" s="36"/>
      <c r="Y88" s="36"/>
      <c r="Z88" s="36"/>
    </row>
    <row r="89" ht="15.75" customHeight="1">
      <c r="A89" s="36"/>
      <c r="B89" s="36"/>
      <c r="C89" s="36"/>
      <c r="D89" s="36"/>
      <c r="E89" s="36"/>
      <c r="F89" s="36"/>
      <c r="G89" s="36"/>
      <c r="H89" s="1"/>
      <c r="I89" s="36"/>
      <c r="J89" s="36"/>
      <c r="K89" s="66" t="s">
        <v>44</v>
      </c>
      <c r="L89" s="67" t="s">
        <v>10</v>
      </c>
      <c r="M89" s="67" t="s">
        <v>45</v>
      </c>
      <c r="N89" s="67" t="s">
        <v>46</v>
      </c>
      <c r="O89" s="67" t="s">
        <v>47</v>
      </c>
      <c r="P89" s="67" t="s">
        <v>48</v>
      </c>
      <c r="Q89" s="67" t="s">
        <v>23</v>
      </c>
      <c r="R89" s="64"/>
      <c r="S89" s="36"/>
      <c r="T89" s="36"/>
      <c r="U89" s="36"/>
      <c r="V89" s="36"/>
      <c r="W89" s="36"/>
      <c r="X89" s="36"/>
      <c r="Y89" s="36"/>
      <c r="Z89" s="36"/>
    </row>
    <row r="90" ht="15.75" customHeight="1">
      <c r="A90" s="36"/>
      <c r="B90" s="36"/>
      <c r="C90" s="36"/>
      <c r="D90" s="36"/>
      <c r="E90" s="36"/>
      <c r="F90" s="36"/>
      <c r="G90" s="36"/>
      <c r="H90" s="1"/>
      <c r="I90" s="36"/>
      <c r="J90" s="36"/>
      <c r="K90" s="66" t="s">
        <v>59</v>
      </c>
      <c r="L90" s="55"/>
      <c r="M90" s="67"/>
      <c r="N90" s="67"/>
      <c r="O90" s="67"/>
      <c r="P90" s="67"/>
      <c r="Q90" s="55"/>
      <c r="R90" s="64"/>
      <c r="S90" s="36"/>
      <c r="T90" s="36"/>
      <c r="U90" s="36"/>
      <c r="V90" s="36"/>
      <c r="W90" s="36"/>
      <c r="X90" s="36"/>
      <c r="Y90" s="36"/>
      <c r="Z90" s="36"/>
    </row>
    <row r="91" ht="15.75" customHeight="1">
      <c r="A91" s="36"/>
      <c r="B91" s="36"/>
      <c r="C91" s="36"/>
      <c r="D91" s="36"/>
      <c r="E91" s="36"/>
      <c r="F91" s="36"/>
      <c r="G91" s="36"/>
      <c r="H91" s="1"/>
      <c r="I91" s="36"/>
      <c r="J91" s="36"/>
      <c r="K91" s="66" t="s">
        <v>60</v>
      </c>
      <c r="L91" s="67"/>
      <c r="M91" s="67"/>
      <c r="N91" s="67"/>
      <c r="O91" s="67"/>
      <c r="P91" s="67"/>
      <c r="Q91" s="67"/>
      <c r="R91" s="64"/>
      <c r="S91" s="36"/>
      <c r="T91" s="36"/>
      <c r="U91" s="36"/>
      <c r="V91" s="36"/>
      <c r="W91" s="36"/>
      <c r="X91" s="36"/>
      <c r="Y91" s="36"/>
      <c r="Z91" s="36"/>
    </row>
    <row r="92" ht="15.75" customHeight="1">
      <c r="A92" s="36"/>
      <c r="B92" s="36"/>
      <c r="C92" s="36"/>
      <c r="D92" s="36"/>
      <c r="E92" s="36"/>
      <c r="F92" s="36"/>
      <c r="G92" s="36"/>
      <c r="H92" s="1"/>
      <c r="I92" s="36"/>
      <c r="J92" s="36"/>
      <c r="K92" s="66" t="s">
        <v>61</v>
      </c>
      <c r="L92" s="67" t="s">
        <v>80</v>
      </c>
      <c r="M92" s="67"/>
      <c r="N92" s="67"/>
      <c r="O92" s="67"/>
      <c r="P92" s="67"/>
      <c r="Q92" s="55"/>
      <c r="R92" s="64"/>
      <c r="S92" s="36"/>
      <c r="T92" s="36"/>
      <c r="U92" s="36"/>
      <c r="V92" s="36"/>
      <c r="W92" s="36"/>
      <c r="X92" s="36"/>
      <c r="Y92" s="36"/>
      <c r="Z92" s="36"/>
    </row>
    <row r="93" ht="15.75" customHeight="1">
      <c r="A93" s="36"/>
      <c r="B93" s="36"/>
      <c r="C93" s="36"/>
      <c r="D93" s="36"/>
      <c r="E93" s="36"/>
      <c r="F93" s="36"/>
      <c r="G93" s="36"/>
      <c r="H93" s="1"/>
      <c r="I93" s="36"/>
      <c r="J93" s="36"/>
      <c r="K93" s="66" t="s">
        <v>63</v>
      </c>
      <c r="L93" s="67"/>
      <c r="M93" s="67"/>
      <c r="N93" s="67"/>
      <c r="O93" s="67"/>
      <c r="P93" s="67"/>
      <c r="Q93" s="67" t="s">
        <v>81</v>
      </c>
      <c r="R93" s="64"/>
      <c r="S93" s="36"/>
      <c r="T93" s="36"/>
      <c r="U93" s="36"/>
      <c r="V93" s="36"/>
      <c r="W93" s="36"/>
      <c r="X93" s="36"/>
      <c r="Y93" s="36"/>
      <c r="Z93" s="36"/>
    </row>
    <row r="94" ht="15.75" customHeight="1">
      <c r="A94" s="36"/>
      <c r="B94" s="36"/>
      <c r="C94" s="36"/>
      <c r="D94" s="36"/>
      <c r="E94" s="36"/>
      <c r="F94" s="36"/>
      <c r="G94" s="36"/>
      <c r="H94" s="1"/>
      <c r="I94" s="36"/>
      <c r="J94" s="36"/>
      <c r="K94" s="66" t="s">
        <v>65</v>
      </c>
      <c r="L94" s="67"/>
      <c r="M94" s="67"/>
      <c r="N94" s="67"/>
      <c r="O94" s="67"/>
      <c r="P94" s="67"/>
      <c r="Q94" s="67"/>
      <c r="R94" s="64"/>
      <c r="S94" s="36"/>
      <c r="T94" s="36"/>
      <c r="U94" s="36"/>
      <c r="V94" s="36"/>
      <c r="W94" s="36"/>
      <c r="X94" s="36"/>
      <c r="Y94" s="36"/>
      <c r="Z94" s="36"/>
    </row>
    <row r="95" ht="15.75" customHeight="1">
      <c r="A95" s="36"/>
      <c r="B95" s="36"/>
      <c r="C95" s="36"/>
      <c r="D95" s="36"/>
      <c r="E95" s="36"/>
      <c r="F95" s="36"/>
      <c r="G95" s="36"/>
      <c r="H95" s="1"/>
      <c r="I95" s="36"/>
      <c r="J95" s="36"/>
      <c r="K95" s="66" t="s">
        <v>66</v>
      </c>
      <c r="L95" s="67"/>
      <c r="M95" s="67"/>
      <c r="N95" s="67"/>
      <c r="O95" s="67"/>
      <c r="P95" s="67"/>
      <c r="Q95" s="67"/>
      <c r="R95" s="64"/>
      <c r="S95" s="36"/>
      <c r="T95" s="36"/>
      <c r="U95" s="36"/>
      <c r="V95" s="36"/>
      <c r="W95" s="36"/>
      <c r="X95" s="36"/>
      <c r="Y95" s="36"/>
      <c r="Z95" s="36"/>
    </row>
    <row r="96" ht="15.75" customHeight="1">
      <c r="A96" s="36"/>
      <c r="B96" s="36"/>
      <c r="C96" s="36"/>
      <c r="D96" s="36"/>
      <c r="E96" s="36"/>
      <c r="F96" s="36"/>
      <c r="G96" s="36"/>
      <c r="H96" s="1"/>
      <c r="I96" s="36"/>
      <c r="J96" s="36"/>
      <c r="K96" s="68" t="s">
        <v>67</v>
      </c>
      <c r="L96" s="69"/>
      <c r="M96" s="69"/>
      <c r="N96" s="69"/>
      <c r="O96" s="69"/>
      <c r="P96" s="69"/>
      <c r="Q96" s="69"/>
      <c r="R96" s="59"/>
      <c r="S96" s="36"/>
      <c r="T96" s="36"/>
      <c r="U96" s="36"/>
      <c r="V96" s="36"/>
      <c r="W96" s="36"/>
      <c r="X96" s="36"/>
      <c r="Y96" s="36"/>
      <c r="Z96" s="36"/>
    </row>
    <row r="97" ht="15.75" customHeight="1">
      <c r="A97" s="36"/>
      <c r="B97" s="36"/>
      <c r="C97" s="36"/>
      <c r="D97" s="36"/>
      <c r="E97" s="36"/>
      <c r="F97" s="36"/>
      <c r="G97" s="36"/>
      <c r="H97" s="1"/>
      <c r="I97" s="36"/>
      <c r="J97" s="36"/>
      <c r="K97" s="60"/>
      <c r="L97" s="36"/>
      <c r="M97" s="36"/>
      <c r="N97" s="36"/>
      <c r="O97" s="36"/>
      <c r="P97" s="36"/>
      <c r="Q97" s="36"/>
      <c r="R97" s="36"/>
      <c r="S97" s="36"/>
      <c r="T97" s="36"/>
      <c r="U97" s="36"/>
      <c r="V97" s="36"/>
      <c r="W97" s="36"/>
      <c r="X97" s="36"/>
      <c r="Y97" s="36"/>
      <c r="Z97" s="36"/>
    </row>
    <row r="98" ht="15.75" customHeight="1">
      <c r="A98" s="36"/>
      <c r="B98" s="36"/>
      <c r="C98" s="36"/>
      <c r="D98" s="36"/>
      <c r="E98" s="36"/>
      <c r="F98" s="36"/>
      <c r="G98" s="36"/>
      <c r="H98" s="1"/>
      <c r="I98" s="36"/>
      <c r="J98" s="36"/>
      <c r="K98" s="36"/>
      <c r="L98" s="36"/>
      <c r="M98" s="36"/>
      <c r="N98" s="36"/>
      <c r="O98" s="36"/>
      <c r="P98" s="36"/>
      <c r="Q98" s="36"/>
      <c r="R98" s="36"/>
      <c r="S98" s="36"/>
      <c r="T98" s="36"/>
      <c r="U98" s="36"/>
      <c r="V98" s="36"/>
      <c r="W98" s="36"/>
      <c r="X98" s="36"/>
      <c r="Y98" s="36"/>
      <c r="Z98" s="36"/>
    </row>
    <row r="99" ht="15.75" customHeight="1">
      <c r="A99" s="36"/>
      <c r="B99" s="36"/>
      <c r="C99" s="36"/>
      <c r="D99" s="36"/>
      <c r="E99" s="36"/>
      <c r="F99" s="36"/>
      <c r="G99" s="36"/>
      <c r="H99" s="1"/>
      <c r="I99" s="36"/>
      <c r="J99" s="36"/>
      <c r="K99" s="36"/>
      <c r="L99" s="36"/>
      <c r="M99" s="36"/>
      <c r="N99" s="36"/>
      <c r="O99" s="36"/>
      <c r="P99" s="36"/>
      <c r="Q99" s="36"/>
      <c r="R99" s="36"/>
      <c r="S99" s="36"/>
      <c r="T99" s="36"/>
      <c r="U99" s="36"/>
      <c r="V99" s="36"/>
      <c r="W99" s="36"/>
      <c r="X99" s="36"/>
      <c r="Y99" s="36"/>
      <c r="Z99" s="36"/>
    </row>
    <row r="100" ht="15.75" customHeight="1">
      <c r="A100" s="36"/>
      <c r="B100" s="36"/>
      <c r="C100" s="36"/>
      <c r="D100" s="36"/>
      <c r="E100" s="36"/>
      <c r="F100" s="36"/>
      <c r="G100" s="36"/>
      <c r="H100" s="1"/>
      <c r="I100" s="36"/>
      <c r="J100" s="36"/>
      <c r="K100" s="36"/>
      <c r="L100" s="36"/>
      <c r="M100" s="36"/>
      <c r="N100" s="36"/>
      <c r="O100" s="36"/>
      <c r="P100" s="36"/>
      <c r="Q100" s="36"/>
      <c r="R100" s="36"/>
      <c r="S100" s="36"/>
      <c r="T100" s="36"/>
      <c r="U100" s="36"/>
      <c r="V100" s="36"/>
      <c r="W100" s="36"/>
      <c r="X100" s="36"/>
      <c r="Y100" s="36"/>
      <c r="Z100" s="36"/>
    </row>
    <row r="101" ht="15.75" customHeight="1">
      <c r="A101" s="36"/>
      <c r="B101" s="36"/>
      <c r="C101" s="36"/>
      <c r="D101" s="36"/>
      <c r="E101" s="36"/>
      <c r="F101" s="36"/>
      <c r="G101" s="36"/>
      <c r="H101" s="1"/>
      <c r="I101" s="36"/>
      <c r="J101" s="36"/>
      <c r="K101" s="36"/>
      <c r="L101" s="36"/>
      <c r="M101" s="36"/>
      <c r="N101" s="36"/>
      <c r="O101" s="36"/>
      <c r="P101" s="36"/>
      <c r="Q101" s="36"/>
      <c r="R101" s="36"/>
      <c r="S101" s="36"/>
      <c r="T101" s="36"/>
      <c r="U101" s="36"/>
      <c r="V101" s="36"/>
      <c r="W101" s="36"/>
      <c r="X101" s="36"/>
      <c r="Y101" s="36"/>
      <c r="Z101" s="36"/>
    </row>
    <row r="102" ht="15.75" customHeight="1">
      <c r="A102" s="36"/>
      <c r="B102" s="36"/>
      <c r="C102" s="36"/>
      <c r="D102" s="36"/>
      <c r="E102" s="36"/>
      <c r="F102" s="36"/>
      <c r="G102" s="36"/>
      <c r="H102" s="1"/>
      <c r="I102" s="36"/>
      <c r="J102" s="36"/>
      <c r="K102" s="36"/>
      <c r="L102" s="36"/>
      <c r="M102" s="36"/>
      <c r="N102" s="36"/>
      <c r="O102" s="36"/>
      <c r="P102" s="36"/>
      <c r="Q102" s="36"/>
      <c r="R102" s="36"/>
      <c r="S102" s="36"/>
      <c r="T102" s="36"/>
      <c r="U102" s="36"/>
      <c r="V102" s="36"/>
      <c r="W102" s="36"/>
      <c r="X102" s="36"/>
      <c r="Y102" s="36"/>
      <c r="Z102" s="36"/>
    </row>
    <row r="103" ht="15.75" customHeight="1">
      <c r="A103" s="36"/>
      <c r="B103" s="36"/>
      <c r="C103" s="36"/>
      <c r="D103" s="36"/>
      <c r="E103" s="36"/>
      <c r="F103" s="36"/>
      <c r="G103" s="36"/>
      <c r="H103" s="1"/>
      <c r="I103" s="36"/>
      <c r="J103" s="36"/>
      <c r="K103" s="36"/>
      <c r="L103" s="36"/>
      <c r="M103" s="36"/>
      <c r="N103" s="36"/>
      <c r="O103" s="36"/>
      <c r="P103" s="36"/>
      <c r="Q103" s="36"/>
      <c r="R103" s="36"/>
      <c r="S103" s="36"/>
      <c r="T103" s="36"/>
      <c r="U103" s="36"/>
      <c r="V103" s="36"/>
      <c r="W103" s="36"/>
      <c r="X103" s="36"/>
      <c r="Y103" s="36"/>
      <c r="Z103" s="36"/>
    </row>
    <row r="104" ht="15.75" customHeight="1">
      <c r="A104" s="36"/>
      <c r="B104" s="36"/>
      <c r="C104" s="36"/>
      <c r="D104" s="36"/>
      <c r="E104" s="36"/>
      <c r="F104" s="36"/>
      <c r="G104" s="36"/>
      <c r="H104" s="1"/>
      <c r="I104" s="36"/>
      <c r="J104" s="36"/>
      <c r="K104" s="36"/>
      <c r="L104" s="36"/>
      <c r="M104" s="36"/>
      <c r="N104" s="36"/>
      <c r="O104" s="36"/>
      <c r="P104" s="36"/>
      <c r="Q104" s="36"/>
      <c r="R104" s="36"/>
      <c r="S104" s="36"/>
      <c r="T104" s="36"/>
      <c r="U104" s="36"/>
      <c r="V104" s="36"/>
      <c r="W104" s="36"/>
      <c r="X104" s="36"/>
      <c r="Y104" s="36"/>
      <c r="Z104" s="36"/>
    </row>
    <row r="105" ht="15.75" customHeight="1">
      <c r="A105" s="36"/>
      <c r="B105" s="36"/>
      <c r="C105" s="36"/>
      <c r="D105" s="36"/>
      <c r="E105" s="36"/>
      <c r="F105" s="36"/>
      <c r="G105" s="36"/>
      <c r="H105" s="1"/>
      <c r="I105" s="36"/>
      <c r="J105" s="36"/>
      <c r="K105" s="36"/>
      <c r="L105" s="36"/>
      <c r="M105" s="36"/>
      <c r="N105" s="36"/>
      <c r="O105" s="36"/>
      <c r="P105" s="36"/>
      <c r="Q105" s="36"/>
      <c r="R105" s="36"/>
      <c r="S105" s="36"/>
      <c r="T105" s="36"/>
      <c r="U105" s="36"/>
      <c r="V105" s="36"/>
      <c r="W105" s="36"/>
      <c r="X105" s="36"/>
      <c r="Y105" s="36"/>
      <c r="Z105" s="36"/>
    </row>
    <row r="106" ht="15.75" customHeight="1">
      <c r="A106" s="36"/>
      <c r="B106" s="36"/>
      <c r="C106" s="36"/>
      <c r="D106" s="36"/>
      <c r="E106" s="36"/>
      <c r="F106" s="36"/>
      <c r="G106" s="36"/>
      <c r="H106" s="1"/>
      <c r="I106" s="36"/>
      <c r="J106" s="36"/>
      <c r="K106" s="36"/>
      <c r="L106" s="36"/>
      <c r="M106" s="36"/>
      <c r="N106" s="36"/>
      <c r="O106" s="36"/>
      <c r="P106" s="36"/>
      <c r="Q106" s="36"/>
      <c r="R106" s="36"/>
      <c r="S106" s="36"/>
      <c r="T106" s="36"/>
      <c r="U106" s="36"/>
      <c r="V106" s="36"/>
      <c r="W106" s="36"/>
      <c r="X106" s="36"/>
      <c r="Y106" s="36"/>
      <c r="Z106" s="36"/>
    </row>
    <row r="107" ht="15.75" customHeight="1">
      <c r="A107" s="36"/>
      <c r="B107" s="36"/>
      <c r="C107" s="36"/>
      <c r="D107" s="36"/>
      <c r="E107" s="36"/>
      <c r="F107" s="36"/>
      <c r="G107" s="36"/>
      <c r="H107" s="1"/>
      <c r="I107" s="36"/>
      <c r="J107" s="36"/>
      <c r="K107" s="36"/>
      <c r="L107" s="36"/>
      <c r="M107" s="36"/>
      <c r="N107" s="36"/>
      <c r="O107" s="36"/>
      <c r="P107" s="36"/>
      <c r="Q107" s="36"/>
      <c r="R107" s="36"/>
      <c r="S107" s="36"/>
      <c r="T107" s="36"/>
      <c r="U107" s="36"/>
      <c r="V107" s="36"/>
      <c r="W107" s="36"/>
      <c r="X107" s="36"/>
      <c r="Y107" s="36"/>
      <c r="Z107" s="36"/>
    </row>
    <row r="108" ht="15.75" customHeight="1">
      <c r="A108" s="36"/>
      <c r="B108" s="36"/>
      <c r="C108" s="36"/>
      <c r="D108" s="36"/>
      <c r="E108" s="36"/>
      <c r="F108" s="36"/>
      <c r="G108" s="36"/>
      <c r="H108" s="1"/>
      <c r="I108" s="36"/>
      <c r="J108" s="36"/>
      <c r="K108" s="36"/>
      <c r="L108" s="36"/>
      <c r="M108" s="36"/>
      <c r="N108" s="36"/>
      <c r="O108" s="36"/>
      <c r="P108" s="36"/>
      <c r="Q108" s="36"/>
      <c r="R108" s="36"/>
      <c r="S108" s="36"/>
      <c r="T108" s="36"/>
      <c r="U108" s="36"/>
      <c r="V108" s="36"/>
      <c r="W108" s="36"/>
      <c r="X108" s="36"/>
      <c r="Y108" s="36"/>
      <c r="Z108" s="36"/>
    </row>
    <row r="109" ht="15.75" customHeight="1">
      <c r="A109" s="36"/>
      <c r="B109" s="36"/>
      <c r="C109" s="36"/>
      <c r="D109" s="36"/>
      <c r="E109" s="36"/>
      <c r="F109" s="36"/>
      <c r="G109" s="36"/>
      <c r="H109" s="1"/>
      <c r="I109" s="36"/>
      <c r="J109" s="36"/>
      <c r="K109" s="36"/>
      <c r="L109" s="36"/>
      <c r="M109" s="36"/>
      <c r="N109" s="36"/>
      <c r="O109" s="36"/>
      <c r="P109" s="36"/>
      <c r="Q109" s="36"/>
      <c r="R109" s="36"/>
      <c r="S109" s="36"/>
      <c r="T109" s="36"/>
      <c r="U109" s="36"/>
      <c r="V109" s="36"/>
      <c r="W109" s="36"/>
      <c r="X109" s="36"/>
      <c r="Y109" s="36"/>
      <c r="Z109" s="36"/>
    </row>
    <row r="110" ht="15.75" customHeight="1">
      <c r="A110" s="36"/>
      <c r="B110" s="36"/>
      <c r="C110" s="36"/>
      <c r="D110" s="36"/>
      <c r="E110" s="36"/>
      <c r="F110" s="36"/>
      <c r="G110" s="36"/>
      <c r="H110" s="1"/>
      <c r="I110" s="36"/>
      <c r="J110" s="36"/>
      <c r="K110" s="36"/>
      <c r="L110" s="36"/>
      <c r="M110" s="36"/>
      <c r="N110" s="36"/>
      <c r="O110" s="36"/>
      <c r="P110" s="36"/>
      <c r="Q110" s="36"/>
      <c r="R110" s="36"/>
      <c r="S110" s="36"/>
      <c r="T110" s="36"/>
      <c r="U110" s="36"/>
      <c r="V110" s="36"/>
      <c r="W110" s="36"/>
      <c r="X110" s="36"/>
      <c r="Y110" s="36"/>
      <c r="Z110" s="36"/>
    </row>
    <row r="111" ht="15.75" customHeight="1">
      <c r="A111" s="36"/>
      <c r="B111" s="36"/>
      <c r="C111" s="36"/>
      <c r="D111" s="36"/>
      <c r="E111" s="36"/>
      <c r="F111" s="36"/>
      <c r="G111" s="36"/>
      <c r="H111" s="1"/>
      <c r="I111" s="36"/>
      <c r="J111" s="36"/>
      <c r="K111" s="36"/>
      <c r="L111" s="36"/>
      <c r="M111" s="36"/>
      <c r="N111" s="36"/>
      <c r="O111" s="36"/>
      <c r="P111" s="36"/>
      <c r="Q111" s="36"/>
      <c r="R111" s="36"/>
      <c r="S111" s="36"/>
      <c r="T111" s="36"/>
      <c r="U111" s="36"/>
      <c r="V111" s="36"/>
      <c r="W111" s="36"/>
      <c r="X111" s="36"/>
      <c r="Y111" s="36"/>
      <c r="Z111" s="36"/>
    </row>
    <row r="112" ht="15.75" customHeight="1">
      <c r="A112" s="36"/>
      <c r="B112" s="36"/>
      <c r="C112" s="36"/>
      <c r="D112" s="36"/>
      <c r="E112" s="36"/>
      <c r="F112" s="36"/>
      <c r="G112" s="36"/>
      <c r="H112" s="1"/>
      <c r="I112" s="36"/>
      <c r="J112" s="36"/>
      <c r="K112" s="36"/>
      <c r="L112" s="36"/>
      <c r="M112" s="36"/>
      <c r="N112" s="36"/>
      <c r="O112" s="36"/>
      <c r="P112" s="36"/>
      <c r="Q112" s="36"/>
      <c r="R112" s="36"/>
      <c r="S112" s="36"/>
      <c r="T112" s="36"/>
      <c r="U112" s="36"/>
      <c r="V112" s="36"/>
      <c r="W112" s="36"/>
      <c r="X112" s="36"/>
      <c r="Y112" s="36"/>
      <c r="Z112" s="36"/>
    </row>
    <row r="113" ht="15.75" customHeight="1">
      <c r="A113" s="36"/>
      <c r="B113" s="36"/>
      <c r="C113" s="36"/>
      <c r="D113" s="36"/>
      <c r="E113" s="36"/>
      <c r="F113" s="36"/>
      <c r="G113" s="36"/>
      <c r="H113" s="1"/>
      <c r="I113" s="36"/>
      <c r="J113" s="36"/>
      <c r="K113" s="36"/>
      <c r="L113" s="36"/>
      <c r="M113" s="36"/>
      <c r="N113" s="36"/>
      <c r="O113" s="36"/>
      <c r="P113" s="36"/>
      <c r="Q113" s="36"/>
      <c r="R113" s="36"/>
      <c r="S113" s="36"/>
      <c r="T113" s="36"/>
      <c r="U113" s="36"/>
      <c r="V113" s="36"/>
      <c r="W113" s="36"/>
      <c r="X113" s="36"/>
      <c r="Y113" s="36"/>
      <c r="Z113" s="36"/>
    </row>
    <row r="114" ht="15.75" customHeight="1">
      <c r="A114" s="36"/>
      <c r="B114" s="36"/>
      <c r="C114" s="36"/>
      <c r="D114" s="36"/>
      <c r="E114" s="36"/>
      <c r="F114" s="36"/>
      <c r="G114" s="36"/>
      <c r="H114" s="1"/>
      <c r="I114" s="36"/>
      <c r="J114" s="36"/>
      <c r="K114" s="36"/>
      <c r="L114" s="36"/>
      <c r="M114" s="36"/>
      <c r="N114" s="36"/>
      <c r="O114" s="36"/>
      <c r="P114" s="36"/>
      <c r="Q114" s="36"/>
      <c r="R114" s="36"/>
      <c r="S114" s="36"/>
      <c r="T114" s="36"/>
      <c r="U114" s="36"/>
      <c r="V114" s="36"/>
      <c r="W114" s="36"/>
      <c r="X114" s="36"/>
      <c r="Y114" s="36"/>
      <c r="Z114" s="36"/>
    </row>
    <row r="115" ht="15.75" customHeight="1">
      <c r="A115" s="36"/>
      <c r="B115" s="36"/>
      <c r="C115" s="36"/>
      <c r="D115" s="36"/>
      <c r="E115" s="36"/>
      <c r="F115" s="36"/>
      <c r="G115" s="36"/>
      <c r="H115" s="1"/>
      <c r="I115" s="36"/>
      <c r="J115" s="36"/>
      <c r="K115" s="36"/>
      <c r="L115" s="36"/>
      <c r="M115" s="36"/>
      <c r="N115" s="36"/>
      <c r="O115" s="36"/>
      <c r="P115" s="36"/>
      <c r="Q115" s="36"/>
      <c r="R115" s="36"/>
      <c r="S115" s="36"/>
      <c r="T115" s="36"/>
      <c r="U115" s="36"/>
      <c r="V115" s="36"/>
      <c r="W115" s="36"/>
      <c r="X115" s="36"/>
      <c r="Y115" s="36"/>
      <c r="Z115" s="36"/>
    </row>
    <row r="116" ht="15.75" customHeight="1">
      <c r="A116" s="36"/>
      <c r="B116" s="36"/>
      <c r="C116" s="36"/>
      <c r="D116" s="36"/>
      <c r="E116" s="36"/>
      <c r="F116" s="36"/>
      <c r="G116" s="36"/>
      <c r="H116" s="1"/>
      <c r="I116" s="36"/>
      <c r="J116" s="36"/>
      <c r="K116" s="36"/>
      <c r="L116" s="36"/>
      <c r="M116" s="36"/>
      <c r="N116" s="36"/>
      <c r="O116" s="36"/>
      <c r="P116" s="36"/>
      <c r="Q116" s="36"/>
      <c r="R116" s="36"/>
      <c r="S116" s="36"/>
      <c r="T116" s="36"/>
      <c r="U116" s="36"/>
      <c r="V116" s="36"/>
      <c r="W116" s="36"/>
      <c r="X116" s="36"/>
      <c r="Y116" s="36"/>
      <c r="Z116" s="36"/>
    </row>
    <row r="117" ht="15.75" customHeight="1">
      <c r="A117" s="36"/>
      <c r="B117" s="36"/>
      <c r="C117" s="36"/>
      <c r="D117" s="36"/>
      <c r="E117" s="36"/>
      <c r="F117" s="36"/>
      <c r="G117" s="36"/>
      <c r="H117" s="1"/>
      <c r="I117" s="36"/>
      <c r="J117" s="36"/>
      <c r="K117" s="36"/>
      <c r="L117" s="36"/>
      <c r="M117" s="36"/>
      <c r="N117" s="36"/>
      <c r="O117" s="36"/>
      <c r="P117" s="36"/>
      <c r="Q117" s="36"/>
      <c r="R117" s="36"/>
      <c r="S117" s="36"/>
      <c r="T117" s="36"/>
      <c r="U117" s="36"/>
      <c r="V117" s="36"/>
      <c r="W117" s="36"/>
      <c r="X117" s="36"/>
      <c r="Y117" s="36"/>
      <c r="Z117" s="36"/>
    </row>
    <row r="118" ht="15.75" customHeight="1">
      <c r="A118" s="36"/>
      <c r="B118" s="36"/>
      <c r="C118" s="36"/>
      <c r="D118" s="36"/>
      <c r="E118" s="36"/>
      <c r="F118" s="36"/>
      <c r="G118" s="36"/>
      <c r="H118" s="1"/>
      <c r="I118" s="36"/>
      <c r="J118" s="36"/>
      <c r="K118" s="36"/>
      <c r="L118" s="36"/>
      <c r="M118" s="36"/>
      <c r="N118" s="36"/>
      <c r="O118" s="36"/>
      <c r="P118" s="36"/>
      <c r="Q118" s="36"/>
      <c r="R118" s="36"/>
      <c r="S118" s="36"/>
      <c r="T118" s="36"/>
      <c r="U118" s="36"/>
      <c r="V118" s="36"/>
      <c r="W118" s="36"/>
      <c r="X118" s="36"/>
      <c r="Y118" s="36"/>
      <c r="Z118" s="36"/>
    </row>
    <row r="119" ht="15.75" customHeight="1">
      <c r="A119" s="36"/>
      <c r="B119" s="36"/>
      <c r="C119" s="36"/>
      <c r="D119" s="36"/>
      <c r="E119" s="36"/>
      <c r="F119" s="36"/>
      <c r="G119" s="36"/>
      <c r="H119" s="1"/>
      <c r="I119" s="36"/>
      <c r="J119" s="36"/>
      <c r="K119" s="36"/>
      <c r="L119" s="36"/>
      <c r="M119" s="36"/>
      <c r="N119" s="36"/>
      <c r="O119" s="36"/>
      <c r="P119" s="36"/>
      <c r="Q119" s="36"/>
      <c r="R119" s="36"/>
      <c r="S119" s="36"/>
      <c r="T119" s="36"/>
      <c r="U119" s="36"/>
      <c r="V119" s="36"/>
      <c r="W119" s="36"/>
      <c r="X119" s="36"/>
      <c r="Y119" s="36"/>
      <c r="Z119" s="36"/>
    </row>
    <row r="120" ht="15.75" customHeight="1">
      <c r="A120" s="36"/>
      <c r="B120" s="36"/>
      <c r="C120" s="36"/>
      <c r="D120" s="36"/>
      <c r="E120" s="36"/>
      <c r="F120" s="36"/>
      <c r="G120" s="36"/>
      <c r="H120" s="1"/>
      <c r="I120" s="36"/>
      <c r="J120" s="36"/>
      <c r="K120" s="36"/>
      <c r="L120" s="36"/>
      <c r="M120" s="36"/>
      <c r="N120" s="36"/>
      <c r="O120" s="36"/>
      <c r="P120" s="36"/>
      <c r="Q120" s="36"/>
      <c r="R120" s="36"/>
      <c r="S120" s="36"/>
      <c r="T120" s="36"/>
      <c r="U120" s="36"/>
      <c r="V120" s="36"/>
      <c r="W120" s="36"/>
      <c r="X120" s="36"/>
      <c r="Y120" s="36"/>
      <c r="Z120" s="36"/>
    </row>
    <row r="121" ht="15.75" customHeight="1">
      <c r="A121" s="36"/>
      <c r="B121" s="36"/>
      <c r="C121" s="36"/>
      <c r="D121" s="36"/>
      <c r="E121" s="36"/>
      <c r="F121" s="36"/>
      <c r="G121" s="36"/>
      <c r="H121" s="1"/>
      <c r="I121" s="36"/>
      <c r="J121" s="36"/>
      <c r="K121" s="36"/>
      <c r="L121" s="36"/>
      <c r="M121" s="36"/>
      <c r="N121" s="36"/>
      <c r="O121" s="36"/>
      <c r="P121" s="36"/>
      <c r="Q121" s="36"/>
      <c r="R121" s="36"/>
      <c r="S121" s="36"/>
      <c r="T121" s="36"/>
      <c r="U121" s="36"/>
      <c r="V121" s="36"/>
      <c r="W121" s="36"/>
      <c r="X121" s="36"/>
      <c r="Y121" s="36"/>
      <c r="Z121" s="36"/>
    </row>
    <row r="122" ht="15.75" customHeight="1">
      <c r="A122" s="36"/>
      <c r="B122" s="36"/>
      <c r="C122" s="36"/>
      <c r="D122" s="36"/>
      <c r="E122" s="36"/>
      <c r="F122" s="36"/>
      <c r="G122" s="36"/>
      <c r="H122" s="1"/>
      <c r="I122" s="36"/>
      <c r="J122" s="36"/>
      <c r="K122" s="36"/>
      <c r="L122" s="36"/>
      <c r="M122" s="36"/>
      <c r="N122" s="36"/>
      <c r="O122" s="36"/>
      <c r="P122" s="36"/>
      <c r="Q122" s="36"/>
      <c r="R122" s="36"/>
      <c r="S122" s="36"/>
      <c r="T122" s="36"/>
      <c r="U122" s="36"/>
      <c r="V122" s="36"/>
      <c r="W122" s="36"/>
      <c r="X122" s="36"/>
      <c r="Y122" s="36"/>
      <c r="Z122" s="36"/>
    </row>
    <row r="123" ht="15.75" customHeight="1">
      <c r="A123" s="36"/>
      <c r="B123" s="36"/>
      <c r="C123" s="36"/>
      <c r="D123" s="36"/>
      <c r="E123" s="36"/>
      <c r="F123" s="36"/>
      <c r="G123" s="36"/>
      <c r="H123" s="1"/>
      <c r="I123" s="36"/>
      <c r="J123" s="36"/>
      <c r="K123" s="36"/>
      <c r="L123" s="36"/>
      <c r="M123" s="36"/>
      <c r="N123" s="36"/>
      <c r="O123" s="36"/>
      <c r="P123" s="36"/>
      <c r="Q123" s="36"/>
      <c r="R123" s="36"/>
      <c r="S123" s="36"/>
      <c r="T123" s="36"/>
      <c r="U123" s="36"/>
      <c r="V123" s="36"/>
      <c r="W123" s="36"/>
      <c r="X123" s="36"/>
      <c r="Y123" s="36"/>
      <c r="Z123" s="36"/>
    </row>
    <row r="124" ht="15.75" customHeight="1">
      <c r="A124" s="36"/>
      <c r="B124" s="36"/>
      <c r="C124" s="36"/>
      <c r="D124" s="36"/>
      <c r="E124" s="36"/>
      <c r="F124" s="36"/>
      <c r="G124" s="36"/>
      <c r="H124" s="1"/>
      <c r="I124" s="36"/>
      <c r="J124" s="36"/>
      <c r="K124" s="36"/>
      <c r="L124" s="36"/>
      <c r="M124" s="36"/>
      <c r="N124" s="36"/>
      <c r="O124" s="36"/>
      <c r="P124" s="36"/>
      <c r="Q124" s="36"/>
      <c r="R124" s="36"/>
      <c r="S124" s="36"/>
      <c r="T124" s="36"/>
      <c r="U124" s="36"/>
      <c r="V124" s="36"/>
      <c r="W124" s="36"/>
      <c r="X124" s="36"/>
      <c r="Y124" s="36"/>
      <c r="Z124" s="36"/>
    </row>
    <row r="125" ht="15.75" customHeight="1">
      <c r="A125" s="36"/>
      <c r="B125" s="36"/>
      <c r="C125" s="36"/>
      <c r="D125" s="36"/>
      <c r="E125" s="36"/>
      <c r="F125" s="36"/>
      <c r="G125" s="36"/>
      <c r="H125" s="1"/>
      <c r="I125" s="36"/>
      <c r="J125" s="36"/>
      <c r="K125" s="36"/>
      <c r="L125" s="36"/>
      <c r="M125" s="36"/>
      <c r="N125" s="36"/>
      <c r="O125" s="36"/>
      <c r="P125" s="36"/>
      <c r="Q125" s="36"/>
      <c r="R125" s="36"/>
      <c r="S125" s="36"/>
      <c r="T125" s="36"/>
      <c r="U125" s="36"/>
      <c r="V125" s="36"/>
      <c r="W125" s="36"/>
      <c r="X125" s="36"/>
      <c r="Y125" s="36"/>
      <c r="Z125" s="36"/>
    </row>
    <row r="126" ht="15.75" customHeight="1">
      <c r="A126" s="36"/>
      <c r="B126" s="36"/>
      <c r="C126" s="36"/>
      <c r="D126" s="36"/>
      <c r="E126" s="36"/>
      <c r="F126" s="36"/>
      <c r="G126" s="36"/>
      <c r="H126" s="1"/>
      <c r="I126" s="36"/>
      <c r="J126" s="36"/>
      <c r="K126" s="36"/>
      <c r="L126" s="36"/>
      <c r="M126" s="36"/>
      <c r="N126" s="36"/>
      <c r="O126" s="36"/>
      <c r="P126" s="36"/>
      <c r="Q126" s="36"/>
      <c r="R126" s="36"/>
      <c r="S126" s="36"/>
      <c r="T126" s="36"/>
      <c r="U126" s="36"/>
      <c r="V126" s="36"/>
      <c r="W126" s="36"/>
      <c r="X126" s="36"/>
      <c r="Y126" s="36"/>
      <c r="Z126" s="36"/>
    </row>
    <row r="127" ht="15.75" customHeight="1">
      <c r="A127" s="36"/>
      <c r="B127" s="36"/>
      <c r="C127" s="36"/>
      <c r="D127" s="36"/>
      <c r="E127" s="36"/>
      <c r="F127" s="36"/>
      <c r="G127" s="36"/>
      <c r="H127" s="1"/>
      <c r="I127" s="36"/>
      <c r="J127" s="36"/>
      <c r="K127" s="36"/>
      <c r="L127" s="36"/>
      <c r="M127" s="36"/>
      <c r="N127" s="36"/>
      <c r="O127" s="36"/>
      <c r="P127" s="36"/>
      <c r="Q127" s="36"/>
      <c r="R127" s="36"/>
      <c r="S127" s="36"/>
      <c r="T127" s="36"/>
      <c r="U127" s="36"/>
      <c r="V127" s="36"/>
      <c r="W127" s="36"/>
      <c r="X127" s="36"/>
      <c r="Y127" s="36"/>
      <c r="Z127" s="36"/>
    </row>
    <row r="128" ht="15.75" customHeight="1">
      <c r="A128" s="36"/>
      <c r="B128" s="36"/>
      <c r="C128" s="36"/>
      <c r="D128" s="36"/>
      <c r="E128" s="36"/>
      <c r="F128" s="36"/>
      <c r="G128" s="36"/>
      <c r="H128" s="1"/>
      <c r="I128" s="36"/>
      <c r="J128" s="36"/>
      <c r="K128" s="36"/>
      <c r="L128" s="36"/>
      <c r="M128" s="36"/>
      <c r="N128" s="36"/>
      <c r="O128" s="36"/>
      <c r="P128" s="36"/>
      <c r="Q128" s="36"/>
      <c r="R128" s="36"/>
      <c r="S128" s="36"/>
      <c r="T128" s="36"/>
      <c r="U128" s="36"/>
      <c r="V128" s="36"/>
      <c r="W128" s="36"/>
      <c r="X128" s="36"/>
      <c r="Y128" s="36"/>
      <c r="Z128" s="36"/>
    </row>
    <row r="129" ht="15.75" customHeight="1">
      <c r="A129" s="36"/>
      <c r="B129" s="36"/>
      <c r="C129" s="36"/>
      <c r="D129" s="36"/>
      <c r="E129" s="36"/>
      <c r="F129" s="36"/>
      <c r="G129" s="36"/>
      <c r="H129" s="1"/>
      <c r="I129" s="36"/>
      <c r="J129" s="36"/>
      <c r="K129" s="36"/>
      <c r="L129" s="36"/>
      <c r="M129" s="36"/>
      <c r="N129" s="36"/>
      <c r="O129" s="36"/>
      <c r="P129" s="36"/>
      <c r="Q129" s="36"/>
      <c r="R129" s="36"/>
      <c r="S129" s="36"/>
      <c r="T129" s="36"/>
      <c r="U129" s="36"/>
      <c r="V129" s="36"/>
      <c r="W129" s="36"/>
      <c r="X129" s="36"/>
      <c r="Y129" s="36"/>
      <c r="Z129" s="36"/>
    </row>
    <row r="130" ht="15.75" customHeight="1">
      <c r="A130" s="36"/>
      <c r="B130" s="36"/>
      <c r="C130" s="36"/>
      <c r="D130" s="36"/>
      <c r="E130" s="36"/>
      <c r="F130" s="36"/>
      <c r="G130" s="36"/>
      <c r="H130" s="1"/>
      <c r="I130" s="36"/>
      <c r="J130" s="36"/>
      <c r="K130" s="36"/>
      <c r="L130" s="36"/>
      <c r="M130" s="36"/>
      <c r="N130" s="36"/>
      <c r="O130" s="36"/>
      <c r="P130" s="36"/>
      <c r="Q130" s="36"/>
      <c r="R130" s="36"/>
      <c r="S130" s="36"/>
      <c r="T130" s="36"/>
      <c r="U130" s="36"/>
      <c r="V130" s="36"/>
      <c r="W130" s="36"/>
      <c r="X130" s="36"/>
      <c r="Y130" s="36"/>
      <c r="Z130" s="36"/>
    </row>
    <row r="131" ht="15.75" customHeight="1">
      <c r="A131" s="36"/>
      <c r="B131" s="36"/>
      <c r="C131" s="36"/>
      <c r="D131" s="36"/>
      <c r="E131" s="36"/>
      <c r="F131" s="36"/>
      <c r="G131" s="36"/>
      <c r="H131" s="1"/>
      <c r="I131" s="36"/>
      <c r="J131" s="36"/>
      <c r="K131" s="36"/>
      <c r="L131" s="36"/>
      <c r="M131" s="36"/>
      <c r="N131" s="36"/>
      <c r="O131" s="36"/>
      <c r="P131" s="36"/>
      <c r="Q131" s="36"/>
      <c r="R131" s="36"/>
      <c r="S131" s="36"/>
      <c r="T131" s="36"/>
      <c r="U131" s="36"/>
      <c r="V131" s="36"/>
      <c r="W131" s="36"/>
      <c r="X131" s="36"/>
      <c r="Y131" s="36"/>
      <c r="Z131" s="36"/>
    </row>
    <row r="132" ht="15.75" customHeight="1">
      <c r="A132" s="36"/>
      <c r="B132" s="36"/>
      <c r="C132" s="36"/>
      <c r="D132" s="36"/>
      <c r="E132" s="36"/>
      <c r="F132" s="36"/>
      <c r="G132" s="36"/>
      <c r="H132" s="1"/>
      <c r="I132" s="36"/>
      <c r="J132" s="36"/>
      <c r="K132" s="36"/>
      <c r="L132" s="36"/>
      <c r="M132" s="36"/>
      <c r="N132" s="36"/>
      <c r="O132" s="36"/>
      <c r="P132" s="36"/>
      <c r="Q132" s="36"/>
      <c r="R132" s="36"/>
      <c r="S132" s="36"/>
      <c r="T132" s="36"/>
      <c r="U132" s="36"/>
      <c r="V132" s="36"/>
      <c r="W132" s="36"/>
      <c r="X132" s="36"/>
      <c r="Y132" s="36"/>
      <c r="Z132" s="36"/>
    </row>
    <row r="133" ht="15.75" customHeight="1">
      <c r="A133" s="36"/>
      <c r="B133" s="36"/>
      <c r="C133" s="36"/>
      <c r="D133" s="36"/>
      <c r="E133" s="36"/>
      <c r="F133" s="36"/>
      <c r="G133" s="36"/>
      <c r="H133" s="1"/>
      <c r="I133" s="36"/>
      <c r="J133" s="36"/>
      <c r="K133" s="36"/>
      <c r="L133" s="36"/>
      <c r="M133" s="36"/>
      <c r="N133" s="36"/>
      <c r="O133" s="36"/>
      <c r="P133" s="36"/>
      <c r="Q133" s="36"/>
      <c r="R133" s="36"/>
      <c r="S133" s="36"/>
      <c r="T133" s="36"/>
      <c r="U133" s="36"/>
      <c r="V133" s="36"/>
      <c r="W133" s="36"/>
      <c r="X133" s="36"/>
      <c r="Y133" s="36"/>
      <c r="Z133" s="36"/>
    </row>
    <row r="134" ht="15.75" customHeight="1">
      <c r="A134" s="36"/>
      <c r="B134" s="36"/>
      <c r="C134" s="36"/>
      <c r="D134" s="36"/>
      <c r="E134" s="36"/>
      <c r="F134" s="36"/>
      <c r="G134" s="36"/>
      <c r="H134" s="1"/>
      <c r="I134" s="36"/>
      <c r="J134" s="36"/>
      <c r="K134" s="36"/>
      <c r="L134" s="36"/>
      <c r="M134" s="36"/>
      <c r="N134" s="36"/>
      <c r="O134" s="36"/>
      <c r="P134" s="36"/>
      <c r="Q134" s="36"/>
      <c r="R134" s="36"/>
      <c r="S134" s="36"/>
      <c r="T134" s="36"/>
      <c r="U134" s="36"/>
      <c r="V134" s="36"/>
      <c r="W134" s="36"/>
      <c r="X134" s="36"/>
      <c r="Y134" s="36"/>
      <c r="Z134" s="36"/>
    </row>
    <row r="135" ht="15.75" customHeight="1">
      <c r="A135" s="36"/>
      <c r="B135" s="36"/>
      <c r="C135" s="36"/>
      <c r="D135" s="36"/>
      <c r="E135" s="36"/>
      <c r="F135" s="36"/>
      <c r="G135" s="36"/>
      <c r="H135" s="1"/>
      <c r="I135" s="36"/>
      <c r="J135" s="36"/>
      <c r="K135" s="36"/>
      <c r="L135" s="36"/>
      <c r="M135" s="36"/>
      <c r="N135" s="36"/>
      <c r="O135" s="36"/>
      <c r="P135" s="36"/>
      <c r="Q135" s="36"/>
      <c r="R135" s="36"/>
      <c r="S135" s="36"/>
      <c r="T135" s="36"/>
      <c r="U135" s="36"/>
      <c r="V135" s="36"/>
      <c r="W135" s="36"/>
      <c r="X135" s="36"/>
      <c r="Y135" s="36"/>
      <c r="Z135" s="36"/>
    </row>
    <row r="136" ht="15.75" customHeight="1">
      <c r="A136" s="36"/>
      <c r="B136" s="36"/>
      <c r="C136" s="36"/>
      <c r="D136" s="36"/>
      <c r="E136" s="36"/>
      <c r="F136" s="36"/>
      <c r="G136" s="36"/>
      <c r="H136" s="1"/>
      <c r="I136" s="36"/>
      <c r="J136" s="36"/>
      <c r="K136" s="36"/>
      <c r="L136" s="36"/>
      <c r="M136" s="36"/>
      <c r="N136" s="36"/>
      <c r="O136" s="36"/>
      <c r="P136" s="36"/>
      <c r="Q136" s="36"/>
      <c r="R136" s="36"/>
      <c r="S136" s="36"/>
      <c r="T136" s="36"/>
      <c r="U136" s="36"/>
      <c r="V136" s="36"/>
      <c r="W136" s="36"/>
      <c r="X136" s="36"/>
      <c r="Y136" s="36"/>
      <c r="Z136" s="36"/>
    </row>
    <row r="137" ht="15.75" customHeight="1">
      <c r="A137" s="36"/>
      <c r="B137" s="36"/>
      <c r="C137" s="36"/>
      <c r="D137" s="36"/>
      <c r="E137" s="36"/>
      <c r="F137" s="36"/>
      <c r="G137" s="36"/>
      <c r="H137" s="1"/>
      <c r="I137" s="36"/>
      <c r="J137" s="36"/>
      <c r="K137" s="36"/>
      <c r="L137" s="36"/>
      <c r="M137" s="36"/>
      <c r="N137" s="36"/>
      <c r="O137" s="36"/>
      <c r="P137" s="36"/>
      <c r="Q137" s="36"/>
      <c r="R137" s="36"/>
      <c r="S137" s="36"/>
      <c r="T137" s="36"/>
      <c r="U137" s="36"/>
      <c r="V137" s="36"/>
      <c r="W137" s="36"/>
      <c r="X137" s="36"/>
      <c r="Y137" s="36"/>
      <c r="Z137" s="36"/>
    </row>
    <row r="138" ht="15.75" customHeight="1">
      <c r="A138" s="36"/>
      <c r="B138" s="36"/>
      <c r="C138" s="36"/>
      <c r="D138" s="36"/>
      <c r="E138" s="36"/>
      <c r="F138" s="36"/>
      <c r="G138" s="36"/>
      <c r="H138" s="1"/>
      <c r="I138" s="36"/>
      <c r="J138" s="36"/>
      <c r="K138" s="36"/>
      <c r="L138" s="36"/>
      <c r="M138" s="36"/>
      <c r="N138" s="36"/>
      <c r="O138" s="36"/>
      <c r="P138" s="36"/>
      <c r="Q138" s="36"/>
      <c r="R138" s="36"/>
      <c r="S138" s="36"/>
      <c r="T138" s="36"/>
      <c r="U138" s="36"/>
      <c r="V138" s="36"/>
      <c r="W138" s="36"/>
      <c r="X138" s="36"/>
      <c r="Y138" s="36"/>
      <c r="Z138" s="36"/>
    </row>
    <row r="139" ht="15.75" customHeight="1">
      <c r="A139" s="36"/>
      <c r="B139" s="36"/>
      <c r="C139" s="36"/>
      <c r="D139" s="36"/>
      <c r="E139" s="36"/>
      <c r="F139" s="36"/>
      <c r="G139" s="36"/>
      <c r="H139" s="1"/>
      <c r="I139" s="36"/>
      <c r="J139" s="36"/>
      <c r="K139" s="36"/>
      <c r="L139" s="36"/>
      <c r="M139" s="36"/>
      <c r="N139" s="36"/>
      <c r="O139" s="36"/>
      <c r="P139" s="36"/>
      <c r="Q139" s="36"/>
      <c r="R139" s="36"/>
      <c r="S139" s="36"/>
      <c r="T139" s="36"/>
      <c r="U139" s="36"/>
      <c r="V139" s="36"/>
      <c r="W139" s="36"/>
      <c r="X139" s="36"/>
      <c r="Y139" s="36"/>
      <c r="Z139" s="36"/>
    </row>
    <row r="140" ht="15.75" customHeight="1">
      <c r="A140" s="36"/>
      <c r="B140" s="36"/>
      <c r="C140" s="36"/>
      <c r="D140" s="36"/>
      <c r="E140" s="36"/>
      <c r="F140" s="36"/>
      <c r="G140" s="36"/>
      <c r="H140" s="1"/>
      <c r="I140" s="36"/>
      <c r="J140" s="36"/>
      <c r="K140" s="36"/>
      <c r="L140" s="36"/>
      <c r="M140" s="36"/>
      <c r="N140" s="36"/>
      <c r="O140" s="36"/>
      <c r="P140" s="36"/>
      <c r="Q140" s="36"/>
      <c r="R140" s="36"/>
      <c r="S140" s="36"/>
      <c r="T140" s="36"/>
      <c r="U140" s="36"/>
      <c r="V140" s="36"/>
      <c r="W140" s="36"/>
      <c r="X140" s="36"/>
      <c r="Y140" s="36"/>
      <c r="Z140" s="36"/>
    </row>
    <row r="141" ht="15.75" customHeight="1">
      <c r="A141" s="36"/>
      <c r="B141" s="36"/>
      <c r="C141" s="36"/>
      <c r="D141" s="36"/>
      <c r="E141" s="36"/>
      <c r="F141" s="36"/>
      <c r="G141" s="36"/>
      <c r="H141" s="1"/>
      <c r="I141" s="36"/>
      <c r="J141" s="36"/>
      <c r="K141" s="36"/>
      <c r="L141" s="36"/>
      <c r="M141" s="36"/>
      <c r="N141" s="36"/>
      <c r="O141" s="36"/>
      <c r="P141" s="36"/>
      <c r="Q141" s="36"/>
      <c r="R141" s="36"/>
      <c r="S141" s="36"/>
      <c r="T141" s="36"/>
      <c r="U141" s="36"/>
      <c r="V141" s="36"/>
      <c r="W141" s="36"/>
      <c r="X141" s="36"/>
      <c r="Y141" s="36"/>
      <c r="Z141" s="36"/>
    </row>
    <row r="142" ht="15.75" customHeight="1">
      <c r="A142" s="36"/>
      <c r="B142" s="36"/>
      <c r="C142" s="36"/>
      <c r="D142" s="36"/>
      <c r="E142" s="36"/>
      <c r="F142" s="36"/>
      <c r="G142" s="36"/>
      <c r="H142" s="1"/>
      <c r="I142" s="36"/>
      <c r="J142" s="36"/>
      <c r="K142" s="36"/>
      <c r="L142" s="36"/>
      <c r="M142" s="36"/>
      <c r="N142" s="36"/>
      <c r="O142" s="36"/>
      <c r="P142" s="36"/>
      <c r="Q142" s="36"/>
      <c r="R142" s="36"/>
      <c r="S142" s="36"/>
      <c r="T142" s="36"/>
      <c r="U142" s="36"/>
      <c r="V142" s="36"/>
      <c r="W142" s="36"/>
      <c r="X142" s="36"/>
      <c r="Y142" s="36"/>
      <c r="Z142" s="36"/>
    </row>
    <row r="143" ht="15.75" customHeight="1">
      <c r="A143" s="36"/>
      <c r="B143" s="36"/>
      <c r="C143" s="36"/>
      <c r="D143" s="36"/>
      <c r="E143" s="36"/>
      <c r="F143" s="36"/>
      <c r="G143" s="36"/>
      <c r="H143" s="1"/>
      <c r="I143" s="36"/>
      <c r="J143" s="36"/>
      <c r="K143" s="36"/>
      <c r="L143" s="36"/>
      <c r="M143" s="36"/>
      <c r="N143" s="36"/>
      <c r="O143" s="36"/>
      <c r="P143" s="36"/>
      <c r="Q143" s="36"/>
      <c r="R143" s="36"/>
      <c r="S143" s="36"/>
      <c r="T143" s="36"/>
      <c r="U143" s="36"/>
      <c r="V143" s="36"/>
      <c r="W143" s="36"/>
      <c r="X143" s="36"/>
      <c r="Y143" s="36"/>
      <c r="Z143" s="36"/>
    </row>
    <row r="144" ht="15.75" customHeight="1">
      <c r="A144" s="36"/>
      <c r="B144" s="36"/>
      <c r="C144" s="36"/>
      <c r="D144" s="36"/>
      <c r="E144" s="36"/>
      <c r="F144" s="36"/>
      <c r="G144" s="36"/>
      <c r="H144" s="1"/>
      <c r="I144" s="36"/>
      <c r="J144" s="36"/>
      <c r="K144" s="36"/>
      <c r="L144" s="36"/>
      <c r="M144" s="36"/>
      <c r="N144" s="36"/>
      <c r="O144" s="36"/>
      <c r="P144" s="36"/>
      <c r="Q144" s="36"/>
      <c r="R144" s="36"/>
      <c r="S144" s="36"/>
      <c r="T144" s="36"/>
      <c r="U144" s="36"/>
      <c r="V144" s="36"/>
      <c r="W144" s="36"/>
      <c r="X144" s="36"/>
      <c r="Y144" s="36"/>
      <c r="Z144" s="36"/>
    </row>
    <row r="145" ht="15.75" customHeight="1">
      <c r="A145" s="36"/>
      <c r="B145" s="36"/>
      <c r="C145" s="36"/>
      <c r="D145" s="36"/>
      <c r="E145" s="36"/>
      <c r="F145" s="36"/>
      <c r="G145" s="36"/>
      <c r="H145" s="1"/>
      <c r="I145" s="36"/>
      <c r="J145" s="36"/>
      <c r="K145" s="36"/>
      <c r="L145" s="36"/>
      <c r="M145" s="36"/>
      <c r="N145" s="36"/>
      <c r="O145" s="36"/>
      <c r="P145" s="36"/>
      <c r="Q145" s="36"/>
      <c r="R145" s="36"/>
      <c r="S145" s="36"/>
      <c r="T145" s="36"/>
      <c r="U145" s="36"/>
      <c r="V145" s="36"/>
      <c r="W145" s="36"/>
      <c r="X145" s="36"/>
      <c r="Y145" s="36"/>
      <c r="Z145" s="36"/>
    </row>
    <row r="146" ht="15.75" customHeight="1">
      <c r="A146" s="36"/>
      <c r="B146" s="36"/>
      <c r="C146" s="36"/>
      <c r="D146" s="36"/>
      <c r="E146" s="36"/>
      <c r="F146" s="36"/>
      <c r="G146" s="36"/>
      <c r="H146" s="1"/>
      <c r="I146" s="36"/>
      <c r="J146" s="36"/>
      <c r="K146" s="36"/>
      <c r="L146" s="36"/>
      <c r="M146" s="36"/>
      <c r="N146" s="36"/>
      <c r="O146" s="36"/>
      <c r="P146" s="36"/>
      <c r="Q146" s="36"/>
      <c r="R146" s="36"/>
      <c r="S146" s="36"/>
      <c r="T146" s="36"/>
      <c r="U146" s="36"/>
      <c r="V146" s="36"/>
      <c r="W146" s="36"/>
      <c r="X146" s="36"/>
      <c r="Y146" s="36"/>
      <c r="Z146" s="36"/>
    </row>
    <row r="147" ht="15.75" customHeight="1">
      <c r="A147" s="36"/>
      <c r="B147" s="36"/>
      <c r="C147" s="36"/>
      <c r="D147" s="36"/>
      <c r="E147" s="36"/>
      <c r="F147" s="36"/>
      <c r="G147" s="36"/>
      <c r="H147" s="1"/>
      <c r="I147" s="36"/>
      <c r="J147" s="36"/>
      <c r="K147" s="36"/>
      <c r="L147" s="36"/>
      <c r="M147" s="36"/>
      <c r="N147" s="36"/>
      <c r="O147" s="36"/>
      <c r="P147" s="36"/>
      <c r="Q147" s="36"/>
      <c r="R147" s="36"/>
      <c r="S147" s="36"/>
      <c r="T147" s="36"/>
      <c r="U147" s="36"/>
      <c r="V147" s="36"/>
      <c r="W147" s="36"/>
      <c r="X147" s="36"/>
      <c r="Y147" s="36"/>
      <c r="Z147" s="36"/>
    </row>
    <row r="148" ht="15.75" customHeight="1">
      <c r="A148" s="36"/>
      <c r="B148" s="36"/>
      <c r="C148" s="36"/>
      <c r="D148" s="36"/>
      <c r="E148" s="36"/>
      <c r="F148" s="36"/>
      <c r="G148" s="36"/>
      <c r="H148" s="1"/>
      <c r="I148" s="36"/>
      <c r="J148" s="36"/>
      <c r="K148" s="36"/>
      <c r="L148" s="36"/>
      <c r="M148" s="36"/>
      <c r="N148" s="36"/>
      <c r="O148" s="36"/>
      <c r="P148" s="36"/>
      <c r="Q148" s="36"/>
      <c r="R148" s="36"/>
      <c r="S148" s="36"/>
      <c r="T148" s="36"/>
      <c r="U148" s="36"/>
      <c r="V148" s="36"/>
      <c r="W148" s="36"/>
      <c r="X148" s="36"/>
      <c r="Y148" s="36"/>
      <c r="Z148" s="36"/>
    </row>
    <row r="149" ht="15.75" customHeight="1">
      <c r="A149" s="36"/>
      <c r="B149" s="36"/>
      <c r="C149" s="36"/>
      <c r="D149" s="36"/>
      <c r="E149" s="36"/>
      <c r="F149" s="36"/>
      <c r="G149" s="36"/>
      <c r="H149" s="1"/>
      <c r="I149" s="36"/>
      <c r="J149" s="36"/>
      <c r="K149" s="36"/>
      <c r="L149" s="36"/>
      <c r="M149" s="36"/>
      <c r="N149" s="36"/>
      <c r="O149" s="36"/>
      <c r="P149" s="36"/>
      <c r="Q149" s="36"/>
      <c r="R149" s="36"/>
      <c r="S149" s="36"/>
      <c r="T149" s="36"/>
      <c r="U149" s="36"/>
      <c r="V149" s="36"/>
      <c r="W149" s="36"/>
      <c r="X149" s="36"/>
      <c r="Y149" s="36"/>
      <c r="Z149" s="36"/>
    </row>
    <row r="150" ht="15.75" customHeight="1">
      <c r="A150" s="36"/>
      <c r="B150" s="36"/>
      <c r="C150" s="36"/>
      <c r="D150" s="36"/>
      <c r="E150" s="36"/>
      <c r="F150" s="36"/>
      <c r="G150" s="36"/>
      <c r="H150" s="1"/>
      <c r="I150" s="36"/>
      <c r="J150" s="36"/>
      <c r="K150" s="36"/>
      <c r="L150" s="36"/>
      <c r="M150" s="36"/>
      <c r="N150" s="36"/>
      <c r="O150" s="36"/>
      <c r="P150" s="36"/>
      <c r="Q150" s="36"/>
      <c r="R150" s="36"/>
      <c r="S150" s="36"/>
      <c r="T150" s="36"/>
      <c r="U150" s="36"/>
      <c r="V150" s="36"/>
      <c r="W150" s="36"/>
      <c r="X150" s="36"/>
      <c r="Y150" s="36"/>
      <c r="Z150" s="36"/>
    </row>
    <row r="151" ht="15.75" customHeight="1">
      <c r="A151" s="36"/>
      <c r="B151" s="36"/>
      <c r="C151" s="36"/>
      <c r="D151" s="36"/>
      <c r="E151" s="36"/>
      <c r="F151" s="36"/>
      <c r="G151" s="36"/>
      <c r="H151" s="1"/>
      <c r="I151" s="36"/>
      <c r="J151" s="36"/>
      <c r="K151" s="36"/>
      <c r="L151" s="36"/>
      <c r="M151" s="36"/>
      <c r="N151" s="36"/>
      <c r="O151" s="36"/>
      <c r="P151" s="36"/>
      <c r="Q151" s="36"/>
      <c r="R151" s="36"/>
      <c r="S151" s="36"/>
      <c r="T151" s="36"/>
      <c r="U151" s="36"/>
      <c r="V151" s="36"/>
      <c r="W151" s="36"/>
      <c r="X151" s="36"/>
      <c r="Y151" s="36"/>
      <c r="Z151" s="36"/>
    </row>
    <row r="152" ht="15.75" customHeight="1">
      <c r="A152" s="36"/>
      <c r="B152" s="36"/>
      <c r="C152" s="36"/>
      <c r="D152" s="36"/>
      <c r="E152" s="36"/>
      <c r="F152" s="36"/>
      <c r="G152" s="36"/>
      <c r="H152" s="1"/>
      <c r="I152" s="36"/>
      <c r="J152" s="36"/>
      <c r="K152" s="36"/>
      <c r="L152" s="36"/>
      <c r="M152" s="36"/>
      <c r="N152" s="36"/>
      <c r="O152" s="36"/>
      <c r="P152" s="36"/>
      <c r="Q152" s="36"/>
      <c r="R152" s="36"/>
      <c r="S152" s="36"/>
      <c r="T152" s="36"/>
      <c r="U152" s="36"/>
      <c r="V152" s="36"/>
      <c r="W152" s="36"/>
      <c r="X152" s="36"/>
      <c r="Y152" s="36"/>
      <c r="Z152" s="36"/>
    </row>
    <row r="153" ht="15.75" customHeight="1">
      <c r="A153" s="36"/>
      <c r="B153" s="36"/>
      <c r="C153" s="36"/>
      <c r="D153" s="36"/>
      <c r="E153" s="36"/>
      <c r="F153" s="36"/>
      <c r="G153" s="36"/>
      <c r="H153" s="1"/>
      <c r="I153" s="36"/>
      <c r="J153" s="36"/>
      <c r="K153" s="36"/>
      <c r="L153" s="36"/>
      <c r="M153" s="36"/>
      <c r="N153" s="36"/>
      <c r="O153" s="36"/>
      <c r="P153" s="36"/>
      <c r="Q153" s="36"/>
      <c r="R153" s="36"/>
      <c r="S153" s="36"/>
      <c r="T153" s="36"/>
      <c r="U153" s="36"/>
      <c r="V153" s="36"/>
      <c r="W153" s="36"/>
      <c r="X153" s="36"/>
      <c r="Y153" s="36"/>
      <c r="Z153" s="36"/>
    </row>
    <row r="154" ht="15.75" customHeight="1">
      <c r="A154" s="36"/>
      <c r="B154" s="36"/>
      <c r="C154" s="36"/>
      <c r="D154" s="36"/>
      <c r="E154" s="36"/>
      <c r="F154" s="36"/>
      <c r="G154" s="36"/>
      <c r="H154" s="1"/>
      <c r="I154" s="36"/>
      <c r="J154" s="36"/>
      <c r="K154" s="36"/>
      <c r="L154" s="36"/>
      <c r="M154" s="36"/>
      <c r="N154" s="36"/>
      <c r="O154" s="36"/>
      <c r="P154" s="36"/>
      <c r="Q154" s="36"/>
      <c r="R154" s="36"/>
      <c r="S154" s="36"/>
      <c r="T154" s="36"/>
      <c r="U154" s="36"/>
      <c r="V154" s="36"/>
      <c r="W154" s="36"/>
      <c r="X154" s="36"/>
      <c r="Y154" s="36"/>
      <c r="Z154" s="36"/>
    </row>
    <row r="155" ht="15.75" customHeight="1">
      <c r="A155" s="36"/>
      <c r="B155" s="36"/>
      <c r="C155" s="36"/>
      <c r="D155" s="36"/>
      <c r="E155" s="36"/>
      <c r="F155" s="36"/>
      <c r="G155" s="36"/>
      <c r="H155" s="1"/>
      <c r="I155" s="36"/>
      <c r="J155" s="36"/>
      <c r="K155" s="36"/>
      <c r="L155" s="36"/>
      <c r="M155" s="36"/>
      <c r="N155" s="36"/>
      <c r="O155" s="36"/>
      <c r="P155" s="36"/>
      <c r="Q155" s="36"/>
      <c r="R155" s="36"/>
      <c r="S155" s="36"/>
      <c r="T155" s="36"/>
      <c r="U155" s="36"/>
      <c r="V155" s="36"/>
      <c r="W155" s="36"/>
      <c r="X155" s="36"/>
      <c r="Y155" s="36"/>
      <c r="Z155" s="36"/>
    </row>
    <row r="156" ht="15.75" customHeight="1">
      <c r="A156" s="36"/>
      <c r="B156" s="36"/>
      <c r="C156" s="36"/>
      <c r="D156" s="36"/>
      <c r="E156" s="36"/>
      <c r="F156" s="36"/>
      <c r="G156" s="36"/>
      <c r="H156" s="1"/>
      <c r="I156" s="36"/>
      <c r="J156" s="36"/>
      <c r="K156" s="36"/>
      <c r="L156" s="36"/>
      <c r="M156" s="36"/>
      <c r="N156" s="36"/>
      <c r="O156" s="36"/>
      <c r="P156" s="36"/>
      <c r="Q156" s="36"/>
      <c r="R156" s="36"/>
      <c r="S156" s="36"/>
      <c r="T156" s="36"/>
      <c r="U156" s="36"/>
      <c r="V156" s="36"/>
      <c r="W156" s="36"/>
      <c r="X156" s="36"/>
      <c r="Y156" s="36"/>
      <c r="Z156" s="36"/>
    </row>
    <row r="157" ht="15.75" customHeight="1">
      <c r="A157" s="36"/>
      <c r="B157" s="36"/>
      <c r="C157" s="36"/>
      <c r="D157" s="36"/>
      <c r="E157" s="36"/>
      <c r="F157" s="36"/>
      <c r="G157" s="36"/>
      <c r="H157" s="1"/>
      <c r="I157" s="36"/>
      <c r="J157" s="36"/>
      <c r="K157" s="36"/>
      <c r="L157" s="36"/>
      <c r="M157" s="36"/>
      <c r="N157" s="36"/>
      <c r="O157" s="36"/>
      <c r="P157" s="36"/>
      <c r="Q157" s="36"/>
      <c r="R157" s="36"/>
      <c r="S157" s="36"/>
      <c r="T157" s="36"/>
      <c r="U157" s="36"/>
      <c r="V157" s="36"/>
      <c r="W157" s="36"/>
      <c r="X157" s="36"/>
      <c r="Y157" s="36"/>
      <c r="Z157" s="36"/>
    </row>
    <row r="158" ht="15.75" customHeight="1">
      <c r="A158" s="36"/>
      <c r="B158" s="36"/>
      <c r="C158" s="36"/>
      <c r="D158" s="36"/>
      <c r="E158" s="36"/>
      <c r="F158" s="36"/>
      <c r="G158" s="36"/>
      <c r="H158" s="1"/>
      <c r="I158" s="36"/>
      <c r="J158" s="36"/>
      <c r="K158" s="36"/>
      <c r="L158" s="36"/>
      <c r="M158" s="36"/>
      <c r="N158" s="36"/>
      <c r="O158" s="36"/>
      <c r="P158" s="36"/>
      <c r="Q158" s="36"/>
      <c r="R158" s="36"/>
      <c r="S158" s="36"/>
      <c r="T158" s="36"/>
      <c r="U158" s="36"/>
      <c r="V158" s="36"/>
      <c r="W158" s="36"/>
      <c r="X158" s="36"/>
      <c r="Y158" s="36"/>
      <c r="Z158" s="36"/>
    </row>
    <row r="159" ht="15.75" customHeight="1">
      <c r="A159" s="36"/>
      <c r="B159" s="36"/>
      <c r="C159" s="36"/>
      <c r="D159" s="36"/>
      <c r="E159" s="36"/>
      <c r="F159" s="36"/>
      <c r="G159" s="36"/>
      <c r="H159" s="1"/>
      <c r="I159" s="36"/>
      <c r="J159" s="36"/>
      <c r="K159" s="36"/>
      <c r="L159" s="36"/>
      <c r="M159" s="36"/>
      <c r="N159" s="36"/>
      <c r="O159" s="36"/>
      <c r="P159" s="36"/>
      <c r="Q159" s="36"/>
      <c r="R159" s="36"/>
      <c r="S159" s="36"/>
      <c r="T159" s="36"/>
      <c r="U159" s="36"/>
      <c r="V159" s="36"/>
      <c r="W159" s="36"/>
      <c r="X159" s="36"/>
      <c r="Y159" s="36"/>
      <c r="Z159" s="36"/>
    </row>
    <row r="160" ht="15.75" customHeight="1">
      <c r="A160" s="36"/>
      <c r="B160" s="36"/>
      <c r="C160" s="36"/>
      <c r="D160" s="36"/>
      <c r="E160" s="36"/>
      <c r="F160" s="36"/>
      <c r="G160" s="36"/>
      <c r="H160" s="1"/>
      <c r="I160" s="36"/>
      <c r="J160" s="36"/>
      <c r="K160" s="36"/>
      <c r="L160" s="36"/>
      <c r="M160" s="36"/>
      <c r="N160" s="36"/>
      <c r="O160" s="36"/>
      <c r="P160" s="36"/>
      <c r="Q160" s="36"/>
      <c r="R160" s="36"/>
      <c r="S160" s="36"/>
      <c r="T160" s="36"/>
      <c r="U160" s="36"/>
      <c r="V160" s="36"/>
      <c r="W160" s="36"/>
      <c r="X160" s="36"/>
      <c r="Y160" s="36"/>
      <c r="Z160" s="36"/>
    </row>
    <row r="161" ht="15.75" customHeight="1">
      <c r="A161" s="36"/>
      <c r="B161" s="36"/>
      <c r="C161" s="36"/>
      <c r="D161" s="36"/>
      <c r="E161" s="36"/>
      <c r="F161" s="36"/>
      <c r="G161" s="36"/>
      <c r="H161" s="1"/>
      <c r="I161" s="36"/>
      <c r="J161" s="36"/>
      <c r="K161" s="36"/>
      <c r="L161" s="36"/>
      <c r="M161" s="36"/>
      <c r="N161" s="36"/>
      <c r="O161" s="36"/>
      <c r="P161" s="36"/>
      <c r="Q161" s="36"/>
      <c r="R161" s="36"/>
      <c r="S161" s="36"/>
      <c r="T161" s="36"/>
      <c r="U161" s="36"/>
      <c r="V161" s="36"/>
      <c r="W161" s="36"/>
      <c r="X161" s="36"/>
      <c r="Y161" s="36"/>
      <c r="Z161" s="36"/>
    </row>
    <row r="162" ht="15.75" customHeight="1">
      <c r="A162" s="36"/>
      <c r="B162" s="36"/>
      <c r="C162" s="36"/>
      <c r="D162" s="36"/>
      <c r="E162" s="36"/>
      <c r="F162" s="36"/>
      <c r="G162" s="36"/>
      <c r="H162" s="1"/>
      <c r="I162" s="36"/>
      <c r="J162" s="36"/>
      <c r="K162" s="36"/>
      <c r="L162" s="36"/>
      <c r="M162" s="36"/>
      <c r="N162" s="36"/>
      <c r="O162" s="36"/>
      <c r="P162" s="36"/>
      <c r="Q162" s="36"/>
      <c r="R162" s="36"/>
      <c r="S162" s="36"/>
      <c r="T162" s="36"/>
      <c r="U162" s="36"/>
      <c r="V162" s="36"/>
      <c r="W162" s="36"/>
      <c r="X162" s="36"/>
      <c r="Y162" s="36"/>
      <c r="Z162" s="36"/>
    </row>
    <row r="163" ht="15.75" customHeight="1">
      <c r="A163" s="36"/>
      <c r="B163" s="36"/>
      <c r="C163" s="36"/>
      <c r="D163" s="36"/>
      <c r="E163" s="36"/>
      <c r="F163" s="36"/>
      <c r="G163" s="36"/>
      <c r="H163" s="1"/>
      <c r="I163" s="36"/>
      <c r="J163" s="36"/>
      <c r="K163" s="36"/>
      <c r="L163" s="36"/>
      <c r="M163" s="36"/>
      <c r="N163" s="36"/>
      <c r="O163" s="36"/>
      <c r="P163" s="36"/>
      <c r="Q163" s="36"/>
      <c r="R163" s="36"/>
      <c r="S163" s="36"/>
      <c r="T163" s="36"/>
      <c r="U163" s="36"/>
      <c r="V163" s="36"/>
      <c r="W163" s="36"/>
      <c r="X163" s="36"/>
      <c r="Y163" s="36"/>
      <c r="Z163" s="36"/>
    </row>
    <row r="164" ht="15.75" customHeight="1">
      <c r="A164" s="36"/>
      <c r="B164" s="36"/>
      <c r="C164" s="36"/>
      <c r="D164" s="36"/>
      <c r="E164" s="36"/>
      <c r="F164" s="36"/>
      <c r="G164" s="36"/>
      <c r="H164" s="1"/>
      <c r="I164" s="36"/>
      <c r="J164" s="36"/>
      <c r="K164" s="36"/>
      <c r="L164" s="36"/>
      <c r="M164" s="36"/>
      <c r="N164" s="36"/>
      <c r="O164" s="36"/>
      <c r="P164" s="36"/>
      <c r="Q164" s="36"/>
      <c r="R164" s="36"/>
      <c r="S164" s="36"/>
      <c r="T164" s="36"/>
      <c r="U164" s="36"/>
      <c r="V164" s="36"/>
      <c r="W164" s="36"/>
      <c r="X164" s="36"/>
      <c r="Y164" s="36"/>
      <c r="Z164" s="36"/>
    </row>
    <row r="165" ht="15.75" customHeight="1">
      <c r="A165" s="36"/>
      <c r="B165" s="36"/>
      <c r="C165" s="36"/>
      <c r="D165" s="36"/>
      <c r="E165" s="36"/>
      <c r="F165" s="36"/>
      <c r="G165" s="36"/>
      <c r="H165" s="1"/>
      <c r="I165" s="36"/>
      <c r="J165" s="36"/>
      <c r="K165" s="36"/>
      <c r="L165" s="36"/>
      <c r="M165" s="36"/>
      <c r="N165" s="36"/>
      <c r="O165" s="36"/>
      <c r="P165" s="36"/>
      <c r="Q165" s="36"/>
      <c r="R165" s="36"/>
      <c r="S165" s="36"/>
      <c r="T165" s="36"/>
      <c r="U165" s="36"/>
      <c r="V165" s="36"/>
      <c r="W165" s="36"/>
      <c r="X165" s="36"/>
      <c r="Y165" s="36"/>
      <c r="Z165" s="36"/>
    </row>
    <row r="166" ht="15.75" customHeight="1">
      <c r="A166" s="36"/>
      <c r="B166" s="36"/>
      <c r="C166" s="36"/>
      <c r="D166" s="36"/>
      <c r="E166" s="36"/>
      <c r="F166" s="36"/>
      <c r="G166" s="36"/>
      <c r="H166" s="1"/>
      <c r="I166" s="36"/>
      <c r="J166" s="36"/>
      <c r="K166" s="36"/>
      <c r="L166" s="36"/>
      <c r="M166" s="36"/>
      <c r="N166" s="36"/>
      <c r="O166" s="36"/>
      <c r="P166" s="36"/>
      <c r="Q166" s="36"/>
      <c r="R166" s="36"/>
      <c r="S166" s="36"/>
      <c r="T166" s="36"/>
      <c r="U166" s="36"/>
      <c r="V166" s="36"/>
      <c r="W166" s="36"/>
      <c r="X166" s="36"/>
      <c r="Y166" s="36"/>
      <c r="Z166" s="36"/>
    </row>
    <row r="167" ht="15.75" customHeight="1">
      <c r="A167" s="36"/>
      <c r="B167" s="36"/>
      <c r="C167" s="36"/>
      <c r="D167" s="36"/>
      <c r="E167" s="36"/>
      <c r="F167" s="36"/>
      <c r="G167" s="36"/>
      <c r="H167" s="1"/>
      <c r="I167" s="36"/>
      <c r="J167" s="36"/>
      <c r="K167" s="36"/>
      <c r="L167" s="36"/>
      <c r="M167" s="36"/>
      <c r="N167" s="36"/>
      <c r="O167" s="36"/>
      <c r="P167" s="36"/>
      <c r="Q167" s="36"/>
      <c r="R167" s="36"/>
      <c r="S167" s="36"/>
      <c r="T167" s="36"/>
      <c r="U167" s="36"/>
      <c r="V167" s="36"/>
      <c r="W167" s="36"/>
      <c r="X167" s="36"/>
      <c r="Y167" s="36"/>
      <c r="Z167" s="36"/>
    </row>
    <row r="168" ht="15.75" customHeight="1">
      <c r="A168" s="36"/>
      <c r="B168" s="36"/>
      <c r="C168" s="36"/>
      <c r="D168" s="36"/>
      <c r="E168" s="36"/>
      <c r="F168" s="36"/>
      <c r="G168" s="36"/>
      <c r="H168" s="1"/>
      <c r="I168" s="36"/>
      <c r="J168" s="36"/>
      <c r="K168" s="36"/>
      <c r="L168" s="36"/>
      <c r="M168" s="36"/>
      <c r="N168" s="36"/>
      <c r="O168" s="36"/>
      <c r="P168" s="36"/>
      <c r="Q168" s="36"/>
      <c r="R168" s="36"/>
      <c r="S168" s="36"/>
      <c r="T168" s="36"/>
      <c r="U168" s="36"/>
      <c r="V168" s="36"/>
      <c r="W168" s="36"/>
      <c r="X168" s="36"/>
      <c r="Y168" s="36"/>
      <c r="Z168" s="36"/>
    </row>
    <row r="169" ht="15.75" customHeight="1">
      <c r="A169" s="36"/>
      <c r="B169" s="36"/>
      <c r="C169" s="36"/>
      <c r="D169" s="36"/>
      <c r="E169" s="36"/>
      <c r="F169" s="36"/>
      <c r="G169" s="36"/>
      <c r="H169" s="1"/>
      <c r="I169" s="36"/>
      <c r="J169" s="36"/>
      <c r="K169" s="36"/>
      <c r="L169" s="36"/>
      <c r="M169" s="36"/>
      <c r="N169" s="36"/>
      <c r="O169" s="36"/>
      <c r="P169" s="36"/>
      <c r="Q169" s="36"/>
      <c r="R169" s="36"/>
      <c r="S169" s="36"/>
      <c r="T169" s="36"/>
      <c r="U169" s="36"/>
      <c r="V169" s="36"/>
      <c r="W169" s="36"/>
      <c r="X169" s="36"/>
      <c r="Y169" s="36"/>
      <c r="Z169" s="36"/>
    </row>
    <row r="170" ht="15.75" customHeight="1">
      <c r="A170" s="36"/>
      <c r="B170" s="36"/>
      <c r="C170" s="36"/>
      <c r="D170" s="36"/>
      <c r="E170" s="36"/>
      <c r="F170" s="36"/>
      <c r="G170" s="36"/>
      <c r="H170" s="1"/>
      <c r="I170" s="36"/>
      <c r="J170" s="36"/>
      <c r="K170" s="36"/>
      <c r="L170" s="36"/>
      <c r="M170" s="36"/>
      <c r="N170" s="36"/>
      <c r="O170" s="36"/>
      <c r="P170" s="36"/>
      <c r="Q170" s="36"/>
      <c r="R170" s="36"/>
      <c r="S170" s="36"/>
      <c r="T170" s="36"/>
      <c r="U170" s="36"/>
      <c r="V170" s="36"/>
      <c r="W170" s="36"/>
      <c r="X170" s="36"/>
      <c r="Y170" s="36"/>
      <c r="Z170" s="36"/>
    </row>
    <row r="171" ht="15.75" customHeight="1">
      <c r="A171" s="36"/>
      <c r="B171" s="36"/>
      <c r="C171" s="36"/>
      <c r="D171" s="36"/>
      <c r="E171" s="36"/>
      <c r="F171" s="36"/>
      <c r="G171" s="36"/>
      <c r="H171" s="1"/>
      <c r="I171" s="36"/>
      <c r="J171" s="36"/>
      <c r="K171" s="36"/>
      <c r="L171" s="36"/>
      <c r="M171" s="36"/>
      <c r="N171" s="36"/>
      <c r="O171" s="36"/>
      <c r="P171" s="36"/>
      <c r="Q171" s="36"/>
      <c r="R171" s="36"/>
      <c r="S171" s="36"/>
      <c r="T171" s="36"/>
      <c r="U171" s="36"/>
      <c r="V171" s="36"/>
      <c r="W171" s="36"/>
      <c r="X171" s="36"/>
      <c r="Y171" s="36"/>
      <c r="Z171" s="36"/>
    </row>
    <row r="172" ht="15.75" customHeight="1">
      <c r="A172" s="36"/>
      <c r="B172" s="36"/>
      <c r="C172" s="36"/>
      <c r="D172" s="36"/>
      <c r="E172" s="36"/>
      <c r="F172" s="36"/>
      <c r="G172" s="36"/>
      <c r="H172" s="1"/>
      <c r="I172" s="36"/>
      <c r="J172" s="36"/>
      <c r="K172" s="36"/>
      <c r="L172" s="36"/>
      <c r="M172" s="36"/>
      <c r="N172" s="36"/>
      <c r="O172" s="36"/>
      <c r="P172" s="36"/>
      <c r="Q172" s="36"/>
      <c r="R172" s="36"/>
      <c r="S172" s="36"/>
      <c r="T172" s="36"/>
      <c r="U172" s="36"/>
      <c r="V172" s="36"/>
      <c r="W172" s="36"/>
      <c r="X172" s="36"/>
      <c r="Y172" s="36"/>
      <c r="Z172" s="36"/>
    </row>
    <row r="173" ht="15.75" customHeight="1">
      <c r="A173" s="36"/>
      <c r="B173" s="36"/>
      <c r="C173" s="36"/>
      <c r="D173" s="36"/>
      <c r="E173" s="36"/>
      <c r="F173" s="36"/>
      <c r="G173" s="36"/>
      <c r="H173" s="1"/>
      <c r="I173" s="36"/>
      <c r="J173" s="36"/>
      <c r="K173" s="36"/>
      <c r="L173" s="36"/>
      <c r="M173" s="36"/>
      <c r="N173" s="36"/>
      <c r="O173" s="36"/>
      <c r="P173" s="36"/>
      <c r="Q173" s="36"/>
      <c r="R173" s="36"/>
      <c r="S173" s="36"/>
      <c r="T173" s="36"/>
      <c r="U173" s="36"/>
      <c r="V173" s="36"/>
      <c r="W173" s="36"/>
      <c r="X173" s="36"/>
      <c r="Y173" s="36"/>
      <c r="Z173" s="36"/>
    </row>
    <row r="174" ht="15.75" customHeight="1">
      <c r="A174" s="36"/>
      <c r="B174" s="36"/>
      <c r="C174" s="36"/>
      <c r="D174" s="36"/>
      <c r="E174" s="36"/>
      <c r="F174" s="36"/>
      <c r="G174" s="36"/>
      <c r="H174" s="1"/>
      <c r="I174" s="36"/>
      <c r="J174" s="36"/>
      <c r="K174" s="36"/>
      <c r="L174" s="36"/>
      <c r="M174" s="36"/>
      <c r="N174" s="36"/>
      <c r="O174" s="36"/>
      <c r="P174" s="36"/>
      <c r="Q174" s="36"/>
      <c r="R174" s="36"/>
      <c r="S174" s="36"/>
      <c r="T174" s="36"/>
      <c r="U174" s="36"/>
      <c r="V174" s="36"/>
      <c r="W174" s="36"/>
      <c r="X174" s="36"/>
      <c r="Y174" s="36"/>
      <c r="Z174" s="36"/>
    </row>
    <row r="175" ht="15.75" customHeight="1">
      <c r="A175" s="36"/>
      <c r="B175" s="36"/>
      <c r="C175" s="36"/>
      <c r="D175" s="36"/>
      <c r="E175" s="36"/>
      <c r="F175" s="36"/>
      <c r="G175" s="36"/>
      <c r="H175" s="1"/>
      <c r="I175" s="36"/>
      <c r="J175" s="36"/>
      <c r="K175" s="36"/>
      <c r="L175" s="36"/>
      <c r="M175" s="36"/>
      <c r="N175" s="36"/>
      <c r="O175" s="36"/>
      <c r="P175" s="36"/>
      <c r="Q175" s="36"/>
      <c r="R175" s="36"/>
      <c r="S175" s="36"/>
      <c r="T175" s="36"/>
      <c r="U175" s="36"/>
      <c r="V175" s="36"/>
      <c r="W175" s="36"/>
      <c r="X175" s="36"/>
      <c r="Y175" s="36"/>
      <c r="Z175" s="36"/>
    </row>
    <row r="176" ht="15.75" customHeight="1">
      <c r="A176" s="36"/>
      <c r="B176" s="36"/>
      <c r="C176" s="36"/>
      <c r="D176" s="36"/>
      <c r="E176" s="36"/>
      <c r="F176" s="36"/>
      <c r="G176" s="36"/>
      <c r="H176" s="1"/>
      <c r="I176" s="36"/>
      <c r="J176" s="36"/>
      <c r="K176" s="36"/>
      <c r="L176" s="36"/>
      <c r="M176" s="36"/>
      <c r="N176" s="36"/>
      <c r="O176" s="36"/>
      <c r="P176" s="36"/>
      <c r="Q176" s="36"/>
      <c r="R176" s="36"/>
      <c r="S176" s="36"/>
      <c r="T176" s="36"/>
      <c r="U176" s="36"/>
      <c r="V176" s="36"/>
      <c r="W176" s="36"/>
      <c r="X176" s="36"/>
      <c r="Y176" s="36"/>
      <c r="Z176" s="36"/>
    </row>
    <row r="177" ht="15.75" customHeight="1">
      <c r="A177" s="36"/>
      <c r="B177" s="36"/>
      <c r="C177" s="36"/>
      <c r="D177" s="36"/>
      <c r="E177" s="36"/>
      <c r="F177" s="36"/>
      <c r="G177" s="36"/>
      <c r="H177" s="1"/>
      <c r="I177" s="36"/>
      <c r="J177" s="36"/>
      <c r="K177" s="36"/>
      <c r="L177" s="36"/>
      <c r="M177" s="36"/>
      <c r="N177" s="36"/>
      <c r="O177" s="36"/>
      <c r="P177" s="36"/>
      <c r="Q177" s="36"/>
      <c r="R177" s="36"/>
      <c r="S177" s="36"/>
      <c r="T177" s="36"/>
      <c r="U177" s="36"/>
      <c r="V177" s="36"/>
      <c r="W177" s="36"/>
      <c r="X177" s="36"/>
      <c r="Y177" s="36"/>
      <c r="Z177" s="36"/>
    </row>
    <row r="178" ht="15.75" customHeight="1">
      <c r="A178" s="36"/>
      <c r="B178" s="36"/>
      <c r="C178" s="36"/>
      <c r="D178" s="36"/>
      <c r="E178" s="36"/>
      <c r="F178" s="36"/>
      <c r="G178" s="36"/>
      <c r="H178" s="1"/>
      <c r="I178" s="36"/>
      <c r="J178" s="36"/>
      <c r="K178" s="36"/>
      <c r="L178" s="36"/>
      <c r="M178" s="36"/>
      <c r="N178" s="36"/>
      <c r="O178" s="36"/>
      <c r="P178" s="36"/>
      <c r="Q178" s="36"/>
      <c r="R178" s="36"/>
      <c r="S178" s="36"/>
      <c r="T178" s="36"/>
      <c r="U178" s="36"/>
      <c r="V178" s="36"/>
      <c r="W178" s="36"/>
      <c r="X178" s="36"/>
      <c r="Y178" s="36"/>
      <c r="Z178" s="36"/>
    </row>
    <row r="179" ht="15.75" customHeight="1">
      <c r="A179" s="36"/>
      <c r="B179" s="36"/>
      <c r="C179" s="36"/>
      <c r="D179" s="36"/>
      <c r="E179" s="36"/>
      <c r="F179" s="36"/>
      <c r="G179" s="36"/>
      <c r="H179" s="1"/>
      <c r="I179" s="36"/>
      <c r="J179" s="36"/>
      <c r="K179" s="36"/>
      <c r="L179" s="36"/>
      <c r="M179" s="36"/>
      <c r="N179" s="36"/>
      <c r="O179" s="36"/>
      <c r="P179" s="36"/>
      <c r="Q179" s="36"/>
      <c r="R179" s="36"/>
      <c r="S179" s="36"/>
      <c r="T179" s="36"/>
      <c r="U179" s="36"/>
      <c r="V179" s="36"/>
      <c r="W179" s="36"/>
      <c r="X179" s="36"/>
      <c r="Y179" s="36"/>
      <c r="Z179" s="36"/>
    </row>
    <row r="180" ht="15.75" customHeight="1">
      <c r="A180" s="36"/>
      <c r="B180" s="36"/>
      <c r="C180" s="36"/>
      <c r="D180" s="36"/>
      <c r="E180" s="36"/>
      <c r="F180" s="36"/>
      <c r="G180" s="36"/>
      <c r="H180" s="1"/>
      <c r="I180" s="36"/>
      <c r="J180" s="36"/>
      <c r="K180" s="36"/>
      <c r="L180" s="36"/>
      <c r="M180" s="36"/>
      <c r="N180" s="36"/>
      <c r="O180" s="36"/>
      <c r="P180" s="36"/>
      <c r="Q180" s="36"/>
      <c r="R180" s="36"/>
      <c r="S180" s="36"/>
      <c r="T180" s="36"/>
      <c r="U180" s="36"/>
      <c r="V180" s="36"/>
      <c r="W180" s="36"/>
      <c r="X180" s="36"/>
      <c r="Y180" s="36"/>
      <c r="Z180" s="36"/>
    </row>
    <row r="181" ht="15.75" customHeight="1">
      <c r="A181" s="36"/>
      <c r="B181" s="36"/>
      <c r="C181" s="36"/>
      <c r="D181" s="36"/>
      <c r="E181" s="36"/>
      <c r="F181" s="36"/>
      <c r="G181" s="36"/>
      <c r="H181" s="1"/>
      <c r="I181" s="36"/>
      <c r="J181" s="36"/>
      <c r="K181" s="36"/>
      <c r="L181" s="36"/>
      <c r="M181" s="36"/>
      <c r="N181" s="36"/>
      <c r="O181" s="36"/>
      <c r="P181" s="36"/>
      <c r="Q181" s="36"/>
      <c r="R181" s="36"/>
      <c r="S181" s="36"/>
      <c r="T181" s="36"/>
      <c r="U181" s="36"/>
      <c r="V181" s="36"/>
      <c r="W181" s="36"/>
      <c r="X181" s="36"/>
      <c r="Y181" s="36"/>
      <c r="Z181" s="36"/>
    </row>
    <row r="182" ht="15.75" customHeight="1">
      <c r="A182" s="36"/>
      <c r="B182" s="36"/>
      <c r="C182" s="36"/>
      <c r="D182" s="36"/>
      <c r="E182" s="36"/>
      <c r="F182" s="36"/>
      <c r="G182" s="36"/>
      <c r="H182" s="1"/>
      <c r="I182" s="36"/>
      <c r="J182" s="36"/>
      <c r="K182" s="36"/>
      <c r="L182" s="36"/>
      <c r="M182" s="36"/>
      <c r="N182" s="36"/>
      <c r="O182" s="36"/>
      <c r="P182" s="36"/>
      <c r="Q182" s="36"/>
      <c r="R182" s="36"/>
      <c r="S182" s="36"/>
      <c r="T182" s="36"/>
      <c r="U182" s="36"/>
      <c r="V182" s="36"/>
      <c r="W182" s="36"/>
      <c r="X182" s="36"/>
      <c r="Y182" s="36"/>
      <c r="Z182" s="36"/>
    </row>
    <row r="183" ht="15.75" customHeight="1">
      <c r="A183" s="36"/>
      <c r="B183" s="36"/>
      <c r="C183" s="36"/>
      <c r="D183" s="36"/>
      <c r="E183" s="36"/>
      <c r="F183" s="36"/>
      <c r="G183" s="36"/>
      <c r="H183" s="1"/>
      <c r="I183" s="36"/>
      <c r="J183" s="36"/>
      <c r="K183" s="36"/>
      <c r="L183" s="36"/>
      <c r="M183" s="36"/>
      <c r="N183" s="36"/>
      <c r="O183" s="36"/>
      <c r="P183" s="36"/>
      <c r="Q183" s="36"/>
      <c r="R183" s="36"/>
      <c r="S183" s="36"/>
      <c r="T183" s="36"/>
      <c r="U183" s="36"/>
      <c r="V183" s="36"/>
      <c r="W183" s="36"/>
      <c r="X183" s="36"/>
      <c r="Y183" s="36"/>
      <c r="Z183" s="36"/>
    </row>
    <row r="184" ht="15.75" customHeight="1">
      <c r="A184" s="36"/>
      <c r="B184" s="36"/>
      <c r="C184" s="36"/>
      <c r="D184" s="36"/>
      <c r="E184" s="36"/>
      <c r="F184" s="36"/>
      <c r="G184" s="36"/>
      <c r="H184" s="1"/>
      <c r="I184" s="36"/>
      <c r="J184" s="36"/>
      <c r="K184" s="36"/>
      <c r="L184" s="36"/>
      <c r="M184" s="36"/>
      <c r="N184" s="36"/>
      <c r="O184" s="36"/>
      <c r="P184" s="36"/>
      <c r="Q184" s="36"/>
      <c r="R184" s="36"/>
      <c r="S184" s="36"/>
      <c r="T184" s="36"/>
      <c r="U184" s="36"/>
      <c r="V184" s="36"/>
      <c r="W184" s="36"/>
      <c r="X184" s="36"/>
      <c r="Y184" s="36"/>
      <c r="Z184" s="36"/>
    </row>
    <row r="185" ht="15.75" customHeight="1">
      <c r="A185" s="36"/>
      <c r="B185" s="36"/>
      <c r="C185" s="36"/>
      <c r="D185" s="36"/>
      <c r="E185" s="36"/>
      <c r="F185" s="36"/>
      <c r="G185" s="36"/>
      <c r="H185" s="1"/>
      <c r="I185" s="36"/>
      <c r="J185" s="36"/>
      <c r="K185" s="36"/>
      <c r="L185" s="36"/>
      <c r="M185" s="36"/>
      <c r="N185" s="36"/>
      <c r="O185" s="36"/>
      <c r="P185" s="36"/>
      <c r="Q185" s="36"/>
      <c r="R185" s="36"/>
      <c r="S185" s="36"/>
      <c r="T185" s="36"/>
      <c r="U185" s="36"/>
      <c r="V185" s="36"/>
      <c r="W185" s="36"/>
      <c r="X185" s="36"/>
      <c r="Y185" s="36"/>
      <c r="Z185" s="36"/>
    </row>
    <row r="186" ht="15.75" customHeight="1">
      <c r="A186" s="36"/>
      <c r="B186" s="36"/>
      <c r="C186" s="36"/>
      <c r="D186" s="36"/>
      <c r="E186" s="36"/>
      <c r="F186" s="36"/>
      <c r="G186" s="36"/>
      <c r="H186" s="1"/>
      <c r="I186" s="36"/>
      <c r="J186" s="36"/>
      <c r="K186" s="36"/>
      <c r="L186" s="36"/>
      <c r="M186" s="36"/>
      <c r="N186" s="36"/>
      <c r="O186" s="36"/>
      <c r="P186" s="36"/>
      <c r="Q186" s="36"/>
      <c r="R186" s="36"/>
      <c r="S186" s="36"/>
      <c r="T186" s="36"/>
      <c r="U186" s="36"/>
      <c r="V186" s="36"/>
      <c r="W186" s="36"/>
      <c r="X186" s="36"/>
      <c r="Y186" s="36"/>
      <c r="Z186" s="36"/>
    </row>
    <row r="187" ht="15.75" customHeight="1">
      <c r="H187" s="1"/>
    </row>
    <row r="188" ht="15.75" customHeight="1">
      <c r="H188" s="1"/>
    </row>
    <row r="189" ht="15.75" customHeight="1">
      <c r="H189" s="1"/>
    </row>
    <row r="190" ht="15.75" customHeight="1">
      <c r="H190" s="1"/>
    </row>
    <row r="191" ht="15.75" customHeight="1">
      <c r="H191" s="1"/>
    </row>
    <row r="192" ht="15.75" customHeight="1">
      <c r="H192" s="1"/>
    </row>
    <row r="193" ht="15.75" customHeight="1">
      <c r="H193" s="1"/>
    </row>
    <row r="194" ht="15.75" customHeight="1">
      <c r="H194" s="1"/>
    </row>
    <row r="195" ht="15.75" customHeight="1">
      <c r="H195" s="1"/>
    </row>
    <row r="196" ht="15.75" customHeight="1">
      <c r="H196" s="1"/>
    </row>
    <row r="197" ht="15.75" customHeight="1">
      <c r="H197" s="1"/>
    </row>
    <row r="198" ht="15.75" customHeight="1">
      <c r="H198" s="1"/>
    </row>
    <row r="199" ht="15.75" customHeight="1">
      <c r="H199" s="1"/>
    </row>
    <row r="200" ht="15.75" customHeight="1">
      <c r="H200" s="1"/>
    </row>
    <row r="201" ht="15.75" customHeight="1">
      <c r="H201" s="1"/>
    </row>
    <row r="202" ht="15.75" customHeight="1">
      <c r="H202" s="1"/>
    </row>
    <row r="203" ht="15.75" customHeight="1">
      <c r="H203" s="1"/>
    </row>
    <row r="204" ht="15.75" customHeight="1">
      <c r="H204" s="1"/>
    </row>
    <row r="205" ht="15.75" customHeight="1">
      <c r="H205" s="1"/>
    </row>
    <row r="206" ht="15.75" customHeight="1">
      <c r="H206" s="1"/>
    </row>
    <row r="207" ht="15.75" customHeight="1">
      <c r="H207" s="1"/>
    </row>
    <row r="208" ht="15.75" customHeight="1">
      <c r="H208" s="1"/>
    </row>
    <row r="209" ht="15.75" customHeight="1">
      <c r="H209" s="1"/>
    </row>
    <row r="210" ht="15.75" customHeight="1">
      <c r="H210" s="1"/>
    </row>
    <row r="211" ht="15.75" customHeight="1">
      <c r="H211" s="1"/>
    </row>
    <row r="212" ht="15.75" customHeight="1">
      <c r="H212" s="1"/>
    </row>
    <row r="213" ht="15.75" customHeight="1">
      <c r="H213" s="1"/>
    </row>
    <row r="214" ht="15.75" customHeight="1">
      <c r="H214" s="1"/>
    </row>
    <row r="215" ht="15.75" customHeight="1">
      <c r="H215" s="1"/>
    </row>
    <row r="216" ht="15.75" customHeight="1">
      <c r="H216" s="1"/>
    </row>
    <row r="217" ht="15.75" customHeight="1">
      <c r="H217" s="1"/>
    </row>
    <row r="218" ht="15.75" customHeight="1">
      <c r="H218" s="1"/>
    </row>
    <row r="219" ht="15.75" customHeight="1">
      <c r="H219" s="1"/>
    </row>
    <row r="220" ht="15.75" customHeight="1">
      <c r="H220" s="1"/>
    </row>
    <row r="221" ht="15.75" customHeight="1">
      <c r="H221" s="1"/>
    </row>
    <row r="222" ht="15.75" customHeight="1">
      <c r="H222" s="1"/>
    </row>
    <row r="223" ht="15.75" customHeight="1">
      <c r="H223" s="1"/>
    </row>
    <row r="224" ht="15.75" customHeight="1">
      <c r="H224" s="1"/>
    </row>
    <row r="225" ht="15.75" customHeight="1">
      <c r="H225" s="1"/>
    </row>
    <row r="226" ht="15.75" customHeight="1">
      <c r="H226" s="1"/>
    </row>
    <row r="227" ht="15.75" customHeight="1">
      <c r="H227" s="1"/>
    </row>
    <row r="228" ht="15.75" customHeight="1">
      <c r="H228" s="1"/>
    </row>
    <row r="229" ht="15.75" customHeight="1">
      <c r="H229" s="1"/>
    </row>
    <row r="230" ht="15.75" customHeight="1">
      <c r="H230" s="1"/>
    </row>
    <row r="231" ht="15.75" customHeight="1">
      <c r="H231" s="1"/>
    </row>
    <row r="232" ht="15.75" customHeight="1">
      <c r="H232" s="1"/>
    </row>
    <row r="233" ht="15.75" customHeight="1">
      <c r="H233" s="1"/>
    </row>
    <row r="234" ht="15.75" customHeight="1">
      <c r="H234" s="1"/>
    </row>
    <row r="235" ht="15.75" customHeight="1">
      <c r="H235" s="1"/>
    </row>
    <row r="236" ht="15.75" customHeight="1">
      <c r="H236" s="1"/>
    </row>
    <row r="237" ht="15.75" customHeight="1">
      <c r="H237" s="1"/>
    </row>
    <row r="238" ht="15.75" customHeight="1">
      <c r="H238" s="1"/>
    </row>
    <row r="239" ht="15.75" customHeight="1">
      <c r="H239" s="1"/>
    </row>
    <row r="240" ht="15.75" customHeight="1">
      <c r="H240" s="1"/>
    </row>
    <row r="241" ht="15.75" customHeight="1">
      <c r="H241" s="1"/>
    </row>
    <row r="242" ht="15.75" customHeight="1">
      <c r="H242" s="1"/>
    </row>
    <row r="243" ht="15.75" customHeight="1">
      <c r="H243" s="1"/>
    </row>
    <row r="244" ht="15.75" customHeight="1">
      <c r="H244" s="1"/>
    </row>
    <row r="245" ht="15.75" customHeight="1">
      <c r="H245" s="1"/>
    </row>
    <row r="246" ht="15.75" customHeight="1">
      <c r="H246" s="1"/>
    </row>
    <row r="247" ht="15.75" customHeight="1">
      <c r="H247" s="1"/>
    </row>
    <row r="248" ht="15.75" customHeight="1">
      <c r="H248" s="1"/>
    </row>
    <row r="249" ht="15.75" customHeight="1">
      <c r="H249" s="1"/>
    </row>
    <row r="250" ht="15.75" customHeight="1">
      <c r="H250" s="1"/>
    </row>
    <row r="251" ht="15.75" customHeight="1">
      <c r="H251" s="1"/>
    </row>
    <row r="252" ht="15.75" customHeight="1">
      <c r="H252" s="1"/>
    </row>
    <row r="253" ht="15.75" customHeight="1">
      <c r="H253" s="1"/>
    </row>
    <row r="254" ht="15.75" customHeight="1">
      <c r="H254" s="1"/>
    </row>
    <row r="255" ht="15.75" customHeight="1">
      <c r="H255" s="1"/>
    </row>
    <row r="256" ht="15.75" customHeight="1">
      <c r="H256" s="1"/>
    </row>
    <row r="257" ht="15.75" customHeight="1">
      <c r="H257" s="1"/>
    </row>
    <row r="258" ht="15.75" customHeight="1">
      <c r="H258" s="1"/>
    </row>
    <row r="259" ht="15.75" customHeight="1">
      <c r="H259" s="1"/>
    </row>
    <row r="260" ht="15.75" customHeight="1">
      <c r="H260" s="1"/>
    </row>
    <row r="261" ht="15.75" customHeight="1">
      <c r="H261" s="1"/>
    </row>
    <row r="262" ht="15.75" customHeight="1">
      <c r="H262" s="1"/>
    </row>
    <row r="263" ht="15.75" customHeight="1">
      <c r="H263" s="1"/>
    </row>
    <row r="264" ht="15.75" customHeight="1">
      <c r="H264" s="1"/>
    </row>
    <row r="265" ht="15.75" customHeight="1">
      <c r="H265" s="1"/>
    </row>
    <row r="266" ht="15.75" customHeight="1">
      <c r="H266" s="1"/>
    </row>
    <row r="267" ht="15.75" customHeight="1">
      <c r="H267" s="1"/>
    </row>
    <row r="268" ht="15.75" customHeight="1">
      <c r="H268" s="1"/>
    </row>
    <row r="269" ht="15.75" customHeight="1">
      <c r="H269" s="1"/>
    </row>
    <row r="270" ht="15.75" customHeight="1">
      <c r="H270" s="1"/>
    </row>
    <row r="271" ht="15.75" customHeight="1">
      <c r="H271" s="1"/>
    </row>
    <row r="272" ht="15.75" customHeight="1">
      <c r="H272" s="1"/>
    </row>
    <row r="273" ht="15.75" customHeight="1">
      <c r="H273" s="1"/>
    </row>
    <row r="274" ht="15.75" customHeight="1">
      <c r="H274" s="1"/>
    </row>
    <row r="275" ht="15.75" customHeight="1">
      <c r="H275" s="1"/>
    </row>
    <row r="276" ht="15.75" customHeight="1">
      <c r="H276" s="1"/>
    </row>
    <row r="277" ht="15.75" customHeight="1">
      <c r="H277" s="1"/>
    </row>
    <row r="278" ht="15.75" customHeight="1">
      <c r="H278" s="1"/>
    </row>
    <row r="279" ht="15.75" customHeight="1">
      <c r="H279" s="1"/>
    </row>
    <row r="280" ht="15.75" customHeight="1">
      <c r="H280" s="1"/>
    </row>
    <row r="281" ht="15.75" customHeight="1">
      <c r="H281" s="1"/>
    </row>
    <row r="282" ht="15.75" customHeight="1">
      <c r="H282" s="1"/>
    </row>
    <row r="283" ht="15.75" customHeight="1">
      <c r="H283" s="1"/>
    </row>
    <row r="284" ht="15.75" customHeight="1">
      <c r="H284" s="1"/>
    </row>
    <row r="285" ht="15.75" customHeight="1">
      <c r="H285" s="1"/>
    </row>
    <row r="286" ht="15.75" customHeight="1">
      <c r="H286" s="1"/>
    </row>
    <row r="287" ht="15.75" customHeight="1">
      <c r="H287" s="1"/>
    </row>
    <row r="288" ht="15.75" customHeight="1">
      <c r="H288" s="1"/>
    </row>
    <row r="289" ht="15.75" customHeight="1">
      <c r="H289" s="1"/>
    </row>
    <row r="290" ht="15.75" customHeight="1">
      <c r="H290" s="1"/>
    </row>
    <row r="291" ht="15.75" customHeight="1">
      <c r="H291" s="1"/>
    </row>
    <row r="292" ht="15.75" customHeight="1">
      <c r="H292" s="1"/>
    </row>
    <row r="293" ht="15.75" customHeight="1">
      <c r="H293" s="1"/>
    </row>
    <row r="294" ht="15.75" customHeight="1">
      <c r="H294" s="1"/>
    </row>
    <row r="295" ht="15.75" customHeight="1">
      <c r="H295" s="1"/>
    </row>
    <row r="296" ht="15.75" customHeight="1">
      <c r="H296" s="1"/>
    </row>
    <row r="297" ht="15.75" customHeight="1">
      <c r="H297" s="1"/>
    </row>
    <row r="298" ht="15.75" customHeight="1">
      <c r="H298" s="1"/>
    </row>
    <row r="299" ht="15.75" customHeight="1">
      <c r="H299" s="1"/>
    </row>
    <row r="300" ht="15.75" customHeight="1">
      <c r="H300" s="1"/>
    </row>
    <row r="301" ht="15.75" customHeight="1">
      <c r="H301" s="1"/>
    </row>
    <row r="302" ht="15.75" customHeight="1">
      <c r="H302" s="1"/>
    </row>
    <row r="303" ht="15.75" customHeight="1">
      <c r="H303" s="1"/>
    </row>
    <row r="304" ht="15.75" customHeight="1">
      <c r="H304" s="1"/>
    </row>
    <row r="305" ht="15.75" customHeight="1">
      <c r="H305" s="1"/>
    </row>
    <row r="306" ht="15.75" customHeight="1">
      <c r="H306" s="1"/>
    </row>
    <row r="307" ht="15.75" customHeight="1">
      <c r="H307" s="1"/>
    </row>
    <row r="308" ht="15.75" customHeight="1">
      <c r="H308" s="1"/>
    </row>
    <row r="309" ht="15.75" customHeight="1">
      <c r="H309" s="1"/>
    </row>
    <row r="310" ht="15.75" customHeight="1">
      <c r="H310" s="1"/>
    </row>
    <row r="311" ht="15.75" customHeight="1">
      <c r="H311" s="1"/>
    </row>
    <row r="312" ht="15.75" customHeight="1">
      <c r="H312" s="1"/>
    </row>
    <row r="313" ht="15.75" customHeight="1">
      <c r="H313" s="1"/>
    </row>
    <row r="314" ht="15.75" customHeight="1">
      <c r="H314" s="1"/>
    </row>
    <row r="315" ht="15.75" customHeight="1">
      <c r="H315" s="1"/>
    </row>
    <row r="316" ht="15.75" customHeight="1">
      <c r="H316" s="1"/>
    </row>
    <row r="317" ht="15.75" customHeight="1">
      <c r="H317" s="1"/>
    </row>
    <row r="318" ht="15.75" customHeight="1">
      <c r="H318" s="1"/>
    </row>
    <row r="319" ht="15.75" customHeight="1">
      <c r="H319" s="1"/>
    </row>
    <row r="320" ht="15.75" customHeight="1">
      <c r="H320" s="1"/>
    </row>
    <row r="321" ht="15.75" customHeight="1">
      <c r="H321" s="1"/>
    </row>
    <row r="322" ht="15.75" customHeight="1">
      <c r="H322" s="1"/>
    </row>
    <row r="323" ht="15.75" customHeight="1">
      <c r="H323" s="1"/>
    </row>
    <row r="324" ht="15.75" customHeight="1">
      <c r="H324" s="1"/>
    </row>
    <row r="325" ht="15.75" customHeight="1">
      <c r="H325" s="1"/>
    </row>
    <row r="326" ht="15.75" customHeight="1">
      <c r="H326" s="1"/>
    </row>
    <row r="327" ht="15.75" customHeight="1">
      <c r="H327" s="1"/>
    </row>
    <row r="328" ht="15.75" customHeight="1">
      <c r="H328" s="1"/>
    </row>
    <row r="329" ht="15.75" customHeight="1">
      <c r="H329" s="1"/>
    </row>
    <row r="330" ht="15.75" customHeight="1">
      <c r="H330" s="1"/>
    </row>
    <row r="331" ht="15.75" customHeight="1">
      <c r="H331" s="1"/>
    </row>
    <row r="332" ht="15.75" customHeight="1">
      <c r="H332" s="1"/>
    </row>
    <row r="333" ht="15.75" customHeight="1">
      <c r="H333" s="1"/>
    </row>
    <row r="334" ht="15.75" customHeight="1">
      <c r="H334" s="1"/>
    </row>
    <row r="335" ht="15.75" customHeight="1">
      <c r="H335" s="1"/>
    </row>
    <row r="336" ht="15.75" customHeight="1">
      <c r="H336" s="1"/>
    </row>
    <row r="337" ht="15.75" customHeight="1">
      <c r="H337" s="1"/>
    </row>
    <row r="338" ht="15.75" customHeight="1">
      <c r="H338" s="1"/>
    </row>
    <row r="339" ht="15.75" customHeight="1">
      <c r="H339" s="1"/>
    </row>
    <row r="340" ht="15.75" customHeight="1">
      <c r="H340" s="1"/>
    </row>
    <row r="341" ht="15.75" customHeight="1">
      <c r="H341" s="1"/>
    </row>
    <row r="342" ht="15.75" customHeight="1">
      <c r="H342" s="1"/>
    </row>
    <row r="343" ht="15.75" customHeight="1">
      <c r="H343" s="1"/>
    </row>
    <row r="344" ht="15.75" customHeight="1">
      <c r="H344" s="1"/>
    </row>
    <row r="345" ht="15.75" customHeight="1">
      <c r="H345" s="1"/>
    </row>
    <row r="346" ht="15.75" customHeight="1">
      <c r="H346" s="1"/>
    </row>
    <row r="347" ht="15.75" customHeight="1">
      <c r="H347" s="1"/>
    </row>
    <row r="348" ht="15.75" customHeight="1">
      <c r="H348" s="1"/>
    </row>
    <row r="349" ht="15.75" customHeight="1">
      <c r="H349" s="1"/>
    </row>
    <row r="350" ht="15.75" customHeight="1">
      <c r="H350" s="1"/>
    </row>
    <row r="351" ht="15.75" customHeight="1">
      <c r="H351" s="1"/>
    </row>
    <row r="352" ht="15.75" customHeight="1">
      <c r="H352" s="1"/>
    </row>
    <row r="353" ht="15.75" customHeight="1">
      <c r="H353" s="1"/>
    </row>
    <row r="354" ht="15.75" customHeight="1">
      <c r="H354" s="1"/>
    </row>
    <row r="355" ht="15.75" customHeight="1">
      <c r="H355" s="1"/>
    </row>
    <row r="356" ht="15.75" customHeight="1">
      <c r="H356" s="1"/>
    </row>
    <row r="357" ht="15.75" customHeight="1">
      <c r="H357" s="1"/>
    </row>
    <row r="358" ht="15.75" customHeight="1">
      <c r="H358" s="1"/>
    </row>
    <row r="359" ht="15.75" customHeight="1">
      <c r="H359" s="1"/>
    </row>
    <row r="360" ht="15.75" customHeight="1">
      <c r="H360" s="1"/>
    </row>
    <row r="361" ht="15.75" customHeight="1">
      <c r="H361" s="1"/>
    </row>
    <row r="362" ht="15.75" customHeight="1">
      <c r="H362" s="1"/>
    </row>
    <row r="363" ht="15.75" customHeight="1">
      <c r="H363" s="1"/>
    </row>
    <row r="364" ht="15.75" customHeight="1">
      <c r="H364" s="1"/>
    </row>
    <row r="365" ht="15.75" customHeight="1">
      <c r="H365" s="1"/>
    </row>
    <row r="366" ht="15.75" customHeight="1">
      <c r="H366" s="1"/>
    </row>
    <row r="367" ht="15.75" customHeight="1">
      <c r="H367" s="1"/>
    </row>
    <row r="368" ht="15.75" customHeight="1">
      <c r="H368" s="1"/>
    </row>
    <row r="369" ht="15.75" customHeight="1">
      <c r="H369" s="1"/>
    </row>
    <row r="370" ht="15.75" customHeight="1">
      <c r="H370" s="1"/>
    </row>
    <row r="371" ht="15.75" customHeight="1">
      <c r="H371" s="1"/>
    </row>
    <row r="372" ht="15.75" customHeight="1">
      <c r="H372" s="1"/>
    </row>
    <row r="373" ht="15.75" customHeight="1">
      <c r="H373" s="1"/>
    </row>
    <row r="374" ht="15.75" customHeight="1">
      <c r="H374" s="1"/>
    </row>
    <row r="375" ht="15.75" customHeight="1">
      <c r="H375" s="1"/>
    </row>
    <row r="376" ht="15.75" customHeight="1">
      <c r="H376" s="1"/>
    </row>
    <row r="377" ht="15.75" customHeight="1">
      <c r="H377" s="1"/>
    </row>
    <row r="378" ht="15.75" customHeight="1">
      <c r="H378" s="1"/>
    </row>
    <row r="379" ht="15.75" customHeight="1">
      <c r="H379" s="1"/>
    </row>
    <row r="380" ht="15.75" customHeight="1">
      <c r="H380" s="1"/>
    </row>
    <row r="381" ht="15.75" customHeight="1">
      <c r="H381" s="1"/>
    </row>
    <row r="382" ht="15.75" customHeight="1">
      <c r="H382" s="1"/>
    </row>
    <row r="383" ht="15.75" customHeight="1">
      <c r="H383" s="1"/>
    </row>
    <row r="384" ht="15.75" customHeight="1">
      <c r="H384" s="1"/>
    </row>
    <row r="385" ht="15.75" customHeight="1">
      <c r="H385" s="1"/>
    </row>
    <row r="386" ht="15.75" customHeight="1">
      <c r="H386" s="1"/>
    </row>
    <row r="387" ht="15.75" customHeight="1">
      <c r="H387" s="1"/>
    </row>
    <row r="388" ht="15.75" customHeight="1">
      <c r="H388" s="1"/>
    </row>
    <row r="389" ht="15.75" customHeight="1">
      <c r="H389" s="1"/>
    </row>
    <row r="390" ht="15.75" customHeight="1">
      <c r="H390" s="1"/>
    </row>
    <row r="391" ht="15.75" customHeight="1">
      <c r="H391" s="1"/>
    </row>
    <row r="392" ht="15.75" customHeight="1">
      <c r="H392" s="1"/>
    </row>
    <row r="393" ht="15.75" customHeight="1">
      <c r="H393" s="1"/>
    </row>
    <row r="394" ht="15.75" customHeight="1">
      <c r="H394" s="1"/>
    </row>
    <row r="395" ht="15.75" customHeight="1">
      <c r="H395" s="1"/>
    </row>
    <row r="396" ht="15.75" customHeight="1">
      <c r="H396" s="1"/>
    </row>
    <row r="397" ht="15.75" customHeight="1">
      <c r="H397" s="1"/>
    </row>
    <row r="398" ht="15.75" customHeight="1">
      <c r="H398" s="1"/>
    </row>
    <row r="399" ht="15.75" customHeight="1">
      <c r="H399" s="1"/>
    </row>
    <row r="400" ht="15.75" customHeight="1">
      <c r="H400" s="1"/>
    </row>
    <row r="401" ht="15.75" customHeight="1">
      <c r="H401" s="1"/>
    </row>
    <row r="402" ht="15.75" customHeight="1">
      <c r="H402" s="1"/>
    </row>
    <row r="403" ht="15.75" customHeight="1">
      <c r="H403" s="1"/>
    </row>
    <row r="404" ht="15.75" customHeight="1">
      <c r="H404" s="1"/>
    </row>
    <row r="405" ht="15.75" customHeight="1">
      <c r="H405" s="1"/>
    </row>
    <row r="406" ht="15.75" customHeight="1">
      <c r="H406" s="1"/>
    </row>
    <row r="407" ht="15.75" customHeight="1">
      <c r="H407" s="1"/>
    </row>
    <row r="408" ht="15.75" customHeight="1">
      <c r="H408" s="1"/>
    </row>
    <row r="409" ht="15.75" customHeight="1">
      <c r="H409" s="1"/>
    </row>
    <row r="410" ht="15.75" customHeight="1">
      <c r="H410" s="1"/>
    </row>
    <row r="411" ht="15.75" customHeight="1">
      <c r="H411" s="1"/>
    </row>
    <row r="412" ht="15.75" customHeight="1">
      <c r="H412" s="1"/>
    </row>
    <row r="413" ht="15.75" customHeight="1">
      <c r="H413" s="1"/>
    </row>
    <row r="414" ht="15.75" customHeight="1">
      <c r="H414" s="1"/>
    </row>
    <row r="415" ht="15.75" customHeight="1">
      <c r="H415" s="1"/>
    </row>
    <row r="416" ht="15.75" customHeight="1">
      <c r="H416" s="1"/>
    </row>
    <row r="417" ht="15.75" customHeight="1">
      <c r="H417" s="1"/>
    </row>
    <row r="418" ht="15.75" customHeight="1">
      <c r="H418" s="1"/>
    </row>
    <row r="419" ht="15.75" customHeight="1">
      <c r="H419" s="1"/>
    </row>
    <row r="420" ht="15.75" customHeight="1">
      <c r="H420" s="1"/>
    </row>
    <row r="421" ht="15.75" customHeight="1">
      <c r="H421" s="1"/>
    </row>
    <row r="422" ht="15.75" customHeight="1">
      <c r="H422" s="1"/>
    </row>
    <row r="423" ht="15.75" customHeight="1">
      <c r="H423" s="1"/>
    </row>
    <row r="424" ht="15.75" customHeight="1">
      <c r="H424" s="1"/>
    </row>
    <row r="425" ht="15.75" customHeight="1">
      <c r="H425" s="1"/>
    </row>
    <row r="426" ht="15.75" customHeight="1">
      <c r="H426" s="1"/>
    </row>
    <row r="427" ht="15.75" customHeight="1">
      <c r="H427" s="1"/>
    </row>
    <row r="428" ht="15.75" customHeight="1">
      <c r="H428" s="1"/>
    </row>
    <row r="429" ht="15.75" customHeight="1">
      <c r="H429" s="1"/>
    </row>
    <row r="430" ht="15.75" customHeight="1">
      <c r="H430" s="1"/>
    </row>
    <row r="431" ht="15.75" customHeight="1">
      <c r="H431" s="1"/>
    </row>
    <row r="432" ht="15.75" customHeight="1">
      <c r="H432" s="1"/>
    </row>
    <row r="433" ht="15.75" customHeight="1">
      <c r="H433" s="1"/>
    </row>
    <row r="434" ht="15.75" customHeight="1">
      <c r="H434" s="1"/>
    </row>
    <row r="435" ht="15.75" customHeight="1">
      <c r="H435" s="1"/>
    </row>
    <row r="436" ht="15.75" customHeight="1">
      <c r="H436" s="1"/>
    </row>
    <row r="437" ht="15.75" customHeight="1">
      <c r="H437" s="1"/>
    </row>
    <row r="438" ht="15.75" customHeight="1">
      <c r="H438" s="1"/>
    </row>
    <row r="439" ht="15.75" customHeight="1">
      <c r="H439" s="1"/>
    </row>
    <row r="440" ht="15.75" customHeight="1">
      <c r="H440" s="1"/>
    </row>
    <row r="441" ht="15.75" customHeight="1">
      <c r="H441" s="1"/>
    </row>
    <row r="442" ht="15.75" customHeight="1">
      <c r="H442" s="1"/>
    </row>
    <row r="443" ht="15.75" customHeight="1">
      <c r="H443" s="1"/>
    </row>
    <row r="444" ht="15.75" customHeight="1">
      <c r="H444" s="1"/>
    </row>
    <row r="445" ht="15.75" customHeight="1">
      <c r="H445" s="1"/>
    </row>
    <row r="446" ht="15.75" customHeight="1">
      <c r="H446" s="1"/>
    </row>
    <row r="447" ht="15.75" customHeight="1">
      <c r="H447" s="1"/>
    </row>
    <row r="448" ht="15.75" customHeight="1">
      <c r="H448" s="1"/>
    </row>
    <row r="449" ht="15.75" customHeight="1">
      <c r="H449" s="1"/>
    </row>
    <row r="450" ht="15.75" customHeight="1">
      <c r="H450" s="1"/>
    </row>
    <row r="451" ht="15.75" customHeight="1">
      <c r="H451" s="1"/>
    </row>
    <row r="452" ht="15.75" customHeight="1">
      <c r="H452" s="1"/>
    </row>
    <row r="453" ht="15.75" customHeight="1">
      <c r="H453" s="1"/>
    </row>
    <row r="454" ht="15.75" customHeight="1">
      <c r="H454" s="1"/>
    </row>
    <row r="455" ht="15.75" customHeight="1">
      <c r="H455" s="1"/>
    </row>
    <row r="456" ht="15.75" customHeight="1">
      <c r="H456" s="1"/>
    </row>
    <row r="457" ht="15.75" customHeight="1">
      <c r="H457" s="1"/>
    </row>
    <row r="458" ht="15.75" customHeight="1">
      <c r="H458" s="1"/>
    </row>
    <row r="459" ht="15.75" customHeight="1">
      <c r="H459" s="1"/>
    </row>
    <row r="460" ht="15.75" customHeight="1">
      <c r="H460" s="1"/>
    </row>
    <row r="461" ht="15.75" customHeight="1">
      <c r="H461" s="1"/>
    </row>
    <row r="462" ht="15.75" customHeight="1">
      <c r="H462" s="1"/>
    </row>
    <row r="463" ht="15.75" customHeight="1">
      <c r="H463" s="1"/>
    </row>
    <row r="464" ht="15.75" customHeight="1">
      <c r="H464" s="1"/>
    </row>
    <row r="465" ht="15.75" customHeight="1">
      <c r="H465" s="1"/>
    </row>
    <row r="466" ht="15.75" customHeight="1">
      <c r="H466" s="1"/>
    </row>
    <row r="467" ht="15.75" customHeight="1">
      <c r="H467" s="1"/>
    </row>
    <row r="468" ht="15.75" customHeight="1">
      <c r="H468" s="1"/>
    </row>
    <row r="469" ht="15.75" customHeight="1">
      <c r="H469" s="1"/>
    </row>
    <row r="470" ht="15.75" customHeight="1">
      <c r="H470" s="1"/>
    </row>
    <row r="471" ht="15.75" customHeight="1">
      <c r="H471" s="1"/>
    </row>
    <row r="472" ht="15.75" customHeight="1">
      <c r="H472" s="1"/>
    </row>
    <row r="473" ht="15.75" customHeight="1">
      <c r="H473" s="1"/>
    </row>
    <row r="474" ht="15.75" customHeight="1">
      <c r="H474" s="1"/>
    </row>
    <row r="475" ht="15.75" customHeight="1">
      <c r="H475" s="1"/>
    </row>
    <row r="476" ht="15.75" customHeight="1">
      <c r="H476" s="1"/>
    </row>
    <row r="477" ht="15.75" customHeight="1">
      <c r="H477" s="1"/>
    </row>
    <row r="478" ht="15.75" customHeight="1">
      <c r="H478" s="1"/>
    </row>
    <row r="479" ht="15.75" customHeight="1">
      <c r="H479" s="1"/>
    </row>
    <row r="480" ht="15.75" customHeight="1">
      <c r="H480" s="1"/>
    </row>
    <row r="481" ht="15.75" customHeight="1">
      <c r="H481" s="1"/>
    </row>
    <row r="482" ht="15.75" customHeight="1">
      <c r="H482" s="1"/>
    </row>
    <row r="483" ht="15.75" customHeight="1">
      <c r="H483" s="1"/>
    </row>
    <row r="484" ht="15.75" customHeight="1">
      <c r="H484" s="1"/>
    </row>
    <row r="485" ht="15.75" customHeight="1">
      <c r="H485" s="1"/>
    </row>
    <row r="486" ht="15.75" customHeight="1">
      <c r="H486" s="1"/>
    </row>
    <row r="487" ht="15.75" customHeight="1">
      <c r="H487" s="1"/>
    </row>
    <row r="488" ht="15.75" customHeight="1">
      <c r="H488" s="1"/>
    </row>
    <row r="489" ht="15.75" customHeight="1">
      <c r="H489" s="1"/>
    </row>
    <row r="490" ht="15.75" customHeight="1">
      <c r="H490" s="1"/>
    </row>
    <row r="491" ht="15.75" customHeight="1">
      <c r="H491" s="1"/>
    </row>
    <row r="492" ht="15.75" customHeight="1">
      <c r="H492" s="1"/>
    </row>
    <row r="493" ht="15.75" customHeight="1">
      <c r="H493" s="1"/>
    </row>
    <row r="494" ht="15.75" customHeight="1">
      <c r="H494" s="1"/>
    </row>
    <row r="495" ht="15.75" customHeight="1">
      <c r="H495" s="1"/>
    </row>
    <row r="496" ht="15.75" customHeight="1">
      <c r="H496" s="1"/>
    </row>
    <row r="497" ht="15.75" customHeight="1">
      <c r="H497" s="1"/>
    </row>
    <row r="498" ht="15.75" customHeight="1">
      <c r="H498" s="1"/>
    </row>
    <row r="499" ht="15.75" customHeight="1">
      <c r="H499" s="1"/>
    </row>
    <row r="500" ht="15.75" customHeight="1">
      <c r="H500" s="1"/>
    </row>
    <row r="501" ht="15.75" customHeight="1">
      <c r="H501" s="1"/>
    </row>
    <row r="502" ht="15.75" customHeight="1">
      <c r="H502" s="1"/>
    </row>
    <row r="503" ht="15.75" customHeight="1">
      <c r="H503" s="1"/>
    </row>
    <row r="504" ht="15.75" customHeight="1">
      <c r="H504" s="1"/>
    </row>
    <row r="505" ht="15.75" customHeight="1">
      <c r="H505" s="1"/>
    </row>
    <row r="506" ht="15.75" customHeight="1">
      <c r="H506" s="1"/>
    </row>
    <row r="507" ht="15.75" customHeight="1">
      <c r="H507" s="1"/>
    </row>
    <row r="508" ht="15.75" customHeight="1">
      <c r="H508" s="1"/>
    </row>
    <row r="509" ht="15.75" customHeight="1">
      <c r="H509" s="1"/>
    </row>
    <row r="510" ht="15.75" customHeight="1">
      <c r="H510" s="1"/>
    </row>
    <row r="511" ht="15.75" customHeight="1">
      <c r="H511" s="1"/>
    </row>
    <row r="512" ht="15.75" customHeight="1">
      <c r="H512" s="1"/>
    </row>
    <row r="513" ht="15.75" customHeight="1">
      <c r="H513" s="1"/>
    </row>
    <row r="514" ht="15.75" customHeight="1">
      <c r="H514" s="1"/>
    </row>
    <row r="515" ht="15.75" customHeight="1">
      <c r="H515" s="1"/>
    </row>
    <row r="516" ht="15.75" customHeight="1">
      <c r="H516" s="1"/>
    </row>
    <row r="517" ht="15.75" customHeight="1">
      <c r="H517" s="1"/>
    </row>
    <row r="518" ht="15.75" customHeight="1">
      <c r="H518" s="1"/>
    </row>
    <row r="519" ht="15.75" customHeight="1">
      <c r="H519" s="1"/>
    </row>
    <row r="520" ht="15.75" customHeight="1">
      <c r="H520" s="1"/>
    </row>
    <row r="521" ht="15.75" customHeight="1">
      <c r="H521" s="1"/>
    </row>
    <row r="522" ht="15.75" customHeight="1">
      <c r="H522" s="1"/>
    </row>
    <row r="523" ht="15.75" customHeight="1">
      <c r="H523" s="1"/>
    </row>
    <row r="524" ht="15.75" customHeight="1">
      <c r="H524" s="1"/>
    </row>
    <row r="525" ht="15.75" customHeight="1">
      <c r="H525" s="1"/>
    </row>
    <row r="526" ht="15.75" customHeight="1">
      <c r="H526" s="1"/>
    </row>
    <row r="527" ht="15.75" customHeight="1">
      <c r="H527" s="1"/>
    </row>
    <row r="528" ht="15.75" customHeight="1">
      <c r="H528" s="1"/>
    </row>
    <row r="529" ht="15.75" customHeight="1">
      <c r="H529" s="1"/>
    </row>
    <row r="530" ht="15.75" customHeight="1">
      <c r="H530" s="1"/>
    </row>
    <row r="531" ht="15.75" customHeight="1">
      <c r="H531" s="1"/>
    </row>
    <row r="532" ht="15.75" customHeight="1">
      <c r="H532" s="1"/>
    </row>
    <row r="533" ht="15.75" customHeight="1">
      <c r="H533" s="1"/>
    </row>
    <row r="534" ht="15.75" customHeight="1">
      <c r="H534" s="1"/>
    </row>
    <row r="535" ht="15.75" customHeight="1">
      <c r="H535" s="1"/>
    </row>
    <row r="536" ht="15.75" customHeight="1">
      <c r="H536" s="1"/>
    </row>
    <row r="537" ht="15.75" customHeight="1">
      <c r="H537" s="1"/>
    </row>
    <row r="538" ht="15.75" customHeight="1">
      <c r="H538" s="1"/>
    </row>
    <row r="539" ht="15.75" customHeight="1">
      <c r="H539" s="1"/>
    </row>
    <row r="540" ht="15.75" customHeight="1">
      <c r="H540" s="1"/>
    </row>
    <row r="541" ht="15.75" customHeight="1">
      <c r="H541" s="1"/>
    </row>
    <row r="542" ht="15.75" customHeight="1">
      <c r="H542" s="1"/>
    </row>
    <row r="543" ht="15.75" customHeight="1">
      <c r="H543" s="1"/>
    </row>
    <row r="544" ht="15.75" customHeight="1">
      <c r="H544" s="1"/>
    </row>
    <row r="545" ht="15.75" customHeight="1">
      <c r="H545" s="1"/>
    </row>
    <row r="546" ht="15.75" customHeight="1">
      <c r="H546" s="1"/>
    </row>
    <row r="547" ht="15.75" customHeight="1">
      <c r="H547" s="1"/>
    </row>
    <row r="548" ht="15.75" customHeight="1">
      <c r="H548" s="1"/>
    </row>
    <row r="549" ht="15.75" customHeight="1">
      <c r="H549" s="1"/>
    </row>
    <row r="550" ht="15.75" customHeight="1">
      <c r="H550" s="1"/>
    </row>
    <row r="551" ht="15.75" customHeight="1">
      <c r="H551" s="1"/>
    </row>
    <row r="552" ht="15.75" customHeight="1">
      <c r="H552" s="1"/>
    </row>
    <row r="553" ht="15.75" customHeight="1">
      <c r="H553" s="1"/>
    </row>
    <row r="554" ht="15.75" customHeight="1">
      <c r="H554" s="1"/>
    </row>
    <row r="555" ht="15.75" customHeight="1">
      <c r="H555" s="1"/>
    </row>
    <row r="556" ht="15.75" customHeight="1">
      <c r="H556" s="1"/>
    </row>
    <row r="557" ht="15.75" customHeight="1">
      <c r="H557" s="1"/>
    </row>
    <row r="558" ht="15.75" customHeight="1">
      <c r="H558" s="1"/>
    </row>
    <row r="559" ht="15.75" customHeight="1">
      <c r="H559" s="1"/>
    </row>
    <row r="560" ht="15.75" customHeight="1">
      <c r="H560" s="1"/>
    </row>
    <row r="561" ht="15.75" customHeight="1">
      <c r="H561" s="1"/>
    </row>
    <row r="562" ht="15.75" customHeight="1">
      <c r="H562" s="1"/>
    </row>
    <row r="563" ht="15.75" customHeight="1">
      <c r="H563" s="1"/>
    </row>
    <row r="564" ht="15.75" customHeight="1">
      <c r="H564" s="1"/>
    </row>
    <row r="565" ht="15.75" customHeight="1">
      <c r="H565" s="1"/>
    </row>
    <row r="566" ht="15.75" customHeight="1">
      <c r="H566" s="1"/>
    </row>
    <row r="567" ht="15.75" customHeight="1">
      <c r="H567" s="1"/>
    </row>
    <row r="568" ht="15.75" customHeight="1">
      <c r="H568" s="1"/>
    </row>
    <row r="569" ht="15.75" customHeight="1">
      <c r="H569" s="1"/>
    </row>
    <row r="570" ht="15.75" customHeight="1">
      <c r="H570" s="1"/>
    </row>
    <row r="571" ht="15.75" customHeight="1">
      <c r="H571" s="1"/>
    </row>
    <row r="572" ht="15.75" customHeight="1">
      <c r="H572" s="1"/>
    </row>
    <row r="573" ht="15.75" customHeight="1">
      <c r="H573" s="1"/>
    </row>
    <row r="574" ht="15.75" customHeight="1">
      <c r="H574" s="1"/>
    </row>
    <row r="575" ht="15.75" customHeight="1">
      <c r="H575" s="1"/>
    </row>
    <row r="576" ht="15.75" customHeight="1">
      <c r="H576" s="1"/>
    </row>
    <row r="577" ht="15.75" customHeight="1">
      <c r="H577" s="1"/>
    </row>
    <row r="578" ht="15.75" customHeight="1">
      <c r="H578" s="1"/>
    </row>
    <row r="579" ht="15.75" customHeight="1">
      <c r="H579" s="1"/>
    </row>
    <row r="580" ht="15.75" customHeight="1">
      <c r="H580" s="1"/>
    </row>
    <row r="581" ht="15.75" customHeight="1">
      <c r="H581" s="1"/>
    </row>
    <row r="582" ht="15.75" customHeight="1">
      <c r="H582" s="1"/>
    </row>
    <row r="583" ht="15.75" customHeight="1">
      <c r="H583" s="1"/>
    </row>
    <row r="584" ht="15.75" customHeight="1">
      <c r="H584" s="1"/>
    </row>
    <row r="585" ht="15.75" customHeight="1">
      <c r="H585" s="1"/>
    </row>
    <row r="586" ht="15.75" customHeight="1">
      <c r="H586" s="1"/>
    </row>
    <row r="587" ht="15.75" customHeight="1">
      <c r="H587" s="1"/>
    </row>
    <row r="588" ht="15.75" customHeight="1">
      <c r="H588" s="1"/>
    </row>
    <row r="589" ht="15.75" customHeight="1">
      <c r="H589" s="1"/>
    </row>
    <row r="590" ht="15.75" customHeight="1">
      <c r="H590" s="1"/>
    </row>
    <row r="591" ht="15.75" customHeight="1">
      <c r="H591" s="1"/>
    </row>
    <row r="592" ht="15.75" customHeight="1">
      <c r="H592" s="1"/>
    </row>
    <row r="593" ht="15.75" customHeight="1">
      <c r="H593" s="1"/>
    </row>
    <row r="594" ht="15.75" customHeight="1">
      <c r="H594" s="1"/>
    </row>
    <row r="595" ht="15.75" customHeight="1">
      <c r="H595" s="1"/>
    </row>
    <row r="596" ht="15.75" customHeight="1">
      <c r="H596" s="1"/>
    </row>
    <row r="597" ht="15.75" customHeight="1">
      <c r="H597" s="1"/>
    </row>
    <row r="598" ht="15.75" customHeight="1">
      <c r="H598" s="1"/>
    </row>
    <row r="599" ht="15.75" customHeight="1">
      <c r="H599" s="1"/>
    </row>
    <row r="600" ht="15.75" customHeight="1">
      <c r="H600" s="1"/>
    </row>
    <row r="601" ht="15.75" customHeight="1">
      <c r="H601" s="1"/>
    </row>
    <row r="602" ht="15.75" customHeight="1">
      <c r="H602" s="1"/>
    </row>
    <row r="603" ht="15.75" customHeight="1">
      <c r="H603" s="1"/>
    </row>
    <row r="604" ht="15.75" customHeight="1">
      <c r="H604" s="1"/>
    </row>
    <row r="605" ht="15.75" customHeight="1">
      <c r="H605" s="1"/>
    </row>
    <row r="606" ht="15.75" customHeight="1">
      <c r="H606" s="1"/>
    </row>
    <row r="607" ht="15.75" customHeight="1">
      <c r="H607" s="1"/>
    </row>
    <row r="608" ht="15.75" customHeight="1">
      <c r="H608" s="1"/>
    </row>
    <row r="609" ht="15.75" customHeight="1">
      <c r="H609" s="1"/>
    </row>
    <row r="610" ht="15.75" customHeight="1">
      <c r="H610" s="1"/>
    </row>
    <row r="611" ht="15.75" customHeight="1">
      <c r="H611" s="1"/>
    </row>
    <row r="612" ht="15.75" customHeight="1">
      <c r="H612" s="1"/>
    </row>
    <row r="613" ht="15.75" customHeight="1">
      <c r="H613" s="1"/>
    </row>
    <row r="614" ht="15.75" customHeight="1">
      <c r="H614" s="1"/>
    </row>
    <row r="615" ht="15.75" customHeight="1">
      <c r="H615" s="1"/>
    </row>
    <row r="616" ht="15.75" customHeight="1">
      <c r="H616" s="1"/>
    </row>
    <row r="617" ht="15.75" customHeight="1">
      <c r="H617" s="1"/>
    </row>
    <row r="618" ht="15.75" customHeight="1">
      <c r="H618" s="1"/>
    </row>
    <row r="619" ht="15.75" customHeight="1">
      <c r="H619" s="1"/>
    </row>
    <row r="620" ht="15.75" customHeight="1">
      <c r="H620" s="1"/>
    </row>
    <row r="621" ht="15.75" customHeight="1">
      <c r="H621" s="1"/>
    </row>
    <row r="622" ht="15.75" customHeight="1">
      <c r="H622" s="1"/>
    </row>
    <row r="623" ht="15.75" customHeight="1">
      <c r="H623" s="1"/>
    </row>
    <row r="624" ht="15.75" customHeight="1">
      <c r="H624" s="1"/>
    </row>
    <row r="625" ht="15.75" customHeight="1">
      <c r="H625" s="1"/>
    </row>
    <row r="626" ht="15.75" customHeight="1">
      <c r="H626" s="1"/>
    </row>
    <row r="627" ht="15.75" customHeight="1">
      <c r="H627" s="1"/>
    </row>
    <row r="628" ht="15.75" customHeight="1">
      <c r="H628" s="1"/>
    </row>
    <row r="629" ht="15.75" customHeight="1">
      <c r="H629" s="1"/>
    </row>
    <row r="630" ht="15.75" customHeight="1">
      <c r="H630" s="1"/>
    </row>
    <row r="631" ht="15.75" customHeight="1">
      <c r="H631" s="1"/>
    </row>
    <row r="632" ht="15.75" customHeight="1">
      <c r="H632" s="1"/>
    </row>
    <row r="633" ht="15.75" customHeight="1">
      <c r="H633" s="1"/>
    </row>
    <row r="634" ht="15.75" customHeight="1">
      <c r="H634" s="1"/>
    </row>
    <row r="635" ht="15.75" customHeight="1">
      <c r="H635" s="1"/>
    </row>
    <row r="636" ht="15.75" customHeight="1">
      <c r="H636" s="1"/>
    </row>
    <row r="637" ht="15.75" customHeight="1">
      <c r="H637" s="1"/>
    </row>
    <row r="638" ht="15.75" customHeight="1">
      <c r="H638" s="1"/>
    </row>
    <row r="639" ht="15.75" customHeight="1">
      <c r="H639" s="1"/>
    </row>
    <row r="640" ht="15.75" customHeight="1">
      <c r="H640" s="1"/>
    </row>
    <row r="641" ht="15.75" customHeight="1">
      <c r="H641" s="1"/>
    </row>
    <row r="642" ht="15.75" customHeight="1">
      <c r="H642" s="1"/>
    </row>
    <row r="643" ht="15.75" customHeight="1">
      <c r="H643" s="1"/>
    </row>
    <row r="644" ht="15.75" customHeight="1">
      <c r="H644" s="1"/>
    </row>
    <row r="645" ht="15.75" customHeight="1">
      <c r="H645" s="1"/>
    </row>
    <row r="646" ht="15.75" customHeight="1">
      <c r="H646" s="1"/>
    </row>
    <row r="647" ht="15.75" customHeight="1">
      <c r="H647" s="1"/>
    </row>
    <row r="648" ht="15.75" customHeight="1">
      <c r="H648" s="1"/>
    </row>
    <row r="649" ht="15.75" customHeight="1">
      <c r="H649" s="1"/>
    </row>
    <row r="650" ht="15.75" customHeight="1">
      <c r="H650" s="1"/>
    </row>
    <row r="651" ht="15.75" customHeight="1">
      <c r="H651" s="1"/>
    </row>
    <row r="652" ht="15.75" customHeight="1">
      <c r="H652" s="1"/>
    </row>
    <row r="653" ht="15.75" customHeight="1">
      <c r="H653" s="1"/>
    </row>
    <row r="654" ht="15.75" customHeight="1">
      <c r="H654" s="1"/>
    </row>
    <row r="655" ht="15.75" customHeight="1">
      <c r="H655" s="1"/>
    </row>
    <row r="656" ht="15.75" customHeight="1">
      <c r="H656" s="1"/>
    </row>
    <row r="657" ht="15.75" customHeight="1">
      <c r="H657" s="1"/>
    </row>
    <row r="658" ht="15.75" customHeight="1">
      <c r="H658" s="1"/>
    </row>
    <row r="659" ht="15.75" customHeight="1">
      <c r="H659" s="1"/>
    </row>
    <row r="660" ht="15.75" customHeight="1">
      <c r="H660" s="1"/>
    </row>
    <row r="661" ht="15.75" customHeight="1">
      <c r="H661" s="1"/>
    </row>
    <row r="662" ht="15.75" customHeight="1">
      <c r="H662" s="1"/>
    </row>
    <row r="663" ht="15.75" customHeight="1">
      <c r="H663" s="1"/>
    </row>
    <row r="664" ht="15.75" customHeight="1">
      <c r="H664" s="1"/>
    </row>
    <row r="665" ht="15.75" customHeight="1">
      <c r="H665" s="1"/>
    </row>
    <row r="666" ht="15.75" customHeight="1">
      <c r="H666" s="1"/>
    </row>
    <row r="667" ht="15.75" customHeight="1">
      <c r="H667" s="1"/>
    </row>
    <row r="668" ht="15.75" customHeight="1">
      <c r="H668" s="1"/>
    </row>
    <row r="669" ht="15.75" customHeight="1">
      <c r="H669" s="1"/>
    </row>
    <row r="670" ht="15.75" customHeight="1">
      <c r="H670" s="1"/>
    </row>
    <row r="671" ht="15.75" customHeight="1">
      <c r="H671" s="1"/>
    </row>
    <row r="672" ht="15.75" customHeight="1">
      <c r="H672" s="1"/>
    </row>
    <row r="673" ht="15.75" customHeight="1">
      <c r="H673" s="1"/>
    </row>
    <row r="674" ht="15.75" customHeight="1">
      <c r="H674" s="1"/>
    </row>
    <row r="675" ht="15.75" customHeight="1">
      <c r="H675" s="1"/>
    </row>
    <row r="676" ht="15.75" customHeight="1">
      <c r="H676" s="1"/>
    </row>
    <row r="677" ht="15.75" customHeight="1">
      <c r="H677" s="1"/>
    </row>
    <row r="678" ht="15.75" customHeight="1">
      <c r="H678" s="1"/>
    </row>
    <row r="679" ht="15.75" customHeight="1">
      <c r="H679" s="1"/>
    </row>
    <row r="680" ht="15.75" customHeight="1">
      <c r="H680" s="1"/>
    </row>
    <row r="681" ht="15.75" customHeight="1">
      <c r="H681" s="1"/>
    </row>
    <row r="682" ht="15.75" customHeight="1">
      <c r="H682" s="1"/>
    </row>
    <row r="683" ht="15.75" customHeight="1">
      <c r="H683" s="1"/>
    </row>
    <row r="684" ht="15.75" customHeight="1">
      <c r="H684" s="1"/>
    </row>
    <row r="685" ht="15.75" customHeight="1">
      <c r="H685" s="1"/>
    </row>
    <row r="686" ht="15.75" customHeight="1">
      <c r="H686" s="1"/>
    </row>
    <row r="687" ht="15.75" customHeight="1">
      <c r="H687" s="1"/>
    </row>
    <row r="688" ht="15.75" customHeight="1">
      <c r="H688" s="1"/>
    </row>
    <row r="689" ht="15.75" customHeight="1">
      <c r="H689" s="1"/>
    </row>
    <row r="690" ht="15.75" customHeight="1">
      <c r="H690" s="1"/>
    </row>
    <row r="691" ht="15.75" customHeight="1">
      <c r="H691" s="1"/>
    </row>
    <row r="692" ht="15.75" customHeight="1">
      <c r="H692" s="1"/>
    </row>
    <row r="693" ht="15.75" customHeight="1">
      <c r="H693" s="1"/>
    </row>
    <row r="694" ht="15.75" customHeight="1">
      <c r="H694" s="1"/>
    </row>
    <row r="695" ht="15.75" customHeight="1">
      <c r="H695" s="1"/>
    </row>
    <row r="696" ht="15.75" customHeight="1">
      <c r="H696" s="1"/>
    </row>
    <row r="697" ht="15.75" customHeight="1">
      <c r="H697" s="1"/>
    </row>
    <row r="698" ht="15.75" customHeight="1">
      <c r="H698" s="1"/>
    </row>
    <row r="699" ht="15.75" customHeight="1">
      <c r="H699" s="1"/>
    </row>
    <row r="700" ht="15.75" customHeight="1">
      <c r="H700" s="1"/>
    </row>
    <row r="701" ht="15.75" customHeight="1">
      <c r="H701" s="1"/>
    </row>
    <row r="702" ht="15.75" customHeight="1">
      <c r="H702" s="1"/>
    </row>
    <row r="703" ht="15.75" customHeight="1">
      <c r="H703" s="1"/>
    </row>
    <row r="704" ht="15.75" customHeight="1">
      <c r="H704" s="1"/>
    </row>
    <row r="705" ht="15.75" customHeight="1">
      <c r="H705" s="1"/>
    </row>
    <row r="706" ht="15.75" customHeight="1">
      <c r="H706" s="1"/>
    </row>
    <row r="707" ht="15.75" customHeight="1">
      <c r="H707" s="1"/>
    </row>
    <row r="708" ht="15.75" customHeight="1">
      <c r="H708" s="1"/>
    </row>
    <row r="709" ht="15.75" customHeight="1">
      <c r="H709" s="1"/>
    </row>
    <row r="710" ht="15.75" customHeight="1">
      <c r="H710" s="1"/>
    </row>
    <row r="711" ht="15.75" customHeight="1">
      <c r="H711" s="1"/>
    </row>
    <row r="712" ht="15.75" customHeight="1">
      <c r="H712" s="1"/>
    </row>
    <row r="713" ht="15.75" customHeight="1">
      <c r="H713" s="1"/>
    </row>
    <row r="714" ht="15.75" customHeight="1">
      <c r="H714" s="1"/>
    </row>
    <row r="715" ht="15.75" customHeight="1">
      <c r="H715" s="1"/>
    </row>
    <row r="716" ht="15.75" customHeight="1">
      <c r="H716" s="1"/>
    </row>
    <row r="717" ht="15.75" customHeight="1">
      <c r="H717" s="1"/>
    </row>
    <row r="718" ht="15.75" customHeight="1">
      <c r="H718" s="1"/>
    </row>
    <row r="719" ht="15.75" customHeight="1">
      <c r="H719" s="1"/>
    </row>
    <row r="720" ht="15.75" customHeight="1">
      <c r="H720" s="1"/>
    </row>
    <row r="721" ht="15.75" customHeight="1">
      <c r="H721" s="1"/>
    </row>
    <row r="722" ht="15.75" customHeight="1">
      <c r="H722" s="1"/>
    </row>
    <row r="723" ht="15.75" customHeight="1">
      <c r="H723" s="1"/>
    </row>
    <row r="724" ht="15.75" customHeight="1">
      <c r="H724" s="1"/>
    </row>
    <row r="725" ht="15.75" customHeight="1">
      <c r="H725" s="1"/>
    </row>
    <row r="726" ht="15.75" customHeight="1">
      <c r="H726" s="1"/>
    </row>
    <row r="727" ht="15.75" customHeight="1">
      <c r="H727" s="1"/>
    </row>
    <row r="728" ht="15.75" customHeight="1">
      <c r="H728" s="1"/>
    </row>
    <row r="729" ht="15.75" customHeight="1">
      <c r="H729" s="1"/>
    </row>
    <row r="730" ht="15.75" customHeight="1">
      <c r="H730" s="1"/>
    </row>
    <row r="731" ht="15.75" customHeight="1">
      <c r="H731" s="1"/>
    </row>
    <row r="732" ht="15.75" customHeight="1">
      <c r="H732" s="1"/>
    </row>
    <row r="733" ht="15.75" customHeight="1">
      <c r="H733" s="1"/>
    </row>
    <row r="734" ht="15.75" customHeight="1">
      <c r="H734" s="1"/>
    </row>
    <row r="735" ht="15.75" customHeight="1">
      <c r="H735" s="1"/>
    </row>
    <row r="736" ht="15.75" customHeight="1">
      <c r="H736" s="1"/>
    </row>
    <row r="737" ht="15.75" customHeight="1">
      <c r="H737" s="1"/>
    </row>
    <row r="738" ht="15.75" customHeight="1">
      <c r="H738" s="1"/>
    </row>
    <row r="739" ht="15.75" customHeight="1">
      <c r="H739" s="1"/>
    </row>
    <row r="740" ht="15.75" customHeight="1">
      <c r="H740" s="1"/>
    </row>
    <row r="741" ht="15.75" customHeight="1">
      <c r="H741" s="1"/>
    </row>
    <row r="742" ht="15.75" customHeight="1">
      <c r="H742" s="1"/>
    </row>
    <row r="743" ht="15.75" customHeight="1">
      <c r="H743" s="1"/>
    </row>
    <row r="744" ht="15.75" customHeight="1">
      <c r="H744" s="1"/>
    </row>
    <row r="745" ht="15.75" customHeight="1">
      <c r="H745" s="1"/>
    </row>
    <row r="746" ht="15.75" customHeight="1">
      <c r="H746" s="1"/>
    </row>
    <row r="747" ht="15.75" customHeight="1">
      <c r="H747" s="1"/>
    </row>
    <row r="748" ht="15.75" customHeight="1">
      <c r="H748" s="1"/>
    </row>
    <row r="749" ht="15.75" customHeight="1">
      <c r="H749" s="1"/>
    </row>
    <row r="750" ht="15.75" customHeight="1">
      <c r="H750" s="1"/>
    </row>
    <row r="751" ht="15.75" customHeight="1">
      <c r="H751" s="1"/>
    </row>
    <row r="752" ht="15.75" customHeight="1">
      <c r="H752" s="1"/>
    </row>
    <row r="753" ht="15.75" customHeight="1">
      <c r="H753" s="1"/>
    </row>
    <row r="754" ht="15.75" customHeight="1">
      <c r="H754" s="1"/>
    </row>
    <row r="755" ht="15.75" customHeight="1">
      <c r="H755" s="1"/>
    </row>
    <row r="756" ht="15.75" customHeight="1">
      <c r="H756" s="1"/>
    </row>
    <row r="757" ht="15.75" customHeight="1">
      <c r="H757" s="1"/>
    </row>
    <row r="758" ht="15.75" customHeight="1">
      <c r="H758" s="1"/>
    </row>
    <row r="759" ht="15.75" customHeight="1">
      <c r="H759" s="1"/>
    </row>
    <row r="760" ht="15.75" customHeight="1">
      <c r="H760" s="1"/>
    </row>
    <row r="761" ht="15.75" customHeight="1">
      <c r="H761" s="1"/>
    </row>
    <row r="762" ht="15.75" customHeight="1">
      <c r="H762" s="1"/>
    </row>
    <row r="763" ht="15.75" customHeight="1">
      <c r="H763" s="1"/>
    </row>
    <row r="764" ht="15.75" customHeight="1">
      <c r="H764" s="1"/>
    </row>
    <row r="765" ht="15.75" customHeight="1">
      <c r="H765" s="1"/>
    </row>
    <row r="766" ht="15.75" customHeight="1">
      <c r="H766" s="1"/>
    </row>
    <row r="767" ht="15.75" customHeight="1">
      <c r="H767" s="1"/>
    </row>
    <row r="768" ht="15.75" customHeight="1">
      <c r="H768" s="1"/>
    </row>
    <row r="769" ht="15.75" customHeight="1">
      <c r="H769" s="1"/>
    </row>
    <row r="770" ht="15.75" customHeight="1">
      <c r="H770" s="1"/>
    </row>
    <row r="771" ht="15.75" customHeight="1">
      <c r="H771" s="1"/>
    </row>
    <row r="772" ht="15.75" customHeight="1">
      <c r="H772" s="1"/>
    </row>
    <row r="773" ht="15.75" customHeight="1">
      <c r="H773" s="1"/>
    </row>
    <row r="774" ht="15.75" customHeight="1">
      <c r="H774" s="1"/>
    </row>
    <row r="775" ht="15.75" customHeight="1">
      <c r="H775" s="1"/>
    </row>
    <row r="776" ht="15.75" customHeight="1">
      <c r="H776" s="1"/>
    </row>
    <row r="777" ht="15.75" customHeight="1">
      <c r="H777" s="1"/>
    </row>
    <row r="778" ht="15.75" customHeight="1">
      <c r="H778" s="1"/>
    </row>
    <row r="779" ht="15.75" customHeight="1">
      <c r="H779" s="1"/>
    </row>
    <row r="780" ht="15.75" customHeight="1">
      <c r="H780" s="1"/>
    </row>
    <row r="781" ht="15.75" customHeight="1">
      <c r="H781" s="1"/>
    </row>
    <row r="782" ht="15.75" customHeight="1">
      <c r="H782" s="1"/>
    </row>
    <row r="783" ht="15.75" customHeight="1">
      <c r="H783" s="1"/>
    </row>
    <row r="784" ht="15.75" customHeight="1">
      <c r="H784" s="1"/>
    </row>
    <row r="785" ht="15.75" customHeight="1">
      <c r="H785" s="1"/>
    </row>
    <row r="786" ht="15.75" customHeight="1">
      <c r="H786" s="1"/>
    </row>
    <row r="787" ht="15.75" customHeight="1">
      <c r="H787" s="1"/>
    </row>
    <row r="788" ht="15.75" customHeight="1">
      <c r="H788" s="1"/>
    </row>
    <row r="789" ht="15.75" customHeight="1">
      <c r="H789" s="1"/>
    </row>
    <row r="790" ht="15.75" customHeight="1">
      <c r="H790" s="1"/>
    </row>
    <row r="791" ht="15.75" customHeight="1">
      <c r="H791" s="1"/>
    </row>
    <row r="792" ht="15.75" customHeight="1">
      <c r="H792" s="1"/>
    </row>
    <row r="793" ht="15.75" customHeight="1">
      <c r="H793" s="1"/>
    </row>
    <row r="794" ht="15.75" customHeight="1">
      <c r="H794" s="1"/>
    </row>
    <row r="795" ht="15.75" customHeight="1">
      <c r="H795" s="1"/>
    </row>
    <row r="796" ht="15.75" customHeight="1">
      <c r="H796" s="1"/>
    </row>
    <row r="797" ht="15.75" customHeight="1">
      <c r="H797" s="1"/>
    </row>
    <row r="798" ht="15.75" customHeight="1">
      <c r="H798" s="1"/>
    </row>
    <row r="799" ht="15.75" customHeight="1">
      <c r="H799" s="1"/>
    </row>
    <row r="800" ht="15.75" customHeight="1">
      <c r="H800" s="1"/>
    </row>
    <row r="801" ht="15.75" customHeight="1">
      <c r="H801" s="1"/>
    </row>
    <row r="802" ht="15.75" customHeight="1">
      <c r="H802" s="1"/>
    </row>
    <row r="803" ht="15.75" customHeight="1">
      <c r="H803" s="1"/>
    </row>
    <row r="804" ht="15.75" customHeight="1">
      <c r="H804" s="1"/>
    </row>
    <row r="805" ht="15.75" customHeight="1">
      <c r="H805" s="1"/>
    </row>
    <row r="806" ht="15.75" customHeight="1">
      <c r="H806" s="1"/>
    </row>
    <row r="807" ht="15.75" customHeight="1">
      <c r="H807" s="1"/>
    </row>
    <row r="808" ht="15.75" customHeight="1">
      <c r="H808" s="1"/>
    </row>
    <row r="809" ht="15.75" customHeight="1">
      <c r="H809" s="1"/>
    </row>
    <row r="810" ht="15.75" customHeight="1">
      <c r="H810" s="1"/>
    </row>
    <row r="811" ht="15.75" customHeight="1">
      <c r="H811" s="1"/>
    </row>
    <row r="812" ht="15.75" customHeight="1">
      <c r="H812" s="1"/>
    </row>
    <row r="813" ht="15.75" customHeight="1">
      <c r="H813" s="1"/>
    </row>
    <row r="814" ht="15.75" customHeight="1">
      <c r="H814" s="1"/>
    </row>
    <row r="815" ht="15.75" customHeight="1">
      <c r="H815" s="1"/>
    </row>
    <row r="816" ht="15.75" customHeight="1">
      <c r="H816" s="1"/>
    </row>
    <row r="817" ht="15.75" customHeight="1">
      <c r="H817" s="1"/>
    </row>
    <row r="818" ht="15.75" customHeight="1">
      <c r="H818" s="1"/>
    </row>
    <row r="819" ht="15.75" customHeight="1">
      <c r="H819" s="1"/>
    </row>
    <row r="820" ht="15.75" customHeight="1">
      <c r="H820" s="1"/>
    </row>
    <row r="821" ht="15.75" customHeight="1">
      <c r="H821" s="1"/>
    </row>
    <row r="822" ht="15.75" customHeight="1">
      <c r="H822" s="1"/>
    </row>
    <row r="823" ht="15.75" customHeight="1">
      <c r="H823" s="1"/>
    </row>
    <row r="824" ht="15.75" customHeight="1">
      <c r="H824" s="1"/>
    </row>
    <row r="825" ht="15.75" customHeight="1">
      <c r="H825" s="1"/>
    </row>
    <row r="826" ht="15.75" customHeight="1">
      <c r="H826" s="1"/>
    </row>
    <row r="827" ht="15.75" customHeight="1">
      <c r="H827" s="1"/>
    </row>
    <row r="828" ht="15.75" customHeight="1">
      <c r="H828" s="1"/>
    </row>
    <row r="829" ht="15.75" customHeight="1">
      <c r="H829" s="1"/>
    </row>
    <row r="830" ht="15.75" customHeight="1">
      <c r="H830" s="1"/>
    </row>
    <row r="831" ht="15.75" customHeight="1">
      <c r="H831" s="1"/>
    </row>
    <row r="832" ht="15.75" customHeight="1">
      <c r="H832" s="1"/>
    </row>
    <row r="833" ht="15.75" customHeight="1">
      <c r="H833" s="1"/>
    </row>
    <row r="834" ht="15.75" customHeight="1">
      <c r="H834" s="1"/>
    </row>
    <row r="835" ht="15.75" customHeight="1">
      <c r="H835" s="1"/>
    </row>
    <row r="836" ht="15.75" customHeight="1">
      <c r="H836" s="1"/>
    </row>
    <row r="837" ht="15.75" customHeight="1">
      <c r="H837" s="1"/>
    </row>
    <row r="838" ht="15.75" customHeight="1">
      <c r="H838" s="1"/>
    </row>
    <row r="839" ht="15.75" customHeight="1">
      <c r="H839" s="1"/>
    </row>
    <row r="840" ht="15.75" customHeight="1">
      <c r="H840" s="1"/>
    </row>
    <row r="841" ht="15.75" customHeight="1">
      <c r="H841" s="1"/>
    </row>
    <row r="842" ht="15.75" customHeight="1">
      <c r="H842" s="1"/>
    </row>
    <row r="843" ht="15.75" customHeight="1">
      <c r="H843" s="1"/>
    </row>
    <row r="844" ht="15.75" customHeight="1">
      <c r="H844" s="1"/>
    </row>
    <row r="845" ht="15.75" customHeight="1">
      <c r="H845" s="1"/>
    </row>
    <row r="846" ht="15.75" customHeight="1">
      <c r="H846" s="1"/>
    </row>
    <row r="847" ht="15.75" customHeight="1">
      <c r="H847" s="1"/>
    </row>
    <row r="848" ht="15.75" customHeight="1">
      <c r="H848" s="1"/>
    </row>
    <row r="849" ht="15.75" customHeight="1">
      <c r="H849" s="1"/>
    </row>
    <row r="850" ht="15.75" customHeight="1">
      <c r="H850" s="1"/>
    </row>
    <row r="851" ht="15.75" customHeight="1">
      <c r="H851" s="1"/>
    </row>
    <row r="852" ht="15.75" customHeight="1">
      <c r="H852" s="1"/>
    </row>
    <row r="853" ht="15.75" customHeight="1">
      <c r="H853" s="1"/>
    </row>
    <row r="854" ht="15.75" customHeight="1">
      <c r="H854" s="1"/>
    </row>
    <row r="855" ht="15.75" customHeight="1">
      <c r="H855" s="1"/>
    </row>
    <row r="856" ht="15.75" customHeight="1">
      <c r="H856" s="1"/>
    </row>
    <row r="857" ht="15.75" customHeight="1">
      <c r="H857" s="1"/>
    </row>
    <row r="858" ht="15.75" customHeight="1">
      <c r="H858" s="1"/>
    </row>
    <row r="859" ht="15.75" customHeight="1">
      <c r="H859" s="1"/>
    </row>
    <row r="860" ht="15.75" customHeight="1">
      <c r="H860" s="1"/>
    </row>
    <row r="861" ht="15.75" customHeight="1">
      <c r="H861" s="1"/>
    </row>
    <row r="862" ht="15.75" customHeight="1">
      <c r="H862" s="1"/>
    </row>
    <row r="863" ht="15.75" customHeight="1">
      <c r="H863" s="1"/>
    </row>
    <row r="864" ht="15.75" customHeight="1">
      <c r="H864" s="1"/>
    </row>
    <row r="865" ht="15.75" customHeight="1">
      <c r="H865" s="1"/>
    </row>
    <row r="866" ht="15.75" customHeight="1">
      <c r="H866" s="1"/>
    </row>
    <row r="867" ht="15.75" customHeight="1">
      <c r="H867" s="1"/>
    </row>
    <row r="868" ht="15.75" customHeight="1">
      <c r="H868" s="1"/>
    </row>
    <row r="869" ht="15.75" customHeight="1">
      <c r="H869" s="1"/>
    </row>
    <row r="870" ht="15.75" customHeight="1">
      <c r="H870" s="1"/>
    </row>
    <row r="871" ht="15.75" customHeight="1">
      <c r="H871" s="1"/>
    </row>
    <row r="872" ht="15.75" customHeight="1">
      <c r="H872" s="1"/>
    </row>
    <row r="873" ht="15.75" customHeight="1">
      <c r="H873" s="1"/>
    </row>
    <row r="874" ht="15.75" customHeight="1">
      <c r="H874" s="1"/>
    </row>
    <row r="875" ht="15.75" customHeight="1">
      <c r="H875" s="1"/>
    </row>
    <row r="876" ht="15.75" customHeight="1">
      <c r="H876" s="1"/>
    </row>
    <row r="877" ht="15.75" customHeight="1">
      <c r="H877" s="1"/>
    </row>
    <row r="878" ht="15.75" customHeight="1">
      <c r="H878" s="1"/>
    </row>
    <row r="879" ht="15.75" customHeight="1">
      <c r="H879" s="1"/>
    </row>
    <row r="880" ht="15.75" customHeight="1">
      <c r="H880" s="1"/>
    </row>
    <row r="881" ht="15.75" customHeight="1">
      <c r="H881" s="1"/>
    </row>
    <row r="882" ht="15.75" customHeight="1">
      <c r="H882" s="1"/>
    </row>
    <row r="883" ht="15.75" customHeight="1">
      <c r="H883" s="1"/>
    </row>
    <row r="884" ht="15.75" customHeight="1">
      <c r="H884" s="1"/>
    </row>
    <row r="885" ht="15.75" customHeight="1">
      <c r="H885" s="1"/>
    </row>
    <row r="886" ht="15.75" customHeight="1">
      <c r="H886" s="1"/>
    </row>
    <row r="887" ht="15.75" customHeight="1">
      <c r="H887" s="1"/>
    </row>
    <row r="888" ht="15.75" customHeight="1">
      <c r="H888" s="1"/>
    </row>
    <row r="889" ht="15.75" customHeight="1">
      <c r="H889" s="1"/>
    </row>
    <row r="890" ht="15.75" customHeight="1">
      <c r="H890" s="1"/>
    </row>
    <row r="891" ht="15.75" customHeight="1">
      <c r="H891" s="1"/>
    </row>
    <row r="892" ht="15.75" customHeight="1">
      <c r="H892" s="1"/>
    </row>
    <row r="893" ht="15.75" customHeight="1">
      <c r="H893" s="1"/>
    </row>
    <row r="894" ht="15.75" customHeight="1">
      <c r="H894" s="1"/>
    </row>
    <row r="895" ht="15.75" customHeight="1">
      <c r="H895" s="1"/>
    </row>
    <row r="896" ht="15.75" customHeight="1">
      <c r="H896" s="1"/>
    </row>
    <row r="897" ht="15.75" customHeight="1">
      <c r="H897" s="1"/>
    </row>
    <row r="898" ht="15.75" customHeight="1">
      <c r="H898" s="1"/>
    </row>
    <row r="899" ht="15.75" customHeight="1">
      <c r="H899" s="1"/>
    </row>
    <row r="900" ht="15.75" customHeight="1">
      <c r="H900" s="1"/>
    </row>
    <row r="901" ht="15.75" customHeight="1">
      <c r="H901" s="1"/>
    </row>
    <row r="902" ht="15.75" customHeight="1">
      <c r="H902" s="1"/>
    </row>
    <row r="903" ht="15.75" customHeight="1">
      <c r="H903" s="1"/>
    </row>
    <row r="904" ht="15.75" customHeight="1">
      <c r="H904" s="1"/>
    </row>
    <row r="905" ht="15.75" customHeight="1">
      <c r="H905" s="1"/>
    </row>
    <row r="906" ht="15.75" customHeight="1">
      <c r="H906" s="1"/>
    </row>
    <row r="907" ht="15.75" customHeight="1">
      <c r="H907" s="1"/>
    </row>
    <row r="908" ht="15.75" customHeight="1">
      <c r="H908" s="1"/>
    </row>
    <row r="909" ht="15.75" customHeight="1">
      <c r="H909" s="1"/>
    </row>
    <row r="910" ht="15.75" customHeight="1">
      <c r="H910" s="1"/>
    </row>
    <row r="911" ht="15.75" customHeight="1">
      <c r="H911" s="1"/>
    </row>
    <row r="912" ht="15.75" customHeight="1">
      <c r="H912" s="1"/>
    </row>
    <row r="913" ht="15.75" customHeight="1">
      <c r="H913" s="1"/>
    </row>
    <row r="914" ht="15.75" customHeight="1">
      <c r="H914" s="1"/>
    </row>
    <row r="915" ht="15.75" customHeight="1">
      <c r="H915" s="1"/>
    </row>
    <row r="916" ht="15.75" customHeight="1">
      <c r="H916" s="1"/>
    </row>
    <row r="917" ht="15.75" customHeight="1">
      <c r="H917" s="1"/>
    </row>
    <row r="918" ht="15.75" customHeight="1">
      <c r="H918" s="1"/>
    </row>
    <row r="919" ht="15.75" customHeight="1">
      <c r="H919" s="1"/>
    </row>
    <row r="920" ht="15.75" customHeight="1">
      <c r="H920" s="1"/>
    </row>
    <row r="921" ht="15.75" customHeight="1">
      <c r="H921" s="1"/>
    </row>
    <row r="922" ht="15.75" customHeight="1">
      <c r="H922" s="1"/>
    </row>
    <row r="923" ht="15.75" customHeight="1">
      <c r="H923" s="1"/>
    </row>
    <row r="924" ht="15.75" customHeight="1">
      <c r="H924" s="1"/>
    </row>
    <row r="925" ht="15.75" customHeight="1">
      <c r="H925" s="1"/>
    </row>
    <row r="926" ht="15.75" customHeight="1">
      <c r="H926" s="1"/>
    </row>
    <row r="927" ht="15.75" customHeight="1">
      <c r="H927" s="1"/>
    </row>
    <row r="928" ht="15.75" customHeight="1">
      <c r="H928" s="1"/>
    </row>
    <row r="929" ht="15.75" customHeight="1">
      <c r="H929" s="1"/>
    </row>
    <row r="930" ht="15.75" customHeight="1">
      <c r="H930" s="1"/>
    </row>
    <row r="931" ht="15.75" customHeight="1">
      <c r="H931" s="1"/>
    </row>
    <row r="932" ht="15.75" customHeight="1">
      <c r="H932" s="1"/>
    </row>
    <row r="933" ht="15.75" customHeight="1">
      <c r="H933" s="1"/>
    </row>
    <row r="934" ht="15.75" customHeight="1">
      <c r="H934" s="1"/>
    </row>
    <row r="935" ht="15.75" customHeight="1">
      <c r="H935" s="1"/>
    </row>
    <row r="936" ht="15.75" customHeight="1">
      <c r="H936" s="1"/>
    </row>
    <row r="937" ht="15.75" customHeight="1">
      <c r="H937" s="1"/>
    </row>
    <row r="938" ht="15.75" customHeight="1">
      <c r="H938" s="1"/>
    </row>
    <row r="939" ht="15.75" customHeight="1">
      <c r="H939" s="1"/>
    </row>
    <row r="940" ht="15.75" customHeight="1">
      <c r="H940" s="1"/>
    </row>
    <row r="941" ht="15.75" customHeight="1">
      <c r="H941" s="1"/>
    </row>
    <row r="942" ht="15.75" customHeight="1">
      <c r="H942" s="1"/>
    </row>
    <row r="943" ht="15.75" customHeight="1">
      <c r="H943" s="1"/>
    </row>
    <row r="944" ht="15.75" customHeight="1">
      <c r="H944" s="1"/>
    </row>
    <row r="945" ht="15.75" customHeight="1">
      <c r="H945" s="1"/>
    </row>
    <row r="946" ht="15.75" customHeight="1">
      <c r="H946" s="1"/>
    </row>
    <row r="947" ht="15.75" customHeight="1">
      <c r="H947" s="1"/>
    </row>
    <row r="948" ht="15.75" customHeight="1">
      <c r="H948" s="1"/>
    </row>
    <row r="949" ht="15.75" customHeight="1">
      <c r="H949" s="1"/>
    </row>
    <row r="950" ht="15.75" customHeight="1">
      <c r="H950" s="1"/>
    </row>
    <row r="951" ht="15.75" customHeight="1">
      <c r="H951" s="1"/>
    </row>
    <row r="952" ht="15.75" customHeight="1">
      <c r="H952" s="1"/>
    </row>
    <row r="953" ht="15.75" customHeight="1">
      <c r="H953" s="1"/>
    </row>
    <row r="954" ht="15.75" customHeight="1">
      <c r="H954" s="1"/>
    </row>
    <row r="955" ht="15.75" customHeight="1">
      <c r="H955" s="1"/>
    </row>
    <row r="956" ht="15.75" customHeight="1">
      <c r="H956" s="1"/>
    </row>
    <row r="957" ht="15.75" customHeight="1">
      <c r="H957" s="1"/>
    </row>
    <row r="958" ht="15.75" customHeight="1">
      <c r="H958" s="1"/>
    </row>
    <row r="959" ht="15.75" customHeight="1">
      <c r="H959" s="1"/>
    </row>
    <row r="960" ht="15.75" customHeight="1">
      <c r="H960" s="1"/>
    </row>
    <row r="961" ht="15.75" customHeight="1">
      <c r="H961" s="1"/>
    </row>
    <row r="962" ht="15.75" customHeight="1">
      <c r="H962" s="1"/>
    </row>
    <row r="963" ht="15.75" customHeight="1">
      <c r="H963" s="1"/>
    </row>
    <row r="964" ht="15.75" customHeight="1">
      <c r="H964" s="1"/>
    </row>
    <row r="965" ht="15.75" customHeight="1">
      <c r="H965" s="1"/>
    </row>
    <row r="966" ht="15.75" customHeight="1">
      <c r="H966" s="1"/>
    </row>
    <row r="967" ht="15.75" customHeight="1">
      <c r="H967" s="1"/>
    </row>
    <row r="968" ht="15.75" customHeight="1">
      <c r="H968" s="1"/>
    </row>
    <row r="969" ht="15.75" customHeight="1">
      <c r="H969" s="1"/>
    </row>
    <row r="970" ht="15.75" customHeight="1">
      <c r="H970" s="1"/>
    </row>
    <row r="971" ht="15.75" customHeight="1">
      <c r="H971" s="1"/>
    </row>
    <row r="972" ht="15.75" customHeight="1">
      <c r="H972" s="1"/>
    </row>
    <row r="973" ht="15.75" customHeight="1">
      <c r="H973" s="1"/>
    </row>
    <row r="974" ht="15.75" customHeight="1">
      <c r="H974" s="1"/>
    </row>
    <row r="975" ht="15.75" customHeight="1">
      <c r="H975" s="1"/>
    </row>
    <row r="976" ht="15.75" customHeight="1">
      <c r="H976" s="1"/>
    </row>
    <row r="977" ht="15.75" customHeight="1">
      <c r="H977" s="1"/>
    </row>
    <row r="978" ht="15.75" customHeight="1">
      <c r="H978" s="1"/>
    </row>
    <row r="979" ht="15.75" customHeight="1">
      <c r="H979" s="1"/>
    </row>
    <row r="980" ht="15.75" customHeight="1">
      <c r="H980" s="1"/>
    </row>
    <row r="981" ht="15.75" customHeight="1">
      <c r="H981" s="1"/>
    </row>
    <row r="982" ht="15.75" customHeight="1">
      <c r="H982" s="1"/>
    </row>
    <row r="983" ht="15.75" customHeight="1">
      <c r="H983" s="1"/>
    </row>
    <row r="984" ht="15.75" customHeight="1">
      <c r="H984" s="1"/>
    </row>
    <row r="985" ht="15.75" customHeight="1">
      <c r="H985" s="1"/>
    </row>
    <row r="986" ht="15.75" customHeight="1">
      <c r="H986" s="1"/>
    </row>
    <row r="987" ht="15.75" customHeight="1">
      <c r="H987" s="1"/>
    </row>
    <row r="988" ht="15.75" customHeight="1">
      <c r="H988" s="1"/>
    </row>
    <row r="989" ht="15.75" customHeight="1">
      <c r="H989" s="1"/>
    </row>
    <row r="990" ht="15.75" customHeight="1">
      <c r="H990" s="1"/>
    </row>
    <row r="991" ht="15.75" customHeight="1">
      <c r="H991" s="1"/>
    </row>
    <row r="992" ht="15.75" customHeight="1">
      <c r="H992" s="1"/>
    </row>
    <row r="993" ht="15.75" customHeight="1">
      <c r="H993" s="1"/>
    </row>
    <row r="994" ht="15.75" customHeight="1">
      <c r="H994" s="1"/>
    </row>
    <row r="995" ht="15.75" customHeight="1">
      <c r="H995" s="1"/>
    </row>
    <row r="996" ht="15.75" customHeight="1">
      <c r="H996" s="1"/>
    </row>
    <row r="997" ht="15.75" customHeight="1">
      <c r="H997" s="1"/>
    </row>
    <row r="998" ht="15.75" customHeight="1">
      <c r="H998" s="1"/>
    </row>
    <row r="999" ht="15.75" customHeight="1">
      <c r="H999" s="1"/>
    </row>
    <row r="1000" ht="15.75" customHeight="1">
      <c r="H1000" s="1"/>
    </row>
  </sheetData>
  <mergeCells count="53">
    <mergeCell ref="B2:F2"/>
    <mergeCell ref="I2:M2"/>
    <mergeCell ref="B3:C3"/>
    <mergeCell ref="D3:E3"/>
    <mergeCell ref="I3:J3"/>
    <mergeCell ref="K3:L3"/>
    <mergeCell ref="M3:M4"/>
    <mergeCell ref="K13:L13"/>
    <mergeCell ref="M13:M14"/>
    <mergeCell ref="F3:F4"/>
    <mergeCell ref="B12:F12"/>
    <mergeCell ref="I12:M12"/>
    <mergeCell ref="B13:C13"/>
    <mergeCell ref="D13:E13"/>
    <mergeCell ref="F13:F14"/>
    <mergeCell ref="I13:J13"/>
    <mergeCell ref="B22:F22"/>
    <mergeCell ref="I22:M22"/>
    <mergeCell ref="B23:C23"/>
    <mergeCell ref="D23:E23"/>
    <mergeCell ref="I23:J23"/>
    <mergeCell ref="K23:L23"/>
    <mergeCell ref="M23:M24"/>
    <mergeCell ref="B40:F40"/>
    <mergeCell ref="I40:M40"/>
    <mergeCell ref="B41:C41"/>
    <mergeCell ref="D41:E41"/>
    <mergeCell ref="F41:F42"/>
    <mergeCell ref="I41:J41"/>
    <mergeCell ref="K41:L41"/>
    <mergeCell ref="M41:M42"/>
    <mergeCell ref="F23:F24"/>
    <mergeCell ref="B31:F31"/>
    <mergeCell ref="I31:M31"/>
    <mergeCell ref="B32:C32"/>
    <mergeCell ref="D32:E32"/>
    <mergeCell ref="F32:F33"/>
    <mergeCell ref="I32:J32"/>
    <mergeCell ref="L76:M76"/>
    <mergeCell ref="L77:M77"/>
    <mergeCell ref="L78:M78"/>
    <mergeCell ref="L79:M79"/>
    <mergeCell ref="L80:M80"/>
    <mergeCell ref="L81:M81"/>
    <mergeCell ref="L82:M82"/>
    <mergeCell ref="K85:Q88"/>
    <mergeCell ref="K32:L32"/>
    <mergeCell ref="M32:M33"/>
    <mergeCell ref="M72:N72"/>
    <mergeCell ref="K73:Q73"/>
    <mergeCell ref="R73:R74"/>
    <mergeCell ref="K74:Q74"/>
    <mergeCell ref="L75:M75"/>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5" width="10.57"/>
    <col customWidth="1" min="6" max="6" width="11.71"/>
    <col customWidth="1" min="7" max="7" width="13.0"/>
    <col customWidth="1" min="8" max="8" width="16.29"/>
    <col customWidth="1" min="9" max="9" width="15.14"/>
    <col customWidth="1" min="10" max="16" width="11.43"/>
    <col customWidth="1" min="17" max="17" width="28.29"/>
    <col customWidth="1" min="18" max="26" width="11.43"/>
  </cols>
  <sheetData>
    <row r="1">
      <c r="H1" s="1"/>
    </row>
    <row r="2">
      <c r="A2" s="2"/>
      <c r="B2" s="3" t="s">
        <v>0</v>
      </c>
      <c r="C2" s="4"/>
      <c r="D2" s="4"/>
      <c r="E2" s="4"/>
      <c r="F2" s="5"/>
      <c r="G2" s="6"/>
      <c r="H2" s="7"/>
      <c r="I2" s="3" t="s">
        <v>1</v>
      </c>
      <c r="J2" s="4"/>
      <c r="K2" s="4"/>
      <c r="L2" s="4"/>
      <c r="M2" s="5"/>
    </row>
    <row r="3">
      <c r="A3" s="2"/>
      <c r="B3" s="8" t="s">
        <v>2</v>
      </c>
      <c r="C3" s="9"/>
      <c r="D3" s="8" t="s">
        <v>3</v>
      </c>
      <c r="E3" s="9"/>
      <c r="F3" s="10" t="s">
        <v>4</v>
      </c>
      <c r="G3" s="6"/>
      <c r="H3" s="7"/>
      <c r="I3" s="8" t="s">
        <v>2</v>
      </c>
      <c r="J3" s="9"/>
      <c r="K3" s="8" t="s">
        <v>3</v>
      </c>
      <c r="L3" s="9"/>
      <c r="M3" s="10" t="s">
        <v>4</v>
      </c>
    </row>
    <row r="4">
      <c r="A4" s="2"/>
      <c r="B4" s="11" t="s">
        <v>5</v>
      </c>
      <c r="C4" s="11" t="s">
        <v>6</v>
      </c>
      <c r="D4" s="11" t="s">
        <v>7</v>
      </c>
      <c r="E4" s="11" t="s">
        <v>8</v>
      </c>
      <c r="F4" s="12"/>
      <c r="G4" s="6"/>
      <c r="H4" s="7"/>
      <c r="I4" s="11" t="s">
        <v>5</v>
      </c>
      <c r="J4" s="11" t="s">
        <v>6</v>
      </c>
      <c r="K4" s="11" t="s">
        <v>7</v>
      </c>
      <c r="L4" s="11" t="s">
        <v>8</v>
      </c>
      <c r="M4" s="12"/>
    </row>
    <row r="5">
      <c r="A5" s="13" t="s">
        <v>9</v>
      </c>
      <c r="B5" s="14">
        <f t="shared" ref="B5:F5" si="1">B51</f>
        <v>18.69316</v>
      </c>
      <c r="C5" s="14">
        <f t="shared" si="1"/>
        <v>7.587335</v>
      </c>
      <c r="D5" s="14">
        <f t="shared" si="1"/>
        <v>7.572773</v>
      </c>
      <c r="E5" s="14">
        <f t="shared" si="1"/>
        <v>13.7431</v>
      </c>
      <c r="F5" s="14">
        <f t="shared" si="1"/>
        <v>13.10069</v>
      </c>
      <c r="G5" s="6"/>
      <c r="H5" s="13" t="s">
        <v>9</v>
      </c>
      <c r="I5" s="15">
        <f t="shared" ref="I5:M5" si="2">G51</f>
        <v>994808.1</v>
      </c>
      <c r="J5" s="15">
        <f t="shared" si="2"/>
        <v>409575.3</v>
      </c>
      <c r="K5" s="15">
        <f t="shared" si="2"/>
        <v>84518.04</v>
      </c>
      <c r="L5" s="15">
        <f t="shared" si="2"/>
        <v>1319865</v>
      </c>
      <c r="M5" s="15">
        <f t="shared" si="2"/>
        <v>1404383</v>
      </c>
    </row>
    <row r="6">
      <c r="A6" s="13" t="s">
        <v>10</v>
      </c>
      <c r="B6" s="14">
        <f t="shared" ref="B6:F6" si="3">B52</f>
        <v>67.56094</v>
      </c>
      <c r="C6" s="14">
        <f t="shared" si="3"/>
        <v>54.50463</v>
      </c>
      <c r="D6" s="14">
        <f t="shared" si="3"/>
        <v>26.33183</v>
      </c>
      <c r="E6" s="14">
        <f t="shared" si="3"/>
        <v>65.01353</v>
      </c>
      <c r="F6" s="14">
        <f t="shared" si="3"/>
        <v>60.98628</v>
      </c>
      <c r="G6" s="6"/>
      <c r="H6" s="13" t="s">
        <v>10</v>
      </c>
      <c r="I6" s="15">
        <f t="shared" ref="I6:M6" si="4">G52</f>
        <v>3595441</v>
      </c>
      <c r="J6" s="15">
        <f t="shared" si="4"/>
        <v>2942239</v>
      </c>
      <c r="K6" s="15">
        <f t="shared" si="4"/>
        <v>293883.8</v>
      </c>
      <c r="L6" s="15">
        <f t="shared" si="4"/>
        <v>6243796</v>
      </c>
      <c r="M6" s="15">
        <f t="shared" si="4"/>
        <v>6537680</v>
      </c>
    </row>
    <row r="7">
      <c r="A7" s="13" t="s">
        <v>11</v>
      </c>
      <c r="B7" s="14">
        <f t="shared" ref="B7:F7" si="5">B53</f>
        <v>68.94612</v>
      </c>
      <c r="C7" s="14">
        <f t="shared" si="5"/>
        <v>55.48854</v>
      </c>
      <c r="D7" s="14">
        <f t="shared" si="5"/>
        <v>28.36227</v>
      </c>
      <c r="E7" s="14">
        <f t="shared" si="5"/>
        <v>66.09818</v>
      </c>
      <c r="F7" s="14">
        <f t="shared" si="5"/>
        <v>62.16939</v>
      </c>
      <c r="G7" s="6"/>
      <c r="H7" s="13" t="s">
        <v>11</v>
      </c>
      <c r="I7" s="15">
        <f t="shared" ref="I7:M7" si="6">G53</f>
        <v>3669157</v>
      </c>
      <c r="J7" s="15">
        <f t="shared" si="6"/>
        <v>2995352</v>
      </c>
      <c r="K7" s="15">
        <f t="shared" si="6"/>
        <v>316545</v>
      </c>
      <c r="L7" s="15">
        <f t="shared" si="6"/>
        <v>6347964</v>
      </c>
      <c r="M7" s="15">
        <f t="shared" si="6"/>
        <v>6664509</v>
      </c>
    </row>
    <row r="8">
      <c r="A8" s="16" t="s">
        <v>12</v>
      </c>
      <c r="B8" s="17"/>
      <c r="C8" s="17"/>
      <c r="D8" s="17"/>
      <c r="E8" s="17"/>
      <c r="F8" s="17"/>
      <c r="G8" s="18"/>
      <c r="H8" s="16" t="s">
        <v>12</v>
      </c>
      <c r="I8" s="19"/>
      <c r="J8" s="19"/>
      <c r="K8" s="19"/>
      <c r="L8" s="19"/>
      <c r="M8" s="19"/>
      <c r="N8" s="16"/>
      <c r="O8" s="16"/>
      <c r="P8" s="16"/>
      <c r="Q8" s="16"/>
      <c r="R8" s="16"/>
      <c r="S8" s="16"/>
      <c r="T8" s="16"/>
      <c r="U8" s="16"/>
      <c r="V8" s="16"/>
      <c r="W8" s="16"/>
      <c r="X8" s="16"/>
      <c r="Y8" s="16"/>
      <c r="Z8" s="16"/>
    </row>
    <row r="9">
      <c r="A9" s="16" t="s">
        <v>13</v>
      </c>
      <c r="B9" s="17"/>
      <c r="C9" s="17"/>
      <c r="D9" s="17"/>
      <c r="E9" s="17"/>
      <c r="F9" s="17"/>
      <c r="G9" s="18"/>
      <c r="H9" s="16" t="s">
        <v>13</v>
      </c>
      <c r="I9" s="19"/>
      <c r="J9" s="19"/>
      <c r="K9" s="19"/>
      <c r="L9" s="19"/>
      <c r="M9" s="19"/>
      <c r="N9" s="16"/>
      <c r="O9" s="16"/>
      <c r="P9" s="16"/>
      <c r="Q9" s="16"/>
      <c r="R9" s="16"/>
      <c r="S9" s="16"/>
      <c r="T9" s="16"/>
      <c r="U9" s="16"/>
      <c r="V9" s="16"/>
      <c r="W9" s="16"/>
      <c r="X9" s="16"/>
      <c r="Y9" s="16"/>
      <c r="Z9" s="16"/>
    </row>
    <row r="10">
      <c r="A10" s="16" t="s">
        <v>82</v>
      </c>
      <c r="B10" s="18"/>
      <c r="C10" s="18"/>
      <c r="D10" s="18"/>
      <c r="E10" s="18"/>
      <c r="F10" s="18"/>
      <c r="G10" s="18"/>
      <c r="H10" s="16" t="s">
        <v>82</v>
      </c>
      <c r="I10" s="18"/>
      <c r="J10" s="18"/>
      <c r="K10" s="18"/>
      <c r="L10" s="18"/>
      <c r="M10" s="18"/>
      <c r="N10" s="16"/>
      <c r="O10" s="16"/>
      <c r="P10" s="16"/>
      <c r="Q10" s="16"/>
      <c r="R10" s="16"/>
      <c r="S10" s="16"/>
      <c r="T10" s="16"/>
      <c r="U10" s="16"/>
      <c r="V10" s="16"/>
      <c r="W10" s="16"/>
      <c r="X10" s="16"/>
      <c r="Y10" s="16"/>
      <c r="Z10" s="16"/>
    </row>
    <row r="11">
      <c r="A11" s="2"/>
      <c r="B11" s="6"/>
      <c r="C11" s="6"/>
      <c r="D11" s="6"/>
      <c r="E11" s="6"/>
      <c r="F11" s="6"/>
      <c r="G11" s="6"/>
      <c r="H11" s="2"/>
      <c r="I11" s="6"/>
      <c r="J11" s="6"/>
      <c r="K11" s="6"/>
      <c r="L11" s="6"/>
      <c r="M11" s="6"/>
    </row>
    <row r="12">
      <c r="A12" s="2"/>
      <c r="B12" s="20" t="s">
        <v>15</v>
      </c>
      <c r="C12" s="4"/>
      <c r="D12" s="4"/>
      <c r="E12" s="4"/>
      <c r="F12" s="5"/>
      <c r="G12" s="6"/>
      <c r="H12" s="7"/>
      <c r="I12" s="20" t="s">
        <v>16</v>
      </c>
      <c r="J12" s="4"/>
      <c r="K12" s="4"/>
      <c r="L12" s="4"/>
      <c r="M12" s="5"/>
    </row>
    <row r="13">
      <c r="A13" s="2"/>
      <c r="B13" s="8" t="s">
        <v>2</v>
      </c>
      <c r="C13" s="9"/>
      <c r="D13" s="8" t="s">
        <v>3</v>
      </c>
      <c r="E13" s="9"/>
      <c r="F13" s="10" t="s">
        <v>4</v>
      </c>
      <c r="G13" s="6"/>
      <c r="H13" s="7"/>
      <c r="I13" s="8" t="s">
        <v>2</v>
      </c>
      <c r="J13" s="9"/>
      <c r="K13" s="8" t="s">
        <v>3</v>
      </c>
      <c r="L13" s="9"/>
      <c r="M13" s="10" t="s">
        <v>4</v>
      </c>
      <c r="Q13" s="21"/>
    </row>
    <row r="14">
      <c r="A14" s="2"/>
      <c r="B14" s="11" t="s">
        <v>5</v>
      </c>
      <c r="C14" s="11" t="s">
        <v>6</v>
      </c>
      <c r="D14" s="11" t="s">
        <v>7</v>
      </c>
      <c r="E14" s="11" t="s">
        <v>8</v>
      </c>
      <c r="F14" s="12"/>
      <c r="G14" s="6"/>
      <c r="H14" s="7"/>
      <c r="I14" s="11" t="s">
        <v>5</v>
      </c>
      <c r="J14" s="11" t="s">
        <v>6</v>
      </c>
      <c r="K14" s="11" t="s">
        <v>7</v>
      </c>
      <c r="L14" s="11" t="s">
        <v>8</v>
      </c>
      <c r="M14" s="12"/>
    </row>
    <row r="15">
      <c r="A15" s="22" t="s">
        <v>9</v>
      </c>
      <c r="B15" s="14">
        <f t="shared" ref="B15:F15" si="7">B54</f>
        <v>31.58217</v>
      </c>
      <c r="C15" s="14">
        <f t="shared" si="7"/>
        <v>15.75701</v>
      </c>
      <c r="D15" s="14">
        <f t="shared" si="7"/>
        <v>15.63365</v>
      </c>
      <c r="E15" s="14">
        <f t="shared" si="7"/>
        <v>27.69264</v>
      </c>
      <c r="F15" s="14">
        <f t="shared" si="7"/>
        <v>26.96691</v>
      </c>
      <c r="G15" s="6"/>
      <c r="H15" s="22" t="s">
        <v>9</v>
      </c>
      <c r="I15" s="15">
        <f t="shared" ref="I15:M15" si="8">G54</f>
        <v>314182</v>
      </c>
      <c r="J15" s="15">
        <f t="shared" si="8"/>
        <v>64536.81</v>
      </c>
      <c r="K15" s="15">
        <f t="shared" si="8"/>
        <v>13213.25</v>
      </c>
      <c r="L15" s="15">
        <f t="shared" si="8"/>
        <v>365505.6</v>
      </c>
      <c r="M15" s="15">
        <f t="shared" si="8"/>
        <v>378718.8</v>
      </c>
    </row>
    <row r="16">
      <c r="A16" s="22" t="s">
        <v>17</v>
      </c>
      <c r="B16" s="14">
        <f t="shared" ref="B16:F16" si="9">B55</f>
        <v>8.116549</v>
      </c>
      <c r="C16" s="14">
        <f t="shared" si="9"/>
        <v>3.260139</v>
      </c>
      <c r="D16" s="14">
        <f t="shared" si="9"/>
        <v>2.353411</v>
      </c>
      <c r="E16" s="14">
        <f t="shared" si="9"/>
        <v>6.099343</v>
      </c>
      <c r="F16" s="14">
        <f t="shared" si="9"/>
        <v>5.930954</v>
      </c>
      <c r="G16" s="6"/>
      <c r="H16" s="22" t="s">
        <v>17</v>
      </c>
      <c r="I16" s="15">
        <f t="shared" ref="I16:M16" si="10">G55</f>
        <v>291825.8</v>
      </c>
      <c r="J16" s="15">
        <f t="shared" si="10"/>
        <v>95921.08</v>
      </c>
      <c r="K16" s="15">
        <f t="shared" si="10"/>
        <v>6916.294</v>
      </c>
      <c r="L16" s="15">
        <f t="shared" si="10"/>
        <v>380830.5</v>
      </c>
      <c r="M16" s="15">
        <f t="shared" si="10"/>
        <v>387746.8</v>
      </c>
    </row>
    <row r="17">
      <c r="A17" s="22" t="s">
        <v>18</v>
      </c>
      <c r="B17" s="14">
        <f t="shared" ref="B17:F17" si="11">B56</f>
        <v>13.8913</v>
      </c>
      <c r="C17" s="14">
        <f t="shared" si="11"/>
        <v>4.656082</v>
      </c>
      <c r="D17" s="14">
        <f t="shared" si="11"/>
        <v>5.42807</v>
      </c>
      <c r="E17" s="14">
        <f t="shared" si="11"/>
        <v>9.955591</v>
      </c>
      <c r="F17" s="14">
        <f t="shared" si="11"/>
        <v>9.740547</v>
      </c>
      <c r="G17" s="6"/>
      <c r="H17" s="23" t="s">
        <v>18</v>
      </c>
      <c r="I17" s="15">
        <f t="shared" ref="I17:M17" si="12">G56</f>
        <v>509693.6</v>
      </c>
      <c r="J17" s="15">
        <f t="shared" si="12"/>
        <v>139466</v>
      </c>
      <c r="K17" s="15">
        <f t="shared" si="12"/>
        <v>17182.29</v>
      </c>
      <c r="L17" s="15">
        <f t="shared" si="12"/>
        <v>631977.3</v>
      </c>
      <c r="M17" s="15">
        <f t="shared" si="12"/>
        <v>649159.6</v>
      </c>
      <c r="O17" s="24"/>
      <c r="P17" s="24"/>
    </row>
    <row r="18">
      <c r="A18" s="16" t="s">
        <v>19</v>
      </c>
      <c r="B18" s="17"/>
      <c r="C18" s="17"/>
      <c r="D18" s="17"/>
      <c r="E18" s="17"/>
      <c r="F18" s="17"/>
      <c r="G18" s="18"/>
      <c r="H18" s="16" t="s">
        <v>19</v>
      </c>
      <c r="I18" s="19"/>
      <c r="J18" s="19"/>
      <c r="K18" s="19"/>
      <c r="L18" s="19"/>
      <c r="M18" s="19"/>
      <c r="N18" s="16"/>
      <c r="O18" s="16"/>
      <c r="P18" s="16"/>
      <c r="Q18" s="16"/>
      <c r="R18" s="16"/>
      <c r="S18" s="16"/>
      <c r="T18" s="16"/>
      <c r="U18" s="16"/>
      <c r="V18" s="16"/>
      <c r="W18" s="16"/>
      <c r="X18" s="16"/>
      <c r="Y18" s="16"/>
      <c r="Z18" s="16"/>
    </row>
    <row r="19">
      <c r="A19" s="16" t="s">
        <v>20</v>
      </c>
      <c r="B19" s="17"/>
      <c r="C19" s="17"/>
      <c r="D19" s="17"/>
      <c r="E19" s="17"/>
      <c r="F19" s="17"/>
      <c r="G19" s="18"/>
      <c r="H19" s="16" t="s">
        <v>20</v>
      </c>
      <c r="I19" s="19"/>
      <c r="J19" s="19"/>
      <c r="K19" s="19"/>
      <c r="L19" s="19"/>
      <c r="M19" s="19"/>
      <c r="N19" s="16"/>
      <c r="O19" s="16"/>
      <c r="P19" s="16"/>
      <c r="Q19" s="25"/>
      <c r="R19" s="16"/>
      <c r="S19" s="16"/>
      <c r="T19" s="16"/>
      <c r="U19" s="16"/>
      <c r="V19" s="16"/>
      <c r="W19" s="16"/>
      <c r="X19" s="16"/>
      <c r="Y19" s="16"/>
      <c r="Z19" s="16"/>
    </row>
    <row r="20">
      <c r="A20" s="16" t="s">
        <v>82</v>
      </c>
      <c r="B20" s="18"/>
      <c r="C20" s="18"/>
      <c r="D20" s="18"/>
      <c r="E20" s="18"/>
      <c r="F20" s="18"/>
      <c r="G20" s="18"/>
      <c r="H20" s="16" t="s">
        <v>82</v>
      </c>
      <c r="I20" s="18"/>
      <c r="J20" s="18"/>
      <c r="K20" s="18"/>
      <c r="L20" s="18"/>
      <c r="M20" s="18"/>
      <c r="N20" s="16"/>
      <c r="O20" s="16"/>
      <c r="P20" s="16"/>
      <c r="Q20" s="25"/>
      <c r="R20" s="16"/>
      <c r="S20" s="16"/>
      <c r="T20" s="16"/>
      <c r="U20" s="16"/>
      <c r="V20" s="16"/>
      <c r="W20" s="16"/>
      <c r="X20" s="16"/>
      <c r="Y20" s="16"/>
      <c r="Z20" s="16"/>
    </row>
    <row r="21" ht="15.75" customHeight="1">
      <c r="A21" s="2"/>
      <c r="B21" s="6"/>
      <c r="C21" s="6"/>
      <c r="D21" s="6"/>
      <c r="E21" s="6"/>
      <c r="F21" s="6"/>
      <c r="G21" s="6"/>
      <c r="H21" s="7"/>
      <c r="I21" s="6"/>
      <c r="J21" s="6"/>
      <c r="K21" s="6"/>
      <c r="L21" s="6"/>
      <c r="M21" s="6"/>
    </row>
    <row r="22" ht="15.75" customHeight="1">
      <c r="A22" s="2"/>
      <c r="B22" s="26" t="s">
        <v>21</v>
      </c>
      <c r="C22" s="4"/>
      <c r="D22" s="4"/>
      <c r="E22" s="4"/>
      <c r="F22" s="5"/>
      <c r="G22" s="6"/>
      <c r="H22" s="7"/>
      <c r="I22" s="26" t="s">
        <v>22</v>
      </c>
      <c r="J22" s="4"/>
      <c r="K22" s="4"/>
      <c r="L22" s="4"/>
      <c r="M22" s="5"/>
    </row>
    <row r="23" ht="15.75" customHeight="1">
      <c r="A23" s="2"/>
      <c r="B23" s="8" t="s">
        <v>2</v>
      </c>
      <c r="C23" s="9"/>
      <c r="D23" s="8" t="s">
        <v>3</v>
      </c>
      <c r="E23" s="9"/>
      <c r="F23" s="27" t="s">
        <v>4</v>
      </c>
      <c r="G23" s="6"/>
      <c r="H23" s="7"/>
      <c r="I23" s="8" t="s">
        <v>2</v>
      </c>
      <c r="J23" s="9"/>
      <c r="K23" s="8" t="s">
        <v>3</v>
      </c>
      <c r="L23" s="9"/>
      <c r="M23" s="10" t="s">
        <v>4</v>
      </c>
    </row>
    <row r="24" ht="15.75" customHeight="1">
      <c r="A24" s="2"/>
      <c r="B24" s="11" t="s">
        <v>5</v>
      </c>
      <c r="C24" s="11" t="s">
        <v>6</v>
      </c>
      <c r="D24" s="11" t="s">
        <v>7</v>
      </c>
      <c r="E24" s="11" t="s">
        <v>8</v>
      </c>
      <c r="F24" s="28"/>
      <c r="G24" s="6"/>
      <c r="H24" s="7"/>
      <c r="I24" s="11" t="s">
        <v>5</v>
      </c>
      <c r="J24" s="11" t="s">
        <v>6</v>
      </c>
      <c r="K24" s="11" t="s">
        <v>7</v>
      </c>
      <c r="L24" s="11" t="s">
        <v>8</v>
      </c>
      <c r="M24" s="12"/>
    </row>
    <row r="25" ht="15.75" customHeight="1">
      <c r="A25" s="22" t="s">
        <v>23</v>
      </c>
      <c r="B25" s="14">
        <f t="shared" ref="B25:F25" si="13">B57</f>
        <v>3.965467</v>
      </c>
      <c r="C25" s="14">
        <f t="shared" si="13"/>
        <v>6.475714</v>
      </c>
      <c r="D25" s="14">
        <f t="shared" si="13"/>
        <v>2.288761</v>
      </c>
      <c r="E25" s="14">
        <f t="shared" si="13"/>
        <v>4.469312</v>
      </c>
      <c r="F25" s="14">
        <f t="shared" si="13"/>
        <v>4.393234</v>
      </c>
      <c r="G25" s="6"/>
      <c r="H25" s="23" t="s">
        <v>23</v>
      </c>
      <c r="I25" s="15">
        <f t="shared" ref="I25:M25" si="14">G57</f>
        <v>12458.78</v>
      </c>
      <c r="J25" s="15">
        <f t="shared" si="14"/>
        <v>4179.219</v>
      </c>
      <c r="K25" s="15">
        <f t="shared" si="14"/>
        <v>302.4198</v>
      </c>
      <c r="L25" s="15">
        <f t="shared" si="14"/>
        <v>16335.58</v>
      </c>
      <c r="M25" s="15">
        <f t="shared" si="14"/>
        <v>16638</v>
      </c>
    </row>
    <row r="26" ht="15.75" customHeight="1">
      <c r="A26" s="22" t="s">
        <v>10</v>
      </c>
      <c r="B26" s="14">
        <f t="shared" ref="B26:F26" si="15">B58</f>
        <v>6.556698</v>
      </c>
      <c r="C26" s="14">
        <f t="shared" si="15"/>
        <v>6.058993</v>
      </c>
      <c r="D26" s="14">
        <f t="shared" si="15"/>
        <v>0</v>
      </c>
      <c r="E26" s="14">
        <f t="shared" si="15"/>
        <v>6.550416</v>
      </c>
      <c r="F26" s="14">
        <f t="shared" si="15"/>
        <v>6.433575</v>
      </c>
      <c r="G26" s="6"/>
      <c r="H26" s="23" t="s">
        <v>10</v>
      </c>
      <c r="I26" s="15">
        <f t="shared" ref="I26:M26" si="16">G58</f>
        <v>19134.13</v>
      </c>
      <c r="J26" s="15">
        <f t="shared" si="16"/>
        <v>5811.852</v>
      </c>
      <c r="K26" s="15">
        <f t="shared" si="16"/>
        <v>0</v>
      </c>
      <c r="L26" s="15">
        <f t="shared" si="16"/>
        <v>24945.98</v>
      </c>
      <c r="M26" s="15">
        <f t="shared" si="16"/>
        <v>24945.98</v>
      </c>
      <c r="N26" s="29"/>
    </row>
    <row r="27" ht="15.75" customHeight="1">
      <c r="A27" s="22" t="s">
        <v>18</v>
      </c>
      <c r="B27" s="14">
        <f t="shared" ref="B27:F27" si="17">B59</f>
        <v>4.936451</v>
      </c>
      <c r="C27" s="14">
        <f t="shared" si="17"/>
        <v>4.384058</v>
      </c>
      <c r="D27" s="14">
        <f t="shared" si="17"/>
        <v>1.760067</v>
      </c>
      <c r="E27" s="14">
        <f t="shared" si="17"/>
        <v>4.900908</v>
      </c>
      <c r="F27" s="14">
        <f t="shared" si="17"/>
        <v>4.817774</v>
      </c>
      <c r="G27" s="6"/>
      <c r="H27" s="23" t="s">
        <v>18</v>
      </c>
      <c r="I27" s="15">
        <f t="shared" ref="I27:M27" si="18">G59</f>
        <v>25160.78</v>
      </c>
      <c r="J27" s="15">
        <f t="shared" si="18"/>
        <v>6114.271</v>
      </c>
      <c r="K27" s="15">
        <f t="shared" si="18"/>
        <v>302.4198</v>
      </c>
      <c r="L27" s="15">
        <f t="shared" si="18"/>
        <v>30972.63</v>
      </c>
      <c r="M27" s="15">
        <f t="shared" si="18"/>
        <v>31275.05</v>
      </c>
      <c r="O27" s="33">
        <f>L27+L36</f>
        <v>109502.47</v>
      </c>
    </row>
    <row r="28" ht="15.75" customHeight="1">
      <c r="A28" s="16" t="s">
        <v>24</v>
      </c>
      <c r="B28" s="17"/>
      <c r="C28" s="17"/>
      <c r="D28" s="17"/>
      <c r="E28" s="17"/>
      <c r="F28" s="17"/>
      <c r="G28" s="18"/>
      <c r="H28" s="16" t="s">
        <v>24</v>
      </c>
      <c r="I28" s="19"/>
      <c r="J28" s="19"/>
      <c r="K28" s="19"/>
      <c r="L28" s="19"/>
      <c r="M28" s="19"/>
      <c r="N28" s="16"/>
      <c r="O28" s="16"/>
      <c r="P28" s="16"/>
      <c r="Q28" s="16"/>
      <c r="R28" s="16"/>
      <c r="S28" s="16"/>
      <c r="T28" s="16"/>
      <c r="U28" s="16"/>
      <c r="V28" s="16"/>
      <c r="W28" s="16"/>
      <c r="X28" s="16"/>
      <c r="Y28" s="16"/>
      <c r="Z28" s="16"/>
    </row>
    <row r="29" ht="15.75" customHeight="1">
      <c r="A29" s="16" t="s">
        <v>82</v>
      </c>
      <c r="B29" s="17"/>
      <c r="C29" s="17"/>
      <c r="D29" s="17"/>
      <c r="E29" s="17"/>
      <c r="F29" s="17"/>
      <c r="G29" s="18"/>
      <c r="H29" s="16" t="s">
        <v>82</v>
      </c>
      <c r="I29" s="19"/>
      <c r="J29" s="19"/>
      <c r="K29" s="19"/>
      <c r="L29" s="19"/>
      <c r="M29" s="19"/>
      <c r="N29" s="16"/>
      <c r="O29" s="16"/>
      <c r="P29" s="16"/>
      <c r="Q29" s="16"/>
      <c r="R29" s="16"/>
      <c r="S29" s="16"/>
      <c r="T29" s="16"/>
      <c r="U29" s="16"/>
      <c r="V29" s="16"/>
      <c r="W29" s="16"/>
      <c r="X29" s="16"/>
      <c r="Y29" s="16"/>
      <c r="Z29" s="16"/>
    </row>
    <row r="30" ht="15.75" customHeight="1">
      <c r="A30" s="2"/>
      <c r="B30" s="6"/>
      <c r="C30" s="6"/>
      <c r="D30" s="6"/>
      <c r="E30" s="6"/>
      <c r="F30" s="6"/>
      <c r="G30" s="6"/>
      <c r="H30" s="7"/>
      <c r="I30" s="6"/>
      <c r="J30" s="6"/>
      <c r="K30" s="6"/>
      <c r="L30" s="6"/>
      <c r="M30" s="6"/>
      <c r="P30" s="30"/>
    </row>
    <row r="31" ht="15.75" customHeight="1">
      <c r="A31" s="2"/>
      <c r="B31" s="31" t="s">
        <v>25</v>
      </c>
      <c r="C31" s="4"/>
      <c r="D31" s="4"/>
      <c r="E31" s="4"/>
      <c r="F31" s="5"/>
      <c r="G31" s="6"/>
      <c r="H31" s="7"/>
      <c r="I31" s="31" t="s">
        <v>26</v>
      </c>
      <c r="J31" s="4"/>
      <c r="K31" s="4"/>
      <c r="L31" s="4"/>
      <c r="M31" s="5"/>
      <c r="P31" s="32"/>
    </row>
    <row r="32" ht="15.75" customHeight="1">
      <c r="A32" s="2"/>
      <c r="B32" s="8" t="s">
        <v>2</v>
      </c>
      <c r="C32" s="9"/>
      <c r="D32" s="8" t="s">
        <v>3</v>
      </c>
      <c r="E32" s="9"/>
      <c r="F32" s="27" t="s">
        <v>4</v>
      </c>
      <c r="G32" s="6"/>
      <c r="H32" s="7"/>
      <c r="I32" s="8" t="s">
        <v>2</v>
      </c>
      <c r="J32" s="9"/>
      <c r="K32" s="8" t="s">
        <v>3</v>
      </c>
      <c r="L32" s="9"/>
      <c r="M32" s="27" t="s">
        <v>4</v>
      </c>
      <c r="P32" s="33"/>
    </row>
    <row r="33" ht="15.75" customHeight="1">
      <c r="A33" s="2"/>
      <c r="B33" s="11" t="s">
        <v>5</v>
      </c>
      <c r="C33" s="11" t="s">
        <v>6</v>
      </c>
      <c r="D33" s="11" t="s">
        <v>7</v>
      </c>
      <c r="E33" s="11" t="s">
        <v>8</v>
      </c>
      <c r="F33" s="28"/>
      <c r="G33" s="6"/>
      <c r="H33" s="7"/>
      <c r="I33" s="11" t="s">
        <v>5</v>
      </c>
      <c r="J33" s="11" t="s">
        <v>6</v>
      </c>
      <c r="K33" s="11" t="s">
        <v>7</v>
      </c>
      <c r="L33" s="11" t="s">
        <v>8</v>
      </c>
      <c r="M33" s="28"/>
      <c r="P33" s="33"/>
    </row>
    <row r="34" ht="15.75" customHeight="1">
      <c r="A34" s="22" t="s">
        <v>23</v>
      </c>
      <c r="B34" s="14">
        <f t="shared" ref="B34:F34" si="19">B60</f>
        <v>12.30289</v>
      </c>
      <c r="C34" s="14">
        <f t="shared" si="19"/>
        <v>12.99497</v>
      </c>
      <c r="D34" s="14">
        <f t="shared" si="19"/>
        <v>0</v>
      </c>
      <c r="E34" s="14">
        <f t="shared" si="19"/>
        <v>12.87743</v>
      </c>
      <c r="F34" s="14">
        <f t="shared" si="19"/>
        <v>12.41826</v>
      </c>
      <c r="G34" s="6"/>
      <c r="H34" s="34" t="s">
        <v>23</v>
      </c>
      <c r="I34" s="15">
        <f t="shared" ref="I34:M34" si="20">G60</f>
        <v>37120.67</v>
      </c>
      <c r="J34" s="15">
        <f t="shared" si="20"/>
        <v>7843.454</v>
      </c>
      <c r="K34" s="15">
        <f t="shared" si="20"/>
        <v>0</v>
      </c>
      <c r="L34" s="15">
        <f t="shared" si="20"/>
        <v>44964.13</v>
      </c>
      <c r="M34" s="15">
        <f t="shared" si="20"/>
        <v>44964.13</v>
      </c>
    </row>
    <row r="35" ht="15.75" customHeight="1">
      <c r="A35" s="22" t="s">
        <v>10</v>
      </c>
      <c r="B35" s="14">
        <f t="shared" ref="B35:F35" si="21">B61</f>
        <v>12.83585</v>
      </c>
      <c r="C35" s="14">
        <f t="shared" si="21"/>
        <v>17.44702</v>
      </c>
      <c r="D35" s="14">
        <f t="shared" si="21"/>
        <v>2.11636</v>
      </c>
      <c r="E35" s="14">
        <f t="shared" si="21"/>
        <v>14.21172</v>
      </c>
      <c r="F35" s="14">
        <f t="shared" si="21"/>
        <v>13.98113</v>
      </c>
      <c r="G35" s="6"/>
      <c r="H35" s="34" t="s">
        <v>10</v>
      </c>
      <c r="I35" s="15">
        <f t="shared" ref="I35:M35" si="22">G61</f>
        <v>35002.3</v>
      </c>
      <c r="J35" s="15">
        <f t="shared" si="22"/>
        <v>15721.38</v>
      </c>
      <c r="K35" s="15">
        <f t="shared" si="22"/>
        <v>146.3737</v>
      </c>
      <c r="L35" s="15">
        <f t="shared" si="22"/>
        <v>50577.3</v>
      </c>
      <c r="M35" s="15">
        <f t="shared" si="22"/>
        <v>50723.68</v>
      </c>
      <c r="O35" s="16"/>
    </row>
    <row r="36" ht="15.75" customHeight="1">
      <c r="A36" s="22" t="s">
        <v>18</v>
      </c>
      <c r="B36" s="14">
        <f t="shared" ref="B36:F36" si="23">B62</f>
        <v>11.66796</v>
      </c>
      <c r="C36" s="14">
        <f t="shared" si="23"/>
        <v>16.60356</v>
      </c>
      <c r="D36" s="14">
        <f t="shared" si="23"/>
        <v>0.8671496</v>
      </c>
      <c r="E36" s="14">
        <f t="shared" si="23"/>
        <v>13.06643</v>
      </c>
      <c r="F36" s="14">
        <f t="shared" si="23"/>
        <v>12.73316</v>
      </c>
      <c r="G36" s="6"/>
      <c r="H36" s="34" t="s">
        <v>18</v>
      </c>
      <c r="I36" s="15">
        <f t="shared" ref="I36:M36" si="24">G62</f>
        <v>56535.07</v>
      </c>
      <c r="J36" s="15">
        <f t="shared" si="24"/>
        <v>22141.14</v>
      </c>
      <c r="K36" s="15">
        <f t="shared" si="24"/>
        <v>146.3737</v>
      </c>
      <c r="L36" s="15">
        <f t="shared" si="24"/>
        <v>78529.84</v>
      </c>
      <c r="M36" s="15">
        <f t="shared" si="24"/>
        <v>78676.21</v>
      </c>
      <c r="O36" s="35"/>
    </row>
    <row r="37" ht="15.75" customHeight="1">
      <c r="A37" s="16" t="s">
        <v>27</v>
      </c>
      <c r="B37" s="16"/>
      <c r="C37" s="16"/>
      <c r="D37" s="16"/>
      <c r="E37" s="16"/>
      <c r="F37" s="16"/>
      <c r="G37" s="16"/>
      <c r="H37" s="16" t="s">
        <v>28</v>
      </c>
      <c r="I37" s="16"/>
      <c r="J37" s="16"/>
      <c r="K37" s="16"/>
      <c r="L37" s="16"/>
      <c r="M37" s="16"/>
      <c r="N37" s="16"/>
      <c r="O37" s="16"/>
      <c r="P37" s="16"/>
      <c r="Q37" s="16"/>
      <c r="R37" s="16"/>
      <c r="S37" s="16"/>
      <c r="T37" s="16"/>
      <c r="U37" s="16"/>
      <c r="V37" s="16"/>
      <c r="W37" s="16"/>
      <c r="X37" s="16"/>
      <c r="Y37" s="16"/>
      <c r="Z37" s="16"/>
    </row>
    <row r="38" ht="15.75" customHeight="1">
      <c r="A38" s="16" t="s">
        <v>82</v>
      </c>
      <c r="B38" s="16"/>
      <c r="C38" s="16"/>
      <c r="D38" s="16"/>
      <c r="E38" s="16"/>
      <c r="F38" s="16"/>
      <c r="G38" s="16"/>
      <c r="H38" s="16" t="s">
        <v>82</v>
      </c>
      <c r="I38" s="16"/>
      <c r="J38" s="16"/>
      <c r="K38" s="16"/>
      <c r="L38" s="16"/>
      <c r="M38" s="16"/>
      <c r="N38" s="16"/>
      <c r="O38" s="16"/>
      <c r="P38" s="16"/>
      <c r="Q38" s="16"/>
      <c r="R38" s="16"/>
      <c r="S38" s="16"/>
      <c r="T38" s="16"/>
      <c r="U38" s="16"/>
      <c r="V38" s="16"/>
      <c r="W38" s="16"/>
      <c r="X38" s="16"/>
      <c r="Y38" s="16"/>
      <c r="Z38" s="16"/>
    </row>
    <row r="39" ht="15.7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5.75" customHeight="1">
      <c r="A40" s="2"/>
      <c r="B40" s="31" t="s">
        <v>29</v>
      </c>
      <c r="C40" s="4"/>
      <c r="D40" s="4"/>
      <c r="E40" s="4"/>
      <c r="F40" s="5"/>
      <c r="G40" s="6"/>
      <c r="H40" s="7"/>
      <c r="I40" s="31" t="s">
        <v>30</v>
      </c>
      <c r="J40" s="4"/>
      <c r="K40" s="4"/>
      <c r="L40" s="4"/>
      <c r="M40" s="5"/>
    </row>
    <row r="41" ht="15.75" customHeight="1">
      <c r="A41" s="2"/>
      <c r="B41" s="8" t="s">
        <v>2</v>
      </c>
      <c r="C41" s="9"/>
      <c r="D41" s="8" t="s">
        <v>3</v>
      </c>
      <c r="E41" s="9"/>
      <c r="F41" s="27" t="s">
        <v>4</v>
      </c>
      <c r="G41" s="6"/>
      <c r="H41" s="7"/>
      <c r="I41" s="8" t="s">
        <v>2</v>
      </c>
      <c r="J41" s="9"/>
      <c r="K41" s="8" t="s">
        <v>3</v>
      </c>
      <c r="L41" s="9"/>
      <c r="M41" s="27" t="s">
        <v>4</v>
      </c>
    </row>
    <row r="42" ht="15.75" customHeight="1">
      <c r="A42" s="2"/>
      <c r="B42" s="11" t="s">
        <v>5</v>
      </c>
      <c r="C42" s="11" t="s">
        <v>6</v>
      </c>
      <c r="D42" s="11" t="s">
        <v>7</v>
      </c>
      <c r="E42" s="11" t="s">
        <v>8</v>
      </c>
      <c r="F42" s="28"/>
      <c r="G42" s="6"/>
      <c r="H42" s="7"/>
      <c r="I42" s="11" t="s">
        <v>5</v>
      </c>
      <c r="J42" s="11" t="s">
        <v>6</v>
      </c>
      <c r="K42" s="11" t="s">
        <v>7</v>
      </c>
      <c r="L42" s="11" t="s">
        <v>8</v>
      </c>
      <c r="M42" s="28"/>
    </row>
    <row r="43" ht="15.75" customHeight="1">
      <c r="A43" s="22" t="s">
        <v>23</v>
      </c>
      <c r="B43" s="14">
        <f t="shared" ref="B43:F43" si="25">B63</f>
        <v>39.19701</v>
      </c>
      <c r="C43" s="14">
        <f t="shared" si="25"/>
        <v>23.50634</v>
      </c>
      <c r="D43" s="14" t="str">
        <f t="shared" si="25"/>
        <v/>
      </c>
      <c r="E43" s="14">
        <f t="shared" si="25"/>
        <v>36.45996</v>
      </c>
      <c r="F43" s="14">
        <f t="shared" si="25"/>
        <v>36.45996</v>
      </c>
      <c r="G43" s="6"/>
      <c r="H43" s="34" t="s">
        <v>23</v>
      </c>
      <c r="I43" s="15">
        <f t="shared" ref="I43:M43" si="26">G63</f>
        <v>14550.19</v>
      </c>
      <c r="J43" s="15">
        <f t="shared" si="26"/>
        <v>1843.709</v>
      </c>
      <c r="K43" s="15">
        <f t="shared" si="26"/>
        <v>0</v>
      </c>
      <c r="L43" s="15">
        <f t="shared" si="26"/>
        <v>16393.9</v>
      </c>
      <c r="M43" s="15">
        <f t="shared" si="26"/>
        <v>16393.9</v>
      </c>
    </row>
    <row r="44" ht="15.75" customHeight="1">
      <c r="A44" s="22" t="s">
        <v>10</v>
      </c>
      <c r="B44" s="14">
        <f t="shared" ref="B44:F44" si="27">B64</f>
        <v>25.97674</v>
      </c>
      <c r="C44" s="14">
        <f t="shared" si="27"/>
        <v>92.87556</v>
      </c>
      <c r="D44" s="14">
        <f t="shared" si="27"/>
        <v>100</v>
      </c>
      <c r="E44" s="14">
        <f t="shared" si="27"/>
        <v>46.55725</v>
      </c>
      <c r="F44" s="14">
        <f t="shared" si="27"/>
        <v>46.71147</v>
      </c>
      <c r="G44" s="6"/>
      <c r="H44" s="34" t="s">
        <v>10</v>
      </c>
      <c r="I44" s="15">
        <f t="shared" ref="I44:M44" si="28">G64</f>
        <v>9092.455</v>
      </c>
      <c r="J44" s="15">
        <f t="shared" si="28"/>
        <v>14601.32</v>
      </c>
      <c r="K44" s="15">
        <f t="shared" si="28"/>
        <v>146.3737</v>
      </c>
      <c r="L44" s="15">
        <f t="shared" si="28"/>
        <v>23547.4</v>
      </c>
      <c r="M44" s="15">
        <f t="shared" si="28"/>
        <v>23693.77</v>
      </c>
    </row>
    <row r="45" ht="15.75" customHeight="1">
      <c r="A45" s="22" t="s">
        <v>18</v>
      </c>
      <c r="B45" s="14">
        <f t="shared" ref="B45:F45" si="29">B65</f>
        <v>31.91682</v>
      </c>
      <c r="C45" s="14">
        <f t="shared" si="29"/>
        <v>70.35563</v>
      </c>
      <c r="D45" s="14">
        <f t="shared" si="29"/>
        <v>100</v>
      </c>
      <c r="E45" s="14">
        <f t="shared" si="29"/>
        <v>42.62757</v>
      </c>
      <c r="F45" s="14">
        <f t="shared" si="29"/>
        <v>42.73431</v>
      </c>
      <c r="G45" s="6"/>
      <c r="H45" s="34" t="s">
        <v>18</v>
      </c>
      <c r="I45" s="15">
        <f t="shared" ref="I45:M45" si="30">G65</f>
        <v>18044.2</v>
      </c>
      <c r="J45" s="15">
        <f t="shared" si="30"/>
        <v>15577.54</v>
      </c>
      <c r="K45" s="15">
        <f t="shared" si="30"/>
        <v>146.3737</v>
      </c>
      <c r="L45" s="15">
        <f t="shared" si="30"/>
        <v>33475.36</v>
      </c>
      <c r="M45" s="15">
        <f t="shared" si="30"/>
        <v>33621.73</v>
      </c>
    </row>
    <row r="46" ht="15.75" customHeight="1">
      <c r="A46" s="16" t="s">
        <v>31</v>
      </c>
      <c r="B46" s="16"/>
      <c r="C46" s="16"/>
      <c r="D46" s="16"/>
      <c r="E46" s="16"/>
      <c r="F46" s="16"/>
      <c r="G46" s="16"/>
      <c r="H46" s="16" t="s">
        <v>31</v>
      </c>
      <c r="I46" s="16"/>
      <c r="J46" s="16"/>
      <c r="K46" s="16"/>
      <c r="L46" s="16"/>
      <c r="M46" s="16"/>
      <c r="N46" s="16"/>
      <c r="O46" s="16"/>
      <c r="P46" s="16"/>
      <c r="Q46" s="16"/>
      <c r="R46" s="16"/>
      <c r="S46" s="16"/>
      <c r="T46" s="16"/>
      <c r="U46" s="16"/>
      <c r="V46" s="16"/>
      <c r="W46" s="16"/>
      <c r="X46" s="16"/>
      <c r="Y46" s="16"/>
      <c r="Z46" s="16"/>
    </row>
    <row r="47" ht="15.75" customHeight="1">
      <c r="A47" s="16" t="s">
        <v>82</v>
      </c>
      <c r="B47" s="16"/>
      <c r="C47" s="16"/>
      <c r="D47" s="16"/>
      <c r="E47" s="16"/>
      <c r="F47" s="16"/>
      <c r="G47" s="16"/>
      <c r="H47" s="16" t="s">
        <v>82</v>
      </c>
      <c r="I47" s="16"/>
      <c r="J47" s="16"/>
      <c r="K47" s="16"/>
      <c r="L47" s="16"/>
      <c r="M47" s="16"/>
      <c r="N47" s="16"/>
      <c r="O47" s="16"/>
      <c r="P47" s="16"/>
      <c r="Q47" s="16"/>
      <c r="R47" s="16"/>
      <c r="S47" s="16"/>
      <c r="T47" s="16"/>
      <c r="U47" s="16"/>
      <c r="V47" s="16"/>
      <c r="W47" s="16"/>
      <c r="X47" s="16"/>
      <c r="Y47" s="16"/>
      <c r="Z47" s="16"/>
    </row>
    <row r="48" ht="15.75" customHeight="1">
      <c r="H48" s="1"/>
    </row>
    <row r="49" ht="15.75" customHeight="1">
      <c r="A49" s="36"/>
      <c r="B49" s="36"/>
      <c r="C49" s="36"/>
      <c r="D49" s="36"/>
      <c r="E49" s="36"/>
      <c r="F49" s="36"/>
      <c r="G49" s="36"/>
      <c r="H49" s="1"/>
      <c r="I49" s="36"/>
      <c r="J49" s="36"/>
      <c r="K49" s="36"/>
      <c r="L49" s="36"/>
      <c r="M49" s="36"/>
      <c r="N49" s="36"/>
      <c r="O49" s="36"/>
      <c r="P49" s="36"/>
      <c r="Q49" s="36"/>
      <c r="R49" s="36"/>
      <c r="S49" s="36"/>
      <c r="T49" s="36"/>
      <c r="U49" s="36"/>
      <c r="V49" s="36"/>
      <c r="W49" s="36"/>
      <c r="X49" s="36"/>
      <c r="Y49" s="36"/>
      <c r="Z49" s="36"/>
    </row>
    <row r="50" ht="15.75" customHeight="1">
      <c r="A50" s="36"/>
      <c r="B50" s="36" t="s">
        <v>32</v>
      </c>
      <c r="C50" s="36" t="s">
        <v>33</v>
      </c>
      <c r="D50" s="36" t="s">
        <v>34</v>
      </c>
      <c r="E50" s="36" t="s">
        <v>35</v>
      </c>
      <c r="F50" s="36" t="s">
        <v>36</v>
      </c>
      <c r="G50" s="36" t="s">
        <v>37</v>
      </c>
      <c r="H50" s="1" t="s">
        <v>38</v>
      </c>
      <c r="I50" s="36" t="s">
        <v>39</v>
      </c>
      <c r="J50" s="36" t="s">
        <v>40</v>
      </c>
      <c r="K50" s="36" t="s">
        <v>41</v>
      </c>
      <c r="L50" s="36"/>
      <c r="M50" s="36"/>
      <c r="N50" s="36"/>
      <c r="O50" s="36"/>
      <c r="P50" s="36"/>
      <c r="Q50" s="36"/>
      <c r="R50" s="36"/>
      <c r="S50" s="36"/>
      <c r="T50" s="36"/>
      <c r="U50" s="36"/>
      <c r="V50" s="36"/>
      <c r="W50" s="36"/>
      <c r="X50" s="36"/>
      <c r="Y50" s="36"/>
      <c r="Z50" s="36"/>
    </row>
    <row r="51" ht="15.75" customHeight="1">
      <c r="A51" s="36"/>
      <c r="B51" s="36">
        <v>18.69316</v>
      </c>
      <c r="C51" s="36">
        <v>7.587335</v>
      </c>
      <c r="D51" s="36">
        <v>7.572773</v>
      </c>
      <c r="E51" s="36">
        <v>13.7431</v>
      </c>
      <c r="F51" s="36">
        <v>13.10069</v>
      </c>
      <c r="G51" s="36">
        <v>994808.1</v>
      </c>
      <c r="H51" s="1">
        <v>409575.3</v>
      </c>
      <c r="I51" s="36">
        <v>84518.04</v>
      </c>
      <c r="J51" s="36">
        <v>1319865.0</v>
      </c>
      <c r="K51" s="36">
        <v>1404383.0</v>
      </c>
      <c r="L51" s="36"/>
      <c r="M51" s="36"/>
      <c r="N51" s="36"/>
      <c r="O51" s="36"/>
      <c r="P51" s="36"/>
      <c r="Q51" s="36"/>
      <c r="R51" s="36"/>
      <c r="S51" s="36"/>
      <c r="T51" s="36"/>
      <c r="U51" s="36"/>
      <c r="V51" s="36"/>
      <c r="W51" s="36"/>
      <c r="X51" s="36"/>
      <c r="Y51" s="36"/>
      <c r="Z51" s="36"/>
    </row>
    <row r="52" ht="15.75" customHeight="1">
      <c r="A52" s="36"/>
      <c r="B52" s="36">
        <v>67.56094</v>
      </c>
      <c r="C52" s="36">
        <v>54.50463</v>
      </c>
      <c r="D52" s="36">
        <v>26.33183</v>
      </c>
      <c r="E52" s="36">
        <v>65.01353</v>
      </c>
      <c r="F52" s="36">
        <v>60.98628</v>
      </c>
      <c r="G52" s="36">
        <v>3595441.0</v>
      </c>
      <c r="H52" s="1">
        <v>2942239.0</v>
      </c>
      <c r="I52" s="36">
        <v>293883.8</v>
      </c>
      <c r="J52" s="36">
        <v>6243796.0</v>
      </c>
      <c r="K52" s="36">
        <v>6537680.0</v>
      </c>
      <c r="L52" s="36"/>
      <c r="M52" s="36"/>
      <c r="N52" s="36"/>
      <c r="O52" s="36"/>
      <c r="P52" s="36"/>
      <c r="Q52" s="36"/>
      <c r="R52" s="36"/>
      <c r="S52" s="36"/>
      <c r="T52" s="36"/>
      <c r="U52" s="36"/>
      <c r="V52" s="36"/>
      <c r="W52" s="36"/>
      <c r="X52" s="36"/>
      <c r="Y52" s="36"/>
      <c r="Z52" s="36"/>
    </row>
    <row r="53" ht="15.75" customHeight="1">
      <c r="A53" s="36"/>
      <c r="B53" s="36">
        <v>68.94612</v>
      </c>
      <c r="C53" s="36">
        <v>55.48854</v>
      </c>
      <c r="D53" s="36">
        <v>28.36227</v>
      </c>
      <c r="E53" s="36">
        <v>66.09818</v>
      </c>
      <c r="F53" s="36">
        <v>62.16939</v>
      </c>
      <c r="G53" s="36">
        <v>3669157.0</v>
      </c>
      <c r="H53" s="1">
        <v>2995352.0</v>
      </c>
      <c r="I53" s="36">
        <v>316545.0</v>
      </c>
      <c r="J53" s="36">
        <v>6347964.0</v>
      </c>
      <c r="K53" s="36">
        <v>6664509.0</v>
      </c>
      <c r="L53" s="36"/>
      <c r="M53" s="36"/>
      <c r="N53" s="36"/>
      <c r="O53" s="36"/>
      <c r="P53" s="36"/>
      <c r="Q53" s="36"/>
      <c r="R53" s="36"/>
      <c r="S53" s="36"/>
      <c r="T53" s="36"/>
      <c r="U53" s="36"/>
      <c r="V53" s="36"/>
      <c r="W53" s="36"/>
      <c r="X53" s="36"/>
      <c r="Y53" s="36"/>
      <c r="Z53" s="36"/>
    </row>
    <row r="54" ht="15.75" customHeight="1">
      <c r="A54" s="36"/>
      <c r="B54" s="36">
        <v>31.58217</v>
      </c>
      <c r="C54" s="36">
        <v>15.75701</v>
      </c>
      <c r="D54" s="36">
        <v>15.63365</v>
      </c>
      <c r="E54" s="36">
        <v>27.69264</v>
      </c>
      <c r="F54" s="36">
        <v>26.96691</v>
      </c>
      <c r="G54" s="36">
        <v>314182.0</v>
      </c>
      <c r="H54" s="1">
        <v>64536.81</v>
      </c>
      <c r="I54" s="36">
        <v>13213.25</v>
      </c>
      <c r="J54" s="36">
        <v>365505.6</v>
      </c>
      <c r="K54" s="36">
        <v>378718.8</v>
      </c>
      <c r="L54" s="36"/>
      <c r="M54" s="36"/>
      <c r="N54" s="36"/>
      <c r="O54" s="36"/>
      <c r="P54" s="36"/>
      <c r="Q54" s="36"/>
      <c r="R54" s="36"/>
      <c r="S54" s="36"/>
      <c r="T54" s="36"/>
      <c r="U54" s="36"/>
      <c r="V54" s="36"/>
      <c r="W54" s="36"/>
      <c r="X54" s="36"/>
      <c r="Y54" s="36"/>
      <c r="Z54" s="36"/>
    </row>
    <row r="55" ht="15.75" customHeight="1">
      <c r="A55" s="36"/>
      <c r="B55" s="36">
        <v>8.116549</v>
      </c>
      <c r="C55" s="36">
        <v>3.260139</v>
      </c>
      <c r="D55" s="36">
        <v>2.353411</v>
      </c>
      <c r="E55" s="36">
        <v>6.099343</v>
      </c>
      <c r="F55" s="36">
        <v>5.930954</v>
      </c>
      <c r="G55" s="36">
        <v>291825.8</v>
      </c>
      <c r="H55" s="1">
        <v>95921.08</v>
      </c>
      <c r="I55" s="36">
        <v>6916.294</v>
      </c>
      <c r="J55" s="36">
        <v>380830.5</v>
      </c>
      <c r="K55" s="36">
        <v>387746.8</v>
      </c>
      <c r="L55" s="36"/>
      <c r="M55" s="36"/>
      <c r="N55" s="36"/>
      <c r="O55" s="36"/>
      <c r="P55" s="36"/>
      <c r="Q55" s="36"/>
      <c r="R55" s="36"/>
      <c r="S55" s="36"/>
      <c r="T55" s="36"/>
      <c r="U55" s="36"/>
      <c r="V55" s="36"/>
      <c r="W55" s="36"/>
      <c r="X55" s="36"/>
      <c r="Y55" s="36"/>
      <c r="Z55" s="36"/>
    </row>
    <row r="56" ht="15.75" customHeight="1">
      <c r="A56" s="36"/>
      <c r="B56" s="36">
        <v>13.8913</v>
      </c>
      <c r="C56" s="36">
        <v>4.656082</v>
      </c>
      <c r="D56" s="36">
        <v>5.42807</v>
      </c>
      <c r="E56" s="36">
        <v>9.955591</v>
      </c>
      <c r="F56" s="36">
        <v>9.740547</v>
      </c>
      <c r="G56" s="36">
        <v>509693.6</v>
      </c>
      <c r="H56" s="1">
        <v>139466.0</v>
      </c>
      <c r="I56" s="36">
        <v>17182.29</v>
      </c>
      <c r="J56" s="36">
        <v>631977.3</v>
      </c>
      <c r="K56" s="36">
        <v>649159.6</v>
      </c>
      <c r="L56" s="36"/>
      <c r="M56" s="36"/>
      <c r="N56" s="36"/>
      <c r="O56" s="36"/>
      <c r="P56" s="36"/>
      <c r="Q56" s="36"/>
      <c r="R56" s="36"/>
      <c r="S56" s="36"/>
      <c r="T56" s="36"/>
      <c r="U56" s="36"/>
      <c r="V56" s="36"/>
      <c r="W56" s="36"/>
      <c r="X56" s="36"/>
      <c r="Y56" s="36"/>
      <c r="Z56" s="36"/>
    </row>
    <row r="57" ht="15.75" customHeight="1">
      <c r="A57" s="36"/>
      <c r="B57" s="36">
        <v>3.965467</v>
      </c>
      <c r="C57" s="36">
        <v>6.475714</v>
      </c>
      <c r="D57" s="36">
        <v>2.288761</v>
      </c>
      <c r="E57" s="36">
        <v>4.469312</v>
      </c>
      <c r="F57" s="36">
        <v>4.393234</v>
      </c>
      <c r="G57" s="36">
        <v>12458.78</v>
      </c>
      <c r="H57" s="1">
        <v>4179.219</v>
      </c>
      <c r="I57" s="36">
        <v>302.4198</v>
      </c>
      <c r="J57" s="36">
        <v>16335.58</v>
      </c>
      <c r="K57" s="36">
        <v>16638.0</v>
      </c>
      <c r="L57" s="36"/>
      <c r="M57" s="36"/>
      <c r="N57" s="36"/>
      <c r="O57" s="36"/>
      <c r="P57" s="36"/>
      <c r="Q57" s="36"/>
      <c r="R57" s="36"/>
      <c r="S57" s="36"/>
      <c r="T57" s="36"/>
      <c r="U57" s="36"/>
      <c r="V57" s="36"/>
      <c r="W57" s="36"/>
      <c r="X57" s="36"/>
      <c r="Y57" s="36"/>
      <c r="Z57" s="36"/>
    </row>
    <row r="58" ht="15.75" customHeight="1">
      <c r="A58" s="36"/>
      <c r="B58" s="36">
        <v>6.556698</v>
      </c>
      <c r="C58" s="36">
        <v>6.058993</v>
      </c>
      <c r="D58" s="36">
        <v>0.0</v>
      </c>
      <c r="E58" s="36">
        <v>6.550416</v>
      </c>
      <c r="F58" s="36">
        <v>6.433575</v>
      </c>
      <c r="G58" s="36">
        <v>19134.13</v>
      </c>
      <c r="H58" s="1">
        <v>5811.852</v>
      </c>
      <c r="I58" s="36">
        <v>0.0</v>
      </c>
      <c r="J58" s="36">
        <v>24945.98</v>
      </c>
      <c r="K58" s="36">
        <v>24945.98</v>
      </c>
      <c r="L58" s="36"/>
      <c r="M58" s="36"/>
      <c r="N58" s="36"/>
      <c r="O58" s="36"/>
      <c r="P58" s="36"/>
      <c r="Q58" s="36"/>
      <c r="R58" s="36"/>
      <c r="S58" s="36"/>
      <c r="T58" s="36"/>
      <c r="U58" s="36"/>
      <c r="V58" s="36"/>
      <c r="W58" s="36"/>
      <c r="X58" s="36"/>
      <c r="Y58" s="36"/>
      <c r="Z58" s="36"/>
    </row>
    <row r="59" ht="15.75" customHeight="1">
      <c r="A59" s="36"/>
      <c r="B59" s="36">
        <v>4.936451</v>
      </c>
      <c r="C59" s="36">
        <v>4.384058</v>
      </c>
      <c r="D59" s="36">
        <v>1.760067</v>
      </c>
      <c r="E59" s="36">
        <v>4.900908</v>
      </c>
      <c r="F59" s="36">
        <v>4.817774</v>
      </c>
      <c r="G59" s="36">
        <v>25160.78</v>
      </c>
      <c r="H59" s="1">
        <v>6114.271</v>
      </c>
      <c r="I59" s="36">
        <v>302.4198</v>
      </c>
      <c r="J59" s="36">
        <v>30972.63</v>
      </c>
      <c r="K59" s="36">
        <v>31275.05</v>
      </c>
      <c r="L59" s="36"/>
      <c r="M59" s="36"/>
      <c r="N59" s="36"/>
      <c r="O59" s="36"/>
      <c r="P59" s="36"/>
      <c r="Q59" s="36"/>
      <c r="R59" s="36"/>
      <c r="S59" s="36"/>
      <c r="T59" s="36"/>
      <c r="U59" s="36"/>
      <c r="V59" s="36"/>
      <c r="W59" s="36"/>
      <c r="X59" s="36"/>
      <c r="Y59" s="36"/>
      <c r="Z59" s="36"/>
    </row>
    <row r="60" ht="15.75" customHeight="1">
      <c r="A60" s="36"/>
      <c r="B60" s="36">
        <v>12.30289</v>
      </c>
      <c r="C60" s="36">
        <v>12.99497</v>
      </c>
      <c r="D60" s="36">
        <v>0.0</v>
      </c>
      <c r="E60" s="36">
        <v>12.87743</v>
      </c>
      <c r="F60" s="36">
        <v>12.41826</v>
      </c>
      <c r="G60" s="36">
        <v>37120.67</v>
      </c>
      <c r="H60" s="1">
        <v>7843.454</v>
      </c>
      <c r="I60" s="36">
        <v>0.0</v>
      </c>
      <c r="J60" s="36">
        <v>44964.13</v>
      </c>
      <c r="K60" s="36">
        <v>44964.13</v>
      </c>
      <c r="L60" s="36"/>
      <c r="M60" s="36"/>
      <c r="N60" s="36"/>
      <c r="O60" s="36"/>
      <c r="P60" s="36"/>
      <c r="Q60" s="36"/>
      <c r="R60" s="36"/>
      <c r="S60" s="36"/>
      <c r="T60" s="36"/>
      <c r="U60" s="36"/>
      <c r="V60" s="36"/>
      <c r="W60" s="36"/>
      <c r="X60" s="36"/>
      <c r="Y60" s="36"/>
      <c r="Z60" s="36"/>
    </row>
    <row r="61" ht="15.75" customHeight="1">
      <c r="A61" s="36"/>
      <c r="B61" s="36">
        <v>12.83585</v>
      </c>
      <c r="C61" s="36">
        <v>17.44702</v>
      </c>
      <c r="D61" s="36">
        <v>2.11636</v>
      </c>
      <c r="E61" s="36">
        <v>14.21172</v>
      </c>
      <c r="F61" s="36">
        <v>13.98113</v>
      </c>
      <c r="G61" s="36">
        <v>35002.3</v>
      </c>
      <c r="H61" s="1">
        <v>15721.38</v>
      </c>
      <c r="I61" s="36">
        <v>146.3737</v>
      </c>
      <c r="J61" s="36">
        <v>50577.3</v>
      </c>
      <c r="K61" s="36">
        <v>50723.68</v>
      </c>
      <c r="L61" s="36"/>
      <c r="M61" s="36"/>
      <c r="N61" s="36"/>
      <c r="O61" s="36"/>
      <c r="P61" s="36"/>
      <c r="Q61" s="36"/>
      <c r="R61" s="36"/>
      <c r="S61" s="36"/>
      <c r="T61" s="36"/>
      <c r="U61" s="36"/>
      <c r="V61" s="36"/>
      <c r="W61" s="36"/>
      <c r="X61" s="36"/>
      <c r="Y61" s="36"/>
      <c r="Z61" s="36"/>
    </row>
    <row r="62" ht="15.75" customHeight="1">
      <c r="A62" s="36"/>
      <c r="B62" s="36">
        <v>11.66796</v>
      </c>
      <c r="C62" s="36">
        <v>16.60356</v>
      </c>
      <c r="D62" s="36">
        <v>0.8671496</v>
      </c>
      <c r="E62" s="36">
        <v>13.06643</v>
      </c>
      <c r="F62" s="36">
        <v>12.73316</v>
      </c>
      <c r="G62" s="36">
        <v>56535.07</v>
      </c>
      <c r="H62" s="1">
        <v>22141.14</v>
      </c>
      <c r="I62" s="36">
        <v>146.3737</v>
      </c>
      <c r="J62" s="36">
        <v>78529.84</v>
      </c>
      <c r="K62" s="36">
        <v>78676.21</v>
      </c>
      <c r="L62" s="36"/>
      <c r="M62" s="36"/>
      <c r="N62" s="36"/>
      <c r="O62" s="36"/>
      <c r="P62" s="36"/>
      <c r="Q62" s="36"/>
      <c r="R62" s="36"/>
      <c r="S62" s="36"/>
      <c r="T62" s="36"/>
      <c r="U62" s="36"/>
      <c r="V62" s="36"/>
      <c r="W62" s="36"/>
      <c r="X62" s="36"/>
      <c r="Y62" s="36"/>
      <c r="Z62" s="36"/>
    </row>
    <row r="63" ht="15.75" customHeight="1">
      <c r="A63" s="36"/>
      <c r="B63" s="36">
        <v>39.19701</v>
      </c>
      <c r="C63" s="36">
        <v>23.50634</v>
      </c>
      <c r="D63" s="36"/>
      <c r="E63" s="36">
        <v>36.45996</v>
      </c>
      <c r="F63" s="36">
        <v>36.45996</v>
      </c>
      <c r="G63" s="36">
        <v>14550.19</v>
      </c>
      <c r="H63" s="1">
        <v>1843.709</v>
      </c>
      <c r="I63" s="36">
        <v>0.0</v>
      </c>
      <c r="J63" s="36">
        <v>16393.9</v>
      </c>
      <c r="K63" s="36">
        <v>16393.9</v>
      </c>
      <c r="L63" s="36"/>
      <c r="M63" s="36"/>
      <c r="N63" s="36"/>
      <c r="O63" s="36"/>
      <c r="P63" s="36"/>
      <c r="Q63" s="36"/>
      <c r="R63" s="36"/>
      <c r="S63" s="36"/>
      <c r="T63" s="36"/>
      <c r="U63" s="36"/>
      <c r="V63" s="36"/>
      <c r="W63" s="36"/>
      <c r="X63" s="36"/>
      <c r="Y63" s="36"/>
      <c r="Z63" s="36"/>
    </row>
    <row r="64" ht="15.75" customHeight="1">
      <c r="A64" s="36"/>
      <c r="B64" s="36">
        <v>25.97674</v>
      </c>
      <c r="C64" s="36">
        <v>92.87556</v>
      </c>
      <c r="D64" s="36">
        <v>100.0</v>
      </c>
      <c r="E64" s="36">
        <v>46.55725</v>
      </c>
      <c r="F64" s="36">
        <v>46.71147</v>
      </c>
      <c r="G64" s="36">
        <v>9092.455</v>
      </c>
      <c r="H64" s="1">
        <v>14601.32</v>
      </c>
      <c r="I64" s="36">
        <v>146.3737</v>
      </c>
      <c r="J64" s="36">
        <v>23547.4</v>
      </c>
      <c r="K64" s="36">
        <v>23693.77</v>
      </c>
      <c r="L64" s="36"/>
      <c r="M64" s="36"/>
      <c r="N64" s="36"/>
      <c r="O64" s="36"/>
      <c r="P64" s="36"/>
      <c r="Q64" s="36"/>
      <c r="R64" s="36"/>
      <c r="S64" s="36"/>
      <c r="T64" s="36"/>
      <c r="U64" s="36"/>
      <c r="V64" s="36"/>
      <c r="W64" s="36"/>
      <c r="X64" s="36"/>
      <c r="Y64" s="36"/>
      <c r="Z64" s="36"/>
    </row>
    <row r="65" ht="15.75" customHeight="1">
      <c r="A65" s="36"/>
      <c r="B65" s="36">
        <v>31.91682</v>
      </c>
      <c r="C65" s="36">
        <v>70.35563</v>
      </c>
      <c r="D65" s="36">
        <v>100.0</v>
      </c>
      <c r="E65" s="36">
        <v>42.62757</v>
      </c>
      <c r="F65" s="36">
        <v>42.73431</v>
      </c>
      <c r="G65" s="36">
        <v>18044.2</v>
      </c>
      <c r="H65" s="1">
        <v>15577.54</v>
      </c>
      <c r="I65" s="36">
        <v>146.3737</v>
      </c>
      <c r="J65" s="36">
        <v>33475.36</v>
      </c>
      <c r="K65" s="36">
        <v>33621.73</v>
      </c>
      <c r="L65" s="36"/>
      <c r="M65" s="36"/>
      <c r="N65" s="36"/>
      <c r="O65" s="36"/>
      <c r="P65" s="36"/>
      <c r="Q65" s="36"/>
      <c r="R65" s="36"/>
      <c r="S65" s="36"/>
      <c r="T65" s="36"/>
      <c r="U65" s="36"/>
      <c r="V65" s="36"/>
      <c r="W65" s="36"/>
      <c r="X65" s="36"/>
      <c r="Y65" s="36"/>
      <c r="Z65" s="36"/>
    </row>
    <row r="66" ht="15.75" customHeight="1">
      <c r="A66" s="36"/>
      <c r="B66" s="36"/>
      <c r="C66" s="36"/>
      <c r="D66" s="36"/>
      <c r="E66" s="36"/>
      <c r="F66" s="36"/>
      <c r="G66" s="36"/>
      <c r="H66" s="1"/>
      <c r="I66" s="36"/>
      <c r="J66" s="36"/>
      <c r="K66" s="36"/>
      <c r="L66" s="36"/>
      <c r="M66" s="36"/>
      <c r="N66" s="36"/>
      <c r="O66" s="36"/>
      <c r="P66" s="36"/>
      <c r="Q66" s="36"/>
      <c r="R66" s="36"/>
      <c r="S66" s="36"/>
      <c r="T66" s="36"/>
      <c r="U66" s="36"/>
      <c r="V66" s="36"/>
      <c r="W66" s="36"/>
      <c r="X66" s="36"/>
      <c r="Y66" s="36"/>
      <c r="Z66" s="36"/>
    </row>
    <row r="67" ht="15.75" customHeight="1">
      <c r="A67" s="36"/>
      <c r="B67" s="36"/>
      <c r="C67" s="36"/>
      <c r="D67" s="36"/>
      <c r="E67" s="36"/>
      <c r="F67" s="36"/>
      <c r="G67" s="36"/>
      <c r="H67" s="1"/>
      <c r="I67" s="36"/>
      <c r="J67" s="36"/>
      <c r="K67" s="36"/>
      <c r="L67" s="36"/>
      <c r="M67" s="36"/>
      <c r="N67" s="36"/>
      <c r="O67" s="36"/>
      <c r="P67" s="36"/>
      <c r="Q67" s="36"/>
      <c r="R67" s="36"/>
      <c r="S67" s="36"/>
      <c r="T67" s="36"/>
      <c r="U67" s="36"/>
      <c r="V67" s="36"/>
      <c r="W67" s="36"/>
      <c r="X67" s="36"/>
      <c r="Y67" s="36"/>
      <c r="Z67" s="36"/>
    </row>
    <row r="68" ht="15.75" customHeight="1">
      <c r="A68" s="36"/>
      <c r="B68" s="36"/>
      <c r="C68" s="36"/>
      <c r="D68" s="36"/>
      <c r="E68" s="36"/>
      <c r="F68" s="36"/>
      <c r="G68" s="36"/>
      <c r="H68" s="1"/>
      <c r="I68" s="36"/>
      <c r="J68" s="36"/>
      <c r="K68" s="36"/>
      <c r="L68" s="36"/>
      <c r="M68" s="36"/>
      <c r="N68" s="36"/>
      <c r="O68" s="36"/>
      <c r="P68" s="36"/>
      <c r="Q68" s="36"/>
      <c r="R68" s="36"/>
      <c r="S68" s="36"/>
      <c r="T68" s="36"/>
      <c r="U68" s="36"/>
      <c r="V68" s="36"/>
      <c r="W68" s="36"/>
      <c r="X68" s="36"/>
      <c r="Y68" s="36"/>
      <c r="Z68" s="36"/>
    </row>
    <row r="69" ht="15.75" customHeight="1">
      <c r="A69" s="36"/>
      <c r="B69" s="36"/>
      <c r="C69" s="36"/>
      <c r="D69" s="36"/>
      <c r="E69" s="36"/>
      <c r="F69" s="36"/>
      <c r="G69" s="36"/>
      <c r="H69" s="1"/>
      <c r="I69" s="36"/>
      <c r="J69" s="36"/>
      <c r="K69" s="36"/>
      <c r="L69" s="36"/>
      <c r="M69" s="36"/>
      <c r="N69" s="36"/>
      <c r="O69" s="36"/>
      <c r="P69" s="36"/>
      <c r="Q69" s="36"/>
      <c r="R69" s="36"/>
      <c r="S69" s="36"/>
      <c r="T69" s="36"/>
      <c r="U69" s="36"/>
      <c r="V69" s="36"/>
      <c r="W69" s="36"/>
      <c r="X69" s="36"/>
      <c r="Y69" s="36"/>
      <c r="Z69" s="36"/>
    </row>
    <row r="70" ht="15.75" customHeight="1">
      <c r="A70" s="36"/>
      <c r="B70" s="36"/>
      <c r="C70" s="36"/>
      <c r="D70" s="36"/>
      <c r="E70" s="36"/>
      <c r="F70" s="36"/>
      <c r="G70" s="36"/>
      <c r="H70" s="1"/>
      <c r="I70" s="36"/>
      <c r="J70" s="36"/>
      <c r="K70" s="36"/>
      <c r="L70" s="36"/>
      <c r="M70" s="36"/>
      <c r="N70" s="36"/>
      <c r="O70" s="36"/>
      <c r="P70" s="36"/>
      <c r="Q70" s="36"/>
      <c r="R70" s="36"/>
      <c r="S70" s="36"/>
      <c r="T70" s="36"/>
      <c r="U70" s="36"/>
      <c r="V70" s="36"/>
      <c r="W70" s="36"/>
      <c r="X70" s="36"/>
      <c r="Y70" s="36"/>
      <c r="Z70" s="36"/>
    </row>
    <row r="71" ht="15.75" customHeight="1">
      <c r="A71" s="36"/>
      <c r="B71" s="36"/>
      <c r="C71" s="36"/>
      <c r="D71" s="36"/>
      <c r="E71" s="36"/>
      <c r="F71" s="36"/>
      <c r="G71" s="36"/>
      <c r="H71" s="1"/>
      <c r="I71" s="36"/>
      <c r="J71" s="36"/>
      <c r="K71" s="36"/>
      <c r="L71" s="36"/>
      <c r="M71" s="36"/>
      <c r="N71" s="36"/>
      <c r="O71" s="36"/>
      <c r="P71" s="36"/>
      <c r="Q71" s="36"/>
      <c r="R71" s="36"/>
      <c r="S71" s="36"/>
      <c r="T71" s="36"/>
      <c r="U71" s="36"/>
      <c r="V71" s="36"/>
      <c r="W71" s="36"/>
      <c r="X71" s="36"/>
      <c r="Y71" s="36"/>
      <c r="Z71" s="36"/>
    </row>
    <row r="72" ht="15.75" customHeight="1">
      <c r="A72" s="36"/>
      <c r="B72" s="36"/>
      <c r="C72" s="36"/>
      <c r="D72" s="36"/>
      <c r="E72" s="36"/>
      <c r="F72" s="36"/>
      <c r="G72" s="36"/>
      <c r="H72" s="1"/>
      <c r="I72" s="36"/>
      <c r="J72" s="36"/>
      <c r="K72" s="37"/>
      <c r="L72" s="37"/>
      <c r="M72" s="38"/>
      <c r="N72" s="39"/>
      <c r="O72" s="37"/>
      <c r="P72" s="37"/>
      <c r="Q72" s="37"/>
      <c r="R72" s="40"/>
      <c r="S72" s="36"/>
      <c r="T72" s="36"/>
      <c r="U72" s="36"/>
      <c r="V72" s="36"/>
      <c r="W72" s="36"/>
      <c r="X72" s="36"/>
      <c r="Y72" s="36"/>
      <c r="Z72" s="36"/>
    </row>
    <row r="73" ht="78.75" customHeight="1">
      <c r="A73" s="36"/>
      <c r="B73" s="36"/>
      <c r="C73" s="36"/>
      <c r="D73" s="36"/>
      <c r="E73" s="36"/>
      <c r="F73" s="36"/>
      <c r="G73" s="36"/>
      <c r="H73" s="1"/>
      <c r="I73" s="36"/>
      <c r="J73" s="36"/>
      <c r="K73" s="41" t="s">
        <v>42</v>
      </c>
      <c r="L73" s="42"/>
      <c r="M73" s="42"/>
      <c r="N73" s="42"/>
      <c r="O73" s="42"/>
      <c r="P73" s="42"/>
      <c r="Q73" s="43"/>
      <c r="R73" s="44"/>
      <c r="S73" s="36"/>
      <c r="T73" s="36"/>
      <c r="U73" s="36"/>
      <c r="V73" s="36"/>
      <c r="W73" s="36"/>
      <c r="X73" s="36"/>
      <c r="Y73" s="36"/>
      <c r="Z73" s="36"/>
    </row>
    <row r="74" ht="47.25" customHeight="1">
      <c r="A74" s="36"/>
      <c r="B74" s="36"/>
      <c r="C74" s="36"/>
      <c r="D74" s="36"/>
      <c r="E74" s="36"/>
      <c r="F74" s="36"/>
      <c r="G74" s="36"/>
      <c r="H74" s="1"/>
      <c r="I74" s="36"/>
      <c r="J74" s="36"/>
      <c r="K74" s="45" t="s">
        <v>43</v>
      </c>
      <c r="L74" s="46"/>
      <c r="M74" s="46"/>
      <c r="N74" s="46"/>
      <c r="O74" s="46"/>
      <c r="P74" s="46"/>
      <c r="Q74" s="47"/>
      <c r="R74" s="48"/>
      <c r="S74" s="36"/>
      <c r="T74" s="36"/>
      <c r="U74" s="36"/>
      <c r="V74" s="36"/>
      <c r="W74" s="36"/>
      <c r="X74" s="36"/>
      <c r="Y74" s="36"/>
      <c r="Z74" s="36"/>
    </row>
    <row r="75" ht="15.75" customHeight="1">
      <c r="A75" s="36"/>
      <c r="B75" s="36"/>
      <c r="C75" s="36"/>
      <c r="D75" s="36"/>
      <c r="E75" s="36"/>
      <c r="F75" s="36"/>
      <c r="G75" s="36"/>
      <c r="H75" s="1"/>
      <c r="I75" s="36"/>
      <c r="J75" s="36"/>
      <c r="K75" s="49"/>
      <c r="L75" s="50"/>
      <c r="M75" s="51"/>
      <c r="N75" s="49"/>
      <c r="O75" s="49"/>
      <c r="P75" s="49"/>
      <c r="Q75" s="49"/>
      <c r="R75" s="49"/>
      <c r="S75" s="36"/>
      <c r="T75" s="36"/>
      <c r="U75" s="36"/>
      <c r="V75" s="36"/>
      <c r="W75" s="36"/>
      <c r="X75" s="36"/>
      <c r="Y75" s="36"/>
      <c r="Z75" s="36"/>
    </row>
    <row r="76" ht="15.75" customHeight="1">
      <c r="A76" s="36"/>
      <c r="B76" s="36"/>
      <c r="C76" s="36"/>
      <c r="D76" s="36"/>
      <c r="E76" s="36"/>
      <c r="F76" s="36"/>
      <c r="G76" s="36"/>
      <c r="H76" s="1"/>
      <c r="I76" s="36"/>
      <c r="J76" s="36"/>
      <c r="K76" s="49" t="s">
        <v>44</v>
      </c>
      <c r="L76" s="52" t="s">
        <v>10</v>
      </c>
      <c r="M76" s="39"/>
      <c r="N76" s="49" t="s">
        <v>45</v>
      </c>
      <c r="O76" s="49" t="s">
        <v>46</v>
      </c>
      <c r="P76" s="49" t="s">
        <v>47</v>
      </c>
      <c r="Q76" s="49" t="s">
        <v>48</v>
      </c>
      <c r="R76" s="49" t="s">
        <v>49</v>
      </c>
      <c r="S76" s="36"/>
      <c r="T76" s="36"/>
      <c r="U76" s="36"/>
      <c r="V76" s="36"/>
      <c r="W76" s="36"/>
      <c r="X76" s="36"/>
      <c r="Y76" s="36"/>
      <c r="Z76" s="36"/>
    </row>
    <row r="77" ht="15.75" customHeight="1">
      <c r="A77" s="36"/>
      <c r="B77" s="36"/>
      <c r="C77" s="36"/>
      <c r="D77" s="36"/>
      <c r="E77" s="36"/>
      <c r="F77" s="36"/>
      <c r="G77" s="36"/>
      <c r="H77" s="1"/>
      <c r="I77" s="36"/>
      <c r="J77" s="36"/>
      <c r="K77" s="49" t="s">
        <v>50</v>
      </c>
      <c r="L77" s="52"/>
      <c r="M77" s="39"/>
      <c r="N77" s="49"/>
      <c r="O77" s="49"/>
      <c r="P77" s="49"/>
      <c r="Q77" s="49"/>
      <c r="R77" s="49"/>
      <c r="S77" s="36"/>
      <c r="T77" s="36"/>
      <c r="U77" s="36"/>
      <c r="V77" s="36"/>
      <c r="W77" s="36"/>
      <c r="X77" s="36"/>
      <c r="Y77" s="36"/>
      <c r="Z77" s="36"/>
    </row>
    <row r="78" ht="15.75" customHeight="1">
      <c r="A78" s="36"/>
      <c r="B78" s="36"/>
      <c r="C78" s="36"/>
      <c r="D78" s="36"/>
      <c r="E78" s="36"/>
      <c r="F78" s="36"/>
      <c r="G78" s="36"/>
      <c r="H78" s="1"/>
      <c r="I78" s="36"/>
      <c r="J78" s="36"/>
      <c r="K78" s="49" t="s">
        <v>51</v>
      </c>
      <c r="L78" s="52" t="s">
        <v>83</v>
      </c>
      <c r="M78" s="39"/>
      <c r="N78" s="49"/>
      <c r="O78" s="49"/>
      <c r="P78" s="49"/>
      <c r="Q78" s="49"/>
      <c r="R78" s="49" t="s">
        <v>84</v>
      </c>
      <c r="S78" s="36"/>
      <c r="T78" s="36"/>
      <c r="U78" s="36"/>
      <c r="V78" s="36"/>
      <c r="W78" s="36"/>
      <c r="X78" s="36"/>
      <c r="Y78" s="36"/>
      <c r="Z78" s="36"/>
    </row>
    <row r="79" ht="15.75" customHeight="1">
      <c r="A79" s="36"/>
      <c r="B79" s="36"/>
      <c r="C79" s="36"/>
      <c r="D79" s="36"/>
      <c r="E79" s="36"/>
      <c r="F79" s="36"/>
      <c r="G79" s="36"/>
      <c r="H79" s="1"/>
      <c r="I79" s="36"/>
      <c r="J79" s="36"/>
      <c r="K79" s="49" t="s">
        <v>54</v>
      </c>
      <c r="L79" s="52"/>
      <c r="M79" s="39"/>
      <c r="N79" s="49"/>
      <c r="O79" s="49"/>
      <c r="P79" s="49"/>
      <c r="Q79" s="49"/>
      <c r="R79" s="49"/>
      <c r="S79" s="36"/>
      <c r="T79" s="36"/>
      <c r="U79" s="36"/>
      <c r="V79" s="36"/>
      <c r="W79" s="36"/>
      <c r="X79" s="36"/>
      <c r="Y79" s="36"/>
      <c r="Z79" s="36"/>
    </row>
    <row r="80" ht="15.75" customHeight="1">
      <c r="A80" s="36"/>
      <c r="B80" s="36"/>
      <c r="C80" s="36"/>
      <c r="D80" s="36"/>
      <c r="E80" s="36"/>
      <c r="F80" s="36"/>
      <c r="G80" s="36"/>
      <c r="H80" s="1"/>
      <c r="I80" s="36"/>
      <c r="J80" s="36"/>
      <c r="K80" s="49" t="s">
        <v>55</v>
      </c>
      <c r="L80" s="53"/>
      <c r="M80" s="54"/>
      <c r="N80" s="49"/>
      <c r="O80" s="49"/>
      <c r="P80" s="49"/>
      <c r="Q80" s="49"/>
      <c r="R80" s="49"/>
      <c r="S80" s="36"/>
      <c r="T80" s="36"/>
      <c r="U80" s="36"/>
      <c r="V80" s="36"/>
      <c r="W80" s="36"/>
      <c r="X80" s="36"/>
      <c r="Y80" s="36"/>
      <c r="Z80" s="36"/>
    </row>
    <row r="81" ht="15.75" customHeight="1">
      <c r="A81" s="36"/>
      <c r="B81" s="36"/>
      <c r="C81" s="36"/>
      <c r="D81" s="36"/>
      <c r="E81" s="36"/>
      <c r="F81" s="36"/>
      <c r="G81" s="36"/>
      <c r="H81" s="1"/>
      <c r="I81" s="36"/>
      <c r="J81" s="36"/>
      <c r="K81" s="49" t="s">
        <v>56</v>
      </c>
      <c r="L81" s="50"/>
      <c r="M81" s="51"/>
      <c r="N81" s="49"/>
      <c r="O81" s="49"/>
      <c r="P81" s="49"/>
      <c r="Q81" s="49"/>
      <c r="R81" s="49"/>
      <c r="S81" s="36"/>
      <c r="T81" s="36"/>
      <c r="U81" s="36"/>
      <c r="V81" s="36"/>
      <c r="W81" s="36"/>
      <c r="X81" s="36"/>
      <c r="Y81" s="36"/>
      <c r="Z81" s="36"/>
    </row>
    <row r="82" ht="15.75" customHeight="1">
      <c r="A82" s="36"/>
      <c r="B82" s="36"/>
      <c r="C82" s="36"/>
      <c r="D82" s="36"/>
      <c r="E82" s="36"/>
      <c r="F82" s="36"/>
      <c r="G82" s="36"/>
      <c r="H82" s="1"/>
      <c r="I82" s="36"/>
      <c r="J82" s="36"/>
      <c r="K82" s="49" t="s">
        <v>57</v>
      </c>
      <c r="L82" s="52"/>
      <c r="M82" s="39"/>
      <c r="N82" s="37"/>
      <c r="O82" s="55"/>
      <c r="P82" s="55"/>
      <c r="Q82" s="55"/>
      <c r="R82" s="56"/>
      <c r="S82" s="36"/>
      <c r="T82" s="36"/>
      <c r="U82" s="36"/>
      <c r="V82" s="36"/>
      <c r="W82" s="36"/>
      <c r="X82" s="36"/>
      <c r="Y82" s="36"/>
      <c r="Z82" s="36"/>
    </row>
    <row r="83" ht="15.75" customHeight="1">
      <c r="A83" s="36"/>
      <c r="B83" s="36"/>
      <c r="C83" s="36"/>
      <c r="D83" s="36"/>
      <c r="E83" s="36"/>
      <c r="F83" s="36"/>
      <c r="G83" s="36"/>
      <c r="H83" s="1"/>
      <c r="I83" s="36"/>
      <c r="J83" s="36"/>
      <c r="K83" s="57"/>
      <c r="L83" s="58"/>
      <c r="M83" s="58"/>
      <c r="N83" s="58"/>
      <c r="O83" s="58"/>
      <c r="P83" s="58"/>
      <c r="Q83" s="58"/>
      <c r="R83" s="59"/>
      <c r="S83" s="36"/>
      <c r="T83" s="36"/>
      <c r="U83" s="36"/>
      <c r="V83" s="36"/>
      <c r="W83" s="36"/>
      <c r="X83" s="36"/>
      <c r="Y83" s="36"/>
      <c r="Z83" s="36"/>
    </row>
    <row r="84" ht="15.75" customHeight="1">
      <c r="A84" s="36"/>
      <c r="B84" s="36"/>
      <c r="C84" s="36"/>
      <c r="D84" s="36"/>
      <c r="E84" s="36"/>
      <c r="F84" s="36"/>
      <c r="G84" s="36"/>
      <c r="H84" s="1"/>
      <c r="I84" s="36"/>
      <c r="J84" s="36"/>
      <c r="K84" s="60"/>
      <c r="L84" s="36"/>
      <c r="M84" s="36"/>
      <c r="N84" s="36"/>
      <c r="O84" s="36"/>
      <c r="P84" s="36"/>
      <c r="Q84" s="36"/>
      <c r="R84" s="36"/>
      <c r="S84" s="36"/>
      <c r="T84" s="36"/>
      <c r="U84" s="36"/>
      <c r="V84" s="36"/>
      <c r="W84" s="36"/>
      <c r="X84" s="36"/>
      <c r="Y84" s="36"/>
      <c r="Z84" s="36"/>
    </row>
    <row r="85" ht="17.25" customHeight="1">
      <c r="A85" s="36"/>
      <c r="B85" s="36"/>
      <c r="C85" s="36"/>
      <c r="D85" s="36"/>
      <c r="E85" s="36"/>
      <c r="F85" s="36"/>
      <c r="G85" s="36"/>
      <c r="H85" s="1"/>
      <c r="I85" s="36"/>
      <c r="J85" s="36"/>
      <c r="K85" s="41" t="s">
        <v>58</v>
      </c>
      <c r="L85" s="42"/>
      <c r="M85" s="42"/>
      <c r="N85" s="42"/>
      <c r="O85" s="42"/>
      <c r="P85" s="42"/>
      <c r="Q85" s="43"/>
      <c r="R85" s="61"/>
      <c r="S85" s="36"/>
      <c r="T85" s="36"/>
      <c r="U85" s="36"/>
      <c r="V85" s="36"/>
      <c r="W85" s="36"/>
      <c r="X85" s="36"/>
      <c r="Y85" s="36"/>
      <c r="Z85" s="36"/>
    </row>
    <row r="86" ht="15.75" customHeight="1">
      <c r="A86" s="36"/>
      <c r="B86" s="36"/>
      <c r="C86" s="36"/>
      <c r="D86" s="36"/>
      <c r="E86" s="36"/>
      <c r="F86" s="36"/>
      <c r="G86" s="36"/>
      <c r="H86" s="1"/>
      <c r="I86" s="36"/>
      <c r="J86" s="36"/>
      <c r="K86" s="62"/>
      <c r="Q86" s="63"/>
      <c r="R86" s="64"/>
      <c r="S86" s="36"/>
      <c r="T86" s="36"/>
      <c r="U86" s="36"/>
      <c r="V86" s="36"/>
      <c r="W86" s="36"/>
      <c r="X86" s="36"/>
      <c r="Y86" s="36"/>
      <c r="Z86" s="36"/>
    </row>
    <row r="87" ht="15.75" customHeight="1">
      <c r="A87" s="36"/>
      <c r="B87" s="36"/>
      <c r="C87" s="36"/>
      <c r="D87" s="36"/>
      <c r="E87" s="36"/>
      <c r="F87" s="36"/>
      <c r="G87" s="36"/>
      <c r="H87" s="1"/>
      <c r="I87" s="36"/>
      <c r="J87" s="36"/>
      <c r="K87" s="62"/>
      <c r="Q87" s="63"/>
      <c r="R87" s="64"/>
      <c r="S87" s="36"/>
      <c r="T87" s="36"/>
      <c r="U87" s="36"/>
      <c r="V87" s="36"/>
      <c r="W87" s="36"/>
      <c r="X87" s="36"/>
      <c r="Y87" s="36"/>
      <c r="Z87" s="36"/>
    </row>
    <row r="88" ht="15.75" customHeight="1">
      <c r="A88" s="36"/>
      <c r="B88" s="36"/>
      <c r="C88" s="36"/>
      <c r="D88" s="36"/>
      <c r="E88" s="36"/>
      <c r="F88" s="36"/>
      <c r="G88" s="36"/>
      <c r="H88" s="1"/>
      <c r="I88" s="36"/>
      <c r="J88" s="36"/>
      <c r="K88" s="65"/>
      <c r="L88" s="46"/>
      <c r="M88" s="46"/>
      <c r="N88" s="46"/>
      <c r="O88" s="46"/>
      <c r="P88" s="46"/>
      <c r="Q88" s="47"/>
      <c r="R88" s="64"/>
      <c r="S88" s="36"/>
      <c r="T88" s="36"/>
      <c r="U88" s="36"/>
      <c r="V88" s="36"/>
      <c r="W88" s="36"/>
      <c r="X88" s="36"/>
      <c r="Y88" s="36"/>
      <c r="Z88" s="36"/>
    </row>
    <row r="89" ht="15.75" customHeight="1">
      <c r="A89" s="36"/>
      <c r="B89" s="36"/>
      <c r="C89" s="36"/>
      <c r="D89" s="36"/>
      <c r="E89" s="36"/>
      <c r="F89" s="36"/>
      <c r="G89" s="36"/>
      <c r="H89" s="1"/>
      <c r="I89" s="36"/>
      <c r="J89" s="36"/>
      <c r="K89" s="66" t="s">
        <v>44</v>
      </c>
      <c r="L89" s="67" t="s">
        <v>10</v>
      </c>
      <c r="M89" s="67" t="s">
        <v>45</v>
      </c>
      <c r="N89" s="67" t="s">
        <v>46</v>
      </c>
      <c r="O89" s="67" t="s">
        <v>47</v>
      </c>
      <c r="P89" s="67" t="s">
        <v>48</v>
      </c>
      <c r="Q89" s="67" t="s">
        <v>23</v>
      </c>
      <c r="R89" s="64"/>
      <c r="S89" s="36"/>
      <c r="T89" s="36"/>
      <c r="U89" s="36"/>
      <c r="V89" s="36"/>
      <c r="W89" s="36"/>
      <c r="X89" s="36"/>
      <c r="Y89" s="36"/>
      <c r="Z89" s="36"/>
    </row>
    <row r="90" ht="15.75" customHeight="1">
      <c r="A90" s="36"/>
      <c r="B90" s="36"/>
      <c r="C90" s="36"/>
      <c r="D90" s="36"/>
      <c r="E90" s="36"/>
      <c r="F90" s="36"/>
      <c r="G90" s="36"/>
      <c r="H90" s="1"/>
      <c r="I90" s="36"/>
      <c r="J90" s="36"/>
      <c r="K90" s="66" t="s">
        <v>59</v>
      </c>
      <c r="L90" s="55"/>
      <c r="M90" s="67"/>
      <c r="N90" s="67"/>
      <c r="O90" s="67"/>
      <c r="P90" s="67"/>
      <c r="Q90" s="55"/>
      <c r="R90" s="64"/>
      <c r="S90" s="36"/>
      <c r="T90" s="36"/>
      <c r="U90" s="36"/>
      <c r="V90" s="36"/>
      <c r="W90" s="36"/>
      <c r="X90" s="36"/>
      <c r="Y90" s="36"/>
      <c r="Z90" s="36"/>
    </row>
    <row r="91" ht="15.75" customHeight="1">
      <c r="A91" s="36"/>
      <c r="B91" s="36"/>
      <c r="C91" s="36"/>
      <c r="D91" s="36"/>
      <c r="E91" s="36"/>
      <c r="F91" s="36"/>
      <c r="G91" s="36"/>
      <c r="H91" s="1"/>
      <c r="I91" s="36"/>
      <c r="J91" s="36"/>
      <c r="K91" s="66" t="s">
        <v>60</v>
      </c>
      <c r="L91" s="67"/>
      <c r="M91" s="67"/>
      <c r="N91" s="67"/>
      <c r="O91" s="67"/>
      <c r="P91" s="67"/>
      <c r="Q91" s="67"/>
      <c r="R91" s="64"/>
      <c r="S91" s="36"/>
      <c r="T91" s="36"/>
      <c r="U91" s="36"/>
      <c r="V91" s="36"/>
      <c r="W91" s="36"/>
      <c r="X91" s="36"/>
      <c r="Y91" s="36"/>
      <c r="Z91" s="36"/>
    </row>
    <row r="92" ht="15.75" customHeight="1">
      <c r="A92" s="36"/>
      <c r="B92" s="36"/>
      <c r="C92" s="36"/>
      <c r="D92" s="36"/>
      <c r="E92" s="36"/>
      <c r="F92" s="36"/>
      <c r="G92" s="36"/>
      <c r="H92" s="1"/>
      <c r="I92" s="36"/>
      <c r="J92" s="36"/>
      <c r="K92" s="66" t="s">
        <v>61</v>
      </c>
      <c r="L92" s="67" t="s">
        <v>85</v>
      </c>
      <c r="M92" s="67"/>
      <c r="N92" s="67"/>
      <c r="O92" s="67"/>
      <c r="P92" s="67"/>
      <c r="Q92" s="55"/>
      <c r="R92" s="64"/>
      <c r="S92" s="36"/>
      <c r="T92" s="36"/>
      <c r="U92" s="36"/>
      <c r="V92" s="36"/>
      <c r="W92" s="36"/>
      <c r="X92" s="36"/>
      <c r="Y92" s="36"/>
      <c r="Z92" s="36"/>
    </row>
    <row r="93" ht="15.75" customHeight="1">
      <c r="A93" s="36"/>
      <c r="B93" s="36"/>
      <c r="C93" s="36"/>
      <c r="D93" s="36"/>
      <c r="E93" s="36"/>
      <c r="F93" s="36"/>
      <c r="G93" s="36"/>
      <c r="H93" s="1"/>
      <c r="I93" s="36"/>
      <c r="J93" s="36"/>
      <c r="K93" s="66" t="s">
        <v>63</v>
      </c>
      <c r="L93" s="67"/>
      <c r="M93" s="67"/>
      <c r="N93" s="67"/>
      <c r="O93" s="67"/>
      <c r="P93" s="67"/>
      <c r="Q93" s="67" t="s">
        <v>86</v>
      </c>
      <c r="R93" s="64"/>
      <c r="S93" s="36"/>
      <c r="T93" s="36"/>
      <c r="U93" s="36"/>
      <c r="V93" s="36"/>
      <c r="W93" s="36"/>
      <c r="X93" s="36"/>
      <c r="Y93" s="36"/>
      <c r="Z93" s="36"/>
    </row>
    <row r="94" ht="15.75" customHeight="1">
      <c r="A94" s="36"/>
      <c r="B94" s="36"/>
      <c r="C94" s="36"/>
      <c r="D94" s="36"/>
      <c r="E94" s="36"/>
      <c r="F94" s="36"/>
      <c r="G94" s="36"/>
      <c r="H94" s="1"/>
      <c r="I94" s="36"/>
      <c r="J94" s="36"/>
      <c r="K94" s="66" t="s">
        <v>65</v>
      </c>
      <c r="L94" s="67"/>
      <c r="M94" s="67"/>
      <c r="N94" s="67"/>
      <c r="O94" s="67"/>
      <c r="P94" s="67"/>
      <c r="Q94" s="67"/>
      <c r="R94" s="64"/>
      <c r="S94" s="36"/>
      <c r="T94" s="36"/>
      <c r="U94" s="36"/>
      <c r="V94" s="36"/>
      <c r="W94" s="36"/>
      <c r="X94" s="36"/>
      <c r="Y94" s="36"/>
      <c r="Z94" s="36"/>
    </row>
    <row r="95" ht="15.75" customHeight="1">
      <c r="A95" s="36"/>
      <c r="B95" s="36"/>
      <c r="C95" s="36"/>
      <c r="D95" s="36"/>
      <c r="E95" s="36"/>
      <c r="F95" s="36"/>
      <c r="G95" s="36"/>
      <c r="H95" s="1"/>
      <c r="I95" s="36"/>
      <c r="J95" s="36"/>
      <c r="K95" s="66" t="s">
        <v>66</v>
      </c>
      <c r="L95" s="67"/>
      <c r="M95" s="67"/>
      <c r="N95" s="67"/>
      <c r="O95" s="67"/>
      <c r="P95" s="67"/>
      <c r="Q95" s="67"/>
      <c r="R95" s="64"/>
      <c r="S95" s="36"/>
      <c r="T95" s="36"/>
      <c r="U95" s="36"/>
      <c r="V95" s="36"/>
      <c r="W95" s="36"/>
      <c r="X95" s="36"/>
      <c r="Y95" s="36"/>
      <c r="Z95" s="36"/>
    </row>
    <row r="96" ht="15.75" customHeight="1">
      <c r="A96" s="36"/>
      <c r="B96" s="36"/>
      <c r="C96" s="36"/>
      <c r="D96" s="36"/>
      <c r="E96" s="36"/>
      <c r="F96" s="36"/>
      <c r="G96" s="36"/>
      <c r="H96" s="1"/>
      <c r="I96" s="36"/>
      <c r="J96" s="36"/>
      <c r="K96" s="68" t="s">
        <v>67</v>
      </c>
      <c r="L96" s="69"/>
      <c r="M96" s="69"/>
      <c r="N96" s="69"/>
      <c r="O96" s="69"/>
      <c r="P96" s="69"/>
      <c r="Q96" s="69"/>
      <c r="R96" s="59"/>
      <c r="S96" s="36"/>
      <c r="T96" s="36"/>
      <c r="U96" s="36"/>
      <c r="V96" s="36"/>
      <c r="W96" s="36"/>
      <c r="X96" s="36"/>
      <c r="Y96" s="36"/>
      <c r="Z96" s="36"/>
    </row>
    <row r="97" ht="15.75" customHeight="1">
      <c r="A97" s="36"/>
      <c r="B97" s="36"/>
      <c r="C97" s="36"/>
      <c r="D97" s="36"/>
      <c r="E97" s="36"/>
      <c r="F97" s="36"/>
      <c r="G97" s="36"/>
      <c r="H97" s="1"/>
      <c r="I97" s="36"/>
      <c r="J97" s="36"/>
      <c r="K97" s="60"/>
      <c r="L97" s="36"/>
      <c r="M97" s="36"/>
      <c r="N97" s="36"/>
      <c r="O97" s="36"/>
      <c r="P97" s="36"/>
      <c r="Q97" s="36"/>
      <c r="R97" s="36"/>
      <c r="S97" s="36"/>
      <c r="T97" s="36"/>
      <c r="U97" s="36"/>
      <c r="V97" s="36"/>
      <c r="W97" s="36"/>
      <c r="X97" s="36"/>
      <c r="Y97" s="36"/>
      <c r="Z97" s="36"/>
    </row>
    <row r="98" ht="15.75" customHeight="1">
      <c r="A98" s="36"/>
      <c r="B98" s="36"/>
      <c r="C98" s="36"/>
      <c r="D98" s="36"/>
      <c r="E98" s="36"/>
      <c r="F98" s="36"/>
      <c r="G98" s="36"/>
      <c r="H98" s="1"/>
      <c r="I98" s="36"/>
      <c r="J98" s="36"/>
      <c r="K98" s="36"/>
      <c r="L98" s="36"/>
      <c r="M98" s="36"/>
      <c r="N98" s="36"/>
      <c r="O98" s="36"/>
      <c r="P98" s="36"/>
      <c r="Q98" s="36"/>
      <c r="R98" s="36"/>
      <c r="S98" s="36"/>
      <c r="T98" s="36"/>
      <c r="U98" s="36"/>
      <c r="V98" s="36"/>
      <c r="W98" s="36"/>
      <c r="X98" s="36"/>
      <c r="Y98" s="36"/>
      <c r="Z98" s="36"/>
    </row>
    <row r="99" ht="15.75" customHeight="1">
      <c r="A99" s="36"/>
      <c r="B99" s="36"/>
      <c r="C99" s="36"/>
      <c r="D99" s="36"/>
      <c r="E99" s="36"/>
      <c r="F99" s="36"/>
      <c r="G99" s="36"/>
      <c r="H99" s="1"/>
      <c r="I99" s="36"/>
      <c r="J99" s="36"/>
      <c r="K99" s="36"/>
      <c r="L99" s="36"/>
      <c r="M99" s="36"/>
      <c r="N99" s="36"/>
      <c r="O99" s="36"/>
      <c r="P99" s="36"/>
      <c r="Q99" s="36"/>
      <c r="R99" s="36"/>
      <c r="S99" s="36"/>
      <c r="T99" s="36"/>
      <c r="U99" s="36"/>
      <c r="V99" s="36"/>
      <c r="W99" s="36"/>
      <c r="X99" s="36"/>
      <c r="Y99" s="36"/>
      <c r="Z99" s="36"/>
    </row>
    <row r="100" ht="15.75" customHeight="1">
      <c r="A100" s="36"/>
      <c r="B100" s="36"/>
      <c r="C100" s="36"/>
      <c r="D100" s="36"/>
      <c r="E100" s="36"/>
      <c r="F100" s="36"/>
      <c r="G100" s="36"/>
      <c r="H100" s="1"/>
      <c r="I100" s="36"/>
      <c r="J100" s="36"/>
      <c r="K100" s="36"/>
      <c r="L100" s="36"/>
      <c r="M100" s="36"/>
      <c r="N100" s="36"/>
      <c r="O100" s="36"/>
      <c r="P100" s="36"/>
      <c r="Q100" s="36"/>
      <c r="R100" s="36"/>
      <c r="S100" s="36"/>
      <c r="T100" s="36"/>
      <c r="U100" s="36"/>
      <c r="V100" s="36"/>
      <c r="W100" s="36"/>
      <c r="X100" s="36"/>
      <c r="Y100" s="36"/>
      <c r="Z100" s="36"/>
    </row>
    <row r="101" ht="15.75" customHeight="1">
      <c r="A101" s="36"/>
      <c r="B101" s="36"/>
      <c r="C101" s="36"/>
      <c r="D101" s="36"/>
      <c r="E101" s="36"/>
      <c r="F101" s="36"/>
      <c r="G101" s="36"/>
      <c r="H101" s="1"/>
      <c r="I101" s="36"/>
      <c r="J101" s="36"/>
      <c r="K101" s="36"/>
      <c r="L101" s="36"/>
      <c r="M101" s="36"/>
      <c r="N101" s="36"/>
      <c r="O101" s="36"/>
      <c r="P101" s="36"/>
      <c r="Q101" s="36"/>
      <c r="R101" s="36"/>
      <c r="S101" s="36"/>
      <c r="T101" s="36"/>
      <c r="U101" s="36"/>
      <c r="V101" s="36"/>
      <c r="W101" s="36"/>
      <c r="X101" s="36"/>
      <c r="Y101" s="36"/>
      <c r="Z101" s="36"/>
    </row>
    <row r="102" ht="15.75" customHeight="1">
      <c r="A102" s="36"/>
      <c r="B102" s="36"/>
      <c r="C102" s="36"/>
      <c r="D102" s="36"/>
      <c r="E102" s="36"/>
      <c r="F102" s="36"/>
      <c r="G102" s="36"/>
      <c r="H102" s="1"/>
      <c r="I102" s="36"/>
      <c r="J102" s="36"/>
      <c r="K102" s="36"/>
      <c r="L102" s="36"/>
      <c r="M102" s="36"/>
      <c r="N102" s="36"/>
      <c r="O102" s="36"/>
      <c r="P102" s="36"/>
      <c r="Q102" s="36"/>
      <c r="R102" s="36"/>
      <c r="S102" s="36"/>
      <c r="T102" s="36"/>
      <c r="U102" s="36"/>
      <c r="V102" s="36"/>
      <c r="W102" s="36"/>
      <c r="X102" s="36"/>
      <c r="Y102" s="36"/>
      <c r="Z102" s="36"/>
    </row>
    <row r="103" ht="15.75" customHeight="1">
      <c r="A103" s="36"/>
      <c r="B103" s="36"/>
      <c r="C103" s="36"/>
      <c r="D103" s="36"/>
      <c r="E103" s="36"/>
      <c r="F103" s="36"/>
      <c r="G103" s="36"/>
      <c r="H103" s="1"/>
      <c r="I103" s="36"/>
      <c r="J103" s="36"/>
      <c r="K103" s="36"/>
      <c r="L103" s="36"/>
      <c r="M103" s="36"/>
      <c r="N103" s="36"/>
      <c r="O103" s="36"/>
      <c r="P103" s="36"/>
      <c r="Q103" s="36"/>
      <c r="R103" s="36"/>
      <c r="S103" s="36"/>
      <c r="T103" s="36"/>
      <c r="U103" s="36"/>
      <c r="V103" s="36"/>
      <c r="W103" s="36"/>
      <c r="X103" s="36"/>
      <c r="Y103" s="36"/>
      <c r="Z103" s="36"/>
    </row>
    <row r="104" ht="15.75" customHeight="1">
      <c r="A104" s="36"/>
      <c r="B104" s="36"/>
      <c r="C104" s="36"/>
      <c r="D104" s="36"/>
      <c r="E104" s="36"/>
      <c r="F104" s="36"/>
      <c r="G104" s="36"/>
      <c r="H104" s="1"/>
      <c r="I104" s="36"/>
      <c r="J104" s="36"/>
      <c r="K104" s="36"/>
      <c r="L104" s="36"/>
      <c r="M104" s="36"/>
      <c r="N104" s="36"/>
      <c r="O104" s="36"/>
      <c r="P104" s="36"/>
      <c r="Q104" s="36"/>
      <c r="R104" s="36"/>
      <c r="S104" s="36"/>
      <c r="T104" s="36"/>
      <c r="U104" s="36"/>
      <c r="V104" s="36"/>
      <c r="W104" s="36"/>
      <c r="X104" s="36"/>
      <c r="Y104" s="36"/>
      <c r="Z104" s="36"/>
    </row>
    <row r="105" ht="15.75" customHeight="1">
      <c r="A105" s="36"/>
      <c r="B105" s="36"/>
      <c r="C105" s="36"/>
      <c r="D105" s="36"/>
      <c r="E105" s="36"/>
      <c r="F105" s="36"/>
      <c r="G105" s="36"/>
      <c r="H105" s="1"/>
      <c r="I105" s="36"/>
      <c r="J105" s="36"/>
      <c r="K105" s="36"/>
      <c r="L105" s="36"/>
      <c r="M105" s="36"/>
      <c r="N105" s="36"/>
      <c r="O105" s="36"/>
      <c r="P105" s="36"/>
      <c r="Q105" s="36"/>
      <c r="R105" s="36"/>
      <c r="S105" s="36"/>
      <c r="T105" s="36"/>
      <c r="U105" s="36"/>
      <c r="V105" s="36"/>
      <c r="W105" s="36"/>
      <c r="X105" s="36"/>
      <c r="Y105" s="36"/>
      <c r="Z105" s="36"/>
    </row>
    <row r="106" ht="15.75" customHeight="1">
      <c r="A106" s="36"/>
      <c r="B106" s="36"/>
      <c r="C106" s="36"/>
      <c r="D106" s="36"/>
      <c r="E106" s="36"/>
      <c r="F106" s="36"/>
      <c r="G106" s="36"/>
      <c r="H106" s="1"/>
      <c r="I106" s="36"/>
      <c r="J106" s="36"/>
      <c r="K106" s="36"/>
      <c r="L106" s="36"/>
      <c r="M106" s="36"/>
      <c r="N106" s="36"/>
      <c r="O106" s="36"/>
      <c r="P106" s="36"/>
      <c r="Q106" s="36"/>
      <c r="R106" s="36"/>
      <c r="S106" s="36"/>
      <c r="T106" s="36"/>
      <c r="U106" s="36"/>
      <c r="V106" s="36"/>
      <c r="W106" s="36"/>
      <c r="X106" s="36"/>
      <c r="Y106" s="36"/>
      <c r="Z106" s="36"/>
    </row>
    <row r="107" ht="15.75" customHeight="1">
      <c r="A107" s="36"/>
      <c r="B107" s="36"/>
      <c r="C107" s="36"/>
      <c r="D107" s="36"/>
      <c r="E107" s="36"/>
      <c r="F107" s="36"/>
      <c r="G107" s="36"/>
      <c r="H107" s="1"/>
      <c r="I107" s="36"/>
      <c r="J107" s="36"/>
      <c r="K107" s="36"/>
      <c r="L107" s="36"/>
      <c r="M107" s="36"/>
      <c r="N107" s="36"/>
      <c r="O107" s="36"/>
      <c r="P107" s="36"/>
      <c r="Q107" s="36"/>
      <c r="R107" s="36"/>
      <c r="S107" s="36"/>
      <c r="T107" s="36"/>
      <c r="U107" s="36"/>
      <c r="V107" s="36"/>
      <c r="W107" s="36"/>
      <c r="X107" s="36"/>
      <c r="Y107" s="36"/>
      <c r="Z107" s="36"/>
    </row>
    <row r="108" ht="15.75" customHeight="1">
      <c r="A108" s="36"/>
      <c r="B108" s="36"/>
      <c r="C108" s="36"/>
      <c r="D108" s="36"/>
      <c r="E108" s="36"/>
      <c r="F108" s="36"/>
      <c r="G108" s="36"/>
      <c r="H108" s="1"/>
      <c r="I108" s="36"/>
      <c r="J108" s="36"/>
      <c r="K108" s="36"/>
      <c r="L108" s="36"/>
      <c r="M108" s="36"/>
      <c r="N108" s="36"/>
      <c r="O108" s="36"/>
      <c r="P108" s="36"/>
      <c r="Q108" s="36"/>
      <c r="R108" s="36"/>
      <c r="S108" s="36"/>
      <c r="T108" s="36"/>
      <c r="U108" s="36"/>
      <c r="V108" s="36"/>
      <c r="W108" s="36"/>
      <c r="X108" s="36"/>
      <c r="Y108" s="36"/>
      <c r="Z108" s="36"/>
    </row>
    <row r="109" ht="15.75" customHeight="1">
      <c r="A109" s="36"/>
      <c r="B109" s="36"/>
      <c r="C109" s="36"/>
      <c r="D109" s="36"/>
      <c r="E109" s="36"/>
      <c r="F109" s="36"/>
      <c r="G109" s="36"/>
      <c r="H109" s="1"/>
      <c r="I109" s="36"/>
      <c r="J109" s="36"/>
      <c r="K109" s="36"/>
      <c r="L109" s="36"/>
      <c r="M109" s="36"/>
      <c r="N109" s="36"/>
      <c r="O109" s="36"/>
      <c r="P109" s="36"/>
      <c r="Q109" s="36"/>
      <c r="R109" s="36"/>
      <c r="S109" s="36"/>
      <c r="T109" s="36"/>
      <c r="U109" s="36"/>
      <c r="V109" s="36"/>
      <c r="W109" s="36"/>
      <c r="X109" s="36"/>
      <c r="Y109" s="36"/>
      <c r="Z109" s="36"/>
    </row>
    <row r="110" ht="15.75" customHeight="1">
      <c r="A110" s="36"/>
      <c r="B110" s="36"/>
      <c r="C110" s="36"/>
      <c r="D110" s="36"/>
      <c r="E110" s="36"/>
      <c r="F110" s="36"/>
      <c r="G110" s="36"/>
      <c r="H110" s="1"/>
      <c r="I110" s="36"/>
      <c r="J110" s="36"/>
      <c r="K110" s="36"/>
      <c r="L110" s="36"/>
      <c r="M110" s="36"/>
      <c r="N110" s="36"/>
      <c r="O110" s="36"/>
      <c r="P110" s="36"/>
      <c r="Q110" s="36"/>
      <c r="R110" s="36"/>
      <c r="S110" s="36"/>
      <c r="T110" s="36"/>
      <c r="U110" s="36"/>
      <c r="V110" s="36"/>
      <c r="W110" s="36"/>
      <c r="X110" s="36"/>
      <c r="Y110" s="36"/>
      <c r="Z110" s="36"/>
    </row>
    <row r="111" ht="15.75" customHeight="1">
      <c r="A111" s="36"/>
      <c r="B111" s="36"/>
      <c r="C111" s="36"/>
      <c r="D111" s="36"/>
      <c r="E111" s="36"/>
      <c r="F111" s="36"/>
      <c r="G111" s="36"/>
      <c r="H111" s="1"/>
      <c r="I111" s="36"/>
      <c r="J111" s="36"/>
      <c r="K111" s="36"/>
      <c r="L111" s="36"/>
      <c r="M111" s="36"/>
      <c r="N111" s="36"/>
      <c r="O111" s="36"/>
      <c r="P111" s="36"/>
      <c r="Q111" s="36"/>
      <c r="R111" s="36"/>
      <c r="S111" s="36"/>
      <c r="T111" s="36"/>
      <c r="U111" s="36"/>
      <c r="V111" s="36"/>
      <c r="W111" s="36"/>
      <c r="X111" s="36"/>
      <c r="Y111" s="36"/>
      <c r="Z111" s="36"/>
    </row>
    <row r="112" ht="15.75" customHeight="1">
      <c r="A112" s="36"/>
      <c r="B112" s="36"/>
      <c r="C112" s="36"/>
      <c r="D112" s="36"/>
      <c r="E112" s="36"/>
      <c r="F112" s="36"/>
      <c r="G112" s="36"/>
      <c r="H112" s="1"/>
      <c r="I112" s="36"/>
      <c r="J112" s="36"/>
      <c r="K112" s="36"/>
      <c r="L112" s="36"/>
      <c r="M112" s="36"/>
      <c r="N112" s="36"/>
      <c r="O112" s="36"/>
      <c r="P112" s="36"/>
      <c r="Q112" s="36"/>
      <c r="R112" s="36"/>
      <c r="S112" s="36"/>
      <c r="T112" s="36"/>
      <c r="U112" s="36"/>
      <c r="V112" s="36"/>
      <c r="W112" s="36"/>
      <c r="X112" s="36"/>
      <c r="Y112" s="36"/>
      <c r="Z112" s="36"/>
    </row>
    <row r="113" ht="15.75" customHeight="1">
      <c r="A113" s="36"/>
      <c r="B113" s="36"/>
      <c r="C113" s="36"/>
      <c r="D113" s="36"/>
      <c r="E113" s="36"/>
      <c r="F113" s="36"/>
      <c r="G113" s="36"/>
      <c r="H113" s="1"/>
      <c r="I113" s="36"/>
      <c r="J113" s="36"/>
      <c r="K113" s="36"/>
      <c r="L113" s="36"/>
      <c r="M113" s="36"/>
      <c r="N113" s="36"/>
      <c r="O113" s="36"/>
      <c r="P113" s="36"/>
      <c r="Q113" s="36"/>
      <c r="R113" s="36"/>
      <c r="S113" s="36"/>
      <c r="T113" s="36"/>
      <c r="U113" s="36"/>
      <c r="V113" s="36"/>
      <c r="W113" s="36"/>
      <c r="X113" s="36"/>
      <c r="Y113" s="36"/>
      <c r="Z113" s="36"/>
    </row>
    <row r="114" ht="15.75" customHeight="1">
      <c r="A114" s="36"/>
      <c r="B114" s="36"/>
      <c r="C114" s="36"/>
      <c r="D114" s="36"/>
      <c r="E114" s="36"/>
      <c r="F114" s="36"/>
      <c r="G114" s="36"/>
      <c r="H114" s="1"/>
      <c r="I114" s="36"/>
      <c r="J114" s="36"/>
      <c r="K114" s="36"/>
      <c r="L114" s="36"/>
      <c r="M114" s="36"/>
      <c r="N114" s="36"/>
      <c r="O114" s="36"/>
      <c r="P114" s="36"/>
      <c r="Q114" s="36"/>
      <c r="R114" s="36"/>
      <c r="S114" s="36"/>
      <c r="T114" s="36"/>
      <c r="U114" s="36"/>
      <c r="V114" s="36"/>
      <c r="W114" s="36"/>
      <c r="X114" s="36"/>
      <c r="Y114" s="36"/>
      <c r="Z114" s="36"/>
    </row>
    <row r="115" ht="15.75" customHeight="1">
      <c r="A115" s="36"/>
      <c r="B115" s="36"/>
      <c r="C115" s="36"/>
      <c r="D115" s="36"/>
      <c r="E115" s="36"/>
      <c r="F115" s="36"/>
      <c r="G115" s="36"/>
      <c r="H115" s="1"/>
      <c r="I115" s="36"/>
      <c r="J115" s="36"/>
      <c r="K115" s="36"/>
      <c r="L115" s="36"/>
      <c r="M115" s="36"/>
      <c r="N115" s="36"/>
      <c r="O115" s="36"/>
      <c r="P115" s="36"/>
      <c r="Q115" s="36"/>
      <c r="R115" s="36"/>
      <c r="S115" s="36"/>
      <c r="T115" s="36"/>
      <c r="U115" s="36"/>
      <c r="V115" s="36"/>
      <c r="W115" s="36"/>
      <c r="X115" s="36"/>
      <c r="Y115" s="36"/>
      <c r="Z115" s="36"/>
    </row>
    <row r="116" ht="15.75" customHeight="1">
      <c r="A116" s="36"/>
      <c r="B116" s="36"/>
      <c r="C116" s="36"/>
      <c r="D116" s="36"/>
      <c r="E116" s="36"/>
      <c r="F116" s="36"/>
      <c r="G116" s="36"/>
      <c r="H116" s="1"/>
      <c r="I116" s="36"/>
      <c r="J116" s="36"/>
      <c r="K116" s="36"/>
      <c r="L116" s="36"/>
      <c r="M116" s="36"/>
      <c r="N116" s="36"/>
      <c r="O116" s="36"/>
      <c r="P116" s="36"/>
      <c r="Q116" s="36"/>
      <c r="R116" s="36"/>
      <c r="S116" s="36"/>
      <c r="T116" s="36"/>
      <c r="U116" s="36"/>
      <c r="V116" s="36"/>
      <c r="W116" s="36"/>
      <c r="X116" s="36"/>
      <c r="Y116" s="36"/>
      <c r="Z116" s="36"/>
    </row>
    <row r="117" ht="15.75" customHeight="1">
      <c r="A117" s="36"/>
      <c r="B117" s="36"/>
      <c r="C117" s="36"/>
      <c r="D117" s="36"/>
      <c r="E117" s="36"/>
      <c r="F117" s="36"/>
      <c r="G117" s="36"/>
      <c r="H117" s="1"/>
      <c r="I117" s="36"/>
      <c r="J117" s="36"/>
      <c r="K117" s="36"/>
      <c r="L117" s="36"/>
      <c r="M117" s="36"/>
      <c r="N117" s="36"/>
      <c r="O117" s="36"/>
      <c r="P117" s="36"/>
      <c r="Q117" s="36"/>
      <c r="R117" s="36"/>
      <c r="S117" s="36"/>
      <c r="T117" s="36"/>
      <c r="U117" s="36"/>
      <c r="V117" s="36"/>
      <c r="W117" s="36"/>
      <c r="X117" s="36"/>
      <c r="Y117" s="36"/>
      <c r="Z117" s="36"/>
    </row>
    <row r="118" ht="15.75" customHeight="1">
      <c r="A118" s="36"/>
      <c r="B118" s="36"/>
      <c r="C118" s="36"/>
      <c r="D118" s="36"/>
      <c r="E118" s="36"/>
      <c r="F118" s="36"/>
      <c r="G118" s="36"/>
      <c r="H118" s="1"/>
      <c r="I118" s="36"/>
      <c r="J118" s="36"/>
      <c r="K118" s="36"/>
      <c r="L118" s="36"/>
      <c r="M118" s="36"/>
      <c r="N118" s="36"/>
      <c r="O118" s="36"/>
      <c r="P118" s="36"/>
      <c r="Q118" s="36"/>
      <c r="R118" s="36"/>
      <c r="S118" s="36"/>
      <c r="T118" s="36"/>
      <c r="U118" s="36"/>
      <c r="V118" s="36"/>
      <c r="W118" s="36"/>
      <c r="X118" s="36"/>
      <c r="Y118" s="36"/>
      <c r="Z118" s="36"/>
    </row>
    <row r="119" ht="15.75" customHeight="1">
      <c r="A119" s="36"/>
      <c r="B119" s="36"/>
      <c r="C119" s="36"/>
      <c r="D119" s="36"/>
      <c r="E119" s="36"/>
      <c r="F119" s="36"/>
      <c r="G119" s="36"/>
      <c r="H119" s="1"/>
      <c r="I119" s="36"/>
      <c r="J119" s="36"/>
      <c r="K119" s="36"/>
      <c r="L119" s="36"/>
      <c r="M119" s="36"/>
      <c r="N119" s="36"/>
      <c r="O119" s="36"/>
      <c r="P119" s="36"/>
      <c r="Q119" s="36"/>
      <c r="R119" s="36"/>
      <c r="S119" s="36"/>
      <c r="T119" s="36"/>
      <c r="U119" s="36"/>
      <c r="V119" s="36"/>
      <c r="W119" s="36"/>
      <c r="X119" s="36"/>
      <c r="Y119" s="36"/>
      <c r="Z119" s="36"/>
    </row>
    <row r="120" ht="15.75" customHeight="1">
      <c r="A120" s="36"/>
      <c r="B120" s="36"/>
      <c r="C120" s="36"/>
      <c r="D120" s="36"/>
      <c r="E120" s="36"/>
      <c r="F120" s="36"/>
      <c r="G120" s="36"/>
      <c r="H120" s="1"/>
      <c r="I120" s="36"/>
      <c r="J120" s="36"/>
      <c r="K120" s="36"/>
      <c r="L120" s="36"/>
      <c r="M120" s="36"/>
      <c r="N120" s="36"/>
      <c r="O120" s="36"/>
      <c r="P120" s="36"/>
      <c r="Q120" s="36"/>
      <c r="R120" s="36"/>
      <c r="S120" s="36"/>
      <c r="T120" s="36"/>
      <c r="U120" s="36"/>
      <c r="V120" s="36"/>
      <c r="W120" s="36"/>
      <c r="X120" s="36"/>
      <c r="Y120" s="36"/>
      <c r="Z120" s="36"/>
    </row>
    <row r="121" ht="15.75" customHeight="1">
      <c r="A121" s="36"/>
      <c r="B121" s="36"/>
      <c r="C121" s="36"/>
      <c r="D121" s="36"/>
      <c r="E121" s="36"/>
      <c r="F121" s="36"/>
      <c r="G121" s="36"/>
      <c r="H121" s="1"/>
      <c r="I121" s="36"/>
      <c r="J121" s="36"/>
      <c r="K121" s="36"/>
      <c r="L121" s="36"/>
      <c r="M121" s="36"/>
      <c r="N121" s="36"/>
      <c r="O121" s="36"/>
      <c r="P121" s="36"/>
      <c r="Q121" s="36"/>
      <c r="R121" s="36"/>
      <c r="S121" s="36"/>
      <c r="T121" s="36"/>
      <c r="U121" s="36"/>
      <c r="V121" s="36"/>
      <c r="W121" s="36"/>
      <c r="X121" s="36"/>
      <c r="Y121" s="36"/>
      <c r="Z121" s="36"/>
    </row>
    <row r="122" ht="15.75" customHeight="1">
      <c r="A122" s="36"/>
      <c r="B122" s="36"/>
      <c r="C122" s="36"/>
      <c r="D122" s="36"/>
      <c r="E122" s="36"/>
      <c r="F122" s="36"/>
      <c r="G122" s="36"/>
      <c r="H122" s="1"/>
      <c r="I122" s="36"/>
      <c r="J122" s="36"/>
      <c r="K122" s="36"/>
      <c r="L122" s="36"/>
      <c r="M122" s="36"/>
      <c r="N122" s="36"/>
      <c r="O122" s="36"/>
      <c r="P122" s="36"/>
      <c r="Q122" s="36"/>
      <c r="R122" s="36"/>
      <c r="S122" s="36"/>
      <c r="T122" s="36"/>
      <c r="U122" s="36"/>
      <c r="V122" s="36"/>
      <c r="W122" s="36"/>
      <c r="X122" s="36"/>
      <c r="Y122" s="36"/>
      <c r="Z122" s="36"/>
    </row>
    <row r="123" ht="15.75" customHeight="1">
      <c r="A123" s="36"/>
      <c r="B123" s="36"/>
      <c r="C123" s="36"/>
      <c r="D123" s="36"/>
      <c r="E123" s="36"/>
      <c r="F123" s="36"/>
      <c r="G123" s="36"/>
      <c r="H123" s="1"/>
      <c r="I123" s="36"/>
      <c r="J123" s="36"/>
      <c r="K123" s="36"/>
      <c r="L123" s="36"/>
      <c r="M123" s="36"/>
      <c r="N123" s="36"/>
      <c r="O123" s="36"/>
      <c r="P123" s="36"/>
      <c r="Q123" s="36"/>
      <c r="R123" s="36"/>
      <c r="S123" s="36"/>
      <c r="T123" s="36"/>
      <c r="U123" s="36"/>
      <c r="V123" s="36"/>
      <c r="W123" s="36"/>
      <c r="X123" s="36"/>
      <c r="Y123" s="36"/>
      <c r="Z123" s="36"/>
    </row>
    <row r="124" ht="15.75" customHeight="1">
      <c r="A124" s="36"/>
      <c r="B124" s="36"/>
      <c r="C124" s="36"/>
      <c r="D124" s="36"/>
      <c r="E124" s="36"/>
      <c r="F124" s="36"/>
      <c r="G124" s="36"/>
      <c r="H124" s="1"/>
      <c r="I124" s="36"/>
      <c r="J124" s="36"/>
      <c r="K124" s="36"/>
      <c r="L124" s="36"/>
      <c r="M124" s="36"/>
      <c r="N124" s="36"/>
      <c r="O124" s="36"/>
      <c r="P124" s="36"/>
      <c r="Q124" s="36"/>
      <c r="R124" s="36"/>
      <c r="S124" s="36"/>
      <c r="T124" s="36"/>
      <c r="U124" s="36"/>
      <c r="V124" s="36"/>
      <c r="W124" s="36"/>
      <c r="X124" s="36"/>
      <c r="Y124" s="36"/>
      <c r="Z124" s="36"/>
    </row>
    <row r="125" ht="15.75" customHeight="1">
      <c r="A125" s="36"/>
      <c r="B125" s="36"/>
      <c r="C125" s="36"/>
      <c r="D125" s="36"/>
      <c r="E125" s="36"/>
      <c r="F125" s="36"/>
      <c r="G125" s="36"/>
      <c r="H125" s="1"/>
      <c r="I125" s="36"/>
      <c r="J125" s="36"/>
      <c r="K125" s="36"/>
      <c r="L125" s="36"/>
      <c r="M125" s="36"/>
      <c r="N125" s="36"/>
      <c r="O125" s="36"/>
      <c r="P125" s="36"/>
      <c r="Q125" s="36"/>
      <c r="R125" s="36"/>
      <c r="S125" s="36"/>
      <c r="T125" s="36"/>
      <c r="U125" s="36"/>
      <c r="V125" s="36"/>
      <c r="W125" s="36"/>
      <c r="X125" s="36"/>
      <c r="Y125" s="36"/>
      <c r="Z125" s="36"/>
    </row>
    <row r="126" ht="15.75" customHeight="1">
      <c r="A126" s="36"/>
      <c r="B126" s="36"/>
      <c r="C126" s="36"/>
      <c r="D126" s="36"/>
      <c r="E126" s="36"/>
      <c r="F126" s="36"/>
      <c r="G126" s="36"/>
      <c r="H126" s="1"/>
      <c r="I126" s="36"/>
      <c r="J126" s="36"/>
      <c r="K126" s="36"/>
      <c r="L126" s="36"/>
      <c r="M126" s="36"/>
      <c r="N126" s="36"/>
      <c r="O126" s="36"/>
      <c r="P126" s="36"/>
      <c r="Q126" s="36"/>
      <c r="R126" s="36"/>
      <c r="S126" s="36"/>
      <c r="T126" s="36"/>
      <c r="U126" s="36"/>
      <c r="V126" s="36"/>
      <c r="W126" s="36"/>
      <c r="X126" s="36"/>
      <c r="Y126" s="36"/>
      <c r="Z126" s="36"/>
    </row>
    <row r="127" ht="15.75" customHeight="1">
      <c r="A127" s="36"/>
      <c r="B127" s="36"/>
      <c r="C127" s="36"/>
      <c r="D127" s="36"/>
      <c r="E127" s="36"/>
      <c r="F127" s="36"/>
      <c r="G127" s="36"/>
      <c r="H127" s="1"/>
      <c r="I127" s="36"/>
      <c r="J127" s="36"/>
      <c r="K127" s="36"/>
      <c r="L127" s="36"/>
      <c r="M127" s="36"/>
      <c r="N127" s="36"/>
      <c r="O127" s="36"/>
      <c r="P127" s="36"/>
      <c r="Q127" s="36"/>
      <c r="R127" s="36"/>
      <c r="S127" s="36"/>
      <c r="T127" s="36"/>
      <c r="U127" s="36"/>
      <c r="V127" s="36"/>
      <c r="W127" s="36"/>
      <c r="X127" s="36"/>
      <c r="Y127" s="36"/>
      <c r="Z127" s="36"/>
    </row>
    <row r="128" ht="15.75" customHeight="1">
      <c r="A128" s="36"/>
      <c r="B128" s="36"/>
      <c r="C128" s="36"/>
      <c r="D128" s="36"/>
      <c r="E128" s="36"/>
      <c r="F128" s="36"/>
      <c r="G128" s="36"/>
      <c r="H128" s="1"/>
      <c r="I128" s="36"/>
      <c r="J128" s="36"/>
      <c r="K128" s="36"/>
      <c r="L128" s="36"/>
      <c r="M128" s="36"/>
      <c r="N128" s="36"/>
      <c r="O128" s="36"/>
      <c r="P128" s="36"/>
      <c r="Q128" s="36"/>
      <c r="R128" s="36"/>
      <c r="S128" s="36"/>
      <c r="T128" s="36"/>
      <c r="U128" s="36"/>
      <c r="V128" s="36"/>
      <c r="W128" s="36"/>
      <c r="X128" s="36"/>
      <c r="Y128" s="36"/>
      <c r="Z128" s="36"/>
    </row>
    <row r="129" ht="15.75" customHeight="1">
      <c r="A129" s="36"/>
      <c r="B129" s="36"/>
      <c r="C129" s="36"/>
      <c r="D129" s="36"/>
      <c r="E129" s="36"/>
      <c r="F129" s="36"/>
      <c r="G129" s="36"/>
      <c r="H129" s="1"/>
      <c r="I129" s="36"/>
      <c r="J129" s="36"/>
      <c r="K129" s="36"/>
      <c r="L129" s="36"/>
      <c r="M129" s="36"/>
      <c r="N129" s="36"/>
      <c r="O129" s="36"/>
      <c r="P129" s="36"/>
      <c r="Q129" s="36"/>
      <c r="R129" s="36"/>
      <c r="S129" s="36"/>
      <c r="T129" s="36"/>
      <c r="U129" s="36"/>
      <c r="V129" s="36"/>
      <c r="W129" s="36"/>
      <c r="X129" s="36"/>
      <c r="Y129" s="36"/>
      <c r="Z129" s="36"/>
    </row>
    <row r="130" ht="15.75" customHeight="1">
      <c r="A130" s="36"/>
      <c r="B130" s="36"/>
      <c r="C130" s="36"/>
      <c r="D130" s="36"/>
      <c r="E130" s="36"/>
      <c r="F130" s="36"/>
      <c r="G130" s="36"/>
      <c r="H130" s="1"/>
      <c r="I130" s="36"/>
      <c r="J130" s="36"/>
      <c r="K130" s="36"/>
      <c r="L130" s="36"/>
      <c r="M130" s="36"/>
      <c r="N130" s="36"/>
      <c r="O130" s="36"/>
      <c r="P130" s="36"/>
      <c r="Q130" s="36"/>
      <c r="R130" s="36"/>
      <c r="S130" s="36"/>
      <c r="T130" s="36"/>
      <c r="U130" s="36"/>
      <c r="V130" s="36"/>
      <c r="W130" s="36"/>
      <c r="X130" s="36"/>
      <c r="Y130" s="36"/>
      <c r="Z130" s="36"/>
    </row>
    <row r="131" ht="15.75" customHeight="1">
      <c r="A131" s="36"/>
      <c r="B131" s="36"/>
      <c r="C131" s="36"/>
      <c r="D131" s="36"/>
      <c r="E131" s="36"/>
      <c r="F131" s="36"/>
      <c r="G131" s="36"/>
      <c r="H131" s="1"/>
      <c r="I131" s="36"/>
      <c r="J131" s="36"/>
      <c r="K131" s="36"/>
      <c r="L131" s="36"/>
      <c r="M131" s="36"/>
      <c r="N131" s="36"/>
      <c r="O131" s="36"/>
      <c r="P131" s="36"/>
      <c r="Q131" s="36"/>
      <c r="R131" s="36"/>
      <c r="S131" s="36"/>
      <c r="T131" s="36"/>
      <c r="U131" s="36"/>
      <c r="V131" s="36"/>
      <c r="W131" s="36"/>
      <c r="X131" s="36"/>
      <c r="Y131" s="36"/>
      <c r="Z131" s="36"/>
    </row>
    <row r="132" ht="15.75" customHeight="1">
      <c r="A132" s="36"/>
      <c r="B132" s="36"/>
      <c r="C132" s="36"/>
      <c r="D132" s="36"/>
      <c r="E132" s="36"/>
      <c r="F132" s="36"/>
      <c r="G132" s="36"/>
      <c r="H132" s="1"/>
      <c r="I132" s="36"/>
      <c r="J132" s="36"/>
      <c r="K132" s="36"/>
      <c r="L132" s="36"/>
      <c r="M132" s="36"/>
      <c r="N132" s="36"/>
      <c r="O132" s="36"/>
      <c r="P132" s="36"/>
      <c r="Q132" s="36"/>
      <c r="R132" s="36"/>
      <c r="S132" s="36"/>
      <c r="T132" s="36"/>
      <c r="U132" s="36"/>
      <c r="V132" s="36"/>
      <c r="W132" s="36"/>
      <c r="X132" s="36"/>
      <c r="Y132" s="36"/>
      <c r="Z132" s="36"/>
    </row>
    <row r="133" ht="15.75" customHeight="1">
      <c r="A133" s="36"/>
      <c r="B133" s="36"/>
      <c r="C133" s="36"/>
      <c r="D133" s="36"/>
      <c r="E133" s="36"/>
      <c r="F133" s="36"/>
      <c r="G133" s="36"/>
      <c r="H133" s="1"/>
      <c r="I133" s="36"/>
      <c r="J133" s="36"/>
      <c r="K133" s="36"/>
      <c r="L133" s="36"/>
      <c r="M133" s="36"/>
      <c r="N133" s="36"/>
      <c r="O133" s="36"/>
      <c r="P133" s="36"/>
      <c r="Q133" s="36"/>
      <c r="R133" s="36"/>
      <c r="S133" s="36"/>
      <c r="T133" s="36"/>
      <c r="U133" s="36"/>
      <c r="V133" s="36"/>
      <c r="W133" s="36"/>
      <c r="X133" s="36"/>
      <c r="Y133" s="36"/>
      <c r="Z133" s="36"/>
    </row>
    <row r="134" ht="15.75" customHeight="1">
      <c r="A134" s="36"/>
      <c r="B134" s="36"/>
      <c r="C134" s="36"/>
      <c r="D134" s="36"/>
      <c r="E134" s="36"/>
      <c r="F134" s="36"/>
      <c r="G134" s="36"/>
      <c r="H134" s="1"/>
      <c r="I134" s="36"/>
      <c r="J134" s="36"/>
      <c r="K134" s="36"/>
      <c r="L134" s="36"/>
      <c r="M134" s="36"/>
      <c r="N134" s="36"/>
      <c r="O134" s="36"/>
      <c r="P134" s="36"/>
      <c r="Q134" s="36"/>
      <c r="R134" s="36"/>
      <c r="S134" s="36"/>
      <c r="T134" s="36"/>
      <c r="U134" s="36"/>
      <c r="V134" s="36"/>
      <c r="W134" s="36"/>
      <c r="X134" s="36"/>
      <c r="Y134" s="36"/>
      <c r="Z134" s="36"/>
    </row>
    <row r="135" ht="15.75" customHeight="1">
      <c r="A135" s="36"/>
      <c r="B135" s="36"/>
      <c r="C135" s="36"/>
      <c r="D135" s="36"/>
      <c r="E135" s="36"/>
      <c r="F135" s="36"/>
      <c r="G135" s="36"/>
      <c r="H135" s="1"/>
      <c r="I135" s="36"/>
      <c r="J135" s="36"/>
      <c r="K135" s="36"/>
      <c r="L135" s="36"/>
      <c r="M135" s="36"/>
      <c r="N135" s="36"/>
      <c r="O135" s="36"/>
      <c r="P135" s="36"/>
      <c r="Q135" s="36"/>
      <c r="R135" s="36"/>
      <c r="S135" s="36"/>
      <c r="T135" s="36"/>
      <c r="U135" s="36"/>
      <c r="V135" s="36"/>
      <c r="W135" s="36"/>
      <c r="X135" s="36"/>
      <c r="Y135" s="36"/>
      <c r="Z135" s="36"/>
    </row>
    <row r="136" ht="15.75" customHeight="1">
      <c r="A136" s="36"/>
      <c r="B136" s="36"/>
      <c r="C136" s="36"/>
      <c r="D136" s="36"/>
      <c r="E136" s="36"/>
      <c r="F136" s="36"/>
      <c r="G136" s="36"/>
      <c r="H136" s="1"/>
      <c r="I136" s="36"/>
      <c r="J136" s="36"/>
      <c r="K136" s="36"/>
      <c r="L136" s="36"/>
      <c r="M136" s="36"/>
      <c r="N136" s="36"/>
      <c r="O136" s="36"/>
      <c r="P136" s="36"/>
      <c r="Q136" s="36"/>
      <c r="R136" s="36"/>
      <c r="S136" s="36"/>
      <c r="T136" s="36"/>
      <c r="U136" s="36"/>
      <c r="V136" s="36"/>
      <c r="W136" s="36"/>
      <c r="X136" s="36"/>
      <c r="Y136" s="36"/>
      <c r="Z136" s="36"/>
    </row>
    <row r="137" ht="15.75" customHeight="1">
      <c r="A137" s="36"/>
      <c r="B137" s="36"/>
      <c r="C137" s="36"/>
      <c r="D137" s="36"/>
      <c r="E137" s="36"/>
      <c r="F137" s="36"/>
      <c r="G137" s="36"/>
      <c r="H137" s="1"/>
      <c r="I137" s="36"/>
      <c r="J137" s="36"/>
      <c r="K137" s="36"/>
      <c r="L137" s="36"/>
      <c r="M137" s="36"/>
      <c r="N137" s="36"/>
      <c r="O137" s="36"/>
      <c r="P137" s="36"/>
      <c r="Q137" s="36"/>
      <c r="R137" s="36"/>
      <c r="S137" s="36"/>
      <c r="T137" s="36"/>
      <c r="U137" s="36"/>
      <c r="V137" s="36"/>
      <c r="W137" s="36"/>
      <c r="X137" s="36"/>
      <c r="Y137" s="36"/>
      <c r="Z137" s="36"/>
    </row>
    <row r="138" ht="15.75" customHeight="1">
      <c r="A138" s="36"/>
      <c r="B138" s="36"/>
      <c r="C138" s="36"/>
      <c r="D138" s="36"/>
      <c r="E138" s="36"/>
      <c r="F138" s="36"/>
      <c r="G138" s="36"/>
      <c r="H138" s="1"/>
      <c r="I138" s="36"/>
      <c r="J138" s="36"/>
      <c r="K138" s="36"/>
      <c r="L138" s="36"/>
      <c r="M138" s="36"/>
      <c r="N138" s="36"/>
      <c r="O138" s="36"/>
      <c r="P138" s="36"/>
      <c r="Q138" s="36"/>
      <c r="R138" s="36"/>
      <c r="S138" s="36"/>
      <c r="T138" s="36"/>
      <c r="U138" s="36"/>
      <c r="V138" s="36"/>
      <c r="W138" s="36"/>
      <c r="X138" s="36"/>
      <c r="Y138" s="36"/>
      <c r="Z138" s="36"/>
    </row>
    <row r="139" ht="15.75" customHeight="1">
      <c r="A139" s="36"/>
      <c r="B139" s="36"/>
      <c r="C139" s="36"/>
      <c r="D139" s="36"/>
      <c r="E139" s="36"/>
      <c r="F139" s="36"/>
      <c r="G139" s="36"/>
      <c r="H139" s="1"/>
      <c r="I139" s="36"/>
      <c r="J139" s="36"/>
      <c r="K139" s="36"/>
      <c r="L139" s="36"/>
      <c r="M139" s="36"/>
      <c r="N139" s="36"/>
      <c r="O139" s="36"/>
      <c r="P139" s="36"/>
      <c r="Q139" s="36"/>
      <c r="R139" s="36"/>
      <c r="S139" s="36"/>
      <c r="T139" s="36"/>
      <c r="U139" s="36"/>
      <c r="V139" s="36"/>
      <c r="W139" s="36"/>
      <c r="X139" s="36"/>
      <c r="Y139" s="36"/>
      <c r="Z139" s="36"/>
    </row>
    <row r="140" ht="15.75" customHeight="1">
      <c r="A140" s="36"/>
      <c r="B140" s="36"/>
      <c r="C140" s="36"/>
      <c r="D140" s="36"/>
      <c r="E140" s="36"/>
      <c r="F140" s="36"/>
      <c r="G140" s="36"/>
      <c r="H140" s="1"/>
      <c r="I140" s="36"/>
      <c r="J140" s="36"/>
      <c r="K140" s="36"/>
      <c r="L140" s="36"/>
      <c r="M140" s="36"/>
      <c r="N140" s="36"/>
      <c r="O140" s="36"/>
      <c r="P140" s="36"/>
      <c r="Q140" s="36"/>
      <c r="R140" s="36"/>
      <c r="S140" s="36"/>
      <c r="T140" s="36"/>
      <c r="U140" s="36"/>
      <c r="V140" s="36"/>
      <c r="W140" s="36"/>
      <c r="X140" s="36"/>
      <c r="Y140" s="36"/>
      <c r="Z140" s="36"/>
    </row>
    <row r="141" ht="15.75" customHeight="1">
      <c r="A141" s="36"/>
      <c r="B141" s="36"/>
      <c r="C141" s="36"/>
      <c r="D141" s="36"/>
      <c r="E141" s="36"/>
      <c r="F141" s="36"/>
      <c r="G141" s="36"/>
      <c r="H141" s="1"/>
      <c r="I141" s="36"/>
      <c r="J141" s="36"/>
      <c r="K141" s="36"/>
      <c r="L141" s="36"/>
      <c r="M141" s="36"/>
      <c r="N141" s="36"/>
      <c r="O141" s="36"/>
      <c r="P141" s="36"/>
      <c r="Q141" s="36"/>
      <c r="R141" s="36"/>
      <c r="S141" s="36"/>
      <c r="T141" s="36"/>
      <c r="U141" s="36"/>
      <c r="V141" s="36"/>
      <c r="W141" s="36"/>
      <c r="X141" s="36"/>
      <c r="Y141" s="36"/>
      <c r="Z141" s="36"/>
    </row>
    <row r="142" ht="15.75" customHeight="1">
      <c r="A142" s="36"/>
      <c r="B142" s="36"/>
      <c r="C142" s="36"/>
      <c r="D142" s="36"/>
      <c r="E142" s="36"/>
      <c r="F142" s="36"/>
      <c r="G142" s="36"/>
      <c r="H142" s="1"/>
      <c r="I142" s="36"/>
      <c r="J142" s="36"/>
      <c r="K142" s="36"/>
      <c r="L142" s="36"/>
      <c r="M142" s="36"/>
      <c r="N142" s="36"/>
      <c r="O142" s="36"/>
      <c r="P142" s="36"/>
      <c r="Q142" s="36"/>
      <c r="R142" s="36"/>
      <c r="S142" s="36"/>
      <c r="T142" s="36"/>
      <c r="U142" s="36"/>
      <c r="V142" s="36"/>
      <c r="W142" s="36"/>
      <c r="X142" s="36"/>
      <c r="Y142" s="36"/>
      <c r="Z142" s="36"/>
    </row>
    <row r="143" ht="15.75" customHeight="1">
      <c r="A143" s="36"/>
      <c r="B143" s="36"/>
      <c r="C143" s="36"/>
      <c r="D143" s="36"/>
      <c r="E143" s="36"/>
      <c r="F143" s="36"/>
      <c r="G143" s="36"/>
      <c r="H143" s="1"/>
      <c r="I143" s="36"/>
      <c r="J143" s="36"/>
      <c r="K143" s="36"/>
      <c r="L143" s="36"/>
      <c r="M143" s="36"/>
      <c r="N143" s="36"/>
      <c r="O143" s="36"/>
      <c r="P143" s="36"/>
      <c r="Q143" s="36"/>
      <c r="R143" s="36"/>
      <c r="S143" s="36"/>
      <c r="T143" s="36"/>
      <c r="U143" s="36"/>
      <c r="V143" s="36"/>
      <c r="W143" s="36"/>
      <c r="X143" s="36"/>
      <c r="Y143" s="36"/>
      <c r="Z143" s="36"/>
    </row>
    <row r="144" ht="15.75" customHeight="1">
      <c r="A144" s="36"/>
      <c r="B144" s="36"/>
      <c r="C144" s="36"/>
      <c r="D144" s="36"/>
      <c r="E144" s="36"/>
      <c r="F144" s="36"/>
      <c r="G144" s="36"/>
      <c r="H144" s="1"/>
      <c r="I144" s="36"/>
      <c r="J144" s="36"/>
      <c r="K144" s="36"/>
      <c r="L144" s="36"/>
      <c r="M144" s="36"/>
      <c r="N144" s="36"/>
      <c r="O144" s="36"/>
      <c r="P144" s="36"/>
      <c r="Q144" s="36"/>
      <c r="R144" s="36"/>
      <c r="S144" s="36"/>
      <c r="T144" s="36"/>
      <c r="U144" s="36"/>
      <c r="V144" s="36"/>
      <c r="W144" s="36"/>
      <c r="X144" s="36"/>
      <c r="Y144" s="36"/>
      <c r="Z144" s="36"/>
    </row>
    <row r="145" ht="15.75" customHeight="1">
      <c r="A145" s="36"/>
      <c r="B145" s="36"/>
      <c r="C145" s="36"/>
      <c r="D145" s="36"/>
      <c r="E145" s="36"/>
      <c r="F145" s="36"/>
      <c r="G145" s="36"/>
      <c r="H145" s="1"/>
      <c r="I145" s="36"/>
      <c r="J145" s="36"/>
      <c r="K145" s="36"/>
      <c r="L145" s="36"/>
      <c r="M145" s="36"/>
      <c r="N145" s="36"/>
      <c r="O145" s="36"/>
      <c r="P145" s="36"/>
      <c r="Q145" s="36"/>
      <c r="R145" s="36"/>
      <c r="S145" s="36"/>
      <c r="T145" s="36"/>
      <c r="U145" s="36"/>
      <c r="V145" s="36"/>
      <c r="W145" s="36"/>
      <c r="X145" s="36"/>
      <c r="Y145" s="36"/>
      <c r="Z145" s="36"/>
    </row>
    <row r="146" ht="15.75" customHeight="1">
      <c r="A146" s="36"/>
      <c r="B146" s="36"/>
      <c r="C146" s="36"/>
      <c r="D146" s="36"/>
      <c r="E146" s="36"/>
      <c r="F146" s="36"/>
      <c r="G146" s="36"/>
      <c r="H146" s="1"/>
      <c r="I146" s="36"/>
      <c r="J146" s="36"/>
      <c r="K146" s="36"/>
      <c r="L146" s="36"/>
      <c r="M146" s="36"/>
      <c r="N146" s="36"/>
      <c r="O146" s="36"/>
      <c r="P146" s="36"/>
      <c r="Q146" s="36"/>
      <c r="R146" s="36"/>
      <c r="S146" s="36"/>
      <c r="T146" s="36"/>
      <c r="U146" s="36"/>
      <c r="V146" s="36"/>
      <c r="W146" s="36"/>
      <c r="X146" s="36"/>
      <c r="Y146" s="36"/>
      <c r="Z146" s="36"/>
    </row>
    <row r="147" ht="15.75" customHeight="1">
      <c r="A147" s="36"/>
      <c r="B147" s="36"/>
      <c r="C147" s="36"/>
      <c r="D147" s="36"/>
      <c r="E147" s="36"/>
      <c r="F147" s="36"/>
      <c r="G147" s="36"/>
      <c r="H147" s="1"/>
      <c r="I147" s="36"/>
      <c r="J147" s="36"/>
      <c r="K147" s="36"/>
      <c r="L147" s="36"/>
      <c r="M147" s="36"/>
      <c r="N147" s="36"/>
      <c r="O147" s="36"/>
      <c r="P147" s="36"/>
      <c r="Q147" s="36"/>
      <c r="R147" s="36"/>
      <c r="S147" s="36"/>
      <c r="T147" s="36"/>
      <c r="U147" s="36"/>
      <c r="V147" s="36"/>
      <c r="W147" s="36"/>
      <c r="X147" s="36"/>
      <c r="Y147" s="36"/>
      <c r="Z147" s="36"/>
    </row>
    <row r="148" ht="15.75" customHeight="1">
      <c r="A148" s="36"/>
      <c r="B148" s="36"/>
      <c r="C148" s="36"/>
      <c r="D148" s="36"/>
      <c r="E148" s="36"/>
      <c r="F148" s="36"/>
      <c r="G148" s="36"/>
      <c r="H148" s="1"/>
      <c r="I148" s="36"/>
      <c r="J148" s="36"/>
      <c r="K148" s="36"/>
      <c r="L148" s="36"/>
      <c r="M148" s="36"/>
      <c r="N148" s="36"/>
      <c r="O148" s="36"/>
      <c r="P148" s="36"/>
      <c r="Q148" s="36"/>
      <c r="R148" s="36"/>
      <c r="S148" s="36"/>
      <c r="T148" s="36"/>
      <c r="U148" s="36"/>
      <c r="V148" s="36"/>
      <c r="W148" s="36"/>
      <c r="X148" s="36"/>
      <c r="Y148" s="36"/>
      <c r="Z148" s="36"/>
    </row>
    <row r="149" ht="15.75" customHeight="1">
      <c r="A149" s="36"/>
      <c r="B149" s="36"/>
      <c r="C149" s="36"/>
      <c r="D149" s="36"/>
      <c r="E149" s="36"/>
      <c r="F149" s="36"/>
      <c r="G149" s="36"/>
      <c r="H149" s="1"/>
      <c r="I149" s="36"/>
      <c r="J149" s="36"/>
      <c r="K149" s="36"/>
      <c r="L149" s="36"/>
      <c r="M149" s="36"/>
      <c r="N149" s="36"/>
      <c r="O149" s="36"/>
      <c r="P149" s="36"/>
      <c r="Q149" s="36"/>
      <c r="R149" s="36"/>
      <c r="S149" s="36"/>
      <c r="T149" s="36"/>
      <c r="U149" s="36"/>
      <c r="V149" s="36"/>
      <c r="W149" s="36"/>
      <c r="X149" s="36"/>
      <c r="Y149" s="36"/>
      <c r="Z149" s="36"/>
    </row>
    <row r="150" ht="15.75" customHeight="1">
      <c r="A150" s="36"/>
      <c r="B150" s="36"/>
      <c r="C150" s="36"/>
      <c r="D150" s="36"/>
      <c r="E150" s="36"/>
      <c r="F150" s="36"/>
      <c r="G150" s="36"/>
      <c r="H150" s="1"/>
      <c r="I150" s="36"/>
      <c r="J150" s="36"/>
      <c r="K150" s="36"/>
      <c r="L150" s="36"/>
      <c r="M150" s="36"/>
      <c r="N150" s="36"/>
      <c r="O150" s="36"/>
      <c r="P150" s="36"/>
      <c r="Q150" s="36"/>
      <c r="R150" s="36"/>
      <c r="S150" s="36"/>
      <c r="T150" s="36"/>
      <c r="U150" s="36"/>
      <c r="V150" s="36"/>
      <c r="W150" s="36"/>
      <c r="X150" s="36"/>
      <c r="Y150" s="36"/>
      <c r="Z150" s="36"/>
    </row>
    <row r="151" ht="15.75" customHeight="1">
      <c r="A151" s="36"/>
      <c r="B151" s="36"/>
      <c r="C151" s="36"/>
      <c r="D151" s="36"/>
      <c r="E151" s="36"/>
      <c r="F151" s="36"/>
      <c r="G151" s="36"/>
      <c r="H151" s="1"/>
      <c r="I151" s="36"/>
      <c r="J151" s="36"/>
      <c r="K151" s="36"/>
      <c r="L151" s="36"/>
      <c r="M151" s="36"/>
      <c r="N151" s="36"/>
      <c r="O151" s="36"/>
      <c r="P151" s="36"/>
      <c r="Q151" s="36"/>
      <c r="R151" s="36"/>
      <c r="S151" s="36"/>
      <c r="T151" s="36"/>
      <c r="U151" s="36"/>
      <c r="V151" s="36"/>
      <c r="W151" s="36"/>
      <c r="X151" s="36"/>
      <c r="Y151" s="36"/>
      <c r="Z151" s="36"/>
    </row>
    <row r="152" ht="15.75" customHeight="1">
      <c r="A152" s="36"/>
      <c r="B152" s="36"/>
      <c r="C152" s="36"/>
      <c r="D152" s="36"/>
      <c r="E152" s="36"/>
      <c r="F152" s="36"/>
      <c r="G152" s="36"/>
      <c r="H152" s="1"/>
      <c r="I152" s="36"/>
      <c r="J152" s="36"/>
      <c r="K152" s="36"/>
      <c r="L152" s="36"/>
      <c r="M152" s="36"/>
      <c r="N152" s="36"/>
      <c r="O152" s="36"/>
      <c r="P152" s="36"/>
      <c r="Q152" s="36"/>
      <c r="R152" s="36"/>
      <c r="S152" s="36"/>
      <c r="T152" s="36"/>
      <c r="U152" s="36"/>
      <c r="V152" s="36"/>
      <c r="W152" s="36"/>
      <c r="X152" s="36"/>
      <c r="Y152" s="36"/>
      <c r="Z152" s="36"/>
    </row>
    <row r="153" ht="15.75" customHeight="1">
      <c r="A153" s="36"/>
      <c r="B153" s="36"/>
      <c r="C153" s="36"/>
      <c r="D153" s="36"/>
      <c r="E153" s="36"/>
      <c r="F153" s="36"/>
      <c r="G153" s="36"/>
      <c r="H153" s="1"/>
      <c r="I153" s="36"/>
      <c r="J153" s="36"/>
      <c r="K153" s="36"/>
      <c r="L153" s="36"/>
      <c r="M153" s="36"/>
      <c r="N153" s="36"/>
      <c r="O153" s="36"/>
      <c r="P153" s="36"/>
      <c r="Q153" s="36"/>
      <c r="R153" s="36"/>
      <c r="S153" s="36"/>
      <c r="T153" s="36"/>
      <c r="U153" s="36"/>
      <c r="V153" s="36"/>
      <c r="W153" s="36"/>
      <c r="X153" s="36"/>
      <c r="Y153" s="36"/>
      <c r="Z153" s="36"/>
    </row>
    <row r="154" ht="15.75" customHeight="1">
      <c r="A154" s="36"/>
      <c r="B154" s="36"/>
      <c r="C154" s="36"/>
      <c r="D154" s="36"/>
      <c r="E154" s="36"/>
      <c r="F154" s="36"/>
      <c r="G154" s="36"/>
      <c r="H154" s="1"/>
      <c r="I154" s="36"/>
      <c r="J154" s="36"/>
      <c r="K154" s="36"/>
      <c r="L154" s="36"/>
      <c r="M154" s="36"/>
      <c r="N154" s="36"/>
      <c r="O154" s="36"/>
      <c r="P154" s="36"/>
      <c r="Q154" s="36"/>
      <c r="R154" s="36"/>
      <c r="S154" s="36"/>
      <c r="T154" s="36"/>
      <c r="U154" s="36"/>
      <c r="V154" s="36"/>
      <c r="W154" s="36"/>
      <c r="X154" s="36"/>
      <c r="Y154" s="36"/>
      <c r="Z154" s="36"/>
    </row>
    <row r="155" ht="15.75" customHeight="1">
      <c r="A155" s="36"/>
      <c r="B155" s="36"/>
      <c r="C155" s="36"/>
      <c r="D155" s="36"/>
      <c r="E155" s="36"/>
      <c r="F155" s="36"/>
      <c r="G155" s="36"/>
      <c r="H155" s="1"/>
      <c r="I155" s="36"/>
      <c r="J155" s="36"/>
      <c r="K155" s="36"/>
      <c r="L155" s="36"/>
      <c r="M155" s="36"/>
      <c r="N155" s="36"/>
      <c r="O155" s="36"/>
      <c r="P155" s="36"/>
      <c r="Q155" s="36"/>
      <c r="R155" s="36"/>
      <c r="S155" s="36"/>
      <c r="T155" s="36"/>
      <c r="U155" s="36"/>
      <c r="V155" s="36"/>
      <c r="W155" s="36"/>
      <c r="X155" s="36"/>
      <c r="Y155" s="36"/>
      <c r="Z155" s="36"/>
    </row>
    <row r="156" ht="15.75" customHeight="1">
      <c r="A156" s="36"/>
      <c r="B156" s="36"/>
      <c r="C156" s="36"/>
      <c r="D156" s="36"/>
      <c r="E156" s="36"/>
      <c r="F156" s="36"/>
      <c r="G156" s="36"/>
      <c r="H156" s="1"/>
      <c r="I156" s="36"/>
      <c r="J156" s="36"/>
      <c r="K156" s="36"/>
      <c r="L156" s="36"/>
      <c r="M156" s="36"/>
      <c r="N156" s="36"/>
      <c r="O156" s="36"/>
      <c r="P156" s="36"/>
      <c r="Q156" s="36"/>
      <c r="R156" s="36"/>
      <c r="S156" s="36"/>
      <c r="T156" s="36"/>
      <c r="U156" s="36"/>
      <c r="V156" s="36"/>
      <c r="W156" s="36"/>
      <c r="X156" s="36"/>
      <c r="Y156" s="36"/>
      <c r="Z156" s="36"/>
    </row>
    <row r="157" ht="15.75" customHeight="1">
      <c r="A157" s="36"/>
      <c r="B157" s="36"/>
      <c r="C157" s="36"/>
      <c r="D157" s="36"/>
      <c r="E157" s="36"/>
      <c r="F157" s="36"/>
      <c r="G157" s="36"/>
      <c r="H157" s="1"/>
      <c r="I157" s="36"/>
      <c r="J157" s="36"/>
      <c r="K157" s="36"/>
      <c r="L157" s="36"/>
      <c r="M157" s="36"/>
      <c r="N157" s="36"/>
      <c r="O157" s="36"/>
      <c r="P157" s="36"/>
      <c r="Q157" s="36"/>
      <c r="R157" s="36"/>
      <c r="S157" s="36"/>
      <c r="T157" s="36"/>
      <c r="U157" s="36"/>
      <c r="V157" s="36"/>
      <c r="W157" s="36"/>
      <c r="X157" s="36"/>
      <c r="Y157" s="36"/>
      <c r="Z157" s="36"/>
    </row>
    <row r="158" ht="15.75" customHeight="1">
      <c r="A158" s="36"/>
      <c r="B158" s="36"/>
      <c r="C158" s="36"/>
      <c r="D158" s="36"/>
      <c r="E158" s="36"/>
      <c r="F158" s="36"/>
      <c r="G158" s="36"/>
      <c r="H158" s="1"/>
      <c r="I158" s="36"/>
      <c r="J158" s="36"/>
      <c r="K158" s="36"/>
      <c r="L158" s="36"/>
      <c r="M158" s="36"/>
      <c r="N158" s="36"/>
      <c r="O158" s="36"/>
      <c r="P158" s="36"/>
      <c r="Q158" s="36"/>
      <c r="R158" s="36"/>
      <c r="S158" s="36"/>
      <c r="T158" s="36"/>
      <c r="U158" s="36"/>
      <c r="V158" s="36"/>
      <c r="W158" s="36"/>
      <c r="X158" s="36"/>
      <c r="Y158" s="36"/>
      <c r="Z158" s="36"/>
    </row>
    <row r="159" ht="15.75" customHeight="1">
      <c r="A159" s="36"/>
      <c r="B159" s="36"/>
      <c r="C159" s="36"/>
      <c r="D159" s="36"/>
      <c r="E159" s="36"/>
      <c r="F159" s="36"/>
      <c r="G159" s="36"/>
      <c r="H159" s="1"/>
      <c r="I159" s="36"/>
      <c r="J159" s="36"/>
      <c r="K159" s="36"/>
      <c r="L159" s="36"/>
      <c r="M159" s="36"/>
      <c r="N159" s="36"/>
      <c r="O159" s="36"/>
      <c r="P159" s="36"/>
      <c r="Q159" s="36"/>
      <c r="R159" s="36"/>
      <c r="S159" s="36"/>
      <c r="T159" s="36"/>
      <c r="U159" s="36"/>
      <c r="V159" s="36"/>
      <c r="W159" s="36"/>
      <c r="X159" s="36"/>
      <c r="Y159" s="36"/>
      <c r="Z159" s="36"/>
    </row>
    <row r="160" ht="15.75" customHeight="1">
      <c r="A160" s="36"/>
      <c r="B160" s="36"/>
      <c r="C160" s="36"/>
      <c r="D160" s="36"/>
      <c r="E160" s="36"/>
      <c r="F160" s="36"/>
      <c r="G160" s="36"/>
      <c r="H160" s="1"/>
      <c r="I160" s="36"/>
      <c r="J160" s="36"/>
      <c r="K160" s="36"/>
      <c r="L160" s="36"/>
      <c r="M160" s="36"/>
      <c r="N160" s="36"/>
      <c r="O160" s="36"/>
      <c r="P160" s="36"/>
      <c r="Q160" s="36"/>
      <c r="R160" s="36"/>
      <c r="S160" s="36"/>
      <c r="T160" s="36"/>
      <c r="U160" s="36"/>
      <c r="V160" s="36"/>
      <c r="W160" s="36"/>
      <c r="X160" s="36"/>
      <c r="Y160" s="36"/>
      <c r="Z160" s="36"/>
    </row>
    <row r="161" ht="15.75" customHeight="1">
      <c r="A161" s="36"/>
      <c r="B161" s="36"/>
      <c r="C161" s="36"/>
      <c r="D161" s="36"/>
      <c r="E161" s="36"/>
      <c r="F161" s="36"/>
      <c r="G161" s="36"/>
      <c r="H161" s="1"/>
      <c r="I161" s="36"/>
      <c r="J161" s="36"/>
      <c r="K161" s="36"/>
      <c r="L161" s="36"/>
      <c r="M161" s="36"/>
      <c r="N161" s="36"/>
      <c r="O161" s="36"/>
      <c r="P161" s="36"/>
      <c r="Q161" s="36"/>
      <c r="R161" s="36"/>
      <c r="S161" s="36"/>
      <c r="T161" s="36"/>
      <c r="U161" s="36"/>
      <c r="V161" s="36"/>
      <c r="W161" s="36"/>
      <c r="X161" s="36"/>
      <c r="Y161" s="36"/>
      <c r="Z161" s="36"/>
    </row>
    <row r="162" ht="15.75" customHeight="1">
      <c r="A162" s="36"/>
      <c r="B162" s="36"/>
      <c r="C162" s="36"/>
      <c r="D162" s="36"/>
      <c r="E162" s="36"/>
      <c r="F162" s="36"/>
      <c r="G162" s="36"/>
      <c r="H162" s="1"/>
      <c r="I162" s="36"/>
      <c r="J162" s="36"/>
      <c r="K162" s="36"/>
      <c r="L162" s="36"/>
      <c r="M162" s="36"/>
      <c r="N162" s="36"/>
      <c r="O162" s="36"/>
      <c r="P162" s="36"/>
      <c r="Q162" s="36"/>
      <c r="R162" s="36"/>
      <c r="S162" s="36"/>
      <c r="T162" s="36"/>
      <c r="U162" s="36"/>
      <c r="V162" s="36"/>
      <c r="W162" s="36"/>
      <c r="X162" s="36"/>
      <c r="Y162" s="36"/>
      <c r="Z162" s="36"/>
    </row>
    <row r="163" ht="15.75" customHeight="1">
      <c r="A163" s="36"/>
      <c r="B163" s="36"/>
      <c r="C163" s="36"/>
      <c r="D163" s="36"/>
      <c r="E163" s="36"/>
      <c r="F163" s="36"/>
      <c r="G163" s="36"/>
      <c r="H163" s="1"/>
      <c r="I163" s="36"/>
      <c r="J163" s="36"/>
      <c r="K163" s="36"/>
      <c r="L163" s="36"/>
      <c r="M163" s="36"/>
      <c r="N163" s="36"/>
      <c r="O163" s="36"/>
      <c r="P163" s="36"/>
      <c r="Q163" s="36"/>
      <c r="R163" s="36"/>
      <c r="S163" s="36"/>
      <c r="T163" s="36"/>
      <c r="U163" s="36"/>
      <c r="V163" s="36"/>
      <c r="W163" s="36"/>
      <c r="X163" s="36"/>
      <c r="Y163" s="36"/>
      <c r="Z163" s="36"/>
    </row>
    <row r="164" ht="15.75" customHeight="1">
      <c r="A164" s="36"/>
      <c r="B164" s="36"/>
      <c r="C164" s="36"/>
      <c r="D164" s="36"/>
      <c r="E164" s="36"/>
      <c r="F164" s="36"/>
      <c r="G164" s="36"/>
      <c r="H164" s="1"/>
      <c r="I164" s="36"/>
      <c r="J164" s="36"/>
      <c r="K164" s="36"/>
      <c r="L164" s="36"/>
      <c r="M164" s="36"/>
      <c r="N164" s="36"/>
      <c r="O164" s="36"/>
      <c r="P164" s="36"/>
      <c r="Q164" s="36"/>
      <c r="R164" s="36"/>
      <c r="S164" s="36"/>
      <c r="T164" s="36"/>
      <c r="U164" s="36"/>
      <c r="V164" s="36"/>
      <c r="W164" s="36"/>
      <c r="X164" s="36"/>
      <c r="Y164" s="36"/>
      <c r="Z164" s="36"/>
    </row>
    <row r="165" ht="15.75" customHeight="1">
      <c r="A165" s="36"/>
      <c r="B165" s="36"/>
      <c r="C165" s="36"/>
      <c r="D165" s="36"/>
      <c r="E165" s="36"/>
      <c r="F165" s="36"/>
      <c r="G165" s="36"/>
      <c r="H165" s="1"/>
      <c r="I165" s="36"/>
      <c r="J165" s="36"/>
      <c r="K165" s="36"/>
      <c r="L165" s="36"/>
      <c r="M165" s="36"/>
      <c r="N165" s="36"/>
      <c r="O165" s="36"/>
      <c r="P165" s="36"/>
      <c r="Q165" s="36"/>
      <c r="R165" s="36"/>
      <c r="S165" s="36"/>
      <c r="T165" s="36"/>
      <c r="U165" s="36"/>
      <c r="V165" s="36"/>
      <c r="W165" s="36"/>
      <c r="X165" s="36"/>
      <c r="Y165" s="36"/>
      <c r="Z165" s="36"/>
    </row>
    <row r="166" ht="15.75" customHeight="1">
      <c r="A166" s="36"/>
      <c r="B166" s="36"/>
      <c r="C166" s="36"/>
      <c r="D166" s="36"/>
      <c r="E166" s="36"/>
      <c r="F166" s="36"/>
      <c r="G166" s="36"/>
      <c r="H166" s="1"/>
      <c r="I166" s="36"/>
      <c r="J166" s="36"/>
      <c r="K166" s="36"/>
      <c r="L166" s="36"/>
      <c r="M166" s="36"/>
      <c r="N166" s="36"/>
      <c r="O166" s="36"/>
      <c r="P166" s="36"/>
      <c r="Q166" s="36"/>
      <c r="R166" s="36"/>
      <c r="S166" s="36"/>
      <c r="T166" s="36"/>
      <c r="U166" s="36"/>
      <c r="V166" s="36"/>
      <c r="W166" s="36"/>
      <c r="X166" s="36"/>
      <c r="Y166" s="36"/>
      <c r="Z166" s="36"/>
    </row>
    <row r="167" ht="15.75" customHeight="1">
      <c r="A167" s="36"/>
      <c r="B167" s="36"/>
      <c r="C167" s="36"/>
      <c r="D167" s="36"/>
      <c r="E167" s="36"/>
      <c r="F167" s="36"/>
      <c r="G167" s="36"/>
      <c r="H167" s="1"/>
      <c r="I167" s="36"/>
      <c r="J167" s="36"/>
      <c r="K167" s="36"/>
      <c r="L167" s="36"/>
      <c r="M167" s="36"/>
      <c r="N167" s="36"/>
      <c r="O167" s="36"/>
      <c r="P167" s="36"/>
      <c r="Q167" s="36"/>
      <c r="R167" s="36"/>
      <c r="S167" s="36"/>
      <c r="T167" s="36"/>
      <c r="U167" s="36"/>
      <c r="V167" s="36"/>
      <c r="W167" s="36"/>
      <c r="X167" s="36"/>
      <c r="Y167" s="36"/>
      <c r="Z167" s="36"/>
    </row>
    <row r="168" ht="15.75" customHeight="1">
      <c r="A168" s="36"/>
      <c r="B168" s="36"/>
      <c r="C168" s="36"/>
      <c r="D168" s="36"/>
      <c r="E168" s="36"/>
      <c r="F168" s="36"/>
      <c r="G168" s="36"/>
      <c r="H168" s="1"/>
      <c r="I168" s="36"/>
      <c r="J168" s="36"/>
      <c r="K168" s="36"/>
      <c r="L168" s="36"/>
      <c r="M168" s="36"/>
      <c r="N168" s="36"/>
      <c r="O168" s="36"/>
      <c r="P168" s="36"/>
      <c r="Q168" s="36"/>
      <c r="R168" s="36"/>
      <c r="S168" s="36"/>
      <c r="T168" s="36"/>
      <c r="U168" s="36"/>
      <c r="V168" s="36"/>
      <c r="W168" s="36"/>
      <c r="X168" s="36"/>
      <c r="Y168" s="36"/>
      <c r="Z168" s="36"/>
    </row>
    <row r="169" ht="15.75" customHeight="1">
      <c r="A169" s="36"/>
      <c r="B169" s="36"/>
      <c r="C169" s="36"/>
      <c r="D169" s="36"/>
      <c r="E169" s="36"/>
      <c r="F169" s="36"/>
      <c r="G169" s="36"/>
      <c r="H169" s="1"/>
      <c r="I169" s="36"/>
      <c r="J169" s="36"/>
      <c r="K169" s="36"/>
      <c r="L169" s="36"/>
      <c r="M169" s="36"/>
      <c r="N169" s="36"/>
      <c r="O169" s="36"/>
      <c r="P169" s="36"/>
      <c r="Q169" s="36"/>
      <c r="R169" s="36"/>
      <c r="S169" s="36"/>
      <c r="T169" s="36"/>
      <c r="U169" s="36"/>
      <c r="V169" s="36"/>
      <c r="W169" s="36"/>
      <c r="X169" s="36"/>
      <c r="Y169" s="36"/>
      <c r="Z169" s="36"/>
    </row>
    <row r="170" ht="15.75" customHeight="1">
      <c r="A170" s="36"/>
      <c r="B170" s="36"/>
      <c r="C170" s="36"/>
      <c r="D170" s="36"/>
      <c r="E170" s="36"/>
      <c r="F170" s="36"/>
      <c r="G170" s="36"/>
      <c r="H170" s="1"/>
      <c r="I170" s="36"/>
      <c r="J170" s="36"/>
      <c r="K170" s="36"/>
      <c r="L170" s="36"/>
      <c r="M170" s="36"/>
      <c r="N170" s="36"/>
      <c r="O170" s="36"/>
      <c r="P170" s="36"/>
      <c r="Q170" s="36"/>
      <c r="R170" s="36"/>
      <c r="S170" s="36"/>
      <c r="T170" s="36"/>
      <c r="U170" s="36"/>
      <c r="V170" s="36"/>
      <c r="W170" s="36"/>
      <c r="X170" s="36"/>
      <c r="Y170" s="36"/>
      <c r="Z170" s="36"/>
    </row>
    <row r="171" ht="15.75" customHeight="1">
      <c r="A171" s="36"/>
      <c r="B171" s="36"/>
      <c r="C171" s="36"/>
      <c r="D171" s="36"/>
      <c r="E171" s="36"/>
      <c r="F171" s="36"/>
      <c r="G171" s="36"/>
      <c r="H171" s="1"/>
      <c r="I171" s="36"/>
      <c r="J171" s="36"/>
      <c r="K171" s="36"/>
      <c r="L171" s="36"/>
      <c r="M171" s="36"/>
      <c r="N171" s="36"/>
      <c r="O171" s="36"/>
      <c r="P171" s="36"/>
      <c r="Q171" s="36"/>
      <c r="R171" s="36"/>
      <c r="S171" s="36"/>
      <c r="T171" s="36"/>
      <c r="U171" s="36"/>
      <c r="V171" s="36"/>
      <c r="W171" s="36"/>
      <c r="X171" s="36"/>
      <c r="Y171" s="36"/>
      <c r="Z171" s="36"/>
    </row>
    <row r="172" ht="15.75" customHeight="1">
      <c r="A172" s="36"/>
      <c r="B172" s="36"/>
      <c r="C172" s="36"/>
      <c r="D172" s="36"/>
      <c r="E172" s="36"/>
      <c r="F172" s="36"/>
      <c r="G172" s="36"/>
      <c r="H172" s="1"/>
      <c r="I172" s="36"/>
      <c r="J172" s="36"/>
      <c r="K172" s="36"/>
      <c r="L172" s="36"/>
      <c r="M172" s="36"/>
      <c r="N172" s="36"/>
      <c r="O172" s="36"/>
      <c r="P172" s="36"/>
      <c r="Q172" s="36"/>
      <c r="R172" s="36"/>
      <c r="S172" s="36"/>
      <c r="T172" s="36"/>
      <c r="U172" s="36"/>
      <c r="V172" s="36"/>
      <c r="W172" s="36"/>
      <c r="X172" s="36"/>
      <c r="Y172" s="36"/>
      <c r="Z172" s="36"/>
    </row>
    <row r="173" ht="15.75" customHeight="1">
      <c r="A173" s="36"/>
      <c r="B173" s="36"/>
      <c r="C173" s="36"/>
      <c r="D173" s="36"/>
      <c r="E173" s="36"/>
      <c r="F173" s="36"/>
      <c r="G173" s="36"/>
      <c r="H173" s="1"/>
      <c r="I173" s="36"/>
      <c r="J173" s="36"/>
      <c r="K173" s="36"/>
      <c r="L173" s="36"/>
      <c r="M173" s="36"/>
      <c r="N173" s="36"/>
      <c r="O173" s="36"/>
      <c r="P173" s="36"/>
      <c r="Q173" s="36"/>
      <c r="R173" s="36"/>
      <c r="S173" s="36"/>
      <c r="T173" s="36"/>
      <c r="U173" s="36"/>
      <c r="V173" s="36"/>
      <c r="W173" s="36"/>
      <c r="X173" s="36"/>
      <c r="Y173" s="36"/>
      <c r="Z173" s="36"/>
    </row>
    <row r="174" ht="15.75" customHeight="1">
      <c r="A174" s="36"/>
      <c r="B174" s="36"/>
      <c r="C174" s="36"/>
      <c r="D174" s="36"/>
      <c r="E174" s="36"/>
      <c r="F174" s="36"/>
      <c r="G174" s="36"/>
      <c r="H174" s="1"/>
      <c r="I174" s="36"/>
      <c r="J174" s="36"/>
      <c r="K174" s="36"/>
      <c r="L174" s="36"/>
      <c r="M174" s="36"/>
      <c r="N174" s="36"/>
      <c r="O174" s="36"/>
      <c r="P174" s="36"/>
      <c r="Q174" s="36"/>
      <c r="R174" s="36"/>
      <c r="S174" s="36"/>
      <c r="T174" s="36"/>
      <c r="U174" s="36"/>
      <c r="V174" s="36"/>
      <c r="W174" s="36"/>
      <c r="X174" s="36"/>
      <c r="Y174" s="36"/>
      <c r="Z174" s="36"/>
    </row>
    <row r="175" ht="15.75" customHeight="1">
      <c r="A175" s="36"/>
      <c r="B175" s="36"/>
      <c r="C175" s="36"/>
      <c r="D175" s="36"/>
      <c r="E175" s="36"/>
      <c r="F175" s="36"/>
      <c r="G175" s="36"/>
      <c r="H175" s="1"/>
      <c r="I175" s="36"/>
      <c r="J175" s="36"/>
      <c r="K175" s="36"/>
      <c r="L175" s="36"/>
      <c r="M175" s="36"/>
      <c r="N175" s="36"/>
      <c r="O175" s="36"/>
      <c r="P175" s="36"/>
      <c r="Q175" s="36"/>
      <c r="R175" s="36"/>
      <c r="S175" s="36"/>
      <c r="T175" s="36"/>
      <c r="U175" s="36"/>
      <c r="V175" s="36"/>
      <c r="W175" s="36"/>
      <c r="X175" s="36"/>
      <c r="Y175" s="36"/>
      <c r="Z175" s="36"/>
    </row>
    <row r="176" ht="15.75" customHeight="1">
      <c r="A176" s="36"/>
      <c r="B176" s="36"/>
      <c r="C176" s="36"/>
      <c r="D176" s="36"/>
      <c r="E176" s="36"/>
      <c r="F176" s="36"/>
      <c r="G176" s="36"/>
      <c r="H176" s="1"/>
      <c r="I176" s="36"/>
      <c r="J176" s="36"/>
      <c r="K176" s="36"/>
      <c r="L176" s="36"/>
      <c r="M176" s="36"/>
      <c r="N176" s="36"/>
      <c r="O176" s="36"/>
      <c r="P176" s="36"/>
      <c r="Q176" s="36"/>
      <c r="R176" s="36"/>
      <c r="S176" s="36"/>
      <c r="T176" s="36"/>
      <c r="U176" s="36"/>
      <c r="V176" s="36"/>
      <c r="W176" s="36"/>
      <c r="X176" s="36"/>
      <c r="Y176" s="36"/>
      <c r="Z176" s="36"/>
    </row>
    <row r="177" ht="15.75" customHeight="1">
      <c r="A177" s="36"/>
      <c r="B177" s="36"/>
      <c r="C177" s="36"/>
      <c r="D177" s="36"/>
      <c r="E177" s="36"/>
      <c r="F177" s="36"/>
      <c r="G177" s="36"/>
      <c r="H177" s="1"/>
      <c r="I177" s="36"/>
      <c r="J177" s="36"/>
      <c r="K177" s="36"/>
      <c r="L177" s="36"/>
      <c r="M177" s="36"/>
      <c r="N177" s="36"/>
      <c r="O177" s="36"/>
      <c r="P177" s="36"/>
      <c r="Q177" s="36"/>
      <c r="R177" s="36"/>
      <c r="S177" s="36"/>
      <c r="T177" s="36"/>
      <c r="U177" s="36"/>
      <c r="V177" s="36"/>
      <c r="W177" s="36"/>
      <c r="X177" s="36"/>
      <c r="Y177" s="36"/>
      <c r="Z177" s="36"/>
    </row>
    <row r="178" ht="15.75" customHeight="1">
      <c r="A178" s="36"/>
      <c r="B178" s="36"/>
      <c r="C178" s="36"/>
      <c r="D178" s="36"/>
      <c r="E178" s="36"/>
      <c r="F178" s="36"/>
      <c r="G178" s="36"/>
      <c r="H178" s="1"/>
      <c r="I178" s="36"/>
      <c r="J178" s="36"/>
      <c r="K178" s="36"/>
      <c r="L178" s="36"/>
      <c r="M178" s="36"/>
      <c r="N178" s="36"/>
      <c r="O178" s="36"/>
      <c r="P178" s="36"/>
      <c r="Q178" s="36"/>
      <c r="R178" s="36"/>
      <c r="S178" s="36"/>
      <c r="T178" s="36"/>
      <c r="U178" s="36"/>
      <c r="V178" s="36"/>
      <c r="W178" s="36"/>
      <c r="X178" s="36"/>
      <c r="Y178" s="36"/>
      <c r="Z178" s="36"/>
    </row>
    <row r="179" ht="15.75" customHeight="1">
      <c r="A179" s="36"/>
      <c r="B179" s="36"/>
      <c r="C179" s="36"/>
      <c r="D179" s="36"/>
      <c r="E179" s="36"/>
      <c r="F179" s="36"/>
      <c r="G179" s="36"/>
      <c r="H179" s="1"/>
      <c r="I179" s="36"/>
      <c r="J179" s="36"/>
      <c r="K179" s="36"/>
      <c r="L179" s="36"/>
      <c r="M179" s="36"/>
      <c r="N179" s="36"/>
      <c r="O179" s="36"/>
      <c r="P179" s="36"/>
      <c r="Q179" s="36"/>
      <c r="R179" s="36"/>
      <c r="S179" s="36"/>
      <c r="T179" s="36"/>
      <c r="U179" s="36"/>
      <c r="V179" s="36"/>
      <c r="W179" s="36"/>
      <c r="X179" s="36"/>
      <c r="Y179" s="36"/>
      <c r="Z179" s="36"/>
    </row>
    <row r="180" ht="15.75" customHeight="1">
      <c r="A180" s="36"/>
      <c r="B180" s="36"/>
      <c r="C180" s="36"/>
      <c r="D180" s="36"/>
      <c r="E180" s="36"/>
      <c r="F180" s="36"/>
      <c r="G180" s="36"/>
      <c r="H180" s="1"/>
      <c r="I180" s="36"/>
      <c r="J180" s="36"/>
      <c r="K180" s="36"/>
      <c r="L180" s="36"/>
      <c r="M180" s="36"/>
      <c r="N180" s="36"/>
      <c r="O180" s="36"/>
      <c r="P180" s="36"/>
      <c r="Q180" s="36"/>
      <c r="R180" s="36"/>
      <c r="S180" s="36"/>
      <c r="T180" s="36"/>
      <c r="U180" s="36"/>
      <c r="V180" s="36"/>
      <c r="W180" s="36"/>
      <c r="X180" s="36"/>
      <c r="Y180" s="36"/>
      <c r="Z180" s="36"/>
    </row>
    <row r="181" ht="15.75" customHeight="1">
      <c r="A181" s="36"/>
      <c r="B181" s="36"/>
      <c r="C181" s="36"/>
      <c r="D181" s="36"/>
      <c r="E181" s="36"/>
      <c r="F181" s="36"/>
      <c r="G181" s="36"/>
      <c r="H181" s="1"/>
      <c r="I181" s="36"/>
      <c r="J181" s="36"/>
      <c r="K181" s="36"/>
      <c r="L181" s="36"/>
      <c r="M181" s="36"/>
      <c r="N181" s="36"/>
      <c r="O181" s="36"/>
      <c r="P181" s="36"/>
      <c r="Q181" s="36"/>
      <c r="R181" s="36"/>
      <c r="S181" s="36"/>
      <c r="T181" s="36"/>
      <c r="U181" s="36"/>
      <c r="V181" s="36"/>
      <c r="W181" s="36"/>
      <c r="X181" s="36"/>
      <c r="Y181" s="36"/>
      <c r="Z181" s="36"/>
    </row>
    <row r="182" ht="15.75" customHeight="1">
      <c r="A182" s="36"/>
      <c r="B182" s="36"/>
      <c r="C182" s="36"/>
      <c r="D182" s="36"/>
      <c r="E182" s="36"/>
      <c r="F182" s="36"/>
      <c r="G182" s="36"/>
      <c r="H182" s="1"/>
      <c r="I182" s="36"/>
      <c r="J182" s="36"/>
      <c r="K182" s="36"/>
      <c r="L182" s="36"/>
      <c r="M182" s="36"/>
      <c r="N182" s="36"/>
      <c r="O182" s="36"/>
      <c r="P182" s="36"/>
      <c r="Q182" s="36"/>
      <c r="R182" s="36"/>
      <c r="S182" s="36"/>
      <c r="T182" s="36"/>
      <c r="U182" s="36"/>
      <c r="V182" s="36"/>
      <c r="W182" s="36"/>
      <c r="X182" s="36"/>
      <c r="Y182" s="36"/>
      <c r="Z182" s="36"/>
    </row>
    <row r="183" ht="15.75" customHeight="1">
      <c r="A183" s="36"/>
      <c r="B183" s="36"/>
      <c r="C183" s="36"/>
      <c r="D183" s="36"/>
      <c r="E183" s="36"/>
      <c r="F183" s="36"/>
      <c r="G183" s="36"/>
      <c r="H183" s="1"/>
      <c r="I183" s="36"/>
      <c r="J183" s="36"/>
      <c r="K183" s="36"/>
      <c r="L183" s="36"/>
      <c r="M183" s="36"/>
      <c r="N183" s="36"/>
      <c r="O183" s="36"/>
      <c r="P183" s="36"/>
      <c r="Q183" s="36"/>
      <c r="R183" s="36"/>
      <c r="S183" s="36"/>
      <c r="T183" s="36"/>
      <c r="U183" s="36"/>
      <c r="V183" s="36"/>
      <c r="W183" s="36"/>
      <c r="X183" s="36"/>
      <c r="Y183" s="36"/>
      <c r="Z183" s="36"/>
    </row>
    <row r="184" ht="15.75" customHeight="1">
      <c r="A184" s="36"/>
      <c r="B184" s="36"/>
      <c r="C184" s="36"/>
      <c r="D184" s="36"/>
      <c r="E184" s="36"/>
      <c r="F184" s="36"/>
      <c r="G184" s="36"/>
      <c r="H184" s="1"/>
      <c r="I184" s="36"/>
      <c r="J184" s="36"/>
      <c r="K184" s="36"/>
      <c r="L184" s="36"/>
      <c r="M184" s="36"/>
      <c r="N184" s="36"/>
      <c r="O184" s="36"/>
      <c r="P184" s="36"/>
      <c r="Q184" s="36"/>
      <c r="R184" s="36"/>
      <c r="S184" s="36"/>
      <c r="T184" s="36"/>
      <c r="U184" s="36"/>
      <c r="V184" s="36"/>
      <c r="W184" s="36"/>
      <c r="X184" s="36"/>
      <c r="Y184" s="36"/>
      <c r="Z184" s="36"/>
    </row>
    <row r="185" ht="15.75" customHeight="1">
      <c r="A185" s="36"/>
      <c r="B185" s="36"/>
      <c r="C185" s="36"/>
      <c r="D185" s="36"/>
      <c r="E185" s="36"/>
      <c r="F185" s="36"/>
      <c r="G185" s="36"/>
      <c r="H185" s="1"/>
      <c r="I185" s="36"/>
      <c r="J185" s="36"/>
      <c r="K185" s="36"/>
      <c r="L185" s="36"/>
      <c r="M185" s="36"/>
      <c r="N185" s="36"/>
      <c r="O185" s="36"/>
      <c r="P185" s="36"/>
      <c r="Q185" s="36"/>
      <c r="R185" s="36"/>
      <c r="S185" s="36"/>
      <c r="T185" s="36"/>
      <c r="U185" s="36"/>
      <c r="V185" s="36"/>
      <c r="W185" s="36"/>
      <c r="X185" s="36"/>
      <c r="Y185" s="36"/>
      <c r="Z185" s="36"/>
    </row>
    <row r="186" ht="15.75" customHeight="1">
      <c r="A186" s="36"/>
      <c r="B186" s="36"/>
      <c r="C186" s="36"/>
      <c r="D186" s="36"/>
      <c r="E186" s="36"/>
      <c r="F186" s="36"/>
      <c r="G186" s="36"/>
      <c r="H186" s="1"/>
      <c r="I186" s="36"/>
      <c r="J186" s="36"/>
      <c r="K186" s="36"/>
      <c r="L186" s="36"/>
      <c r="M186" s="36"/>
      <c r="N186" s="36"/>
      <c r="O186" s="36"/>
      <c r="P186" s="36"/>
      <c r="Q186" s="36"/>
      <c r="R186" s="36"/>
      <c r="S186" s="36"/>
      <c r="T186" s="36"/>
      <c r="U186" s="36"/>
      <c r="V186" s="36"/>
      <c r="W186" s="36"/>
      <c r="X186" s="36"/>
      <c r="Y186" s="36"/>
      <c r="Z186" s="36"/>
    </row>
    <row r="187" ht="15.75" customHeight="1">
      <c r="H187" s="1"/>
    </row>
    <row r="188" ht="15.75" customHeight="1">
      <c r="H188" s="1"/>
    </row>
    <row r="189" ht="15.75" customHeight="1">
      <c r="H189" s="1"/>
    </row>
    <row r="190" ht="15.75" customHeight="1">
      <c r="H190" s="1"/>
    </row>
    <row r="191" ht="15.75" customHeight="1">
      <c r="H191" s="1"/>
    </row>
    <row r="192" ht="15.75" customHeight="1">
      <c r="H192" s="1"/>
    </row>
    <row r="193" ht="15.75" customHeight="1">
      <c r="H193" s="1"/>
    </row>
    <row r="194" ht="15.75" customHeight="1">
      <c r="H194" s="1"/>
    </row>
    <row r="195" ht="15.75" customHeight="1">
      <c r="H195" s="1"/>
    </row>
    <row r="196" ht="15.75" customHeight="1">
      <c r="H196" s="1"/>
    </row>
    <row r="197" ht="15.75" customHeight="1">
      <c r="H197" s="1"/>
    </row>
    <row r="198" ht="15.75" customHeight="1">
      <c r="H198" s="1"/>
    </row>
    <row r="199" ht="15.75" customHeight="1">
      <c r="H199" s="1"/>
    </row>
    <row r="200" ht="15.75" customHeight="1">
      <c r="H200" s="1"/>
    </row>
    <row r="201" ht="15.75" customHeight="1">
      <c r="H201" s="1"/>
    </row>
    <row r="202" ht="15.75" customHeight="1">
      <c r="H202" s="1"/>
    </row>
    <row r="203" ht="15.75" customHeight="1">
      <c r="H203" s="1"/>
    </row>
    <row r="204" ht="15.75" customHeight="1">
      <c r="H204" s="1"/>
    </row>
    <row r="205" ht="15.75" customHeight="1">
      <c r="H205" s="1"/>
    </row>
    <row r="206" ht="15.75" customHeight="1">
      <c r="H206" s="1"/>
    </row>
    <row r="207" ht="15.75" customHeight="1">
      <c r="H207" s="1"/>
    </row>
    <row r="208" ht="15.75" customHeight="1">
      <c r="H208" s="1"/>
    </row>
    <row r="209" ht="15.75" customHeight="1">
      <c r="H209" s="1"/>
    </row>
    <row r="210" ht="15.75" customHeight="1">
      <c r="H210" s="1"/>
    </row>
    <row r="211" ht="15.75" customHeight="1">
      <c r="H211" s="1"/>
    </row>
    <row r="212" ht="15.75" customHeight="1">
      <c r="H212" s="1"/>
    </row>
    <row r="213" ht="15.75" customHeight="1">
      <c r="H213" s="1"/>
    </row>
    <row r="214" ht="15.75" customHeight="1">
      <c r="H214" s="1"/>
    </row>
    <row r="215" ht="15.75" customHeight="1">
      <c r="H215" s="1"/>
    </row>
    <row r="216" ht="15.75" customHeight="1">
      <c r="H216" s="1"/>
    </row>
    <row r="217" ht="15.75" customHeight="1">
      <c r="H217" s="1"/>
    </row>
    <row r="218" ht="15.75" customHeight="1">
      <c r="H218" s="1"/>
    </row>
    <row r="219" ht="15.75" customHeight="1">
      <c r="H219" s="1"/>
    </row>
    <row r="220" ht="15.75" customHeight="1">
      <c r="H220" s="1"/>
    </row>
    <row r="221" ht="15.75" customHeight="1">
      <c r="H221" s="1"/>
    </row>
    <row r="222" ht="15.75" customHeight="1">
      <c r="H222" s="1"/>
    </row>
    <row r="223" ht="15.75" customHeight="1">
      <c r="H223" s="1"/>
    </row>
    <row r="224" ht="15.75" customHeight="1">
      <c r="H224" s="1"/>
    </row>
    <row r="225" ht="15.75" customHeight="1">
      <c r="H225" s="1"/>
    </row>
    <row r="226" ht="15.75" customHeight="1">
      <c r="H226" s="1"/>
    </row>
    <row r="227" ht="15.75" customHeight="1">
      <c r="H227" s="1"/>
    </row>
    <row r="228" ht="15.75" customHeight="1">
      <c r="H228" s="1"/>
    </row>
    <row r="229" ht="15.75" customHeight="1">
      <c r="H229" s="1"/>
    </row>
    <row r="230" ht="15.75" customHeight="1">
      <c r="H230" s="1"/>
    </row>
    <row r="231" ht="15.75" customHeight="1">
      <c r="H231" s="1"/>
    </row>
    <row r="232" ht="15.75" customHeight="1">
      <c r="H232" s="1"/>
    </row>
    <row r="233" ht="15.75" customHeight="1">
      <c r="H233" s="1"/>
    </row>
    <row r="234" ht="15.75" customHeight="1">
      <c r="H234" s="1"/>
    </row>
    <row r="235" ht="15.75" customHeight="1">
      <c r="H235" s="1"/>
    </row>
    <row r="236" ht="15.75" customHeight="1">
      <c r="H236" s="1"/>
    </row>
    <row r="237" ht="15.75" customHeight="1">
      <c r="H237" s="1"/>
    </row>
    <row r="238" ht="15.75" customHeight="1">
      <c r="H238" s="1"/>
    </row>
    <row r="239" ht="15.75" customHeight="1">
      <c r="H239" s="1"/>
    </row>
    <row r="240" ht="15.75" customHeight="1">
      <c r="H240" s="1"/>
    </row>
    <row r="241" ht="15.75" customHeight="1">
      <c r="H241" s="1"/>
    </row>
    <row r="242" ht="15.75" customHeight="1">
      <c r="H242" s="1"/>
    </row>
    <row r="243" ht="15.75" customHeight="1">
      <c r="H243" s="1"/>
    </row>
    <row r="244" ht="15.75" customHeight="1">
      <c r="H244" s="1"/>
    </row>
    <row r="245" ht="15.75" customHeight="1">
      <c r="H245" s="1"/>
    </row>
    <row r="246" ht="15.75" customHeight="1">
      <c r="H246" s="1"/>
    </row>
    <row r="247" ht="15.75" customHeight="1">
      <c r="H247" s="1"/>
    </row>
    <row r="248" ht="15.75" customHeight="1">
      <c r="H248" s="1"/>
    </row>
    <row r="249" ht="15.75" customHeight="1">
      <c r="H249" s="1"/>
    </row>
    <row r="250" ht="15.75" customHeight="1">
      <c r="H250" s="1"/>
    </row>
    <row r="251" ht="15.75" customHeight="1">
      <c r="H251" s="1"/>
    </row>
    <row r="252" ht="15.75" customHeight="1">
      <c r="H252" s="1"/>
    </row>
    <row r="253" ht="15.75" customHeight="1">
      <c r="H253" s="1"/>
    </row>
    <row r="254" ht="15.75" customHeight="1">
      <c r="H254" s="1"/>
    </row>
    <row r="255" ht="15.75" customHeight="1">
      <c r="H255" s="1"/>
    </row>
    <row r="256" ht="15.75" customHeight="1">
      <c r="H256" s="1"/>
    </row>
    <row r="257" ht="15.75" customHeight="1">
      <c r="H257" s="1"/>
    </row>
    <row r="258" ht="15.75" customHeight="1">
      <c r="H258" s="1"/>
    </row>
    <row r="259" ht="15.75" customHeight="1">
      <c r="H259" s="1"/>
    </row>
    <row r="260" ht="15.75" customHeight="1">
      <c r="H260" s="1"/>
    </row>
    <row r="261" ht="15.75" customHeight="1">
      <c r="H261" s="1"/>
    </row>
    <row r="262" ht="15.75" customHeight="1">
      <c r="H262" s="1"/>
    </row>
    <row r="263" ht="15.75" customHeight="1">
      <c r="H263" s="1"/>
    </row>
    <row r="264" ht="15.75" customHeight="1">
      <c r="H264" s="1"/>
    </row>
    <row r="265" ht="15.75" customHeight="1">
      <c r="H265" s="1"/>
    </row>
    <row r="266" ht="15.75" customHeight="1">
      <c r="H266" s="1"/>
    </row>
    <row r="267" ht="15.75" customHeight="1">
      <c r="H267" s="1"/>
    </row>
    <row r="268" ht="15.75" customHeight="1">
      <c r="H268" s="1"/>
    </row>
    <row r="269" ht="15.75" customHeight="1">
      <c r="H269" s="1"/>
    </row>
    <row r="270" ht="15.75" customHeight="1">
      <c r="H270" s="1"/>
    </row>
    <row r="271" ht="15.75" customHeight="1">
      <c r="H271" s="1"/>
    </row>
    <row r="272" ht="15.75" customHeight="1">
      <c r="H272" s="1"/>
    </row>
    <row r="273" ht="15.75" customHeight="1">
      <c r="H273" s="1"/>
    </row>
    <row r="274" ht="15.75" customHeight="1">
      <c r="H274" s="1"/>
    </row>
    <row r="275" ht="15.75" customHeight="1">
      <c r="H275" s="1"/>
    </row>
    <row r="276" ht="15.75" customHeight="1">
      <c r="H276" s="1"/>
    </row>
    <row r="277" ht="15.75" customHeight="1">
      <c r="H277" s="1"/>
    </row>
    <row r="278" ht="15.75" customHeight="1">
      <c r="H278" s="1"/>
    </row>
    <row r="279" ht="15.75" customHeight="1">
      <c r="H279" s="1"/>
    </row>
    <row r="280" ht="15.75" customHeight="1">
      <c r="H280" s="1"/>
    </row>
    <row r="281" ht="15.75" customHeight="1">
      <c r="H281" s="1"/>
    </row>
    <row r="282" ht="15.75" customHeight="1">
      <c r="H282" s="1"/>
    </row>
    <row r="283" ht="15.75" customHeight="1">
      <c r="H283" s="1"/>
    </row>
    <row r="284" ht="15.75" customHeight="1">
      <c r="H284" s="1"/>
    </row>
    <row r="285" ht="15.75" customHeight="1">
      <c r="H285" s="1"/>
    </row>
    <row r="286" ht="15.75" customHeight="1">
      <c r="H286" s="1"/>
    </row>
    <row r="287" ht="15.75" customHeight="1">
      <c r="H287" s="1"/>
    </row>
    <row r="288" ht="15.75" customHeight="1">
      <c r="H288" s="1"/>
    </row>
    <row r="289" ht="15.75" customHeight="1">
      <c r="H289" s="1"/>
    </row>
    <row r="290" ht="15.75" customHeight="1">
      <c r="H290" s="1"/>
    </row>
    <row r="291" ht="15.75" customHeight="1">
      <c r="H291" s="1"/>
    </row>
    <row r="292" ht="15.75" customHeight="1">
      <c r="H292" s="1"/>
    </row>
    <row r="293" ht="15.75" customHeight="1">
      <c r="H293" s="1"/>
    </row>
    <row r="294" ht="15.75" customHeight="1">
      <c r="H294" s="1"/>
    </row>
    <row r="295" ht="15.75" customHeight="1">
      <c r="H295" s="1"/>
    </row>
    <row r="296" ht="15.75" customHeight="1">
      <c r="H296" s="1"/>
    </row>
    <row r="297" ht="15.75" customHeight="1">
      <c r="H297" s="1"/>
    </row>
    <row r="298" ht="15.75" customHeight="1">
      <c r="H298" s="1"/>
    </row>
    <row r="299" ht="15.75" customHeight="1">
      <c r="H299" s="1"/>
    </row>
    <row r="300" ht="15.75" customHeight="1">
      <c r="H300" s="1"/>
    </row>
    <row r="301" ht="15.75" customHeight="1">
      <c r="H301" s="1"/>
    </row>
    <row r="302" ht="15.75" customHeight="1">
      <c r="H302" s="1"/>
    </row>
    <row r="303" ht="15.75" customHeight="1">
      <c r="H303" s="1"/>
    </row>
    <row r="304" ht="15.75" customHeight="1">
      <c r="H304" s="1"/>
    </row>
    <row r="305" ht="15.75" customHeight="1">
      <c r="H305" s="1"/>
    </row>
    <row r="306" ht="15.75" customHeight="1">
      <c r="H306" s="1"/>
    </row>
    <row r="307" ht="15.75" customHeight="1">
      <c r="H307" s="1"/>
    </row>
    <row r="308" ht="15.75" customHeight="1">
      <c r="H308" s="1"/>
    </row>
    <row r="309" ht="15.75" customHeight="1">
      <c r="H309" s="1"/>
    </row>
    <row r="310" ht="15.75" customHeight="1">
      <c r="H310" s="1"/>
    </row>
    <row r="311" ht="15.75" customHeight="1">
      <c r="H311" s="1"/>
    </row>
    <row r="312" ht="15.75" customHeight="1">
      <c r="H312" s="1"/>
    </row>
    <row r="313" ht="15.75" customHeight="1">
      <c r="H313" s="1"/>
    </row>
    <row r="314" ht="15.75" customHeight="1">
      <c r="H314" s="1"/>
    </row>
    <row r="315" ht="15.75" customHeight="1">
      <c r="H315" s="1"/>
    </row>
    <row r="316" ht="15.75" customHeight="1">
      <c r="H316" s="1"/>
    </row>
    <row r="317" ht="15.75" customHeight="1">
      <c r="H317" s="1"/>
    </row>
    <row r="318" ht="15.75" customHeight="1">
      <c r="H318" s="1"/>
    </row>
    <row r="319" ht="15.75" customHeight="1">
      <c r="H319" s="1"/>
    </row>
    <row r="320" ht="15.75" customHeight="1">
      <c r="H320" s="1"/>
    </row>
    <row r="321" ht="15.75" customHeight="1">
      <c r="H321" s="1"/>
    </row>
    <row r="322" ht="15.75" customHeight="1">
      <c r="H322" s="1"/>
    </row>
    <row r="323" ht="15.75" customHeight="1">
      <c r="H323" s="1"/>
    </row>
    <row r="324" ht="15.75" customHeight="1">
      <c r="H324" s="1"/>
    </row>
    <row r="325" ht="15.75" customHeight="1">
      <c r="H325" s="1"/>
    </row>
    <row r="326" ht="15.75" customHeight="1">
      <c r="H326" s="1"/>
    </row>
    <row r="327" ht="15.75" customHeight="1">
      <c r="H327" s="1"/>
    </row>
    <row r="328" ht="15.75" customHeight="1">
      <c r="H328" s="1"/>
    </row>
    <row r="329" ht="15.75" customHeight="1">
      <c r="H329" s="1"/>
    </row>
    <row r="330" ht="15.75" customHeight="1">
      <c r="H330" s="1"/>
    </row>
    <row r="331" ht="15.75" customHeight="1">
      <c r="H331" s="1"/>
    </row>
    <row r="332" ht="15.75" customHeight="1">
      <c r="H332" s="1"/>
    </row>
    <row r="333" ht="15.75" customHeight="1">
      <c r="H333" s="1"/>
    </row>
    <row r="334" ht="15.75" customHeight="1">
      <c r="H334" s="1"/>
    </row>
    <row r="335" ht="15.75" customHeight="1">
      <c r="H335" s="1"/>
    </row>
    <row r="336" ht="15.75" customHeight="1">
      <c r="H336" s="1"/>
    </row>
    <row r="337" ht="15.75" customHeight="1">
      <c r="H337" s="1"/>
    </row>
    <row r="338" ht="15.75" customHeight="1">
      <c r="H338" s="1"/>
    </row>
    <row r="339" ht="15.75" customHeight="1">
      <c r="H339" s="1"/>
    </row>
    <row r="340" ht="15.75" customHeight="1">
      <c r="H340" s="1"/>
    </row>
    <row r="341" ht="15.75" customHeight="1">
      <c r="H341" s="1"/>
    </row>
    <row r="342" ht="15.75" customHeight="1">
      <c r="H342" s="1"/>
    </row>
    <row r="343" ht="15.75" customHeight="1">
      <c r="H343" s="1"/>
    </row>
    <row r="344" ht="15.75" customHeight="1">
      <c r="H344" s="1"/>
    </row>
    <row r="345" ht="15.75" customHeight="1">
      <c r="H345" s="1"/>
    </row>
    <row r="346" ht="15.75" customHeight="1">
      <c r="H346" s="1"/>
    </row>
    <row r="347" ht="15.75" customHeight="1">
      <c r="H347" s="1"/>
    </row>
    <row r="348" ht="15.75" customHeight="1">
      <c r="H348" s="1"/>
    </row>
    <row r="349" ht="15.75" customHeight="1">
      <c r="H349" s="1"/>
    </row>
    <row r="350" ht="15.75" customHeight="1">
      <c r="H350" s="1"/>
    </row>
    <row r="351" ht="15.75" customHeight="1">
      <c r="H351" s="1"/>
    </row>
    <row r="352" ht="15.75" customHeight="1">
      <c r="H352" s="1"/>
    </row>
    <row r="353" ht="15.75" customHeight="1">
      <c r="H353" s="1"/>
    </row>
    <row r="354" ht="15.75" customHeight="1">
      <c r="H354" s="1"/>
    </row>
    <row r="355" ht="15.75" customHeight="1">
      <c r="H355" s="1"/>
    </row>
    <row r="356" ht="15.75" customHeight="1">
      <c r="H356" s="1"/>
    </row>
    <row r="357" ht="15.75" customHeight="1">
      <c r="H357" s="1"/>
    </row>
    <row r="358" ht="15.75" customHeight="1">
      <c r="H358" s="1"/>
    </row>
    <row r="359" ht="15.75" customHeight="1">
      <c r="H359" s="1"/>
    </row>
    <row r="360" ht="15.75" customHeight="1">
      <c r="H360" s="1"/>
    </row>
    <row r="361" ht="15.75" customHeight="1">
      <c r="H361" s="1"/>
    </row>
    <row r="362" ht="15.75" customHeight="1">
      <c r="H362" s="1"/>
    </row>
    <row r="363" ht="15.75" customHeight="1">
      <c r="H363" s="1"/>
    </row>
    <row r="364" ht="15.75" customHeight="1">
      <c r="H364" s="1"/>
    </row>
    <row r="365" ht="15.75" customHeight="1">
      <c r="H365" s="1"/>
    </row>
    <row r="366" ht="15.75" customHeight="1">
      <c r="H366" s="1"/>
    </row>
    <row r="367" ht="15.75" customHeight="1">
      <c r="H367" s="1"/>
    </row>
    <row r="368" ht="15.75" customHeight="1">
      <c r="H368" s="1"/>
    </row>
    <row r="369" ht="15.75" customHeight="1">
      <c r="H369" s="1"/>
    </row>
    <row r="370" ht="15.75" customHeight="1">
      <c r="H370" s="1"/>
    </row>
    <row r="371" ht="15.75" customHeight="1">
      <c r="H371" s="1"/>
    </row>
    <row r="372" ht="15.75" customHeight="1">
      <c r="H372" s="1"/>
    </row>
    <row r="373" ht="15.75" customHeight="1">
      <c r="H373" s="1"/>
    </row>
    <row r="374" ht="15.75" customHeight="1">
      <c r="H374" s="1"/>
    </row>
    <row r="375" ht="15.75" customHeight="1">
      <c r="H375" s="1"/>
    </row>
    <row r="376" ht="15.75" customHeight="1">
      <c r="H376" s="1"/>
    </row>
    <row r="377" ht="15.75" customHeight="1">
      <c r="H377" s="1"/>
    </row>
    <row r="378" ht="15.75" customHeight="1">
      <c r="H378" s="1"/>
    </row>
    <row r="379" ht="15.75" customHeight="1">
      <c r="H379" s="1"/>
    </row>
    <row r="380" ht="15.75" customHeight="1">
      <c r="H380" s="1"/>
    </row>
    <row r="381" ht="15.75" customHeight="1">
      <c r="H381" s="1"/>
    </row>
    <row r="382" ht="15.75" customHeight="1">
      <c r="H382" s="1"/>
    </row>
    <row r="383" ht="15.75" customHeight="1">
      <c r="H383" s="1"/>
    </row>
    <row r="384" ht="15.75" customHeight="1">
      <c r="H384" s="1"/>
    </row>
    <row r="385" ht="15.75" customHeight="1">
      <c r="H385" s="1"/>
    </row>
    <row r="386" ht="15.75" customHeight="1">
      <c r="H386" s="1"/>
    </row>
    <row r="387" ht="15.75" customHeight="1">
      <c r="H387" s="1"/>
    </row>
    <row r="388" ht="15.75" customHeight="1">
      <c r="H388" s="1"/>
    </row>
    <row r="389" ht="15.75" customHeight="1">
      <c r="H389" s="1"/>
    </row>
    <row r="390" ht="15.75" customHeight="1">
      <c r="H390" s="1"/>
    </row>
    <row r="391" ht="15.75" customHeight="1">
      <c r="H391" s="1"/>
    </row>
    <row r="392" ht="15.75" customHeight="1">
      <c r="H392" s="1"/>
    </row>
    <row r="393" ht="15.75" customHeight="1">
      <c r="H393" s="1"/>
    </row>
    <row r="394" ht="15.75" customHeight="1">
      <c r="H394" s="1"/>
    </row>
    <row r="395" ht="15.75" customHeight="1">
      <c r="H395" s="1"/>
    </row>
    <row r="396" ht="15.75" customHeight="1">
      <c r="H396" s="1"/>
    </row>
    <row r="397" ht="15.75" customHeight="1">
      <c r="H397" s="1"/>
    </row>
    <row r="398" ht="15.75" customHeight="1">
      <c r="H398" s="1"/>
    </row>
    <row r="399" ht="15.75" customHeight="1">
      <c r="H399" s="1"/>
    </row>
    <row r="400" ht="15.75" customHeight="1">
      <c r="H400" s="1"/>
    </row>
    <row r="401" ht="15.75" customHeight="1">
      <c r="H401" s="1"/>
    </row>
    <row r="402" ht="15.75" customHeight="1">
      <c r="H402" s="1"/>
    </row>
    <row r="403" ht="15.75" customHeight="1">
      <c r="H403" s="1"/>
    </row>
    <row r="404" ht="15.75" customHeight="1">
      <c r="H404" s="1"/>
    </row>
    <row r="405" ht="15.75" customHeight="1">
      <c r="H405" s="1"/>
    </row>
    <row r="406" ht="15.75" customHeight="1">
      <c r="H406" s="1"/>
    </row>
    <row r="407" ht="15.75" customHeight="1">
      <c r="H407" s="1"/>
    </row>
    <row r="408" ht="15.75" customHeight="1">
      <c r="H408" s="1"/>
    </row>
    <row r="409" ht="15.75" customHeight="1">
      <c r="H409" s="1"/>
    </row>
    <row r="410" ht="15.75" customHeight="1">
      <c r="H410" s="1"/>
    </row>
    <row r="411" ht="15.75" customHeight="1">
      <c r="H411" s="1"/>
    </row>
    <row r="412" ht="15.75" customHeight="1">
      <c r="H412" s="1"/>
    </row>
    <row r="413" ht="15.75" customHeight="1">
      <c r="H413" s="1"/>
    </row>
    <row r="414" ht="15.75" customHeight="1">
      <c r="H414" s="1"/>
    </row>
    <row r="415" ht="15.75" customHeight="1">
      <c r="H415" s="1"/>
    </row>
    <row r="416" ht="15.75" customHeight="1">
      <c r="H416" s="1"/>
    </row>
    <row r="417" ht="15.75" customHeight="1">
      <c r="H417" s="1"/>
    </row>
    <row r="418" ht="15.75" customHeight="1">
      <c r="H418" s="1"/>
    </row>
    <row r="419" ht="15.75" customHeight="1">
      <c r="H419" s="1"/>
    </row>
    <row r="420" ht="15.75" customHeight="1">
      <c r="H420" s="1"/>
    </row>
    <row r="421" ht="15.75" customHeight="1">
      <c r="H421" s="1"/>
    </row>
    <row r="422" ht="15.75" customHeight="1">
      <c r="H422" s="1"/>
    </row>
    <row r="423" ht="15.75" customHeight="1">
      <c r="H423" s="1"/>
    </row>
    <row r="424" ht="15.75" customHeight="1">
      <c r="H424" s="1"/>
    </row>
    <row r="425" ht="15.75" customHeight="1">
      <c r="H425" s="1"/>
    </row>
    <row r="426" ht="15.75" customHeight="1">
      <c r="H426" s="1"/>
    </row>
    <row r="427" ht="15.75" customHeight="1">
      <c r="H427" s="1"/>
    </row>
    <row r="428" ht="15.75" customHeight="1">
      <c r="H428" s="1"/>
    </row>
    <row r="429" ht="15.75" customHeight="1">
      <c r="H429" s="1"/>
    </row>
    <row r="430" ht="15.75" customHeight="1">
      <c r="H430" s="1"/>
    </row>
    <row r="431" ht="15.75" customHeight="1">
      <c r="H431" s="1"/>
    </row>
    <row r="432" ht="15.75" customHeight="1">
      <c r="H432" s="1"/>
    </row>
    <row r="433" ht="15.75" customHeight="1">
      <c r="H433" s="1"/>
    </row>
    <row r="434" ht="15.75" customHeight="1">
      <c r="H434" s="1"/>
    </row>
    <row r="435" ht="15.75" customHeight="1">
      <c r="H435" s="1"/>
    </row>
    <row r="436" ht="15.75" customHeight="1">
      <c r="H436" s="1"/>
    </row>
    <row r="437" ht="15.75" customHeight="1">
      <c r="H437" s="1"/>
    </row>
    <row r="438" ht="15.75" customHeight="1">
      <c r="H438" s="1"/>
    </row>
    <row r="439" ht="15.75" customHeight="1">
      <c r="H439" s="1"/>
    </row>
    <row r="440" ht="15.75" customHeight="1">
      <c r="H440" s="1"/>
    </row>
    <row r="441" ht="15.75" customHeight="1">
      <c r="H441" s="1"/>
    </row>
    <row r="442" ht="15.75" customHeight="1">
      <c r="H442" s="1"/>
    </row>
    <row r="443" ht="15.75" customHeight="1">
      <c r="H443" s="1"/>
    </row>
    <row r="444" ht="15.75" customHeight="1">
      <c r="H444" s="1"/>
    </row>
    <row r="445" ht="15.75" customHeight="1">
      <c r="H445" s="1"/>
    </row>
    <row r="446" ht="15.75" customHeight="1">
      <c r="H446" s="1"/>
    </row>
    <row r="447" ht="15.75" customHeight="1">
      <c r="H447" s="1"/>
    </row>
    <row r="448" ht="15.75" customHeight="1">
      <c r="H448" s="1"/>
    </row>
    <row r="449" ht="15.75" customHeight="1">
      <c r="H449" s="1"/>
    </row>
    <row r="450" ht="15.75" customHeight="1">
      <c r="H450" s="1"/>
    </row>
    <row r="451" ht="15.75" customHeight="1">
      <c r="H451" s="1"/>
    </row>
    <row r="452" ht="15.75" customHeight="1">
      <c r="H452" s="1"/>
    </row>
    <row r="453" ht="15.75" customHeight="1">
      <c r="H453" s="1"/>
    </row>
    <row r="454" ht="15.75" customHeight="1">
      <c r="H454" s="1"/>
    </row>
    <row r="455" ht="15.75" customHeight="1">
      <c r="H455" s="1"/>
    </row>
    <row r="456" ht="15.75" customHeight="1">
      <c r="H456" s="1"/>
    </row>
    <row r="457" ht="15.75" customHeight="1">
      <c r="H457" s="1"/>
    </row>
    <row r="458" ht="15.75" customHeight="1">
      <c r="H458" s="1"/>
    </row>
    <row r="459" ht="15.75" customHeight="1">
      <c r="H459" s="1"/>
    </row>
    <row r="460" ht="15.75" customHeight="1">
      <c r="H460" s="1"/>
    </row>
    <row r="461" ht="15.75" customHeight="1">
      <c r="H461" s="1"/>
    </row>
    <row r="462" ht="15.75" customHeight="1">
      <c r="H462" s="1"/>
    </row>
    <row r="463" ht="15.75" customHeight="1">
      <c r="H463" s="1"/>
    </row>
    <row r="464" ht="15.75" customHeight="1">
      <c r="H464" s="1"/>
    </row>
    <row r="465" ht="15.75" customHeight="1">
      <c r="H465" s="1"/>
    </row>
    <row r="466" ht="15.75" customHeight="1">
      <c r="H466" s="1"/>
    </row>
    <row r="467" ht="15.75" customHeight="1">
      <c r="H467" s="1"/>
    </row>
    <row r="468" ht="15.75" customHeight="1">
      <c r="H468" s="1"/>
    </row>
    <row r="469" ht="15.75" customHeight="1">
      <c r="H469" s="1"/>
    </row>
    <row r="470" ht="15.75" customHeight="1">
      <c r="H470" s="1"/>
    </row>
    <row r="471" ht="15.75" customHeight="1">
      <c r="H471" s="1"/>
    </row>
    <row r="472" ht="15.75" customHeight="1">
      <c r="H472" s="1"/>
    </row>
    <row r="473" ht="15.75" customHeight="1">
      <c r="H473" s="1"/>
    </row>
    <row r="474" ht="15.75" customHeight="1">
      <c r="H474" s="1"/>
    </row>
    <row r="475" ht="15.75" customHeight="1">
      <c r="H475" s="1"/>
    </row>
    <row r="476" ht="15.75" customHeight="1">
      <c r="H476" s="1"/>
    </row>
    <row r="477" ht="15.75" customHeight="1">
      <c r="H477" s="1"/>
    </row>
    <row r="478" ht="15.75" customHeight="1">
      <c r="H478" s="1"/>
    </row>
    <row r="479" ht="15.75" customHeight="1">
      <c r="H479" s="1"/>
    </row>
    <row r="480" ht="15.75" customHeight="1">
      <c r="H480" s="1"/>
    </row>
    <row r="481" ht="15.75" customHeight="1">
      <c r="H481" s="1"/>
    </row>
    <row r="482" ht="15.75" customHeight="1">
      <c r="H482" s="1"/>
    </row>
    <row r="483" ht="15.75" customHeight="1">
      <c r="H483" s="1"/>
    </row>
    <row r="484" ht="15.75" customHeight="1">
      <c r="H484" s="1"/>
    </row>
    <row r="485" ht="15.75" customHeight="1">
      <c r="H485" s="1"/>
    </row>
    <row r="486" ht="15.75" customHeight="1">
      <c r="H486" s="1"/>
    </row>
    <row r="487" ht="15.75" customHeight="1">
      <c r="H487" s="1"/>
    </row>
    <row r="488" ht="15.75" customHeight="1">
      <c r="H488" s="1"/>
    </row>
    <row r="489" ht="15.75" customHeight="1">
      <c r="H489" s="1"/>
    </row>
    <row r="490" ht="15.75" customHeight="1">
      <c r="H490" s="1"/>
    </row>
    <row r="491" ht="15.75" customHeight="1">
      <c r="H491" s="1"/>
    </row>
    <row r="492" ht="15.75" customHeight="1">
      <c r="H492" s="1"/>
    </row>
    <row r="493" ht="15.75" customHeight="1">
      <c r="H493" s="1"/>
    </row>
    <row r="494" ht="15.75" customHeight="1">
      <c r="H494" s="1"/>
    </row>
    <row r="495" ht="15.75" customHeight="1">
      <c r="H495" s="1"/>
    </row>
    <row r="496" ht="15.75" customHeight="1">
      <c r="H496" s="1"/>
    </row>
    <row r="497" ht="15.75" customHeight="1">
      <c r="H497" s="1"/>
    </row>
    <row r="498" ht="15.75" customHeight="1">
      <c r="H498" s="1"/>
    </row>
    <row r="499" ht="15.75" customHeight="1">
      <c r="H499" s="1"/>
    </row>
    <row r="500" ht="15.75" customHeight="1">
      <c r="H500" s="1"/>
    </row>
    <row r="501" ht="15.75" customHeight="1">
      <c r="H501" s="1"/>
    </row>
    <row r="502" ht="15.75" customHeight="1">
      <c r="H502" s="1"/>
    </row>
    <row r="503" ht="15.75" customHeight="1">
      <c r="H503" s="1"/>
    </row>
    <row r="504" ht="15.75" customHeight="1">
      <c r="H504" s="1"/>
    </row>
    <row r="505" ht="15.75" customHeight="1">
      <c r="H505" s="1"/>
    </row>
    <row r="506" ht="15.75" customHeight="1">
      <c r="H506" s="1"/>
    </row>
    <row r="507" ht="15.75" customHeight="1">
      <c r="H507" s="1"/>
    </row>
    <row r="508" ht="15.75" customHeight="1">
      <c r="H508" s="1"/>
    </row>
    <row r="509" ht="15.75" customHeight="1">
      <c r="H509" s="1"/>
    </row>
    <row r="510" ht="15.75" customHeight="1">
      <c r="H510" s="1"/>
    </row>
    <row r="511" ht="15.75" customHeight="1">
      <c r="H511" s="1"/>
    </row>
    <row r="512" ht="15.75" customHeight="1">
      <c r="H512" s="1"/>
    </row>
    <row r="513" ht="15.75" customHeight="1">
      <c r="H513" s="1"/>
    </row>
    <row r="514" ht="15.75" customHeight="1">
      <c r="H514" s="1"/>
    </row>
    <row r="515" ht="15.75" customHeight="1">
      <c r="H515" s="1"/>
    </row>
    <row r="516" ht="15.75" customHeight="1">
      <c r="H516" s="1"/>
    </row>
    <row r="517" ht="15.75" customHeight="1">
      <c r="H517" s="1"/>
    </row>
    <row r="518" ht="15.75" customHeight="1">
      <c r="H518" s="1"/>
    </row>
    <row r="519" ht="15.75" customHeight="1">
      <c r="H519" s="1"/>
    </row>
    <row r="520" ht="15.75" customHeight="1">
      <c r="H520" s="1"/>
    </row>
    <row r="521" ht="15.75" customHeight="1">
      <c r="H521" s="1"/>
    </row>
    <row r="522" ht="15.75" customHeight="1">
      <c r="H522" s="1"/>
    </row>
    <row r="523" ht="15.75" customHeight="1">
      <c r="H523" s="1"/>
    </row>
    <row r="524" ht="15.75" customHeight="1">
      <c r="H524" s="1"/>
    </row>
    <row r="525" ht="15.75" customHeight="1">
      <c r="H525" s="1"/>
    </row>
    <row r="526" ht="15.75" customHeight="1">
      <c r="H526" s="1"/>
    </row>
    <row r="527" ht="15.75" customHeight="1">
      <c r="H527" s="1"/>
    </row>
    <row r="528" ht="15.75" customHeight="1">
      <c r="H528" s="1"/>
    </row>
    <row r="529" ht="15.75" customHeight="1">
      <c r="H529" s="1"/>
    </row>
    <row r="530" ht="15.75" customHeight="1">
      <c r="H530" s="1"/>
    </row>
    <row r="531" ht="15.75" customHeight="1">
      <c r="H531" s="1"/>
    </row>
    <row r="532" ht="15.75" customHeight="1">
      <c r="H532" s="1"/>
    </row>
    <row r="533" ht="15.75" customHeight="1">
      <c r="H533" s="1"/>
    </row>
    <row r="534" ht="15.75" customHeight="1">
      <c r="H534" s="1"/>
    </row>
    <row r="535" ht="15.75" customHeight="1">
      <c r="H535" s="1"/>
    </row>
    <row r="536" ht="15.75" customHeight="1">
      <c r="H536" s="1"/>
    </row>
    <row r="537" ht="15.75" customHeight="1">
      <c r="H537" s="1"/>
    </row>
    <row r="538" ht="15.75" customHeight="1">
      <c r="H538" s="1"/>
    </row>
    <row r="539" ht="15.75" customHeight="1">
      <c r="H539" s="1"/>
    </row>
    <row r="540" ht="15.75" customHeight="1">
      <c r="H540" s="1"/>
    </row>
    <row r="541" ht="15.75" customHeight="1">
      <c r="H541" s="1"/>
    </row>
    <row r="542" ht="15.75" customHeight="1">
      <c r="H542" s="1"/>
    </row>
    <row r="543" ht="15.75" customHeight="1">
      <c r="H543" s="1"/>
    </row>
    <row r="544" ht="15.75" customHeight="1">
      <c r="H544" s="1"/>
    </row>
    <row r="545" ht="15.75" customHeight="1">
      <c r="H545" s="1"/>
    </row>
    <row r="546" ht="15.75" customHeight="1">
      <c r="H546" s="1"/>
    </row>
    <row r="547" ht="15.75" customHeight="1">
      <c r="H547" s="1"/>
    </row>
    <row r="548" ht="15.75" customHeight="1">
      <c r="H548" s="1"/>
    </row>
    <row r="549" ht="15.75" customHeight="1">
      <c r="H549" s="1"/>
    </row>
    <row r="550" ht="15.75" customHeight="1">
      <c r="H550" s="1"/>
    </row>
    <row r="551" ht="15.75" customHeight="1">
      <c r="H551" s="1"/>
    </row>
    <row r="552" ht="15.75" customHeight="1">
      <c r="H552" s="1"/>
    </row>
    <row r="553" ht="15.75" customHeight="1">
      <c r="H553" s="1"/>
    </row>
    <row r="554" ht="15.75" customHeight="1">
      <c r="H554" s="1"/>
    </row>
    <row r="555" ht="15.75" customHeight="1">
      <c r="H555" s="1"/>
    </row>
    <row r="556" ht="15.75" customHeight="1">
      <c r="H556" s="1"/>
    </row>
    <row r="557" ht="15.75" customHeight="1">
      <c r="H557" s="1"/>
    </row>
    <row r="558" ht="15.75" customHeight="1">
      <c r="H558" s="1"/>
    </row>
    <row r="559" ht="15.75" customHeight="1">
      <c r="H559" s="1"/>
    </row>
    <row r="560" ht="15.75" customHeight="1">
      <c r="H560" s="1"/>
    </row>
    <row r="561" ht="15.75" customHeight="1">
      <c r="H561" s="1"/>
    </row>
    <row r="562" ht="15.75" customHeight="1">
      <c r="H562" s="1"/>
    </row>
    <row r="563" ht="15.75" customHeight="1">
      <c r="H563" s="1"/>
    </row>
    <row r="564" ht="15.75" customHeight="1">
      <c r="H564" s="1"/>
    </row>
    <row r="565" ht="15.75" customHeight="1">
      <c r="H565" s="1"/>
    </row>
    <row r="566" ht="15.75" customHeight="1">
      <c r="H566" s="1"/>
    </row>
    <row r="567" ht="15.75" customHeight="1">
      <c r="H567" s="1"/>
    </row>
    <row r="568" ht="15.75" customHeight="1">
      <c r="H568" s="1"/>
    </row>
    <row r="569" ht="15.75" customHeight="1">
      <c r="H569" s="1"/>
    </row>
    <row r="570" ht="15.75" customHeight="1">
      <c r="H570" s="1"/>
    </row>
    <row r="571" ht="15.75" customHeight="1">
      <c r="H571" s="1"/>
    </row>
    <row r="572" ht="15.75" customHeight="1">
      <c r="H572" s="1"/>
    </row>
    <row r="573" ht="15.75" customHeight="1">
      <c r="H573" s="1"/>
    </row>
    <row r="574" ht="15.75" customHeight="1">
      <c r="H574" s="1"/>
    </row>
    <row r="575" ht="15.75" customHeight="1">
      <c r="H575" s="1"/>
    </row>
    <row r="576" ht="15.75" customHeight="1">
      <c r="H576" s="1"/>
    </row>
    <row r="577" ht="15.75" customHeight="1">
      <c r="H577" s="1"/>
    </row>
    <row r="578" ht="15.75" customHeight="1">
      <c r="H578" s="1"/>
    </row>
    <row r="579" ht="15.75" customHeight="1">
      <c r="H579" s="1"/>
    </row>
    <row r="580" ht="15.75" customHeight="1">
      <c r="H580" s="1"/>
    </row>
    <row r="581" ht="15.75" customHeight="1">
      <c r="H581" s="1"/>
    </row>
    <row r="582" ht="15.75" customHeight="1">
      <c r="H582" s="1"/>
    </row>
    <row r="583" ht="15.75" customHeight="1">
      <c r="H583" s="1"/>
    </row>
    <row r="584" ht="15.75" customHeight="1">
      <c r="H584" s="1"/>
    </row>
    <row r="585" ht="15.75" customHeight="1">
      <c r="H585" s="1"/>
    </row>
    <row r="586" ht="15.75" customHeight="1">
      <c r="H586" s="1"/>
    </row>
    <row r="587" ht="15.75" customHeight="1">
      <c r="H587" s="1"/>
    </row>
    <row r="588" ht="15.75" customHeight="1">
      <c r="H588" s="1"/>
    </row>
    <row r="589" ht="15.75" customHeight="1">
      <c r="H589" s="1"/>
    </row>
    <row r="590" ht="15.75" customHeight="1">
      <c r="H590" s="1"/>
    </row>
    <row r="591" ht="15.75" customHeight="1">
      <c r="H591" s="1"/>
    </row>
    <row r="592" ht="15.75" customHeight="1">
      <c r="H592" s="1"/>
    </row>
    <row r="593" ht="15.75" customHeight="1">
      <c r="H593" s="1"/>
    </row>
    <row r="594" ht="15.75" customHeight="1">
      <c r="H594" s="1"/>
    </row>
    <row r="595" ht="15.75" customHeight="1">
      <c r="H595" s="1"/>
    </row>
    <row r="596" ht="15.75" customHeight="1">
      <c r="H596" s="1"/>
    </row>
    <row r="597" ht="15.75" customHeight="1">
      <c r="H597" s="1"/>
    </row>
    <row r="598" ht="15.75" customHeight="1">
      <c r="H598" s="1"/>
    </row>
    <row r="599" ht="15.75" customHeight="1">
      <c r="H599" s="1"/>
    </row>
    <row r="600" ht="15.75" customHeight="1">
      <c r="H600" s="1"/>
    </row>
    <row r="601" ht="15.75" customHeight="1">
      <c r="H601" s="1"/>
    </row>
    <row r="602" ht="15.75" customHeight="1">
      <c r="H602" s="1"/>
    </row>
    <row r="603" ht="15.75" customHeight="1">
      <c r="H603" s="1"/>
    </row>
    <row r="604" ht="15.75" customHeight="1">
      <c r="H604" s="1"/>
    </row>
    <row r="605" ht="15.75" customHeight="1">
      <c r="H605" s="1"/>
    </row>
    <row r="606" ht="15.75" customHeight="1">
      <c r="H606" s="1"/>
    </row>
    <row r="607" ht="15.75" customHeight="1">
      <c r="H607" s="1"/>
    </row>
    <row r="608" ht="15.75" customHeight="1">
      <c r="H608" s="1"/>
    </row>
    <row r="609" ht="15.75" customHeight="1">
      <c r="H609" s="1"/>
    </row>
    <row r="610" ht="15.75" customHeight="1">
      <c r="H610" s="1"/>
    </row>
    <row r="611" ht="15.75" customHeight="1">
      <c r="H611" s="1"/>
    </row>
    <row r="612" ht="15.75" customHeight="1">
      <c r="H612" s="1"/>
    </row>
    <row r="613" ht="15.75" customHeight="1">
      <c r="H613" s="1"/>
    </row>
    <row r="614" ht="15.75" customHeight="1">
      <c r="H614" s="1"/>
    </row>
    <row r="615" ht="15.75" customHeight="1">
      <c r="H615" s="1"/>
    </row>
    <row r="616" ht="15.75" customHeight="1">
      <c r="H616" s="1"/>
    </row>
    <row r="617" ht="15.75" customHeight="1">
      <c r="H617" s="1"/>
    </row>
    <row r="618" ht="15.75" customHeight="1">
      <c r="H618" s="1"/>
    </row>
    <row r="619" ht="15.75" customHeight="1">
      <c r="H619" s="1"/>
    </row>
    <row r="620" ht="15.75" customHeight="1">
      <c r="H620" s="1"/>
    </row>
    <row r="621" ht="15.75" customHeight="1">
      <c r="H621" s="1"/>
    </row>
    <row r="622" ht="15.75" customHeight="1">
      <c r="H622" s="1"/>
    </row>
    <row r="623" ht="15.75" customHeight="1">
      <c r="H623" s="1"/>
    </row>
    <row r="624" ht="15.75" customHeight="1">
      <c r="H624" s="1"/>
    </row>
    <row r="625" ht="15.75" customHeight="1">
      <c r="H625" s="1"/>
    </row>
    <row r="626" ht="15.75" customHeight="1">
      <c r="H626" s="1"/>
    </row>
    <row r="627" ht="15.75" customHeight="1">
      <c r="H627" s="1"/>
    </row>
    <row r="628" ht="15.75" customHeight="1">
      <c r="H628" s="1"/>
    </row>
    <row r="629" ht="15.75" customHeight="1">
      <c r="H629" s="1"/>
    </row>
    <row r="630" ht="15.75" customHeight="1">
      <c r="H630" s="1"/>
    </row>
    <row r="631" ht="15.75" customHeight="1">
      <c r="H631" s="1"/>
    </row>
    <row r="632" ht="15.75" customHeight="1">
      <c r="H632" s="1"/>
    </row>
    <row r="633" ht="15.75" customHeight="1">
      <c r="H633" s="1"/>
    </row>
    <row r="634" ht="15.75" customHeight="1">
      <c r="H634" s="1"/>
    </row>
    <row r="635" ht="15.75" customHeight="1">
      <c r="H635" s="1"/>
    </row>
    <row r="636" ht="15.75" customHeight="1">
      <c r="H636" s="1"/>
    </row>
    <row r="637" ht="15.75" customHeight="1">
      <c r="H637" s="1"/>
    </row>
    <row r="638" ht="15.75" customHeight="1">
      <c r="H638" s="1"/>
    </row>
    <row r="639" ht="15.75" customHeight="1">
      <c r="H639" s="1"/>
    </row>
    <row r="640" ht="15.75" customHeight="1">
      <c r="H640" s="1"/>
    </row>
    <row r="641" ht="15.75" customHeight="1">
      <c r="H641" s="1"/>
    </row>
    <row r="642" ht="15.75" customHeight="1">
      <c r="H642" s="1"/>
    </row>
    <row r="643" ht="15.75" customHeight="1">
      <c r="H643" s="1"/>
    </row>
    <row r="644" ht="15.75" customHeight="1">
      <c r="H644" s="1"/>
    </row>
    <row r="645" ht="15.75" customHeight="1">
      <c r="H645" s="1"/>
    </row>
    <row r="646" ht="15.75" customHeight="1">
      <c r="H646" s="1"/>
    </row>
    <row r="647" ht="15.75" customHeight="1">
      <c r="H647" s="1"/>
    </row>
    <row r="648" ht="15.75" customHeight="1">
      <c r="H648" s="1"/>
    </row>
    <row r="649" ht="15.75" customHeight="1">
      <c r="H649" s="1"/>
    </row>
    <row r="650" ht="15.75" customHeight="1">
      <c r="H650" s="1"/>
    </row>
    <row r="651" ht="15.75" customHeight="1">
      <c r="H651" s="1"/>
    </row>
    <row r="652" ht="15.75" customHeight="1">
      <c r="H652" s="1"/>
    </row>
    <row r="653" ht="15.75" customHeight="1">
      <c r="H653" s="1"/>
    </row>
    <row r="654" ht="15.75" customHeight="1">
      <c r="H654" s="1"/>
    </row>
    <row r="655" ht="15.75" customHeight="1">
      <c r="H655" s="1"/>
    </row>
    <row r="656" ht="15.75" customHeight="1">
      <c r="H656" s="1"/>
    </row>
    <row r="657" ht="15.75" customHeight="1">
      <c r="H657" s="1"/>
    </row>
    <row r="658" ht="15.75" customHeight="1">
      <c r="H658" s="1"/>
    </row>
    <row r="659" ht="15.75" customHeight="1">
      <c r="H659" s="1"/>
    </row>
    <row r="660" ht="15.75" customHeight="1">
      <c r="H660" s="1"/>
    </row>
    <row r="661" ht="15.75" customHeight="1">
      <c r="H661" s="1"/>
    </row>
    <row r="662" ht="15.75" customHeight="1">
      <c r="H662" s="1"/>
    </row>
    <row r="663" ht="15.75" customHeight="1">
      <c r="H663" s="1"/>
    </row>
    <row r="664" ht="15.75" customHeight="1">
      <c r="H664" s="1"/>
    </row>
    <row r="665" ht="15.75" customHeight="1">
      <c r="H665" s="1"/>
    </row>
    <row r="666" ht="15.75" customHeight="1">
      <c r="H666" s="1"/>
    </row>
    <row r="667" ht="15.75" customHeight="1">
      <c r="H667" s="1"/>
    </row>
    <row r="668" ht="15.75" customHeight="1">
      <c r="H668" s="1"/>
    </row>
    <row r="669" ht="15.75" customHeight="1">
      <c r="H669" s="1"/>
    </row>
    <row r="670" ht="15.75" customHeight="1">
      <c r="H670" s="1"/>
    </row>
    <row r="671" ht="15.75" customHeight="1">
      <c r="H671" s="1"/>
    </row>
    <row r="672" ht="15.75" customHeight="1">
      <c r="H672" s="1"/>
    </row>
    <row r="673" ht="15.75" customHeight="1">
      <c r="H673" s="1"/>
    </row>
    <row r="674" ht="15.75" customHeight="1">
      <c r="H674" s="1"/>
    </row>
    <row r="675" ht="15.75" customHeight="1">
      <c r="H675" s="1"/>
    </row>
    <row r="676" ht="15.75" customHeight="1">
      <c r="H676" s="1"/>
    </row>
    <row r="677" ht="15.75" customHeight="1">
      <c r="H677" s="1"/>
    </row>
    <row r="678" ht="15.75" customHeight="1">
      <c r="H678" s="1"/>
    </row>
    <row r="679" ht="15.75" customHeight="1">
      <c r="H679" s="1"/>
    </row>
    <row r="680" ht="15.75" customHeight="1">
      <c r="H680" s="1"/>
    </row>
    <row r="681" ht="15.75" customHeight="1">
      <c r="H681" s="1"/>
    </row>
    <row r="682" ht="15.75" customHeight="1">
      <c r="H682" s="1"/>
    </row>
    <row r="683" ht="15.75" customHeight="1">
      <c r="H683" s="1"/>
    </row>
    <row r="684" ht="15.75" customHeight="1">
      <c r="H684" s="1"/>
    </row>
    <row r="685" ht="15.75" customHeight="1">
      <c r="H685" s="1"/>
    </row>
    <row r="686" ht="15.75" customHeight="1">
      <c r="H686" s="1"/>
    </row>
    <row r="687" ht="15.75" customHeight="1">
      <c r="H687" s="1"/>
    </row>
    <row r="688" ht="15.75" customHeight="1">
      <c r="H688" s="1"/>
    </row>
    <row r="689" ht="15.75" customHeight="1">
      <c r="H689" s="1"/>
    </row>
    <row r="690" ht="15.75" customHeight="1">
      <c r="H690" s="1"/>
    </row>
    <row r="691" ht="15.75" customHeight="1">
      <c r="H691" s="1"/>
    </row>
    <row r="692" ht="15.75" customHeight="1">
      <c r="H692" s="1"/>
    </row>
    <row r="693" ht="15.75" customHeight="1">
      <c r="H693" s="1"/>
    </row>
    <row r="694" ht="15.75" customHeight="1">
      <c r="H694" s="1"/>
    </row>
    <row r="695" ht="15.75" customHeight="1">
      <c r="H695" s="1"/>
    </row>
    <row r="696" ht="15.75" customHeight="1">
      <c r="H696" s="1"/>
    </row>
    <row r="697" ht="15.75" customHeight="1">
      <c r="H697" s="1"/>
    </row>
    <row r="698" ht="15.75" customHeight="1">
      <c r="H698" s="1"/>
    </row>
    <row r="699" ht="15.75" customHeight="1">
      <c r="H699" s="1"/>
    </row>
    <row r="700" ht="15.75" customHeight="1">
      <c r="H700" s="1"/>
    </row>
    <row r="701" ht="15.75" customHeight="1">
      <c r="H701" s="1"/>
    </row>
    <row r="702" ht="15.75" customHeight="1">
      <c r="H702" s="1"/>
    </row>
    <row r="703" ht="15.75" customHeight="1">
      <c r="H703" s="1"/>
    </row>
    <row r="704" ht="15.75" customHeight="1">
      <c r="H704" s="1"/>
    </row>
    <row r="705" ht="15.75" customHeight="1">
      <c r="H705" s="1"/>
    </row>
    <row r="706" ht="15.75" customHeight="1">
      <c r="H706" s="1"/>
    </row>
    <row r="707" ht="15.75" customHeight="1">
      <c r="H707" s="1"/>
    </row>
    <row r="708" ht="15.75" customHeight="1">
      <c r="H708" s="1"/>
    </row>
    <row r="709" ht="15.75" customHeight="1">
      <c r="H709" s="1"/>
    </row>
    <row r="710" ht="15.75" customHeight="1">
      <c r="H710" s="1"/>
    </row>
    <row r="711" ht="15.75" customHeight="1">
      <c r="H711" s="1"/>
    </row>
    <row r="712" ht="15.75" customHeight="1">
      <c r="H712" s="1"/>
    </row>
    <row r="713" ht="15.75" customHeight="1">
      <c r="H713" s="1"/>
    </row>
    <row r="714" ht="15.75" customHeight="1">
      <c r="H714" s="1"/>
    </row>
    <row r="715" ht="15.75" customHeight="1">
      <c r="H715" s="1"/>
    </row>
    <row r="716" ht="15.75" customHeight="1">
      <c r="H716" s="1"/>
    </row>
    <row r="717" ht="15.75" customHeight="1">
      <c r="H717" s="1"/>
    </row>
    <row r="718" ht="15.75" customHeight="1">
      <c r="H718" s="1"/>
    </row>
    <row r="719" ht="15.75" customHeight="1">
      <c r="H719" s="1"/>
    </row>
    <row r="720" ht="15.75" customHeight="1">
      <c r="H720" s="1"/>
    </row>
    <row r="721" ht="15.75" customHeight="1">
      <c r="H721" s="1"/>
    </row>
    <row r="722" ht="15.75" customHeight="1">
      <c r="H722" s="1"/>
    </row>
    <row r="723" ht="15.75" customHeight="1">
      <c r="H723" s="1"/>
    </row>
    <row r="724" ht="15.75" customHeight="1">
      <c r="H724" s="1"/>
    </row>
    <row r="725" ht="15.75" customHeight="1">
      <c r="H725" s="1"/>
    </row>
    <row r="726" ht="15.75" customHeight="1">
      <c r="H726" s="1"/>
    </row>
    <row r="727" ht="15.75" customHeight="1">
      <c r="H727" s="1"/>
    </row>
    <row r="728" ht="15.75" customHeight="1">
      <c r="H728" s="1"/>
    </row>
    <row r="729" ht="15.75" customHeight="1">
      <c r="H729" s="1"/>
    </row>
    <row r="730" ht="15.75" customHeight="1">
      <c r="H730" s="1"/>
    </row>
    <row r="731" ht="15.75" customHeight="1">
      <c r="H731" s="1"/>
    </row>
    <row r="732" ht="15.75" customHeight="1">
      <c r="H732" s="1"/>
    </row>
    <row r="733" ht="15.75" customHeight="1">
      <c r="H733" s="1"/>
    </row>
    <row r="734" ht="15.75" customHeight="1">
      <c r="H734" s="1"/>
    </row>
    <row r="735" ht="15.75" customHeight="1">
      <c r="H735" s="1"/>
    </row>
    <row r="736" ht="15.75" customHeight="1">
      <c r="H736" s="1"/>
    </row>
    <row r="737" ht="15.75" customHeight="1">
      <c r="H737" s="1"/>
    </row>
    <row r="738" ht="15.75" customHeight="1">
      <c r="H738" s="1"/>
    </row>
    <row r="739" ht="15.75" customHeight="1">
      <c r="H739" s="1"/>
    </row>
    <row r="740" ht="15.75" customHeight="1">
      <c r="H740" s="1"/>
    </row>
    <row r="741" ht="15.75" customHeight="1">
      <c r="H741" s="1"/>
    </row>
    <row r="742" ht="15.75" customHeight="1">
      <c r="H742" s="1"/>
    </row>
    <row r="743" ht="15.75" customHeight="1">
      <c r="H743" s="1"/>
    </row>
    <row r="744" ht="15.75" customHeight="1">
      <c r="H744" s="1"/>
    </row>
    <row r="745" ht="15.75" customHeight="1">
      <c r="H745" s="1"/>
    </row>
    <row r="746" ht="15.75" customHeight="1">
      <c r="H746" s="1"/>
    </row>
    <row r="747" ht="15.75" customHeight="1">
      <c r="H747" s="1"/>
    </row>
    <row r="748" ht="15.75" customHeight="1">
      <c r="H748" s="1"/>
    </row>
    <row r="749" ht="15.75" customHeight="1">
      <c r="H749" s="1"/>
    </row>
    <row r="750" ht="15.75" customHeight="1">
      <c r="H750" s="1"/>
    </row>
    <row r="751" ht="15.75" customHeight="1">
      <c r="H751" s="1"/>
    </row>
    <row r="752" ht="15.75" customHeight="1">
      <c r="H752" s="1"/>
    </row>
    <row r="753" ht="15.75" customHeight="1">
      <c r="H753" s="1"/>
    </row>
    <row r="754" ht="15.75" customHeight="1">
      <c r="H754" s="1"/>
    </row>
    <row r="755" ht="15.75" customHeight="1">
      <c r="H755" s="1"/>
    </row>
    <row r="756" ht="15.75" customHeight="1">
      <c r="H756" s="1"/>
    </row>
    <row r="757" ht="15.75" customHeight="1">
      <c r="H757" s="1"/>
    </row>
    <row r="758" ht="15.75" customHeight="1">
      <c r="H758" s="1"/>
    </row>
    <row r="759" ht="15.75" customHeight="1">
      <c r="H759" s="1"/>
    </row>
    <row r="760" ht="15.75" customHeight="1">
      <c r="H760" s="1"/>
    </row>
    <row r="761" ht="15.75" customHeight="1">
      <c r="H761" s="1"/>
    </row>
    <row r="762" ht="15.75" customHeight="1">
      <c r="H762" s="1"/>
    </row>
    <row r="763" ht="15.75" customHeight="1">
      <c r="H763" s="1"/>
    </row>
    <row r="764" ht="15.75" customHeight="1">
      <c r="H764" s="1"/>
    </row>
    <row r="765" ht="15.75" customHeight="1">
      <c r="H765" s="1"/>
    </row>
    <row r="766" ht="15.75" customHeight="1">
      <c r="H766" s="1"/>
    </row>
    <row r="767" ht="15.75" customHeight="1">
      <c r="H767" s="1"/>
    </row>
    <row r="768" ht="15.75" customHeight="1">
      <c r="H768" s="1"/>
    </row>
    <row r="769" ht="15.75" customHeight="1">
      <c r="H769" s="1"/>
    </row>
    <row r="770" ht="15.75" customHeight="1">
      <c r="H770" s="1"/>
    </row>
    <row r="771" ht="15.75" customHeight="1">
      <c r="H771" s="1"/>
    </row>
    <row r="772" ht="15.75" customHeight="1">
      <c r="H772" s="1"/>
    </row>
    <row r="773" ht="15.75" customHeight="1">
      <c r="H773" s="1"/>
    </row>
    <row r="774" ht="15.75" customHeight="1">
      <c r="H774" s="1"/>
    </row>
    <row r="775" ht="15.75" customHeight="1">
      <c r="H775" s="1"/>
    </row>
    <row r="776" ht="15.75" customHeight="1">
      <c r="H776" s="1"/>
    </row>
    <row r="777" ht="15.75" customHeight="1">
      <c r="H777" s="1"/>
    </row>
    <row r="778" ht="15.75" customHeight="1">
      <c r="H778" s="1"/>
    </row>
    <row r="779" ht="15.75" customHeight="1">
      <c r="H779" s="1"/>
    </row>
    <row r="780" ht="15.75" customHeight="1">
      <c r="H780" s="1"/>
    </row>
    <row r="781" ht="15.75" customHeight="1">
      <c r="H781" s="1"/>
    </row>
    <row r="782" ht="15.75" customHeight="1">
      <c r="H782" s="1"/>
    </row>
    <row r="783" ht="15.75" customHeight="1">
      <c r="H783" s="1"/>
    </row>
    <row r="784" ht="15.75" customHeight="1">
      <c r="H784" s="1"/>
    </row>
    <row r="785" ht="15.75" customHeight="1">
      <c r="H785" s="1"/>
    </row>
    <row r="786" ht="15.75" customHeight="1">
      <c r="H786" s="1"/>
    </row>
    <row r="787" ht="15.75" customHeight="1">
      <c r="H787" s="1"/>
    </row>
    <row r="788" ht="15.75" customHeight="1">
      <c r="H788" s="1"/>
    </row>
    <row r="789" ht="15.75" customHeight="1">
      <c r="H789" s="1"/>
    </row>
    <row r="790" ht="15.75" customHeight="1">
      <c r="H790" s="1"/>
    </row>
    <row r="791" ht="15.75" customHeight="1">
      <c r="H791" s="1"/>
    </row>
    <row r="792" ht="15.75" customHeight="1">
      <c r="H792" s="1"/>
    </row>
    <row r="793" ht="15.75" customHeight="1">
      <c r="H793" s="1"/>
    </row>
    <row r="794" ht="15.75" customHeight="1">
      <c r="H794" s="1"/>
    </row>
    <row r="795" ht="15.75" customHeight="1">
      <c r="H795" s="1"/>
    </row>
    <row r="796" ht="15.75" customHeight="1">
      <c r="H796" s="1"/>
    </row>
    <row r="797" ht="15.75" customHeight="1">
      <c r="H797" s="1"/>
    </row>
    <row r="798" ht="15.75" customHeight="1">
      <c r="H798" s="1"/>
    </row>
    <row r="799" ht="15.75" customHeight="1">
      <c r="H799" s="1"/>
    </row>
    <row r="800" ht="15.75" customHeight="1">
      <c r="H800" s="1"/>
    </row>
    <row r="801" ht="15.75" customHeight="1">
      <c r="H801" s="1"/>
    </row>
    <row r="802" ht="15.75" customHeight="1">
      <c r="H802" s="1"/>
    </row>
    <row r="803" ht="15.75" customHeight="1">
      <c r="H803" s="1"/>
    </row>
    <row r="804" ht="15.75" customHeight="1">
      <c r="H804" s="1"/>
    </row>
    <row r="805" ht="15.75" customHeight="1">
      <c r="H805" s="1"/>
    </row>
    <row r="806" ht="15.75" customHeight="1">
      <c r="H806" s="1"/>
    </row>
    <row r="807" ht="15.75" customHeight="1">
      <c r="H807" s="1"/>
    </row>
    <row r="808" ht="15.75" customHeight="1">
      <c r="H808" s="1"/>
    </row>
    <row r="809" ht="15.75" customHeight="1">
      <c r="H809" s="1"/>
    </row>
    <row r="810" ht="15.75" customHeight="1">
      <c r="H810" s="1"/>
    </row>
    <row r="811" ht="15.75" customHeight="1">
      <c r="H811" s="1"/>
    </row>
    <row r="812" ht="15.75" customHeight="1">
      <c r="H812" s="1"/>
    </row>
    <row r="813" ht="15.75" customHeight="1">
      <c r="H813" s="1"/>
    </row>
    <row r="814" ht="15.75" customHeight="1">
      <c r="H814" s="1"/>
    </row>
    <row r="815" ht="15.75" customHeight="1">
      <c r="H815" s="1"/>
    </row>
    <row r="816" ht="15.75" customHeight="1">
      <c r="H816" s="1"/>
    </row>
    <row r="817" ht="15.75" customHeight="1">
      <c r="H817" s="1"/>
    </row>
    <row r="818" ht="15.75" customHeight="1">
      <c r="H818" s="1"/>
    </row>
    <row r="819" ht="15.75" customHeight="1">
      <c r="H819" s="1"/>
    </row>
    <row r="820" ht="15.75" customHeight="1">
      <c r="H820" s="1"/>
    </row>
    <row r="821" ht="15.75" customHeight="1">
      <c r="H821" s="1"/>
    </row>
    <row r="822" ht="15.75" customHeight="1">
      <c r="H822" s="1"/>
    </row>
    <row r="823" ht="15.75" customHeight="1">
      <c r="H823" s="1"/>
    </row>
    <row r="824" ht="15.75" customHeight="1">
      <c r="H824" s="1"/>
    </row>
    <row r="825" ht="15.75" customHeight="1">
      <c r="H825" s="1"/>
    </row>
    <row r="826" ht="15.75" customHeight="1">
      <c r="H826" s="1"/>
    </row>
    <row r="827" ht="15.75" customHeight="1">
      <c r="H827" s="1"/>
    </row>
    <row r="828" ht="15.75" customHeight="1">
      <c r="H828" s="1"/>
    </row>
    <row r="829" ht="15.75" customHeight="1">
      <c r="H829" s="1"/>
    </row>
    <row r="830" ht="15.75" customHeight="1">
      <c r="H830" s="1"/>
    </row>
    <row r="831" ht="15.75" customHeight="1">
      <c r="H831" s="1"/>
    </row>
    <row r="832" ht="15.75" customHeight="1">
      <c r="H832" s="1"/>
    </row>
    <row r="833" ht="15.75" customHeight="1">
      <c r="H833" s="1"/>
    </row>
    <row r="834" ht="15.75" customHeight="1">
      <c r="H834" s="1"/>
    </row>
    <row r="835" ht="15.75" customHeight="1">
      <c r="H835" s="1"/>
    </row>
    <row r="836" ht="15.75" customHeight="1">
      <c r="H836" s="1"/>
    </row>
    <row r="837" ht="15.75" customHeight="1">
      <c r="H837" s="1"/>
    </row>
    <row r="838" ht="15.75" customHeight="1">
      <c r="H838" s="1"/>
    </row>
    <row r="839" ht="15.75" customHeight="1">
      <c r="H839" s="1"/>
    </row>
    <row r="840" ht="15.75" customHeight="1">
      <c r="H840" s="1"/>
    </row>
    <row r="841" ht="15.75" customHeight="1">
      <c r="H841" s="1"/>
    </row>
    <row r="842" ht="15.75" customHeight="1">
      <c r="H842" s="1"/>
    </row>
    <row r="843" ht="15.75" customHeight="1">
      <c r="H843" s="1"/>
    </row>
    <row r="844" ht="15.75" customHeight="1">
      <c r="H844" s="1"/>
    </row>
    <row r="845" ht="15.75" customHeight="1">
      <c r="H845" s="1"/>
    </row>
    <row r="846" ht="15.75" customHeight="1">
      <c r="H846" s="1"/>
    </row>
    <row r="847" ht="15.75" customHeight="1">
      <c r="H847" s="1"/>
    </row>
    <row r="848" ht="15.75" customHeight="1">
      <c r="H848" s="1"/>
    </row>
    <row r="849" ht="15.75" customHeight="1">
      <c r="H849" s="1"/>
    </row>
    <row r="850" ht="15.75" customHeight="1">
      <c r="H850" s="1"/>
    </row>
    <row r="851" ht="15.75" customHeight="1">
      <c r="H851" s="1"/>
    </row>
    <row r="852" ht="15.75" customHeight="1">
      <c r="H852" s="1"/>
    </row>
    <row r="853" ht="15.75" customHeight="1">
      <c r="H853" s="1"/>
    </row>
    <row r="854" ht="15.75" customHeight="1">
      <c r="H854" s="1"/>
    </row>
    <row r="855" ht="15.75" customHeight="1">
      <c r="H855" s="1"/>
    </row>
    <row r="856" ht="15.75" customHeight="1">
      <c r="H856" s="1"/>
    </row>
    <row r="857" ht="15.75" customHeight="1">
      <c r="H857" s="1"/>
    </row>
    <row r="858" ht="15.75" customHeight="1">
      <c r="H858" s="1"/>
    </row>
    <row r="859" ht="15.75" customHeight="1">
      <c r="H859" s="1"/>
    </row>
    <row r="860" ht="15.75" customHeight="1">
      <c r="H860" s="1"/>
    </row>
    <row r="861" ht="15.75" customHeight="1">
      <c r="H861" s="1"/>
    </row>
    <row r="862" ht="15.75" customHeight="1">
      <c r="H862" s="1"/>
    </row>
    <row r="863" ht="15.75" customHeight="1">
      <c r="H863" s="1"/>
    </row>
    <row r="864" ht="15.75" customHeight="1">
      <c r="H864" s="1"/>
    </row>
    <row r="865" ht="15.75" customHeight="1">
      <c r="H865" s="1"/>
    </row>
    <row r="866" ht="15.75" customHeight="1">
      <c r="H866" s="1"/>
    </row>
    <row r="867" ht="15.75" customHeight="1">
      <c r="H867" s="1"/>
    </row>
    <row r="868" ht="15.75" customHeight="1">
      <c r="H868" s="1"/>
    </row>
    <row r="869" ht="15.75" customHeight="1">
      <c r="H869" s="1"/>
    </row>
    <row r="870" ht="15.75" customHeight="1">
      <c r="H870" s="1"/>
    </row>
    <row r="871" ht="15.75" customHeight="1">
      <c r="H871" s="1"/>
    </row>
    <row r="872" ht="15.75" customHeight="1">
      <c r="H872" s="1"/>
    </row>
    <row r="873" ht="15.75" customHeight="1">
      <c r="H873" s="1"/>
    </row>
    <row r="874" ht="15.75" customHeight="1">
      <c r="H874" s="1"/>
    </row>
    <row r="875" ht="15.75" customHeight="1">
      <c r="H875" s="1"/>
    </row>
    <row r="876" ht="15.75" customHeight="1">
      <c r="H876" s="1"/>
    </row>
    <row r="877" ht="15.75" customHeight="1">
      <c r="H877" s="1"/>
    </row>
    <row r="878" ht="15.75" customHeight="1">
      <c r="H878" s="1"/>
    </row>
    <row r="879" ht="15.75" customHeight="1">
      <c r="H879" s="1"/>
    </row>
    <row r="880" ht="15.75" customHeight="1">
      <c r="H880" s="1"/>
    </row>
    <row r="881" ht="15.75" customHeight="1">
      <c r="H881" s="1"/>
    </row>
    <row r="882" ht="15.75" customHeight="1">
      <c r="H882" s="1"/>
    </row>
    <row r="883" ht="15.75" customHeight="1">
      <c r="H883" s="1"/>
    </row>
    <row r="884" ht="15.75" customHeight="1">
      <c r="H884" s="1"/>
    </row>
    <row r="885" ht="15.75" customHeight="1">
      <c r="H885" s="1"/>
    </row>
    <row r="886" ht="15.75" customHeight="1">
      <c r="H886" s="1"/>
    </row>
    <row r="887" ht="15.75" customHeight="1">
      <c r="H887" s="1"/>
    </row>
    <row r="888" ht="15.75" customHeight="1">
      <c r="H888" s="1"/>
    </row>
    <row r="889" ht="15.75" customHeight="1">
      <c r="H889" s="1"/>
    </row>
    <row r="890" ht="15.75" customHeight="1">
      <c r="H890" s="1"/>
    </row>
    <row r="891" ht="15.75" customHeight="1">
      <c r="H891" s="1"/>
    </row>
    <row r="892" ht="15.75" customHeight="1">
      <c r="H892" s="1"/>
    </row>
    <row r="893" ht="15.75" customHeight="1">
      <c r="H893" s="1"/>
    </row>
    <row r="894" ht="15.75" customHeight="1">
      <c r="H894" s="1"/>
    </row>
    <row r="895" ht="15.75" customHeight="1">
      <c r="H895" s="1"/>
    </row>
    <row r="896" ht="15.75" customHeight="1">
      <c r="H896" s="1"/>
    </row>
    <row r="897" ht="15.75" customHeight="1">
      <c r="H897" s="1"/>
    </row>
    <row r="898" ht="15.75" customHeight="1">
      <c r="H898" s="1"/>
    </row>
    <row r="899" ht="15.75" customHeight="1">
      <c r="H899" s="1"/>
    </row>
    <row r="900" ht="15.75" customHeight="1">
      <c r="H900" s="1"/>
    </row>
    <row r="901" ht="15.75" customHeight="1">
      <c r="H901" s="1"/>
    </row>
    <row r="902" ht="15.75" customHeight="1">
      <c r="H902" s="1"/>
    </row>
    <row r="903" ht="15.75" customHeight="1">
      <c r="H903" s="1"/>
    </row>
    <row r="904" ht="15.75" customHeight="1">
      <c r="H904" s="1"/>
    </row>
    <row r="905" ht="15.75" customHeight="1">
      <c r="H905" s="1"/>
    </row>
    <row r="906" ht="15.75" customHeight="1">
      <c r="H906" s="1"/>
    </row>
    <row r="907" ht="15.75" customHeight="1">
      <c r="H907" s="1"/>
    </row>
    <row r="908" ht="15.75" customHeight="1">
      <c r="H908" s="1"/>
    </row>
    <row r="909" ht="15.75" customHeight="1">
      <c r="H909" s="1"/>
    </row>
    <row r="910" ht="15.75" customHeight="1">
      <c r="H910" s="1"/>
    </row>
    <row r="911" ht="15.75" customHeight="1">
      <c r="H911" s="1"/>
    </row>
    <row r="912" ht="15.75" customHeight="1">
      <c r="H912" s="1"/>
    </row>
    <row r="913" ht="15.75" customHeight="1">
      <c r="H913" s="1"/>
    </row>
    <row r="914" ht="15.75" customHeight="1">
      <c r="H914" s="1"/>
    </row>
    <row r="915" ht="15.75" customHeight="1">
      <c r="H915" s="1"/>
    </row>
    <row r="916" ht="15.75" customHeight="1">
      <c r="H916" s="1"/>
    </row>
    <row r="917" ht="15.75" customHeight="1">
      <c r="H917" s="1"/>
    </row>
    <row r="918" ht="15.75" customHeight="1">
      <c r="H918" s="1"/>
    </row>
    <row r="919" ht="15.75" customHeight="1">
      <c r="H919" s="1"/>
    </row>
    <row r="920" ht="15.75" customHeight="1">
      <c r="H920" s="1"/>
    </row>
    <row r="921" ht="15.75" customHeight="1">
      <c r="H921" s="1"/>
    </row>
    <row r="922" ht="15.75" customHeight="1">
      <c r="H922" s="1"/>
    </row>
    <row r="923" ht="15.75" customHeight="1">
      <c r="H923" s="1"/>
    </row>
    <row r="924" ht="15.75" customHeight="1">
      <c r="H924" s="1"/>
    </row>
    <row r="925" ht="15.75" customHeight="1">
      <c r="H925" s="1"/>
    </row>
    <row r="926" ht="15.75" customHeight="1">
      <c r="H926" s="1"/>
    </row>
    <row r="927" ht="15.75" customHeight="1">
      <c r="H927" s="1"/>
    </row>
    <row r="928" ht="15.75" customHeight="1">
      <c r="H928" s="1"/>
    </row>
    <row r="929" ht="15.75" customHeight="1">
      <c r="H929" s="1"/>
    </row>
    <row r="930" ht="15.75" customHeight="1">
      <c r="H930" s="1"/>
    </row>
    <row r="931" ht="15.75" customHeight="1">
      <c r="H931" s="1"/>
    </row>
    <row r="932" ht="15.75" customHeight="1">
      <c r="H932" s="1"/>
    </row>
    <row r="933" ht="15.75" customHeight="1">
      <c r="H933" s="1"/>
    </row>
    <row r="934" ht="15.75" customHeight="1">
      <c r="H934" s="1"/>
    </row>
    <row r="935" ht="15.75" customHeight="1">
      <c r="H935" s="1"/>
    </row>
    <row r="936" ht="15.75" customHeight="1">
      <c r="H936" s="1"/>
    </row>
    <row r="937" ht="15.75" customHeight="1">
      <c r="H937" s="1"/>
    </row>
    <row r="938" ht="15.75" customHeight="1">
      <c r="H938" s="1"/>
    </row>
    <row r="939" ht="15.75" customHeight="1">
      <c r="H939" s="1"/>
    </row>
    <row r="940" ht="15.75" customHeight="1">
      <c r="H940" s="1"/>
    </row>
    <row r="941" ht="15.75" customHeight="1">
      <c r="H941" s="1"/>
    </row>
    <row r="942" ht="15.75" customHeight="1">
      <c r="H942" s="1"/>
    </row>
    <row r="943" ht="15.75" customHeight="1">
      <c r="H943" s="1"/>
    </row>
    <row r="944" ht="15.75" customHeight="1">
      <c r="H944" s="1"/>
    </row>
    <row r="945" ht="15.75" customHeight="1">
      <c r="H945" s="1"/>
    </row>
    <row r="946" ht="15.75" customHeight="1">
      <c r="H946" s="1"/>
    </row>
    <row r="947" ht="15.75" customHeight="1">
      <c r="H947" s="1"/>
    </row>
    <row r="948" ht="15.75" customHeight="1">
      <c r="H948" s="1"/>
    </row>
    <row r="949" ht="15.75" customHeight="1">
      <c r="H949" s="1"/>
    </row>
    <row r="950" ht="15.75" customHeight="1">
      <c r="H950" s="1"/>
    </row>
    <row r="951" ht="15.75" customHeight="1">
      <c r="H951" s="1"/>
    </row>
    <row r="952" ht="15.75" customHeight="1">
      <c r="H952" s="1"/>
    </row>
    <row r="953" ht="15.75" customHeight="1">
      <c r="H953" s="1"/>
    </row>
    <row r="954" ht="15.75" customHeight="1">
      <c r="H954" s="1"/>
    </row>
    <row r="955" ht="15.75" customHeight="1">
      <c r="H955" s="1"/>
    </row>
    <row r="956" ht="15.75" customHeight="1">
      <c r="H956" s="1"/>
    </row>
    <row r="957" ht="15.75" customHeight="1">
      <c r="H957" s="1"/>
    </row>
    <row r="958" ht="15.75" customHeight="1">
      <c r="H958" s="1"/>
    </row>
    <row r="959" ht="15.75" customHeight="1">
      <c r="H959" s="1"/>
    </row>
    <row r="960" ht="15.75" customHeight="1">
      <c r="H960" s="1"/>
    </row>
    <row r="961" ht="15.75" customHeight="1">
      <c r="H961" s="1"/>
    </row>
    <row r="962" ht="15.75" customHeight="1">
      <c r="H962" s="1"/>
    </row>
    <row r="963" ht="15.75" customHeight="1">
      <c r="H963" s="1"/>
    </row>
    <row r="964" ht="15.75" customHeight="1">
      <c r="H964" s="1"/>
    </row>
    <row r="965" ht="15.75" customHeight="1">
      <c r="H965" s="1"/>
    </row>
    <row r="966" ht="15.75" customHeight="1">
      <c r="H966" s="1"/>
    </row>
    <row r="967" ht="15.75" customHeight="1">
      <c r="H967" s="1"/>
    </row>
    <row r="968" ht="15.75" customHeight="1">
      <c r="H968" s="1"/>
    </row>
    <row r="969" ht="15.75" customHeight="1">
      <c r="H969" s="1"/>
    </row>
    <row r="970" ht="15.75" customHeight="1">
      <c r="H970" s="1"/>
    </row>
    <row r="971" ht="15.75" customHeight="1">
      <c r="H971" s="1"/>
    </row>
    <row r="972" ht="15.75" customHeight="1">
      <c r="H972" s="1"/>
    </row>
    <row r="973" ht="15.75" customHeight="1">
      <c r="H973" s="1"/>
    </row>
    <row r="974" ht="15.75" customHeight="1">
      <c r="H974" s="1"/>
    </row>
    <row r="975" ht="15.75" customHeight="1">
      <c r="H975" s="1"/>
    </row>
    <row r="976" ht="15.75" customHeight="1">
      <c r="H976" s="1"/>
    </row>
    <row r="977" ht="15.75" customHeight="1">
      <c r="H977" s="1"/>
    </row>
    <row r="978" ht="15.75" customHeight="1">
      <c r="H978" s="1"/>
    </row>
    <row r="979" ht="15.75" customHeight="1">
      <c r="H979" s="1"/>
    </row>
    <row r="980" ht="15.75" customHeight="1">
      <c r="H980" s="1"/>
    </row>
    <row r="981" ht="15.75" customHeight="1">
      <c r="H981" s="1"/>
    </row>
    <row r="982" ht="15.75" customHeight="1">
      <c r="H982" s="1"/>
    </row>
    <row r="983" ht="15.75" customHeight="1">
      <c r="H983" s="1"/>
    </row>
    <row r="984" ht="15.75" customHeight="1">
      <c r="H984" s="1"/>
    </row>
    <row r="985" ht="15.75" customHeight="1">
      <c r="H985" s="1"/>
    </row>
    <row r="986" ht="15.75" customHeight="1">
      <c r="H986" s="1"/>
    </row>
    <row r="987" ht="15.75" customHeight="1">
      <c r="H987" s="1"/>
    </row>
    <row r="988" ht="15.75" customHeight="1">
      <c r="H988" s="1"/>
    </row>
    <row r="989" ht="15.75" customHeight="1">
      <c r="H989" s="1"/>
    </row>
    <row r="990" ht="15.75" customHeight="1">
      <c r="H990" s="1"/>
    </row>
    <row r="991" ht="15.75" customHeight="1">
      <c r="H991" s="1"/>
    </row>
    <row r="992" ht="15.75" customHeight="1">
      <c r="H992" s="1"/>
    </row>
    <row r="993" ht="15.75" customHeight="1">
      <c r="H993" s="1"/>
    </row>
    <row r="994" ht="15.75" customHeight="1">
      <c r="H994" s="1"/>
    </row>
    <row r="995" ht="15.75" customHeight="1">
      <c r="H995" s="1"/>
    </row>
    <row r="996" ht="15.75" customHeight="1">
      <c r="H996" s="1"/>
    </row>
    <row r="997" ht="15.75" customHeight="1">
      <c r="H997" s="1"/>
    </row>
    <row r="998" ht="15.75" customHeight="1">
      <c r="H998" s="1"/>
    </row>
    <row r="999" ht="15.75" customHeight="1">
      <c r="H999" s="1"/>
    </row>
    <row r="1000" ht="15.75" customHeight="1">
      <c r="H1000" s="1"/>
    </row>
  </sheetData>
  <mergeCells count="53">
    <mergeCell ref="B2:F2"/>
    <mergeCell ref="I2:M2"/>
    <mergeCell ref="B3:C3"/>
    <mergeCell ref="D3:E3"/>
    <mergeCell ref="I3:J3"/>
    <mergeCell ref="K3:L3"/>
    <mergeCell ref="M3:M4"/>
    <mergeCell ref="K13:L13"/>
    <mergeCell ref="M13:M14"/>
    <mergeCell ref="F3:F4"/>
    <mergeCell ref="B12:F12"/>
    <mergeCell ref="I12:M12"/>
    <mergeCell ref="B13:C13"/>
    <mergeCell ref="D13:E13"/>
    <mergeCell ref="F13:F14"/>
    <mergeCell ref="I13:J13"/>
    <mergeCell ref="B22:F22"/>
    <mergeCell ref="I22:M22"/>
    <mergeCell ref="B23:C23"/>
    <mergeCell ref="D23:E23"/>
    <mergeCell ref="I23:J23"/>
    <mergeCell ref="K23:L23"/>
    <mergeCell ref="M23:M24"/>
    <mergeCell ref="B40:F40"/>
    <mergeCell ref="I40:M40"/>
    <mergeCell ref="B41:C41"/>
    <mergeCell ref="D41:E41"/>
    <mergeCell ref="F41:F42"/>
    <mergeCell ref="I41:J41"/>
    <mergeCell ref="K41:L41"/>
    <mergeCell ref="M41:M42"/>
    <mergeCell ref="F23:F24"/>
    <mergeCell ref="B31:F31"/>
    <mergeCell ref="I31:M31"/>
    <mergeCell ref="B32:C32"/>
    <mergeCell ref="D32:E32"/>
    <mergeCell ref="F32:F33"/>
    <mergeCell ref="I32:J32"/>
    <mergeCell ref="L76:M76"/>
    <mergeCell ref="L77:M77"/>
    <mergeCell ref="L78:M78"/>
    <mergeCell ref="L79:M79"/>
    <mergeCell ref="L80:M80"/>
    <mergeCell ref="L81:M81"/>
    <mergeCell ref="L82:M82"/>
    <mergeCell ref="K85:Q88"/>
    <mergeCell ref="K32:L32"/>
    <mergeCell ref="M32:M33"/>
    <mergeCell ref="M72:N72"/>
    <mergeCell ref="K73:Q73"/>
    <mergeCell ref="R73:R74"/>
    <mergeCell ref="K74:Q74"/>
    <mergeCell ref="L75:M75"/>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5" width="10.57"/>
    <col customWidth="1" min="6" max="6" width="11.71"/>
    <col customWidth="1" min="7" max="7" width="13.0"/>
    <col customWidth="1" min="8" max="8" width="16.29"/>
    <col customWidth="1" min="9" max="9" width="15.14"/>
    <col customWidth="1" min="10" max="16" width="11.43"/>
    <col customWidth="1" min="17" max="17" width="28.29"/>
    <col customWidth="1" min="18" max="26" width="11.43"/>
  </cols>
  <sheetData>
    <row r="1">
      <c r="H1" s="1"/>
    </row>
    <row r="2">
      <c r="A2" s="2"/>
      <c r="B2" s="3" t="s">
        <v>0</v>
      </c>
      <c r="C2" s="4"/>
      <c r="D2" s="4"/>
      <c r="E2" s="4"/>
      <c r="F2" s="5"/>
      <c r="G2" s="6"/>
      <c r="H2" s="7"/>
      <c r="I2" s="3" t="s">
        <v>1</v>
      </c>
      <c r="J2" s="4"/>
      <c r="K2" s="4"/>
      <c r="L2" s="4"/>
      <c r="M2" s="5"/>
    </row>
    <row r="3">
      <c r="A3" s="2"/>
      <c r="B3" s="8" t="s">
        <v>2</v>
      </c>
      <c r="C3" s="9"/>
      <c r="D3" s="8" t="s">
        <v>3</v>
      </c>
      <c r="E3" s="9"/>
      <c r="F3" s="10" t="s">
        <v>4</v>
      </c>
      <c r="G3" s="6"/>
      <c r="H3" s="7"/>
      <c r="I3" s="8" t="s">
        <v>2</v>
      </c>
      <c r="J3" s="9"/>
      <c r="K3" s="8" t="s">
        <v>3</v>
      </c>
      <c r="L3" s="9"/>
      <c r="M3" s="10" t="s">
        <v>4</v>
      </c>
    </row>
    <row r="4">
      <c r="A4" s="2"/>
      <c r="B4" s="11" t="s">
        <v>5</v>
      </c>
      <c r="C4" s="11" t="s">
        <v>6</v>
      </c>
      <c r="D4" s="11" t="s">
        <v>7</v>
      </c>
      <c r="E4" s="11" t="s">
        <v>8</v>
      </c>
      <c r="F4" s="12"/>
      <c r="G4" s="6"/>
      <c r="H4" s="7"/>
      <c r="I4" s="11" t="s">
        <v>5</v>
      </c>
      <c r="J4" s="11" t="s">
        <v>6</v>
      </c>
      <c r="K4" s="11" t="s">
        <v>7</v>
      </c>
      <c r="L4" s="11" t="s">
        <v>8</v>
      </c>
      <c r="M4" s="12"/>
    </row>
    <row r="5">
      <c r="A5" s="13" t="s">
        <v>9</v>
      </c>
      <c r="B5" s="14">
        <f t="shared" ref="B5:F5" si="1">B51</f>
        <v>16.43954</v>
      </c>
      <c r="C5" s="14">
        <f t="shared" si="1"/>
        <v>6.958605</v>
      </c>
      <c r="D5" s="14">
        <f t="shared" si="1"/>
        <v>3.740037</v>
      </c>
      <c r="E5" s="14">
        <f t="shared" si="1"/>
        <v>12.68487</v>
      </c>
      <c r="F5" s="14">
        <f t="shared" si="1"/>
        <v>11.68358</v>
      </c>
      <c r="G5" s="6"/>
      <c r="H5" s="13" t="s">
        <v>9</v>
      </c>
      <c r="I5" s="15">
        <f t="shared" ref="I5:M5" si="2">G51</f>
        <v>892525.3</v>
      </c>
      <c r="J5" s="15">
        <f t="shared" si="2"/>
        <v>380270.2</v>
      </c>
      <c r="K5" s="15">
        <f t="shared" si="2"/>
        <v>45608.59</v>
      </c>
      <c r="L5" s="15">
        <f t="shared" si="2"/>
        <v>1227187</v>
      </c>
      <c r="M5" s="15">
        <f t="shared" si="2"/>
        <v>1272796</v>
      </c>
      <c r="Q5" s="71">
        <f t="shared" ref="Q5:Q7" si="5">(M5/F5)*100</f>
        <v>10893886.98</v>
      </c>
    </row>
    <row r="6">
      <c r="A6" s="13" t="s">
        <v>10</v>
      </c>
      <c r="B6" s="14">
        <f t="shared" ref="B6:F6" si="3">B52</f>
        <v>64.9002</v>
      </c>
      <c r="C6" s="14">
        <f t="shared" si="3"/>
        <v>52.08033</v>
      </c>
      <c r="D6" s="14">
        <f t="shared" si="3"/>
        <v>19.17954</v>
      </c>
      <c r="E6" s="14">
        <f t="shared" si="3"/>
        <v>63.42182</v>
      </c>
      <c r="F6" s="14">
        <f t="shared" si="3"/>
        <v>58.46931</v>
      </c>
      <c r="G6" s="6"/>
      <c r="H6" s="13" t="s">
        <v>10</v>
      </c>
      <c r="I6" s="15">
        <f t="shared" ref="I6:M6" si="4">G52</f>
        <v>3523520</v>
      </c>
      <c r="J6" s="15">
        <f t="shared" si="4"/>
        <v>2846058</v>
      </c>
      <c r="K6" s="15">
        <f t="shared" si="4"/>
        <v>233888.6</v>
      </c>
      <c r="L6" s="15">
        <f t="shared" si="4"/>
        <v>6135690</v>
      </c>
      <c r="M6" s="15">
        <f t="shared" si="4"/>
        <v>6369579</v>
      </c>
      <c r="Q6" s="71">
        <f t="shared" si="5"/>
        <v>10893884.33</v>
      </c>
    </row>
    <row r="7">
      <c r="A7" s="13" t="s">
        <v>11</v>
      </c>
      <c r="B7" s="14">
        <f t="shared" ref="B7:F7" si="6">B53</f>
        <v>66.2154</v>
      </c>
      <c r="C7" s="14">
        <f t="shared" si="6"/>
        <v>52.82986</v>
      </c>
      <c r="D7" s="14">
        <f t="shared" si="6"/>
        <v>19.95033</v>
      </c>
      <c r="E7" s="14">
        <f t="shared" si="6"/>
        <v>64.48612</v>
      </c>
      <c r="F7" s="14">
        <f t="shared" si="6"/>
        <v>59.50075</v>
      </c>
      <c r="G7" s="6"/>
      <c r="H7" s="13" t="s">
        <v>11</v>
      </c>
      <c r="I7" s="15">
        <f t="shared" ref="I7:M7" si="7">G53</f>
        <v>3594924</v>
      </c>
      <c r="J7" s="15">
        <f t="shared" si="7"/>
        <v>2887018</v>
      </c>
      <c r="K7" s="15">
        <f t="shared" si="7"/>
        <v>243288.1</v>
      </c>
      <c r="L7" s="15">
        <f t="shared" si="7"/>
        <v>6238655</v>
      </c>
      <c r="M7" s="15">
        <f t="shared" si="7"/>
        <v>6481943</v>
      </c>
      <c r="Q7" s="71">
        <f t="shared" si="5"/>
        <v>10893884.53</v>
      </c>
    </row>
    <row r="8">
      <c r="A8" s="16" t="s">
        <v>12</v>
      </c>
      <c r="B8" s="17"/>
      <c r="C8" s="17"/>
      <c r="D8" s="17"/>
      <c r="E8" s="17"/>
      <c r="F8" s="17"/>
      <c r="G8" s="18"/>
      <c r="H8" s="16" t="s">
        <v>12</v>
      </c>
      <c r="I8" s="19"/>
      <c r="J8" s="19"/>
      <c r="K8" s="19"/>
      <c r="L8" s="19"/>
      <c r="M8" s="19"/>
      <c r="N8" s="16"/>
      <c r="O8" s="16"/>
      <c r="P8" s="16"/>
      <c r="Q8" s="16"/>
      <c r="R8" s="16"/>
      <c r="S8" s="16"/>
      <c r="T8" s="16"/>
      <c r="U8" s="16"/>
      <c r="V8" s="16"/>
      <c r="W8" s="16"/>
      <c r="X8" s="16"/>
      <c r="Y8" s="16"/>
      <c r="Z8" s="16"/>
    </row>
    <row r="9">
      <c r="A9" s="16" t="s">
        <v>13</v>
      </c>
      <c r="B9" s="17"/>
      <c r="C9" s="17"/>
      <c r="D9" s="17"/>
      <c r="E9" s="17"/>
      <c r="F9" s="17"/>
      <c r="G9" s="18"/>
      <c r="H9" s="16" t="s">
        <v>13</v>
      </c>
      <c r="I9" s="19"/>
      <c r="J9" s="19"/>
      <c r="K9" s="19"/>
      <c r="L9" s="19"/>
      <c r="M9" s="19"/>
      <c r="N9" s="16"/>
      <c r="O9" s="16"/>
      <c r="P9" s="16"/>
      <c r="Q9" s="16"/>
      <c r="R9" s="16"/>
      <c r="S9" s="16"/>
      <c r="T9" s="16"/>
      <c r="U9" s="16"/>
      <c r="V9" s="16"/>
      <c r="W9" s="16"/>
      <c r="X9" s="16"/>
      <c r="Y9" s="16"/>
      <c r="Z9" s="16"/>
    </row>
    <row r="10">
      <c r="A10" s="16" t="s">
        <v>87</v>
      </c>
      <c r="B10" s="18"/>
      <c r="C10" s="18"/>
      <c r="D10" s="18"/>
      <c r="E10" s="18"/>
      <c r="F10" s="18"/>
      <c r="G10" s="18"/>
      <c r="H10" s="16" t="s">
        <v>87</v>
      </c>
      <c r="I10" s="18"/>
      <c r="J10" s="18"/>
      <c r="K10" s="18"/>
      <c r="L10" s="18"/>
      <c r="M10" s="18"/>
      <c r="N10" s="16"/>
      <c r="O10" s="16"/>
      <c r="P10" s="16"/>
      <c r="Q10" s="33">
        <v>1.0893883E7</v>
      </c>
      <c r="R10" s="16" t="s">
        <v>88</v>
      </c>
      <c r="S10" s="16"/>
      <c r="T10" s="16"/>
      <c r="U10" s="16"/>
      <c r="V10" s="16"/>
      <c r="W10" s="16"/>
      <c r="X10" s="16"/>
      <c r="Y10" s="16"/>
      <c r="Z10" s="16"/>
    </row>
    <row r="11">
      <c r="A11" s="2"/>
      <c r="B11" s="6"/>
      <c r="C11" s="6"/>
      <c r="D11" s="6"/>
      <c r="E11" s="6"/>
      <c r="F11" s="6"/>
      <c r="G11" s="6"/>
      <c r="H11" s="2"/>
      <c r="I11" s="6"/>
      <c r="J11" s="6"/>
      <c r="K11" s="6"/>
      <c r="L11" s="6"/>
      <c r="M11" s="6"/>
    </row>
    <row r="12">
      <c r="A12" s="2"/>
      <c r="B12" s="20" t="s">
        <v>15</v>
      </c>
      <c r="C12" s="4"/>
      <c r="D12" s="4"/>
      <c r="E12" s="4"/>
      <c r="F12" s="5"/>
      <c r="G12" s="6"/>
      <c r="H12" s="7"/>
      <c r="I12" s="20" t="s">
        <v>16</v>
      </c>
      <c r="J12" s="4"/>
      <c r="K12" s="4"/>
      <c r="L12" s="4"/>
      <c r="M12" s="5"/>
    </row>
    <row r="13">
      <c r="A13" s="2"/>
      <c r="B13" s="8" t="s">
        <v>2</v>
      </c>
      <c r="C13" s="9"/>
      <c r="D13" s="8" t="s">
        <v>3</v>
      </c>
      <c r="E13" s="9"/>
      <c r="F13" s="10" t="s">
        <v>4</v>
      </c>
      <c r="G13" s="6"/>
      <c r="H13" s="7"/>
      <c r="I13" s="8" t="s">
        <v>2</v>
      </c>
      <c r="J13" s="9"/>
      <c r="K13" s="8" t="s">
        <v>3</v>
      </c>
      <c r="L13" s="9"/>
      <c r="M13" s="10" t="s">
        <v>4</v>
      </c>
      <c r="Q13" s="21"/>
    </row>
    <row r="14">
      <c r="A14" s="2"/>
      <c r="B14" s="11" t="s">
        <v>5</v>
      </c>
      <c r="C14" s="11" t="s">
        <v>6</v>
      </c>
      <c r="D14" s="11" t="s">
        <v>7</v>
      </c>
      <c r="E14" s="11" t="s">
        <v>8</v>
      </c>
      <c r="F14" s="12"/>
      <c r="G14" s="6"/>
      <c r="H14" s="7"/>
      <c r="I14" s="11" t="s">
        <v>5</v>
      </c>
      <c r="J14" s="11" t="s">
        <v>6</v>
      </c>
      <c r="K14" s="11" t="s">
        <v>7</v>
      </c>
      <c r="L14" s="11" t="s">
        <v>8</v>
      </c>
      <c r="M14" s="12"/>
    </row>
    <row r="15">
      <c r="A15" s="22" t="s">
        <v>9</v>
      </c>
      <c r="B15" s="14">
        <f t="shared" ref="B15:F15" si="8">B54</f>
        <v>30.82305</v>
      </c>
      <c r="C15" s="14">
        <f t="shared" si="8"/>
        <v>14.74461</v>
      </c>
      <c r="D15" s="14">
        <f t="shared" si="8"/>
        <v>46.49448</v>
      </c>
      <c r="E15" s="14">
        <f t="shared" si="8"/>
        <v>25.25837</v>
      </c>
      <c r="F15" s="14">
        <f t="shared" si="8"/>
        <v>26.01933</v>
      </c>
      <c r="G15" s="6"/>
      <c r="H15" s="22" t="s">
        <v>9</v>
      </c>
      <c r="I15" s="15">
        <f t="shared" ref="I15:M15" si="9">G54</f>
        <v>275103.6</v>
      </c>
      <c r="J15" s="15">
        <f t="shared" si="9"/>
        <v>56069.34</v>
      </c>
      <c r="K15" s="15">
        <f t="shared" si="9"/>
        <v>21205.48</v>
      </c>
      <c r="L15" s="15">
        <f t="shared" si="9"/>
        <v>309967.4</v>
      </c>
      <c r="M15" s="15">
        <f t="shared" si="9"/>
        <v>331172.9</v>
      </c>
    </row>
    <row r="16">
      <c r="A16" s="22" t="s">
        <v>17</v>
      </c>
      <c r="B16" s="14">
        <f t="shared" ref="B16:F16" si="10">B55</f>
        <v>10.3921</v>
      </c>
      <c r="C16" s="14">
        <f t="shared" si="10"/>
        <v>1.98044</v>
      </c>
      <c r="D16" s="14">
        <f t="shared" si="10"/>
        <v>2.889731</v>
      </c>
      <c r="E16" s="14">
        <f t="shared" si="10"/>
        <v>6.77631</v>
      </c>
      <c r="F16" s="14">
        <f t="shared" si="10"/>
        <v>6.633596</v>
      </c>
      <c r="G16" s="6"/>
      <c r="H16" s="22" t="s">
        <v>17</v>
      </c>
      <c r="I16" s="15">
        <f t="shared" ref="I16:M16" si="11">G55</f>
        <v>366167.6</v>
      </c>
      <c r="J16" s="15">
        <f t="shared" si="11"/>
        <v>56364.48</v>
      </c>
      <c r="K16" s="15">
        <f t="shared" si="11"/>
        <v>6758.751</v>
      </c>
      <c r="L16" s="15">
        <f t="shared" si="11"/>
        <v>415773.3</v>
      </c>
      <c r="M16" s="15">
        <f t="shared" si="11"/>
        <v>422532.1</v>
      </c>
    </row>
    <row r="17">
      <c r="A17" s="22" t="s">
        <v>18</v>
      </c>
      <c r="B17" s="14">
        <f t="shared" ref="B17:F17" si="12">B56</f>
        <v>15.25742</v>
      </c>
      <c r="C17" s="14">
        <f t="shared" si="12"/>
        <v>3.517062</v>
      </c>
      <c r="D17" s="14">
        <f t="shared" si="12"/>
        <v>11.34596</v>
      </c>
      <c r="E17" s="14">
        <f t="shared" si="12"/>
        <v>9.976954</v>
      </c>
      <c r="F17" s="14">
        <f t="shared" si="12"/>
        <v>10.02834</v>
      </c>
      <c r="G17" s="6"/>
      <c r="H17" s="23" t="s">
        <v>18</v>
      </c>
      <c r="I17" s="15">
        <f t="shared" ref="I17:M17" si="13">G56</f>
        <v>548492.8</v>
      </c>
      <c r="J17" s="15">
        <f t="shared" si="13"/>
        <v>101538.2</v>
      </c>
      <c r="K17" s="15">
        <f t="shared" si="13"/>
        <v>27603.38</v>
      </c>
      <c r="L17" s="15">
        <f t="shared" si="13"/>
        <v>622427.7</v>
      </c>
      <c r="M17" s="15">
        <f t="shared" si="13"/>
        <v>650031.1</v>
      </c>
      <c r="O17" s="24"/>
      <c r="P17" s="24"/>
      <c r="Q17" s="21" t="str">
        <f>NUMBERVALUE(M16)/M6</f>
        <v>#NAME?</v>
      </c>
      <c r="R17" s="71" t="s">
        <v>89</v>
      </c>
    </row>
    <row r="18">
      <c r="A18" s="16" t="s">
        <v>19</v>
      </c>
      <c r="B18" s="17"/>
      <c r="C18" s="17"/>
      <c r="D18" s="17"/>
      <c r="E18" s="17"/>
      <c r="F18" s="17"/>
      <c r="G18" s="18"/>
      <c r="H18" s="16" t="s">
        <v>19</v>
      </c>
      <c r="I18" s="19"/>
      <c r="J18" s="19"/>
      <c r="K18" s="19"/>
      <c r="L18" s="19"/>
      <c r="M18" s="19"/>
      <c r="N18" s="16"/>
      <c r="O18" s="16"/>
      <c r="P18" s="16"/>
      <c r="Q18" s="72">
        <f>M17/Q6</f>
        <v>0.05966935946</v>
      </c>
      <c r="R18" s="16"/>
      <c r="S18" s="16"/>
      <c r="T18" s="16"/>
      <c r="U18" s="16"/>
      <c r="V18" s="16"/>
      <c r="W18" s="16"/>
      <c r="X18" s="16"/>
      <c r="Y18" s="16"/>
      <c r="Z18" s="16"/>
    </row>
    <row r="19">
      <c r="A19" s="16" t="s">
        <v>20</v>
      </c>
      <c r="B19" s="17"/>
      <c r="C19" s="17"/>
      <c r="D19" s="17"/>
      <c r="E19" s="17"/>
      <c r="F19" s="17"/>
      <c r="G19" s="18"/>
      <c r="H19" s="16" t="s">
        <v>20</v>
      </c>
      <c r="I19" s="19"/>
      <c r="J19" s="19"/>
      <c r="K19" s="19"/>
      <c r="L19" s="19"/>
      <c r="M19" s="19"/>
      <c r="N19" s="16"/>
      <c r="O19" s="16"/>
      <c r="P19" s="16"/>
      <c r="Q19" s="25"/>
      <c r="R19" s="16"/>
      <c r="S19" s="16"/>
      <c r="T19" s="16"/>
      <c r="U19" s="16"/>
      <c r="V19" s="16"/>
      <c r="W19" s="16"/>
      <c r="X19" s="16"/>
      <c r="Y19" s="16"/>
      <c r="Z19" s="16"/>
    </row>
    <row r="20">
      <c r="A20" s="16" t="s">
        <v>87</v>
      </c>
      <c r="B20" s="18"/>
      <c r="C20" s="18"/>
      <c r="D20" s="18"/>
      <c r="E20" s="18"/>
      <c r="F20" s="18"/>
      <c r="G20" s="18"/>
      <c r="H20" s="16" t="s">
        <v>87</v>
      </c>
      <c r="I20" s="18"/>
      <c r="J20" s="18"/>
      <c r="K20" s="18"/>
      <c r="L20" s="18"/>
      <c r="M20" s="18"/>
      <c r="N20" s="16"/>
      <c r="O20" s="16"/>
      <c r="P20" s="16"/>
      <c r="Q20" s="25"/>
      <c r="R20" s="16"/>
      <c r="S20" s="16"/>
      <c r="T20" s="16"/>
      <c r="U20" s="16"/>
      <c r="V20" s="16"/>
      <c r="W20" s="16"/>
      <c r="X20" s="16"/>
      <c r="Y20" s="16"/>
      <c r="Z20" s="16"/>
    </row>
    <row r="21" ht="15.75" customHeight="1">
      <c r="A21" s="2"/>
      <c r="B21" s="6"/>
      <c r="C21" s="6"/>
      <c r="D21" s="6"/>
      <c r="E21" s="6"/>
      <c r="F21" s="6"/>
      <c r="G21" s="6"/>
      <c r="H21" s="7"/>
      <c r="I21" s="6"/>
      <c r="J21" s="6"/>
      <c r="K21" s="6"/>
      <c r="L21" s="6"/>
      <c r="M21" s="6"/>
    </row>
    <row r="22" ht="15.75" customHeight="1">
      <c r="A22" s="2"/>
      <c r="B22" s="26" t="s">
        <v>21</v>
      </c>
      <c r="C22" s="4"/>
      <c r="D22" s="4"/>
      <c r="E22" s="4"/>
      <c r="F22" s="5"/>
      <c r="G22" s="6"/>
      <c r="H22" s="7"/>
      <c r="I22" s="26" t="s">
        <v>22</v>
      </c>
      <c r="J22" s="4"/>
      <c r="K22" s="4"/>
      <c r="L22" s="4"/>
      <c r="M22" s="5"/>
    </row>
    <row r="23" ht="15.75" customHeight="1">
      <c r="A23" s="2"/>
      <c r="B23" s="8" t="s">
        <v>2</v>
      </c>
      <c r="C23" s="9"/>
      <c r="D23" s="8" t="s">
        <v>3</v>
      </c>
      <c r="E23" s="9"/>
      <c r="F23" s="27" t="s">
        <v>4</v>
      </c>
      <c r="G23" s="6"/>
      <c r="H23" s="7"/>
      <c r="I23" s="8" t="s">
        <v>2</v>
      </c>
      <c r="J23" s="9"/>
      <c r="K23" s="8" t="s">
        <v>3</v>
      </c>
      <c r="L23" s="9"/>
      <c r="M23" s="10" t="s">
        <v>4</v>
      </c>
    </row>
    <row r="24" ht="15.75" customHeight="1">
      <c r="A24" s="2"/>
      <c r="B24" s="11" t="s">
        <v>5</v>
      </c>
      <c r="C24" s="11" t="s">
        <v>6</v>
      </c>
      <c r="D24" s="11" t="s">
        <v>7</v>
      </c>
      <c r="E24" s="11" t="s">
        <v>8</v>
      </c>
      <c r="F24" s="28"/>
      <c r="G24" s="6"/>
      <c r="H24" s="7"/>
      <c r="I24" s="11" t="s">
        <v>5</v>
      </c>
      <c r="J24" s="11" t="s">
        <v>6</v>
      </c>
      <c r="K24" s="11" t="s">
        <v>7</v>
      </c>
      <c r="L24" s="11" t="s">
        <v>8</v>
      </c>
      <c r="M24" s="12"/>
    </row>
    <row r="25" ht="15.75" customHeight="1">
      <c r="A25" s="22" t="s">
        <v>23</v>
      </c>
      <c r="B25" s="14">
        <f t="shared" ref="B25:F25" si="14">B57</f>
        <v>2.036112</v>
      </c>
      <c r="C25" s="14">
        <f t="shared" si="14"/>
        <v>6.365247</v>
      </c>
      <c r="D25" s="14">
        <f t="shared" si="14"/>
        <v>0</v>
      </c>
      <c r="E25" s="14">
        <f t="shared" si="14"/>
        <v>2.958494</v>
      </c>
      <c r="F25" s="14">
        <f t="shared" si="14"/>
        <v>2.769057</v>
      </c>
      <c r="G25" s="6"/>
      <c r="H25" s="23" t="s">
        <v>23</v>
      </c>
      <c r="I25" s="15">
        <f t="shared" ref="I25:M25" si="15">G57</f>
        <v>5601.416</v>
      </c>
      <c r="J25" s="15">
        <f t="shared" si="15"/>
        <v>3568.952</v>
      </c>
      <c r="K25" s="15">
        <f t="shared" si="15"/>
        <v>0</v>
      </c>
      <c r="L25" s="15">
        <f t="shared" si="15"/>
        <v>9170.367</v>
      </c>
      <c r="M25" s="15">
        <f t="shared" si="15"/>
        <v>9170.367</v>
      </c>
      <c r="P25" s="71" t="s">
        <v>90</v>
      </c>
    </row>
    <row r="26" ht="15.75" customHeight="1">
      <c r="A26" s="22" t="s">
        <v>10</v>
      </c>
      <c r="B26" s="14">
        <f t="shared" ref="B26:F26" si="16">B58</f>
        <v>1.559928</v>
      </c>
      <c r="C26" s="14">
        <f t="shared" si="16"/>
        <v>13.18337</v>
      </c>
      <c r="D26" s="14">
        <f t="shared" si="16"/>
        <v>0</v>
      </c>
      <c r="E26" s="14">
        <f t="shared" si="16"/>
        <v>3.161022</v>
      </c>
      <c r="F26" s="14">
        <f t="shared" si="16"/>
        <v>3.110459</v>
      </c>
      <c r="G26" s="6"/>
      <c r="H26" s="23" t="s">
        <v>10</v>
      </c>
      <c r="I26" s="15">
        <f t="shared" ref="I26:M26" si="17">G58</f>
        <v>5711.951</v>
      </c>
      <c r="J26" s="15">
        <f t="shared" si="17"/>
        <v>7430.738</v>
      </c>
      <c r="K26" s="15">
        <f t="shared" si="17"/>
        <v>0</v>
      </c>
      <c r="L26" s="15">
        <f t="shared" si="17"/>
        <v>13142.69</v>
      </c>
      <c r="M26" s="15">
        <f t="shared" si="17"/>
        <v>13142.69</v>
      </c>
      <c r="N26" s="29"/>
      <c r="O26" s="33">
        <f>L27+L36</f>
        <v>61249.25</v>
      </c>
      <c r="P26" s="71">
        <v>61250.0</v>
      </c>
    </row>
    <row r="27" ht="15.75" customHeight="1">
      <c r="A27" s="22" t="s">
        <v>18</v>
      </c>
      <c r="B27" s="14">
        <f t="shared" ref="B27:F27" si="18">B59</f>
        <v>1.495862</v>
      </c>
      <c r="C27" s="14">
        <f t="shared" si="18"/>
        <v>10.31042</v>
      </c>
      <c r="D27" s="14">
        <f t="shared" si="18"/>
        <v>0</v>
      </c>
      <c r="E27" s="14">
        <f t="shared" si="18"/>
        <v>3.000142</v>
      </c>
      <c r="F27" s="14">
        <f t="shared" si="18"/>
        <v>2.872742</v>
      </c>
      <c r="G27" s="6"/>
      <c r="H27" s="23" t="s">
        <v>18</v>
      </c>
      <c r="I27" s="15">
        <f t="shared" ref="I27:M27" si="19">G59</f>
        <v>8204.698</v>
      </c>
      <c r="J27" s="15">
        <f t="shared" si="19"/>
        <v>10469.02</v>
      </c>
      <c r="K27" s="15">
        <f t="shared" si="19"/>
        <v>0</v>
      </c>
      <c r="L27" s="15">
        <f t="shared" si="19"/>
        <v>18673.71</v>
      </c>
      <c r="M27" s="15">
        <f t="shared" si="19"/>
        <v>18673.71</v>
      </c>
      <c r="O27" s="33">
        <f>L27+L36+L45</f>
        <v>75211.21</v>
      </c>
    </row>
    <row r="28" ht="15.75" customHeight="1">
      <c r="A28" s="16" t="s">
        <v>24</v>
      </c>
      <c r="B28" s="17"/>
      <c r="C28" s="17"/>
      <c r="D28" s="17"/>
      <c r="E28" s="17"/>
      <c r="F28" s="17"/>
      <c r="G28" s="18"/>
      <c r="H28" s="16" t="s">
        <v>24</v>
      </c>
      <c r="I28" s="19"/>
      <c r="J28" s="19"/>
      <c r="K28" s="19"/>
      <c r="L28" s="19"/>
      <c r="M28" s="19"/>
      <c r="N28" s="16"/>
      <c r="O28" s="16"/>
      <c r="P28" s="16"/>
      <c r="Q28" s="16"/>
      <c r="R28" s="16"/>
      <c r="S28" s="16"/>
      <c r="T28" s="16"/>
      <c r="U28" s="16"/>
      <c r="V28" s="16"/>
      <c r="W28" s="16"/>
      <c r="X28" s="16"/>
      <c r="Y28" s="16"/>
      <c r="Z28" s="16"/>
    </row>
    <row r="29" ht="15.75" customHeight="1">
      <c r="A29" s="16" t="s">
        <v>87</v>
      </c>
      <c r="B29" s="17"/>
      <c r="C29" s="17"/>
      <c r="D29" s="17"/>
      <c r="E29" s="17"/>
      <c r="F29" s="17"/>
      <c r="G29" s="18"/>
      <c r="H29" s="16" t="s">
        <v>87</v>
      </c>
      <c r="I29" s="19"/>
      <c r="J29" s="19"/>
      <c r="K29" s="19"/>
      <c r="L29" s="19"/>
      <c r="M29" s="19"/>
      <c r="N29" s="16"/>
      <c r="O29" s="16"/>
      <c r="P29" s="16"/>
      <c r="Q29" s="16"/>
      <c r="R29" s="16"/>
      <c r="S29" s="16"/>
      <c r="T29" s="16"/>
      <c r="U29" s="16"/>
      <c r="V29" s="16"/>
      <c r="W29" s="16"/>
      <c r="X29" s="16"/>
      <c r="Y29" s="16"/>
      <c r="Z29" s="16"/>
    </row>
    <row r="30" ht="15.75" customHeight="1">
      <c r="A30" s="2"/>
      <c r="B30" s="6"/>
      <c r="C30" s="6"/>
      <c r="D30" s="6"/>
      <c r="E30" s="6"/>
      <c r="F30" s="6"/>
      <c r="G30" s="6"/>
      <c r="H30" s="7"/>
      <c r="I30" s="6"/>
      <c r="J30" s="6"/>
      <c r="K30" s="6"/>
      <c r="L30" s="6"/>
      <c r="M30" s="6"/>
      <c r="P30" s="30"/>
    </row>
    <row r="31" ht="15.75" customHeight="1">
      <c r="A31" s="2"/>
      <c r="B31" s="31" t="s">
        <v>25</v>
      </c>
      <c r="C31" s="4"/>
      <c r="D31" s="4"/>
      <c r="E31" s="4"/>
      <c r="F31" s="5"/>
      <c r="G31" s="6"/>
      <c r="H31" s="7"/>
      <c r="I31" s="31" t="s">
        <v>26</v>
      </c>
      <c r="J31" s="4"/>
      <c r="K31" s="4"/>
      <c r="L31" s="4"/>
      <c r="M31" s="5"/>
      <c r="P31" s="32"/>
    </row>
    <row r="32" ht="15.75" customHeight="1">
      <c r="A32" s="2"/>
      <c r="B32" s="8" t="s">
        <v>2</v>
      </c>
      <c r="C32" s="9"/>
      <c r="D32" s="8" t="s">
        <v>3</v>
      </c>
      <c r="E32" s="9"/>
      <c r="F32" s="27" t="s">
        <v>4</v>
      </c>
      <c r="G32" s="6"/>
      <c r="H32" s="7"/>
      <c r="I32" s="8" t="s">
        <v>2</v>
      </c>
      <c r="J32" s="9"/>
      <c r="K32" s="8" t="s">
        <v>3</v>
      </c>
      <c r="L32" s="9"/>
      <c r="M32" s="27" t="s">
        <v>4</v>
      </c>
      <c r="P32" s="33"/>
    </row>
    <row r="33" ht="15.75" customHeight="1">
      <c r="A33" s="2"/>
      <c r="B33" s="11" t="s">
        <v>5</v>
      </c>
      <c r="C33" s="11" t="s">
        <v>6</v>
      </c>
      <c r="D33" s="11" t="s">
        <v>7</v>
      </c>
      <c r="E33" s="11" t="s">
        <v>8</v>
      </c>
      <c r="F33" s="28"/>
      <c r="G33" s="6"/>
      <c r="H33" s="7"/>
      <c r="I33" s="11" t="s">
        <v>5</v>
      </c>
      <c r="J33" s="11" t="s">
        <v>6</v>
      </c>
      <c r="K33" s="11" t="s">
        <v>7</v>
      </c>
      <c r="L33" s="11" t="s">
        <v>8</v>
      </c>
      <c r="M33" s="28"/>
      <c r="P33" s="33"/>
    </row>
    <row r="34" ht="15.75" customHeight="1">
      <c r="A34" s="22" t="s">
        <v>23</v>
      </c>
      <c r="B34" s="14">
        <f t="shared" ref="B34:F34" si="20">B60</f>
        <v>11.05421</v>
      </c>
      <c r="C34" s="14">
        <f t="shared" si="20"/>
        <v>5.895754</v>
      </c>
      <c r="D34" s="14">
        <f t="shared" si="20"/>
        <v>2.566874</v>
      </c>
      <c r="E34" s="14">
        <f t="shared" si="20"/>
        <v>10.7522</v>
      </c>
      <c r="F34" s="14">
        <f t="shared" si="20"/>
        <v>10.21316</v>
      </c>
      <c r="G34" s="6"/>
      <c r="H34" s="34" t="s">
        <v>23</v>
      </c>
      <c r="I34" s="15">
        <f t="shared" ref="I34:M34" si="21">G60</f>
        <v>29791.33</v>
      </c>
      <c r="J34" s="15">
        <f t="shared" si="21"/>
        <v>3095.294</v>
      </c>
      <c r="K34" s="15">
        <f t="shared" si="21"/>
        <v>544.318</v>
      </c>
      <c r="L34" s="15">
        <f t="shared" si="21"/>
        <v>32342.3</v>
      </c>
      <c r="M34" s="15">
        <f t="shared" si="21"/>
        <v>32886.62</v>
      </c>
    </row>
    <row r="35" ht="15.75" customHeight="1">
      <c r="A35" s="22" t="s">
        <v>10</v>
      </c>
      <c r="B35" s="14">
        <f t="shared" ref="B35:F35" si="22">B61</f>
        <v>5.565617</v>
      </c>
      <c r="C35" s="14">
        <f t="shared" si="22"/>
        <v>4.338993</v>
      </c>
      <c r="D35" s="14">
        <f t="shared" si="22"/>
        <v>0</v>
      </c>
      <c r="E35" s="14">
        <f t="shared" si="22"/>
        <v>5.509966</v>
      </c>
      <c r="F35" s="14">
        <f t="shared" si="22"/>
        <v>5.419001</v>
      </c>
      <c r="G35" s="6"/>
      <c r="H35" s="34" t="s">
        <v>10</v>
      </c>
      <c r="I35" s="15">
        <f t="shared" ref="I35:M35" si="23">G61</f>
        <v>20061.58</v>
      </c>
      <c r="J35" s="15">
        <f t="shared" si="23"/>
        <v>2123.232</v>
      </c>
      <c r="K35" s="15">
        <f t="shared" si="23"/>
        <v>0</v>
      </c>
      <c r="L35" s="15">
        <f t="shared" si="23"/>
        <v>22184.81</v>
      </c>
      <c r="M35" s="15">
        <f t="shared" si="23"/>
        <v>22184.81</v>
      </c>
      <c r="O35" s="16"/>
    </row>
    <row r="36" ht="15.75" customHeight="1">
      <c r="A36" s="22" t="s">
        <v>18</v>
      </c>
      <c r="B36" s="14">
        <f t="shared" ref="B36:F36" si="24">B62</f>
        <v>7.227829</v>
      </c>
      <c r="C36" s="14">
        <f t="shared" si="24"/>
        <v>4.467766</v>
      </c>
      <c r="D36" s="14">
        <f t="shared" si="24"/>
        <v>1.971925</v>
      </c>
      <c r="E36" s="14">
        <f t="shared" si="24"/>
        <v>7.051803</v>
      </c>
      <c r="F36" s="14">
        <f t="shared" si="24"/>
        <v>6.829708</v>
      </c>
      <c r="G36" s="6"/>
      <c r="H36" s="34" t="s">
        <v>18</v>
      </c>
      <c r="I36" s="15">
        <f t="shared" ref="I36:M36" si="25">G62</f>
        <v>39051.1</v>
      </c>
      <c r="J36" s="15">
        <f t="shared" si="25"/>
        <v>4068.759</v>
      </c>
      <c r="K36" s="15">
        <f t="shared" si="25"/>
        <v>544.318</v>
      </c>
      <c r="L36" s="15">
        <f t="shared" si="25"/>
        <v>42575.54</v>
      </c>
      <c r="M36" s="15">
        <f t="shared" si="25"/>
        <v>43119.86</v>
      </c>
      <c r="O36" s="35"/>
    </row>
    <row r="37" ht="15.75" customHeight="1">
      <c r="A37" s="16" t="s">
        <v>27</v>
      </c>
      <c r="B37" s="16"/>
      <c r="C37" s="16"/>
      <c r="D37" s="16"/>
      <c r="E37" s="16"/>
      <c r="F37" s="16"/>
      <c r="G37" s="16"/>
      <c r="H37" s="16" t="s">
        <v>28</v>
      </c>
      <c r="I37" s="16"/>
      <c r="J37" s="16"/>
      <c r="K37" s="16"/>
      <c r="L37" s="16"/>
      <c r="M37" s="16"/>
      <c r="N37" s="16"/>
      <c r="O37" s="16"/>
      <c r="P37" s="16"/>
      <c r="Q37" s="16"/>
      <c r="R37" s="16"/>
      <c r="S37" s="16"/>
      <c r="T37" s="16"/>
      <c r="U37" s="16"/>
      <c r="V37" s="16"/>
      <c r="W37" s="16"/>
      <c r="X37" s="16"/>
      <c r="Y37" s="16"/>
      <c r="Z37" s="16"/>
    </row>
    <row r="38" ht="15.75" customHeight="1">
      <c r="A38" s="16" t="s">
        <v>87</v>
      </c>
      <c r="B38" s="16"/>
      <c r="C38" s="16"/>
      <c r="D38" s="16"/>
      <c r="E38" s="16"/>
      <c r="F38" s="16"/>
      <c r="G38" s="16"/>
      <c r="H38" s="16" t="s">
        <v>87</v>
      </c>
      <c r="I38" s="16"/>
      <c r="J38" s="16"/>
      <c r="K38" s="16"/>
      <c r="L38" s="16"/>
      <c r="M38" s="16"/>
      <c r="N38" s="16"/>
      <c r="O38" s="16"/>
      <c r="P38" s="16"/>
      <c r="Q38" s="16"/>
      <c r="R38" s="16"/>
      <c r="S38" s="16"/>
      <c r="T38" s="16"/>
      <c r="U38" s="16"/>
      <c r="V38" s="16"/>
      <c r="W38" s="16"/>
      <c r="X38" s="16"/>
      <c r="Y38" s="16"/>
      <c r="Z38" s="16"/>
    </row>
    <row r="39" ht="15.75" customHeight="1">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5.75" customHeight="1">
      <c r="A40" s="2"/>
      <c r="B40" s="31" t="s">
        <v>29</v>
      </c>
      <c r="C40" s="4"/>
      <c r="D40" s="4"/>
      <c r="E40" s="4"/>
      <c r="F40" s="5"/>
      <c r="G40" s="6"/>
      <c r="H40" s="7"/>
      <c r="I40" s="31" t="s">
        <v>30</v>
      </c>
      <c r="J40" s="4"/>
      <c r="K40" s="4"/>
      <c r="L40" s="4"/>
      <c r="M40" s="5"/>
    </row>
    <row r="41" ht="15.75" customHeight="1">
      <c r="A41" s="2"/>
      <c r="B41" s="8" t="s">
        <v>2</v>
      </c>
      <c r="C41" s="9"/>
      <c r="D41" s="8" t="s">
        <v>3</v>
      </c>
      <c r="E41" s="9"/>
      <c r="F41" s="27" t="s">
        <v>4</v>
      </c>
      <c r="G41" s="6"/>
      <c r="H41" s="7"/>
      <c r="I41" s="8" t="s">
        <v>2</v>
      </c>
      <c r="J41" s="9"/>
      <c r="K41" s="8" t="s">
        <v>3</v>
      </c>
      <c r="L41" s="9"/>
      <c r="M41" s="27" t="s">
        <v>4</v>
      </c>
    </row>
    <row r="42" ht="15.75" customHeight="1">
      <c r="A42" s="2"/>
      <c r="B42" s="11" t="s">
        <v>5</v>
      </c>
      <c r="C42" s="11" t="s">
        <v>6</v>
      </c>
      <c r="D42" s="11" t="s">
        <v>7</v>
      </c>
      <c r="E42" s="11" t="s">
        <v>8</v>
      </c>
      <c r="F42" s="28"/>
      <c r="G42" s="6"/>
      <c r="H42" s="7"/>
      <c r="I42" s="11" t="s">
        <v>5</v>
      </c>
      <c r="J42" s="11" t="s">
        <v>6</v>
      </c>
      <c r="K42" s="11" t="s">
        <v>7</v>
      </c>
      <c r="L42" s="11" t="s">
        <v>8</v>
      </c>
      <c r="M42" s="28"/>
    </row>
    <row r="43" ht="15.75" customHeight="1">
      <c r="A43" s="22" t="s">
        <v>23</v>
      </c>
      <c r="B43" s="14">
        <f t="shared" ref="B43:F43" si="26">B63</f>
        <v>35.64447</v>
      </c>
      <c r="C43" s="14">
        <f t="shared" si="26"/>
        <v>29.22251</v>
      </c>
      <c r="D43" s="14">
        <f t="shared" si="26"/>
        <v>100</v>
      </c>
      <c r="E43" s="14">
        <f t="shared" si="26"/>
        <v>33.94676</v>
      </c>
      <c r="F43" s="14">
        <f t="shared" si="26"/>
        <v>35.04004</v>
      </c>
      <c r="G43" s="6"/>
      <c r="H43" s="34" t="s">
        <v>23</v>
      </c>
      <c r="I43" s="15">
        <f t="shared" ref="I43:M43" si="27">G63</f>
        <v>10618.96</v>
      </c>
      <c r="J43" s="15">
        <f t="shared" si="27"/>
        <v>904.5226</v>
      </c>
      <c r="K43" s="15">
        <f t="shared" si="27"/>
        <v>544.318</v>
      </c>
      <c r="L43" s="15">
        <f t="shared" si="27"/>
        <v>10979.17</v>
      </c>
      <c r="M43" s="15">
        <f t="shared" si="27"/>
        <v>11523.48</v>
      </c>
    </row>
    <row r="44" ht="15.75" customHeight="1">
      <c r="A44" s="22" t="s">
        <v>10</v>
      </c>
      <c r="B44" s="14">
        <f t="shared" ref="B44:F44" si="28">B64</f>
        <v>44.2657</v>
      </c>
      <c r="C44" s="14">
        <f t="shared" si="28"/>
        <v>33.90398</v>
      </c>
      <c r="D44" s="14" t="str">
        <f t="shared" si="28"/>
        <v/>
      </c>
      <c r="E44" s="14">
        <f t="shared" si="28"/>
        <v>43.27402</v>
      </c>
      <c r="F44" s="14">
        <f t="shared" si="28"/>
        <v>43.27402</v>
      </c>
      <c r="G44" s="6"/>
      <c r="H44" s="34" t="s">
        <v>10</v>
      </c>
      <c r="I44" s="15">
        <f t="shared" ref="I44:M44" si="29">G64</f>
        <v>8880.4</v>
      </c>
      <c r="J44" s="15">
        <f t="shared" si="29"/>
        <v>719.86</v>
      </c>
      <c r="K44" s="15">
        <f t="shared" si="29"/>
        <v>0</v>
      </c>
      <c r="L44" s="15">
        <f t="shared" si="29"/>
        <v>9600.261</v>
      </c>
      <c r="M44" s="15">
        <f t="shared" si="29"/>
        <v>9600.261</v>
      </c>
    </row>
    <row r="45" ht="15.75" customHeight="1">
      <c r="A45" s="22" t="s">
        <v>18</v>
      </c>
      <c r="B45" s="14">
        <f t="shared" ref="B45:F45" si="30">B65</f>
        <v>33.90967</v>
      </c>
      <c r="C45" s="14">
        <f t="shared" si="30"/>
        <v>31.07036</v>
      </c>
      <c r="D45" s="14">
        <f t="shared" si="30"/>
        <v>100</v>
      </c>
      <c r="E45" s="14">
        <f t="shared" si="30"/>
        <v>32.79338</v>
      </c>
      <c r="F45" s="14">
        <f t="shared" si="30"/>
        <v>33.64176</v>
      </c>
      <c r="G45" s="6"/>
      <c r="H45" s="34" t="s">
        <v>18</v>
      </c>
      <c r="I45" s="15">
        <f t="shared" ref="I45:M45" si="31">G65</f>
        <v>13242.1</v>
      </c>
      <c r="J45" s="15">
        <f t="shared" si="31"/>
        <v>1264.178</v>
      </c>
      <c r="K45" s="15">
        <f t="shared" si="31"/>
        <v>544.318</v>
      </c>
      <c r="L45" s="15">
        <f t="shared" si="31"/>
        <v>13961.96</v>
      </c>
      <c r="M45" s="15">
        <f t="shared" si="31"/>
        <v>14506.28</v>
      </c>
    </row>
    <row r="46" ht="15.75" customHeight="1">
      <c r="A46" s="16" t="s">
        <v>31</v>
      </c>
      <c r="B46" s="16"/>
      <c r="C46" s="16"/>
      <c r="D46" s="16"/>
      <c r="E46" s="16"/>
      <c r="F46" s="16"/>
      <c r="G46" s="16"/>
      <c r="H46" s="16" t="s">
        <v>31</v>
      </c>
      <c r="I46" s="16"/>
      <c r="J46" s="16"/>
      <c r="K46" s="16"/>
      <c r="L46" s="16"/>
      <c r="M46" s="16"/>
      <c r="N46" s="16"/>
      <c r="O46" s="16"/>
      <c r="P46" s="16"/>
      <c r="Q46" s="16"/>
      <c r="R46" s="16"/>
      <c r="S46" s="16"/>
      <c r="T46" s="16"/>
      <c r="U46" s="16"/>
      <c r="V46" s="16"/>
      <c r="W46" s="16"/>
      <c r="X46" s="16"/>
      <c r="Y46" s="16"/>
      <c r="Z46" s="16"/>
    </row>
    <row r="47" ht="15.75" customHeight="1">
      <c r="A47" s="16" t="s">
        <v>87</v>
      </c>
      <c r="B47" s="16"/>
      <c r="C47" s="16"/>
      <c r="D47" s="16"/>
      <c r="E47" s="16"/>
      <c r="F47" s="16"/>
      <c r="G47" s="16"/>
      <c r="H47" s="16" t="s">
        <v>87</v>
      </c>
      <c r="I47" s="16"/>
      <c r="J47" s="16"/>
      <c r="K47" s="16"/>
      <c r="L47" s="16"/>
      <c r="M47" s="16"/>
      <c r="N47" s="16"/>
      <c r="O47" s="16"/>
      <c r="P47" s="16"/>
      <c r="Q47" s="16"/>
      <c r="R47" s="16"/>
      <c r="S47" s="16"/>
      <c r="T47" s="16"/>
      <c r="U47" s="16"/>
      <c r="V47" s="16"/>
      <c r="W47" s="16"/>
      <c r="X47" s="16"/>
      <c r="Y47" s="16"/>
      <c r="Z47" s="16"/>
    </row>
    <row r="48" ht="15.75" customHeight="1">
      <c r="H48" s="1"/>
    </row>
    <row r="49" ht="15.75" customHeight="1">
      <c r="A49" s="36"/>
      <c r="B49" s="36"/>
      <c r="C49" s="36"/>
      <c r="D49" s="36"/>
      <c r="E49" s="36"/>
      <c r="F49" s="36"/>
      <c r="G49" s="36"/>
      <c r="H49" s="1"/>
      <c r="I49" s="36"/>
      <c r="J49" s="36"/>
      <c r="K49" s="36"/>
      <c r="L49" s="36"/>
      <c r="M49" s="36"/>
      <c r="N49" s="36"/>
      <c r="O49" s="36"/>
      <c r="P49" s="36"/>
      <c r="Q49" s="36"/>
      <c r="R49" s="36"/>
      <c r="S49" s="36"/>
      <c r="T49" s="36"/>
      <c r="U49" s="36"/>
      <c r="V49" s="36"/>
      <c r="W49" s="36"/>
      <c r="X49" s="36"/>
      <c r="Y49" s="36"/>
      <c r="Z49" s="36"/>
    </row>
    <row r="50" ht="15.75" customHeight="1">
      <c r="A50" s="36"/>
      <c r="B50" s="36" t="s">
        <v>32</v>
      </c>
      <c r="C50" s="36" t="s">
        <v>33</v>
      </c>
      <c r="D50" s="36" t="s">
        <v>34</v>
      </c>
      <c r="E50" s="36" t="s">
        <v>35</v>
      </c>
      <c r="F50" s="36" t="s">
        <v>36</v>
      </c>
      <c r="G50" s="36" t="s">
        <v>37</v>
      </c>
      <c r="H50" s="1" t="s">
        <v>38</v>
      </c>
      <c r="I50" s="36" t="s">
        <v>39</v>
      </c>
      <c r="J50" s="36" t="s">
        <v>40</v>
      </c>
      <c r="K50" s="36" t="s">
        <v>41</v>
      </c>
      <c r="L50" s="36"/>
      <c r="M50" s="36"/>
      <c r="N50" s="36"/>
      <c r="O50" s="36"/>
      <c r="P50" s="36"/>
      <c r="Q50" s="36"/>
      <c r="R50" s="36"/>
      <c r="S50" s="36"/>
      <c r="T50" s="36"/>
      <c r="U50" s="36"/>
      <c r="V50" s="36"/>
      <c r="W50" s="36"/>
      <c r="X50" s="36"/>
      <c r="Y50" s="36"/>
      <c r="Z50" s="36"/>
    </row>
    <row r="51" ht="15.75" customHeight="1">
      <c r="A51" s="36"/>
      <c r="B51" s="36">
        <v>16.43954</v>
      </c>
      <c r="C51" s="36">
        <v>6.958605</v>
      </c>
      <c r="D51" s="36">
        <v>3.740037</v>
      </c>
      <c r="E51" s="36">
        <v>12.68487</v>
      </c>
      <c r="F51" s="36">
        <v>11.68358</v>
      </c>
      <c r="G51" s="36">
        <v>892525.3</v>
      </c>
      <c r="H51" s="1">
        <v>380270.2</v>
      </c>
      <c r="I51" s="36">
        <v>45608.59</v>
      </c>
      <c r="J51" s="36">
        <v>1227187.0</v>
      </c>
      <c r="K51" s="36">
        <v>1272796.0</v>
      </c>
      <c r="L51" s="36"/>
      <c r="M51" s="36"/>
      <c r="N51" s="36"/>
      <c r="O51" s="36"/>
      <c r="P51" s="36"/>
      <c r="Q51" s="36"/>
      <c r="R51" s="36"/>
      <c r="S51" s="36"/>
      <c r="T51" s="36"/>
      <c r="U51" s="36"/>
      <c r="V51" s="36"/>
      <c r="W51" s="36"/>
      <c r="X51" s="36"/>
      <c r="Y51" s="36"/>
      <c r="Z51" s="36"/>
    </row>
    <row r="52" ht="15.75" customHeight="1">
      <c r="A52" s="36"/>
      <c r="B52" s="36">
        <v>64.9002</v>
      </c>
      <c r="C52" s="36">
        <v>52.08033</v>
      </c>
      <c r="D52" s="36">
        <v>19.17954</v>
      </c>
      <c r="E52" s="36">
        <v>63.42182</v>
      </c>
      <c r="F52" s="36">
        <v>58.46931</v>
      </c>
      <c r="G52" s="36">
        <v>3523520.0</v>
      </c>
      <c r="H52" s="1">
        <v>2846058.0</v>
      </c>
      <c r="I52" s="36">
        <v>233888.6</v>
      </c>
      <c r="J52" s="36">
        <v>6135690.0</v>
      </c>
      <c r="K52" s="36">
        <v>6369579.0</v>
      </c>
      <c r="L52" s="36"/>
      <c r="M52" s="36"/>
      <c r="N52" s="36"/>
      <c r="O52" s="36"/>
      <c r="P52" s="36"/>
      <c r="Q52" s="36"/>
      <c r="R52" s="36"/>
      <c r="S52" s="36"/>
      <c r="T52" s="36"/>
      <c r="U52" s="36"/>
      <c r="V52" s="36"/>
      <c r="W52" s="36"/>
      <c r="X52" s="36"/>
      <c r="Y52" s="36"/>
      <c r="Z52" s="36"/>
    </row>
    <row r="53" ht="15.75" customHeight="1">
      <c r="A53" s="36"/>
      <c r="B53" s="36">
        <v>66.2154</v>
      </c>
      <c r="C53" s="36">
        <v>52.82986</v>
      </c>
      <c r="D53" s="36">
        <v>19.95033</v>
      </c>
      <c r="E53" s="36">
        <v>64.48612</v>
      </c>
      <c r="F53" s="36">
        <v>59.50075</v>
      </c>
      <c r="G53" s="36">
        <v>3594924.0</v>
      </c>
      <c r="H53" s="1">
        <v>2887018.0</v>
      </c>
      <c r="I53" s="36">
        <v>243288.1</v>
      </c>
      <c r="J53" s="36">
        <v>6238655.0</v>
      </c>
      <c r="K53" s="36">
        <v>6481943.0</v>
      </c>
      <c r="L53" s="36"/>
      <c r="M53" s="36"/>
      <c r="N53" s="36"/>
      <c r="O53" s="36"/>
      <c r="P53" s="36"/>
      <c r="Q53" s="36"/>
      <c r="R53" s="36"/>
      <c r="S53" s="36"/>
      <c r="T53" s="36"/>
      <c r="U53" s="36"/>
      <c r="V53" s="36"/>
      <c r="W53" s="36"/>
      <c r="X53" s="36"/>
      <c r="Y53" s="36"/>
      <c r="Z53" s="36"/>
    </row>
    <row r="54" ht="15.75" customHeight="1">
      <c r="A54" s="36"/>
      <c r="B54" s="36">
        <v>30.82305</v>
      </c>
      <c r="C54" s="36">
        <v>14.74461</v>
      </c>
      <c r="D54" s="36">
        <v>46.49448</v>
      </c>
      <c r="E54" s="36">
        <v>25.25837</v>
      </c>
      <c r="F54" s="36">
        <v>26.01933</v>
      </c>
      <c r="G54" s="36">
        <v>275103.6</v>
      </c>
      <c r="H54" s="1">
        <v>56069.34</v>
      </c>
      <c r="I54" s="36">
        <v>21205.48</v>
      </c>
      <c r="J54" s="36">
        <v>309967.4</v>
      </c>
      <c r="K54" s="36">
        <v>331172.9</v>
      </c>
      <c r="L54" s="36"/>
      <c r="M54" s="36"/>
      <c r="N54" s="36"/>
      <c r="O54" s="36"/>
      <c r="P54" s="36"/>
      <c r="Q54" s="36"/>
      <c r="R54" s="36"/>
      <c r="S54" s="36"/>
      <c r="T54" s="36"/>
      <c r="U54" s="36"/>
      <c r="V54" s="36"/>
      <c r="W54" s="36"/>
      <c r="X54" s="36"/>
      <c r="Y54" s="36"/>
      <c r="Z54" s="36"/>
    </row>
    <row r="55" ht="15.75" customHeight="1">
      <c r="A55" s="36"/>
      <c r="B55" s="36">
        <v>10.3921</v>
      </c>
      <c r="C55" s="36">
        <v>1.98044</v>
      </c>
      <c r="D55" s="36">
        <v>2.889731</v>
      </c>
      <c r="E55" s="36">
        <v>6.77631</v>
      </c>
      <c r="F55" s="36">
        <v>6.633596</v>
      </c>
      <c r="G55" s="36">
        <v>366167.6</v>
      </c>
      <c r="H55" s="1">
        <v>56364.48</v>
      </c>
      <c r="I55" s="36">
        <v>6758.751</v>
      </c>
      <c r="J55" s="36">
        <v>415773.3</v>
      </c>
      <c r="K55" s="36">
        <v>422532.1</v>
      </c>
      <c r="L55" s="36"/>
      <c r="M55" s="36"/>
      <c r="N55" s="36"/>
      <c r="O55" s="36"/>
      <c r="P55" s="36"/>
      <c r="Q55" s="36"/>
      <c r="R55" s="36"/>
      <c r="S55" s="36"/>
      <c r="T55" s="36"/>
      <c r="U55" s="36"/>
      <c r="V55" s="36"/>
      <c r="W55" s="36"/>
      <c r="X55" s="36"/>
      <c r="Y55" s="36"/>
      <c r="Z55" s="36"/>
    </row>
    <row r="56" ht="15.75" customHeight="1">
      <c r="A56" s="36"/>
      <c r="B56" s="36">
        <v>15.25742</v>
      </c>
      <c r="C56" s="36">
        <v>3.517062</v>
      </c>
      <c r="D56" s="36">
        <v>11.34596</v>
      </c>
      <c r="E56" s="36">
        <v>9.976954</v>
      </c>
      <c r="F56" s="36">
        <v>10.02834</v>
      </c>
      <c r="G56" s="36">
        <v>548492.8</v>
      </c>
      <c r="H56" s="1">
        <v>101538.2</v>
      </c>
      <c r="I56" s="36">
        <v>27603.38</v>
      </c>
      <c r="J56" s="36">
        <v>622427.7</v>
      </c>
      <c r="K56" s="36">
        <v>650031.1</v>
      </c>
      <c r="L56" s="36"/>
      <c r="M56" s="36"/>
      <c r="N56" s="36"/>
      <c r="O56" s="36"/>
      <c r="P56" s="36"/>
      <c r="Q56" s="36"/>
      <c r="R56" s="36"/>
      <c r="S56" s="36"/>
      <c r="T56" s="36"/>
      <c r="U56" s="36"/>
      <c r="V56" s="36"/>
      <c r="W56" s="36"/>
      <c r="X56" s="36"/>
      <c r="Y56" s="36"/>
      <c r="Z56" s="36"/>
    </row>
    <row r="57" ht="15.75" customHeight="1">
      <c r="A57" s="36"/>
      <c r="B57" s="36">
        <v>2.036112</v>
      </c>
      <c r="C57" s="36">
        <v>6.365247</v>
      </c>
      <c r="D57" s="36">
        <v>0.0</v>
      </c>
      <c r="E57" s="36">
        <v>2.958494</v>
      </c>
      <c r="F57" s="36">
        <v>2.769057</v>
      </c>
      <c r="G57" s="36">
        <v>5601.416</v>
      </c>
      <c r="H57" s="1">
        <v>3568.952</v>
      </c>
      <c r="I57" s="36">
        <v>0.0</v>
      </c>
      <c r="J57" s="36">
        <v>9170.367</v>
      </c>
      <c r="K57" s="36">
        <v>9170.367</v>
      </c>
      <c r="L57" s="36"/>
      <c r="M57" s="36"/>
      <c r="N57" s="36"/>
      <c r="O57" s="36"/>
      <c r="P57" s="36"/>
      <c r="Q57" s="36"/>
      <c r="R57" s="36"/>
      <c r="S57" s="36"/>
      <c r="T57" s="36"/>
      <c r="U57" s="36"/>
      <c r="V57" s="36"/>
      <c r="W57" s="36"/>
      <c r="X57" s="36"/>
      <c r="Y57" s="36"/>
      <c r="Z57" s="36"/>
    </row>
    <row r="58" ht="15.75" customHeight="1">
      <c r="A58" s="36"/>
      <c r="B58" s="36">
        <v>1.559928</v>
      </c>
      <c r="C58" s="36">
        <v>13.18337</v>
      </c>
      <c r="D58" s="36">
        <v>0.0</v>
      </c>
      <c r="E58" s="36">
        <v>3.161022</v>
      </c>
      <c r="F58" s="36">
        <v>3.110459</v>
      </c>
      <c r="G58" s="36">
        <v>5711.951</v>
      </c>
      <c r="H58" s="1">
        <v>7430.738</v>
      </c>
      <c r="I58" s="36">
        <v>0.0</v>
      </c>
      <c r="J58" s="36">
        <v>13142.69</v>
      </c>
      <c r="K58" s="36">
        <v>13142.69</v>
      </c>
      <c r="L58" s="36"/>
      <c r="M58" s="36"/>
      <c r="N58" s="36"/>
      <c r="O58" s="36"/>
      <c r="P58" s="36"/>
      <c r="Q58" s="36"/>
      <c r="R58" s="36"/>
      <c r="S58" s="36"/>
      <c r="T58" s="36"/>
      <c r="U58" s="36"/>
      <c r="V58" s="36"/>
      <c r="W58" s="36"/>
      <c r="X58" s="36"/>
      <c r="Y58" s="36"/>
      <c r="Z58" s="36"/>
    </row>
    <row r="59" ht="15.75" customHeight="1">
      <c r="A59" s="36"/>
      <c r="B59" s="36">
        <v>1.495862</v>
      </c>
      <c r="C59" s="36">
        <v>10.31042</v>
      </c>
      <c r="D59" s="36">
        <v>0.0</v>
      </c>
      <c r="E59" s="36">
        <v>3.000142</v>
      </c>
      <c r="F59" s="36">
        <v>2.872742</v>
      </c>
      <c r="G59" s="36">
        <v>8204.698</v>
      </c>
      <c r="H59" s="1">
        <v>10469.02</v>
      </c>
      <c r="I59" s="36">
        <v>0.0</v>
      </c>
      <c r="J59" s="36">
        <v>18673.71</v>
      </c>
      <c r="K59" s="36">
        <v>18673.71</v>
      </c>
      <c r="L59" s="36"/>
      <c r="M59" s="36"/>
      <c r="N59" s="36"/>
      <c r="O59" s="36"/>
      <c r="P59" s="36"/>
      <c r="Q59" s="36"/>
      <c r="R59" s="36"/>
      <c r="S59" s="36"/>
      <c r="T59" s="36"/>
      <c r="U59" s="36"/>
      <c r="V59" s="36"/>
      <c r="W59" s="36"/>
      <c r="X59" s="36"/>
      <c r="Y59" s="36"/>
      <c r="Z59" s="36"/>
    </row>
    <row r="60" ht="15.75" customHeight="1">
      <c r="A60" s="36"/>
      <c r="B60" s="36">
        <v>11.05421</v>
      </c>
      <c r="C60" s="36">
        <v>5.895754</v>
      </c>
      <c r="D60" s="36">
        <v>2.566874</v>
      </c>
      <c r="E60" s="36">
        <v>10.7522</v>
      </c>
      <c r="F60" s="36">
        <v>10.21316</v>
      </c>
      <c r="G60" s="36">
        <v>29791.33</v>
      </c>
      <c r="H60" s="1">
        <v>3095.294</v>
      </c>
      <c r="I60" s="36">
        <v>544.318</v>
      </c>
      <c r="J60" s="36">
        <v>32342.3</v>
      </c>
      <c r="K60" s="36">
        <v>32886.62</v>
      </c>
      <c r="L60" s="36"/>
      <c r="M60" s="36"/>
      <c r="N60" s="36"/>
      <c r="O60" s="36"/>
      <c r="P60" s="36"/>
      <c r="Q60" s="36"/>
      <c r="R60" s="36"/>
      <c r="S60" s="36"/>
      <c r="T60" s="36"/>
      <c r="U60" s="36"/>
      <c r="V60" s="36"/>
      <c r="W60" s="36"/>
      <c r="X60" s="36"/>
      <c r="Y60" s="36"/>
      <c r="Z60" s="36"/>
    </row>
    <row r="61" ht="15.75" customHeight="1">
      <c r="A61" s="36"/>
      <c r="B61" s="36">
        <v>5.565617</v>
      </c>
      <c r="C61" s="36">
        <v>4.338993</v>
      </c>
      <c r="D61" s="36">
        <v>0.0</v>
      </c>
      <c r="E61" s="36">
        <v>5.509966</v>
      </c>
      <c r="F61" s="36">
        <v>5.419001</v>
      </c>
      <c r="G61" s="36">
        <v>20061.58</v>
      </c>
      <c r="H61" s="1">
        <v>2123.232</v>
      </c>
      <c r="I61" s="36">
        <v>0.0</v>
      </c>
      <c r="J61" s="36">
        <v>22184.81</v>
      </c>
      <c r="K61" s="36">
        <v>22184.81</v>
      </c>
      <c r="L61" s="36"/>
      <c r="M61" s="36"/>
      <c r="N61" s="36"/>
      <c r="O61" s="36"/>
      <c r="P61" s="36"/>
      <c r="Q61" s="36"/>
      <c r="R61" s="36"/>
      <c r="S61" s="36"/>
      <c r="T61" s="36"/>
      <c r="U61" s="36"/>
      <c r="V61" s="36"/>
      <c r="W61" s="36"/>
      <c r="X61" s="36"/>
      <c r="Y61" s="36"/>
      <c r="Z61" s="36"/>
    </row>
    <row r="62" ht="15.75" customHeight="1">
      <c r="A62" s="36"/>
      <c r="B62" s="36">
        <v>7.227829</v>
      </c>
      <c r="C62" s="36">
        <v>4.467766</v>
      </c>
      <c r="D62" s="36">
        <v>1.971925</v>
      </c>
      <c r="E62" s="36">
        <v>7.051803</v>
      </c>
      <c r="F62" s="36">
        <v>6.829708</v>
      </c>
      <c r="G62" s="36">
        <v>39051.1</v>
      </c>
      <c r="H62" s="1">
        <v>4068.759</v>
      </c>
      <c r="I62" s="36">
        <v>544.318</v>
      </c>
      <c r="J62" s="36">
        <v>42575.54</v>
      </c>
      <c r="K62" s="36">
        <v>43119.86</v>
      </c>
      <c r="L62" s="36"/>
      <c r="M62" s="36"/>
      <c r="N62" s="36"/>
      <c r="O62" s="36"/>
      <c r="P62" s="36"/>
      <c r="Q62" s="36"/>
      <c r="R62" s="36"/>
      <c r="S62" s="36"/>
      <c r="T62" s="36"/>
      <c r="U62" s="36"/>
      <c r="V62" s="36"/>
      <c r="W62" s="36"/>
      <c r="X62" s="36"/>
      <c r="Y62" s="36"/>
      <c r="Z62" s="36"/>
    </row>
    <row r="63" ht="15.75" customHeight="1">
      <c r="A63" s="36"/>
      <c r="B63" s="36">
        <v>35.64447</v>
      </c>
      <c r="C63" s="36">
        <v>29.22251</v>
      </c>
      <c r="D63" s="36">
        <v>100.0</v>
      </c>
      <c r="E63" s="36">
        <v>33.94676</v>
      </c>
      <c r="F63" s="36">
        <v>35.04004</v>
      </c>
      <c r="G63" s="36">
        <v>10618.96</v>
      </c>
      <c r="H63" s="1">
        <v>904.5226</v>
      </c>
      <c r="I63" s="36">
        <v>544.318</v>
      </c>
      <c r="J63" s="36">
        <v>10979.17</v>
      </c>
      <c r="K63" s="36">
        <v>11523.48</v>
      </c>
      <c r="L63" s="36"/>
      <c r="M63" s="36"/>
      <c r="N63" s="36"/>
      <c r="O63" s="36"/>
      <c r="P63" s="36"/>
      <c r="Q63" s="36"/>
      <c r="R63" s="36"/>
      <c r="S63" s="36"/>
      <c r="T63" s="36"/>
      <c r="U63" s="36"/>
      <c r="V63" s="36"/>
      <c r="W63" s="36"/>
      <c r="X63" s="36"/>
      <c r="Y63" s="36"/>
      <c r="Z63" s="36"/>
    </row>
    <row r="64" ht="15.75" customHeight="1">
      <c r="A64" s="36"/>
      <c r="B64" s="36">
        <v>44.2657</v>
      </c>
      <c r="C64" s="36">
        <v>33.90398</v>
      </c>
      <c r="D64" s="36"/>
      <c r="E64" s="36">
        <v>43.27402</v>
      </c>
      <c r="F64" s="36">
        <v>43.27402</v>
      </c>
      <c r="G64" s="36">
        <v>8880.4</v>
      </c>
      <c r="H64" s="1">
        <v>719.86</v>
      </c>
      <c r="I64" s="36">
        <v>0.0</v>
      </c>
      <c r="J64" s="36">
        <v>9600.261</v>
      </c>
      <c r="K64" s="36">
        <v>9600.261</v>
      </c>
      <c r="L64" s="36"/>
      <c r="M64" s="36"/>
      <c r="N64" s="36"/>
      <c r="O64" s="36"/>
      <c r="P64" s="36"/>
      <c r="Q64" s="36"/>
      <c r="R64" s="36"/>
      <c r="S64" s="36"/>
      <c r="T64" s="36"/>
      <c r="U64" s="36"/>
      <c r="V64" s="36"/>
      <c r="W64" s="36"/>
      <c r="X64" s="36"/>
      <c r="Y64" s="36"/>
      <c r="Z64" s="36"/>
    </row>
    <row r="65" ht="15.75" customHeight="1">
      <c r="A65" s="36"/>
      <c r="B65" s="36">
        <v>33.90967</v>
      </c>
      <c r="C65" s="36">
        <v>31.07036</v>
      </c>
      <c r="D65" s="36">
        <v>100.0</v>
      </c>
      <c r="E65" s="36">
        <v>32.79338</v>
      </c>
      <c r="F65" s="36">
        <v>33.64176</v>
      </c>
      <c r="G65" s="36">
        <v>13242.1</v>
      </c>
      <c r="H65" s="1">
        <v>1264.178</v>
      </c>
      <c r="I65" s="36">
        <v>544.318</v>
      </c>
      <c r="J65" s="36">
        <v>13961.96</v>
      </c>
      <c r="K65" s="36">
        <v>14506.28</v>
      </c>
      <c r="L65" s="36"/>
      <c r="M65" s="36"/>
      <c r="N65" s="36"/>
      <c r="O65" s="36"/>
      <c r="P65" s="36"/>
      <c r="Q65" s="36"/>
      <c r="R65" s="36"/>
      <c r="S65" s="36"/>
      <c r="T65" s="36"/>
      <c r="U65" s="36"/>
      <c r="V65" s="36"/>
      <c r="W65" s="36"/>
      <c r="X65" s="36"/>
      <c r="Y65" s="36"/>
      <c r="Z65" s="36"/>
    </row>
    <row r="66" ht="15.75" customHeight="1">
      <c r="A66" s="36"/>
      <c r="B66" s="36"/>
      <c r="C66" s="36"/>
      <c r="D66" s="36"/>
      <c r="E66" s="36"/>
      <c r="F66" s="36"/>
      <c r="G66" s="36"/>
      <c r="H66" s="1"/>
      <c r="I66" s="36"/>
      <c r="J66" s="36"/>
      <c r="K66" s="36"/>
      <c r="L66" s="36"/>
      <c r="M66" s="36"/>
      <c r="N66" s="36"/>
      <c r="O66" s="36"/>
      <c r="P66" s="36"/>
      <c r="Q66" s="36"/>
      <c r="R66" s="36"/>
      <c r="S66" s="36"/>
      <c r="T66" s="36"/>
      <c r="U66" s="36"/>
      <c r="V66" s="36"/>
      <c r="W66" s="36"/>
      <c r="X66" s="36"/>
      <c r="Y66" s="36"/>
      <c r="Z66" s="36"/>
    </row>
    <row r="67" ht="15.75" customHeight="1">
      <c r="A67" s="36"/>
      <c r="B67" s="36"/>
      <c r="C67" s="36"/>
      <c r="D67" s="36"/>
      <c r="E67" s="36"/>
      <c r="F67" s="36"/>
      <c r="G67" s="36"/>
      <c r="H67" s="1"/>
      <c r="I67" s="36"/>
      <c r="J67" s="36"/>
      <c r="K67" s="36"/>
      <c r="L67" s="36"/>
      <c r="M67" s="36"/>
      <c r="N67" s="36"/>
      <c r="O67" s="36"/>
      <c r="P67" s="36"/>
      <c r="Q67" s="36"/>
      <c r="R67" s="36"/>
      <c r="S67" s="36"/>
      <c r="T67" s="36"/>
      <c r="U67" s="36"/>
      <c r="V67" s="36"/>
      <c r="W67" s="36"/>
      <c r="X67" s="36"/>
      <c r="Y67" s="36"/>
      <c r="Z67" s="36"/>
    </row>
    <row r="68" ht="15.75" customHeight="1">
      <c r="A68" s="36"/>
      <c r="B68" s="36"/>
      <c r="C68" s="36"/>
      <c r="D68" s="36"/>
      <c r="E68" s="36"/>
      <c r="F68" s="36"/>
      <c r="G68" s="36"/>
      <c r="H68" s="1"/>
      <c r="I68" s="36"/>
      <c r="J68" s="36"/>
      <c r="K68" s="36"/>
      <c r="L68" s="36"/>
      <c r="M68" s="36"/>
      <c r="N68" s="36"/>
      <c r="O68" s="36"/>
      <c r="P68" s="36"/>
      <c r="Q68" s="36"/>
      <c r="R68" s="36"/>
      <c r="S68" s="36"/>
      <c r="T68" s="36"/>
      <c r="U68" s="36"/>
      <c r="V68" s="36"/>
      <c r="W68" s="36"/>
      <c r="X68" s="36"/>
      <c r="Y68" s="36"/>
      <c r="Z68" s="36"/>
    </row>
    <row r="69" ht="15.75" customHeight="1">
      <c r="A69" s="36"/>
      <c r="B69" s="36"/>
      <c r="C69" s="36"/>
      <c r="D69" s="36"/>
      <c r="E69" s="36"/>
      <c r="F69" s="36"/>
      <c r="G69" s="36"/>
      <c r="H69" s="1"/>
      <c r="I69" s="36"/>
      <c r="J69" s="36"/>
      <c r="K69" s="36"/>
      <c r="L69" s="36"/>
      <c r="M69" s="36"/>
      <c r="N69" s="36"/>
      <c r="O69" s="36"/>
      <c r="P69" s="36"/>
      <c r="Q69" s="36"/>
      <c r="R69" s="36"/>
      <c r="S69" s="36"/>
      <c r="T69" s="36"/>
      <c r="U69" s="36"/>
      <c r="V69" s="36"/>
      <c r="W69" s="36"/>
      <c r="X69" s="36"/>
      <c r="Y69" s="36"/>
      <c r="Z69" s="36"/>
    </row>
    <row r="70" ht="15.75" customHeight="1">
      <c r="A70" s="36"/>
      <c r="B70" s="36"/>
      <c r="C70" s="36"/>
      <c r="D70" s="36"/>
      <c r="E70" s="36"/>
      <c r="F70" s="36"/>
      <c r="G70" s="36"/>
      <c r="H70" s="1"/>
      <c r="I70" s="36"/>
      <c r="J70" s="36"/>
      <c r="K70" s="36"/>
      <c r="L70" s="36"/>
      <c r="M70" s="36"/>
      <c r="N70" s="36"/>
      <c r="O70" s="36"/>
      <c r="P70" s="36"/>
      <c r="Q70" s="36"/>
      <c r="R70" s="36"/>
      <c r="S70" s="36"/>
      <c r="T70" s="36"/>
      <c r="U70" s="36"/>
      <c r="V70" s="36"/>
      <c r="W70" s="36"/>
      <c r="X70" s="36"/>
      <c r="Y70" s="36"/>
      <c r="Z70" s="36"/>
    </row>
    <row r="71" ht="15.75" customHeight="1">
      <c r="A71" s="36"/>
      <c r="B71" s="36"/>
      <c r="C71" s="36"/>
      <c r="D71" s="36"/>
      <c r="E71" s="36"/>
      <c r="F71" s="36"/>
      <c r="G71" s="36"/>
      <c r="H71" s="1"/>
      <c r="I71" s="36"/>
      <c r="J71" s="36"/>
      <c r="K71" s="36"/>
      <c r="L71" s="36"/>
      <c r="M71" s="36"/>
      <c r="N71" s="36"/>
      <c r="O71" s="36"/>
      <c r="P71" s="36"/>
      <c r="Q71" s="36"/>
      <c r="R71" s="36"/>
      <c r="S71" s="36"/>
      <c r="T71" s="36"/>
      <c r="U71" s="36"/>
      <c r="V71" s="36"/>
      <c r="W71" s="36"/>
      <c r="X71" s="36"/>
      <c r="Y71" s="36"/>
      <c r="Z71" s="36"/>
    </row>
    <row r="72" ht="15.75" customHeight="1">
      <c r="A72" s="36"/>
      <c r="B72" s="36"/>
      <c r="C72" s="36"/>
      <c r="D72" s="36"/>
      <c r="E72" s="36"/>
      <c r="F72" s="36"/>
      <c r="G72" s="36"/>
      <c r="H72" s="1"/>
      <c r="I72" s="36"/>
      <c r="J72" s="36"/>
      <c r="K72" s="37"/>
      <c r="L72" s="37"/>
      <c r="M72" s="38"/>
      <c r="N72" s="39"/>
      <c r="O72" s="37"/>
      <c r="P72" s="37"/>
      <c r="Q72" s="37"/>
      <c r="R72" s="40"/>
      <c r="S72" s="36"/>
      <c r="T72" s="36"/>
      <c r="U72" s="36"/>
      <c r="V72" s="36"/>
      <c r="W72" s="36"/>
      <c r="X72" s="36"/>
      <c r="Y72" s="36"/>
      <c r="Z72" s="36"/>
    </row>
    <row r="73" ht="78.75" customHeight="1">
      <c r="A73" s="36"/>
      <c r="B73" s="36"/>
      <c r="C73" s="36"/>
      <c r="D73" s="36"/>
      <c r="E73" s="36"/>
      <c r="F73" s="36"/>
      <c r="G73" s="36"/>
      <c r="H73" s="1"/>
      <c r="I73" s="36"/>
      <c r="J73" s="36"/>
      <c r="K73" s="41" t="s">
        <v>42</v>
      </c>
      <c r="L73" s="42"/>
      <c r="M73" s="42"/>
      <c r="N73" s="42"/>
      <c r="O73" s="42"/>
      <c r="P73" s="42"/>
      <c r="Q73" s="43"/>
      <c r="R73" s="44"/>
      <c r="S73" s="36"/>
      <c r="T73" s="36"/>
      <c r="U73" s="36"/>
      <c r="V73" s="36"/>
      <c r="W73" s="36"/>
      <c r="X73" s="36"/>
      <c r="Y73" s="36"/>
      <c r="Z73" s="36"/>
    </row>
    <row r="74" ht="47.25" customHeight="1">
      <c r="A74" s="36"/>
      <c r="B74" s="36"/>
      <c r="C74" s="36"/>
      <c r="D74" s="36"/>
      <c r="E74" s="36"/>
      <c r="F74" s="36"/>
      <c r="G74" s="36"/>
      <c r="H74" s="1"/>
      <c r="I74" s="36"/>
      <c r="J74" s="36"/>
      <c r="K74" s="45" t="s">
        <v>43</v>
      </c>
      <c r="L74" s="46"/>
      <c r="M74" s="46"/>
      <c r="N74" s="46"/>
      <c r="O74" s="46"/>
      <c r="P74" s="46"/>
      <c r="Q74" s="47"/>
      <c r="R74" s="48"/>
      <c r="S74" s="36"/>
      <c r="T74" s="36"/>
      <c r="U74" s="36"/>
      <c r="V74" s="36"/>
      <c r="W74" s="36"/>
      <c r="X74" s="36"/>
      <c r="Y74" s="36"/>
      <c r="Z74" s="36"/>
    </row>
    <row r="75" ht="15.75" customHeight="1">
      <c r="A75" s="36"/>
      <c r="B75" s="36"/>
      <c r="C75" s="36"/>
      <c r="D75" s="36"/>
      <c r="E75" s="36"/>
      <c r="F75" s="36"/>
      <c r="G75" s="36"/>
      <c r="H75" s="1"/>
      <c r="I75" s="36"/>
      <c r="J75" s="36"/>
      <c r="K75" s="49"/>
      <c r="L75" s="50"/>
      <c r="M75" s="51"/>
      <c r="N75" s="49"/>
      <c r="O75" s="49"/>
      <c r="P75" s="49"/>
      <c r="Q75" s="49"/>
      <c r="R75" s="49"/>
      <c r="S75" s="36"/>
      <c r="T75" s="36"/>
      <c r="U75" s="36"/>
      <c r="V75" s="36"/>
      <c r="W75" s="36"/>
      <c r="X75" s="36"/>
      <c r="Y75" s="36"/>
      <c r="Z75" s="36"/>
    </row>
    <row r="76" ht="15.75" customHeight="1">
      <c r="A76" s="36"/>
      <c r="B76" s="36"/>
      <c r="C76" s="36"/>
      <c r="D76" s="36"/>
      <c r="E76" s="36"/>
      <c r="F76" s="36"/>
      <c r="G76" s="36"/>
      <c r="H76" s="1"/>
      <c r="I76" s="36"/>
      <c r="J76" s="36"/>
      <c r="K76" s="49" t="s">
        <v>44</v>
      </c>
      <c r="L76" s="52" t="s">
        <v>10</v>
      </c>
      <c r="M76" s="39"/>
      <c r="N76" s="49" t="s">
        <v>45</v>
      </c>
      <c r="O76" s="49" t="s">
        <v>46</v>
      </c>
      <c r="P76" s="49" t="s">
        <v>47</v>
      </c>
      <c r="Q76" s="49" t="s">
        <v>48</v>
      </c>
      <c r="R76" s="49" t="s">
        <v>49</v>
      </c>
      <c r="S76" s="36"/>
      <c r="T76" s="36"/>
      <c r="U76" s="36"/>
      <c r="V76" s="36"/>
      <c r="W76" s="36"/>
      <c r="X76" s="36"/>
      <c r="Y76" s="36"/>
      <c r="Z76" s="36"/>
    </row>
    <row r="77" ht="15.75" customHeight="1">
      <c r="A77" s="36"/>
      <c r="B77" s="36"/>
      <c r="C77" s="36"/>
      <c r="D77" s="36"/>
      <c r="E77" s="36"/>
      <c r="F77" s="36"/>
      <c r="G77" s="36"/>
      <c r="H77" s="1"/>
      <c r="I77" s="36"/>
      <c r="J77" s="36"/>
      <c r="K77" s="49" t="s">
        <v>50</v>
      </c>
      <c r="L77" s="52"/>
      <c r="M77" s="39"/>
      <c r="N77" s="49"/>
      <c r="O77" s="49"/>
      <c r="P77" s="49"/>
      <c r="Q77" s="49"/>
      <c r="R77" s="49"/>
      <c r="S77" s="36"/>
      <c r="T77" s="36"/>
      <c r="U77" s="36"/>
      <c r="V77" s="36"/>
      <c r="W77" s="36"/>
      <c r="X77" s="36"/>
      <c r="Y77" s="36"/>
      <c r="Z77" s="36"/>
    </row>
    <row r="78" ht="15.75" customHeight="1">
      <c r="A78" s="36"/>
      <c r="B78" s="36"/>
      <c r="C78" s="36"/>
      <c r="D78" s="36"/>
      <c r="E78" s="36"/>
      <c r="F78" s="36"/>
      <c r="G78" s="36"/>
      <c r="H78" s="1"/>
      <c r="I78" s="36"/>
      <c r="J78" s="36"/>
      <c r="K78" s="49" t="s">
        <v>51</v>
      </c>
      <c r="L78" s="52" t="s">
        <v>91</v>
      </c>
      <c r="M78" s="39"/>
      <c r="N78" s="49"/>
      <c r="O78" s="49"/>
      <c r="P78" s="49"/>
      <c r="Q78" s="49"/>
      <c r="R78" s="49" t="s">
        <v>92</v>
      </c>
      <c r="S78" s="36"/>
      <c r="T78" s="36"/>
      <c r="U78" s="36"/>
      <c r="V78" s="36"/>
      <c r="W78" s="36"/>
      <c r="X78" s="36"/>
      <c r="Y78" s="36"/>
      <c r="Z78" s="36"/>
    </row>
    <row r="79" ht="15.75" customHeight="1">
      <c r="A79" s="36"/>
      <c r="B79" s="36"/>
      <c r="C79" s="36"/>
      <c r="D79" s="36"/>
      <c r="E79" s="36"/>
      <c r="F79" s="36"/>
      <c r="G79" s="36"/>
      <c r="H79" s="1"/>
      <c r="I79" s="36"/>
      <c r="J79" s="36"/>
      <c r="K79" s="49" t="s">
        <v>54</v>
      </c>
      <c r="L79" s="52"/>
      <c r="M79" s="39"/>
      <c r="N79" s="49"/>
      <c r="O79" s="49"/>
      <c r="P79" s="49"/>
      <c r="Q79" s="49"/>
      <c r="R79" s="49"/>
      <c r="S79" s="36"/>
      <c r="T79" s="36"/>
      <c r="U79" s="36"/>
      <c r="V79" s="36"/>
      <c r="W79" s="36"/>
      <c r="X79" s="36"/>
      <c r="Y79" s="36"/>
      <c r="Z79" s="36"/>
    </row>
    <row r="80" ht="15.75" customHeight="1">
      <c r="A80" s="36"/>
      <c r="B80" s="36"/>
      <c r="C80" s="36"/>
      <c r="D80" s="36"/>
      <c r="E80" s="36"/>
      <c r="F80" s="36"/>
      <c r="G80" s="36"/>
      <c r="H80" s="1"/>
      <c r="I80" s="36"/>
      <c r="J80" s="36"/>
      <c r="K80" s="49" t="s">
        <v>55</v>
      </c>
      <c r="L80" s="53"/>
      <c r="M80" s="54"/>
      <c r="N80" s="49"/>
      <c r="O80" s="49"/>
      <c r="P80" s="49"/>
      <c r="Q80" s="49"/>
      <c r="R80" s="49"/>
      <c r="S80" s="36"/>
      <c r="T80" s="36"/>
      <c r="U80" s="36"/>
      <c r="V80" s="36"/>
      <c r="W80" s="36"/>
      <c r="X80" s="36"/>
      <c r="Y80" s="36"/>
      <c r="Z80" s="36"/>
    </row>
    <row r="81" ht="15.75" customHeight="1">
      <c r="A81" s="36"/>
      <c r="B81" s="36"/>
      <c r="C81" s="36"/>
      <c r="D81" s="36"/>
      <c r="E81" s="36"/>
      <c r="F81" s="36"/>
      <c r="G81" s="36"/>
      <c r="H81" s="1"/>
      <c r="I81" s="36"/>
      <c r="J81" s="36"/>
      <c r="K81" s="49" t="s">
        <v>56</v>
      </c>
      <c r="L81" s="50"/>
      <c r="M81" s="51"/>
      <c r="N81" s="49"/>
      <c r="O81" s="49"/>
      <c r="P81" s="49"/>
      <c r="Q81" s="49"/>
      <c r="R81" s="49"/>
      <c r="S81" s="36"/>
      <c r="T81" s="36"/>
      <c r="U81" s="36"/>
      <c r="V81" s="36"/>
      <c r="W81" s="36"/>
      <c r="X81" s="36"/>
      <c r="Y81" s="36"/>
      <c r="Z81" s="36"/>
    </row>
    <row r="82" ht="15.75" customHeight="1">
      <c r="A82" s="36"/>
      <c r="B82" s="36"/>
      <c r="C82" s="36"/>
      <c r="D82" s="36"/>
      <c r="E82" s="36"/>
      <c r="F82" s="36"/>
      <c r="G82" s="36"/>
      <c r="H82" s="1"/>
      <c r="I82" s="36"/>
      <c r="J82" s="36"/>
      <c r="K82" s="49" t="s">
        <v>57</v>
      </c>
      <c r="L82" s="52"/>
      <c r="M82" s="39"/>
      <c r="N82" s="37"/>
      <c r="O82" s="55"/>
      <c r="P82" s="55"/>
      <c r="Q82" s="55"/>
      <c r="R82" s="56"/>
      <c r="S82" s="36"/>
      <c r="T82" s="36"/>
      <c r="U82" s="36"/>
      <c r="V82" s="36"/>
      <c r="W82" s="36"/>
      <c r="X82" s="36"/>
      <c r="Y82" s="36"/>
      <c r="Z82" s="36"/>
    </row>
    <row r="83" ht="15.75" customHeight="1">
      <c r="A83" s="36"/>
      <c r="B83" s="36"/>
      <c r="C83" s="36"/>
      <c r="D83" s="36"/>
      <c r="E83" s="36"/>
      <c r="F83" s="36"/>
      <c r="G83" s="36"/>
      <c r="H83" s="1"/>
      <c r="I83" s="36"/>
      <c r="J83" s="36"/>
      <c r="K83" s="57"/>
      <c r="L83" s="58"/>
      <c r="M83" s="58"/>
      <c r="N83" s="58"/>
      <c r="O83" s="58"/>
      <c r="P83" s="58"/>
      <c r="Q83" s="58"/>
      <c r="R83" s="59"/>
      <c r="S83" s="36"/>
      <c r="T83" s="36"/>
      <c r="U83" s="36"/>
      <c r="V83" s="36"/>
      <c r="W83" s="36"/>
      <c r="X83" s="36"/>
      <c r="Y83" s="36"/>
      <c r="Z83" s="36"/>
    </row>
    <row r="84" ht="15.75" customHeight="1">
      <c r="A84" s="36"/>
      <c r="B84" s="36"/>
      <c r="C84" s="36"/>
      <c r="D84" s="36"/>
      <c r="E84" s="36"/>
      <c r="F84" s="36"/>
      <c r="G84" s="36"/>
      <c r="H84" s="1"/>
      <c r="I84" s="36"/>
      <c r="J84" s="36"/>
      <c r="K84" s="60"/>
      <c r="L84" s="36"/>
      <c r="M84" s="36"/>
      <c r="N84" s="36"/>
      <c r="O84" s="36"/>
      <c r="P84" s="36"/>
      <c r="Q84" s="36"/>
      <c r="R84" s="36"/>
      <c r="S84" s="36"/>
      <c r="T84" s="36"/>
      <c r="U84" s="36"/>
      <c r="V84" s="36"/>
      <c r="W84" s="36"/>
      <c r="X84" s="36"/>
      <c r="Y84" s="36"/>
      <c r="Z84" s="36"/>
    </row>
    <row r="85" ht="17.25" customHeight="1">
      <c r="A85" s="36"/>
      <c r="B85" s="36"/>
      <c r="C85" s="36"/>
      <c r="D85" s="36"/>
      <c r="E85" s="36"/>
      <c r="F85" s="36"/>
      <c r="G85" s="36"/>
      <c r="H85" s="1"/>
      <c r="I85" s="36"/>
      <c r="J85" s="36"/>
      <c r="K85" s="41" t="s">
        <v>58</v>
      </c>
      <c r="L85" s="42"/>
      <c r="M85" s="42"/>
      <c r="N85" s="42"/>
      <c r="O85" s="42"/>
      <c r="P85" s="42"/>
      <c r="Q85" s="43"/>
      <c r="R85" s="61"/>
      <c r="S85" s="36"/>
      <c r="T85" s="36"/>
      <c r="U85" s="36"/>
      <c r="V85" s="36"/>
      <c r="W85" s="36"/>
      <c r="X85" s="36"/>
      <c r="Y85" s="36"/>
      <c r="Z85" s="36"/>
    </row>
    <row r="86" ht="15.75" customHeight="1">
      <c r="A86" s="36"/>
      <c r="B86" s="36"/>
      <c r="C86" s="36"/>
      <c r="D86" s="36"/>
      <c r="E86" s="36"/>
      <c r="F86" s="36"/>
      <c r="G86" s="36"/>
      <c r="H86" s="1"/>
      <c r="I86" s="36"/>
      <c r="J86" s="36"/>
      <c r="K86" s="62"/>
      <c r="Q86" s="63"/>
      <c r="R86" s="64"/>
      <c r="S86" s="36"/>
      <c r="T86" s="36"/>
      <c r="U86" s="36"/>
      <c r="V86" s="36"/>
      <c r="W86" s="36"/>
      <c r="X86" s="36"/>
      <c r="Y86" s="36"/>
      <c r="Z86" s="36"/>
    </row>
    <row r="87" ht="15.75" customHeight="1">
      <c r="A87" s="36"/>
      <c r="B87" s="36"/>
      <c r="C87" s="36"/>
      <c r="D87" s="36"/>
      <c r="E87" s="36"/>
      <c r="F87" s="36"/>
      <c r="G87" s="36"/>
      <c r="H87" s="1"/>
      <c r="I87" s="36"/>
      <c r="J87" s="36"/>
      <c r="K87" s="62"/>
      <c r="Q87" s="63"/>
      <c r="R87" s="64"/>
      <c r="S87" s="36"/>
      <c r="T87" s="36"/>
      <c r="U87" s="36"/>
      <c r="V87" s="36"/>
      <c r="W87" s="36"/>
      <c r="X87" s="36"/>
      <c r="Y87" s="36"/>
      <c r="Z87" s="36"/>
    </row>
    <row r="88" ht="15.75" customHeight="1">
      <c r="A88" s="36"/>
      <c r="B88" s="36"/>
      <c r="C88" s="36"/>
      <c r="D88" s="36"/>
      <c r="E88" s="36"/>
      <c r="F88" s="36"/>
      <c r="G88" s="36"/>
      <c r="H88" s="1"/>
      <c r="I88" s="36"/>
      <c r="J88" s="36"/>
      <c r="K88" s="65"/>
      <c r="L88" s="46"/>
      <c r="M88" s="46"/>
      <c r="N88" s="46"/>
      <c r="O88" s="46"/>
      <c r="P88" s="46"/>
      <c r="Q88" s="47"/>
      <c r="R88" s="64"/>
      <c r="S88" s="36"/>
      <c r="T88" s="36"/>
      <c r="U88" s="36"/>
      <c r="V88" s="36"/>
      <c r="W88" s="36"/>
      <c r="X88" s="36"/>
      <c r="Y88" s="36"/>
      <c r="Z88" s="36"/>
    </row>
    <row r="89" ht="15.75" customHeight="1">
      <c r="A89" s="36"/>
      <c r="B89" s="36"/>
      <c r="C89" s="36"/>
      <c r="D89" s="36"/>
      <c r="E89" s="36"/>
      <c r="F89" s="36"/>
      <c r="G89" s="36"/>
      <c r="H89" s="1"/>
      <c r="I89" s="36"/>
      <c r="J89" s="36"/>
      <c r="K89" s="66" t="s">
        <v>44</v>
      </c>
      <c r="L89" s="67" t="s">
        <v>10</v>
      </c>
      <c r="M89" s="67" t="s">
        <v>45</v>
      </c>
      <c r="N89" s="67" t="s">
        <v>46</v>
      </c>
      <c r="O89" s="67" t="s">
        <v>47</v>
      </c>
      <c r="P89" s="67" t="s">
        <v>48</v>
      </c>
      <c r="Q89" s="67" t="s">
        <v>23</v>
      </c>
      <c r="R89" s="64"/>
      <c r="S89" s="36"/>
      <c r="T89" s="36"/>
      <c r="U89" s="36"/>
      <c r="V89" s="36"/>
      <c r="W89" s="36"/>
      <c r="X89" s="36"/>
      <c r="Y89" s="36"/>
      <c r="Z89" s="36"/>
    </row>
    <row r="90" ht="15.75" customHeight="1">
      <c r="A90" s="36"/>
      <c r="B90" s="36"/>
      <c r="C90" s="36"/>
      <c r="D90" s="36"/>
      <c r="E90" s="36"/>
      <c r="F90" s="36"/>
      <c r="G90" s="36"/>
      <c r="H90" s="1"/>
      <c r="I90" s="36"/>
      <c r="J90" s="36"/>
      <c r="K90" s="66" t="s">
        <v>59</v>
      </c>
      <c r="L90" s="55"/>
      <c r="M90" s="67"/>
      <c r="N90" s="67"/>
      <c r="O90" s="67"/>
      <c r="P90" s="67"/>
      <c r="Q90" s="55"/>
      <c r="R90" s="64"/>
      <c r="S90" s="36"/>
      <c r="T90" s="36"/>
      <c r="U90" s="36"/>
      <c r="V90" s="36"/>
      <c r="W90" s="36"/>
      <c r="X90" s="36"/>
      <c r="Y90" s="36"/>
      <c r="Z90" s="36"/>
    </row>
    <row r="91" ht="15.75" customHeight="1">
      <c r="A91" s="36"/>
      <c r="B91" s="36"/>
      <c r="C91" s="36"/>
      <c r="D91" s="36"/>
      <c r="E91" s="36"/>
      <c r="F91" s="36"/>
      <c r="G91" s="36"/>
      <c r="H91" s="1"/>
      <c r="I91" s="36"/>
      <c r="J91" s="36"/>
      <c r="K91" s="66" t="s">
        <v>60</v>
      </c>
      <c r="L91" s="67"/>
      <c r="M91" s="67"/>
      <c r="N91" s="67"/>
      <c r="O91" s="67"/>
      <c r="P91" s="67"/>
      <c r="Q91" s="67"/>
      <c r="R91" s="64"/>
      <c r="S91" s="36"/>
      <c r="T91" s="36"/>
      <c r="U91" s="36"/>
      <c r="V91" s="36"/>
      <c r="W91" s="36"/>
      <c r="X91" s="36"/>
      <c r="Y91" s="36"/>
      <c r="Z91" s="36"/>
    </row>
    <row r="92" ht="15.75" customHeight="1">
      <c r="A92" s="36"/>
      <c r="B92" s="36"/>
      <c r="C92" s="36"/>
      <c r="D92" s="36"/>
      <c r="E92" s="36"/>
      <c r="F92" s="36"/>
      <c r="G92" s="36"/>
      <c r="H92" s="1"/>
      <c r="I92" s="36"/>
      <c r="J92" s="36"/>
      <c r="K92" s="66" t="s">
        <v>61</v>
      </c>
      <c r="L92" s="67" t="s">
        <v>93</v>
      </c>
      <c r="M92" s="67"/>
      <c r="N92" s="67"/>
      <c r="O92" s="67"/>
      <c r="P92" s="67"/>
      <c r="Q92" s="55"/>
      <c r="R92" s="64"/>
      <c r="S92" s="36"/>
      <c r="T92" s="36"/>
      <c r="U92" s="36"/>
      <c r="V92" s="36"/>
      <c r="W92" s="36"/>
      <c r="X92" s="36"/>
      <c r="Y92" s="36"/>
      <c r="Z92" s="36"/>
    </row>
    <row r="93" ht="15.75" customHeight="1">
      <c r="A93" s="36"/>
      <c r="B93" s="36"/>
      <c r="C93" s="36"/>
      <c r="D93" s="36"/>
      <c r="E93" s="36"/>
      <c r="F93" s="36"/>
      <c r="G93" s="36"/>
      <c r="H93" s="1"/>
      <c r="I93" s="36"/>
      <c r="J93" s="36"/>
      <c r="K93" s="66" t="s">
        <v>63</v>
      </c>
      <c r="L93" s="67"/>
      <c r="M93" s="67"/>
      <c r="N93" s="67"/>
      <c r="O93" s="67"/>
      <c r="P93" s="67"/>
      <c r="Q93" s="67" t="s">
        <v>94</v>
      </c>
      <c r="R93" s="64"/>
      <c r="S93" s="36"/>
      <c r="T93" s="36"/>
      <c r="U93" s="36"/>
      <c r="V93" s="36"/>
      <c r="W93" s="36"/>
      <c r="X93" s="36"/>
      <c r="Y93" s="36"/>
      <c r="Z93" s="36"/>
    </row>
    <row r="94" ht="15.75" customHeight="1">
      <c r="A94" s="36"/>
      <c r="B94" s="36"/>
      <c r="C94" s="36"/>
      <c r="D94" s="36"/>
      <c r="E94" s="36"/>
      <c r="F94" s="36"/>
      <c r="G94" s="36"/>
      <c r="H94" s="1"/>
      <c r="I94" s="36"/>
      <c r="J94" s="36"/>
      <c r="K94" s="66" t="s">
        <v>65</v>
      </c>
      <c r="L94" s="67"/>
      <c r="M94" s="67"/>
      <c r="N94" s="67"/>
      <c r="O94" s="67"/>
      <c r="P94" s="67"/>
      <c r="Q94" s="67"/>
      <c r="R94" s="64"/>
      <c r="S94" s="36"/>
      <c r="T94" s="36"/>
      <c r="U94" s="36"/>
      <c r="V94" s="36"/>
      <c r="W94" s="36"/>
      <c r="X94" s="36"/>
      <c r="Y94" s="36"/>
      <c r="Z94" s="36"/>
    </row>
    <row r="95" ht="15.75" customHeight="1">
      <c r="A95" s="36"/>
      <c r="B95" s="36"/>
      <c r="C95" s="36"/>
      <c r="D95" s="36"/>
      <c r="E95" s="36"/>
      <c r="F95" s="36"/>
      <c r="G95" s="36"/>
      <c r="H95" s="1"/>
      <c r="I95" s="36"/>
      <c r="J95" s="36"/>
      <c r="K95" s="66" t="s">
        <v>66</v>
      </c>
      <c r="L95" s="67"/>
      <c r="M95" s="67"/>
      <c r="N95" s="67"/>
      <c r="O95" s="67"/>
      <c r="P95" s="67"/>
      <c r="Q95" s="67"/>
      <c r="R95" s="64"/>
      <c r="S95" s="36"/>
      <c r="T95" s="36"/>
      <c r="U95" s="36"/>
      <c r="V95" s="36"/>
      <c r="W95" s="36"/>
      <c r="X95" s="36"/>
      <c r="Y95" s="36"/>
      <c r="Z95" s="36"/>
    </row>
    <row r="96" ht="15.75" customHeight="1">
      <c r="A96" s="36"/>
      <c r="B96" s="36"/>
      <c r="C96" s="36"/>
      <c r="D96" s="36"/>
      <c r="E96" s="36"/>
      <c r="F96" s="36"/>
      <c r="G96" s="36"/>
      <c r="H96" s="1"/>
      <c r="I96" s="36"/>
      <c r="J96" s="36"/>
      <c r="K96" s="68" t="s">
        <v>67</v>
      </c>
      <c r="L96" s="69"/>
      <c r="M96" s="69"/>
      <c r="N96" s="69"/>
      <c r="O96" s="69"/>
      <c r="P96" s="69"/>
      <c r="Q96" s="69"/>
      <c r="R96" s="59"/>
      <c r="S96" s="36"/>
      <c r="T96" s="36"/>
      <c r="U96" s="36"/>
      <c r="V96" s="36"/>
      <c r="W96" s="36"/>
      <c r="X96" s="36"/>
      <c r="Y96" s="36"/>
      <c r="Z96" s="36"/>
    </row>
    <row r="97" ht="15.75" customHeight="1">
      <c r="A97" s="36"/>
      <c r="B97" s="36"/>
      <c r="C97" s="36"/>
      <c r="D97" s="36"/>
      <c r="E97" s="36"/>
      <c r="F97" s="36"/>
      <c r="G97" s="36"/>
      <c r="H97" s="1"/>
      <c r="I97" s="36"/>
      <c r="J97" s="36"/>
      <c r="K97" s="60"/>
      <c r="L97" s="36"/>
      <c r="M97" s="36"/>
      <c r="N97" s="36"/>
      <c r="O97" s="36"/>
      <c r="P97" s="36"/>
      <c r="Q97" s="36"/>
      <c r="R97" s="36"/>
      <c r="S97" s="36"/>
      <c r="T97" s="36"/>
      <c r="U97" s="36"/>
      <c r="V97" s="36"/>
      <c r="W97" s="36"/>
      <c r="X97" s="36"/>
      <c r="Y97" s="36"/>
      <c r="Z97" s="36"/>
    </row>
    <row r="98" ht="15.75" customHeight="1">
      <c r="A98" s="36"/>
      <c r="B98" s="36"/>
      <c r="C98" s="36"/>
      <c r="D98" s="36"/>
      <c r="E98" s="36"/>
      <c r="F98" s="36"/>
      <c r="G98" s="36"/>
      <c r="H98" s="1"/>
      <c r="I98" s="36"/>
      <c r="J98" s="36"/>
      <c r="K98" s="36"/>
      <c r="L98" s="36"/>
      <c r="M98" s="36"/>
      <c r="N98" s="36"/>
      <c r="O98" s="36"/>
      <c r="P98" s="36"/>
      <c r="Q98" s="36"/>
      <c r="R98" s="36"/>
      <c r="S98" s="36"/>
      <c r="T98" s="36"/>
      <c r="U98" s="36"/>
      <c r="V98" s="36"/>
      <c r="W98" s="36"/>
      <c r="X98" s="36"/>
      <c r="Y98" s="36"/>
      <c r="Z98" s="36"/>
    </row>
    <row r="99" ht="15.75" customHeight="1">
      <c r="A99" s="36"/>
      <c r="B99" s="36"/>
      <c r="C99" s="36"/>
      <c r="D99" s="36"/>
      <c r="E99" s="36"/>
      <c r="F99" s="36"/>
      <c r="G99" s="36"/>
      <c r="H99" s="1"/>
      <c r="I99" s="36"/>
      <c r="J99" s="36"/>
      <c r="K99" s="36"/>
      <c r="L99" s="36"/>
      <c r="M99" s="36"/>
      <c r="N99" s="36"/>
      <c r="O99" s="36"/>
      <c r="P99" s="36"/>
      <c r="Q99" s="36"/>
      <c r="R99" s="36"/>
      <c r="S99" s="36"/>
      <c r="T99" s="36"/>
      <c r="U99" s="36"/>
      <c r="V99" s="36"/>
      <c r="W99" s="36"/>
      <c r="X99" s="36"/>
      <c r="Y99" s="36"/>
      <c r="Z99" s="36"/>
    </row>
    <row r="100" ht="15.75" customHeight="1">
      <c r="A100" s="36"/>
      <c r="B100" s="36"/>
      <c r="C100" s="36"/>
      <c r="D100" s="36"/>
      <c r="E100" s="36"/>
      <c r="F100" s="36"/>
      <c r="G100" s="36"/>
      <c r="H100" s="1"/>
      <c r="I100" s="36"/>
      <c r="J100" s="36"/>
      <c r="K100" s="36"/>
      <c r="L100" s="36"/>
      <c r="M100" s="36"/>
      <c r="N100" s="36"/>
      <c r="O100" s="36"/>
      <c r="P100" s="36"/>
      <c r="Q100" s="36"/>
      <c r="R100" s="36"/>
      <c r="S100" s="36"/>
      <c r="T100" s="36"/>
      <c r="U100" s="36"/>
      <c r="V100" s="36"/>
      <c r="W100" s="36"/>
      <c r="X100" s="36"/>
      <c r="Y100" s="36"/>
      <c r="Z100" s="36"/>
    </row>
    <row r="101" ht="15.75" customHeight="1">
      <c r="A101" s="36"/>
      <c r="B101" s="36"/>
      <c r="C101" s="36"/>
      <c r="D101" s="36"/>
      <c r="E101" s="36"/>
      <c r="F101" s="36"/>
      <c r="G101" s="36"/>
      <c r="H101" s="1"/>
      <c r="I101" s="36"/>
      <c r="J101" s="36"/>
      <c r="K101" s="36"/>
      <c r="L101" s="36"/>
      <c r="M101" s="36"/>
      <c r="N101" s="36"/>
      <c r="O101" s="36"/>
      <c r="P101" s="36"/>
      <c r="Q101" s="36"/>
      <c r="R101" s="36"/>
      <c r="S101" s="36"/>
      <c r="T101" s="36"/>
      <c r="U101" s="36"/>
      <c r="V101" s="36"/>
      <c r="W101" s="36"/>
      <c r="X101" s="36"/>
      <c r="Y101" s="36"/>
      <c r="Z101" s="36"/>
    </row>
    <row r="102" ht="15.75" customHeight="1">
      <c r="A102" s="36"/>
      <c r="B102" s="36"/>
      <c r="C102" s="36"/>
      <c r="D102" s="36"/>
      <c r="E102" s="36"/>
      <c r="F102" s="36"/>
      <c r="G102" s="36"/>
      <c r="H102" s="1"/>
      <c r="I102" s="36"/>
      <c r="J102" s="36"/>
      <c r="K102" s="36"/>
      <c r="L102" s="36"/>
      <c r="M102" s="36"/>
      <c r="N102" s="36"/>
      <c r="O102" s="36"/>
      <c r="P102" s="36"/>
      <c r="Q102" s="36"/>
      <c r="R102" s="36"/>
      <c r="S102" s="36"/>
      <c r="T102" s="36"/>
      <c r="U102" s="36"/>
      <c r="V102" s="36"/>
      <c r="W102" s="36"/>
      <c r="X102" s="36"/>
      <c r="Y102" s="36"/>
      <c r="Z102" s="36"/>
    </row>
    <row r="103" ht="15.75" customHeight="1">
      <c r="A103" s="36"/>
      <c r="B103" s="36"/>
      <c r="C103" s="36"/>
      <c r="D103" s="36"/>
      <c r="E103" s="36"/>
      <c r="F103" s="36"/>
      <c r="G103" s="36"/>
      <c r="H103" s="1"/>
      <c r="I103" s="36"/>
      <c r="J103" s="36"/>
      <c r="K103" s="36"/>
      <c r="L103" s="36"/>
      <c r="M103" s="36"/>
      <c r="N103" s="36"/>
      <c r="O103" s="36"/>
      <c r="P103" s="36"/>
      <c r="Q103" s="36"/>
      <c r="R103" s="36"/>
      <c r="S103" s="36"/>
      <c r="T103" s="36"/>
      <c r="U103" s="36"/>
      <c r="V103" s="36"/>
      <c r="W103" s="36"/>
      <c r="X103" s="36"/>
      <c r="Y103" s="36"/>
      <c r="Z103" s="36"/>
    </row>
    <row r="104" ht="15.75" customHeight="1">
      <c r="A104" s="36"/>
      <c r="B104" s="36"/>
      <c r="C104" s="36"/>
      <c r="D104" s="36"/>
      <c r="E104" s="36"/>
      <c r="F104" s="36"/>
      <c r="G104" s="36"/>
      <c r="H104" s="1"/>
      <c r="I104" s="36"/>
      <c r="J104" s="36"/>
      <c r="K104" s="36"/>
      <c r="L104" s="36"/>
      <c r="M104" s="36"/>
      <c r="N104" s="36"/>
      <c r="O104" s="36"/>
      <c r="P104" s="36"/>
      <c r="Q104" s="36"/>
      <c r="R104" s="36"/>
      <c r="S104" s="36"/>
      <c r="T104" s="36"/>
      <c r="U104" s="36"/>
      <c r="V104" s="36"/>
      <c r="W104" s="36"/>
      <c r="X104" s="36"/>
      <c r="Y104" s="36"/>
      <c r="Z104" s="36"/>
    </row>
    <row r="105" ht="15.75" customHeight="1">
      <c r="A105" s="36"/>
      <c r="B105" s="36"/>
      <c r="C105" s="36"/>
      <c r="D105" s="36"/>
      <c r="E105" s="36"/>
      <c r="F105" s="36"/>
      <c r="G105" s="36"/>
      <c r="H105" s="1"/>
      <c r="I105" s="36"/>
      <c r="J105" s="36"/>
      <c r="K105" s="36"/>
      <c r="L105" s="36"/>
      <c r="M105" s="36"/>
      <c r="N105" s="36"/>
      <c r="O105" s="36"/>
      <c r="P105" s="36"/>
      <c r="Q105" s="36"/>
      <c r="R105" s="36"/>
      <c r="S105" s="36"/>
      <c r="T105" s="36"/>
      <c r="U105" s="36"/>
      <c r="V105" s="36"/>
      <c r="W105" s="36"/>
      <c r="X105" s="36"/>
      <c r="Y105" s="36"/>
      <c r="Z105" s="36"/>
    </row>
    <row r="106" ht="15.75" customHeight="1">
      <c r="A106" s="36"/>
      <c r="B106" s="36"/>
      <c r="C106" s="36"/>
      <c r="D106" s="36"/>
      <c r="E106" s="36"/>
      <c r="F106" s="36"/>
      <c r="G106" s="36"/>
      <c r="H106" s="1"/>
      <c r="I106" s="36"/>
      <c r="J106" s="36"/>
      <c r="K106" s="36"/>
      <c r="L106" s="36"/>
      <c r="M106" s="36"/>
      <c r="N106" s="36"/>
      <c r="O106" s="36"/>
      <c r="P106" s="36"/>
      <c r="Q106" s="36"/>
      <c r="R106" s="36"/>
      <c r="S106" s="36"/>
      <c r="T106" s="36"/>
      <c r="U106" s="36"/>
      <c r="V106" s="36"/>
      <c r="W106" s="36"/>
      <c r="X106" s="36"/>
      <c r="Y106" s="36"/>
      <c r="Z106" s="36"/>
    </row>
    <row r="107" ht="15.75" customHeight="1">
      <c r="A107" s="36"/>
      <c r="B107" s="36"/>
      <c r="C107" s="36"/>
      <c r="D107" s="36"/>
      <c r="E107" s="36"/>
      <c r="F107" s="36"/>
      <c r="G107" s="36"/>
      <c r="H107" s="1"/>
      <c r="I107" s="36"/>
      <c r="J107" s="36"/>
      <c r="K107" s="36"/>
      <c r="L107" s="36"/>
      <c r="M107" s="36"/>
      <c r="N107" s="36"/>
      <c r="O107" s="36"/>
      <c r="P107" s="36"/>
      <c r="Q107" s="36"/>
      <c r="R107" s="36"/>
      <c r="S107" s="36"/>
      <c r="T107" s="36"/>
      <c r="U107" s="36"/>
      <c r="V107" s="36"/>
      <c r="W107" s="36"/>
      <c r="X107" s="36"/>
      <c r="Y107" s="36"/>
      <c r="Z107" s="36"/>
    </row>
    <row r="108" ht="15.75" customHeight="1">
      <c r="A108" s="36"/>
      <c r="B108" s="36"/>
      <c r="C108" s="36"/>
      <c r="D108" s="36"/>
      <c r="E108" s="36"/>
      <c r="F108" s="36"/>
      <c r="G108" s="36"/>
      <c r="H108" s="1"/>
      <c r="I108" s="36"/>
      <c r="J108" s="36"/>
      <c r="K108" s="36"/>
      <c r="L108" s="36"/>
      <c r="M108" s="36"/>
      <c r="N108" s="36"/>
      <c r="O108" s="36"/>
      <c r="P108" s="36"/>
      <c r="Q108" s="36"/>
      <c r="R108" s="36"/>
      <c r="S108" s="36"/>
      <c r="T108" s="36"/>
      <c r="U108" s="36"/>
      <c r="V108" s="36"/>
      <c r="W108" s="36"/>
      <c r="X108" s="36"/>
      <c r="Y108" s="36"/>
      <c r="Z108" s="36"/>
    </row>
    <row r="109" ht="15.75" customHeight="1">
      <c r="A109" s="36"/>
      <c r="B109" s="36"/>
      <c r="C109" s="36"/>
      <c r="D109" s="36"/>
      <c r="E109" s="36"/>
      <c r="F109" s="36"/>
      <c r="G109" s="36"/>
      <c r="H109" s="1"/>
      <c r="I109" s="36"/>
      <c r="J109" s="36"/>
      <c r="K109" s="36"/>
      <c r="L109" s="36"/>
      <c r="M109" s="36"/>
      <c r="N109" s="36"/>
      <c r="O109" s="36"/>
      <c r="P109" s="36"/>
      <c r="Q109" s="36"/>
      <c r="R109" s="36"/>
      <c r="S109" s="36"/>
      <c r="T109" s="36"/>
      <c r="U109" s="36"/>
      <c r="V109" s="36"/>
      <c r="W109" s="36"/>
      <c r="X109" s="36"/>
      <c r="Y109" s="36"/>
      <c r="Z109" s="36"/>
    </row>
    <row r="110" ht="15.75" customHeight="1">
      <c r="A110" s="36"/>
      <c r="B110" s="36"/>
      <c r="C110" s="36"/>
      <c r="D110" s="36"/>
      <c r="E110" s="36"/>
      <c r="F110" s="36"/>
      <c r="G110" s="36"/>
      <c r="H110" s="1"/>
      <c r="I110" s="36"/>
      <c r="J110" s="36"/>
      <c r="K110" s="36"/>
      <c r="L110" s="36"/>
      <c r="M110" s="36"/>
      <c r="N110" s="36"/>
      <c r="O110" s="36"/>
      <c r="P110" s="36"/>
      <c r="Q110" s="36"/>
      <c r="R110" s="36"/>
      <c r="S110" s="36"/>
      <c r="T110" s="36"/>
      <c r="U110" s="36"/>
      <c r="V110" s="36"/>
      <c r="W110" s="36"/>
      <c r="X110" s="36"/>
      <c r="Y110" s="36"/>
      <c r="Z110" s="36"/>
    </row>
    <row r="111" ht="15.75" customHeight="1">
      <c r="A111" s="36"/>
      <c r="B111" s="36"/>
      <c r="C111" s="36"/>
      <c r="D111" s="36"/>
      <c r="E111" s="36"/>
      <c r="F111" s="36"/>
      <c r="G111" s="36"/>
      <c r="H111" s="1"/>
      <c r="I111" s="36"/>
      <c r="J111" s="36"/>
      <c r="K111" s="36"/>
      <c r="L111" s="36"/>
      <c r="M111" s="36"/>
      <c r="N111" s="36"/>
      <c r="O111" s="36"/>
      <c r="P111" s="36"/>
      <c r="Q111" s="36"/>
      <c r="R111" s="36"/>
      <c r="S111" s="36"/>
      <c r="T111" s="36"/>
      <c r="U111" s="36"/>
      <c r="V111" s="36"/>
      <c r="W111" s="36"/>
      <c r="X111" s="36"/>
      <c r="Y111" s="36"/>
      <c r="Z111" s="36"/>
    </row>
    <row r="112" ht="15.75" customHeight="1">
      <c r="A112" s="36"/>
      <c r="B112" s="36"/>
      <c r="C112" s="36"/>
      <c r="D112" s="36"/>
      <c r="E112" s="36"/>
      <c r="F112" s="36"/>
      <c r="G112" s="36"/>
      <c r="H112" s="1"/>
      <c r="I112" s="36"/>
      <c r="J112" s="36"/>
      <c r="K112" s="36"/>
      <c r="L112" s="36"/>
      <c r="M112" s="36"/>
      <c r="N112" s="36"/>
      <c r="O112" s="36"/>
      <c r="P112" s="36"/>
      <c r="Q112" s="36"/>
      <c r="R112" s="36"/>
      <c r="S112" s="36"/>
      <c r="T112" s="36"/>
      <c r="U112" s="36"/>
      <c r="V112" s="36"/>
      <c r="W112" s="36"/>
      <c r="X112" s="36"/>
      <c r="Y112" s="36"/>
      <c r="Z112" s="36"/>
    </row>
    <row r="113" ht="15.75" customHeight="1">
      <c r="A113" s="36"/>
      <c r="B113" s="36"/>
      <c r="C113" s="36"/>
      <c r="D113" s="36"/>
      <c r="E113" s="36"/>
      <c r="F113" s="36"/>
      <c r="G113" s="36"/>
      <c r="H113" s="1"/>
      <c r="I113" s="36"/>
      <c r="J113" s="36"/>
      <c r="K113" s="36"/>
      <c r="L113" s="36"/>
      <c r="M113" s="36"/>
      <c r="N113" s="36"/>
      <c r="O113" s="36"/>
      <c r="P113" s="36"/>
      <c r="Q113" s="36"/>
      <c r="R113" s="36"/>
      <c r="S113" s="36"/>
      <c r="T113" s="36"/>
      <c r="U113" s="36"/>
      <c r="V113" s="36"/>
      <c r="W113" s="36"/>
      <c r="X113" s="36"/>
      <c r="Y113" s="36"/>
      <c r="Z113" s="36"/>
    </row>
    <row r="114" ht="15.75" customHeight="1">
      <c r="A114" s="36"/>
      <c r="B114" s="36"/>
      <c r="C114" s="36"/>
      <c r="D114" s="36"/>
      <c r="E114" s="36"/>
      <c r="F114" s="36"/>
      <c r="G114" s="36"/>
      <c r="H114" s="1"/>
      <c r="I114" s="36"/>
      <c r="J114" s="36"/>
      <c r="K114" s="36"/>
      <c r="L114" s="36"/>
      <c r="M114" s="36"/>
      <c r="N114" s="36"/>
      <c r="O114" s="36"/>
      <c r="P114" s="36"/>
      <c r="Q114" s="36"/>
      <c r="R114" s="36"/>
      <c r="S114" s="36"/>
      <c r="T114" s="36"/>
      <c r="U114" s="36"/>
      <c r="V114" s="36"/>
      <c r="W114" s="36"/>
      <c r="X114" s="36"/>
      <c r="Y114" s="36"/>
      <c r="Z114" s="36"/>
    </row>
    <row r="115" ht="15.75" customHeight="1">
      <c r="A115" s="36"/>
      <c r="B115" s="36"/>
      <c r="C115" s="36"/>
      <c r="D115" s="36"/>
      <c r="E115" s="36"/>
      <c r="F115" s="36"/>
      <c r="G115" s="36"/>
      <c r="H115" s="1"/>
      <c r="I115" s="36"/>
      <c r="J115" s="36"/>
      <c r="K115" s="36"/>
      <c r="L115" s="36"/>
      <c r="M115" s="36"/>
      <c r="N115" s="36"/>
      <c r="O115" s="36"/>
      <c r="P115" s="36"/>
      <c r="Q115" s="36"/>
      <c r="R115" s="36"/>
      <c r="S115" s="36"/>
      <c r="T115" s="36"/>
      <c r="U115" s="36"/>
      <c r="V115" s="36"/>
      <c r="W115" s="36"/>
      <c r="X115" s="36"/>
      <c r="Y115" s="36"/>
      <c r="Z115" s="36"/>
    </row>
    <row r="116" ht="15.75" customHeight="1">
      <c r="A116" s="36"/>
      <c r="B116" s="36"/>
      <c r="C116" s="36"/>
      <c r="D116" s="36"/>
      <c r="E116" s="36"/>
      <c r="F116" s="36"/>
      <c r="G116" s="36"/>
      <c r="H116" s="1"/>
      <c r="I116" s="36"/>
      <c r="J116" s="36"/>
      <c r="K116" s="36"/>
      <c r="L116" s="36"/>
      <c r="M116" s="36"/>
      <c r="N116" s="36"/>
      <c r="O116" s="36"/>
      <c r="P116" s="36"/>
      <c r="Q116" s="36"/>
      <c r="R116" s="36"/>
      <c r="S116" s="36"/>
      <c r="T116" s="36"/>
      <c r="U116" s="36"/>
      <c r="V116" s="36"/>
      <c r="W116" s="36"/>
      <c r="X116" s="36"/>
      <c r="Y116" s="36"/>
      <c r="Z116" s="36"/>
    </row>
    <row r="117" ht="15.75" customHeight="1">
      <c r="A117" s="36"/>
      <c r="B117" s="36"/>
      <c r="C117" s="36"/>
      <c r="D117" s="36"/>
      <c r="E117" s="36"/>
      <c r="F117" s="36"/>
      <c r="G117" s="36"/>
      <c r="H117" s="1"/>
      <c r="I117" s="36"/>
      <c r="J117" s="36"/>
      <c r="K117" s="36"/>
      <c r="L117" s="36"/>
      <c r="M117" s="36"/>
      <c r="N117" s="36"/>
      <c r="O117" s="36"/>
      <c r="P117" s="36"/>
      <c r="Q117" s="36"/>
      <c r="R117" s="36"/>
      <c r="S117" s="36"/>
      <c r="T117" s="36"/>
      <c r="U117" s="36"/>
      <c r="V117" s="36"/>
      <c r="W117" s="36"/>
      <c r="X117" s="36"/>
      <c r="Y117" s="36"/>
      <c r="Z117" s="36"/>
    </row>
    <row r="118" ht="15.75" customHeight="1">
      <c r="A118" s="36"/>
      <c r="B118" s="36"/>
      <c r="C118" s="36"/>
      <c r="D118" s="36"/>
      <c r="E118" s="36"/>
      <c r="F118" s="36"/>
      <c r="G118" s="36"/>
      <c r="H118" s="1"/>
      <c r="I118" s="36"/>
      <c r="J118" s="36"/>
      <c r="K118" s="36"/>
      <c r="L118" s="36"/>
      <c r="M118" s="36"/>
      <c r="N118" s="36"/>
      <c r="O118" s="36"/>
      <c r="P118" s="36"/>
      <c r="Q118" s="36"/>
      <c r="R118" s="36"/>
      <c r="S118" s="36"/>
      <c r="T118" s="36"/>
      <c r="U118" s="36"/>
      <c r="V118" s="36"/>
      <c r="W118" s="36"/>
      <c r="X118" s="36"/>
      <c r="Y118" s="36"/>
      <c r="Z118" s="36"/>
    </row>
    <row r="119" ht="15.75" customHeight="1">
      <c r="A119" s="36"/>
      <c r="B119" s="36"/>
      <c r="C119" s="36"/>
      <c r="D119" s="36"/>
      <c r="E119" s="36"/>
      <c r="F119" s="36"/>
      <c r="G119" s="36"/>
      <c r="H119" s="1"/>
      <c r="I119" s="36"/>
      <c r="J119" s="36"/>
      <c r="K119" s="36"/>
      <c r="L119" s="36"/>
      <c r="M119" s="36"/>
      <c r="N119" s="36"/>
      <c r="O119" s="36"/>
      <c r="P119" s="36"/>
      <c r="Q119" s="36"/>
      <c r="R119" s="36"/>
      <c r="S119" s="36"/>
      <c r="T119" s="36"/>
      <c r="U119" s="36"/>
      <c r="V119" s="36"/>
      <c r="W119" s="36"/>
      <c r="X119" s="36"/>
      <c r="Y119" s="36"/>
      <c r="Z119" s="36"/>
    </row>
    <row r="120" ht="15.75" customHeight="1">
      <c r="A120" s="36"/>
      <c r="B120" s="36"/>
      <c r="C120" s="36"/>
      <c r="D120" s="36"/>
      <c r="E120" s="36"/>
      <c r="F120" s="36"/>
      <c r="G120" s="36"/>
      <c r="H120" s="1"/>
      <c r="I120" s="36"/>
      <c r="J120" s="36"/>
      <c r="K120" s="36"/>
      <c r="L120" s="36"/>
      <c r="M120" s="36"/>
      <c r="N120" s="36"/>
      <c r="O120" s="36"/>
      <c r="P120" s="36"/>
      <c r="Q120" s="36"/>
      <c r="R120" s="36"/>
      <c r="S120" s="36"/>
      <c r="T120" s="36"/>
      <c r="U120" s="36"/>
      <c r="V120" s="36"/>
      <c r="W120" s="36"/>
      <c r="X120" s="36"/>
      <c r="Y120" s="36"/>
      <c r="Z120" s="36"/>
    </row>
    <row r="121" ht="15.75" customHeight="1">
      <c r="A121" s="36"/>
      <c r="B121" s="36"/>
      <c r="C121" s="36"/>
      <c r="D121" s="36"/>
      <c r="E121" s="36"/>
      <c r="F121" s="36"/>
      <c r="G121" s="36"/>
      <c r="H121" s="1"/>
      <c r="I121" s="36"/>
      <c r="J121" s="36"/>
      <c r="K121" s="36"/>
      <c r="L121" s="36"/>
      <c r="M121" s="36"/>
      <c r="N121" s="36"/>
      <c r="O121" s="36"/>
      <c r="P121" s="36"/>
      <c r="Q121" s="36"/>
      <c r="R121" s="36"/>
      <c r="S121" s="36"/>
      <c r="T121" s="36"/>
      <c r="U121" s="36"/>
      <c r="V121" s="36"/>
      <c r="W121" s="36"/>
      <c r="X121" s="36"/>
      <c r="Y121" s="36"/>
      <c r="Z121" s="36"/>
    </row>
    <row r="122" ht="15.75" customHeight="1">
      <c r="A122" s="36"/>
      <c r="B122" s="36"/>
      <c r="C122" s="36"/>
      <c r="D122" s="36"/>
      <c r="E122" s="36"/>
      <c r="F122" s="36"/>
      <c r="G122" s="36"/>
      <c r="H122" s="1"/>
      <c r="I122" s="36"/>
      <c r="J122" s="36"/>
      <c r="K122" s="36"/>
      <c r="L122" s="36"/>
      <c r="M122" s="36"/>
      <c r="N122" s="36"/>
      <c r="O122" s="36"/>
      <c r="P122" s="36"/>
      <c r="Q122" s="36"/>
      <c r="R122" s="36"/>
      <c r="S122" s="36"/>
      <c r="T122" s="36"/>
      <c r="U122" s="36"/>
      <c r="V122" s="36"/>
      <c r="W122" s="36"/>
      <c r="X122" s="36"/>
      <c r="Y122" s="36"/>
      <c r="Z122" s="36"/>
    </row>
    <row r="123" ht="15.75" customHeight="1">
      <c r="A123" s="36"/>
      <c r="B123" s="36"/>
      <c r="C123" s="36"/>
      <c r="D123" s="36"/>
      <c r="E123" s="36"/>
      <c r="F123" s="36"/>
      <c r="G123" s="36"/>
      <c r="H123" s="1"/>
      <c r="I123" s="36"/>
      <c r="J123" s="36"/>
      <c r="K123" s="36"/>
      <c r="L123" s="36"/>
      <c r="M123" s="36"/>
      <c r="N123" s="36"/>
      <c r="O123" s="36"/>
      <c r="P123" s="36"/>
      <c r="Q123" s="36"/>
      <c r="R123" s="36"/>
      <c r="S123" s="36"/>
      <c r="T123" s="36"/>
      <c r="U123" s="36"/>
      <c r="V123" s="36"/>
      <c r="W123" s="36"/>
      <c r="X123" s="36"/>
      <c r="Y123" s="36"/>
      <c r="Z123" s="36"/>
    </row>
    <row r="124" ht="15.75" customHeight="1">
      <c r="A124" s="36"/>
      <c r="B124" s="36"/>
      <c r="C124" s="36"/>
      <c r="D124" s="36"/>
      <c r="E124" s="36"/>
      <c r="F124" s="36"/>
      <c r="G124" s="36"/>
      <c r="H124" s="1"/>
      <c r="I124" s="36"/>
      <c r="J124" s="36"/>
      <c r="K124" s="36"/>
      <c r="L124" s="36"/>
      <c r="M124" s="36"/>
      <c r="N124" s="36"/>
      <c r="O124" s="36"/>
      <c r="P124" s="36"/>
      <c r="Q124" s="36"/>
      <c r="R124" s="36"/>
      <c r="S124" s="36"/>
      <c r="T124" s="36"/>
      <c r="U124" s="36"/>
      <c r="V124" s="36"/>
      <c r="W124" s="36"/>
      <c r="X124" s="36"/>
      <c r="Y124" s="36"/>
      <c r="Z124" s="36"/>
    </row>
    <row r="125" ht="15.75" customHeight="1">
      <c r="A125" s="36"/>
      <c r="B125" s="36"/>
      <c r="C125" s="36"/>
      <c r="D125" s="36"/>
      <c r="E125" s="36"/>
      <c r="F125" s="36"/>
      <c r="G125" s="36"/>
      <c r="H125" s="1"/>
      <c r="I125" s="36"/>
      <c r="J125" s="36"/>
      <c r="K125" s="36"/>
      <c r="L125" s="36"/>
      <c r="M125" s="36"/>
      <c r="N125" s="36"/>
      <c r="O125" s="36"/>
      <c r="P125" s="36"/>
      <c r="Q125" s="36"/>
      <c r="R125" s="36"/>
      <c r="S125" s="36"/>
      <c r="T125" s="36"/>
      <c r="U125" s="36"/>
      <c r="V125" s="36"/>
      <c r="W125" s="36"/>
      <c r="X125" s="36"/>
      <c r="Y125" s="36"/>
      <c r="Z125" s="36"/>
    </row>
    <row r="126" ht="15.75" customHeight="1">
      <c r="A126" s="36"/>
      <c r="B126" s="36"/>
      <c r="C126" s="36"/>
      <c r="D126" s="36"/>
      <c r="E126" s="36"/>
      <c r="F126" s="36"/>
      <c r="G126" s="36"/>
      <c r="H126" s="1"/>
      <c r="I126" s="36"/>
      <c r="J126" s="36"/>
      <c r="K126" s="36"/>
      <c r="L126" s="36"/>
      <c r="M126" s="36"/>
      <c r="N126" s="36"/>
      <c r="O126" s="36"/>
      <c r="P126" s="36"/>
      <c r="Q126" s="36"/>
      <c r="R126" s="36"/>
      <c r="S126" s="36"/>
      <c r="T126" s="36"/>
      <c r="U126" s="36"/>
      <c r="V126" s="36"/>
      <c r="W126" s="36"/>
      <c r="X126" s="36"/>
      <c r="Y126" s="36"/>
      <c r="Z126" s="36"/>
    </row>
    <row r="127" ht="15.75" customHeight="1">
      <c r="A127" s="36"/>
      <c r="B127" s="36"/>
      <c r="C127" s="36"/>
      <c r="D127" s="36"/>
      <c r="E127" s="36"/>
      <c r="F127" s="36"/>
      <c r="G127" s="36"/>
      <c r="H127" s="1"/>
      <c r="I127" s="36"/>
      <c r="J127" s="36"/>
      <c r="K127" s="36"/>
      <c r="L127" s="36"/>
      <c r="M127" s="36"/>
      <c r="N127" s="36"/>
      <c r="O127" s="36"/>
      <c r="P127" s="36"/>
      <c r="Q127" s="36"/>
      <c r="R127" s="36"/>
      <c r="S127" s="36"/>
      <c r="T127" s="36"/>
      <c r="U127" s="36"/>
      <c r="V127" s="36"/>
      <c r="W127" s="36"/>
      <c r="X127" s="36"/>
      <c r="Y127" s="36"/>
      <c r="Z127" s="36"/>
    </row>
    <row r="128" ht="15.75" customHeight="1">
      <c r="A128" s="36"/>
      <c r="B128" s="36"/>
      <c r="C128" s="36"/>
      <c r="D128" s="36"/>
      <c r="E128" s="36"/>
      <c r="F128" s="36"/>
      <c r="G128" s="36"/>
      <c r="H128" s="1"/>
      <c r="I128" s="36"/>
      <c r="J128" s="36"/>
      <c r="K128" s="36"/>
      <c r="L128" s="36"/>
      <c r="M128" s="36"/>
      <c r="N128" s="36"/>
      <c r="O128" s="36"/>
      <c r="P128" s="36"/>
      <c r="Q128" s="36"/>
      <c r="R128" s="36"/>
      <c r="S128" s="36"/>
      <c r="T128" s="36"/>
      <c r="U128" s="36"/>
      <c r="V128" s="36"/>
      <c r="W128" s="36"/>
      <c r="X128" s="36"/>
      <c r="Y128" s="36"/>
      <c r="Z128" s="36"/>
    </row>
    <row r="129" ht="15.75" customHeight="1">
      <c r="A129" s="36"/>
      <c r="B129" s="36"/>
      <c r="C129" s="36"/>
      <c r="D129" s="36"/>
      <c r="E129" s="36"/>
      <c r="F129" s="36"/>
      <c r="G129" s="36"/>
      <c r="H129" s="1"/>
      <c r="I129" s="36"/>
      <c r="J129" s="36"/>
      <c r="K129" s="36"/>
      <c r="L129" s="36"/>
      <c r="M129" s="36"/>
      <c r="N129" s="36"/>
      <c r="O129" s="36"/>
      <c r="P129" s="36"/>
      <c r="Q129" s="36"/>
      <c r="R129" s="36"/>
      <c r="S129" s="36"/>
      <c r="T129" s="36"/>
      <c r="U129" s="36"/>
      <c r="V129" s="36"/>
      <c r="W129" s="36"/>
      <c r="X129" s="36"/>
      <c r="Y129" s="36"/>
      <c r="Z129" s="36"/>
    </row>
    <row r="130" ht="15.75" customHeight="1">
      <c r="A130" s="36"/>
      <c r="B130" s="36"/>
      <c r="C130" s="36"/>
      <c r="D130" s="36"/>
      <c r="E130" s="36"/>
      <c r="F130" s="36"/>
      <c r="G130" s="36"/>
      <c r="H130" s="1"/>
      <c r="I130" s="36"/>
      <c r="J130" s="36"/>
      <c r="K130" s="36"/>
      <c r="L130" s="36"/>
      <c r="M130" s="36"/>
      <c r="N130" s="36"/>
      <c r="O130" s="36"/>
      <c r="P130" s="36"/>
      <c r="Q130" s="36"/>
      <c r="R130" s="36"/>
      <c r="S130" s="36"/>
      <c r="T130" s="36"/>
      <c r="U130" s="36"/>
      <c r="V130" s="36"/>
      <c r="W130" s="36"/>
      <c r="X130" s="36"/>
      <c r="Y130" s="36"/>
      <c r="Z130" s="36"/>
    </row>
    <row r="131" ht="15.75" customHeight="1">
      <c r="A131" s="36"/>
      <c r="B131" s="36"/>
      <c r="C131" s="36"/>
      <c r="D131" s="36"/>
      <c r="E131" s="36"/>
      <c r="F131" s="36"/>
      <c r="G131" s="36"/>
      <c r="H131" s="1"/>
      <c r="I131" s="36"/>
      <c r="J131" s="36"/>
      <c r="K131" s="36"/>
      <c r="L131" s="36"/>
      <c r="M131" s="36"/>
      <c r="N131" s="36"/>
      <c r="O131" s="36"/>
      <c r="P131" s="36"/>
      <c r="Q131" s="36"/>
      <c r="R131" s="36"/>
      <c r="S131" s="36"/>
      <c r="T131" s="36"/>
      <c r="U131" s="36"/>
      <c r="V131" s="36"/>
      <c r="W131" s="36"/>
      <c r="X131" s="36"/>
      <c r="Y131" s="36"/>
      <c r="Z131" s="36"/>
    </row>
    <row r="132" ht="15.75" customHeight="1">
      <c r="A132" s="36"/>
      <c r="B132" s="36"/>
      <c r="C132" s="36"/>
      <c r="D132" s="36"/>
      <c r="E132" s="36"/>
      <c r="F132" s="36"/>
      <c r="G132" s="36"/>
      <c r="H132" s="1"/>
      <c r="I132" s="36"/>
      <c r="J132" s="36"/>
      <c r="K132" s="36"/>
      <c r="L132" s="36"/>
      <c r="M132" s="36"/>
      <c r="N132" s="36"/>
      <c r="O132" s="36"/>
      <c r="P132" s="36"/>
      <c r="Q132" s="36"/>
      <c r="R132" s="36"/>
      <c r="S132" s="36"/>
      <c r="T132" s="36"/>
      <c r="U132" s="36"/>
      <c r="V132" s="36"/>
      <c r="W132" s="36"/>
      <c r="X132" s="36"/>
      <c r="Y132" s="36"/>
      <c r="Z132" s="36"/>
    </row>
    <row r="133" ht="15.75" customHeight="1">
      <c r="A133" s="36"/>
      <c r="B133" s="36"/>
      <c r="C133" s="36"/>
      <c r="D133" s="36"/>
      <c r="E133" s="36"/>
      <c r="F133" s="36"/>
      <c r="G133" s="36"/>
      <c r="H133" s="1"/>
      <c r="I133" s="36"/>
      <c r="J133" s="36"/>
      <c r="K133" s="36"/>
      <c r="L133" s="36"/>
      <c r="M133" s="36"/>
      <c r="N133" s="36"/>
      <c r="O133" s="36"/>
      <c r="P133" s="36"/>
      <c r="Q133" s="36"/>
      <c r="R133" s="36"/>
      <c r="S133" s="36"/>
      <c r="T133" s="36"/>
      <c r="U133" s="36"/>
      <c r="V133" s="36"/>
      <c r="W133" s="36"/>
      <c r="X133" s="36"/>
      <c r="Y133" s="36"/>
      <c r="Z133" s="36"/>
    </row>
    <row r="134" ht="15.75" customHeight="1">
      <c r="A134" s="36"/>
      <c r="B134" s="36"/>
      <c r="C134" s="36"/>
      <c r="D134" s="36"/>
      <c r="E134" s="36"/>
      <c r="F134" s="36"/>
      <c r="G134" s="36"/>
      <c r="H134" s="1"/>
      <c r="I134" s="36"/>
      <c r="J134" s="36"/>
      <c r="K134" s="36"/>
      <c r="L134" s="36"/>
      <c r="M134" s="36"/>
      <c r="N134" s="36"/>
      <c r="O134" s="36"/>
      <c r="P134" s="36"/>
      <c r="Q134" s="36"/>
      <c r="R134" s="36"/>
      <c r="S134" s="36"/>
      <c r="T134" s="36"/>
      <c r="U134" s="36"/>
      <c r="V134" s="36"/>
      <c r="W134" s="36"/>
      <c r="X134" s="36"/>
      <c r="Y134" s="36"/>
      <c r="Z134" s="36"/>
    </row>
    <row r="135" ht="15.75" customHeight="1">
      <c r="A135" s="36"/>
      <c r="B135" s="36"/>
      <c r="C135" s="36"/>
      <c r="D135" s="36"/>
      <c r="E135" s="36"/>
      <c r="F135" s="36"/>
      <c r="G135" s="36"/>
      <c r="H135" s="1"/>
      <c r="I135" s="36"/>
      <c r="J135" s="36"/>
      <c r="K135" s="36"/>
      <c r="L135" s="36"/>
      <c r="M135" s="36"/>
      <c r="N135" s="36"/>
      <c r="O135" s="36"/>
      <c r="P135" s="36"/>
      <c r="Q135" s="36"/>
      <c r="R135" s="36"/>
      <c r="S135" s="36"/>
      <c r="T135" s="36"/>
      <c r="U135" s="36"/>
      <c r="V135" s="36"/>
      <c r="W135" s="36"/>
      <c r="X135" s="36"/>
      <c r="Y135" s="36"/>
      <c r="Z135" s="36"/>
    </row>
    <row r="136" ht="15.75" customHeight="1">
      <c r="A136" s="36"/>
      <c r="B136" s="36"/>
      <c r="C136" s="36"/>
      <c r="D136" s="36"/>
      <c r="E136" s="36"/>
      <c r="F136" s="36"/>
      <c r="G136" s="36"/>
      <c r="H136" s="1"/>
      <c r="I136" s="36"/>
      <c r="J136" s="36"/>
      <c r="K136" s="36"/>
      <c r="L136" s="36"/>
      <c r="M136" s="36"/>
      <c r="N136" s="36"/>
      <c r="O136" s="36"/>
      <c r="P136" s="36"/>
      <c r="Q136" s="36"/>
      <c r="R136" s="36"/>
      <c r="S136" s="36"/>
      <c r="T136" s="36"/>
      <c r="U136" s="36"/>
      <c r="V136" s="36"/>
      <c r="W136" s="36"/>
      <c r="X136" s="36"/>
      <c r="Y136" s="36"/>
      <c r="Z136" s="36"/>
    </row>
    <row r="137" ht="15.75" customHeight="1">
      <c r="A137" s="36"/>
      <c r="B137" s="36"/>
      <c r="C137" s="36"/>
      <c r="D137" s="36"/>
      <c r="E137" s="36"/>
      <c r="F137" s="36"/>
      <c r="G137" s="36"/>
      <c r="H137" s="1"/>
      <c r="I137" s="36"/>
      <c r="J137" s="36"/>
      <c r="K137" s="36"/>
      <c r="L137" s="36"/>
      <c r="M137" s="36"/>
      <c r="N137" s="36"/>
      <c r="O137" s="36"/>
      <c r="P137" s="36"/>
      <c r="Q137" s="36"/>
      <c r="R137" s="36"/>
      <c r="S137" s="36"/>
      <c r="T137" s="36"/>
      <c r="U137" s="36"/>
      <c r="V137" s="36"/>
      <c r="W137" s="36"/>
      <c r="X137" s="36"/>
      <c r="Y137" s="36"/>
      <c r="Z137" s="36"/>
    </row>
    <row r="138" ht="15.75" customHeight="1">
      <c r="A138" s="36"/>
      <c r="B138" s="36"/>
      <c r="C138" s="36"/>
      <c r="D138" s="36"/>
      <c r="E138" s="36"/>
      <c r="F138" s="36"/>
      <c r="G138" s="36"/>
      <c r="H138" s="1"/>
      <c r="I138" s="36"/>
      <c r="J138" s="36"/>
      <c r="K138" s="36"/>
      <c r="L138" s="36"/>
      <c r="M138" s="36"/>
      <c r="N138" s="36"/>
      <c r="O138" s="36"/>
      <c r="P138" s="36"/>
      <c r="Q138" s="36"/>
      <c r="R138" s="36"/>
      <c r="S138" s="36"/>
      <c r="T138" s="36"/>
      <c r="U138" s="36"/>
      <c r="V138" s="36"/>
      <c r="W138" s="36"/>
      <c r="X138" s="36"/>
      <c r="Y138" s="36"/>
      <c r="Z138" s="36"/>
    </row>
    <row r="139" ht="15.75" customHeight="1">
      <c r="A139" s="36"/>
      <c r="B139" s="36"/>
      <c r="C139" s="36"/>
      <c r="D139" s="36"/>
      <c r="E139" s="36"/>
      <c r="F139" s="36"/>
      <c r="G139" s="36"/>
      <c r="H139" s="1"/>
      <c r="I139" s="36"/>
      <c r="J139" s="36"/>
      <c r="K139" s="36"/>
      <c r="L139" s="36"/>
      <c r="M139" s="36"/>
      <c r="N139" s="36"/>
      <c r="O139" s="36"/>
      <c r="P139" s="36"/>
      <c r="Q139" s="36"/>
      <c r="R139" s="36"/>
      <c r="S139" s="36"/>
      <c r="T139" s="36"/>
      <c r="U139" s="36"/>
      <c r="V139" s="36"/>
      <c r="W139" s="36"/>
      <c r="X139" s="36"/>
      <c r="Y139" s="36"/>
      <c r="Z139" s="36"/>
    </row>
    <row r="140" ht="15.75" customHeight="1">
      <c r="A140" s="36"/>
      <c r="B140" s="36"/>
      <c r="C140" s="36"/>
      <c r="D140" s="36"/>
      <c r="E140" s="36"/>
      <c r="F140" s="36"/>
      <c r="G140" s="36"/>
      <c r="H140" s="1"/>
      <c r="I140" s="36"/>
      <c r="J140" s="36"/>
      <c r="K140" s="36"/>
      <c r="L140" s="36"/>
      <c r="M140" s="36"/>
      <c r="N140" s="36"/>
      <c r="O140" s="36"/>
      <c r="P140" s="36"/>
      <c r="Q140" s="36"/>
      <c r="R140" s="36"/>
      <c r="S140" s="36"/>
      <c r="T140" s="36"/>
      <c r="U140" s="36"/>
      <c r="V140" s="36"/>
      <c r="W140" s="36"/>
      <c r="X140" s="36"/>
      <c r="Y140" s="36"/>
      <c r="Z140" s="36"/>
    </row>
    <row r="141" ht="15.75" customHeight="1">
      <c r="A141" s="36"/>
      <c r="B141" s="36"/>
      <c r="C141" s="36"/>
      <c r="D141" s="36"/>
      <c r="E141" s="36"/>
      <c r="F141" s="36"/>
      <c r="G141" s="36"/>
      <c r="H141" s="1"/>
      <c r="I141" s="36"/>
      <c r="J141" s="36"/>
      <c r="K141" s="36"/>
      <c r="L141" s="36"/>
      <c r="M141" s="36"/>
      <c r="N141" s="36"/>
      <c r="O141" s="36"/>
      <c r="P141" s="36"/>
      <c r="Q141" s="36"/>
      <c r="R141" s="36"/>
      <c r="S141" s="36"/>
      <c r="T141" s="36"/>
      <c r="U141" s="36"/>
      <c r="V141" s="36"/>
      <c r="W141" s="36"/>
      <c r="X141" s="36"/>
      <c r="Y141" s="36"/>
      <c r="Z141" s="36"/>
    </row>
    <row r="142" ht="15.75" customHeight="1">
      <c r="A142" s="36"/>
      <c r="B142" s="36"/>
      <c r="C142" s="36"/>
      <c r="D142" s="36"/>
      <c r="E142" s="36"/>
      <c r="F142" s="36"/>
      <c r="G142" s="36"/>
      <c r="H142" s="1"/>
      <c r="I142" s="36"/>
      <c r="J142" s="36"/>
      <c r="K142" s="36"/>
      <c r="L142" s="36"/>
      <c r="M142" s="36"/>
      <c r="N142" s="36"/>
      <c r="O142" s="36"/>
      <c r="P142" s="36"/>
      <c r="Q142" s="36"/>
      <c r="R142" s="36"/>
      <c r="S142" s="36"/>
      <c r="T142" s="36"/>
      <c r="U142" s="36"/>
      <c r="V142" s="36"/>
      <c r="W142" s="36"/>
      <c r="X142" s="36"/>
      <c r="Y142" s="36"/>
      <c r="Z142" s="36"/>
    </row>
    <row r="143" ht="15.75" customHeight="1">
      <c r="A143" s="36"/>
      <c r="B143" s="36"/>
      <c r="C143" s="36"/>
      <c r="D143" s="36"/>
      <c r="E143" s="36"/>
      <c r="F143" s="36"/>
      <c r="G143" s="36"/>
      <c r="H143" s="1"/>
      <c r="I143" s="36"/>
      <c r="J143" s="36"/>
      <c r="K143" s="36"/>
      <c r="L143" s="36"/>
      <c r="M143" s="36"/>
      <c r="N143" s="36"/>
      <c r="O143" s="36"/>
      <c r="P143" s="36"/>
      <c r="Q143" s="36"/>
      <c r="R143" s="36"/>
      <c r="S143" s="36"/>
      <c r="T143" s="36"/>
      <c r="U143" s="36"/>
      <c r="V143" s="36"/>
      <c r="W143" s="36"/>
      <c r="X143" s="36"/>
      <c r="Y143" s="36"/>
      <c r="Z143" s="36"/>
    </row>
    <row r="144" ht="15.75" customHeight="1">
      <c r="A144" s="36"/>
      <c r="B144" s="36"/>
      <c r="C144" s="36"/>
      <c r="D144" s="36"/>
      <c r="E144" s="36"/>
      <c r="F144" s="36"/>
      <c r="G144" s="36"/>
      <c r="H144" s="1"/>
      <c r="I144" s="36"/>
      <c r="J144" s="36"/>
      <c r="K144" s="36"/>
      <c r="L144" s="36"/>
      <c r="M144" s="36"/>
      <c r="N144" s="36"/>
      <c r="O144" s="36"/>
      <c r="P144" s="36"/>
      <c r="Q144" s="36"/>
      <c r="R144" s="36"/>
      <c r="S144" s="36"/>
      <c r="T144" s="36"/>
      <c r="U144" s="36"/>
      <c r="V144" s="36"/>
      <c r="W144" s="36"/>
      <c r="X144" s="36"/>
      <c r="Y144" s="36"/>
      <c r="Z144" s="36"/>
    </row>
    <row r="145" ht="15.75" customHeight="1">
      <c r="A145" s="36"/>
      <c r="B145" s="36"/>
      <c r="C145" s="36"/>
      <c r="D145" s="36"/>
      <c r="E145" s="36"/>
      <c r="F145" s="36"/>
      <c r="G145" s="36"/>
      <c r="H145" s="1"/>
      <c r="I145" s="36"/>
      <c r="J145" s="36"/>
      <c r="K145" s="36"/>
      <c r="L145" s="36"/>
      <c r="M145" s="36"/>
      <c r="N145" s="36"/>
      <c r="O145" s="36"/>
      <c r="P145" s="36"/>
      <c r="Q145" s="36"/>
      <c r="R145" s="36"/>
      <c r="S145" s="36"/>
      <c r="T145" s="36"/>
      <c r="U145" s="36"/>
      <c r="V145" s="36"/>
      <c r="W145" s="36"/>
      <c r="X145" s="36"/>
      <c r="Y145" s="36"/>
      <c r="Z145" s="36"/>
    </row>
    <row r="146" ht="15.75" customHeight="1">
      <c r="A146" s="36"/>
      <c r="B146" s="36"/>
      <c r="C146" s="36"/>
      <c r="D146" s="36"/>
      <c r="E146" s="36"/>
      <c r="F146" s="36"/>
      <c r="G146" s="36"/>
      <c r="H146" s="1"/>
      <c r="I146" s="36"/>
      <c r="J146" s="36"/>
      <c r="K146" s="36"/>
      <c r="L146" s="36"/>
      <c r="M146" s="36"/>
      <c r="N146" s="36"/>
      <c r="O146" s="36"/>
      <c r="P146" s="36"/>
      <c r="Q146" s="36"/>
      <c r="R146" s="36"/>
      <c r="S146" s="36"/>
      <c r="T146" s="36"/>
      <c r="U146" s="36"/>
      <c r="V146" s="36"/>
      <c r="W146" s="36"/>
      <c r="X146" s="36"/>
      <c r="Y146" s="36"/>
      <c r="Z146" s="36"/>
    </row>
    <row r="147" ht="15.75" customHeight="1">
      <c r="A147" s="36"/>
      <c r="B147" s="36"/>
      <c r="C147" s="36"/>
      <c r="D147" s="36"/>
      <c r="E147" s="36"/>
      <c r="F147" s="36"/>
      <c r="G147" s="36"/>
      <c r="H147" s="1"/>
      <c r="I147" s="36"/>
      <c r="J147" s="36"/>
      <c r="K147" s="36"/>
      <c r="L147" s="36"/>
      <c r="M147" s="36"/>
      <c r="N147" s="36"/>
      <c r="O147" s="36"/>
      <c r="P147" s="36"/>
      <c r="Q147" s="36"/>
      <c r="R147" s="36"/>
      <c r="S147" s="36"/>
      <c r="T147" s="36"/>
      <c r="U147" s="36"/>
      <c r="V147" s="36"/>
      <c r="W147" s="36"/>
      <c r="X147" s="36"/>
      <c r="Y147" s="36"/>
      <c r="Z147" s="36"/>
    </row>
    <row r="148" ht="15.75" customHeight="1">
      <c r="A148" s="36"/>
      <c r="B148" s="36"/>
      <c r="C148" s="36"/>
      <c r="D148" s="36"/>
      <c r="E148" s="36"/>
      <c r="F148" s="36"/>
      <c r="G148" s="36"/>
      <c r="H148" s="1"/>
      <c r="I148" s="36"/>
      <c r="J148" s="36"/>
      <c r="K148" s="36"/>
      <c r="L148" s="36"/>
      <c r="M148" s="36"/>
      <c r="N148" s="36"/>
      <c r="O148" s="36"/>
      <c r="P148" s="36"/>
      <c r="Q148" s="36"/>
      <c r="R148" s="36"/>
      <c r="S148" s="36"/>
      <c r="T148" s="36"/>
      <c r="U148" s="36"/>
      <c r="V148" s="36"/>
      <c r="W148" s="36"/>
      <c r="X148" s="36"/>
      <c r="Y148" s="36"/>
      <c r="Z148" s="36"/>
    </row>
    <row r="149" ht="15.75" customHeight="1">
      <c r="A149" s="36"/>
      <c r="B149" s="36"/>
      <c r="C149" s="36"/>
      <c r="D149" s="36"/>
      <c r="E149" s="36"/>
      <c r="F149" s="36"/>
      <c r="G149" s="36"/>
      <c r="H149" s="1"/>
      <c r="I149" s="36"/>
      <c r="J149" s="36"/>
      <c r="K149" s="36"/>
      <c r="L149" s="36"/>
      <c r="M149" s="36"/>
      <c r="N149" s="36"/>
      <c r="O149" s="36"/>
      <c r="P149" s="36"/>
      <c r="Q149" s="36"/>
      <c r="R149" s="36"/>
      <c r="S149" s="36"/>
      <c r="T149" s="36"/>
      <c r="U149" s="36"/>
      <c r="V149" s="36"/>
      <c r="W149" s="36"/>
      <c r="X149" s="36"/>
      <c r="Y149" s="36"/>
      <c r="Z149" s="36"/>
    </row>
    <row r="150" ht="15.75" customHeight="1">
      <c r="A150" s="36"/>
      <c r="B150" s="36"/>
      <c r="C150" s="36"/>
      <c r="D150" s="36"/>
      <c r="E150" s="36"/>
      <c r="F150" s="36"/>
      <c r="G150" s="36"/>
      <c r="H150" s="1"/>
      <c r="I150" s="36"/>
      <c r="J150" s="36"/>
      <c r="K150" s="36"/>
      <c r="L150" s="36"/>
      <c r="M150" s="36"/>
      <c r="N150" s="36"/>
      <c r="O150" s="36"/>
      <c r="P150" s="36"/>
      <c r="Q150" s="36"/>
      <c r="R150" s="36"/>
      <c r="S150" s="36"/>
      <c r="T150" s="36"/>
      <c r="U150" s="36"/>
      <c r="V150" s="36"/>
      <c r="W150" s="36"/>
      <c r="X150" s="36"/>
      <c r="Y150" s="36"/>
      <c r="Z150" s="36"/>
    </row>
    <row r="151" ht="15.75" customHeight="1">
      <c r="A151" s="36"/>
      <c r="B151" s="36"/>
      <c r="C151" s="36"/>
      <c r="D151" s="36"/>
      <c r="E151" s="36"/>
      <c r="F151" s="36"/>
      <c r="G151" s="36"/>
      <c r="H151" s="1"/>
      <c r="I151" s="36"/>
      <c r="J151" s="36"/>
      <c r="K151" s="36"/>
      <c r="L151" s="36"/>
      <c r="M151" s="36"/>
      <c r="N151" s="36"/>
      <c r="O151" s="36"/>
      <c r="P151" s="36"/>
      <c r="Q151" s="36"/>
      <c r="R151" s="36"/>
      <c r="S151" s="36"/>
      <c r="T151" s="36"/>
      <c r="U151" s="36"/>
      <c r="V151" s="36"/>
      <c r="W151" s="36"/>
      <c r="X151" s="36"/>
      <c r="Y151" s="36"/>
      <c r="Z151" s="36"/>
    </row>
    <row r="152" ht="15.75" customHeight="1">
      <c r="A152" s="36"/>
      <c r="B152" s="36"/>
      <c r="C152" s="36"/>
      <c r="D152" s="36"/>
      <c r="E152" s="36"/>
      <c r="F152" s="36"/>
      <c r="G152" s="36"/>
      <c r="H152" s="1"/>
      <c r="I152" s="36"/>
      <c r="J152" s="36"/>
      <c r="K152" s="36"/>
      <c r="L152" s="36"/>
      <c r="M152" s="36"/>
      <c r="N152" s="36"/>
      <c r="O152" s="36"/>
      <c r="P152" s="36"/>
      <c r="Q152" s="36"/>
      <c r="R152" s="36"/>
      <c r="S152" s="36"/>
      <c r="T152" s="36"/>
      <c r="U152" s="36"/>
      <c r="V152" s="36"/>
      <c r="W152" s="36"/>
      <c r="X152" s="36"/>
      <c r="Y152" s="36"/>
      <c r="Z152" s="36"/>
    </row>
    <row r="153" ht="15.75" customHeight="1">
      <c r="A153" s="36"/>
      <c r="B153" s="36"/>
      <c r="C153" s="36"/>
      <c r="D153" s="36"/>
      <c r="E153" s="36"/>
      <c r="F153" s="36"/>
      <c r="G153" s="36"/>
      <c r="H153" s="1"/>
      <c r="I153" s="36"/>
      <c r="J153" s="36"/>
      <c r="K153" s="36"/>
      <c r="L153" s="36"/>
      <c r="M153" s="36"/>
      <c r="N153" s="36"/>
      <c r="O153" s="36"/>
      <c r="P153" s="36"/>
      <c r="Q153" s="36"/>
      <c r="R153" s="36"/>
      <c r="S153" s="36"/>
      <c r="T153" s="36"/>
      <c r="U153" s="36"/>
      <c r="V153" s="36"/>
      <c r="W153" s="36"/>
      <c r="X153" s="36"/>
      <c r="Y153" s="36"/>
      <c r="Z153" s="36"/>
    </row>
    <row r="154" ht="15.75" customHeight="1">
      <c r="A154" s="36"/>
      <c r="B154" s="36"/>
      <c r="C154" s="36"/>
      <c r="D154" s="36"/>
      <c r="E154" s="36"/>
      <c r="F154" s="36"/>
      <c r="G154" s="36"/>
      <c r="H154" s="1"/>
      <c r="I154" s="36"/>
      <c r="J154" s="36"/>
      <c r="K154" s="36"/>
      <c r="L154" s="36"/>
      <c r="M154" s="36"/>
      <c r="N154" s="36"/>
      <c r="O154" s="36"/>
      <c r="P154" s="36"/>
      <c r="Q154" s="36"/>
      <c r="R154" s="36"/>
      <c r="S154" s="36"/>
      <c r="T154" s="36"/>
      <c r="U154" s="36"/>
      <c r="V154" s="36"/>
      <c r="W154" s="36"/>
      <c r="X154" s="36"/>
      <c r="Y154" s="36"/>
      <c r="Z154" s="36"/>
    </row>
    <row r="155" ht="15.75" customHeight="1">
      <c r="A155" s="36"/>
      <c r="B155" s="36"/>
      <c r="C155" s="36"/>
      <c r="D155" s="36"/>
      <c r="E155" s="36"/>
      <c r="F155" s="36"/>
      <c r="G155" s="36"/>
      <c r="H155" s="1"/>
      <c r="I155" s="36"/>
      <c r="J155" s="36"/>
      <c r="K155" s="36"/>
      <c r="L155" s="36"/>
      <c r="M155" s="36"/>
      <c r="N155" s="36"/>
      <c r="O155" s="36"/>
      <c r="P155" s="36"/>
      <c r="Q155" s="36"/>
      <c r="R155" s="36"/>
      <c r="S155" s="36"/>
      <c r="T155" s="36"/>
      <c r="U155" s="36"/>
      <c r="V155" s="36"/>
      <c r="W155" s="36"/>
      <c r="X155" s="36"/>
      <c r="Y155" s="36"/>
      <c r="Z155" s="36"/>
    </row>
    <row r="156" ht="15.75" customHeight="1">
      <c r="A156" s="36"/>
      <c r="B156" s="36"/>
      <c r="C156" s="36"/>
      <c r="D156" s="36"/>
      <c r="E156" s="36"/>
      <c r="F156" s="36"/>
      <c r="G156" s="36"/>
      <c r="H156" s="1"/>
      <c r="I156" s="36"/>
      <c r="J156" s="36"/>
      <c r="K156" s="36"/>
      <c r="L156" s="36"/>
      <c r="M156" s="36"/>
      <c r="N156" s="36"/>
      <c r="O156" s="36"/>
      <c r="P156" s="36"/>
      <c r="Q156" s="36"/>
      <c r="R156" s="36"/>
      <c r="S156" s="36"/>
      <c r="T156" s="36"/>
      <c r="U156" s="36"/>
      <c r="V156" s="36"/>
      <c r="W156" s="36"/>
      <c r="X156" s="36"/>
      <c r="Y156" s="36"/>
      <c r="Z156" s="36"/>
    </row>
    <row r="157" ht="15.75" customHeight="1">
      <c r="A157" s="36"/>
      <c r="B157" s="36"/>
      <c r="C157" s="36"/>
      <c r="D157" s="36"/>
      <c r="E157" s="36"/>
      <c r="F157" s="36"/>
      <c r="G157" s="36"/>
      <c r="H157" s="1"/>
      <c r="I157" s="36"/>
      <c r="J157" s="36"/>
      <c r="K157" s="36"/>
      <c r="L157" s="36"/>
      <c r="M157" s="36"/>
      <c r="N157" s="36"/>
      <c r="O157" s="36"/>
      <c r="P157" s="36"/>
      <c r="Q157" s="36"/>
      <c r="R157" s="36"/>
      <c r="S157" s="36"/>
      <c r="T157" s="36"/>
      <c r="U157" s="36"/>
      <c r="V157" s="36"/>
      <c r="W157" s="36"/>
      <c r="X157" s="36"/>
      <c r="Y157" s="36"/>
      <c r="Z157" s="36"/>
    </row>
    <row r="158" ht="15.75" customHeight="1">
      <c r="A158" s="36"/>
      <c r="B158" s="36"/>
      <c r="C158" s="36"/>
      <c r="D158" s="36"/>
      <c r="E158" s="36"/>
      <c r="F158" s="36"/>
      <c r="G158" s="36"/>
      <c r="H158" s="1"/>
      <c r="I158" s="36"/>
      <c r="J158" s="36"/>
      <c r="K158" s="36"/>
      <c r="L158" s="36"/>
      <c r="M158" s="36"/>
      <c r="N158" s="36"/>
      <c r="O158" s="36"/>
      <c r="P158" s="36"/>
      <c r="Q158" s="36"/>
      <c r="R158" s="36"/>
      <c r="S158" s="36"/>
      <c r="T158" s="36"/>
      <c r="U158" s="36"/>
      <c r="V158" s="36"/>
      <c r="W158" s="36"/>
      <c r="X158" s="36"/>
      <c r="Y158" s="36"/>
      <c r="Z158" s="36"/>
    </row>
    <row r="159" ht="15.75" customHeight="1">
      <c r="A159" s="36"/>
      <c r="B159" s="36"/>
      <c r="C159" s="36"/>
      <c r="D159" s="36"/>
      <c r="E159" s="36"/>
      <c r="F159" s="36"/>
      <c r="G159" s="36"/>
      <c r="H159" s="1"/>
      <c r="I159" s="36"/>
      <c r="J159" s="36"/>
      <c r="K159" s="36"/>
      <c r="L159" s="36"/>
      <c r="M159" s="36"/>
      <c r="N159" s="36"/>
      <c r="O159" s="36"/>
      <c r="P159" s="36"/>
      <c r="Q159" s="36"/>
      <c r="R159" s="36"/>
      <c r="S159" s="36"/>
      <c r="T159" s="36"/>
      <c r="U159" s="36"/>
      <c r="V159" s="36"/>
      <c r="W159" s="36"/>
      <c r="X159" s="36"/>
      <c r="Y159" s="36"/>
      <c r="Z159" s="36"/>
    </row>
    <row r="160" ht="15.75" customHeight="1">
      <c r="A160" s="36"/>
      <c r="B160" s="36"/>
      <c r="C160" s="36"/>
      <c r="D160" s="36"/>
      <c r="E160" s="36"/>
      <c r="F160" s="36"/>
      <c r="G160" s="36"/>
      <c r="H160" s="1"/>
      <c r="I160" s="36"/>
      <c r="J160" s="36"/>
      <c r="K160" s="36"/>
      <c r="L160" s="36"/>
      <c r="M160" s="36"/>
      <c r="N160" s="36"/>
      <c r="O160" s="36"/>
      <c r="P160" s="36"/>
      <c r="Q160" s="36"/>
      <c r="R160" s="36"/>
      <c r="S160" s="36"/>
      <c r="T160" s="36"/>
      <c r="U160" s="36"/>
      <c r="V160" s="36"/>
      <c r="W160" s="36"/>
      <c r="X160" s="36"/>
      <c r="Y160" s="36"/>
      <c r="Z160" s="36"/>
    </row>
    <row r="161" ht="15.75" customHeight="1">
      <c r="A161" s="36"/>
      <c r="B161" s="36"/>
      <c r="C161" s="36"/>
      <c r="D161" s="36"/>
      <c r="E161" s="36"/>
      <c r="F161" s="36"/>
      <c r="G161" s="36"/>
      <c r="H161" s="1"/>
      <c r="I161" s="36"/>
      <c r="J161" s="36"/>
      <c r="K161" s="36"/>
      <c r="L161" s="36"/>
      <c r="M161" s="36"/>
      <c r="N161" s="36"/>
      <c r="O161" s="36"/>
      <c r="P161" s="36"/>
      <c r="Q161" s="36"/>
      <c r="R161" s="36"/>
      <c r="S161" s="36"/>
      <c r="T161" s="36"/>
      <c r="U161" s="36"/>
      <c r="V161" s="36"/>
      <c r="W161" s="36"/>
      <c r="X161" s="36"/>
      <c r="Y161" s="36"/>
      <c r="Z161" s="36"/>
    </row>
    <row r="162" ht="15.75" customHeight="1">
      <c r="A162" s="36"/>
      <c r="B162" s="36"/>
      <c r="C162" s="36"/>
      <c r="D162" s="36"/>
      <c r="E162" s="36"/>
      <c r="F162" s="36"/>
      <c r="G162" s="36"/>
      <c r="H162" s="1"/>
      <c r="I162" s="36"/>
      <c r="J162" s="36"/>
      <c r="K162" s="36"/>
      <c r="L162" s="36"/>
      <c r="M162" s="36"/>
      <c r="N162" s="36"/>
      <c r="O162" s="36"/>
      <c r="P162" s="36"/>
      <c r="Q162" s="36"/>
      <c r="R162" s="36"/>
      <c r="S162" s="36"/>
      <c r="T162" s="36"/>
      <c r="U162" s="36"/>
      <c r="V162" s="36"/>
      <c r="W162" s="36"/>
      <c r="X162" s="36"/>
      <c r="Y162" s="36"/>
      <c r="Z162" s="36"/>
    </row>
    <row r="163" ht="15.75" customHeight="1">
      <c r="A163" s="36"/>
      <c r="B163" s="36"/>
      <c r="C163" s="36"/>
      <c r="D163" s="36"/>
      <c r="E163" s="36"/>
      <c r="F163" s="36"/>
      <c r="G163" s="36"/>
      <c r="H163" s="1"/>
      <c r="I163" s="36"/>
      <c r="J163" s="36"/>
      <c r="K163" s="36"/>
      <c r="L163" s="36"/>
      <c r="M163" s="36"/>
      <c r="N163" s="36"/>
      <c r="O163" s="36"/>
      <c r="P163" s="36"/>
      <c r="Q163" s="36"/>
      <c r="R163" s="36"/>
      <c r="S163" s="36"/>
      <c r="T163" s="36"/>
      <c r="U163" s="36"/>
      <c r="V163" s="36"/>
      <c r="W163" s="36"/>
      <c r="X163" s="36"/>
      <c r="Y163" s="36"/>
      <c r="Z163" s="36"/>
    </row>
    <row r="164" ht="15.75" customHeight="1">
      <c r="A164" s="36"/>
      <c r="B164" s="36"/>
      <c r="C164" s="36"/>
      <c r="D164" s="36"/>
      <c r="E164" s="36"/>
      <c r="F164" s="36"/>
      <c r="G164" s="36"/>
      <c r="H164" s="1"/>
      <c r="I164" s="36"/>
      <c r="J164" s="36"/>
      <c r="K164" s="36"/>
      <c r="L164" s="36"/>
      <c r="M164" s="36"/>
      <c r="N164" s="36"/>
      <c r="O164" s="36"/>
      <c r="P164" s="36"/>
      <c r="Q164" s="36"/>
      <c r="R164" s="36"/>
      <c r="S164" s="36"/>
      <c r="T164" s="36"/>
      <c r="U164" s="36"/>
      <c r="V164" s="36"/>
      <c r="W164" s="36"/>
      <c r="X164" s="36"/>
      <c r="Y164" s="36"/>
      <c r="Z164" s="36"/>
    </row>
    <row r="165" ht="15.75" customHeight="1">
      <c r="A165" s="36"/>
      <c r="B165" s="36"/>
      <c r="C165" s="36"/>
      <c r="D165" s="36"/>
      <c r="E165" s="36"/>
      <c r="F165" s="36"/>
      <c r="G165" s="36"/>
      <c r="H165" s="1"/>
      <c r="I165" s="36"/>
      <c r="J165" s="36"/>
      <c r="K165" s="36"/>
      <c r="L165" s="36"/>
      <c r="M165" s="36"/>
      <c r="N165" s="36"/>
      <c r="O165" s="36"/>
      <c r="P165" s="36"/>
      <c r="Q165" s="36"/>
      <c r="R165" s="36"/>
      <c r="S165" s="36"/>
      <c r="T165" s="36"/>
      <c r="U165" s="36"/>
      <c r="V165" s="36"/>
      <c r="W165" s="36"/>
      <c r="X165" s="36"/>
      <c r="Y165" s="36"/>
      <c r="Z165" s="36"/>
    </row>
    <row r="166" ht="15.75" customHeight="1">
      <c r="A166" s="36"/>
      <c r="B166" s="36"/>
      <c r="C166" s="36"/>
      <c r="D166" s="36"/>
      <c r="E166" s="36"/>
      <c r="F166" s="36"/>
      <c r="G166" s="36"/>
      <c r="H166" s="1"/>
      <c r="I166" s="36"/>
      <c r="J166" s="36"/>
      <c r="K166" s="36"/>
      <c r="L166" s="36"/>
      <c r="M166" s="36"/>
      <c r="N166" s="36"/>
      <c r="O166" s="36"/>
      <c r="P166" s="36"/>
      <c r="Q166" s="36"/>
      <c r="R166" s="36"/>
      <c r="S166" s="36"/>
      <c r="T166" s="36"/>
      <c r="U166" s="36"/>
      <c r="V166" s="36"/>
      <c r="W166" s="36"/>
      <c r="X166" s="36"/>
      <c r="Y166" s="36"/>
      <c r="Z166" s="36"/>
    </row>
    <row r="167" ht="15.75" customHeight="1">
      <c r="A167" s="36"/>
      <c r="B167" s="36"/>
      <c r="C167" s="36"/>
      <c r="D167" s="36"/>
      <c r="E167" s="36"/>
      <c r="F167" s="36"/>
      <c r="G167" s="36"/>
      <c r="H167" s="1"/>
      <c r="I167" s="36"/>
      <c r="J167" s="36"/>
      <c r="K167" s="36"/>
      <c r="L167" s="36"/>
      <c r="M167" s="36"/>
      <c r="N167" s="36"/>
      <c r="O167" s="36"/>
      <c r="P167" s="36"/>
      <c r="Q167" s="36"/>
      <c r="R167" s="36"/>
      <c r="S167" s="36"/>
      <c r="T167" s="36"/>
      <c r="U167" s="36"/>
      <c r="V167" s="36"/>
      <c r="W167" s="36"/>
      <c r="X167" s="36"/>
      <c r="Y167" s="36"/>
      <c r="Z167" s="36"/>
    </row>
    <row r="168" ht="15.75" customHeight="1">
      <c r="A168" s="36"/>
      <c r="B168" s="36"/>
      <c r="C168" s="36"/>
      <c r="D168" s="36"/>
      <c r="E168" s="36"/>
      <c r="F168" s="36"/>
      <c r="G168" s="36"/>
      <c r="H168" s="1"/>
      <c r="I168" s="36"/>
      <c r="J168" s="36"/>
      <c r="K168" s="36"/>
      <c r="L168" s="36"/>
      <c r="M168" s="36"/>
      <c r="N168" s="36"/>
      <c r="O168" s="36"/>
      <c r="P168" s="36"/>
      <c r="Q168" s="36"/>
      <c r="R168" s="36"/>
      <c r="S168" s="36"/>
      <c r="T168" s="36"/>
      <c r="U168" s="36"/>
      <c r="V168" s="36"/>
      <c r="W168" s="36"/>
      <c r="X168" s="36"/>
      <c r="Y168" s="36"/>
      <c r="Z168" s="36"/>
    </row>
    <row r="169" ht="15.75" customHeight="1">
      <c r="A169" s="36"/>
      <c r="B169" s="36"/>
      <c r="C169" s="36"/>
      <c r="D169" s="36"/>
      <c r="E169" s="36"/>
      <c r="F169" s="36"/>
      <c r="G169" s="36"/>
      <c r="H169" s="1"/>
      <c r="I169" s="36"/>
      <c r="J169" s="36"/>
      <c r="K169" s="36"/>
      <c r="L169" s="36"/>
      <c r="M169" s="36"/>
      <c r="N169" s="36"/>
      <c r="O169" s="36"/>
      <c r="P169" s="36"/>
      <c r="Q169" s="36"/>
      <c r="R169" s="36"/>
      <c r="S169" s="36"/>
      <c r="T169" s="36"/>
      <c r="U169" s="36"/>
      <c r="V169" s="36"/>
      <c r="W169" s="36"/>
      <c r="X169" s="36"/>
      <c r="Y169" s="36"/>
      <c r="Z169" s="36"/>
    </row>
    <row r="170" ht="15.75" customHeight="1">
      <c r="A170" s="36"/>
      <c r="B170" s="36"/>
      <c r="C170" s="36"/>
      <c r="D170" s="36"/>
      <c r="E170" s="36"/>
      <c r="F170" s="36"/>
      <c r="G170" s="36"/>
      <c r="H170" s="1"/>
      <c r="I170" s="36"/>
      <c r="J170" s="36"/>
      <c r="K170" s="36"/>
      <c r="L170" s="36"/>
      <c r="M170" s="36"/>
      <c r="N170" s="36"/>
      <c r="O170" s="36"/>
      <c r="P170" s="36"/>
      <c r="Q170" s="36"/>
      <c r="R170" s="36"/>
      <c r="S170" s="36"/>
      <c r="T170" s="36"/>
      <c r="U170" s="36"/>
      <c r="V170" s="36"/>
      <c r="W170" s="36"/>
      <c r="X170" s="36"/>
      <c r="Y170" s="36"/>
      <c r="Z170" s="36"/>
    </row>
    <row r="171" ht="15.75" customHeight="1">
      <c r="A171" s="36"/>
      <c r="B171" s="36"/>
      <c r="C171" s="36"/>
      <c r="D171" s="36"/>
      <c r="E171" s="36"/>
      <c r="F171" s="36"/>
      <c r="G171" s="36"/>
      <c r="H171" s="1"/>
      <c r="I171" s="36"/>
      <c r="J171" s="36"/>
      <c r="K171" s="36"/>
      <c r="L171" s="36"/>
      <c r="M171" s="36"/>
      <c r="N171" s="36"/>
      <c r="O171" s="36"/>
      <c r="P171" s="36"/>
      <c r="Q171" s="36"/>
      <c r="R171" s="36"/>
      <c r="S171" s="36"/>
      <c r="T171" s="36"/>
      <c r="U171" s="36"/>
      <c r="V171" s="36"/>
      <c r="W171" s="36"/>
      <c r="X171" s="36"/>
      <c r="Y171" s="36"/>
      <c r="Z171" s="36"/>
    </row>
    <row r="172" ht="15.75" customHeight="1">
      <c r="A172" s="36"/>
      <c r="B172" s="36"/>
      <c r="C172" s="36"/>
      <c r="D172" s="36"/>
      <c r="E172" s="36"/>
      <c r="F172" s="36"/>
      <c r="G172" s="36"/>
      <c r="H172" s="1"/>
      <c r="I172" s="36"/>
      <c r="J172" s="36"/>
      <c r="K172" s="36"/>
      <c r="L172" s="36"/>
      <c r="M172" s="36"/>
      <c r="N172" s="36"/>
      <c r="O172" s="36"/>
      <c r="P172" s="36"/>
      <c r="Q172" s="36"/>
      <c r="R172" s="36"/>
      <c r="S172" s="36"/>
      <c r="T172" s="36"/>
      <c r="U172" s="36"/>
      <c r="V172" s="36"/>
      <c r="W172" s="36"/>
      <c r="X172" s="36"/>
      <c r="Y172" s="36"/>
      <c r="Z172" s="36"/>
    </row>
    <row r="173" ht="15.75" customHeight="1">
      <c r="A173" s="36"/>
      <c r="B173" s="36"/>
      <c r="C173" s="36"/>
      <c r="D173" s="36"/>
      <c r="E173" s="36"/>
      <c r="F173" s="36"/>
      <c r="G173" s="36"/>
      <c r="H173" s="1"/>
      <c r="I173" s="36"/>
      <c r="J173" s="36"/>
      <c r="K173" s="36"/>
      <c r="L173" s="36"/>
      <c r="M173" s="36"/>
      <c r="N173" s="36"/>
      <c r="O173" s="36"/>
      <c r="P173" s="36"/>
      <c r="Q173" s="36"/>
      <c r="R173" s="36"/>
      <c r="S173" s="36"/>
      <c r="T173" s="36"/>
      <c r="U173" s="36"/>
      <c r="V173" s="36"/>
      <c r="W173" s="36"/>
      <c r="X173" s="36"/>
      <c r="Y173" s="36"/>
      <c r="Z173" s="36"/>
    </row>
    <row r="174" ht="15.75" customHeight="1">
      <c r="A174" s="36"/>
      <c r="B174" s="36"/>
      <c r="C174" s="36"/>
      <c r="D174" s="36"/>
      <c r="E174" s="36"/>
      <c r="F174" s="36"/>
      <c r="G174" s="36"/>
      <c r="H174" s="1"/>
      <c r="I174" s="36"/>
      <c r="J174" s="36"/>
      <c r="K174" s="36"/>
      <c r="L174" s="36"/>
      <c r="M174" s="36"/>
      <c r="N174" s="36"/>
      <c r="O174" s="36"/>
      <c r="P174" s="36"/>
      <c r="Q174" s="36"/>
      <c r="R174" s="36"/>
      <c r="S174" s="36"/>
      <c r="T174" s="36"/>
      <c r="U174" s="36"/>
      <c r="V174" s="36"/>
      <c r="W174" s="36"/>
      <c r="X174" s="36"/>
      <c r="Y174" s="36"/>
      <c r="Z174" s="36"/>
    </row>
    <row r="175" ht="15.75" customHeight="1">
      <c r="A175" s="36"/>
      <c r="B175" s="36"/>
      <c r="C175" s="36"/>
      <c r="D175" s="36"/>
      <c r="E175" s="36"/>
      <c r="F175" s="36"/>
      <c r="G175" s="36"/>
      <c r="H175" s="1"/>
      <c r="I175" s="36"/>
      <c r="J175" s="36"/>
      <c r="K175" s="36"/>
      <c r="L175" s="36"/>
      <c r="M175" s="36"/>
      <c r="N175" s="36"/>
      <c r="O175" s="36"/>
      <c r="P175" s="36"/>
      <c r="Q175" s="36"/>
      <c r="R175" s="36"/>
      <c r="S175" s="36"/>
      <c r="T175" s="36"/>
      <c r="U175" s="36"/>
      <c r="V175" s="36"/>
      <c r="W175" s="36"/>
      <c r="X175" s="36"/>
      <c r="Y175" s="36"/>
      <c r="Z175" s="36"/>
    </row>
    <row r="176" ht="15.75" customHeight="1">
      <c r="A176" s="36"/>
      <c r="B176" s="36"/>
      <c r="C176" s="36"/>
      <c r="D176" s="36"/>
      <c r="E176" s="36"/>
      <c r="F176" s="36"/>
      <c r="G176" s="36"/>
      <c r="H176" s="1"/>
      <c r="I176" s="36"/>
      <c r="J176" s="36"/>
      <c r="K176" s="36"/>
      <c r="L176" s="36"/>
      <c r="M176" s="36"/>
      <c r="N176" s="36"/>
      <c r="O176" s="36"/>
      <c r="P176" s="36"/>
      <c r="Q176" s="36"/>
      <c r="R176" s="36"/>
      <c r="S176" s="36"/>
      <c r="T176" s="36"/>
      <c r="U176" s="36"/>
      <c r="V176" s="36"/>
      <c r="W176" s="36"/>
      <c r="X176" s="36"/>
      <c r="Y176" s="36"/>
      <c r="Z176" s="36"/>
    </row>
    <row r="177" ht="15.75" customHeight="1">
      <c r="A177" s="36"/>
      <c r="B177" s="36"/>
      <c r="C177" s="36"/>
      <c r="D177" s="36"/>
      <c r="E177" s="36"/>
      <c r="F177" s="36"/>
      <c r="G177" s="36"/>
      <c r="H177" s="1"/>
      <c r="I177" s="36"/>
      <c r="J177" s="36"/>
      <c r="K177" s="36"/>
      <c r="L177" s="36"/>
      <c r="M177" s="36"/>
      <c r="N177" s="36"/>
      <c r="O177" s="36"/>
      <c r="P177" s="36"/>
      <c r="Q177" s="36"/>
      <c r="R177" s="36"/>
      <c r="S177" s="36"/>
      <c r="T177" s="36"/>
      <c r="U177" s="36"/>
      <c r="V177" s="36"/>
      <c r="W177" s="36"/>
      <c r="X177" s="36"/>
      <c r="Y177" s="36"/>
      <c r="Z177" s="36"/>
    </row>
    <row r="178" ht="15.75" customHeight="1">
      <c r="A178" s="36"/>
      <c r="B178" s="36"/>
      <c r="C178" s="36"/>
      <c r="D178" s="36"/>
      <c r="E178" s="36"/>
      <c r="F178" s="36"/>
      <c r="G178" s="36"/>
      <c r="H178" s="1"/>
      <c r="I178" s="36"/>
      <c r="J178" s="36"/>
      <c r="K178" s="36"/>
      <c r="L178" s="36"/>
      <c r="M178" s="36"/>
      <c r="N178" s="36"/>
      <c r="O178" s="36"/>
      <c r="P178" s="36"/>
      <c r="Q178" s="36"/>
      <c r="R178" s="36"/>
      <c r="S178" s="36"/>
      <c r="T178" s="36"/>
      <c r="U178" s="36"/>
      <c r="V178" s="36"/>
      <c r="W178" s="36"/>
      <c r="X178" s="36"/>
      <c r="Y178" s="36"/>
      <c r="Z178" s="36"/>
    </row>
    <row r="179" ht="15.75" customHeight="1">
      <c r="A179" s="36"/>
      <c r="B179" s="36"/>
      <c r="C179" s="36"/>
      <c r="D179" s="36"/>
      <c r="E179" s="36"/>
      <c r="F179" s="36"/>
      <c r="G179" s="36"/>
      <c r="H179" s="1"/>
      <c r="I179" s="36"/>
      <c r="J179" s="36"/>
      <c r="K179" s="36"/>
      <c r="L179" s="36"/>
      <c r="M179" s="36"/>
      <c r="N179" s="36"/>
      <c r="O179" s="36"/>
      <c r="P179" s="36"/>
      <c r="Q179" s="36"/>
      <c r="R179" s="36"/>
      <c r="S179" s="36"/>
      <c r="T179" s="36"/>
      <c r="U179" s="36"/>
      <c r="V179" s="36"/>
      <c r="W179" s="36"/>
      <c r="X179" s="36"/>
      <c r="Y179" s="36"/>
      <c r="Z179" s="36"/>
    </row>
    <row r="180" ht="15.75" customHeight="1">
      <c r="A180" s="36"/>
      <c r="B180" s="36"/>
      <c r="C180" s="36"/>
      <c r="D180" s="36"/>
      <c r="E180" s="36"/>
      <c r="F180" s="36"/>
      <c r="G180" s="36"/>
      <c r="H180" s="1"/>
      <c r="I180" s="36"/>
      <c r="J180" s="36"/>
      <c r="K180" s="36"/>
      <c r="L180" s="36"/>
      <c r="M180" s="36"/>
      <c r="N180" s="36"/>
      <c r="O180" s="36"/>
      <c r="P180" s="36"/>
      <c r="Q180" s="36"/>
      <c r="R180" s="36"/>
      <c r="S180" s="36"/>
      <c r="T180" s="36"/>
      <c r="U180" s="36"/>
      <c r="V180" s="36"/>
      <c r="W180" s="36"/>
      <c r="X180" s="36"/>
      <c r="Y180" s="36"/>
      <c r="Z180" s="36"/>
    </row>
    <row r="181" ht="15.75" customHeight="1">
      <c r="A181" s="36"/>
      <c r="B181" s="36"/>
      <c r="C181" s="36"/>
      <c r="D181" s="36"/>
      <c r="E181" s="36"/>
      <c r="F181" s="36"/>
      <c r="G181" s="36"/>
      <c r="H181" s="1"/>
      <c r="I181" s="36"/>
      <c r="J181" s="36"/>
      <c r="K181" s="36"/>
      <c r="L181" s="36"/>
      <c r="M181" s="36"/>
      <c r="N181" s="36"/>
      <c r="O181" s="36"/>
      <c r="P181" s="36"/>
      <c r="Q181" s="36"/>
      <c r="R181" s="36"/>
      <c r="S181" s="36"/>
      <c r="T181" s="36"/>
      <c r="U181" s="36"/>
      <c r="V181" s="36"/>
      <c r="W181" s="36"/>
      <c r="X181" s="36"/>
      <c r="Y181" s="36"/>
      <c r="Z181" s="36"/>
    </row>
    <row r="182" ht="15.75" customHeight="1">
      <c r="A182" s="36"/>
      <c r="B182" s="36"/>
      <c r="C182" s="36"/>
      <c r="D182" s="36"/>
      <c r="E182" s="36"/>
      <c r="F182" s="36"/>
      <c r="G182" s="36"/>
      <c r="H182" s="1"/>
      <c r="I182" s="36"/>
      <c r="J182" s="36"/>
      <c r="K182" s="36"/>
      <c r="L182" s="36"/>
      <c r="M182" s="36"/>
      <c r="N182" s="36"/>
      <c r="O182" s="36"/>
      <c r="P182" s="36"/>
      <c r="Q182" s="36"/>
      <c r="R182" s="36"/>
      <c r="S182" s="36"/>
      <c r="T182" s="36"/>
      <c r="U182" s="36"/>
      <c r="V182" s="36"/>
      <c r="W182" s="36"/>
      <c r="X182" s="36"/>
      <c r="Y182" s="36"/>
      <c r="Z182" s="36"/>
    </row>
    <row r="183" ht="15.75" customHeight="1">
      <c r="A183" s="36"/>
      <c r="B183" s="36"/>
      <c r="C183" s="36"/>
      <c r="D183" s="36"/>
      <c r="E183" s="36"/>
      <c r="F183" s="36"/>
      <c r="G183" s="36"/>
      <c r="H183" s="1"/>
      <c r="I183" s="36"/>
      <c r="J183" s="36"/>
      <c r="K183" s="36"/>
      <c r="L183" s="36"/>
      <c r="M183" s="36"/>
      <c r="N183" s="36"/>
      <c r="O183" s="36"/>
      <c r="P183" s="36"/>
      <c r="Q183" s="36"/>
      <c r="R183" s="36"/>
      <c r="S183" s="36"/>
      <c r="T183" s="36"/>
      <c r="U183" s="36"/>
      <c r="V183" s="36"/>
      <c r="W183" s="36"/>
      <c r="X183" s="36"/>
      <c r="Y183" s="36"/>
      <c r="Z183" s="36"/>
    </row>
    <row r="184" ht="15.75" customHeight="1">
      <c r="A184" s="36"/>
      <c r="B184" s="36"/>
      <c r="C184" s="36"/>
      <c r="D184" s="36"/>
      <c r="E184" s="36"/>
      <c r="F184" s="36"/>
      <c r="G184" s="36"/>
      <c r="H184" s="1"/>
      <c r="I184" s="36"/>
      <c r="J184" s="36"/>
      <c r="K184" s="36"/>
      <c r="L184" s="36"/>
      <c r="M184" s="36"/>
      <c r="N184" s="36"/>
      <c r="O184" s="36"/>
      <c r="P184" s="36"/>
      <c r="Q184" s="36"/>
      <c r="R184" s="36"/>
      <c r="S184" s="36"/>
      <c r="T184" s="36"/>
      <c r="U184" s="36"/>
      <c r="V184" s="36"/>
      <c r="W184" s="36"/>
      <c r="X184" s="36"/>
      <c r="Y184" s="36"/>
      <c r="Z184" s="36"/>
    </row>
    <row r="185" ht="15.75" customHeight="1">
      <c r="A185" s="36"/>
      <c r="B185" s="36"/>
      <c r="C185" s="36"/>
      <c r="D185" s="36"/>
      <c r="E185" s="36"/>
      <c r="F185" s="36"/>
      <c r="G185" s="36"/>
      <c r="H185" s="1"/>
      <c r="I185" s="36"/>
      <c r="J185" s="36"/>
      <c r="K185" s="36"/>
      <c r="L185" s="36"/>
      <c r="M185" s="36"/>
      <c r="N185" s="36"/>
      <c r="O185" s="36"/>
      <c r="P185" s="36"/>
      <c r="Q185" s="36"/>
      <c r="R185" s="36"/>
      <c r="S185" s="36"/>
      <c r="T185" s="36"/>
      <c r="U185" s="36"/>
      <c r="V185" s="36"/>
      <c r="W185" s="36"/>
      <c r="X185" s="36"/>
      <c r="Y185" s="36"/>
      <c r="Z185" s="36"/>
    </row>
    <row r="186" ht="15.75" customHeight="1">
      <c r="A186" s="36"/>
      <c r="B186" s="36"/>
      <c r="C186" s="36"/>
      <c r="D186" s="36"/>
      <c r="E186" s="36"/>
      <c r="F186" s="36"/>
      <c r="G186" s="36"/>
      <c r="H186" s="1"/>
      <c r="I186" s="36"/>
      <c r="J186" s="36"/>
      <c r="K186" s="36"/>
      <c r="L186" s="36"/>
      <c r="M186" s="36"/>
      <c r="N186" s="36"/>
      <c r="O186" s="36"/>
      <c r="P186" s="36"/>
      <c r="Q186" s="36"/>
      <c r="R186" s="36"/>
      <c r="S186" s="36"/>
      <c r="T186" s="36"/>
      <c r="U186" s="36"/>
      <c r="V186" s="36"/>
      <c r="W186" s="36"/>
      <c r="X186" s="36"/>
      <c r="Y186" s="36"/>
      <c r="Z186" s="36"/>
    </row>
    <row r="187" ht="15.75" customHeight="1">
      <c r="H187" s="1"/>
    </row>
    <row r="188" ht="15.75" customHeight="1">
      <c r="H188" s="1"/>
    </row>
    <row r="189" ht="15.75" customHeight="1">
      <c r="H189" s="1"/>
    </row>
    <row r="190" ht="15.75" customHeight="1">
      <c r="H190" s="1"/>
    </row>
    <row r="191" ht="15.75" customHeight="1">
      <c r="H191" s="1"/>
    </row>
    <row r="192" ht="15.75" customHeight="1">
      <c r="H192" s="1"/>
    </row>
    <row r="193" ht="15.75" customHeight="1">
      <c r="H193" s="1"/>
    </row>
    <row r="194" ht="15.75" customHeight="1">
      <c r="H194" s="1"/>
    </row>
    <row r="195" ht="15.75" customHeight="1">
      <c r="H195" s="1"/>
    </row>
    <row r="196" ht="15.75" customHeight="1">
      <c r="H196" s="1"/>
    </row>
    <row r="197" ht="15.75" customHeight="1">
      <c r="H197" s="1"/>
    </row>
    <row r="198" ht="15.75" customHeight="1">
      <c r="H198" s="1"/>
    </row>
    <row r="199" ht="15.75" customHeight="1">
      <c r="H199" s="1"/>
    </row>
    <row r="200" ht="15.75" customHeight="1">
      <c r="H200" s="1"/>
    </row>
    <row r="201" ht="15.75" customHeight="1">
      <c r="H201" s="1"/>
    </row>
    <row r="202" ht="15.75" customHeight="1">
      <c r="H202" s="1"/>
    </row>
    <row r="203" ht="15.75" customHeight="1">
      <c r="H203" s="1"/>
    </row>
    <row r="204" ht="15.75" customHeight="1">
      <c r="H204" s="1"/>
    </row>
    <row r="205" ht="15.75" customHeight="1">
      <c r="H205" s="1"/>
    </row>
    <row r="206" ht="15.75" customHeight="1">
      <c r="H206" s="1"/>
    </row>
    <row r="207" ht="15.75" customHeight="1">
      <c r="H207" s="1"/>
    </row>
    <row r="208" ht="15.75" customHeight="1">
      <c r="H208" s="1"/>
    </row>
    <row r="209" ht="15.75" customHeight="1">
      <c r="H209" s="1"/>
    </row>
    <row r="210" ht="15.75" customHeight="1">
      <c r="H210" s="1"/>
    </row>
    <row r="211" ht="15.75" customHeight="1">
      <c r="H211" s="1"/>
    </row>
    <row r="212" ht="15.75" customHeight="1">
      <c r="H212" s="1"/>
    </row>
    <row r="213" ht="15.75" customHeight="1">
      <c r="H213" s="1"/>
    </row>
    <row r="214" ht="15.75" customHeight="1">
      <c r="H214" s="1"/>
    </row>
    <row r="215" ht="15.75" customHeight="1">
      <c r="H215" s="1"/>
    </row>
    <row r="216" ht="15.75" customHeight="1">
      <c r="H216" s="1"/>
    </row>
    <row r="217" ht="15.75" customHeight="1">
      <c r="H217" s="1"/>
    </row>
    <row r="218" ht="15.75" customHeight="1">
      <c r="H218" s="1"/>
    </row>
    <row r="219" ht="15.75" customHeight="1">
      <c r="H219" s="1"/>
    </row>
    <row r="220" ht="15.75" customHeight="1">
      <c r="H220" s="1"/>
    </row>
    <row r="221" ht="15.75" customHeight="1">
      <c r="H221" s="1"/>
    </row>
    <row r="222" ht="15.75" customHeight="1">
      <c r="H222" s="1"/>
    </row>
    <row r="223" ht="15.75" customHeight="1">
      <c r="H223" s="1"/>
    </row>
    <row r="224" ht="15.75" customHeight="1">
      <c r="H224" s="1"/>
    </row>
    <row r="225" ht="15.75" customHeight="1">
      <c r="H225" s="1"/>
    </row>
    <row r="226" ht="15.75" customHeight="1">
      <c r="H226" s="1"/>
    </row>
    <row r="227" ht="15.75" customHeight="1">
      <c r="H227" s="1"/>
    </row>
    <row r="228" ht="15.75" customHeight="1">
      <c r="H228" s="1"/>
    </row>
    <row r="229" ht="15.75" customHeight="1">
      <c r="H229" s="1"/>
    </row>
    <row r="230" ht="15.75" customHeight="1">
      <c r="H230" s="1"/>
    </row>
    <row r="231" ht="15.75" customHeight="1">
      <c r="H231" s="1"/>
    </row>
    <row r="232" ht="15.75" customHeight="1">
      <c r="H232" s="1"/>
    </row>
    <row r="233" ht="15.75" customHeight="1">
      <c r="H233" s="1"/>
    </row>
    <row r="234" ht="15.75" customHeight="1">
      <c r="H234" s="1"/>
    </row>
    <row r="235" ht="15.75" customHeight="1">
      <c r="H235" s="1"/>
    </row>
    <row r="236" ht="15.75" customHeight="1">
      <c r="H236" s="1"/>
    </row>
    <row r="237" ht="15.75" customHeight="1">
      <c r="H237" s="1"/>
    </row>
    <row r="238" ht="15.75" customHeight="1">
      <c r="H238" s="1"/>
    </row>
    <row r="239" ht="15.75" customHeight="1">
      <c r="H239" s="1"/>
    </row>
    <row r="240" ht="15.75" customHeight="1">
      <c r="H240" s="1"/>
    </row>
    <row r="241" ht="15.75" customHeight="1">
      <c r="H241" s="1"/>
    </row>
    <row r="242" ht="15.75" customHeight="1">
      <c r="H242" s="1"/>
    </row>
    <row r="243" ht="15.75" customHeight="1">
      <c r="H243" s="1"/>
    </row>
    <row r="244" ht="15.75" customHeight="1">
      <c r="H244" s="1"/>
    </row>
    <row r="245" ht="15.75" customHeight="1">
      <c r="H245" s="1"/>
    </row>
    <row r="246" ht="15.75" customHeight="1">
      <c r="H246" s="1"/>
    </row>
    <row r="247" ht="15.75" customHeight="1">
      <c r="H247" s="1"/>
    </row>
    <row r="248" ht="15.75" customHeight="1">
      <c r="H248" s="1"/>
    </row>
    <row r="249" ht="15.75" customHeight="1">
      <c r="H249" s="1"/>
    </row>
    <row r="250" ht="15.75" customHeight="1">
      <c r="H250" s="1"/>
    </row>
    <row r="251" ht="15.75" customHeight="1">
      <c r="H251" s="1"/>
    </row>
    <row r="252" ht="15.75" customHeight="1">
      <c r="H252" s="1"/>
    </row>
    <row r="253" ht="15.75" customHeight="1">
      <c r="H253" s="1"/>
    </row>
    <row r="254" ht="15.75" customHeight="1">
      <c r="H254" s="1"/>
    </row>
    <row r="255" ht="15.75" customHeight="1">
      <c r="H255" s="1"/>
    </row>
    <row r="256" ht="15.75" customHeight="1">
      <c r="H256" s="1"/>
    </row>
    <row r="257" ht="15.75" customHeight="1">
      <c r="H257" s="1"/>
    </row>
    <row r="258" ht="15.75" customHeight="1">
      <c r="H258" s="1"/>
    </row>
    <row r="259" ht="15.75" customHeight="1">
      <c r="H259" s="1"/>
    </row>
    <row r="260" ht="15.75" customHeight="1">
      <c r="H260" s="1"/>
    </row>
    <row r="261" ht="15.75" customHeight="1">
      <c r="H261" s="1"/>
    </row>
    <row r="262" ht="15.75" customHeight="1">
      <c r="H262" s="1"/>
    </row>
    <row r="263" ht="15.75" customHeight="1">
      <c r="H263" s="1"/>
    </row>
    <row r="264" ht="15.75" customHeight="1">
      <c r="H264" s="1"/>
    </row>
    <row r="265" ht="15.75" customHeight="1">
      <c r="H265" s="1"/>
    </row>
    <row r="266" ht="15.75" customHeight="1">
      <c r="H266" s="1"/>
    </row>
    <row r="267" ht="15.75" customHeight="1">
      <c r="H267" s="1"/>
    </row>
    <row r="268" ht="15.75" customHeight="1">
      <c r="H268" s="1"/>
    </row>
    <row r="269" ht="15.75" customHeight="1">
      <c r="H269" s="1"/>
    </row>
    <row r="270" ht="15.75" customHeight="1">
      <c r="H270" s="1"/>
    </row>
    <row r="271" ht="15.75" customHeight="1">
      <c r="H271" s="1"/>
    </row>
    <row r="272" ht="15.75" customHeight="1">
      <c r="H272" s="1"/>
    </row>
    <row r="273" ht="15.75" customHeight="1">
      <c r="H273" s="1"/>
    </row>
    <row r="274" ht="15.75" customHeight="1">
      <c r="H274" s="1"/>
    </row>
    <row r="275" ht="15.75" customHeight="1">
      <c r="H275" s="1"/>
    </row>
    <row r="276" ht="15.75" customHeight="1">
      <c r="H276" s="1"/>
    </row>
    <row r="277" ht="15.75" customHeight="1">
      <c r="H277" s="1"/>
    </row>
    <row r="278" ht="15.75" customHeight="1">
      <c r="H278" s="1"/>
    </row>
    <row r="279" ht="15.75" customHeight="1">
      <c r="H279" s="1"/>
    </row>
    <row r="280" ht="15.75" customHeight="1">
      <c r="H280" s="1"/>
    </row>
    <row r="281" ht="15.75" customHeight="1">
      <c r="H281" s="1"/>
    </row>
    <row r="282" ht="15.75" customHeight="1">
      <c r="H282" s="1"/>
    </row>
    <row r="283" ht="15.75" customHeight="1">
      <c r="H283" s="1"/>
    </row>
    <row r="284" ht="15.75" customHeight="1">
      <c r="H284" s="1"/>
    </row>
    <row r="285" ht="15.75" customHeight="1">
      <c r="H285" s="1"/>
    </row>
    <row r="286" ht="15.75" customHeight="1">
      <c r="H286" s="1"/>
    </row>
    <row r="287" ht="15.75" customHeight="1">
      <c r="H287" s="1"/>
    </row>
    <row r="288" ht="15.75" customHeight="1">
      <c r="H288" s="1"/>
    </row>
    <row r="289" ht="15.75" customHeight="1">
      <c r="H289" s="1"/>
    </row>
    <row r="290" ht="15.75" customHeight="1">
      <c r="H290" s="1"/>
    </row>
    <row r="291" ht="15.75" customHeight="1">
      <c r="H291" s="1"/>
    </row>
    <row r="292" ht="15.75" customHeight="1">
      <c r="H292" s="1"/>
    </row>
    <row r="293" ht="15.75" customHeight="1">
      <c r="H293" s="1"/>
    </row>
    <row r="294" ht="15.75" customHeight="1">
      <c r="H294" s="1"/>
    </row>
    <row r="295" ht="15.75" customHeight="1">
      <c r="H295" s="1"/>
    </row>
    <row r="296" ht="15.75" customHeight="1">
      <c r="H296" s="1"/>
    </row>
    <row r="297" ht="15.75" customHeight="1">
      <c r="H297" s="1"/>
    </row>
    <row r="298" ht="15.75" customHeight="1">
      <c r="H298" s="1"/>
    </row>
    <row r="299" ht="15.75" customHeight="1">
      <c r="H299" s="1"/>
    </row>
    <row r="300" ht="15.75" customHeight="1">
      <c r="H300" s="1"/>
    </row>
    <row r="301" ht="15.75" customHeight="1">
      <c r="H301" s="1"/>
    </row>
    <row r="302" ht="15.75" customHeight="1">
      <c r="H302" s="1"/>
    </row>
    <row r="303" ht="15.75" customHeight="1">
      <c r="H303" s="1"/>
    </row>
    <row r="304" ht="15.75" customHeight="1">
      <c r="H304" s="1"/>
    </row>
    <row r="305" ht="15.75" customHeight="1">
      <c r="H305" s="1"/>
    </row>
    <row r="306" ht="15.75" customHeight="1">
      <c r="H306" s="1"/>
    </row>
    <row r="307" ht="15.75" customHeight="1">
      <c r="H307" s="1"/>
    </row>
    <row r="308" ht="15.75" customHeight="1">
      <c r="H308" s="1"/>
    </row>
    <row r="309" ht="15.75" customHeight="1">
      <c r="H309" s="1"/>
    </row>
    <row r="310" ht="15.75" customHeight="1">
      <c r="H310" s="1"/>
    </row>
    <row r="311" ht="15.75" customHeight="1">
      <c r="H311" s="1"/>
    </row>
    <row r="312" ht="15.75" customHeight="1">
      <c r="H312" s="1"/>
    </row>
    <row r="313" ht="15.75" customHeight="1">
      <c r="H313" s="1"/>
    </row>
    <row r="314" ht="15.75" customHeight="1">
      <c r="H314" s="1"/>
    </row>
    <row r="315" ht="15.75" customHeight="1">
      <c r="H315" s="1"/>
    </row>
    <row r="316" ht="15.75" customHeight="1">
      <c r="H316" s="1"/>
    </row>
    <row r="317" ht="15.75" customHeight="1">
      <c r="H317" s="1"/>
    </row>
    <row r="318" ht="15.75" customHeight="1">
      <c r="H318" s="1"/>
    </row>
    <row r="319" ht="15.75" customHeight="1">
      <c r="H319" s="1"/>
    </row>
    <row r="320" ht="15.75" customHeight="1">
      <c r="H320" s="1"/>
    </row>
    <row r="321" ht="15.75" customHeight="1">
      <c r="H321" s="1"/>
    </row>
    <row r="322" ht="15.75" customHeight="1">
      <c r="H322" s="1"/>
    </row>
    <row r="323" ht="15.75" customHeight="1">
      <c r="H323" s="1"/>
    </row>
    <row r="324" ht="15.75" customHeight="1">
      <c r="H324" s="1"/>
    </row>
    <row r="325" ht="15.75" customHeight="1">
      <c r="H325" s="1"/>
    </row>
    <row r="326" ht="15.75" customHeight="1">
      <c r="H326" s="1"/>
    </row>
    <row r="327" ht="15.75" customHeight="1">
      <c r="H327" s="1"/>
    </row>
    <row r="328" ht="15.75" customHeight="1">
      <c r="H328" s="1"/>
    </row>
    <row r="329" ht="15.75" customHeight="1">
      <c r="H329" s="1"/>
    </row>
    <row r="330" ht="15.75" customHeight="1">
      <c r="H330" s="1"/>
    </row>
    <row r="331" ht="15.75" customHeight="1">
      <c r="H331" s="1"/>
    </row>
    <row r="332" ht="15.75" customHeight="1">
      <c r="H332" s="1"/>
    </row>
    <row r="333" ht="15.75" customHeight="1">
      <c r="H333" s="1"/>
    </row>
    <row r="334" ht="15.75" customHeight="1">
      <c r="H334" s="1"/>
    </row>
    <row r="335" ht="15.75" customHeight="1">
      <c r="H335" s="1"/>
    </row>
    <row r="336" ht="15.75" customHeight="1">
      <c r="H336" s="1"/>
    </row>
    <row r="337" ht="15.75" customHeight="1">
      <c r="H337" s="1"/>
    </row>
    <row r="338" ht="15.75" customHeight="1">
      <c r="H338" s="1"/>
    </row>
    <row r="339" ht="15.75" customHeight="1">
      <c r="H339" s="1"/>
    </row>
    <row r="340" ht="15.75" customHeight="1">
      <c r="H340" s="1"/>
    </row>
    <row r="341" ht="15.75" customHeight="1">
      <c r="H341" s="1"/>
    </row>
    <row r="342" ht="15.75" customHeight="1">
      <c r="H342" s="1"/>
    </row>
    <row r="343" ht="15.75" customHeight="1">
      <c r="H343" s="1"/>
    </row>
    <row r="344" ht="15.75" customHeight="1">
      <c r="H344" s="1"/>
    </row>
    <row r="345" ht="15.75" customHeight="1">
      <c r="H345" s="1"/>
    </row>
    <row r="346" ht="15.75" customHeight="1">
      <c r="H346" s="1"/>
    </row>
    <row r="347" ht="15.75" customHeight="1">
      <c r="H347" s="1"/>
    </row>
    <row r="348" ht="15.75" customHeight="1">
      <c r="H348" s="1"/>
    </row>
    <row r="349" ht="15.75" customHeight="1">
      <c r="H349" s="1"/>
    </row>
    <row r="350" ht="15.75" customHeight="1">
      <c r="H350" s="1"/>
    </row>
    <row r="351" ht="15.75" customHeight="1">
      <c r="H351" s="1"/>
    </row>
    <row r="352" ht="15.75" customHeight="1">
      <c r="H352" s="1"/>
    </row>
    <row r="353" ht="15.75" customHeight="1">
      <c r="H353" s="1"/>
    </row>
    <row r="354" ht="15.75" customHeight="1">
      <c r="H354" s="1"/>
    </row>
    <row r="355" ht="15.75" customHeight="1">
      <c r="H355" s="1"/>
    </row>
    <row r="356" ht="15.75" customHeight="1">
      <c r="H356" s="1"/>
    </row>
    <row r="357" ht="15.75" customHeight="1">
      <c r="H357" s="1"/>
    </row>
    <row r="358" ht="15.75" customHeight="1">
      <c r="H358" s="1"/>
    </row>
    <row r="359" ht="15.75" customHeight="1">
      <c r="H359" s="1"/>
    </row>
    <row r="360" ht="15.75" customHeight="1">
      <c r="H360" s="1"/>
    </row>
    <row r="361" ht="15.75" customHeight="1">
      <c r="H361" s="1"/>
    </row>
    <row r="362" ht="15.75" customHeight="1">
      <c r="H362" s="1"/>
    </row>
    <row r="363" ht="15.75" customHeight="1">
      <c r="H363" s="1"/>
    </row>
    <row r="364" ht="15.75" customHeight="1">
      <c r="H364" s="1"/>
    </row>
    <row r="365" ht="15.75" customHeight="1">
      <c r="H365" s="1"/>
    </row>
    <row r="366" ht="15.75" customHeight="1">
      <c r="H366" s="1"/>
    </row>
    <row r="367" ht="15.75" customHeight="1">
      <c r="H367" s="1"/>
    </row>
    <row r="368" ht="15.75" customHeight="1">
      <c r="H368" s="1"/>
    </row>
    <row r="369" ht="15.75" customHeight="1">
      <c r="H369" s="1"/>
    </row>
    <row r="370" ht="15.75" customHeight="1">
      <c r="H370" s="1"/>
    </row>
    <row r="371" ht="15.75" customHeight="1">
      <c r="H371" s="1"/>
    </row>
    <row r="372" ht="15.75" customHeight="1">
      <c r="H372" s="1"/>
    </row>
    <row r="373" ht="15.75" customHeight="1">
      <c r="H373" s="1"/>
    </row>
    <row r="374" ht="15.75" customHeight="1">
      <c r="H374" s="1"/>
    </row>
    <row r="375" ht="15.75" customHeight="1">
      <c r="H375" s="1"/>
    </row>
    <row r="376" ht="15.75" customHeight="1">
      <c r="H376" s="1"/>
    </row>
    <row r="377" ht="15.75" customHeight="1">
      <c r="H377" s="1"/>
    </row>
    <row r="378" ht="15.75" customHeight="1">
      <c r="H378" s="1"/>
    </row>
    <row r="379" ht="15.75" customHeight="1">
      <c r="H379" s="1"/>
    </row>
    <row r="380" ht="15.75" customHeight="1">
      <c r="H380" s="1"/>
    </row>
    <row r="381" ht="15.75" customHeight="1">
      <c r="H381" s="1"/>
    </row>
    <row r="382" ht="15.75" customHeight="1">
      <c r="H382" s="1"/>
    </row>
    <row r="383" ht="15.75" customHeight="1">
      <c r="H383" s="1"/>
    </row>
    <row r="384" ht="15.75" customHeight="1">
      <c r="H384" s="1"/>
    </row>
    <row r="385" ht="15.75" customHeight="1">
      <c r="H385" s="1"/>
    </row>
    <row r="386" ht="15.75" customHeight="1">
      <c r="H386" s="1"/>
    </row>
    <row r="387" ht="15.75" customHeight="1">
      <c r="H387" s="1"/>
    </row>
    <row r="388" ht="15.75" customHeight="1">
      <c r="H388" s="1"/>
    </row>
    <row r="389" ht="15.75" customHeight="1">
      <c r="H389" s="1"/>
    </row>
    <row r="390" ht="15.75" customHeight="1">
      <c r="H390" s="1"/>
    </row>
    <row r="391" ht="15.75" customHeight="1">
      <c r="H391" s="1"/>
    </row>
    <row r="392" ht="15.75" customHeight="1">
      <c r="H392" s="1"/>
    </row>
    <row r="393" ht="15.75" customHeight="1">
      <c r="H393" s="1"/>
    </row>
    <row r="394" ht="15.75" customHeight="1">
      <c r="H394" s="1"/>
    </row>
    <row r="395" ht="15.75" customHeight="1">
      <c r="H395" s="1"/>
    </row>
    <row r="396" ht="15.75" customHeight="1">
      <c r="H396" s="1"/>
    </row>
    <row r="397" ht="15.75" customHeight="1">
      <c r="H397" s="1"/>
    </row>
    <row r="398" ht="15.75" customHeight="1">
      <c r="H398" s="1"/>
    </row>
    <row r="399" ht="15.75" customHeight="1">
      <c r="H399" s="1"/>
    </row>
    <row r="400" ht="15.75" customHeight="1">
      <c r="H400" s="1"/>
    </row>
    <row r="401" ht="15.75" customHeight="1">
      <c r="H401" s="1"/>
    </row>
    <row r="402" ht="15.75" customHeight="1">
      <c r="H402" s="1"/>
    </row>
    <row r="403" ht="15.75" customHeight="1">
      <c r="H403" s="1"/>
    </row>
    <row r="404" ht="15.75" customHeight="1">
      <c r="H404" s="1"/>
    </row>
    <row r="405" ht="15.75" customHeight="1">
      <c r="H405" s="1"/>
    </row>
    <row r="406" ht="15.75" customHeight="1">
      <c r="H406" s="1"/>
    </row>
    <row r="407" ht="15.75" customHeight="1">
      <c r="H407" s="1"/>
    </row>
    <row r="408" ht="15.75" customHeight="1">
      <c r="H408" s="1"/>
    </row>
    <row r="409" ht="15.75" customHeight="1">
      <c r="H409" s="1"/>
    </row>
    <row r="410" ht="15.75" customHeight="1">
      <c r="H410" s="1"/>
    </row>
    <row r="411" ht="15.75" customHeight="1">
      <c r="H411" s="1"/>
    </row>
    <row r="412" ht="15.75" customHeight="1">
      <c r="H412" s="1"/>
    </row>
    <row r="413" ht="15.75" customHeight="1">
      <c r="H413" s="1"/>
    </row>
    <row r="414" ht="15.75" customHeight="1">
      <c r="H414" s="1"/>
    </row>
    <row r="415" ht="15.75" customHeight="1">
      <c r="H415" s="1"/>
    </row>
    <row r="416" ht="15.75" customHeight="1">
      <c r="H416" s="1"/>
    </row>
    <row r="417" ht="15.75" customHeight="1">
      <c r="H417" s="1"/>
    </row>
    <row r="418" ht="15.75" customHeight="1">
      <c r="H418" s="1"/>
    </row>
    <row r="419" ht="15.75" customHeight="1">
      <c r="H419" s="1"/>
    </row>
    <row r="420" ht="15.75" customHeight="1">
      <c r="H420" s="1"/>
    </row>
    <row r="421" ht="15.75" customHeight="1">
      <c r="H421" s="1"/>
    </row>
    <row r="422" ht="15.75" customHeight="1">
      <c r="H422" s="1"/>
    </row>
    <row r="423" ht="15.75" customHeight="1">
      <c r="H423" s="1"/>
    </row>
    <row r="424" ht="15.75" customHeight="1">
      <c r="H424" s="1"/>
    </row>
    <row r="425" ht="15.75" customHeight="1">
      <c r="H425" s="1"/>
    </row>
    <row r="426" ht="15.75" customHeight="1">
      <c r="H426" s="1"/>
    </row>
    <row r="427" ht="15.75" customHeight="1">
      <c r="H427" s="1"/>
    </row>
    <row r="428" ht="15.75" customHeight="1">
      <c r="H428" s="1"/>
    </row>
    <row r="429" ht="15.75" customHeight="1">
      <c r="H429" s="1"/>
    </row>
    <row r="430" ht="15.75" customHeight="1">
      <c r="H430" s="1"/>
    </row>
    <row r="431" ht="15.75" customHeight="1">
      <c r="H431" s="1"/>
    </row>
    <row r="432" ht="15.75" customHeight="1">
      <c r="H432" s="1"/>
    </row>
    <row r="433" ht="15.75" customHeight="1">
      <c r="H433" s="1"/>
    </row>
    <row r="434" ht="15.75" customHeight="1">
      <c r="H434" s="1"/>
    </row>
    <row r="435" ht="15.75" customHeight="1">
      <c r="H435" s="1"/>
    </row>
    <row r="436" ht="15.75" customHeight="1">
      <c r="H436" s="1"/>
    </row>
    <row r="437" ht="15.75" customHeight="1">
      <c r="H437" s="1"/>
    </row>
    <row r="438" ht="15.75" customHeight="1">
      <c r="H438" s="1"/>
    </row>
    <row r="439" ht="15.75" customHeight="1">
      <c r="H439" s="1"/>
    </row>
    <row r="440" ht="15.75" customHeight="1">
      <c r="H440" s="1"/>
    </row>
    <row r="441" ht="15.75" customHeight="1">
      <c r="H441" s="1"/>
    </row>
    <row r="442" ht="15.75" customHeight="1">
      <c r="H442" s="1"/>
    </row>
    <row r="443" ht="15.75" customHeight="1">
      <c r="H443" s="1"/>
    </row>
    <row r="444" ht="15.75" customHeight="1">
      <c r="H444" s="1"/>
    </row>
    <row r="445" ht="15.75" customHeight="1">
      <c r="H445" s="1"/>
    </row>
    <row r="446" ht="15.75" customHeight="1">
      <c r="H446" s="1"/>
    </row>
    <row r="447" ht="15.75" customHeight="1">
      <c r="H447" s="1"/>
    </row>
    <row r="448" ht="15.75" customHeight="1">
      <c r="H448" s="1"/>
    </row>
    <row r="449" ht="15.75" customHeight="1">
      <c r="H449" s="1"/>
    </row>
    <row r="450" ht="15.75" customHeight="1">
      <c r="H450" s="1"/>
    </row>
    <row r="451" ht="15.75" customHeight="1">
      <c r="H451" s="1"/>
    </row>
    <row r="452" ht="15.75" customHeight="1">
      <c r="H452" s="1"/>
    </row>
    <row r="453" ht="15.75" customHeight="1">
      <c r="H453" s="1"/>
    </row>
    <row r="454" ht="15.75" customHeight="1">
      <c r="H454" s="1"/>
    </row>
    <row r="455" ht="15.75" customHeight="1">
      <c r="H455" s="1"/>
    </row>
    <row r="456" ht="15.75" customHeight="1">
      <c r="H456" s="1"/>
    </row>
    <row r="457" ht="15.75" customHeight="1">
      <c r="H457" s="1"/>
    </row>
    <row r="458" ht="15.75" customHeight="1">
      <c r="H458" s="1"/>
    </row>
    <row r="459" ht="15.75" customHeight="1">
      <c r="H459" s="1"/>
    </row>
    <row r="460" ht="15.75" customHeight="1">
      <c r="H460" s="1"/>
    </row>
    <row r="461" ht="15.75" customHeight="1">
      <c r="H461" s="1"/>
    </row>
    <row r="462" ht="15.75" customHeight="1">
      <c r="H462" s="1"/>
    </row>
    <row r="463" ht="15.75" customHeight="1">
      <c r="H463" s="1"/>
    </row>
    <row r="464" ht="15.75" customHeight="1">
      <c r="H464" s="1"/>
    </row>
    <row r="465" ht="15.75" customHeight="1">
      <c r="H465" s="1"/>
    </row>
    <row r="466" ht="15.75" customHeight="1">
      <c r="H466" s="1"/>
    </row>
    <row r="467" ht="15.75" customHeight="1">
      <c r="H467" s="1"/>
    </row>
    <row r="468" ht="15.75" customHeight="1">
      <c r="H468" s="1"/>
    </row>
    <row r="469" ht="15.75" customHeight="1">
      <c r="H469" s="1"/>
    </row>
    <row r="470" ht="15.75" customHeight="1">
      <c r="H470" s="1"/>
    </row>
    <row r="471" ht="15.75" customHeight="1">
      <c r="H471" s="1"/>
    </row>
    <row r="472" ht="15.75" customHeight="1">
      <c r="H472" s="1"/>
    </row>
    <row r="473" ht="15.75" customHeight="1">
      <c r="H473" s="1"/>
    </row>
    <row r="474" ht="15.75" customHeight="1">
      <c r="H474" s="1"/>
    </row>
    <row r="475" ht="15.75" customHeight="1">
      <c r="H475" s="1"/>
    </row>
    <row r="476" ht="15.75" customHeight="1">
      <c r="H476" s="1"/>
    </row>
    <row r="477" ht="15.75" customHeight="1">
      <c r="H477" s="1"/>
    </row>
    <row r="478" ht="15.75" customHeight="1">
      <c r="H478" s="1"/>
    </row>
    <row r="479" ht="15.75" customHeight="1">
      <c r="H479" s="1"/>
    </row>
    <row r="480" ht="15.75" customHeight="1">
      <c r="H480" s="1"/>
    </row>
    <row r="481" ht="15.75" customHeight="1">
      <c r="H481" s="1"/>
    </row>
    <row r="482" ht="15.75" customHeight="1">
      <c r="H482" s="1"/>
    </row>
    <row r="483" ht="15.75" customHeight="1">
      <c r="H483" s="1"/>
    </row>
    <row r="484" ht="15.75" customHeight="1">
      <c r="H484" s="1"/>
    </row>
    <row r="485" ht="15.75" customHeight="1">
      <c r="H485" s="1"/>
    </row>
    <row r="486" ht="15.75" customHeight="1">
      <c r="H486" s="1"/>
    </row>
    <row r="487" ht="15.75" customHeight="1">
      <c r="H487" s="1"/>
    </row>
    <row r="488" ht="15.75" customHeight="1">
      <c r="H488" s="1"/>
    </row>
    <row r="489" ht="15.75" customHeight="1">
      <c r="H489" s="1"/>
    </row>
    <row r="490" ht="15.75" customHeight="1">
      <c r="H490" s="1"/>
    </row>
    <row r="491" ht="15.75" customHeight="1">
      <c r="H491" s="1"/>
    </row>
    <row r="492" ht="15.75" customHeight="1">
      <c r="H492" s="1"/>
    </row>
    <row r="493" ht="15.75" customHeight="1">
      <c r="H493" s="1"/>
    </row>
    <row r="494" ht="15.75" customHeight="1">
      <c r="H494" s="1"/>
    </row>
    <row r="495" ht="15.75" customHeight="1">
      <c r="H495" s="1"/>
    </row>
    <row r="496" ht="15.75" customHeight="1">
      <c r="H496" s="1"/>
    </row>
    <row r="497" ht="15.75" customHeight="1">
      <c r="H497" s="1"/>
    </row>
    <row r="498" ht="15.75" customHeight="1">
      <c r="H498" s="1"/>
    </row>
    <row r="499" ht="15.75" customHeight="1">
      <c r="H499" s="1"/>
    </row>
    <row r="500" ht="15.75" customHeight="1">
      <c r="H500" s="1"/>
    </row>
    <row r="501" ht="15.75" customHeight="1">
      <c r="H501" s="1"/>
    </row>
    <row r="502" ht="15.75" customHeight="1">
      <c r="H502" s="1"/>
    </row>
    <row r="503" ht="15.75" customHeight="1">
      <c r="H503" s="1"/>
    </row>
    <row r="504" ht="15.75" customHeight="1">
      <c r="H504" s="1"/>
    </row>
    <row r="505" ht="15.75" customHeight="1">
      <c r="H505" s="1"/>
    </row>
    <row r="506" ht="15.75" customHeight="1">
      <c r="H506" s="1"/>
    </row>
    <row r="507" ht="15.75" customHeight="1">
      <c r="H507" s="1"/>
    </row>
    <row r="508" ht="15.75" customHeight="1">
      <c r="H508" s="1"/>
    </row>
    <row r="509" ht="15.75" customHeight="1">
      <c r="H509" s="1"/>
    </row>
    <row r="510" ht="15.75" customHeight="1">
      <c r="H510" s="1"/>
    </row>
    <row r="511" ht="15.75" customHeight="1">
      <c r="H511" s="1"/>
    </row>
    <row r="512" ht="15.75" customHeight="1">
      <c r="H512" s="1"/>
    </row>
    <row r="513" ht="15.75" customHeight="1">
      <c r="H513" s="1"/>
    </row>
    <row r="514" ht="15.75" customHeight="1">
      <c r="H514" s="1"/>
    </row>
    <row r="515" ht="15.75" customHeight="1">
      <c r="H515" s="1"/>
    </row>
    <row r="516" ht="15.75" customHeight="1">
      <c r="H516" s="1"/>
    </row>
    <row r="517" ht="15.75" customHeight="1">
      <c r="H517" s="1"/>
    </row>
    <row r="518" ht="15.75" customHeight="1">
      <c r="H518" s="1"/>
    </row>
    <row r="519" ht="15.75" customHeight="1">
      <c r="H519" s="1"/>
    </row>
    <row r="520" ht="15.75" customHeight="1">
      <c r="H520" s="1"/>
    </row>
    <row r="521" ht="15.75" customHeight="1">
      <c r="H521" s="1"/>
    </row>
    <row r="522" ht="15.75" customHeight="1">
      <c r="H522" s="1"/>
    </row>
    <row r="523" ht="15.75" customHeight="1">
      <c r="H523" s="1"/>
    </row>
    <row r="524" ht="15.75" customHeight="1">
      <c r="H524" s="1"/>
    </row>
    <row r="525" ht="15.75" customHeight="1">
      <c r="H525" s="1"/>
    </row>
    <row r="526" ht="15.75" customHeight="1">
      <c r="H526" s="1"/>
    </row>
    <row r="527" ht="15.75" customHeight="1">
      <c r="H527" s="1"/>
    </row>
    <row r="528" ht="15.75" customHeight="1">
      <c r="H528" s="1"/>
    </row>
    <row r="529" ht="15.75" customHeight="1">
      <c r="H529" s="1"/>
    </row>
    <row r="530" ht="15.75" customHeight="1">
      <c r="H530" s="1"/>
    </row>
    <row r="531" ht="15.75" customHeight="1">
      <c r="H531" s="1"/>
    </row>
    <row r="532" ht="15.75" customHeight="1">
      <c r="H532" s="1"/>
    </row>
    <row r="533" ht="15.75" customHeight="1">
      <c r="H533" s="1"/>
    </row>
    <row r="534" ht="15.75" customHeight="1">
      <c r="H534" s="1"/>
    </row>
    <row r="535" ht="15.75" customHeight="1">
      <c r="H535" s="1"/>
    </row>
    <row r="536" ht="15.75" customHeight="1">
      <c r="H536" s="1"/>
    </row>
    <row r="537" ht="15.75" customHeight="1">
      <c r="H537" s="1"/>
    </row>
    <row r="538" ht="15.75" customHeight="1">
      <c r="H538" s="1"/>
    </row>
    <row r="539" ht="15.75" customHeight="1">
      <c r="H539" s="1"/>
    </row>
    <row r="540" ht="15.75" customHeight="1">
      <c r="H540" s="1"/>
    </row>
    <row r="541" ht="15.75" customHeight="1">
      <c r="H541" s="1"/>
    </row>
    <row r="542" ht="15.75" customHeight="1">
      <c r="H542" s="1"/>
    </row>
    <row r="543" ht="15.75" customHeight="1">
      <c r="H543" s="1"/>
    </row>
    <row r="544" ht="15.75" customHeight="1">
      <c r="H544" s="1"/>
    </row>
    <row r="545" ht="15.75" customHeight="1">
      <c r="H545" s="1"/>
    </row>
    <row r="546" ht="15.75" customHeight="1">
      <c r="H546" s="1"/>
    </row>
    <row r="547" ht="15.75" customHeight="1">
      <c r="H547" s="1"/>
    </row>
    <row r="548" ht="15.75" customHeight="1">
      <c r="H548" s="1"/>
    </row>
    <row r="549" ht="15.75" customHeight="1">
      <c r="H549" s="1"/>
    </row>
    <row r="550" ht="15.75" customHeight="1">
      <c r="H550" s="1"/>
    </row>
    <row r="551" ht="15.75" customHeight="1">
      <c r="H551" s="1"/>
    </row>
    <row r="552" ht="15.75" customHeight="1">
      <c r="H552" s="1"/>
    </row>
    <row r="553" ht="15.75" customHeight="1">
      <c r="H553" s="1"/>
    </row>
    <row r="554" ht="15.75" customHeight="1">
      <c r="H554" s="1"/>
    </row>
    <row r="555" ht="15.75" customHeight="1">
      <c r="H555" s="1"/>
    </row>
    <row r="556" ht="15.75" customHeight="1">
      <c r="H556" s="1"/>
    </row>
    <row r="557" ht="15.75" customHeight="1">
      <c r="H557" s="1"/>
    </row>
    <row r="558" ht="15.75" customHeight="1">
      <c r="H558" s="1"/>
    </row>
    <row r="559" ht="15.75" customHeight="1">
      <c r="H559" s="1"/>
    </row>
    <row r="560" ht="15.75" customHeight="1">
      <c r="H560" s="1"/>
    </row>
    <row r="561" ht="15.75" customHeight="1">
      <c r="H561" s="1"/>
    </row>
    <row r="562" ht="15.75" customHeight="1">
      <c r="H562" s="1"/>
    </row>
    <row r="563" ht="15.75" customHeight="1">
      <c r="H563" s="1"/>
    </row>
    <row r="564" ht="15.75" customHeight="1">
      <c r="H564" s="1"/>
    </row>
    <row r="565" ht="15.75" customHeight="1">
      <c r="H565" s="1"/>
    </row>
    <row r="566" ht="15.75" customHeight="1">
      <c r="H566" s="1"/>
    </row>
    <row r="567" ht="15.75" customHeight="1">
      <c r="H567" s="1"/>
    </row>
    <row r="568" ht="15.75" customHeight="1">
      <c r="H568" s="1"/>
    </row>
    <row r="569" ht="15.75" customHeight="1">
      <c r="H569" s="1"/>
    </row>
    <row r="570" ht="15.75" customHeight="1">
      <c r="H570" s="1"/>
    </row>
    <row r="571" ht="15.75" customHeight="1">
      <c r="H571" s="1"/>
    </row>
    <row r="572" ht="15.75" customHeight="1">
      <c r="H572" s="1"/>
    </row>
    <row r="573" ht="15.75" customHeight="1">
      <c r="H573" s="1"/>
    </row>
    <row r="574" ht="15.75" customHeight="1">
      <c r="H574" s="1"/>
    </row>
    <row r="575" ht="15.75" customHeight="1">
      <c r="H575" s="1"/>
    </row>
    <row r="576" ht="15.75" customHeight="1">
      <c r="H576" s="1"/>
    </row>
    <row r="577" ht="15.75" customHeight="1">
      <c r="H577" s="1"/>
    </row>
    <row r="578" ht="15.75" customHeight="1">
      <c r="H578" s="1"/>
    </row>
    <row r="579" ht="15.75" customHeight="1">
      <c r="H579" s="1"/>
    </row>
    <row r="580" ht="15.75" customHeight="1">
      <c r="H580" s="1"/>
    </row>
    <row r="581" ht="15.75" customHeight="1">
      <c r="H581" s="1"/>
    </row>
    <row r="582" ht="15.75" customHeight="1">
      <c r="H582" s="1"/>
    </row>
    <row r="583" ht="15.75" customHeight="1">
      <c r="H583" s="1"/>
    </row>
    <row r="584" ht="15.75" customHeight="1">
      <c r="H584" s="1"/>
    </row>
    <row r="585" ht="15.75" customHeight="1">
      <c r="H585" s="1"/>
    </row>
    <row r="586" ht="15.75" customHeight="1">
      <c r="H586" s="1"/>
    </row>
    <row r="587" ht="15.75" customHeight="1">
      <c r="H587" s="1"/>
    </row>
    <row r="588" ht="15.75" customHeight="1">
      <c r="H588" s="1"/>
    </row>
    <row r="589" ht="15.75" customHeight="1">
      <c r="H589" s="1"/>
    </row>
    <row r="590" ht="15.75" customHeight="1">
      <c r="H590" s="1"/>
    </row>
    <row r="591" ht="15.75" customHeight="1">
      <c r="H591" s="1"/>
    </row>
    <row r="592" ht="15.75" customHeight="1">
      <c r="H592" s="1"/>
    </row>
    <row r="593" ht="15.75" customHeight="1">
      <c r="H593" s="1"/>
    </row>
    <row r="594" ht="15.75" customHeight="1">
      <c r="H594" s="1"/>
    </row>
    <row r="595" ht="15.75" customHeight="1">
      <c r="H595" s="1"/>
    </row>
    <row r="596" ht="15.75" customHeight="1">
      <c r="H596" s="1"/>
    </row>
    <row r="597" ht="15.75" customHeight="1">
      <c r="H597" s="1"/>
    </row>
    <row r="598" ht="15.75" customHeight="1">
      <c r="H598" s="1"/>
    </row>
    <row r="599" ht="15.75" customHeight="1">
      <c r="H599" s="1"/>
    </row>
    <row r="600" ht="15.75" customHeight="1">
      <c r="H600" s="1"/>
    </row>
    <row r="601" ht="15.75" customHeight="1">
      <c r="H601" s="1"/>
    </row>
    <row r="602" ht="15.75" customHeight="1">
      <c r="H602" s="1"/>
    </row>
    <row r="603" ht="15.75" customHeight="1">
      <c r="H603" s="1"/>
    </row>
    <row r="604" ht="15.75" customHeight="1">
      <c r="H604" s="1"/>
    </row>
    <row r="605" ht="15.75" customHeight="1">
      <c r="H605" s="1"/>
    </row>
    <row r="606" ht="15.75" customHeight="1">
      <c r="H606" s="1"/>
    </row>
    <row r="607" ht="15.75" customHeight="1">
      <c r="H607" s="1"/>
    </row>
    <row r="608" ht="15.75" customHeight="1">
      <c r="H608" s="1"/>
    </row>
    <row r="609" ht="15.75" customHeight="1">
      <c r="H609" s="1"/>
    </row>
    <row r="610" ht="15.75" customHeight="1">
      <c r="H610" s="1"/>
    </row>
    <row r="611" ht="15.75" customHeight="1">
      <c r="H611" s="1"/>
    </row>
    <row r="612" ht="15.75" customHeight="1">
      <c r="H612" s="1"/>
    </row>
    <row r="613" ht="15.75" customHeight="1">
      <c r="H613" s="1"/>
    </row>
    <row r="614" ht="15.75" customHeight="1">
      <c r="H614" s="1"/>
    </row>
    <row r="615" ht="15.75" customHeight="1">
      <c r="H615" s="1"/>
    </row>
    <row r="616" ht="15.75" customHeight="1">
      <c r="H616" s="1"/>
    </row>
    <row r="617" ht="15.75" customHeight="1">
      <c r="H617" s="1"/>
    </row>
    <row r="618" ht="15.75" customHeight="1">
      <c r="H618" s="1"/>
    </row>
    <row r="619" ht="15.75" customHeight="1">
      <c r="H619" s="1"/>
    </row>
    <row r="620" ht="15.75" customHeight="1">
      <c r="H620" s="1"/>
    </row>
    <row r="621" ht="15.75" customHeight="1">
      <c r="H621" s="1"/>
    </row>
    <row r="622" ht="15.75" customHeight="1">
      <c r="H622" s="1"/>
    </row>
    <row r="623" ht="15.75" customHeight="1">
      <c r="H623" s="1"/>
    </row>
    <row r="624" ht="15.75" customHeight="1">
      <c r="H624" s="1"/>
    </row>
    <row r="625" ht="15.75" customHeight="1">
      <c r="H625" s="1"/>
    </row>
    <row r="626" ht="15.75" customHeight="1">
      <c r="H626" s="1"/>
    </row>
    <row r="627" ht="15.75" customHeight="1">
      <c r="H627" s="1"/>
    </row>
    <row r="628" ht="15.75" customHeight="1">
      <c r="H628" s="1"/>
    </row>
    <row r="629" ht="15.75" customHeight="1">
      <c r="H629" s="1"/>
    </row>
    <row r="630" ht="15.75" customHeight="1">
      <c r="H630" s="1"/>
    </row>
    <row r="631" ht="15.75" customHeight="1">
      <c r="H631" s="1"/>
    </row>
    <row r="632" ht="15.75" customHeight="1">
      <c r="H632" s="1"/>
    </row>
    <row r="633" ht="15.75" customHeight="1">
      <c r="H633" s="1"/>
    </row>
    <row r="634" ht="15.75" customHeight="1">
      <c r="H634" s="1"/>
    </row>
    <row r="635" ht="15.75" customHeight="1">
      <c r="H635" s="1"/>
    </row>
    <row r="636" ht="15.75" customHeight="1">
      <c r="H636" s="1"/>
    </row>
    <row r="637" ht="15.75" customHeight="1">
      <c r="H637" s="1"/>
    </row>
    <row r="638" ht="15.75" customHeight="1">
      <c r="H638" s="1"/>
    </row>
    <row r="639" ht="15.75" customHeight="1">
      <c r="H639" s="1"/>
    </row>
    <row r="640" ht="15.75" customHeight="1">
      <c r="H640" s="1"/>
    </row>
    <row r="641" ht="15.75" customHeight="1">
      <c r="H641" s="1"/>
    </row>
    <row r="642" ht="15.75" customHeight="1">
      <c r="H642" s="1"/>
    </row>
    <row r="643" ht="15.75" customHeight="1">
      <c r="H643" s="1"/>
    </row>
    <row r="644" ht="15.75" customHeight="1">
      <c r="H644" s="1"/>
    </row>
    <row r="645" ht="15.75" customHeight="1">
      <c r="H645" s="1"/>
    </row>
    <row r="646" ht="15.75" customHeight="1">
      <c r="H646" s="1"/>
    </row>
    <row r="647" ht="15.75" customHeight="1">
      <c r="H647" s="1"/>
    </row>
    <row r="648" ht="15.75" customHeight="1">
      <c r="H648" s="1"/>
    </row>
    <row r="649" ht="15.75" customHeight="1">
      <c r="H649" s="1"/>
    </row>
    <row r="650" ht="15.75" customHeight="1">
      <c r="H650" s="1"/>
    </row>
    <row r="651" ht="15.75" customHeight="1">
      <c r="H651" s="1"/>
    </row>
    <row r="652" ht="15.75" customHeight="1">
      <c r="H652" s="1"/>
    </row>
    <row r="653" ht="15.75" customHeight="1">
      <c r="H653" s="1"/>
    </row>
    <row r="654" ht="15.75" customHeight="1">
      <c r="H654" s="1"/>
    </row>
    <row r="655" ht="15.75" customHeight="1">
      <c r="H655" s="1"/>
    </row>
    <row r="656" ht="15.75" customHeight="1">
      <c r="H656" s="1"/>
    </row>
    <row r="657" ht="15.75" customHeight="1">
      <c r="H657" s="1"/>
    </row>
    <row r="658" ht="15.75" customHeight="1">
      <c r="H658" s="1"/>
    </row>
    <row r="659" ht="15.75" customHeight="1">
      <c r="H659" s="1"/>
    </row>
    <row r="660" ht="15.75" customHeight="1">
      <c r="H660" s="1"/>
    </row>
    <row r="661" ht="15.75" customHeight="1">
      <c r="H661" s="1"/>
    </row>
    <row r="662" ht="15.75" customHeight="1">
      <c r="H662" s="1"/>
    </row>
    <row r="663" ht="15.75" customHeight="1">
      <c r="H663" s="1"/>
    </row>
    <row r="664" ht="15.75" customHeight="1">
      <c r="H664" s="1"/>
    </row>
    <row r="665" ht="15.75" customHeight="1">
      <c r="H665" s="1"/>
    </row>
    <row r="666" ht="15.75" customHeight="1">
      <c r="H666" s="1"/>
    </row>
    <row r="667" ht="15.75" customHeight="1">
      <c r="H667" s="1"/>
    </row>
    <row r="668" ht="15.75" customHeight="1">
      <c r="H668" s="1"/>
    </row>
    <row r="669" ht="15.75" customHeight="1">
      <c r="H669" s="1"/>
    </row>
    <row r="670" ht="15.75" customHeight="1">
      <c r="H670" s="1"/>
    </row>
    <row r="671" ht="15.75" customHeight="1">
      <c r="H671" s="1"/>
    </row>
    <row r="672" ht="15.75" customHeight="1">
      <c r="H672" s="1"/>
    </row>
    <row r="673" ht="15.75" customHeight="1">
      <c r="H673" s="1"/>
    </row>
    <row r="674" ht="15.75" customHeight="1">
      <c r="H674" s="1"/>
    </row>
    <row r="675" ht="15.75" customHeight="1">
      <c r="H675" s="1"/>
    </row>
    <row r="676" ht="15.75" customHeight="1">
      <c r="H676" s="1"/>
    </row>
    <row r="677" ht="15.75" customHeight="1">
      <c r="H677" s="1"/>
    </row>
    <row r="678" ht="15.75" customHeight="1">
      <c r="H678" s="1"/>
    </row>
    <row r="679" ht="15.75" customHeight="1">
      <c r="H679" s="1"/>
    </row>
    <row r="680" ht="15.75" customHeight="1">
      <c r="H680" s="1"/>
    </row>
    <row r="681" ht="15.75" customHeight="1">
      <c r="H681" s="1"/>
    </row>
    <row r="682" ht="15.75" customHeight="1">
      <c r="H682" s="1"/>
    </row>
    <row r="683" ht="15.75" customHeight="1">
      <c r="H683" s="1"/>
    </row>
    <row r="684" ht="15.75" customHeight="1">
      <c r="H684" s="1"/>
    </row>
    <row r="685" ht="15.75" customHeight="1">
      <c r="H685" s="1"/>
    </row>
    <row r="686" ht="15.75" customHeight="1">
      <c r="H686" s="1"/>
    </row>
    <row r="687" ht="15.75" customHeight="1">
      <c r="H687" s="1"/>
    </row>
    <row r="688" ht="15.75" customHeight="1">
      <c r="H688" s="1"/>
    </row>
    <row r="689" ht="15.75" customHeight="1">
      <c r="H689" s="1"/>
    </row>
    <row r="690" ht="15.75" customHeight="1">
      <c r="H690" s="1"/>
    </row>
    <row r="691" ht="15.75" customHeight="1">
      <c r="H691" s="1"/>
    </row>
    <row r="692" ht="15.75" customHeight="1">
      <c r="H692" s="1"/>
    </row>
    <row r="693" ht="15.75" customHeight="1">
      <c r="H693" s="1"/>
    </row>
    <row r="694" ht="15.75" customHeight="1">
      <c r="H694" s="1"/>
    </row>
    <row r="695" ht="15.75" customHeight="1">
      <c r="H695" s="1"/>
    </row>
    <row r="696" ht="15.75" customHeight="1">
      <c r="H696" s="1"/>
    </row>
    <row r="697" ht="15.75" customHeight="1">
      <c r="H697" s="1"/>
    </row>
    <row r="698" ht="15.75" customHeight="1">
      <c r="H698" s="1"/>
    </row>
    <row r="699" ht="15.75" customHeight="1">
      <c r="H699" s="1"/>
    </row>
    <row r="700" ht="15.75" customHeight="1">
      <c r="H700" s="1"/>
    </row>
    <row r="701" ht="15.75" customHeight="1">
      <c r="H701" s="1"/>
    </row>
    <row r="702" ht="15.75" customHeight="1">
      <c r="H702" s="1"/>
    </row>
    <row r="703" ht="15.75" customHeight="1">
      <c r="H703" s="1"/>
    </row>
    <row r="704" ht="15.75" customHeight="1">
      <c r="H704" s="1"/>
    </row>
    <row r="705" ht="15.75" customHeight="1">
      <c r="H705" s="1"/>
    </row>
    <row r="706" ht="15.75" customHeight="1">
      <c r="H706" s="1"/>
    </row>
    <row r="707" ht="15.75" customHeight="1">
      <c r="H707" s="1"/>
    </row>
    <row r="708" ht="15.75" customHeight="1">
      <c r="H708" s="1"/>
    </row>
    <row r="709" ht="15.75" customHeight="1">
      <c r="H709" s="1"/>
    </row>
    <row r="710" ht="15.75" customHeight="1">
      <c r="H710" s="1"/>
    </row>
    <row r="711" ht="15.75" customHeight="1">
      <c r="H711" s="1"/>
    </row>
    <row r="712" ht="15.75" customHeight="1">
      <c r="H712" s="1"/>
    </row>
    <row r="713" ht="15.75" customHeight="1">
      <c r="H713" s="1"/>
    </row>
    <row r="714" ht="15.75" customHeight="1">
      <c r="H714" s="1"/>
    </row>
    <row r="715" ht="15.75" customHeight="1">
      <c r="H715" s="1"/>
    </row>
    <row r="716" ht="15.75" customHeight="1">
      <c r="H716" s="1"/>
    </row>
    <row r="717" ht="15.75" customHeight="1">
      <c r="H717" s="1"/>
    </row>
    <row r="718" ht="15.75" customHeight="1">
      <c r="H718" s="1"/>
    </row>
    <row r="719" ht="15.75" customHeight="1">
      <c r="H719" s="1"/>
    </row>
    <row r="720" ht="15.75" customHeight="1">
      <c r="H720" s="1"/>
    </row>
    <row r="721" ht="15.75" customHeight="1">
      <c r="H721" s="1"/>
    </row>
    <row r="722" ht="15.75" customHeight="1">
      <c r="H722" s="1"/>
    </row>
    <row r="723" ht="15.75" customHeight="1">
      <c r="H723" s="1"/>
    </row>
    <row r="724" ht="15.75" customHeight="1">
      <c r="H724" s="1"/>
    </row>
    <row r="725" ht="15.75" customHeight="1">
      <c r="H725" s="1"/>
    </row>
    <row r="726" ht="15.75" customHeight="1">
      <c r="H726" s="1"/>
    </row>
    <row r="727" ht="15.75" customHeight="1">
      <c r="H727" s="1"/>
    </row>
    <row r="728" ht="15.75" customHeight="1">
      <c r="H728" s="1"/>
    </row>
    <row r="729" ht="15.75" customHeight="1">
      <c r="H729" s="1"/>
    </row>
    <row r="730" ht="15.75" customHeight="1">
      <c r="H730" s="1"/>
    </row>
    <row r="731" ht="15.75" customHeight="1">
      <c r="H731" s="1"/>
    </row>
    <row r="732" ht="15.75" customHeight="1">
      <c r="H732" s="1"/>
    </row>
    <row r="733" ht="15.75" customHeight="1">
      <c r="H733" s="1"/>
    </row>
    <row r="734" ht="15.75" customHeight="1">
      <c r="H734" s="1"/>
    </row>
    <row r="735" ht="15.75" customHeight="1">
      <c r="H735" s="1"/>
    </row>
    <row r="736" ht="15.75" customHeight="1">
      <c r="H736" s="1"/>
    </row>
    <row r="737" ht="15.75" customHeight="1">
      <c r="H737" s="1"/>
    </row>
    <row r="738" ht="15.75" customHeight="1">
      <c r="H738" s="1"/>
    </row>
    <row r="739" ht="15.75" customHeight="1">
      <c r="H739" s="1"/>
    </row>
    <row r="740" ht="15.75" customHeight="1">
      <c r="H740" s="1"/>
    </row>
    <row r="741" ht="15.75" customHeight="1">
      <c r="H741" s="1"/>
    </row>
    <row r="742" ht="15.75" customHeight="1">
      <c r="H742" s="1"/>
    </row>
    <row r="743" ht="15.75" customHeight="1">
      <c r="H743" s="1"/>
    </row>
    <row r="744" ht="15.75" customHeight="1">
      <c r="H744" s="1"/>
    </row>
    <row r="745" ht="15.75" customHeight="1">
      <c r="H745" s="1"/>
    </row>
    <row r="746" ht="15.75" customHeight="1">
      <c r="H746" s="1"/>
    </row>
    <row r="747" ht="15.75" customHeight="1">
      <c r="H747" s="1"/>
    </row>
    <row r="748" ht="15.75" customHeight="1">
      <c r="H748" s="1"/>
    </row>
    <row r="749" ht="15.75" customHeight="1">
      <c r="H749" s="1"/>
    </row>
    <row r="750" ht="15.75" customHeight="1">
      <c r="H750" s="1"/>
    </row>
    <row r="751" ht="15.75" customHeight="1">
      <c r="H751" s="1"/>
    </row>
    <row r="752" ht="15.75" customHeight="1">
      <c r="H752" s="1"/>
    </row>
    <row r="753" ht="15.75" customHeight="1">
      <c r="H753" s="1"/>
    </row>
    <row r="754" ht="15.75" customHeight="1">
      <c r="H754" s="1"/>
    </row>
    <row r="755" ht="15.75" customHeight="1">
      <c r="H755" s="1"/>
    </row>
    <row r="756" ht="15.75" customHeight="1">
      <c r="H756" s="1"/>
    </row>
    <row r="757" ht="15.75" customHeight="1">
      <c r="H757" s="1"/>
    </row>
    <row r="758" ht="15.75" customHeight="1">
      <c r="H758" s="1"/>
    </row>
    <row r="759" ht="15.75" customHeight="1">
      <c r="H759" s="1"/>
    </row>
    <row r="760" ht="15.75" customHeight="1">
      <c r="H760" s="1"/>
    </row>
    <row r="761" ht="15.75" customHeight="1">
      <c r="H761" s="1"/>
    </row>
    <row r="762" ht="15.75" customHeight="1">
      <c r="H762" s="1"/>
    </row>
    <row r="763" ht="15.75" customHeight="1">
      <c r="H763" s="1"/>
    </row>
    <row r="764" ht="15.75" customHeight="1">
      <c r="H764" s="1"/>
    </row>
    <row r="765" ht="15.75" customHeight="1">
      <c r="H765" s="1"/>
    </row>
    <row r="766" ht="15.75" customHeight="1">
      <c r="H766" s="1"/>
    </row>
    <row r="767" ht="15.75" customHeight="1">
      <c r="H767" s="1"/>
    </row>
    <row r="768" ht="15.75" customHeight="1">
      <c r="H768" s="1"/>
    </row>
    <row r="769" ht="15.75" customHeight="1">
      <c r="H769" s="1"/>
    </row>
    <row r="770" ht="15.75" customHeight="1">
      <c r="H770" s="1"/>
    </row>
    <row r="771" ht="15.75" customHeight="1">
      <c r="H771" s="1"/>
    </row>
    <row r="772" ht="15.75" customHeight="1">
      <c r="H772" s="1"/>
    </row>
    <row r="773" ht="15.75" customHeight="1">
      <c r="H773" s="1"/>
    </row>
    <row r="774" ht="15.75" customHeight="1">
      <c r="H774" s="1"/>
    </row>
    <row r="775" ht="15.75" customHeight="1">
      <c r="H775" s="1"/>
    </row>
    <row r="776" ht="15.75" customHeight="1">
      <c r="H776" s="1"/>
    </row>
    <row r="777" ht="15.75" customHeight="1">
      <c r="H777" s="1"/>
    </row>
    <row r="778" ht="15.75" customHeight="1">
      <c r="H778" s="1"/>
    </row>
    <row r="779" ht="15.75" customHeight="1">
      <c r="H779" s="1"/>
    </row>
    <row r="780" ht="15.75" customHeight="1">
      <c r="H780" s="1"/>
    </row>
    <row r="781" ht="15.75" customHeight="1">
      <c r="H781" s="1"/>
    </row>
    <row r="782" ht="15.75" customHeight="1">
      <c r="H782" s="1"/>
    </row>
    <row r="783" ht="15.75" customHeight="1">
      <c r="H783" s="1"/>
    </row>
    <row r="784" ht="15.75" customHeight="1">
      <c r="H784" s="1"/>
    </row>
    <row r="785" ht="15.75" customHeight="1">
      <c r="H785" s="1"/>
    </row>
    <row r="786" ht="15.75" customHeight="1">
      <c r="H786" s="1"/>
    </row>
    <row r="787" ht="15.75" customHeight="1">
      <c r="H787" s="1"/>
    </row>
    <row r="788" ht="15.75" customHeight="1">
      <c r="H788" s="1"/>
    </row>
    <row r="789" ht="15.75" customHeight="1">
      <c r="H789" s="1"/>
    </row>
    <row r="790" ht="15.75" customHeight="1">
      <c r="H790" s="1"/>
    </row>
    <row r="791" ht="15.75" customHeight="1">
      <c r="H791" s="1"/>
    </row>
    <row r="792" ht="15.75" customHeight="1">
      <c r="H792" s="1"/>
    </row>
    <row r="793" ht="15.75" customHeight="1">
      <c r="H793" s="1"/>
    </row>
    <row r="794" ht="15.75" customHeight="1">
      <c r="H794" s="1"/>
    </row>
    <row r="795" ht="15.75" customHeight="1">
      <c r="H795" s="1"/>
    </row>
    <row r="796" ht="15.75" customHeight="1">
      <c r="H796" s="1"/>
    </row>
    <row r="797" ht="15.75" customHeight="1">
      <c r="H797" s="1"/>
    </row>
    <row r="798" ht="15.75" customHeight="1">
      <c r="H798" s="1"/>
    </row>
    <row r="799" ht="15.75" customHeight="1">
      <c r="H799" s="1"/>
    </row>
    <row r="800" ht="15.75" customHeight="1">
      <c r="H800" s="1"/>
    </row>
    <row r="801" ht="15.75" customHeight="1">
      <c r="H801" s="1"/>
    </row>
    <row r="802" ht="15.75" customHeight="1">
      <c r="H802" s="1"/>
    </row>
    <row r="803" ht="15.75" customHeight="1">
      <c r="H803" s="1"/>
    </row>
    <row r="804" ht="15.75" customHeight="1">
      <c r="H804" s="1"/>
    </row>
    <row r="805" ht="15.75" customHeight="1">
      <c r="H805" s="1"/>
    </row>
    <row r="806" ht="15.75" customHeight="1">
      <c r="H806" s="1"/>
    </row>
    <row r="807" ht="15.75" customHeight="1">
      <c r="H807" s="1"/>
    </row>
    <row r="808" ht="15.75" customHeight="1">
      <c r="H808" s="1"/>
    </row>
    <row r="809" ht="15.75" customHeight="1">
      <c r="H809" s="1"/>
    </row>
    <row r="810" ht="15.75" customHeight="1">
      <c r="H810" s="1"/>
    </row>
    <row r="811" ht="15.75" customHeight="1">
      <c r="H811" s="1"/>
    </row>
    <row r="812" ht="15.75" customHeight="1">
      <c r="H812" s="1"/>
    </row>
    <row r="813" ht="15.75" customHeight="1">
      <c r="H813" s="1"/>
    </row>
    <row r="814" ht="15.75" customHeight="1">
      <c r="H814" s="1"/>
    </row>
    <row r="815" ht="15.75" customHeight="1">
      <c r="H815" s="1"/>
    </row>
    <row r="816" ht="15.75" customHeight="1">
      <c r="H816" s="1"/>
    </row>
    <row r="817" ht="15.75" customHeight="1">
      <c r="H817" s="1"/>
    </row>
    <row r="818" ht="15.75" customHeight="1">
      <c r="H818" s="1"/>
    </row>
    <row r="819" ht="15.75" customHeight="1">
      <c r="H819" s="1"/>
    </row>
    <row r="820" ht="15.75" customHeight="1">
      <c r="H820" s="1"/>
    </row>
    <row r="821" ht="15.75" customHeight="1">
      <c r="H821" s="1"/>
    </row>
    <row r="822" ht="15.75" customHeight="1">
      <c r="H822" s="1"/>
    </row>
    <row r="823" ht="15.75" customHeight="1">
      <c r="H823" s="1"/>
    </row>
    <row r="824" ht="15.75" customHeight="1">
      <c r="H824" s="1"/>
    </row>
    <row r="825" ht="15.75" customHeight="1">
      <c r="H825" s="1"/>
    </row>
    <row r="826" ht="15.75" customHeight="1">
      <c r="H826" s="1"/>
    </row>
    <row r="827" ht="15.75" customHeight="1">
      <c r="H827" s="1"/>
    </row>
    <row r="828" ht="15.75" customHeight="1">
      <c r="H828" s="1"/>
    </row>
    <row r="829" ht="15.75" customHeight="1">
      <c r="H829" s="1"/>
    </row>
    <row r="830" ht="15.75" customHeight="1">
      <c r="H830" s="1"/>
    </row>
    <row r="831" ht="15.75" customHeight="1">
      <c r="H831" s="1"/>
    </row>
    <row r="832" ht="15.75" customHeight="1">
      <c r="H832" s="1"/>
    </row>
    <row r="833" ht="15.75" customHeight="1">
      <c r="H833" s="1"/>
    </row>
    <row r="834" ht="15.75" customHeight="1">
      <c r="H834" s="1"/>
    </row>
    <row r="835" ht="15.75" customHeight="1">
      <c r="H835" s="1"/>
    </row>
    <row r="836" ht="15.75" customHeight="1">
      <c r="H836" s="1"/>
    </row>
    <row r="837" ht="15.75" customHeight="1">
      <c r="H837" s="1"/>
    </row>
    <row r="838" ht="15.75" customHeight="1">
      <c r="H838" s="1"/>
    </row>
    <row r="839" ht="15.75" customHeight="1">
      <c r="H839" s="1"/>
    </row>
    <row r="840" ht="15.75" customHeight="1">
      <c r="H840" s="1"/>
    </row>
    <row r="841" ht="15.75" customHeight="1">
      <c r="H841" s="1"/>
    </row>
    <row r="842" ht="15.75" customHeight="1">
      <c r="H842" s="1"/>
    </row>
    <row r="843" ht="15.75" customHeight="1">
      <c r="H843" s="1"/>
    </row>
    <row r="844" ht="15.75" customHeight="1">
      <c r="H844" s="1"/>
    </row>
    <row r="845" ht="15.75" customHeight="1">
      <c r="H845" s="1"/>
    </row>
    <row r="846" ht="15.75" customHeight="1">
      <c r="H846" s="1"/>
    </row>
    <row r="847" ht="15.75" customHeight="1">
      <c r="H847" s="1"/>
    </row>
    <row r="848" ht="15.75" customHeight="1">
      <c r="H848" s="1"/>
    </row>
    <row r="849" ht="15.75" customHeight="1">
      <c r="H849" s="1"/>
    </row>
    <row r="850" ht="15.75" customHeight="1">
      <c r="H850" s="1"/>
    </row>
    <row r="851" ht="15.75" customHeight="1">
      <c r="H851" s="1"/>
    </row>
    <row r="852" ht="15.75" customHeight="1">
      <c r="H852" s="1"/>
    </row>
    <row r="853" ht="15.75" customHeight="1">
      <c r="H853" s="1"/>
    </row>
    <row r="854" ht="15.75" customHeight="1">
      <c r="H854" s="1"/>
    </row>
    <row r="855" ht="15.75" customHeight="1">
      <c r="H855" s="1"/>
    </row>
    <row r="856" ht="15.75" customHeight="1">
      <c r="H856" s="1"/>
    </row>
    <row r="857" ht="15.75" customHeight="1">
      <c r="H857" s="1"/>
    </row>
    <row r="858" ht="15.75" customHeight="1">
      <c r="H858" s="1"/>
    </row>
    <row r="859" ht="15.75" customHeight="1">
      <c r="H859" s="1"/>
    </row>
    <row r="860" ht="15.75" customHeight="1">
      <c r="H860" s="1"/>
    </row>
    <row r="861" ht="15.75" customHeight="1">
      <c r="H861" s="1"/>
    </row>
    <row r="862" ht="15.75" customHeight="1">
      <c r="H862" s="1"/>
    </row>
    <row r="863" ht="15.75" customHeight="1">
      <c r="H863" s="1"/>
    </row>
    <row r="864" ht="15.75" customHeight="1">
      <c r="H864" s="1"/>
    </row>
    <row r="865" ht="15.75" customHeight="1">
      <c r="H865" s="1"/>
    </row>
    <row r="866" ht="15.75" customHeight="1">
      <c r="H866" s="1"/>
    </row>
    <row r="867" ht="15.75" customHeight="1">
      <c r="H867" s="1"/>
    </row>
    <row r="868" ht="15.75" customHeight="1">
      <c r="H868" s="1"/>
    </row>
    <row r="869" ht="15.75" customHeight="1">
      <c r="H869" s="1"/>
    </row>
    <row r="870" ht="15.75" customHeight="1">
      <c r="H870" s="1"/>
    </row>
    <row r="871" ht="15.75" customHeight="1">
      <c r="H871" s="1"/>
    </row>
    <row r="872" ht="15.75" customHeight="1">
      <c r="H872" s="1"/>
    </row>
    <row r="873" ht="15.75" customHeight="1">
      <c r="H873" s="1"/>
    </row>
    <row r="874" ht="15.75" customHeight="1">
      <c r="H874" s="1"/>
    </row>
    <row r="875" ht="15.75" customHeight="1">
      <c r="H875" s="1"/>
    </row>
    <row r="876" ht="15.75" customHeight="1">
      <c r="H876" s="1"/>
    </row>
    <row r="877" ht="15.75" customHeight="1">
      <c r="H877" s="1"/>
    </row>
    <row r="878" ht="15.75" customHeight="1">
      <c r="H878" s="1"/>
    </row>
    <row r="879" ht="15.75" customHeight="1">
      <c r="H879" s="1"/>
    </row>
    <row r="880" ht="15.75" customHeight="1">
      <c r="H880" s="1"/>
    </row>
    <row r="881" ht="15.75" customHeight="1">
      <c r="H881" s="1"/>
    </row>
    <row r="882" ht="15.75" customHeight="1">
      <c r="H882" s="1"/>
    </row>
    <row r="883" ht="15.75" customHeight="1">
      <c r="H883" s="1"/>
    </row>
    <row r="884" ht="15.75" customHeight="1">
      <c r="H884" s="1"/>
    </row>
    <row r="885" ht="15.75" customHeight="1">
      <c r="H885" s="1"/>
    </row>
    <row r="886" ht="15.75" customHeight="1">
      <c r="H886" s="1"/>
    </row>
    <row r="887" ht="15.75" customHeight="1">
      <c r="H887" s="1"/>
    </row>
    <row r="888" ht="15.75" customHeight="1">
      <c r="H888" s="1"/>
    </row>
    <row r="889" ht="15.75" customHeight="1">
      <c r="H889" s="1"/>
    </row>
    <row r="890" ht="15.75" customHeight="1">
      <c r="H890" s="1"/>
    </row>
    <row r="891" ht="15.75" customHeight="1">
      <c r="H891" s="1"/>
    </row>
    <row r="892" ht="15.75" customHeight="1">
      <c r="H892" s="1"/>
    </row>
    <row r="893" ht="15.75" customHeight="1">
      <c r="H893" s="1"/>
    </row>
    <row r="894" ht="15.75" customHeight="1">
      <c r="H894" s="1"/>
    </row>
    <row r="895" ht="15.75" customHeight="1">
      <c r="H895" s="1"/>
    </row>
    <row r="896" ht="15.75" customHeight="1">
      <c r="H896" s="1"/>
    </row>
    <row r="897" ht="15.75" customHeight="1">
      <c r="H897" s="1"/>
    </row>
    <row r="898" ht="15.75" customHeight="1">
      <c r="H898" s="1"/>
    </row>
    <row r="899" ht="15.75" customHeight="1">
      <c r="H899" s="1"/>
    </row>
    <row r="900" ht="15.75" customHeight="1">
      <c r="H900" s="1"/>
    </row>
    <row r="901" ht="15.75" customHeight="1">
      <c r="H901" s="1"/>
    </row>
    <row r="902" ht="15.75" customHeight="1">
      <c r="H902" s="1"/>
    </row>
    <row r="903" ht="15.75" customHeight="1">
      <c r="H903" s="1"/>
    </row>
    <row r="904" ht="15.75" customHeight="1">
      <c r="H904" s="1"/>
    </row>
    <row r="905" ht="15.75" customHeight="1">
      <c r="H905" s="1"/>
    </row>
    <row r="906" ht="15.75" customHeight="1">
      <c r="H906" s="1"/>
    </row>
    <row r="907" ht="15.75" customHeight="1">
      <c r="H907" s="1"/>
    </row>
    <row r="908" ht="15.75" customHeight="1">
      <c r="H908" s="1"/>
    </row>
    <row r="909" ht="15.75" customHeight="1">
      <c r="H909" s="1"/>
    </row>
    <row r="910" ht="15.75" customHeight="1">
      <c r="H910" s="1"/>
    </row>
    <row r="911" ht="15.75" customHeight="1">
      <c r="H911" s="1"/>
    </row>
    <row r="912" ht="15.75" customHeight="1">
      <c r="H912" s="1"/>
    </row>
    <row r="913" ht="15.75" customHeight="1">
      <c r="H913" s="1"/>
    </row>
    <row r="914" ht="15.75" customHeight="1">
      <c r="H914" s="1"/>
    </row>
    <row r="915" ht="15.75" customHeight="1">
      <c r="H915" s="1"/>
    </row>
    <row r="916" ht="15.75" customHeight="1">
      <c r="H916" s="1"/>
    </row>
    <row r="917" ht="15.75" customHeight="1">
      <c r="H917" s="1"/>
    </row>
    <row r="918" ht="15.75" customHeight="1">
      <c r="H918" s="1"/>
    </row>
    <row r="919" ht="15.75" customHeight="1">
      <c r="H919" s="1"/>
    </row>
    <row r="920" ht="15.75" customHeight="1">
      <c r="H920" s="1"/>
    </row>
    <row r="921" ht="15.75" customHeight="1">
      <c r="H921" s="1"/>
    </row>
    <row r="922" ht="15.75" customHeight="1">
      <c r="H922" s="1"/>
    </row>
    <row r="923" ht="15.75" customHeight="1">
      <c r="H923" s="1"/>
    </row>
    <row r="924" ht="15.75" customHeight="1">
      <c r="H924" s="1"/>
    </row>
    <row r="925" ht="15.75" customHeight="1">
      <c r="H925" s="1"/>
    </row>
    <row r="926" ht="15.75" customHeight="1">
      <c r="H926" s="1"/>
    </row>
    <row r="927" ht="15.75" customHeight="1">
      <c r="H927" s="1"/>
    </row>
    <row r="928" ht="15.75" customHeight="1">
      <c r="H928" s="1"/>
    </row>
    <row r="929" ht="15.75" customHeight="1">
      <c r="H929" s="1"/>
    </row>
    <row r="930" ht="15.75" customHeight="1">
      <c r="H930" s="1"/>
    </row>
    <row r="931" ht="15.75" customHeight="1">
      <c r="H931" s="1"/>
    </row>
    <row r="932" ht="15.75" customHeight="1">
      <c r="H932" s="1"/>
    </row>
    <row r="933" ht="15.75" customHeight="1">
      <c r="H933" s="1"/>
    </row>
    <row r="934" ht="15.75" customHeight="1">
      <c r="H934" s="1"/>
    </row>
    <row r="935" ht="15.75" customHeight="1">
      <c r="H935" s="1"/>
    </row>
    <row r="936" ht="15.75" customHeight="1">
      <c r="H936" s="1"/>
    </row>
    <row r="937" ht="15.75" customHeight="1">
      <c r="H937" s="1"/>
    </row>
    <row r="938" ht="15.75" customHeight="1">
      <c r="H938" s="1"/>
    </row>
    <row r="939" ht="15.75" customHeight="1">
      <c r="H939" s="1"/>
    </row>
    <row r="940" ht="15.75" customHeight="1">
      <c r="H940" s="1"/>
    </row>
    <row r="941" ht="15.75" customHeight="1">
      <c r="H941" s="1"/>
    </row>
    <row r="942" ht="15.75" customHeight="1">
      <c r="H942" s="1"/>
    </row>
    <row r="943" ht="15.75" customHeight="1">
      <c r="H943" s="1"/>
    </row>
    <row r="944" ht="15.75" customHeight="1">
      <c r="H944" s="1"/>
    </row>
    <row r="945" ht="15.75" customHeight="1">
      <c r="H945" s="1"/>
    </row>
    <row r="946" ht="15.75" customHeight="1">
      <c r="H946" s="1"/>
    </row>
    <row r="947" ht="15.75" customHeight="1">
      <c r="H947" s="1"/>
    </row>
    <row r="948" ht="15.75" customHeight="1">
      <c r="H948" s="1"/>
    </row>
    <row r="949" ht="15.75" customHeight="1">
      <c r="H949" s="1"/>
    </row>
    <row r="950" ht="15.75" customHeight="1">
      <c r="H950" s="1"/>
    </row>
    <row r="951" ht="15.75" customHeight="1">
      <c r="H951" s="1"/>
    </row>
    <row r="952" ht="15.75" customHeight="1">
      <c r="H952" s="1"/>
    </row>
    <row r="953" ht="15.75" customHeight="1">
      <c r="H953" s="1"/>
    </row>
    <row r="954" ht="15.75" customHeight="1">
      <c r="H954" s="1"/>
    </row>
    <row r="955" ht="15.75" customHeight="1">
      <c r="H955" s="1"/>
    </row>
    <row r="956" ht="15.75" customHeight="1">
      <c r="H956" s="1"/>
    </row>
    <row r="957" ht="15.75" customHeight="1">
      <c r="H957" s="1"/>
    </row>
    <row r="958" ht="15.75" customHeight="1">
      <c r="H958" s="1"/>
    </row>
    <row r="959" ht="15.75" customHeight="1">
      <c r="H959" s="1"/>
    </row>
    <row r="960" ht="15.75" customHeight="1">
      <c r="H960" s="1"/>
    </row>
    <row r="961" ht="15.75" customHeight="1">
      <c r="H961" s="1"/>
    </row>
    <row r="962" ht="15.75" customHeight="1">
      <c r="H962" s="1"/>
    </row>
    <row r="963" ht="15.75" customHeight="1">
      <c r="H963" s="1"/>
    </row>
    <row r="964" ht="15.75" customHeight="1">
      <c r="H964" s="1"/>
    </row>
    <row r="965" ht="15.75" customHeight="1">
      <c r="H965" s="1"/>
    </row>
    <row r="966" ht="15.75" customHeight="1">
      <c r="H966" s="1"/>
    </row>
    <row r="967" ht="15.75" customHeight="1">
      <c r="H967" s="1"/>
    </row>
    <row r="968" ht="15.75" customHeight="1">
      <c r="H968" s="1"/>
    </row>
    <row r="969" ht="15.75" customHeight="1">
      <c r="H969" s="1"/>
    </row>
    <row r="970" ht="15.75" customHeight="1">
      <c r="H970" s="1"/>
    </row>
    <row r="971" ht="15.75" customHeight="1">
      <c r="H971" s="1"/>
    </row>
    <row r="972" ht="15.75" customHeight="1">
      <c r="H972" s="1"/>
    </row>
    <row r="973" ht="15.75" customHeight="1">
      <c r="H973" s="1"/>
    </row>
    <row r="974" ht="15.75" customHeight="1">
      <c r="H974" s="1"/>
    </row>
    <row r="975" ht="15.75" customHeight="1">
      <c r="H975" s="1"/>
    </row>
    <row r="976" ht="15.75" customHeight="1">
      <c r="H976" s="1"/>
    </row>
    <row r="977" ht="15.75" customHeight="1">
      <c r="H977" s="1"/>
    </row>
    <row r="978" ht="15.75" customHeight="1">
      <c r="H978" s="1"/>
    </row>
    <row r="979" ht="15.75" customHeight="1">
      <c r="H979" s="1"/>
    </row>
    <row r="980" ht="15.75" customHeight="1">
      <c r="H980" s="1"/>
    </row>
    <row r="981" ht="15.75" customHeight="1">
      <c r="H981" s="1"/>
    </row>
    <row r="982" ht="15.75" customHeight="1">
      <c r="H982" s="1"/>
    </row>
    <row r="983" ht="15.75" customHeight="1">
      <c r="H983" s="1"/>
    </row>
    <row r="984" ht="15.75" customHeight="1">
      <c r="H984" s="1"/>
    </row>
    <row r="985" ht="15.75" customHeight="1">
      <c r="H985" s="1"/>
    </row>
    <row r="986" ht="15.75" customHeight="1">
      <c r="H986" s="1"/>
    </row>
    <row r="987" ht="15.75" customHeight="1">
      <c r="H987" s="1"/>
    </row>
    <row r="988" ht="15.75" customHeight="1">
      <c r="H988" s="1"/>
    </row>
    <row r="989" ht="15.75" customHeight="1">
      <c r="H989" s="1"/>
    </row>
    <row r="990" ht="15.75" customHeight="1">
      <c r="H990" s="1"/>
    </row>
    <row r="991" ht="15.75" customHeight="1">
      <c r="H991" s="1"/>
    </row>
    <row r="992" ht="15.75" customHeight="1">
      <c r="H992" s="1"/>
    </row>
    <row r="993" ht="15.75" customHeight="1">
      <c r="H993" s="1"/>
    </row>
    <row r="994" ht="15.75" customHeight="1">
      <c r="H994" s="1"/>
    </row>
    <row r="995" ht="15.75" customHeight="1">
      <c r="H995" s="1"/>
    </row>
    <row r="996" ht="15.75" customHeight="1">
      <c r="H996" s="1"/>
    </row>
    <row r="997" ht="15.75" customHeight="1">
      <c r="H997" s="1"/>
    </row>
    <row r="998" ht="15.75" customHeight="1">
      <c r="H998" s="1"/>
    </row>
    <row r="999" ht="15.75" customHeight="1">
      <c r="H999" s="1"/>
    </row>
    <row r="1000" ht="15.75" customHeight="1">
      <c r="H1000" s="1"/>
    </row>
  </sheetData>
  <mergeCells count="53">
    <mergeCell ref="B2:F2"/>
    <mergeCell ref="I2:M2"/>
    <mergeCell ref="B3:C3"/>
    <mergeCell ref="D3:E3"/>
    <mergeCell ref="I3:J3"/>
    <mergeCell ref="K3:L3"/>
    <mergeCell ref="M3:M4"/>
    <mergeCell ref="K13:L13"/>
    <mergeCell ref="M13:M14"/>
    <mergeCell ref="F3:F4"/>
    <mergeCell ref="B12:F12"/>
    <mergeCell ref="I12:M12"/>
    <mergeCell ref="B13:C13"/>
    <mergeCell ref="D13:E13"/>
    <mergeCell ref="F13:F14"/>
    <mergeCell ref="I13:J13"/>
    <mergeCell ref="B22:F22"/>
    <mergeCell ref="I22:M22"/>
    <mergeCell ref="B23:C23"/>
    <mergeCell ref="D23:E23"/>
    <mergeCell ref="I23:J23"/>
    <mergeCell ref="K23:L23"/>
    <mergeCell ref="M23:M24"/>
    <mergeCell ref="B40:F40"/>
    <mergeCell ref="I40:M40"/>
    <mergeCell ref="B41:C41"/>
    <mergeCell ref="D41:E41"/>
    <mergeCell ref="F41:F42"/>
    <mergeCell ref="I41:J41"/>
    <mergeCell ref="K41:L41"/>
    <mergeCell ref="M41:M42"/>
    <mergeCell ref="F23:F24"/>
    <mergeCell ref="B31:F31"/>
    <mergeCell ref="I31:M31"/>
    <mergeCell ref="B32:C32"/>
    <mergeCell ref="D32:E32"/>
    <mergeCell ref="F32:F33"/>
    <mergeCell ref="I32:J32"/>
    <mergeCell ref="L76:M76"/>
    <mergeCell ref="L77:M77"/>
    <mergeCell ref="L78:M78"/>
    <mergeCell ref="L79:M79"/>
    <mergeCell ref="L80:M80"/>
    <mergeCell ref="L81:M81"/>
    <mergeCell ref="L82:M82"/>
    <mergeCell ref="K85:Q88"/>
    <mergeCell ref="K32:L32"/>
    <mergeCell ref="M32:M33"/>
    <mergeCell ref="M72:N72"/>
    <mergeCell ref="K73:Q73"/>
    <mergeCell ref="R73:R74"/>
    <mergeCell ref="K74:Q74"/>
    <mergeCell ref="L75:M75"/>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c r="A1" s="71" t="s">
        <v>95</v>
      </c>
    </row>
    <row r="2">
      <c r="A2" s="71" t="s">
        <v>96</v>
      </c>
    </row>
    <row r="3">
      <c r="A3" s="71" t="s">
        <v>97</v>
      </c>
    </row>
    <row r="7">
      <c r="A7" s="71" t="s">
        <v>98</v>
      </c>
    </row>
    <row r="8">
      <c r="A8" s="71" t="s">
        <v>99</v>
      </c>
    </row>
    <row r="9">
      <c r="A9" s="71" t="s">
        <v>100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71"/>
    <col customWidth="1" min="3" max="3" width="35.14"/>
    <col customWidth="1" min="4" max="26" width="10.71"/>
  </cols>
  <sheetData>
    <row r="4">
      <c r="D4" s="71">
        <v>2010.0</v>
      </c>
      <c r="E4" s="71">
        <v>2012.0</v>
      </c>
      <c r="F4" s="71">
        <v>2014.0</v>
      </c>
      <c r="G4" s="71">
        <v>2016.0</v>
      </c>
      <c r="H4" s="71">
        <v>2017.0</v>
      </c>
      <c r="I4" s="71">
        <v>2018.0</v>
      </c>
    </row>
    <row r="5">
      <c r="C5" s="71" t="s">
        <v>101</v>
      </c>
      <c r="D5" s="33">
        <f>'2010'!M17</f>
        <v>552961.9</v>
      </c>
      <c r="E5" s="32">
        <f>'2012'!M17</f>
        <v>519278.9</v>
      </c>
      <c r="F5" s="32">
        <f>'2014'!M17</f>
        <v>590621.3</v>
      </c>
      <c r="G5" s="32">
        <f>'2016'!M17</f>
        <v>692986.2</v>
      </c>
      <c r="I5" s="33">
        <f>'2018'!M17</f>
        <v>649159.6</v>
      </c>
      <c r="J5" s="73">
        <f t="shared" ref="J5:J7" si="1">(G5-D5)/D5</f>
        <v>0.2532259456</v>
      </c>
    </row>
    <row r="6">
      <c r="C6" s="71" t="s">
        <v>102</v>
      </c>
      <c r="D6" s="33">
        <f>'2010'!M36</f>
        <v>42822.8</v>
      </c>
      <c r="E6" s="32"/>
      <c r="F6" s="32">
        <f>'2014'!M36</f>
        <v>60545.66</v>
      </c>
      <c r="G6" s="32">
        <f>'2016'!M36</f>
        <v>69233.85</v>
      </c>
      <c r="I6" s="33">
        <f>'2018'!M36</f>
        <v>78676.21</v>
      </c>
      <c r="J6" s="73">
        <f t="shared" si="1"/>
        <v>0.6167520573</v>
      </c>
    </row>
    <row r="7">
      <c r="C7" s="71" t="s">
        <v>103</v>
      </c>
      <c r="D7" s="71">
        <v>15196.0</v>
      </c>
      <c r="E7" s="71">
        <v>17756.0</v>
      </c>
      <c r="F7" s="71">
        <v>25019.0</v>
      </c>
      <c r="G7" s="71">
        <v>28257.0</v>
      </c>
      <c r="H7" s="71">
        <v>29607.0</v>
      </c>
      <c r="J7" s="21">
        <f t="shared" si="1"/>
        <v>0.8595025007</v>
      </c>
    </row>
    <row r="9">
      <c r="D9" s="71">
        <f>D7/D6</f>
        <v>0.3548576926</v>
      </c>
      <c r="F9" s="71">
        <f t="shared" ref="F9:G9" si="2">F7/F6</f>
        <v>0.4132253245</v>
      </c>
      <c r="G9" s="71">
        <f t="shared" si="2"/>
        <v>0.4081385045</v>
      </c>
    </row>
    <row r="12">
      <c r="D12" s="71" t="s">
        <v>104</v>
      </c>
      <c r="E12" s="71" t="s">
        <v>105</v>
      </c>
      <c r="F12" s="71" t="s">
        <v>106</v>
      </c>
      <c r="G12" s="71" t="s">
        <v>107</v>
      </c>
      <c r="H12" s="71" t="s">
        <v>108</v>
      </c>
    </row>
    <row r="13">
      <c r="C13" s="71" t="s">
        <v>109</v>
      </c>
      <c r="D13" s="71">
        <v>94985.0</v>
      </c>
      <c r="E13" s="71" t="s">
        <v>110</v>
      </c>
      <c r="F13" s="71">
        <v>94741.0</v>
      </c>
      <c r="G13" s="71">
        <v>33154.0</v>
      </c>
      <c r="H13" s="32">
        <f>J15</f>
        <v>1168599.034</v>
      </c>
    </row>
    <row r="14">
      <c r="C14" s="71" t="s">
        <v>111</v>
      </c>
      <c r="D14" s="71">
        <v>112.0</v>
      </c>
      <c r="E14" s="71">
        <f>531+137</f>
        <v>668</v>
      </c>
      <c r="F14" s="71">
        <f>37+5</f>
        <v>42</v>
      </c>
      <c r="G14" s="71">
        <f>50+6</f>
        <v>56</v>
      </c>
      <c r="H14" s="71">
        <f>1057+865</f>
        <v>1922</v>
      </c>
      <c r="J14" s="71">
        <v>24190.0</v>
      </c>
      <c r="K14" s="71">
        <v>0.0207</v>
      </c>
    </row>
    <row r="15">
      <c r="J15" s="71">
        <f>J14/K14</f>
        <v>1168599.034</v>
      </c>
      <c r="K15" s="71">
        <v>1.0</v>
      </c>
    </row>
    <row r="16">
      <c r="C16" s="71" t="s">
        <v>112</v>
      </c>
      <c r="D16" s="73">
        <f t="shared" ref="D16:H16" si="3">D14/D13</f>
        <v>0.001179133547</v>
      </c>
      <c r="E16" s="73" t="str">
        <f t="shared" si="3"/>
        <v>#VALUE!</v>
      </c>
      <c r="F16" s="73">
        <f t="shared" si="3"/>
        <v>0.0004433138768</v>
      </c>
      <c r="G16" s="73">
        <f t="shared" si="3"/>
        <v>0.00168908729</v>
      </c>
      <c r="H16" s="73">
        <f t="shared" si="3"/>
        <v>0.001644704423</v>
      </c>
    </row>
    <row r="19">
      <c r="C19" s="16"/>
    </row>
    <row r="20">
      <c r="C20" s="16">
        <v>-2.0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c r="C30" s="71">
        <v>3.2</v>
      </c>
      <c r="E30" s="71">
        <v>4.0</v>
      </c>
    </row>
    <row r="31" ht="15.75" customHeight="1">
      <c r="C31" s="71">
        <v>4.3</v>
      </c>
    </row>
    <row r="32" ht="15.75" customHeight="1">
      <c r="C32" s="21">
        <f>(C31-C30)/C30</f>
        <v>0.34375</v>
      </c>
    </row>
    <row r="33" ht="15.75" customHeight="1"/>
    <row r="34" ht="15.75" customHeight="1">
      <c r="C34" s="21">
        <f>(C31-E30)/E30</f>
        <v>0.075</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2018-01-17T14:04:05Z</dcterms:created>
  <dc:creator>Carlos Leyton</dc:creator>
</cp:coreProperties>
</file>