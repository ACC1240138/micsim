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4385" yWindow="-15" windowWidth="14430" windowHeight="12555" tabRatio="706"/>
  </bookViews>
  <sheets>
    <sheet name="NOMBRE" sheetId="1" r:id="rId1"/>
    <sheet name="P1" sheetId="2" r:id="rId2"/>
    <sheet name="P2" sheetId="17" r:id="rId3"/>
    <sheet name="P3" sheetId="4" r:id="rId4"/>
    <sheet name="P4" sheetId="5" r:id="rId5"/>
    <sheet name="P5" sheetId="6" r:id="rId6"/>
    <sheet name="P6" sheetId="7" r:id="rId7"/>
    <sheet name="P7" sheetId="8" r:id="rId8"/>
    <sheet name="P9" sheetId="16" r:id="rId9"/>
    <sheet name="P11" sheetId="10" r:id="rId10"/>
    <sheet name="P12" sheetId="11" r:id="rId11"/>
    <sheet name="P13" sheetId="18" r:id="rId12"/>
    <sheet name="Contro" sheetId="12" r:id="rId13"/>
    <sheet name="MACROS" sheetId="13" r:id="rId14"/>
  </sheets>
  <definedNames>
    <definedName name="_xlnm.Print_Area" localSheetId="12">Contro!$A$1:$H$26</definedName>
    <definedName name="_xlnm.Print_Area" localSheetId="1">'P1'!$B$1:$N$124</definedName>
    <definedName name="_xlnm.Print_Area" localSheetId="9">'P11'!$B$1:$AS$22</definedName>
    <definedName name="_xlnm.Print_Area" localSheetId="10">'P12'!$B$1:$L$88</definedName>
    <definedName name="_xlnm.Print_Area" localSheetId="3">'P3'!$B$1:$AO$62</definedName>
    <definedName name="_xlnm.Print_Area" localSheetId="4">'P4'!$B$1:$AK$75</definedName>
    <definedName name="_xlnm.Print_Area" localSheetId="5">'P5'!$B$1:$Q$53</definedName>
    <definedName name="_xlnm.Print_Area" localSheetId="6">'P6'!$B$1:$AR$115</definedName>
    <definedName name="_xlnm.Print_Area" localSheetId="7">'P7'!$B$1:$K$30</definedName>
    <definedName name="OLE_LINK1" localSheetId="3">'P3'!$CK$59</definedName>
  </definedNames>
  <calcPr calcId="145621"/>
</workbook>
</file>

<file path=xl/calcChain.xml><?xml version="1.0" encoding="utf-8"?>
<calcChain xmlns="http://schemas.openxmlformats.org/spreadsheetml/2006/main">
  <c r="AQ146" i="17" l="1"/>
  <c r="AN146" i="17" l="1"/>
  <c r="AM146" i="17"/>
  <c r="AL146" i="17"/>
  <c r="AK146" i="17"/>
  <c r="L91" i="17"/>
  <c r="F35" i="18" l="1"/>
  <c r="AG3" i="1" l="1"/>
  <c r="AG2" i="1"/>
  <c r="E23" i="2" l="1"/>
  <c r="N23" i="2"/>
  <c r="M23" i="2"/>
  <c r="O23" i="2"/>
  <c r="L118" i="17" l="1"/>
  <c r="M118" i="17"/>
  <c r="G118" i="17"/>
  <c r="C134" i="2"/>
  <c r="K118" i="17" l="1"/>
  <c r="J118" i="17"/>
  <c r="I118" i="17"/>
  <c r="H118" i="17"/>
  <c r="F118" i="17" l="1"/>
  <c r="E118" i="17"/>
  <c r="S35" i="18"/>
  <c r="D35" i="18"/>
  <c r="R35" i="18"/>
  <c r="Q35" i="18"/>
  <c r="P35" i="18"/>
  <c r="O35" i="18"/>
  <c r="N35" i="18"/>
  <c r="M35" i="18"/>
  <c r="L35" i="18"/>
  <c r="K35" i="18"/>
  <c r="J35" i="18"/>
  <c r="I35" i="18"/>
  <c r="H35" i="18"/>
  <c r="G35" i="18"/>
  <c r="E35" i="18"/>
  <c r="D118" i="17" l="1"/>
  <c r="C35" i="18"/>
  <c r="S17" i="18" l="1"/>
  <c r="H20" i="6" l="1"/>
  <c r="CI51" i="7" l="1"/>
  <c r="CG51" i="7"/>
  <c r="DE51" i="7"/>
  <c r="CL51" i="7" l="1"/>
  <c r="DD51" i="7"/>
  <c r="CJ51" i="7"/>
  <c r="DB51" i="7"/>
  <c r="CH51" i="7"/>
  <c r="DF51" i="7"/>
  <c r="DA51" i="7"/>
  <c r="CK51" i="7"/>
  <c r="DL51" i="7"/>
  <c r="CR51" i="7"/>
  <c r="DK51" i="7"/>
  <c r="DC51" i="7"/>
  <c r="CQ51" i="7"/>
  <c r="CM51" i="7" l="1"/>
  <c r="DG51" i="7"/>
  <c r="CN51" i="7"/>
  <c r="DH51" i="7"/>
  <c r="CO51" i="7"/>
  <c r="DI51" i="7"/>
  <c r="CP51" i="7"/>
  <c r="DJ51" i="7"/>
  <c r="AW51" i="7" l="1"/>
  <c r="R23" i="2"/>
  <c r="Q23" i="2"/>
  <c r="P23" i="2"/>
  <c r="L23" i="2"/>
  <c r="B199" i="11" l="1"/>
  <c r="F16" i="12" s="1"/>
  <c r="B200" i="11"/>
  <c r="D16" i="12" s="1"/>
  <c r="M112" i="2" l="1"/>
  <c r="L112" i="2"/>
  <c r="K112" i="2"/>
  <c r="J112" i="2"/>
  <c r="I112" i="2"/>
  <c r="H112" i="2"/>
  <c r="G112" i="2"/>
  <c r="F112" i="2"/>
  <c r="E112" i="2"/>
  <c r="H131" i="11"/>
  <c r="G131" i="11"/>
  <c r="F131" i="11"/>
  <c r="E131" i="11"/>
  <c r="D131" i="11"/>
  <c r="H114" i="11"/>
  <c r="C74" i="11"/>
  <c r="G114" i="11"/>
  <c r="F114" i="11"/>
  <c r="E114" i="11"/>
  <c r="D114" i="11"/>
  <c r="D98" i="11"/>
  <c r="C98" i="11"/>
  <c r="D112" i="2" l="1"/>
  <c r="C131" i="11"/>
  <c r="C114" i="11"/>
  <c r="I4" i="1" l="1"/>
  <c r="I3" i="1"/>
  <c r="AG4" i="1" l="1"/>
  <c r="DF12" i="2" l="1"/>
  <c r="CD12" i="2"/>
  <c r="CH12" i="2"/>
  <c r="DC12" i="2"/>
  <c r="DG12" i="2"/>
  <c r="CE12" i="2"/>
  <c r="DD12" i="2"/>
  <c r="DH12" i="2"/>
  <c r="DE12" i="2"/>
  <c r="CC12" i="2"/>
  <c r="CF12" i="2"/>
  <c r="CG12" i="2"/>
  <c r="CP43" i="4"/>
  <c r="CO43" i="4"/>
  <c r="CM43" i="4"/>
  <c r="CL43" i="4"/>
  <c r="CH43" i="4"/>
  <c r="CG43" i="4"/>
  <c r="CE43" i="4"/>
  <c r="CD43" i="4"/>
  <c r="T23" i="2" l="1"/>
  <c r="S23" i="2"/>
  <c r="K23" i="2"/>
  <c r="J23" i="2"/>
  <c r="I23" i="2"/>
  <c r="H23" i="2"/>
  <c r="G23" i="2"/>
  <c r="F23" i="2"/>
  <c r="D23" i="2" l="1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I17" i="17"/>
  <c r="J17" i="17"/>
  <c r="K17" i="17"/>
  <c r="L17" i="17"/>
  <c r="M17" i="17"/>
  <c r="N17" i="17"/>
  <c r="O17" i="17"/>
  <c r="P17" i="17"/>
  <c r="Q17" i="17"/>
  <c r="R17" i="17"/>
  <c r="S17" i="17"/>
  <c r="T17" i="17"/>
  <c r="U17" i="17"/>
  <c r="V17" i="17"/>
  <c r="W17" i="17"/>
  <c r="X17" i="17"/>
  <c r="Y17" i="17"/>
  <c r="Z17" i="17"/>
  <c r="AA17" i="17"/>
  <c r="AB17" i="17"/>
  <c r="AC17" i="17"/>
  <c r="AD17" i="17"/>
  <c r="AE17" i="17"/>
  <c r="AF17" i="17"/>
  <c r="AG17" i="17"/>
  <c r="AH17" i="17"/>
  <c r="AI17" i="17"/>
  <c r="AJ17" i="17"/>
  <c r="AK17" i="17"/>
  <c r="AL17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I26" i="17"/>
  <c r="J26" i="17"/>
  <c r="K26" i="17"/>
  <c r="L26" i="17"/>
  <c r="M26" i="17"/>
  <c r="N26" i="17"/>
  <c r="O26" i="17"/>
  <c r="P26" i="17"/>
  <c r="Q26" i="17"/>
  <c r="R26" i="17"/>
  <c r="S26" i="17"/>
  <c r="T26" i="17"/>
  <c r="U26" i="17"/>
  <c r="V26" i="17"/>
  <c r="W26" i="17"/>
  <c r="X26" i="17"/>
  <c r="Y26" i="17"/>
  <c r="Z26" i="17"/>
  <c r="AA26" i="17"/>
  <c r="AB26" i="17"/>
  <c r="AC26" i="17"/>
  <c r="AD26" i="17"/>
  <c r="AE26" i="17"/>
  <c r="AF26" i="17"/>
  <c r="AG26" i="17"/>
  <c r="AH26" i="17"/>
  <c r="AI26" i="17"/>
  <c r="AJ26" i="17"/>
  <c r="AK26" i="17"/>
  <c r="AL26" i="17"/>
  <c r="I29" i="17"/>
  <c r="J29" i="17"/>
  <c r="K29" i="17"/>
  <c r="L29" i="17"/>
  <c r="M29" i="17"/>
  <c r="N29" i="17"/>
  <c r="O29" i="17"/>
  <c r="P29" i="17"/>
  <c r="Q29" i="17"/>
  <c r="R29" i="17"/>
  <c r="S29" i="17"/>
  <c r="T29" i="17"/>
  <c r="U29" i="17"/>
  <c r="V29" i="17"/>
  <c r="W29" i="17"/>
  <c r="X29" i="17"/>
  <c r="Y29" i="17"/>
  <c r="Z29" i="17"/>
  <c r="AA29" i="17"/>
  <c r="AB29" i="17"/>
  <c r="AC29" i="17"/>
  <c r="AD29" i="17"/>
  <c r="AE29" i="17"/>
  <c r="AF29" i="17"/>
  <c r="AG29" i="17"/>
  <c r="AH29" i="17"/>
  <c r="AI29" i="17"/>
  <c r="AJ29" i="17"/>
  <c r="AK29" i="17"/>
  <c r="AL29" i="17"/>
  <c r="I36" i="17"/>
  <c r="J36" i="17"/>
  <c r="K36" i="17"/>
  <c r="L36" i="17"/>
  <c r="M36" i="17"/>
  <c r="N36" i="17"/>
  <c r="O36" i="17"/>
  <c r="P36" i="17"/>
  <c r="Q36" i="17"/>
  <c r="R36" i="17"/>
  <c r="S36" i="17"/>
  <c r="T36" i="17"/>
  <c r="U36" i="17"/>
  <c r="V36" i="17"/>
  <c r="W36" i="17"/>
  <c r="X36" i="17"/>
  <c r="Y36" i="17"/>
  <c r="Z36" i="17"/>
  <c r="AA36" i="17"/>
  <c r="AB36" i="17"/>
  <c r="AC36" i="17"/>
  <c r="AD36" i="17"/>
  <c r="AE36" i="17"/>
  <c r="AF36" i="17"/>
  <c r="AG36" i="17"/>
  <c r="AH36" i="17"/>
  <c r="AI36" i="17"/>
  <c r="AJ36" i="17"/>
  <c r="AK36" i="17"/>
  <c r="AL36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CL52" i="5" l="1"/>
  <c r="BB52" i="5"/>
  <c r="BA52" i="5"/>
  <c r="G146" i="17" l="1"/>
  <c r="DO69" i="7" l="1"/>
  <c r="DK81" i="7"/>
  <c r="DL81" i="7"/>
  <c r="DK98" i="7"/>
  <c r="DL98" i="7"/>
  <c r="DK74" i="7"/>
  <c r="CK74" i="7"/>
  <c r="DL74" i="7"/>
  <c r="DC74" i="7"/>
  <c r="CI74" i="7"/>
  <c r="CR74" i="7"/>
  <c r="DE74" i="7"/>
  <c r="CQ74" i="7"/>
  <c r="DK83" i="7"/>
  <c r="DL83" i="7"/>
  <c r="DK91" i="7"/>
  <c r="DL91" i="7"/>
  <c r="DK99" i="7"/>
  <c r="DL99" i="7"/>
  <c r="DK109" i="7"/>
  <c r="DL109" i="7"/>
  <c r="DK84" i="7"/>
  <c r="DL84" i="7"/>
  <c r="DK92" i="7"/>
  <c r="DL92" i="7"/>
  <c r="DK100" i="7"/>
  <c r="DL100" i="7"/>
  <c r="DK89" i="7"/>
  <c r="DL89" i="7"/>
  <c r="DF75" i="7"/>
  <c r="CG75" i="7"/>
  <c r="CH75" i="7"/>
  <c r="DA75" i="7"/>
  <c r="CJ75" i="7"/>
  <c r="DB75" i="7"/>
  <c r="DD75" i="7"/>
  <c r="CL75" i="7"/>
  <c r="DK76" i="7"/>
  <c r="DL76" i="7"/>
  <c r="DL85" i="7"/>
  <c r="DK85" i="7"/>
  <c r="DK93" i="7"/>
  <c r="DL93" i="7"/>
  <c r="DL101" i="7"/>
  <c r="DK101" i="7"/>
  <c r="CL74" i="7"/>
  <c r="DA74" i="7"/>
  <c r="DB74" i="7"/>
  <c r="CG74" i="7"/>
  <c r="DF74" i="7"/>
  <c r="CH74" i="7"/>
  <c r="DD74" i="7"/>
  <c r="CJ74" i="7"/>
  <c r="DK82" i="7"/>
  <c r="DL82" i="7"/>
  <c r="DK71" i="7"/>
  <c r="DL71" i="7"/>
  <c r="DK77" i="7"/>
  <c r="DL77" i="7"/>
  <c r="DK86" i="7"/>
  <c r="DL86" i="7"/>
  <c r="DK94" i="7"/>
  <c r="DL94" i="7"/>
  <c r="DK102" i="7"/>
  <c r="DL102" i="7"/>
  <c r="DK97" i="7"/>
  <c r="DL97" i="7"/>
  <c r="DK90" i="7"/>
  <c r="DL90" i="7"/>
  <c r="CQ75" i="7"/>
  <c r="DK75" i="7"/>
  <c r="CI75" i="7"/>
  <c r="CR75" i="7"/>
  <c r="DL75" i="7"/>
  <c r="CK75" i="7"/>
  <c r="DC75" i="7"/>
  <c r="DE75" i="7"/>
  <c r="DK78" i="7"/>
  <c r="DL78" i="7"/>
  <c r="DK87" i="7"/>
  <c r="DL87" i="7"/>
  <c r="DK107" i="7"/>
  <c r="DL107" i="7"/>
  <c r="DK80" i="7"/>
  <c r="DL80" i="7"/>
  <c r="DK69" i="7"/>
  <c r="DL69" i="7"/>
  <c r="DK72" i="7"/>
  <c r="DL72" i="7"/>
  <c r="DK95" i="7"/>
  <c r="DL95" i="7"/>
  <c r="DK73" i="7"/>
  <c r="DL73" i="7"/>
  <c r="DK79" i="7"/>
  <c r="DL79" i="7"/>
  <c r="DK88" i="7"/>
  <c r="DL88" i="7"/>
  <c r="DK96" i="7"/>
  <c r="DL96" i="7"/>
  <c r="DK108" i="7"/>
  <c r="DL108" i="7"/>
  <c r="CU69" i="7" l="1"/>
  <c r="DP69" i="7"/>
  <c r="CV69" i="7"/>
  <c r="DM69" i="7"/>
  <c r="AV146" i="17" l="1"/>
  <c r="AU146" i="17"/>
  <c r="AT146" i="17"/>
  <c r="AS146" i="17"/>
  <c r="AR146" i="17"/>
  <c r="AP146" i="17"/>
  <c r="AO146" i="17"/>
  <c r="AJ146" i="17"/>
  <c r="AI146" i="17"/>
  <c r="AH146" i="17"/>
  <c r="AG146" i="17"/>
  <c r="AF146" i="17"/>
  <c r="AE146" i="17"/>
  <c r="AD146" i="17"/>
  <c r="AC146" i="17"/>
  <c r="AB146" i="17"/>
  <c r="AA146" i="17"/>
  <c r="Z146" i="17"/>
  <c r="Y146" i="17"/>
  <c r="X146" i="17"/>
  <c r="W146" i="17"/>
  <c r="V146" i="17"/>
  <c r="U146" i="17"/>
  <c r="T146" i="17"/>
  <c r="S146" i="17"/>
  <c r="R146" i="17"/>
  <c r="Q146" i="17"/>
  <c r="P146" i="17"/>
  <c r="O146" i="17"/>
  <c r="N146" i="17"/>
  <c r="M146" i="17"/>
  <c r="L146" i="17"/>
  <c r="K146" i="17"/>
  <c r="J146" i="17"/>
  <c r="I146" i="17"/>
  <c r="H146" i="17"/>
  <c r="G28" i="5"/>
  <c r="H15" i="6"/>
  <c r="H29" i="6"/>
  <c r="G38" i="6"/>
  <c r="F17" i="18"/>
  <c r="O38" i="16"/>
  <c r="N38" i="16"/>
  <c r="K38" i="16"/>
  <c r="H38" i="16"/>
  <c r="H31" i="16"/>
  <c r="H26" i="16"/>
  <c r="H23" i="16"/>
  <c r="I23" i="16"/>
  <c r="I19" i="16"/>
  <c r="H19" i="16"/>
  <c r="H16" i="16"/>
  <c r="I16" i="16"/>
  <c r="DH142" i="17" l="1"/>
  <c r="CI142" i="17" s="1"/>
  <c r="DF133" i="17"/>
  <c r="CG133" i="17" s="1"/>
  <c r="DG137" i="17"/>
  <c r="CH137" i="17" s="1"/>
  <c r="DH141" i="17"/>
  <c r="CI141" i="17" s="1"/>
  <c r="DF145" i="17"/>
  <c r="CG145" i="17" s="1"/>
  <c r="E17" i="18"/>
  <c r="DH137" i="17"/>
  <c r="CI137" i="17" s="1"/>
  <c r="D17" i="18"/>
  <c r="F146" i="17"/>
  <c r="E146" i="17"/>
  <c r="C87" i="11"/>
  <c r="D61" i="11"/>
  <c r="C104" i="2"/>
  <c r="E92" i="2"/>
  <c r="E62" i="2"/>
  <c r="CB62" i="2" s="1"/>
  <c r="E67" i="2"/>
  <c r="C54" i="2"/>
  <c r="C46" i="2"/>
  <c r="D146" i="17" l="1"/>
  <c r="DI142" i="17"/>
  <c r="CJ142" i="17" s="1"/>
  <c r="DI137" i="17"/>
  <c r="CJ137" i="17" s="1"/>
  <c r="DF137" i="17"/>
  <c r="CG137" i="17" s="1"/>
  <c r="DI133" i="17"/>
  <c r="CJ133" i="17" s="1"/>
  <c r="DG142" i="17"/>
  <c r="CH142" i="17" s="1"/>
  <c r="DF142" i="17"/>
  <c r="CG142" i="17" s="1"/>
  <c r="DH133" i="17"/>
  <c r="CI133" i="17" s="1"/>
  <c r="C17" i="18"/>
  <c r="DG133" i="17"/>
  <c r="CH133" i="17" s="1"/>
  <c r="DG141" i="17"/>
  <c r="CH141" i="17" s="1"/>
  <c r="DI141" i="17"/>
  <c r="CJ141" i="17" s="1"/>
  <c r="DG145" i="17"/>
  <c r="CH145" i="17" s="1"/>
  <c r="DH145" i="17"/>
  <c r="CI145" i="17" s="1"/>
  <c r="DF141" i="17"/>
  <c r="CG141" i="17" s="1"/>
  <c r="DI145" i="17"/>
  <c r="CJ145" i="17" s="1"/>
  <c r="DC24" i="2"/>
  <c r="DG24" i="2"/>
  <c r="CC24" i="2"/>
  <c r="CG24" i="2"/>
  <c r="DE24" i="2"/>
  <c r="CE24" i="2"/>
  <c r="DF24" i="2"/>
  <c r="CF24" i="2"/>
  <c r="DD24" i="2"/>
  <c r="DH24" i="2"/>
  <c r="CD24" i="2"/>
  <c r="CH24" i="2"/>
  <c r="CC11" i="2"/>
  <c r="DH11" i="2"/>
  <c r="CE11" i="2"/>
  <c r="DG11" i="2"/>
  <c r="CD11" i="2"/>
  <c r="DF11" i="2"/>
  <c r="DE11" i="2"/>
  <c r="DD11" i="2"/>
  <c r="CH11" i="2"/>
  <c r="DC11" i="2"/>
  <c r="CG11" i="2"/>
  <c r="CF11" i="2"/>
  <c r="DF144" i="17"/>
  <c r="CG144" i="17" s="1"/>
  <c r="DG144" i="17"/>
  <c r="CH144" i="17" s="1"/>
  <c r="DI144" i="17"/>
  <c r="CJ144" i="17" s="1"/>
  <c r="DH144" i="17"/>
  <c r="CI144" i="17" s="1"/>
  <c r="DF138" i="17"/>
  <c r="CG138" i="17" s="1"/>
  <c r="DI138" i="17"/>
  <c r="CJ138" i="17" s="1"/>
  <c r="DG138" i="17"/>
  <c r="CH138" i="17" s="1"/>
  <c r="DH138" i="17"/>
  <c r="CI138" i="17" s="1"/>
  <c r="DG135" i="17"/>
  <c r="CH135" i="17" s="1"/>
  <c r="DI135" i="17"/>
  <c r="CJ135" i="17" s="1"/>
  <c r="DH135" i="17"/>
  <c r="CI135" i="17" s="1"/>
  <c r="DF135" i="17"/>
  <c r="CG135" i="17" s="1"/>
  <c r="DG131" i="17"/>
  <c r="CH131" i="17" s="1"/>
  <c r="DI131" i="17"/>
  <c r="CJ131" i="17" s="1"/>
  <c r="DF131" i="17"/>
  <c r="CG131" i="17" s="1"/>
  <c r="DH131" i="17"/>
  <c r="CI131" i="17" s="1"/>
  <c r="DF140" i="17"/>
  <c r="CG140" i="17" s="1"/>
  <c r="DG140" i="17"/>
  <c r="CH140" i="17" s="1"/>
  <c r="DH140" i="17"/>
  <c r="CI140" i="17" s="1"/>
  <c r="DI140" i="17"/>
  <c r="CJ140" i="17" s="1"/>
  <c r="DF136" i="17"/>
  <c r="CG136" i="17" s="1"/>
  <c r="DG136" i="17"/>
  <c r="CH136" i="17" s="1"/>
  <c r="DI136" i="17"/>
  <c r="CJ136" i="17" s="1"/>
  <c r="DH136" i="17"/>
  <c r="CI136" i="17" s="1"/>
  <c r="DI134" i="17"/>
  <c r="CJ134" i="17" s="1"/>
  <c r="DH134" i="17"/>
  <c r="CI134" i="17" s="1"/>
  <c r="DG134" i="17"/>
  <c r="CH134" i="17" s="1"/>
  <c r="DF134" i="17"/>
  <c r="CG134" i="17" s="1"/>
  <c r="DG143" i="17"/>
  <c r="CH143" i="17" s="1"/>
  <c r="DI143" i="17"/>
  <c r="CJ143" i="17" s="1"/>
  <c r="DH143" i="17"/>
  <c r="CI143" i="17" s="1"/>
  <c r="DF143" i="17"/>
  <c r="CG143" i="17" s="1"/>
  <c r="DF132" i="17"/>
  <c r="CG132" i="17" s="1"/>
  <c r="DG132" i="17"/>
  <c r="CH132" i="17" s="1"/>
  <c r="DI132" i="17"/>
  <c r="CJ132" i="17" s="1"/>
  <c r="DH132" i="17"/>
  <c r="CI132" i="17" s="1"/>
  <c r="DG139" i="17"/>
  <c r="CH139" i="17" s="1"/>
  <c r="DH139" i="17"/>
  <c r="CI139" i="17" s="1"/>
  <c r="DI139" i="17"/>
  <c r="CJ139" i="17" s="1"/>
  <c r="DF139" i="17"/>
  <c r="CG139" i="17" s="1"/>
  <c r="DI130" i="17"/>
  <c r="CJ130" i="17" s="1"/>
  <c r="DF130" i="17"/>
  <c r="CG130" i="17" s="1"/>
  <c r="DH130" i="17"/>
  <c r="CI130" i="17" s="1"/>
  <c r="DG130" i="17"/>
  <c r="CH130" i="17" s="1"/>
  <c r="DG129" i="17"/>
  <c r="CH129" i="17" s="1"/>
  <c r="DF129" i="17"/>
  <c r="CG129" i="17" s="1"/>
  <c r="DH129" i="17"/>
  <c r="CI129" i="17" s="1"/>
  <c r="DI129" i="17"/>
  <c r="CJ129" i="17" s="1"/>
  <c r="AW136" i="17" l="1"/>
  <c r="AW137" i="17"/>
  <c r="AW133" i="17"/>
  <c r="AW142" i="17"/>
  <c r="AW141" i="17"/>
  <c r="AW134" i="17"/>
  <c r="AW145" i="17"/>
  <c r="AW138" i="17"/>
  <c r="AW135" i="17"/>
  <c r="AW139" i="17"/>
  <c r="AW143" i="17"/>
  <c r="AW144" i="17"/>
  <c r="DM80" i="7"/>
  <c r="CU80" i="7"/>
  <c r="DP80" i="7"/>
  <c r="DO80" i="7"/>
  <c r="CV80" i="7"/>
  <c r="AW130" i="17"/>
  <c r="AW132" i="17"/>
  <c r="AW140" i="17"/>
  <c r="AW131" i="17"/>
  <c r="AW129" i="17"/>
  <c r="CM52" i="5" l="1"/>
  <c r="BC52" i="5"/>
  <c r="B51" i="8"/>
  <c r="AO83" i="16" l="1"/>
  <c r="AO84" i="16"/>
  <c r="AO85" i="16"/>
  <c r="AO86" i="16"/>
  <c r="AO87" i="16"/>
  <c r="AO88" i="16"/>
  <c r="AO89" i="16"/>
  <c r="AO90" i="16"/>
  <c r="AO91" i="16"/>
  <c r="AO92" i="16"/>
  <c r="AO93" i="16"/>
  <c r="AO94" i="16"/>
  <c r="AO95" i="16"/>
  <c r="AO82" i="16"/>
  <c r="AZ83" i="16"/>
  <c r="AZ84" i="16"/>
  <c r="AZ85" i="16"/>
  <c r="AZ86" i="16"/>
  <c r="AZ87" i="16"/>
  <c r="AZ88" i="16"/>
  <c r="AZ89" i="16"/>
  <c r="AZ90" i="16"/>
  <c r="AZ91" i="16"/>
  <c r="AZ92" i="16"/>
  <c r="AZ93" i="16"/>
  <c r="AZ94" i="16"/>
  <c r="AZ95" i="16"/>
  <c r="AZ82" i="16"/>
  <c r="CK52" i="5"/>
  <c r="BB49" i="5"/>
  <c r="BA49" i="5"/>
  <c r="CL49" i="5"/>
  <c r="CK49" i="5"/>
  <c r="CK50" i="5"/>
  <c r="E53" i="2" l="1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16" i="2"/>
  <c r="D81" i="2"/>
  <c r="D77" i="2"/>
  <c r="D73" i="2"/>
  <c r="D74" i="2"/>
  <c r="N59" i="2"/>
  <c r="N60" i="2"/>
  <c r="N61" i="2"/>
  <c r="N63" i="2"/>
  <c r="N64" i="2"/>
  <c r="N65" i="2"/>
  <c r="N66" i="2"/>
  <c r="N58" i="2"/>
  <c r="DD17" i="2" l="1"/>
  <c r="DH17" i="2"/>
  <c r="CF17" i="2"/>
  <c r="DE17" i="2"/>
  <c r="CC17" i="2"/>
  <c r="CG17" i="2"/>
  <c r="DF17" i="2"/>
  <c r="DC17" i="2"/>
  <c r="CD17" i="2"/>
  <c r="DG17" i="2"/>
  <c r="CE17" i="2"/>
  <c r="CH17" i="2"/>
  <c r="BV12" i="10"/>
  <c r="BU12" i="10" l="1"/>
  <c r="BQ12" i="10"/>
  <c r="BJ12" i="10"/>
  <c r="BF12" i="10"/>
  <c r="BG12" i="10"/>
  <c r="BO12" i="10"/>
  <c r="BT12" i="10"/>
  <c r="BI12" i="10"/>
  <c r="BD12" i="10"/>
  <c r="BS12" i="10"/>
  <c r="BL12" i="10"/>
  <c r="BH12" i="10"/>
  <c r="BR12" i="10"/>
  <c r="BW12" i="10"/>
  <c r="BK12" i="10"/>
  <c r="M42" i="11"/>
  <c r="AY12" i="10" l="1"/>
  <c r="DC18" i="7"/>
  <c r="BC72" i="5"/>
  <c r="F104" i="2"/>
  <c r="K67" i="2"/>
  <c r="H67" i="2"/>
  <c r="D54" i="2"/>
  <c r="G46" i="2"/>
  <c r="S20" i="6"/>
  <c r="S15" i="6"/>
  <c r="P15" i="6"/>
  <c r="F91" i="17"/>
  <c r="M91" i="17"/>
  <c r="D109" i="17"/>
  <c r="D23" i="11"/>
  <c r="M61" i="11"/>
  <c r="DD19" i="2" l="1"/>
  <c r="DH19" i="2"/>
  <c r="CF19" i="2"/>
  <c r="DE19" i="2"/>
  <c r="CC19" i="2"/>
  <c r="CG19" i="2"/>
  <c r="DF19" i="2"/>
  <c r="DG19" i="2"/>
  <c r="CH19" i="2"/>
  <c r="CD19" i="2"/>
  <c r="DC19" i="2"/>
  <c r="CE19" i="2"/>
  <c r="DH20" i="2"/>
  <c r="DF20" i="2"/>
  <c r="CD20" i="2"/>
  <c r="CH20" i="2"/>
  <c r="DC20" i="2"/>
  <c r="DG20" i="2"/>
  <c r="CE20" i="2"/>
  <c r="DD20" i="2"/>
  <c r="DE20" i="2"/>
  <c r="CC20" i="2"/>
  <c r="CF20" i="2"/>
  <c r="CG20" i="2"/>
  <c r="DC33" i="2"/>
  <c r="DG33" i="2"/>
  <c r="CE33" i="2"/>
  <c r="CG33" i="2"/>
  <c r="DF33" i="2"/>
  <c r="CH33" i="2"/>
  <c r="DD33" i="2"/>
  <c r="DH33" i="2"/>
  <c r="CF33" i="2"/>
  <c r="DE33" i="2"/>
  <c r="CC33" i="2"/>
  <c r="CD33" i="2"/>
  <c r="CV90" i="7"/>
  <c r="DM90" i="7"/>
  <c r="CU90" i="7"/>
  <c r="DP90" i="7"/>
  <c r="DO90" i="7"/>
  <c r="CH37" i="7"/>
  <c r="CG37" i="7"/>
  <c r="CJ37" i="7"/>
  <c r="DB37" i="7"/>
  <c r="DA37" i="7"/>
  <c r="DF37" i="7"/>
  <c r="CL37" i="7"/>
  <c r="DD37" i="7"/>
  <c r="CR19" i="7"/>
  <c r="DL19" i="7"/>
  <c r="CK19" i="7"/>
  <c r="DK19" i="7"/>
  <c r="DE19" i="7"/>
  <c r="CQ19" i="7"/>
  <c r="CI19" i="7"/>
  <c r="DC19" i="7"/>
  <c r="CK91" i="7"/>
  <c r="CR91" i="7"/>
  <c r="CI91" i="7"/>
  <c r="CQ91" i="7"/>
  <c r="DE91" i="7"/>
  <c r="DC91" i="7"/>
  <c r="CQ108" i="7"/>
  <c r="DE108" i="7"/>
  <c r="CR108" i="7"/>
  <c r="CI108" i="7"/>
  <c r="DC108" i="7"/>
  <c r="CK108" i="7"/>
  <c r="CJ19" i="7"/>
  <c r="DA19" i="7"/>
  <c r="CL19" i="7"/>
  <c r="DF19" i="7"/>
  <c r="DB19" i="7"/>
  <c r="CG19" i="7"/>
  <c r="DD19" i="7"/>
  <c r="CH19" i="7"/>
  <c r="CK34" i="7"/>
  <c r="CR34" i="7"/>
  <c r="CQ34" i="7"/>
  <c r="CI34" i="7"/>
  <c r="DL34" i="7"/>
  <c r="DE34" i="7"/>
  <c r="DK34" i="7"/>
  <c r="DC34" i="7"/>
  <c r="CL38" i="7"/>
  <c r="CJ38" i="7"/>
  <c r="DF38" i="7"/>
  <c r="DD38" i="7"/>
  <c r="CG38" i="7"/>
  <c r="DB38" i="7"/>
  <c r="CH38" i="7"/>
  <c r="DA38" i="7"/>
  <c r="CQ37" i="7"/>
  <c r="CI37" i="7"/>
  <c r="CK37" i="7"/>
  <c r="DK37" i="7"/>
  <c r="DC37" i="7"/>
  <c r="CR37" i="7"/>
  <c r="DL37" i="7"/>
  <c r="DE37" i="7"/>
  <c r="CQ92" i="7"/>
  <c r="DE92" i="7"/>
  <c r="DC92" i="7"/>
  <c r="CR92" i="7"/>
  <c r="CK92" i="7"/>
  <c r="CI92" i="7"/>
  <c r="CH108" i="7"/>
  <c r="CG108" i="7"/>
  <c r="DF108" i="7"/>
  <c r="CL108" i="7"/>
  <c r="DA108" i="7"/>
  <c r="DB108" i="7"/>
  <c r="DD108" i="7"/>
  <c r="CJ108" i="7"/>
  <c r="CL34" i="7"/>
  <c r="CJ34" i="7"/>
  <c r="DD34" i="7"/>
  <c r="DF34" i="7"/>
  <c r="DB34" i="7"/>
  <c r="DA34" i="7"/>
  <c r="CH34" i="7"/>
  <c r="CG34" i="7"/>
  <c r="DK52" i="7"/>
  <c r="CK52" i="7"/>
  <c r="CR52" i="7"/>
  <c r="CQ52" i="7"/>
  <c r="CI52" i="7"/>
  <c r="DL52" i="7"/>
  <c r="DE52" i="7"/>
  <c r="DC52" i="7"/>
  <c r="CH92" i="7"/>
  <c r="DA92" i="7"/>
  <c r="CG92" i="7"/>
  <c r="DF92" i="7"/>
  <c r="CL92" i="7"/>
  <c r="DB92" i="7"/>
  <c r="CJ92" i="7"/>
  <c r="DD92" i="7"/>
  <c r="CL91" i="7"/>
  <c r="DB91" i="7"/>
  <c r="DA91" i="7"/>
  <c r="CJ91" i="7"/>
  <c r="CH91" i="7"/>
  <c r="DF91" i="7"/>
  <c r="CG91" i="7"/>
  <c r="DD91" i="7"/>
  <c r="CQ35" i="7"/>
  <c r="CI35" i="7"/>
  <c r="DK35" i="7"/>
  <c r="DC35" i="7"/>
  <c r="CK35" i="7"/>
  <c r="DL35" i="7"/>
  <c r="DE35" i="7"/>
  <c r="CR35" i="7"/>
  <c r="CL52" i="7"/>
  <c r="CJ52" i="7"/>
  <c r="CG52" i="7"/>
  <c r="DD52" i="7"/>
  <c r="DF52" i="7"/>
  <c r="DB52" i="7"/>
  <c r="CH52" i="7"/>
  <c r="DA52" i="7"/>
  <c r="CK89" i="7"/>
  <c r="DE89" i="7"/>
  <c r="CI89" i="7"/>
  <c r="DC89" i="7"/>
  <c r="CK93" i="7"/>
  <c r="CR93" i="7"/>
  <c r="CI93" i="7"/>
  <c r="DE93" i="7"/>
  <c r="CQ93" i="7"/>
  <c r="DC93" i="7"/>
  <c r="CK38" i="7"/>
  <c r="CR38" i="7"/>
  <c r="CQ38" i="7"/>
  <c r="CI38" i="7"/>
  <c r="DL38" i="7"/>
  <c r="DE38" i="7"/>
  <c r="DK38" i="7"/>
  <c r="DC38" i="7"/>
  <c r="CH35" i="7"/>
  <c r="CG35" i="7"/>
  <c r="CL35" i="7"/>
  <c r="DB35" i="7"/>
  <c r="CJ35" i="7"/>
  <c r="DA35" i="7"/>
  <c r="DF35" i="7"/>
  <c r="DD35" i="7"/>
  <c r="CO90" i="7"/>
  <c r="CN90" i="7"/>
  <c r="DI90" i="7"/>
  <c r="CM90" i="7"/>
  <c r="DH90" i="7"/>
  <c r="DG90" i="7"/>
  <c r="CS90" i="7"/>
  <c r="CL93" i="7"/>
  <c r="CJ93" i="7"/>
  <c r="DF93" i="7"/>
  <c r="CH93" i="7"/>
  <c r="DD93" i="7"/>
  <c r="DB93" i="7"/>
  <c r="DA93" i="7"/>
  <c r="CG93" i="7"/>
  <c r="CK36" i="7"/>
  <c r="CR36" i="7"/>
  <c r="CQ36" i="7"/>
  <c r="CI36" i="7"/>
  <c r="DL36" i="7"/>
  <c r="DE36" i="7"/>
  <c r="DK36" i="7"/>
  <c r="DC36" i="7"/>
  <c r="DJ18" i="7"/>
  <c r="CK18" i="7"/>
  <c r="DK18" i="7"/>
  <c r="CR18" i="7"/>
  <c r="DL18" i="7"/>
  <c r="CI18" i="7"/>
  <c r="CQ18" i="7"/>
  <c r="CQ90" i="7"/>
  <c r="DC90" i="7"/>
  <c r="CR90" i="7"/>
  <c r="CK90" i="7"/>
  <c r="CI90" i="7"/>
  <c r="DE90" i="7"/>
  <c r="CQ94" i="7"/>
  <c r="DE94" i="7"/>
  <c r="DC94" i="7"/>
  <c r="CR94" i="7"/>
  <c r="CK94" i="7"/>
  <c r="CI94" i="7"/>
  <c r="DC33" i="7"/>
  <c r="CK33" i="7"/>
  <c r="CI33" i="7"/>
  <c r="DE33" i="7"/>
  <c r="CL36" i="7"/>
  <c r="CJ36" i="7"/>
  <c r="DF36" i="7"/>
  <c r="DD36" i="7"/>
  <c r="CH36" i="7"/>
  <c r="DB36" i="7"/>
  <c r="DA36" i="7"/>
  <c r="CG36" i="7"/>
  <c r="CG18" i="7"/>
  <c r="DF18" i="7"/>
  <c r="DB18" i="7"/>
  <c r="CH18" i="7"/>
  <c r="CJ18" i="7"/>
  <c r="DD18" i="7"/>
  <c r="CL18" i="7"/>
  <c r="DA18" i="7"/>
  <c r="CH90" i="7"/>
  <c r="CG90" i="7"/>
  <c r="DB90" i="7"/>
  <c r="DA90" i="7"/>
  <c r="CL90" i="7"/>
  <c r="DF90" i="7"/>
  <c r="DD90" i="7"/>
  <c r="CJ90" i="7"/>
  <c r="CH94" i="7"/>
  <c r="CG94" i="7"/>
  <c r="DF94" i="7"/>
  <c r="DD94" i="7"/>
  <c r="CL94" i="7"/>
  <c r="DB94" i="7"/>
  <c r="CJ94" i="7"/>
  <c r="DA94" i="7"/>
  <c r="BS13" i="10"/>
  <c r="BH13" i="10"/>
  <c r="BR13" i="10"/>
  <c r="BG13" i="10"/>
  <c r="BJ13" i="10"/>
  <c r="BT13" i="10"/>
  <c r="BQ13" i="10"/>
  <c r="BF13" i="10"/>
  <c r="BL13" i="10"/>
  <c r="BV13" i="10"/>
  <c r="BI13" i="10"/>
  <c r="BO13" i="10"/>
  <c r="BD13" i="10"/>
  <c r="BW13" i="10"/>
  <c r="BK13" i="10"/>
  <c r="BU13" i="10"/>
  <c r="CM64" i="5"/>
  <c r="BC64" i="5"/>
  <c r="CM65" i="5"/>
  <c r="BC65" i="5"/>
  <c r="CM49" i="5"/>
  <c r="BC49" i="5"/>
  <c r="CM71" i="5"/>
  <c r="BC71" i="5"/>
  <c r="CM72" i="5"/>
  <c r="BC62" i="5"/>
  <c r="CM62" i="5"/>
  <c r="BC73" i="5"/>
  <c r="CM73" i="5"/>
  <c r="CM63" i="5"/>
  <c r="BC63" i="5"/>
  <c r="CM74" i="5"/>
  <c r="BC74" i="5"/>
  <c r="CF38" i="4"/>
  <c r="CN38" i="4"/>
  <c r="S21" i="6"/>
  <c r="DE18" i="7"/>
  <c r="AL83" i="16"/>
  <c r="CV74" i="7" l="1"/>
  <c r="DG74" i="7"/>
  <c r="DH74" i="7"/>
  <c r="DI74" i="7"/>
  <c r="CM74" i="7"/>
  <c r="CN74" i="7"/>
  <c r="DM74" i="7"/>
  <c r="CO74" i="7"/>
  <c r="DP74" i="7"/>
  <c r="CS74" i="7"/>
  <c r="CU74" i="7"/>
  <c r="DO74" i="7"/>
  <c r="DM108" i="7"/>
  <c r="CU108" i="7"/>
  <c r="DP108" i="7"/>
  <c r="DO108" i="7"/>
  <c r="CV108" i="7"/>
  <c r="CO75" i="7"/>
  <c r="CU75" i="7"/>
  <c r="DG75" i="7"/>
  <c r="CV75" i="7"/>
  <c r="DH75" i="7"/>
  <c r="DI75" i="7"/>
  <c r="CS75" i="7"/>
  <c r="DM75" i="7"/>
  <c r="DP75" i="7"/>
  <c r="CM75" i="7"/>
  <c r="CN75" i="7"/>
  <c r="DO75" i="7"/>
  <c r="DP93" i="7"/>
  <c r="DO93" i="7"/>
  <c r="CU93" i="7"/>
  <c r="CV93" i="7"/>
  <c r="DM93" i="7"/>
  <c r="AW90" i="7"/>
  <c r="CU91" i="7"/>
  <c r="CV91" i="7"/>
  <c r="DM91" i="7"/>
  <c r="DP91" i="7"/>
  <c r="DO91" i="7"/>
  <c r="DP92" i="7"/>
  <c r="DO92" i="7"/>
  <c r="CU92" i="7"/>
  <c r="CV92" i="7"/>
  <c r="DM92" i="7"/>
  <c r="DM94" i="7"/>
  <c r="CV94" i="7"/>
  <c r="DP94" i="7"/>
  <c r="DO94" i="7"/>
  <c r="CU94" i="7"/>
  <c r="DG18" i="7"/>
  <c r="AY13" i="10"/>
  <c r="AW83" i="16"/>
  <c r="DH18" i="7"/>
  <c r="DI92" i="7"/>
  <c r="CO92" i="7"/>
  <c r="DH92" i="7"/>
  <c r="CN92" i="7"/>
  <c r="DG92" i="7"/>
  <c r="CM92" i="7"/>
  <c r="CS92" i="7"/>
  <c r="CN18" i="7"/>
  <c r="CO18" i="7"/>
  <c r="CP18" i="7"/>
  <c r="CM18" i="7"/>
  <c r="DH93" i="7"/>
  <c r="DG93" i="7"/>
  <c r="CS93" i="7"/>
  <c r="DI93" i="7"/>
  <c r="CN93" i="7"/>
  <c r="CM93" i="7"/>
  <c r="CO93" i="7"/>
  <c r="CM34" i="7"/>
  <c r="DG34" i="7"/>
  <c r="CP34" i="7"/>
  <c r="CN34" i="7"/>
  <c r="DJ34" i="7"/>
  <c r="DH34" i="7"/>
  <c r="CO34" i="7"/>
  <c r="DI34" i="7"/>
  <c r="CO108" i="7"/>
  <c r="CN108" i="7"/>
  <c r="DG108" i="7"/>
  <c r="CM108" i="7"/>
  <c r="DH108" i="7"/>
  <c r="DI108" i="7"/>
  <c r="CS108" i="7"/>
  <c r="DG19" i="7"/>
  <c r="DH19" i="7"/>
  <c r="CO19" i="7"/>
  <c r="DJ19" i="7"/>
  <c r="CN19" i="7"/>
  <c r="DI19" i="7"/>
  <c r="CM19" i="7"/>
  <c r="CP19" i="7"/>
  <c r="CP37" i="7"/>
  <c r="CO37" i="7"/>
  <c r="CN37" i="7"/>
  <c r="CM37" i="7"/>
  <c r="DH37" i="7"/>
  <c r="DJ37" i="7"/>
  <c r="DI37" i="7"/>
  <c r="DG37" i="7"/>
  <c r="CP35" i="7"/>
  <c r="CO35" i="7"/>
  <c r="CN35" i="7"/>
  <c r="CM35" i="7"/>
  <c r="DH35" i="7"/>
  <c r="DJ35" i="7"/>
  <c r="DI35" i="7"/>
  <c r="DG35" i="7"/>
  <c r="DG94" i="7"/>
  <c r="CO94" i="7"/>
  <c r="CN94" i="7"/>
  <c r="CM94" i="7"/>
  <c r="DH94" i="7"/>
  <c r="CS94" i="7"/>
  <c r="DI94" i="7"/>
  <c r="CM52" i="7"/>
  <c r="DJ52" i="7"/>
  <c r="DI52" i="7"/>
  <c r="DH52" i="7"/>
  <c r="DG52" i="7"/>
  <c r="CO52" i="7"/>
  <c r="CN52" i="7"/>
  <c r="CP52" i="7"/>
  <c r="CM38" i="7"/>
  <c r="DG38" i="7"/>
  <c r="CP38" i="7"/>
  <c r="CO38" i="7"/>
  <c r="CN38" i="7"/>
  <c r="DJ38" i="7"/>
  <c r="DH38" i="7"/>
  <c r="DI38" i="7"/>
  <c r="DI18" i="7"/>
  <c r="CM36" i="7"/>
  <c r="DG36" i="7"/>
  <c r="CO36" i="7"/>
  <c r="CP36" i="7"/>
  <c r="DJ36" i="7"/>
  <c r="DI36" i="7"/>
  <c r="CN36" i="7"/>
  <c r="DH36" i="7"/>
  <c r="DI91" i="7"/>
  <c r="CS91" i="7"/>
  <c r="DH91" i="7"/>
  <c r="DG91" i="7"/>
  <c r="CO91" i="7"/>
  <c r="CN91" i="7"/>
  <c r="CM91" i="7"/>
  <c r="BT15" i="10"/>
  <c r="BD15" i="10"/>
  <c r="BU15" i="10"/>
  <c r="BH15" i="10"/>
  <c r="BK15" i="10"/>
  <c r="BW15" i="10"/>
  <c r="BG15" i="10"/>
  <c r="BL15" i="10"/>
  <c r="BV15" i="10"/>
  <c r="BI15" i="10"/>
  <c r="BR15" i="10"/>
  <c r="BF15" i="10"/>
  <c r="BO15" i="10"/>
  <c r="BJ15" i="10"/>
  <c r="BQ15" i="10"/>
  <c r="BS15" i="10"/>
  <c r="CD38" i="4"/>
  <c r="CL38" i="4"/>
  <c r="B5" i="2"/>
  <c r="B4" i="2"/>
  <c r="B3" i="2"/>
  <c r="B2" i="2"/>
  <c r="R17" i="18"/>
  <c r="CG45" i="2"/>
  <c r="CE45" i="2"/>
  <c r="CG44" i="2"/>
  <c r="CE44" i="2"/>
  <c r="CG43" i="2"/>
  <c r="CE43" i="2"/>
  <c r="CG42" i="2"/>
  <c r="CE42" i="2"/>
  <c r="CG41" i="2"/>
  <c r="CE41" i="2"/>
  <c r="CG40" i="2"/>
  <c r="CE40" i="2"/>
  <c r="CG39" i="2"/>
  <c r="CE39" i="2"/>
  <c r="CG38" i="2"/>
  <c r="CE38" i="2"/>
  <c r="CG37" i="2"/>
  <c r="CE37" i="2"/>
  <c r="S7" i="16"/>
  <c r="Q19" i="16"/>
  <c r="Q23" i="16"/>
  <c r="AN95" i="16"/>
  <c r="AM95" i="16"/>
  <c r="AN94" i="16"/>
  <c r="AM94" i="16"/>
  <c r="AN93" i="16"/>
  <c r="AM93" i="16"/>
  <c r="AN92" i="16"/>
  <c r="AM92" i="16"/>
  <c r="AN91" i="16"/>
  <c r="AM91" i="16"/>
  <c r="AN90" i="16"/>
  <c r="AM90" i="16"/>
  <c r="AN89" i="16"/>
  <c r="AM89" i="16"/>
  <c r="AN88" i="16"/>
  <c r="AM88" i="16"/>
  <c r="AN87" i="16"/>
  <c r="AM87" i="16"/>
  <c r="AN86" i="16"/>
  <c r="AM86" i="16"/>
  <c r="AN85" i="16"/>
  <c r="AM85" i="16"/>
  <c r="AN84" i="16"/>
  <c r="AM84" i="16"/>
  <c r="AN83" i="16"/>
  <c r="AM83" i="16"/>
  <c r="AN82" i="16"/>
  <c r="AM82" i="16"/>
  <c r="BB68" i="5"/>
  <c r="BA68" i="5"/>
  <c r="BB67" i="5"/>
  <c r="BA67" i="5"/>
  <c r="BB60" i="5"/>
  <c r="BA60" i="5"/>
  <c r="BB56" i="5"/>
  <c r="BA56" i="5"/>
  <c r="BB55" i="5"/>
  <c r="BA55" i="5"/>
  <c r="BB54" i="5"/>
  <c r="BA54" i="5"/>
  <c r="BB51" i="5"/>
  <c r="BA51" i="5"/>
  <c r="BB50" i="5"/>
  <c r="BA50" i="5"/>
  <c r="BB48" i="5"/>
  <c r="BA48" i="5"/>
  <c r="BB47" i="5"/>
  <c r="BA47" i="5"/>
  <c r="BB46" i="5"/>
  <c r="BA46" i="5"/>
  <c r="BC44" i="5"/>
  <c r="CJ40" i="5"/>
  <c r="CI40" i="5"/>
  <c r="CH40" i="5"/>
  <c r="CG40" i="5"/>
  <c r="CF40" i="5"/>
  <c r="CE40" i="5"/>
  <c r="CD40" i="5"/>
  <c r="CC40" i="5"/>
  <c r="CB40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CJ39" i="5"/>
  <c r="CI39" i="5"/>
  <c r="CH39" i="5"/>
  <c r="CG39" i="5"/>
  <c r="CF39" i="5"/>
  <c r="CE39" i="5"/>
  <c r="CD39" i="5"/>
  <c r="CC39" i="5"/>
  <c r="CB39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CJ38" i="5"/>
  <c r="CI38" i="5"/>
  <c r="CH38" i="5"/>
  <c r="CG38" i="5"/>
  <c r="CF38" i="5"/>
  <c r="CE38" i="5"/>
  <c r="CD38" i="5"/>
  <c r="CC38" i="5"/>
  <c r="CB38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CH37" i="5"/>
  <c r="CG37" i="5"/>
  <c r="CF37" i="5"/>
  <c r="CE37" i="5"/>
  <c r="CD37" i="5"/>
  <c r="CC37" i="5"/>
  <c r="CB37" i="5"/>
  <c r="CA37" i="5"/>
  <c r="BZ37" i="5"/>
  <c r="BY37" i="5"/>
  <c r="BX37" i="5"/>
  <c r="BW37" i="5"/>
  <c r="BV37" i="5"/>
  <c r="BU37" i="5"/>
  <c r="BT37" i="5"/>
  <c r="BS37" i="5"/>
  <c r="BR37" i="5"/>
  <c r="BQ37" i="5"/>
  <c r="BP37" i="5"/>
  <c r="BO37" i="5"/>
  <c r="BN37" i="5"/>
  <c r="BM37" i="5"/>
  <c r="BL37" i="5"/>
  <c r="BK37" i="5"/>
  <c r="BJ37" i="5"/>
  <c r="BI37" i="5"/>
  <c r="CJ35" i="5"/>
  <c r="CI35" i="5"/>
  <c r="CH35" i="5"/>
  <c r="CG35" i="5"/>
  <c r="CF35" i="5"/>
  <c r="CE35" i="5"/>
  <c r="CD35" i="5"/>
  <c r="CC35" i="5"/>
  <c r="CB35" i="5"/>
  <c r="CA35" i="5"/>
  <c r="BZ35" i="5"/>
  <c r="BY35" i="5"/>
  <c r="BX35" i="5"/>
  <c r="BW35" i="5"/>
  <c r="BV35" i="5"/>
  <c r="BU35" i="5"/>
  <c r="BT35" i="5"/>
  <c r="BS35" i="5"/>
  <c r="BR35" i="5"/>
  <c r="BQ35" i="5"/>
  <c r="BP35" i="5"/>
  <c r="BO35" i="5"/>
  <c r="BN35" i="5"/>
  <c r="BM35" i="5"/>
  <c r="BL35" i="5"/>
  <c r="BK35" i="5"/>
  <c r="BJ35" i="5"/>
  <c r="BI35" i="5"/>
  <c r="CJ33" i="5"/>
  <c r="CI33" i="5"/>
  <c r="CH33" i="5"/>
  <c r="CG33" i="5"/>
  <c r="CF33" i="5"/>
  <c r="CE33" i="5"/>
  <c r="CD33" i="5"/>
  <c r="CC33" i="5"/>
  <c r="CB33" i="5"/>
  <c r="CA33" i="5"/>
  <c r="BZ33" i="5"/>
  <c r="BY33" i="5"/>
  <c r="BX33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CC19" i="4"/>
  <c r="CC18" i="4"/>
  <c r="CC17" i="4"/>
  <c r="CC16" i="4"/>
  <c r="CC15" i="4"/>
  <c r="CC14" i="4"/>
  <c r="CC13" i="4"/>
  <c r="CC12" i="4"/>
  <c r="CL123" i="17"/>
  <c r="CK123" i="17"/>
  <c r="CJ123" i="17"/>
  <c r="CI123" i="17"/>
  <c r="CH123" i="17"/>
  <c r="CG123" i="17"/>
  <c r="CL122" i="17"/>
  <c r="CK122" i="17"/>
  <c r="CJ122" i="17"/>
  <c r="CI122" i="17"/>
  <c r="CH122" i="17"/>
  <c r="CG122" i="17"/>
  <c r="CQ117" i="17"/>
  <c r="CP117" i="17"/>
  <c r="CO117" i="17"/>
  <c r="CQ116" i="17"/>
  <c r="CP116" i="17"/>
  <c r="CO116" i="17"/>
  <c r="CQ115" i="17"/>
  <c r="CP115" i="17"/>
  <c r="CO115" i="17"/>
  <c r="CQ114" i="17"/>
  <c r="CP114" i="17"/>
  <c r="CO114" i="17"/>
  <c r="CH79" i="17"/>
  <c r="CG79" i="17"/>
  <c r="CH78" i="17"/>
  <c r="CG78" i="17"/>
  <c r="CH77" i="17"/>
  <c r="CG77" i="17"/>
  <c r="CH76" i="17"/>
  <c r="CG76" i="17"/>
  <c r="CH75" i="17"/>
  <c r="CG75" i="17"/>
  <c r="CB103" i="2"/>
  <c r="G103" i="2" s="1"/>
  <c r="CB102" i="2"/>
  <c r="G102" i="2" s="1"/>
  <c r="CB101" i="2"/>
  <c r="G101" i="2" s="1"/>
  <c r="CB100" i="2"/>
  <c r="G100" i="2" s="1"/>
  <c r="CB99" i="2"/>
  <c r="G99" i="2" s="1"/>
  <c r="CB98" i="2"/>
  <c r="G98" i="2" s="1"/>
  <c r="CB97" i="2"/>
  <c r="G97" i="2" s="1"/>
  <c r="CB96" i="2"/>
  <c r="G96" i="2" s="1"/>
  <c r="CB95" i="2"/>
  <c r="G95" i="2" s="1"/>
  <c r="CB80" i="2"/>
  <c r="D80" i="2" s="1"/>
  <c r="CB79" i="2"/>
  <c r="D79" i="2" s="1"/>
  <c r="CB78" i="2"/>
  <c r="D78" i="2" s="1"/>
  <c r="CD45" i="2"/>
  <c r="CC45" i="2"/>
  <c r="CB45" i="2"/>
  <c r="CD44" i="2"/>
  <c r="CC44" i="2"/>
  <c r="CB44" i="2"/>
  <c r="CD43" i="2"/>
  <c r="CC43" i="2"/>
  <c r="CB43" i="2"/>
  <c r="CD42" i="2"/>
  <c r="CC42" i="2"/>
  <c r="CB42" i="2"/>
  <c r="CD41" i="2"/>
  <c r="CC41" i="2"/>
  <c r="CB41" i="2"/>
  <c r="CD40" i="2"/>
  <c r="CC40" i="2"/>
  <c r="CB40" i="2"/>
  <c r="CD39" i="2"/>
  <c r="CC39" i="2"/>
  <c r="CB39" i="2"/>
  <c r="CD38" i="2"/>
  <c r="CC38" i="2"/>
  <c r="CB38" i="2"/>
  <c r="CD37" i="2"/>
  <c r="CC37" i="2"/>
  <c r="CB37" i="2"/>
  <c r="I6" i="1"/>
  <c r="AG6" i="1" s="1"/>
  <c r="I5" i="1"/>
  <c r="AG5" i="1" s="1"/>
  <c r="I2" i="1"/>
  <c r="AY95" i="16"/>
  <c r="AX95" i="16"/>
  <c r="AY94" i="16"/>
  <c r="AX94" i="16"/>
  <c r="AY93" i="16"/>
  <c r="AX93" i="16"/>
  <c r="AY92" i="16"/>
  <c r="AX92" i="16"/>
  <c r="AY91" i="16"/>
  <c r="AX91" i="16"/>
  <c r="AY90" i="16"/>
  <c r="AX90" i="16"/>
  <c r="AY89" i="16"/>
  <c r="AX89" i="16"/>
  <c r="AY88" i="16"/>
  <c r="AX88" i="16"/>
  <c r="AY87" i="16"/>
  <c r="AX87" i="16"/>
  <c r="AY86" i="16"/>
  <c r="AX86" i="16"/>
  <c r="AY85" i="16"/>
  <c r="AX85" i="16"/>
  <c r="AY84" i="16"/>
  <c r="AX84" i="16"/>
  <c r="AY83" i="16"/>
  <c r="AX83" i="16"/>
  <c r="AY82" i="16"/>
  <c r="AX82" i="16"/>
  <c r="DG37" i="2"/>
  <c r="CX27" i="5"/>
  <c r="CW27" i="5"/>
  <c r="CL68" i="5"/>
  <c r="CK68" i="5"/>
  <c r="DB103" i="2"/>
  <c r="DB102" i="2"/>
  <c r="DB101" i="2"/>
  <c r="DB100" i="2"/>
  <c r="DB99" i="2"/>
  <c r="DB98" i="2"/>
  <c r="DB97" i="2"/>
  <c r="DB96" i="2"/>
  <c r="DB95" i="2"/>
  <c r="DG45" i="2"/>
  <c r="DG44" i="2"/>
  <c r="DG43" i="2"/>
  <c r="DG42" i="2"/>
  <c r="DG41" i="2"/>
  <c r="DG40" i="2"/>
  <c r="DG39" i="2"/>
  <c r="DG38" i="2"/>
  <c r="DB37" i="2"/>
  <c r="DC37" i="2"/>
  <c r="DD37" i="2"/>
  <c r="DE37" i="2"/>
  <c r="DB38" i="2"/>
  <c r="DC38" i="2"/>
  <c r="DD38" i="2"/>
  <c r="DE38" i="2"/>
  <c r="DB39" i="2"/>
  <c r="DC39" i="2"/>
  <c r="DD39" i="2"/>
  <c r="DE39" i="2"/>
  <c r="DB40" i="2"/>
  <c r="DC40" i="2"/>
  <c r="DD40" i="2"/>
  <c r="DE40" i="2"/>
  <c r="DB41" i="2"/>
  <c r="DC41" i="2"/>
  <c r="DD41" i="2"/>
  <c r="DE41" i="2"/>
  <c r="DB42" i="2"/>
  <c r="DC42" i="2"/>
  <c r="DD42" i="2"/>
  <c r="DE42" i="2"/>
  <c r="DB43" i="2"/>
  <c r="DC43" i="2"/>
  <c r="DD43" i="2"/>
  <c r="DE43" i="2"/>
  <c r="DB44" i="2"/>
  <c r="DC44" i="2"/>
  <c r="DD44" i="2"/>
  <c r="DE44" i="2"/>
  <c r="DB45" i="2"/>
  <c r="DC45" i="2"/>
  <c r="DD45" i="2"/>
  <c r="DE45" i="2"/>
  <c r="D13" i="12"/>
  <c r="I40" i="16"/>
  <c r="H40" i="16"/>
  <c r="AY57" i="16"/>
  <c r="AO68" i="16"/>
  <c r="BQ22" i="10"/>
  <c r="E61" i="11"/>
  <c r="L42" i="11"/>
  <c r="K42" i="11"/>
  <c r="J42" i="11"/>
  <c r="I42" i="11"/>
  <c r="H42" i="11"/>
  <c r="G42" i="11"/>
  <c r="F42" i="11"/>
  <c r="E42" i="11"/>
  <c r="D42" i="11"/>
  <c r="C23" i="11"/>
  <c r="Q17" i="18"/>
  <c r="P17" i="18"/>
  <c r="O17" i="18"/>
  <c r="N17" i="18"/>
  <c r="M17" i="18"/>
  <c r="L17" i="18"/>
  <c r="K17" i="18"/>
  <c r="J17" i="18"/>
  <c r="I17" i="18"/>
  <c r="H17" i="18"/>
  <c r="G17" i="18"/>
  <c r="E104" i="2"/>
  <c r="D104" i="2"/>
  <c r="DC86" i="2"/>
  <c r="F92" i="2"/>
  <c r="G92" i="2"/>
  <c r="H92" i="2"/>
  <c r="I92" i="2"/>
  <c r="J92" i="2"/>
  <c r="K92" i="2"/>
  <c r="CB71" i="2"/>
  <c r="D71" i="2" s="1"/>
  <c r="BC67" i="5"/>
  <c r="B5" i="18"/>
  <c r="B4" i="18"/>
  <c r="B3" i="18"/>
  <c r="B2" i="18"/>
  <c r="DC91" i="2"/>
  <c r="CC90" i="2"/>
  <c r="DD89" i="2"/>
  <c r="CE89" i="2"/>
  <c r="CE88" i="2"/>
  <c r="DC87" i="2"/>
  <c r="DE89" i="2"/>
  <c r="CC89" i="2"/>
  <c r="DB89" i="2"/>
  <c r="CD89" i="2"/>
  <c r="DF122" i="17"/>
  <c r="DG122" i="17"/>
  <c r="DH122" i="17"/>
  <c r="DI122" i="17"/>
  <c r="DJ122" i="17"/>
  <c r="DK122" i="17"/>
  <c r="DF123" i="17"/>
  <c r="DG123" i="17"/>
  <c r="DH123" i="17"/>
  <c r="DI123" i="17"/>
  <c r="DJ123" i="17"/>
  <c r="DK123" i="17"/>
  <c r="DK114" i="17"/>
  <c r="DL114" i="17"/>
  <c r="DM114" i="17"/>
  <c r="DK115" i="17"/>
  <c r="DL115" i="17"/>
  <c r="DM115" i="17"/>
  <c r="DK116" i="17"/>
  <c r="DL116" i="17"/>
  <c r="DM116" i="17"/>
  <c r="DK117" i="17"/>
  <c r="DL117" i="17"/>
  <c r="DM117" i="17"/>
  <c r="CB50" i="2"/>
  <c r="E50" i="2" s="1"/>
  <c r="DF99" i="7"/>
  <c r="R19" i="16"/>
  <c r="O19" i="16"/>
  <c r="N19" i="16"/>
  <c r="R16" i="16"/>
  <c r="Q16" i="16"/>
  <c r="O16" i="16"/>
  <c r="N16" i="16"/>
  <c r="L61" i="11"/>
  <c r="K61" i="11"/>
  <c r="J61" i="11"/>
  <c r="I61" i="11"/>
  <c r="H61" i="11"/>
  <c r="G61" i="11"/>
  <c r="F61" i="11"/>
  <c r="DG79" i="17"/>
  <c r="DF79" i="17"/>
  <c r="DG78" i="17"/>
  <c r="DF78" i="17"/>
  <c r="DG77" i="17"/>
  <c r="DF77" i="17"/>
  <c r="DG76" i="17"/>
  <c r="DF76" i="17"/>
  <c r="DG75" i="17"/>
  <c r="DF75" i="17"/>
  <c r="CM44" i="5"/>
  <c r="CL50" i="5"/>
  <c r="DB20" i="7"/>
  <c r="DC20" i="7"/>
  <c r="CJ77" i="7"/>
  <c r="DD97" i="7"/>
  <c r="DD96" i="7"/>
  <c r="BC68" i="5"/>
  <c r="BC50" i="5"/>
  <c r="BC46" i="5"/>
  <c r="CP36" i="5"/>
  <c r="BG36" i="5"/>
  <c r="CP33" i="5"/>
  <c r="BG33" i="5"/>
  <c r="AM28" i="5"/>
  <c r="F67" i="2"/>
  <c r="D46" i="2"/>
  <c r="AY32" i="16"/>
  <c r="I71" i="17"/>
  <c r="DD43" i="17" s="1"/>
  <c r="H71" i="17"/>
  <c r="CD43" i="17" s="1"/>
  <c r="N71" i="17"/>
  <c r="M71" i="17"/>
  <c r="L71" i="17"/>
  <c r="K71" i="17"/>
  <c r="J71" i="17"/>
  <c r="CF43" i="17" s="1"/>
  <c r="G71" i="17"/>
  <c r="CC43" i="17" s="1"/>
  <c r="F51" i="17"/>
  <c r="E51" i="17"/>
  <c r="N69" i="17"/>
  <c r="M69" i="17"/>
  <c r="L69" i="17"/>
  <c r="K69" i="17"/>
  <c r="J69" i="17"/>
  <c r="I69" i="17"/>
  <c r="H69" i="17"/>
  <c r="G69" i="17"/>
  <c r="N62" i="17"/>
  <c r="M62" i="17"/>
  <c r="L62" i="17"/>
  <c r="K62" i="17"/>
  <c r="J62" i="17"/>
  <c r="I62" i="17"/>
  <c r="H62" i="17"/>
  <c r="G62" i="17"/>
  <c r="N57" i="17"/>
  <c r="M57" i="17"/>
  <c r="L57" i="17"/>
  <c r="K57" i="17"/>
  <c r="J57" i="17"/>
  <c r="I57" i="17"/>
  <c r="H57" i="17"/>
  <c r="G57" i="17"/>
  <c r="N54" i="17"/>
  <c r="M54" i="17"/>
  <c r="L54" i="17"/>
  <c r="K54" i="17"/>
  <c r="J54" i="17"/>
  <c r="I54" i="17"/>
  <c r="H54" i="17"/>
  <c r="G54" i="17"/>
  <c r="N50" i="17"/>
  <c r="M50" i="17"/>
  <c r="L50" i="17"/>
  <c r="K50" i="17"/>
  <c r="J50" i="17"/>
  <c r="I50" i="17"/>
  <c r="H50" i="17"/>
  <c r="G50" i="17"/>
  <c r="N47" i="17"/>
  <c r="M47" i="17"/>
  <c r="L47" i="17"/>
  <c r="K47" i="17"/>
  <c r="J47" i="17"/>
  <c r="I47" i="17"/>
  <c r="H47" i="17"/>
  <c r="G47" i="17"/>
  <c r="DK118" i="17"/>
  <c r="AF36" i="6"/>
  <c r="AL36" i="6"/>
  <c r="AO30" i="16"/>
  <c r="AZ24" i="16"/>
  <c r="R40" i="16"/>
  <c r="Q40" i="16"/>
  <c r="O40" i="16"/>
  <c r="N40" i="16"/>
  <c r="L40" i="16"/>
  <c r="K40" i="16"/>
  <c r="R38" i="16"/>
  <c r="Q38" i="16"/>
  <c r="L38" i="16"/>
  <c r="E38" i="16"/>
  <c r="I38" i="16"/>
  <c r="R31" i="16"/>
  <c r="Q31" i="16"/>
  <c r="O31" i="16"/>
  <c r="N31" i="16"/>
  <c r="L31" i="16"/>
  <c r="K31" i="16"/>
  <c r="E31" i="16" s="1"/>
  <c r="I31" i="16"/>
  <c r="P23" i="16"/>
  <c r="M26" i="16"/>
  <c r="K23" i="16"/>
  <c r="G23" i="16"/>
  <c r="R26" i="16"/>
  <c r="Q26" i="16"/>
  <c r="R23" i="16"/>
  <c r="O26" i="16"/>
  <c r="N26" i="16"/>
  <c r="O23" i="16"/>
  <c r="N23" i="16"/>
  <c r="L26" i="16"/>
  <c r="K26" i="16"/>
  <c r="E26" i="16" s="1"/>
  <c r="L23" i="16"/>
  <c r="F23" i="16" s="1"/>
  <c r="I26" i="16"/>
  <c r="P19" i="16"/>
  <c r="L19" i="16"/>
  <c r="F19" i="16" s="1"/>
  <c r="L16" i="16"/>
  <c r="F16" i="16" s="1"/>
  <c r="K16" i="16"/>
  <c r="E16" i="16" s="1"/>
  <c r="AX49" i="16"/>
  <c r="AW49" i="16"/>
  <c r="AZ59" i="16"/>
  <c r="AZ71" i="16"/>
  <c r="AO70" i="16"/>
  <c r="AO69" i="16"/>
  <c r="AJ95" i="16"/>
  <c r="AJ89" i="16"/>
  <c r="AJ83" i="16"/>
  <c r="AV89" i="16"/>
  <c r="AV85" i="16"/>
  <c r="AV83" i="16"/>
  <c r="J124" i="17"/>
  <c r="CL124" i="17" s="1"/>
  <c r="I124" i="17"/>
  <c r="CK124" i="17" s="1"/>
  <c r="H124" i="17"/>
  <c r="CJ124" i="17" s="1"/>
  <c r="G124" i="17"/>
  <c r="CI124" i="17" s="1"/>
  <c r="F124" i="17"/>
  <c r="CH124" i="17" s="1"/>
  <c r="E124" i="17"/>
  <c r="CG124" i="17" s="1"/>
  <c r="CQ118" i="17"/>
  <c r="CP118" i="17"/>
  <c r="K91" i="17"/>
  <c r="J91" i="17"/>
  <c r="I91" i="17"/>
  <c r="H91" i="17"/>
  <c r="G91" i="17"/>
  <c r="E91" i="17"/>
  <c r="CH90" i="17"/>
  <c r="N90" i="17" s="1"/>
  <c r="CH89" i="17"/>
  <c r="N89" i="17" s="1"/>
  <c r="B5" i="17"/>
  <c r="B4" i="17"/>
  <c r="B3" i="17"/>
  <c r="B2" i="17"/>
  <c r="B5" i="16"/>
  <c r="B4" i="16"/>
  <c r="B3" i="16"/>
  <c r="B2" i="16"/>
  <c r="CL55" i="5"/>
  <c r="CL54" i="5"/>
  <c r="CL56" i="5"/>
  <c r="AM28" i="6"/>
  <c r="AO26" i="6"/>
  <c r="AN28" i="6"/>
  <c r="I29" i="6"/>
  <c r="CB52" i="2"/>
  <c r="E52" i="2" s="1"/>
  <c r="CF23" i="4"/>
  <c r="CR19" i="5"/>
  <c r="DB80" i="7"/>
  <c r="A3" i="13"/>
  <c r="B2" i="11"/>
  <c r="B3" i="11"/>
  <c r="B4" i="11"/>
  <c r="B5" i="11"/>
  <c r="B2" i="10"/>
  <c r="B3" i="10"/>
  <c r="B4" i="10"/>
  <c r="B5" i="10"/>
  <c r="B2" i="8"/>
  <c r="B3" i="8"/>
  <c r="B4" i="8"/>
  <c r="B5" i="8"/>
  <c r="B2" i="7"/>
  <c r="B3" i="7"/>
  <c r="B4" i="7"/>
  <c r="B5" i="7"/>
  <c r="DB13" i="7"/>
  <c r="DE15" i="7"/>
  <c r="CG16" i="7"/>
  <c r="DG17" i="7"/>
  <c r="CK21" i="7"/>
  <c r="CK22" i="7"/>
  <c r="CH22" i="7"/>
  <c r="DF23" i="7"/>
  <c r="CL25" i="7"/>
  <c r="DC28" i="7"/>
  <c r="DA28" i="7"/>
  <c r="DF29" i="7"/>
  <c r="DK31" i="7"/>
  <c r="DB69" i="7"/>
  <c r="DA72" i="7"/>
  <c r="CJ73" i="7"/>
  <c r="DF76" i="7"/>
  <c r="CH78" i="7"/>
  <c r="DB82" i="7"/>
  <c r="CJ85" i="7"/>
  <c r="CQ86" i="7"/>
  <c r="DF87" i="7"/>
  <c r="CJ88" i="7"/>
  <c r="B2" i="6"/>
  <c r="B3" i="6"/>
  <c r="B4" i="6"/>
  <c r="B5" i="6"/>
  <c r="AL12" i="6"/>
  <c r="AG13" i="6"/>
  <c r="AM13" i="6"/>
  <c r="AL14" i="6"/>
  <c r="AF14" i="6"/>
  <c r="AC55" i="6"/>
  <c r="I15" i="6"/>
  <c r="AM55" i="6" s="1"/>
  <c r="J15" i="6"/>
  <c r="K15" i="6"/>
  <c r="L15" i="6"/>
  <c r="AG55" i="6" s="1"/>
  <c r="M15" i="6"/>
  <c r="AH55" i="6" s="1"/>
  <c r="N15" i="6"/>
  <c r="AI55" i="6" s="1"/>
  <c r="O15" i="6"/>
  <c r="Q15" i="6"/>
  <c r="R15" i="6"/>
  <c r="AN16" i="6"/>
  <c r="AH16" i="6"/>
  <c r="AL17" i="6"/>
  <c r="AF17" i="6"/>
  <c r="AM18" i="6"/>
  <c r="AN19" i="6"/>
  <c r="AF19" i="6"/>
  <c r="I20" i="6"/>
  <c r="J20" i="6"/>
  <c r="K20" i="6"/>
  <c r="L20" i="6"/>
  <c r="M20" i="6"/>
  <c r="N20" i="6"/>
  <c r="O20" i="6"/>
  <c r="P20" i="6"/>
  <c r="P21" i="6" s="1"/>
  <c r="Q20" i="6"/>
  <c r="R20" i="6"/>
  <c r="J29" i="6"/>
  <c r="K29" i="6"/>
  <c r="L29" i="6"/>
  <c r="M29" i="6"/>
  <c r="N29" i="6"/>
  <c r="O29" i="6"/>
  <c r="P29" i="6"/>
  <c r="Q29" i="6"/>
  <c r="R29" i="6"/>
  <c r="S29" i="6"/>
  <c r="T29" i="6"/>
  <c r="U29" i="6"/>
  <c r="AN34" i="6"/>
  <c r="AN35" i="6"/>
  <c r="AH35" i="6"/>
  <c r="H38" i="6"/>
  <c r="I38" i="6"/>
  <c r="J38" i="6"/>
  <c r="K38" i="6"/>
  <c r="L38" i="6"/>
  <c r="M38" i="6"/>
  <c r="N38" i="6"/>
  <c r="O38" i="6"/>
  <c r="P38" i="6"/>
  <c r="Q38" i="6"/>
  <c r="R38" i="6"/>
  <c r="B2" i="5"/>
  <c r="B3" i="5"/>
  <c r="B4" i="5"/>
  <c r="B5" i="5"/>
  <c r="BG13" i="5"/>
  <c r="CR13" i="5"/>
  <c r="CQ14" i="5"/>
  <c r="CR14" i="5"/>
  <c r="CQ15" i="5"/>
  <c r="BF15" i="5"/>
  <c r="BF16" i="5"/>
  <c r="BG17" i="5"/>
  <c r="CP17" i="5"/>
  <c r="BE18" i="5"/>
  <c r="CR18" i="5"/>
  <c r="BL19" i="5"/>
  <c r="BG20" i="5"/>
  <c r="BH20" i="5"/>
  <c r="CQ21" i="5"/>
  <c r="BF21" i="5"/>
  <c r="BG22" i="5"/>
  <c r="BF22" i="5"/>
  <c r="CQ23" i="5"/>
  <c r="BH23" i="5"/>
  <c r="BG24" i="5"/>
  <c r="CP24" i="5"/>
  <c r="CO25" i="5"/>
  <c r="CR25" i="5"/>
  <c r="BF26" i="5"/>
  <c r="CP27" i="5"/>
  <c r="H28" i="5"/>
  <c r="I28" i="5"/>
  <c r="J28" i="5"/>
  <c r="K28" i="5"/>
  <c r="L28" i="5"/>
  <c r="M28" i="5"/>
  <c r="N28" i="5"/>
  <c r="O28" i="5"/>
  <c r="P28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CS33" i="5"/>
  <c r="CT33" i="5"/>
  <c r="CU33" i="5"/>
  <c r="CV33" i="5"/>
  <c r="CW33" i="5"/>
  <c r="CX33" i="5"/>
  <c r="CY33" i="5"/>
  <c r="CZ33" i="5"/>
  <c r="DA33" i="5"/>
  <c r="DB33" i="5"/>
  <c r="DC33" i="5"/>
  <c r="DD33" i="5"/>
  <c r="DE33" i="5"/>
  <c r="DF33" i="5"/>
  <c r="DG33" i="5"/>
  <c r="DH33" i="5"/>
  <c r="DI33" i="5"/>
  <c r="DJ33" i="5"/>
  <c r="DK33" i="5"/>
  <c r="DL33" i="5"/>
  <c r="DM33" i="5"/>
  <c r="DN33" i="5"/>
  <c r="DO33" i="5"/>
  <c r="DP33" i="5"/>
  <c r="DQ33" i="5"/>
  <c r="DR33" i="5"/>
  <c r="DS33" i="5"/>
  <c r="DT33" i="5"/>
  <c r="CQ35" i="5"/>
  <c r="BF35" i="5"/>
  <c r="CS35" i="5"/>
  <c r="CT35" i="5"/>
  <c r="CU35" i="5"/>
  <c r="CV35" i="5"/>
  <c r="CW35" i="5"/>
  <c r="CX35" i="5"/>
  <c r="CY35" i="5"/>
  <c r="CZ35" i="5"/>
  <c r="DA35" i="5"/>
  <c r="DB35" i="5"/>
  <c r="DC35" i="5"/>
  <c r="DD35" i="5"/>
  <c r="DE35" i="5"/>
  <c r="DF35" i="5"/>
  <c r="DG35" i="5"/>
  <c r="DH35" i="5"/>
  <c r="DI35" i="5"/>
  <c r="DJ35" i="5"/>
  <c r="DK35" i="5"/>
  <c r="DL35" i="5"/>
  <c r="DM35" i="5"/>
  <c r="DN35" i="5"/>
  <c r="DO35" i="5"/>
  <c r="DP35" i="5"/>
  <c r="DQ35" i="5"/>
  <c r="DR35" i="5"/>
  <c r="DS35" i="5"/>
  <c r="DT35" i="5"/>
  <c r="BC37" i="5"/>
  <c r="CS37" i="5"/>
  <c r="CT37" i="5"/>
  <c r="CU37" i="5"/>
  <c r="CV37" i="5"/>
  <c r="CW37" i="5"/>
  <c r="CX37" i="5"/>
  <c r="CY37" i="5"/>
  <c r="CZ37" i="5"/>
  <c r="DA37" i="5"/>
  <c r="DB37" i="5"/>
  <c r="DC37" i="5"/>
  <c r="DD37" i="5"/>
  <c r="DE37" i="5"/>
  <c r="DF37" i="5"/>
  <c r="DG37" i="5"/>
  <c r="DH37" i="5"/>
  <c r="DI37" i="5"/>
  <c r="DJ37" i="5"/>
  <c r="DK37" i="5"/>
  <c r="DL37" i="5"/>
  <c r="DM37" i="5"/>
  <c r="DN37" i="5"/>
  <c r="DO37" i="5"/>
  <c r="DP37" i="5"/>
  <c r="DQ37" i="5"/>
  <c r="DR37" i="5"/>
  <c r="CR38" i="5"/>
  <c r="CS38" i="5"/>
  <c r="CT38" i="5"/>
  <c r="CU38" i="5"/>
  <c r="CV38" i="5"/>
  <c r="CW38" i="5"/>
  <c r="CX38" i="5"/>
  <c r="CY38" i="5"/>
  <c r="CZ38" i="5"/>
  <c r="DA38" i="5"/>
  <c r="DB38" i="5"/>
  <c r="DC38" i="5"/>
  <c r="DD38" i="5"/>
  <c r="DE38" i="5"/>
  <c r="DF38" i="5"/>
  <c r="DG38" i="5"/>
  <c r="DH38" i="5"/>
  <c r="DI38" i="5"/>
  <c r="DJ38" i="5"/>
  <c r="DK38" i="5"/>
  <c r="DL38" i="5"/>
  <c r="DM38" i="5"/>
  <c r="DN38" i="5"/>
  <c r="DO38" i="5"/>
  <c r="DP38" i="5"/>
  <c r="DQ38" i="5"/>
  <c r="DR38" i="5"/>
  <c r="DS38" i="5"/>
  <c r="DT38" i="5"/>
  <c r="BE39" i="5"/>
  <c r="CP39" i="5"/>
  <c r="CS39" i="5"/>
  <c r="CT39" i="5"/>
  <c r="CU39" i="5"/>
  <c r="CV39" i="5"/>
  <c r="CW39" i="5"/>
  <c r="CX39" i="5"/>
  <c r="CY39" i="5"/>
  <c r="CZ39" i="5"/>
  <c r="DA39" i="5"/>
  <c r="DB39" i="5"/>
  <c r="DC39" i="5"/>
  <c r="DD39" i="5"/>
  <c r="DE39" i="5"/>
  <c r="DF39" i="5"/>
  <c r="DG39" i="5"/>
  <c r="DH39" i="5"/>
  <c r="DI39" i="5"/>
  <c r="DJ39" i="5"/>
  <c r="DK39" i="5"/>
  <c r="DL39" i="5"/>
  <c r="DM39" i="5"/>
  <c r="DN39" i="5"/>
  <c r="DO39" i="5"/>
  <c r="DP39" i="5"/>
  <c r="DQ39" i="5"/>
  <c r="DR39" i="5"/>
  <c r="DS39" i="5"/>
  <c r="DT39" i="5"/>
  <c r="CO40" i="5"/>
  <c r="CR40" i="5"/>
  <c r="CS40" i="5"/>
  <c r="CT40" i="5"/>
  <c r="CU40" i="5"/>
  <c r="CV40" i="5"/>
  <c r="CW40" i="5"/>
  <c r="CX40" i="5"/>
  <c r="CY40" i="5"/>
  <c r="CZ40" i="5"/>
  <c r="DA40" i="5"/>
  <c r="DB40" i="5"/>
  <c r="DC40" i="5"/>
  <c r="DD40" i="5"/>
  <c r="DE40" i="5"/>
  <c r="DF40" i="5"/>
  <c r="DG40" i="5"/>
  <c r="DH40" i="5"/>
  <c r="DI40" i="5"/>
  <c r="DJ40" i="5"/>
  <c r="DK40" i="5"/>
  <c r="DL40" i="5"/>
  <c r="DM40" i="5"/>
  <c r="DN40" i="5"/>
  <c r="DO40" i="5"/>
  <c r="DP40" i="5"/>
  <c r="DQ40" i="5"/>
  <c r="DR40" i="5"/>
  <c r="DS40" i="5"/>
  <c r="DT40" i="5"/>
  <c r="CK46" i="5"/>
  <c r="CL46" i="5"/>
  <c r="BC47" i="5"/>
  <c r="CK47" i="5"/>
  <c r="CL47" i="5"/>
  <c r="CM48" i="5"/>
  <c r="CK48" i="5"/>
  <c r="CL48" i="5"/>
  <c r="CK51" i="5"/>
  <c r="CL51" i="5"/>
  <c r="BC54" i="5"/>
  <c r="CK54" i="5"/>
  <c r="BC55" i="5"/>
  <c r="CK55" i="5"/>
  <c r="CM56" i="5"/>
  <c r="CK56" i="5"/>
  <c r="BC57" i="5"/>
  <c r="BC58" i="5"/>
  <c r="CM59" i="5"/>
  <c r="BC60" i="5"/>
  <c r="CK60" i="5"/>
  <c r="CL60" i="5"/>
  <c r="CK67" i="5"/>
  <c r="CL67" i="5"/>
  <c r="B2" i="4"/>
  <c r="B3" i="4"/>
  <c r="B4" i="4"/>
  <c r="B5" i="4"/>
  <c r="CF12" i="4"/>
  <c r="CK12" i="4"/>
  <c r="CK13" i="4"/>
  <c r="CK14" i="4"/>
  <c r="CF15" i="4"/>
  <c r="CK15" i="4"/>
  <c r="CK16" i="4"/>
  <c r="CK17" i="4"/>
  <c r="CK18" i="4"/>
  <c r="CK19" i="4"/>
  <c r="CD20" i="4"/>
  <c r="E46" i="2"/>
  <c r="F46" i="2"/>
  <c r="CB72" i="2"/>
  <c r="D72" i="2" s="1"/>
  <c r="CB70" i="2"/>
  <c r="D70" i="2" s="1"/>
  <c r="F62" i="2"/>
  <c r="CC62" i="2" s="1"/>
  <c r="G62" i="2"/>
  <c r="H62" i="2"/>
  <c r="DE62" i="2" s="1"/>
  <c r="I62" i="2"/>
  <c r="J62" i="2"/>
  <c r="CG62" i="2" s="1"/>
  <c r="K62" i="2"/>
  <c r="L62" i="2"/>
  <c r="DI62" i="2" s="1"/>
  <c r="M62" i="2"/>
  <c r="CJ62" i="2" s="1"/>
  <c r="G67" i="2"/>
  <c r="I67" i="2"/>
  <c r="J67" i="2"/>
  <c r="L67" i="2"/>
  <c r="M67" i="2"/>
  <c r="DB78" i="2"/>
  <c r="DB79" i="2"/>
  <c r="DB80" i="2"/>
  <c r="A3" i="1"/>
  <c r="K19" i="16"/>
  <c r="CP19" i="5"/>
  <c r="AL34" i="6"/>
  <c r="AO55" i="6"/>
  <c r="AE13" i="6"/>
  <c r="BH33" i="5"/>
  <c r="BF33" i="5"/>
  <c r="CP35" i="5"/>
  <c r="AO12" i="6"/>
  <c r="AM12" i="6"/>
  <c r="AH12" i="6"/>
  <c r="AF12" i="6"/>
  <c r="BF19" i="5"/>
  <c r="BH19" i="5"/>
  <c r="AF26" i="6"/>
  <c r="AO72" i="16"/>
  <c r="AO49" i="16"/>
  <c r="AN49" i="16"/>
  <c r="AZ49" i="16"/>
  <c r="AY49" i="16"/>
  <c r="AN15" i="16"/>
  <c r="AO34" i="16"/>
  <c r="AN34" i="16"/>
  <c r="AZ34" i="16"/>
  <c r="AY34" i="16"/>
  <c r="CQ34" i="5"/>
  <c r="BC34" i="5"/>
  <c r="BD34" i="5"/>
  <c r="BG34" i="5"/>
  <c r="BE34" i="5"/>
  <c r="CN34" i="5"/>
  <c r="CM34" i="5"/>
  <c r="BG37" i="5"/>
  <c r="BE37" i="5"/>
  <c r="AJ27" i="6"/>
  <c r="AG27" i="6"/>
  <c r="AI27" i="6"/>
  <c r="AE27" i="6"/>
  <c r="AY48" i="16"/>
  <c r="BC35" i="5"/>
  <c r="CN35" i="5"/>
  <c r="BK19" i="5"/>
  <c r="AI19" i="6"/>
  <c r="AG26" i="6"/>
  <c r="AO12" i="16"/>
  <c r="AO17" i="16"/>
  <c r="BH34" i="5"/>
  <c r="BF34" i="5"/>
  <c r="CB51" i="2"/>
  <c r="E51" i="2" s="1"/>
  <c r="AN71" i="16"/>
  <c r="AL55" i="6"/>
  <c r="AI37" i="6"/>
  <c r="AJ37" i="6"/>
  <c r="AF37" i="6"/>
  <c r="AH37" i="6"/>
  <c r="AQ37" i="6"/>
  <c r="AP37" i="6"/>
  <c r="AJ34" i="6"/>
  <c r="AH34" i="6"/>
  <c r="AP34" i="6"/>
  <c r="AQ34" i="6"/>
  <c r="AO13" i="6"/>
  <c r="AO27" i="6"/>
  <c r="BC33" i="5"/>
  <c r="CM33" i="5"/>
  <c r="CF37" i="4"/>
  <c r="CN37" i="4"/>
  <c r="CN23" i="4"/>
  <c r="DC99" i="7"/>
  <c r="DE87" i="7"/>
  <c r="CI87" i="7"/>
  <c r="DC87" i="7"/>
  <c r="CK87" i="7"/>
  <c r="DC32" i="7"/>
  <c r="DF96" i="7"/>
  <c r="DA96" i="7"/>
  <c r="DA99" i="7"/>
  <c r="DB99" i="7"/>
  <c r="CL88" i="7"/>
  <c r="CG69" i="7"/>
  <c r="DC97" i="7"/>
  <c r="DE20" i="7"/>
  <c r="CJ109" i="7"/>
  <c r="DD13" i="7"/>
  <c r="CI88" i="7"/>
  <c r="CK88" i="7"/>
  <c r="DC31" i="7"/>
  <c r="DE31" i="7"/>
  <c r="CI31" i="7"/>
  <c r="CK31" i="7"/>
  <c r="CR80" i="7"/>
  <c r="DF80" i="7"/>
  <c r="DD80" i="7"/>
  <c r="DD95" i="7"/>
  <c r="DD20" i="7"/>
  <c r="DA26" i="7"/>
  <c r="CK77" i="7"/>
  <c r="CI77" i="7"/>
  <c r="DE83" i="7"/>
  <c r="CI83" i="7"/>
  <c r="DC83" i="7"/>
  <c r="CK83" i="7"/>
  <c r="DC78" i="7"/>
  <c r="CI78" i="7"/>
  <c r="DE78" i="7"/>
  <c r="CK78" i="7"/>
  <c r="DE30" i="7"/>
  <c r="DC26" i="7"/>
  <c r="CR26" i="7"/>
  <c r="DF21" i="7"/>
  <c r="CG77" i="7"/>
  <c r="DD86" i="7"/>
  <c r="DA82" i="7"/>
  <c r="CL76" i="7"/>
  <c r="DA76" i="7"/>
  <c r="DB25" i="7"/>
  <c r="CQ82" i="7"/>
  <c r="DC76" i="7"/>
  <c r="CK76" i="7"/>
  <c r="DC72" i="7"/>
  <c r="DE29" i="7"/>
  <c r="CK29" i="7"/>
  <c r="DC29" i="7"/>
  <c r="CI29" i="7"/>
  <c r="DC27" i="7"/>
  <c r="DE27" i="7"/>
  <c r="DC25" i="7"/>
  <c r="DE25" i="7"/>
  <c r="CK25" i="7"/>
  <c r="CI25" i="7"/>
  <c r="DD22" i="7"/>
  <c r="DB22" i="7"/>
  <c r="DD17" i="7"/>
  <c r="DF17" i="7"/>
  <c r="DB17" i="7"/>
  <c r="DA17" i="7"/>
  <c r="DD15" i="7"/>
  <c r="DB15" i="7"/>
  <c r="DE71" i="7"/>
  <c r="CI71" i="7"/>
  <c r="DC71" i="7"/>
  <c r="CK71" i="7"/>
  <c r="CR71" i="7"/>
  <c r="CH23" i="7"/>
  <c r="CH17" i="7"/>
  <c r="CG17" i="7"/>
  <c r="CJ17" i="7"/>
  <c r="CL17" i="7"/>
  <c r="CH20" i="7"/>
  <c r="CG21" i="7"/>
  <c r="CL21" i="7"/>
  <c r="CL22" i="7"/>
  <c r="CR20" i="7"/>
  <c r="CK20" i="7"/>
  <c r="CI20" i="7"/>
  <c r="CL13" i="7"/>
  <c r="CH13" i="7"/>
  <c r="DB50" i="2"/>
  <c r="CO34" i="5"/>
  <c r="CE38" i="4"/>
  <c r="DB62" i="2"/>
  <c r="DB52" i="2"/>
  <c r="AL26" i="6"/>
  <c r="H21" i="6"/>
  <c r="AC43" i="6" s="1"/>
  <c r="CM60" i="5"/>
  <c r="CM46" i="5"/>
  <c r="CO35" i="5"/>
  <c r="CP34" i="5"/>
  <c r="CR34" i="5"/>
  <c r="E23" i="16"/>
  <c r="AV92" i="16"/>
  <c r="AM37" i="6"/>
  <c r="AN12" i="6"/>
  <c r="AN27" i="6"/>
  <c r="AL27" i="6"/>
  <c r="CL23" i="4"/>
  <c r="DI24" i="7"/>
  <c r="CO37" i="5"/>
  <c r="CQ37" i="5"/>
  <c r="AO34" i="6"/>
  <c r="AM34" i="6"/>
  <c r="AO37" i="6"/>
  <c r="DF90" i="17"/>
  <c r="DB51" i="2"/>
  <c r="AN26" i="6"/>
  <c r="AM12" i="16"/>
  <c r="AV49" i="16"/>
  <c r="CD35" i="4"/>
  <c r="CO80" i="7"/>
  <c r="DJ24" i="7"/>
  <c r="AR55" i="6" l="1"/>
  <c r="CL31" i="4"/>
  <c r="AW35" i="7"/>
  <c r="AW34" i="7"/>
  <c r="AW18" i="7"/>
  <c r="AW19" i="7"/>
  <c r="AW37" i="7"/>
  <c r="AW36" i="7"/>
  <c r="AW38" i="7"/>
  <c r="AW52" i="7"/>
  <c r="DF14" i="2"/>
  <c r="CD14" i="2"/>
  <c r="CH14" i="2"/>
  <c r="DC14" i="2"/>
  <c r="DG14" i="2"/>
  <c r="CE14" i="2"/>
  <c r="DD14" i="2"/>
  <c r="DH14" i="2"/>
  <c r="DE14" i="2"/>
  <c r="CF14" i="2"/>
  <c r="CG14" i="2"/>
  <c r="CC14" i="2"/>
  <c r="CC13" i="2"/>
  <c r="DF13" i="2"/>
  <c r="DD13" i="2"/>
  <c r="DH13" i="2"/>
  <c r="CF13" i="2"/>
  <c r="DE13" i="2"/>
  <c r="CG13" i="2"/>
  <c r="CD13" i="2"/>
  <c r="CE13" i="2"/>
  <c r="DC13" i="2"/>
  <c r="CH13" i="2"/>
  <c r="DG13" i="2"/>
  <c r="DD15" i="2"/>
  <c r="DH15" i="2"/>
  <c r="CF15" i="2"/>
  <c r="DE15" i="2"/>
  <c r="CC15" i="2"/>
  <c r="CG15" i="2"/>
  <c r="DF15" i="2"/>
  <c r="CH15" i="2"/>
  <c r="DC15" i="2"/>
  <c r="DG15" i="2"/>
  <c r="CD15" i="2"/>
  <c r="CE15" i="2"/>
  <c r="DD22" i="2"/>
  <c r="DF22" i="2"/>
  <c r="CD22" i="2"/>
  <c r="CH22" i="2"/>
  <c r="DC22" i="2"/>
  <c r="DG22" i="2"/>
  <c r="CE22" i="2"/>
  <c r="DH22" i="2"/>
  <c r="DE22" i="2"/>
  <c r="CF22" i="2"/>
  <c r="CG22" i="2"/>
  <c r="CC22" i="2"/>
  <c r="DD18" i="2"/>
  <c r="DF18" i="2"/>
  <c r="CD18" i="2"/>
  <c r="CH18" i="2"/>
  <c r="DC18" i="2"/>
  <c r="DG18" i="2"/>
  <c r="CE18" i="2"/>
  <c r="DH18" i="2"/>
  <c r="CF18" i="2"/>
  <c r="CG18" i="2"/>
  <c r="DE18" i="2"/>
  <c r="CC18" i="2"/>
  <c r="DD16" i="2"/>
  <c r="DF16" i="2"/>
  <c r="CD16" i="2"/>
  <c r="CH16" i="2"/>
  <c r="DC16" i="2"/>
  <c r="DG16" i="2"/>
  <c r="CE16" i="2"/>
  <c r="DH16" i="2"/>
  <c r="CC16" i="2"/>
  <c r="CF16" i="2"/>
  <c r="DE16" i="2"/>
  <c r="CG16" i="2"/>
  <c r="DD21" i="2"/>
  <c r="DH21" i="2"/>
  <c r="CF21" i="2"/>
  <c r="DE21" i="2"/>
  <c r="CC21" i="2"/>
  <c r="CG21" i="2"/>
  <c r="DF21" i="2"/>
  <c r="CD21" i="2"/>
  <c r="CE21" i="2"/>
  <c r="DC21" i="2"/>
  <c r="CH21" i="2"/>
  <c r="DG21" i="2"/>
  <c r="DE31" i="2"/>
  <c r="CE31" i="2"/>
  <c r="DC31" i="2"/>
  <c r="CC31" i="2"/>
  <c r="DD31" i="2"/>
  <c r="CD31" i="2"/>
  <c r="DF31" i="2"/>
  <c r="CF31" i="2"/>
  <c r="DG31" i="2"/>
  <c r="CG31" i="2"/>
  <c r="DH31" i="2"/>
  <c r="CH31" i="2"/>
  <c r="DC28" i="2"/>
  <c r="DG28" i="2"/>
  <c r="CC28" i="2"/>
  <c r="CG28" i="2"/>
  <c r="DE28" i="2"/>
  <c r="CE28" i="2"/>
  <c r="DF28" i="2"/>
  <c r="CF28" i="2"/>
  <c r="DD28" i="2"/>
  <c r="DH28" i="2"/>
  <c r="CD28" i="2"/>
  <c r="CH28" i="2"/>
  <c r="DE32" i="2"/>
  <c r="CC32" i="2"/>
  <c r="CG32" i="2"/>
  <c r="DG32" i="2"/>
  <c r="CE32" i="2"/>
  <c r="DD32" i="2"/>
  <c r="CF32" i="2"/>
  <c r="DF32" i="2"/>
  <c r="CD32" i="2"/>
  <c r="CH32" i="2"/>
  <c r="DC32" i="2"/>
  <c r="DH32" i="2"/>
  <c r="DC26" i="2"/>
  <c r="DG26" i="2"/>
  <c r="CC26" i="2"/>
  <c r="CG26" i="2"/>
  <c r="DD26" i="2"/>
  <c r="DH26" i="2"/>
  <c r="CD26" i="2"/>
  <c r="CH26" i="2"/>
  <c r="DE26" i="2"/>
  <c r="CE26" i="2"/>
  <c r="DF26" i="2"/>
  <c r="CF26" i="2"/>
  <c r="DC30" i="2"/>
  <c r="DG30" i="2"/>
  <c r="CC30" i="2"/>
  <c r="CG30" i="2"/>
  <c r="DD30" i="2"/>
  <c r="DH30" i="2"/>
  <c r="CD30" i="2"/>
  <c r="CH30" i="2"/>
  <c r="DE30" i="2"/>
  <c r="CE30" i="2"/>
  <c r="DF30" i="2"/>
  <c r="CF30" i="2"/>
  <c r="DE27" i="2"/>
  <c r="CE27" i="2"/>
  <c r="DC27" i="2"/>
  <c r="CC27" i="2"/>
  <c r="DD27" i="2"/>
  <c r="CD27" i="2"/>
  <c r="DF27" i="2"/>
  <c r="CF27" i="2"/>
  <c r="DG27" i="2"/>
  <c r="CG27" i="2"/>
  <c r="DH27" i="2"/>
  <c r="CH27" i="2"/>
  <c r="DE25" i="2"/>
  <c r="CE25" i="2"/>
  <c r="DG25" i="2"/>
  <c r="CG25" i="2"/>
  <c r="DH25" i="2"/>
  <c r="CH25" i="2"/>
  <c r="DF25" i="2"/>
  <c r="CF25" i="2"/>
  <c r="DC25" i="2"/>
  <c r="CC25" i="2"/>
  <c r="DD25" i="2"/>
  <c r="CD25" i="2"/>
  <c r="DE29" i="2"/>
  <c r="CE29" i="2"/>
  <c r="DG29" i="2"/>
  <c r="CG29" i="2"/>
  <c r="DH29" i="2"/>
  <c r="CH29" i="2"/>
  <c r="DF29" i="2"/>
  <c r="CF29" i="2"/>
  <c r="DC29" i="2"/>
  <c r="CC29" i="2"/>
  <c r="DD29" i="2"/>
  <c r="CD29" i="2"/>
  <c r="DC62" i="2"/>
  <c r="CF21" i="4"/>
  <c r="CD21" i="4"/>
  <c r="CD28" i="4"/>
  <c r="CD32" i="4"/>
  <c r="BE17" i="5"/>
  <c r="AP55" i="6"/>
  <c r="AN13" i="6"/>
  <c r="AL13" i="6"/>
  <c r="AE28" i="6"/>
  <c r="AO13" i="16"/>
  <c r="AN25" i="16"/>
  <c r="G26" i="16"/>
  <c r="AL30" i="16"/>
  <c r="AX34" i="16"/>
  <c r="AL49" i="16"/>
  <c r="AL71" i="16"/>
  <c r="AU89" i="16"/>
  <c r="AN20" i="16"/>
  <c r="AZ21" i="16"/>
  <c r="AN21" i="16"/>
  <c r="AY20" i="16"/>
  <c r="F31" i="16"/>
  <c r="D31" i="16" s="1"/>
  <c r="AY59" i="16"/>
  <c r="AL20" i="16"/>
  <c r="AR38" i="4"/>
  <c r="AO71" i="16"/>
  <c r="AO20" i="16"/>
  <c r="AI13" i="6"/>
  <c r="AK72" i="16"/>
  <c r="AK58" i="16"/>
  <c r="CD25" i="4"/>
  <c r="AW12" i="16"/>
  <c r="F38" i="16"/>
  <c r="AO35" i="16"/>
  <c r="C61" i="11"/>
  <c r="AX12" i="16"/>
  <c r="AK68" i="16"/>
  <c r="CD17" i="4"/>
  <c r="CL22" i="4"/>
  <c r="AU86" i="16"/>
  <c r="AZ37" i="16"/>
  <c r="AN77" i="16"/>
  <c r="AN73" i="16"/>
  <c r="AM36" i="6"/>
  <c r="AY71" i="16"/>
  <c r="AZ20" i="16"/>
  <c r="AQ13" i="6"/>
  <c r="AK59" i="16"/>
  <c r="BH38" i="5"/>
  <c r="AH13" i="6"/>
  <c r="AY50" i="16"/>
  <c r="AG7" i="1"/>
  <c r="D6" i="12" s="1"/>
  <c r="AK49" i="16"/>
  <c r="DB70" i="2"/>
  <c r="AW94" i="7"/>
  <c r="AY47" i="16"/>
  <c r="AW50" i="16"/>
  <c r="AZ50" i="16"/>
  <c r="AV48" i="16"/>
  <c r="AK48" i="16"/>
  <c r="AL61" i="16"/>
  <c r="AK61" i="16"/>
  <c r="AY76" i="16"/>
  <c r="AK71" i="16"/>
  <c r="AY77" i="16"/>
  <c r="AY70" i="16"/>
  <c r="AY73" i="16"/>
  <c r="AL72" i="16"/>
  <c r="AW72" i="16"/>
  <c r="AO73" i="16"/>
  <c r="AZ62" i="16"/>
  <c r="AN50" i="16"/>
  <c r="AO50" i="16"/>
  <c r="G16" i="16"/>
  <c r="P16" i="16"/>
  <c r="AY17" i="16"/>
  <c r="AZ29" i="16"/>
  <c r="AN13" i="16"/>
  <c r="AY25" i="16"/>
  <c r="AW92" i="7"/>
  <c r="AW91" i="7"/>
  <c r="AU84" i="16"/>
  <c r="AJ92" i="16"/>
  <c r="AU87" i="16"/>
  <c r="AK95" i="16"/>
  <c r="J19" i="16"/>
  <c r="AM18" i="16"/>
  <c r="AO15" i="16"/>
  <c r="AW93" i="7"/>
  <c r="AZ61" i="16"/>
  <c r="J31" i="16"/>
  <c r="AZ60" i="16"/>
  <c r="AW51" i="16"/>
  <c r="M19" i="16"/>
  <c r="AW108" i="7"/>
  <c r="CF43" i="4"/>
  <c r="I43" i="4" s="1"/>
  <c r="CN43" i="4"/>
  <c r="CI62" i="2"/>
  <c r="DF62" i="2"/>
  <c r="CF62" i="2"/>
  <c r="DD62" i="2"/>
  <c r="CD62" i="2"/>
  <c r="CH62" i="2"/>
  <c r="CE62" i="2"/>
  <c r="E28" i="5"/>
  <c r="AX61" i="16"/>
  <c r="DM86" i="7"/>
  <c r="CV86" i="7"/>
  <c r="DP86" i="7"/>
  <c r="DO86" i="7"/>
  <c r="CU86" i="7"/>
  <c r="AZ17" i="16"/>
  <c r="AU95" i="16"/>
  <c r="AW17" i="16"/>
  <c r="AY30" i="16"/>
  <c r="AY18" i="16"/>
  <c r="AN59" i="16"/>
  <c r="AY29" i="16"/>
  <c r="CN31" i="4"/>
  <c r="CD27" i="4"/>
  <c r="DM109" i="7"/>
  <c r="DP109" i="7"/>
  <c r="DO109" i="7"/>
  <c r="CU109" i="7"/>
  <c r="CV109" i="7"/>
  <c r="AK92" i="16"/>
  <c r="DJ15" i="17"/>
  <c r="DH11" i="17"/>
  <c r="AW74" i="7"/>
  <c r="AO25" i="16"/>
  <c r="P26" i="16"/>
  <c r="DH62" i="2"/>
  <c r="AZ30" i="16"/>
  <c r="AN18" i="16"/>
  <c r="AO59" i="16"/>
  <c r="AN29" i="16"/>
  <c r="AW75" i="7"/>
  <c r="DM97" i="7"/>
  <c r="DP97" i="7"/>
  <c r="CU97" i="7"/>
  <c r="DO97" i="7"/>
  <c r="CV97" i="7"/>
  <c r="DP71" i="7"/>
  <c r="DO71" i="7"/>
  <c r="DM71" i="7"/>
  <c r="CV71" i="7"/>
  <c r="CU71" i="7"/>
  <c r="AL28" i="6"/>
  <c r="AV69" i="16"/>
  <c r="AW29" i="16"/>
  <c r="CF28" i="4"/>
  <c r="AR28" i="4" s="1"/>
  <c r="AN30" i="16"/>
  <c r="AO18" i="16"/>
  <c r="AG34" i="6"/>
  <c r="AO29" i="16"/>
  <c r="AK83" i="16"/>
  <c r="P83" i="16" s="1"/>
  <c r="AZ13" i="16"/>
  <c r="AW13" i="16"/>
  <c r="AZ18" i="16"/>
  <c r="AM21" i="16"/>
  <c r="CU99" i="7"/>
  <c r="CV99" i="7"/>
  <c r="DM99" i="7"/>
  <c r="DP99" i="7"/>
  <c r="DO99" i="7"/>
  <c r="AE34" i="6"/>
  <c r="M31" i="16"/>
  <c r="G38" i="16"/>
  <c r="E40" i="16"/>
  <c r="AY13" i="16"/>
  <c r="AL35" i="6"/>
  <c r="AN37" i="16"/>
  <c r="CL33" i="4"/>
  <c r="CN17" i="4"/>
  <c r="G20" i="6"/>
  <c r="F15" i="6"/>
  <c r="AK88" i="16"/>
  <c r="G19" i="16"/>
  <c r="AY15" i="16"/>
  <c r="AW28" i="16"/>
  <c r="AX24" i="16"/>
  <c r="AO36" i="16"/>
  <c r="CC87" i="2"/>
  <c r="J26" i="16"/>
  <c r="AZ35" i="16"/>
  <c r="G40" i="16"/>
  <c r="AL11" i="16" s="1"/>
  <c r="AK62" i="16"/>
  <c r="AX48" i="16"/>
  <c r="AV95" i="16"/>
  <c r="AZ77" i="16"/>
  <c r="CF17" i="4"/>
  <c r="AG16" i="6"/>
  <c r="AY35" i="16"/>
  <c r="AY24" i="16"/>
  <c r="G15" i="6"/>
  <c r="AO62" i="16"/>
  <c r="M40" i="16"/>
  <c r="CB87" i="2"/>
  <c r="CE87" i="2"/>
  <c r="D67" i="2"/>
  <c r="AM76" i="16"/>
  <c r="DD91" i="2"/>
  <c r="AM61" i="16"/>
  <c r="AL12" i="16"/>
  <c r="CP16" i="5"/>
  <c r="I21" i="6"/>
  <c r="AD43" i="6" s="1"/>
  <c r="AZ12" i="16"/>
  <c r="AE16" i="6"/>
  <c r="AN35" i="16"/>
  <c r="AN24" i="16"/>
  <c r="AO19" i="6"/>
  <c r="N21" i="6"/>
  <c r="AR43" i="6" s="1"/>
  <c r="F26" i="16"/>
  <c r="D26" i="16" s="1"/>
  <c r="M23" i="16"/>
  <c r="G31" i="16"/>
  <c r="P31" i="16"/>
  <c r="P40" i="16"/>
  <c r="AZ28" i="16"/>
  <c r="F40" i="16"/>
  <c r="E17" i="17"/>
  <c r="D16" i="16"/>
  <c r="AU83" i="16"/>
  <c r="P38" i="16"/>
  <c r="AU92" i="16"/>
  <c r="AY12" i="16"/>
  <c r="AO24" i="16"/>
  <c r="AM49" i="16"/>
  <c r="AV87" i="16"/>
  <c r="CF27" i="4"/>
  <c r="AZ36" i="16"/>
  <c r="AY28" i="16"/>
  <c r="AM19" i="6"/>
  <c r="F38" i="6"/>
  <c r="AK86" i="16"/>
  <c r="AO51" i="16"/>
  <c r="J16" i="16"/>
  <c r="J40" i="16"/>
  <c r="AM11" i="16" s="1"/>
  <c r="AV50" i="16"/>
  <c r="AK77" i="16"/>
  <c r="AX36" i="16"/>
  <c r="AH19" i="6"/>
  <c r="AM30" i="16"/>
  <c r="DB72" i="2"/>
  <c r="AN36" i="16"/>
  <c r="CM39" i="5"/>
  <c r="AZ15" i="16"/>
  <c r="D62" i="2"/>
  <c r="AL58" i="16"/>
  <c r="M16" i="16"/>
  <c r="AL33" i="16"/>
  <c r="C42" i="11"/>
  <c r="AL16" i="6"/>
  <c r="AX73" i="16"/>
  <c r="AV73" i="16"/>
  <c r="CO39" i="5"/>
  <c r="CD31" i="4"/>
  <c r="AN12" i="16"/>
  <c r="AJ84" i="16"/>
  <c r="AO77" i="16"/>
  <c r="AI35" i="6"/>
  <c r="F20" i="6"/>
  <c r="E20" i="6" s="1"/>
  <c r="AJ90" i="16"/>
  <c r="AU85" i="16"/>
  <c r="AZ75" i="16"/>
  <c r="D38" i="16"/>
  <c r="AY36" i="16"/>
  <c r="DJ16" i="17"/>
  <c r="DJ18" i="17"/>
  <c r="DC11" i="17"/>
  <c r="DE11" i="17"/>
  <c r="DI11" i="17"/>
  <c r="DE12" i="17"/>
  <c r="CJ12" i="17"/>
  <c r="DB43" i="17"/>
  <c r="DJ45" i="17"/>
  <c r="DI52" i="17"/>
  <c r="CJ59" i="17"/>
  <c r="CJ51" i="17"/>
  <c r="CK66" i="17"/>
  <c r="DI43" i="17"/>
  <c r="DM118" i="17"/>
  <c r="E47" i="17"/>
  <c r="E50" i="17"/>
  <c r="E54" i="17"/>
  <c r="E57" i="17"/>
  <c r="E62" i="17"/>
  <c r="E69" i="17"/>
  <c r="CI14" i="17"/>
  <c r="CJ15" i="17"/>
  <c r="CK25" i="17"/>
  <c r="DI27" i="17"/>
  <c r="CE12" i="17"/>
  <c r="CK12" i="17"/>
  <c r="CK45" i="17"/>
  <c r="DJ59" i="17"/>
  <c r="DJ37" i="17"/>
  <c r="DF124" i="17"/>
  <c r="DB11" i="17"/>
  <c r="DI37" i="17"/>
  <c r="DJ43" i="17"/>
  <c r="CH14" i="17"/>
  <c r="CJ66" i="17"/>
  <c r="DJ12" i="17"/>
  <c r="DJ27" i="17"/>
  <c r="CJ52" i="17"/>
  <c r="F47" i="17"/>
  <c r="F50" i="17"/>
  <c r="F54" i="17"/>
  <c r="F57" i="17"/>
  <c r="F62" i="17"/>
  <c r="D51" i="17"/>
  <c r="DK124" i="17"/>
  <c r="DI124" i="17"/>
  <c r="DJ33" i="17"/>
  <c r="DH14" i="17"/>
  <c r="DE43" i="17"/>
  <c r="CK37" i="17"/>
  <c r="DJ66" i="17"/>
  <c r="CK59" i="17"/>
  <c r="F71" i="17"/>
  <c r="E26" i="17"/>
  <c r="CH43" i="17"/>
  <c r="DI45" i="17"/>
  <c r="DI25" i="17"/>
  <c r="CE43" i="17"/>
  <c r="CK51" i="17"/>
  <c r="O51" i="17" s="1"/>
  <c r="CK43" i="17"/>
  <c r="DI33" i="17"/>
  <c r="DJ25" i="17"/>
  <c r="CJ37" i="17"/>
  <c r="DJ51" i="17"/>
  <c r="CK52" i="17"/>
  <c r="DI48" i="17"/>
  <c r="DI55" i="17"/>
  <c r="DI61" i="17"/>
  <c r="DJ64" i="17"/>
  <c r="CK68" i="17"/>
  <c r="DJ13" i="17"/>
  <c r="DI14" i="17"/>
  <c r="CJ19" i="17"/>
  <c r="CJ21" i="17"/>
  <c r="CJ25" i="17"/>
  <c r="CK31" i="17"/>
  <c r="DJ35" i="17"/>
  <c r="CG11" i="17"/>
  <c r="CC12" i="17"/>
  <c r="E14" i="17"/>
  <c r="E23" i="17"/>
  <c r="F36" i="17"/>
  <c r="DL118" i="17"/>
  <c r="DD12" i="17"/>
  <c r="DJ124" i="17"/>
  <c r="DJ49" i="17"/>
  <c r="DJ56" i="17"/>
  <c r="DI58" i="17"/>
  <c r="DI65" i="17"/>
  <c r="DI70" i="17"/>
  <c r="G75" i="17"/>
  <c r="AL43" i="6"/>
  <c r="CM30" i="7"/>
  <c r="DJ30" i="7"/>
  <c r="CQ15" i="7"/>
  <c r="CJ20" i="7"/>
  <c r="CJ76" i="7"/>
  <c r="CL82" i="7"/>
  <c r="DF86" i="7"/>
  <c r="CL80" i="7"/>
  <c r="CH80" i="7"/>
  <c r="CH69" i="7"/>
  <c r="DD99" i="7"/>
  <c r="DB96" i="7"/>
  <c r="CM95" i="7"/>
  <c r="CM82" i="7"/>
  <c r="CH76" i="7"/>
  <c r="CG82" i="7"/>
  <c r="CJ80" i="7"/>
  <c r="CQ80" i="7"/>
  <c r="CJ69" i="7"/>
  <c r="CP38" i="5"/>
  <c r="CP40" i="5"/>
  <c r="CM50" i="5"/>
  <c r="CR24" i="5"/>
  <c r="BH36" i="5"/>
  <c r="BF24" i="5"/>
  <c r="H39" i="2"/>
  <c r="DD88" i="2"/>
  <c r="CR17" i="7"/>
  <c r="DH27" i="7"/>
  <c r="CO15" i="7"/>
  <c r="BR29" i="18"/>
  <c r="BC29" i="18" s="1"/>
  <c r="AL27" i="16"/>
  <c r="AM27" i="16"/>
  <c r="AW30" i="16"/>
  <c r="AL18" i="16"/>
  <c r="AW84" i="16"/>
  <c r="AL84" i="16"/>
  <c r="AW92" i="16"/>
  <c r="AL92" i="16"/>
  <c r="AX18" i="16"/>
  <c r="AU90" i="16"/>
  <c r="AW86" i="16"/>
  <c r="AL86" i="16"/>
  <c r="AL94" i="16"/>
  <c r="AW94" i="16"/>
  <c r="AX17" i="16"/>
  <c r="AW18" i="16"/>
  <c r="AM36" i="16"/>
  <c r="AN39" i="16"/>
  <c r="AL87" i="16"/>
  <c r="AW87" i="16"/>
  <c r="AL95" i="16"/>
  <c r="AW95" i="16"/>
  <c r="AL93" i="16"/>
  <c r="AW93" i="16"/>
  <c r="AV88" i="16"/>
  <c r="D23" i="16"/>
  <c r="AZ39" i="16"/>
  <c r="AL88" i="16"/>
  <c r="AW88" i="16"/>
  <c r="J38" i="16"/>
  <c r="AL89" i="16"/>
  <c r="AW89" i="16"/>
  <c r="AN33" i="16"/>
  <c r="AW90" i="16"/>
  <c r="AL90" i="16"/>
  <c r="AL85" i="16"/>
  <c r="AW85" i="16"/>
  <c r="AX58" i="16"/>
  <c r="AW91" i="16"/>
  <c r="AL91" i="16"/>
  <c r="B50" i="8"/>
  <c r="F13" i="12" s="1"/>
  <c r="B57" i="8"/>
  <c r="AF13" i="6"/>
  <c r="AJ19" i="6"/>
  <c r="AH26" i="6"/>
  <c r="AJ13" i="6"/>
  <c r="AI17" i="6"/>
  <c r="AQ55" i="6"/>
  <c r="AL19" i="6"/>
  <c r="AQ19" i="6"/>
  <c r="AP19" i="6"/>
  <c r="AP35" i="6"/>
  <c r="AM35" i="6"/>
  <c r="AO35" i="6"/>
  <c r="AE19" i="6"/>
  <c r="AM26" i="6"/>
  <c r="AJ35" i="6"/>
  <c r="AP13" i="6"/>
  <c r="AG19" i="6"/>
  <c r="AF35" i="6"/>
  <c r="F29" i="6"/>
  <c r="CR23" i="5"/>
  <c r="CR27" i="5"/>
  <c r="CL35" i="4"/>
  <c r="CL28" i="4"/>
  <c r="CD37" i="4"/>
  <c r="CN12" i="4"/>
  <c r="CN33" i="4"/>
  <c r="CN24" i="4"/>
  <c r="CL20" i="4"/>
  <c r="CF14" i="4"/>
  <c r="CF35" i="4"/>
  <c r="CF31" i="4"/>
  <c r="CN27" i="4"/>
  <c r="CF20" i="4"/>
  <c r="AR20" i="4" s="1"/>
  <c r="DJ60" i="17"/>
  <c r="CJ13" i="17"/>
  <c r="CK19" i="17"/>
  <c r="DJ21" i="17"/>
  <c r="CJ31" i="17"/>
  <c r="DI68" i="17"/>
  <c r="DJ61" i="17"/>
  <c r="CJ35" i="17"/>
  <c r="CK21" i="17"/>
  <c r="F69" i="17"/>
  <c r="DI30" i="17"/>
  <c r="CJ11" i="17"/>
  <c r="F29" i="17"/>
  <c r="DI64" i="17"/>
  <c r="CK55" i="17"/>
  <c r="CJ55" i="17"/>
  <c r="E20" i="17"/>
  <c r="DJ48" i="17"/>
  <c r="CG14" i="17"/>
  <c r="F14" i="17"/>
  <c r="F17" i="17"/>
  <c r="F20" i="17"/>
  <c r="F23" i="17"/>
  <c r="CK24" i="17"/>
  <c r="F26" i="17"/>
  <c r="CJ61" i="17"/>
  <c r="CK48" i="17"/>
  <c r="DI19" i="17"/>
  <c r="DI13" i="17"/>
  <c r="CJ68" i="17"/>
  <c r="CJ64" i="17"/>
  <c r="G79" i="17"/>
  <c r="DJ19" i="17"/>
  <c r="CK64" i="17"/>
  <c r="DJ32" i="17"/>
  <c r="DH124" i="17"/>
  <c r="CJ48" i="17"/>
  <c r="DJ31" i="17"/>
  <c r="DD11" i="17"/>
  <c r="DJ68" i="17"/>
  <c r="CK61" i="17"/>
  <c r="DI12" i="17"/>
  <c r="DF89" i="17"/>
  <c r="DI31" i="17"/>
  <c r="DI21" i="17"/>
  <c r="CK13" i="17"/>
  <c r="CO118" i="17"/>
  <c r="CJ45" i="17"/>
  <c r="DI59" i="17"/>
  <c r="DI51" i="17"/>
  <c r="DI66" i="17"/>
  <c r="CJ43" i="17"/>
  <c r="CK35" i="17"/>
  <c r="DG124" i="17"/>
  <c r="DI35" i="17"/>
  <c r="DJ55" i="17"/>
  <c r="CJ60" i="17"/>
  <c r="CF11" i="17"/>
  <c r="DI56" i="17"/>
  <c r="CD88" i="2"/>
  <c r="H44" i="2"/>
  <c r="DE88" i="2"/>
  <c r="H42" i="2"/>
  <c r="CB88" i="2"/>
  <c r="CB91" i="2"/>
  <c r="H37" i="2"/>
  <c r="H45" i="2"/>
  <c r="DC88" i="2"/>
  <c r="CD86" i="2"/>
  <c r="H40" i="2"/>
  <c r="CB86" i="2"/>
  <c r="D92" i="2"/>
  <c r="H43" i="2"/>
  <c r="DB71" i="2"/>
  <c r="H38" i="2"/>
  <c r="H41" i="2"/>
  <c r="G29" i="6"/>
  <c r="M21" i="6"/>
  <c r="AQ43" i="6" s="1"/>
  <c r="AH17" i="6"/>
  <c r="AQ17" i="6"/>
  <c r="E38" i="6"/>
  <c r="AO17" i="6"/>
  <c r="AN36" i="6"/>
  <c r="Q21" i="6"/>
  <c r="AG36" i="6"/>
  <c r="AM17" i="6"/>
  <c r="AQ35" i="6"/>
  <c r="AE36" i="6"/>
  <c r="CI85" i="7"/>
  <c r="CL95" i="7"/>
  <c r="CJ95" i="7"/>
  <c r="CH95" i="7"/>
  <c r="CG95" i="7"/>
  <c r="CM28" i="7"/>
  <c r="CM97" i="7"/>
  <c r="DG97" i="7"/>
  <c r="CJ16" i="7"/>
  <c r="DA15" i="7"/>
  <c r="DA22" i="7"/>
  <c r="CI27" i="7"/>
  <c r="CK72" i="7"/>
  <c r="DD77" i="7"/>
  <c r="DB95" i="7"/>
  <c r="DC109" i="7"/>
  <c r="DE109" i="7"/>
  <c r="CQ100" i="7"/>
  <c r="DC100" i="7"/>
  <c r="DE100" i="7"/>
  <c r="CR100" i="7"/>
  <c r="CI100" i="7"/>
  <c r="CK100" i="7"/>
  <c r="CL42" i="7"/>
  <c r="CJ42" i="7"/>
  <c r="DF42" i="7"/>
  <c r="CG42" i="7"/>
  <c r="DD42" i="7"/>
  <c r="CH42" i="7"/>
  <c r="DB42" i="7"/>
  <c r="DA42" i="7"/>
  <c r="CQ41" i="7"/>
  <c r="CI41" i="7"/>
  <c r="DK41" i="7"/>
  <c r="DC41" i="7"/>
  <c r="CR41" i="7"/>
  <c r="CK41" i="7"/>
  <c r="DL41" i="7"/>
  <c r="DE41" i="7"/>
  <c r="CL107" i="7"/>
  <c r="DF107" i="7"/>
  <c r="CJ107" i="7"/>
  <c r="DA107" i="7"/>
  <c r="CH107" i="7"/>
  <c r="DB107" i="7"/>
  <c r="CG107" i="7"/>
  <c r="DD107" i="7"/>
  <c r="CK42" i="7"/>
  <c r="CR42" i="7"/>
  <c r="CQ42" i="7"/>
  <c r="CI42" i="7"/>
  <c r="DE42" i="7"/>
  <c r="DL42" i="7"/>
  <c r="DK42" i="7"/>
  <c r="DC42" i="7"/>
  <c r="CH41" i="7"/>
  <c r="CG41" i="7"/>
  <c r="DB41" i="7"/>
  <c r="DA41" i="7"/>
  <c r="CL41" i="7"/>
  <c r="DF41" i="7"/>
  <c r="DD41" i="7"/>
  <c r="CJ41" i="7"/>
  <c r="CJ33" i="7"/>
  <c r="DB33" i="7"/>
  <c r="CL33" i="7"/>
  <c r="DA33" i="7"/>
  <c r="DF33" i="7"/>
  <c r="CH33" i="7"/>
  <c r="CG33" i="7"/>
  <c r="DD33" i="7"/>
  <c r="DK33" i="7"/>
  <c r="CR33" i="7"/>
  <c r="DL33" i="7"/>
  <c r="CQ33" i="7"/>
  <c r="CM109" i="7"/>
  <c r="DG109" i="7"/>
  <c r="CS109" i="7"/>
  <c r="CJ23" i="7"/>
  <c r="DF15" i="7"/>
  <c r="DF22" i="7"/>
  <c r="CK27" i="7"/>
  <c r="DA77" i="7"/>
  <c r="CI73" i="7"/>
  <c r="CR81" i="7"/>
  <c r="CK107" i="7"/>
  <c r="CR107" i="7"/>
  <c r="CI107" i="7"/>
  <c r="CQ107" i="7"/>
  <c r="DC107" i="7"/>
  <c r="DE107" i="7"/>
  <c r="CQ98" i="7"/>
  <c r="CR98" i="7"/>
  <c r="CI98" i="7"/>
  <c r="CK98" i="7"/>
  <c r="CL46" i="7"/>
  <c r="CJ46" i="7"/>
  <c r="CH46" i="7"/>
  <c r="DD46" i="7"/>
  <c r="CG46" i="7"/>
  <c r="DF46" i="7"/>
  <c r="DB46" i="7"/>
  <c r="DA46" i="7"/>
  <c r="CK95" i="7"/>
  <c r="CI95" i="7"/>
  <c r="CQ43" i="7"/>
  <c r="CI43" i="7"/>
  <c r="DK43" i="7"/>
  <c r="DC43" i="7"/>
  <c r="CR43" i="7"/>
  <c r="CK43" i="7"/>
  <c r="DL43" i="7"/>
  <c r="DE43" i="7"/>
  <c r="CL89" i="7"/>
  <c r="DF89" i="7"/>
  <c r="CJ89" i="7"/>
  <c r="DD89" i="7"/>
  <c r="CH89" i="7"/>
  <c r="DB89" i="7"/>
  <c r="CG89" i="7"/>
  <c r="DA89" i="7"/>
  <c r="CQ89" i="7"/>
  <c r="CR89" i="7"/>
  <c r="CH43" i="7"/>
  <c r="CG43" i="7"/>
  <c r="DB43" i="7"/>
  <c r="DA43" i="7"/>
  <c r="DF43" i="7"/>
  <c r="CL43" i="7"/>
  <c r="CJ43" i="7"/>
  <c r="DD43" i="7"/>
  <c r="DF16" i="7"/>
  <c r="CO69" i="7"/>
  <c r="CM69" i="7"/>
  <c r="DG69" i="7"/>
  <c r="CS69" i="7"/>
  <c r="CS99" i="7"/>
  <c r="CM99" i="7"/>
  <c r="CO99" i="7"/>
  <c r="DG99" i="7"/>
  <c r="CN99" i="7"/>
  <c r="CJ15" i="7"/>
  <c r="CG22" i="7"/>
  <c r="DC79" i="7"/>
  <c r="CL77" i="7"/>
  <c r="CK73" i="7"/>
  <c r="DC81" i="7"/>
  <c r="DE85" i="7"/>
  <c r="CQ102" i="7"/>
  <c r="DC102" i="7"/>
  <c r="CR102" i="7"/>
  <c r="CI102" i="7"/>
  <c r="CK102" i="7"/>
  <c r="DE102" i="7"/>
  <c r="CH45" i="7"/>
  <c r="CG45" i="7"/>
  <c r="CL45" i="7"/>
  <c r="DB45" i="7"/>
  <c r="DA45" i="7"/>
  <c r="CJ45" i="7"/>
  <c r="DF45" i="7"/>
  <c r="DD45" i="7"/>
  <c r="CJ53" i="7"/>
  <c r="DD53" i="7"/>
  <c r="CL53" i="7"/>
  <c r="DF53" i="7"/>
  <c r="CQ39" i="7"/>
  <c r="CI39" i="7"/>
  <c r="DK39" i="7"/>
  <c r="DC39" i="7"/>
  <c r="CR39" i="7"/>
  <c r="DE39" i="7"/>
  <c r="CK39" i="7"/>
  <c r="DL39" i="7"/>
  <c r="CI96" i="7"/>
  <c r="CK96" i="7"/>
  <c r="CK99" i="7"/>
  <c r="CR99" i="7"/>
  <c r="CI99" i="7"/>
  <c r="CQ99" i="7"/>
  <c r="CK81" i="7"/>
  <c r="DH17" i="7"/>
  <c r="CH15" i="7"/>
  <c r="CJ22" i="7"/>
  <c r="CK79" i="7"/>
  <c r="DB77" i="7"/>
  <c r="DE73" i="7"/>
  <c r="CI81" i="7"/>
  <c r="CK85" i="7"/>
  <c r="CL101" i="7"/>
  <c r="DA101" i="7"/>
  <c r="CJ101" i="7"/>
  <c r="DB101" i="7"/>
  <c r="CH101" i="7"/>
  <c r="DD101" i="7"/>
  <c r="DF101" i="7"/>
  <c r="CG101" i="7"/>
  <c r="CQ45" i="7"/>
  <c r="CI45" i="7"/>
  <c r="DK45" i="7"/>
  <c r="DC45" i="7"/>
  <c r="CR45" i="7"/>
  <c r="CK45" i="7"/>
  <c r="DL45" i="7"/>
  <c r="DE45" i="7"/>
  <c r="DE53" i="7"/>
  <c r="CI53" i="7"/>
  <c r="CR53" i="7"/>
  <c r="DC53" i="7"/>
  <c r="CQ53" i="7"/>
  <c r="DL53" i="7"/>
  <c r="DK53" i="7"/>
  <c r="CK53" i="7"/>
  <c r="CH39" i="7"/>
  <c r="CG39" i="7"/>
  <c r="CJ39" i="7"/>
  <c r="DB39" i="7"/>
  <c r="DA39" i="7"/>
  <c r="DF39" i="7"/>
  <c r="DD39" i="7"/>
  <c r="CL39" i="7"/>
  <c r="CH96" i="7"/>
  <c r="CG96" i="7"/>
  <c r="CL96" i="7"/>
  <c r="CJ96" i="7"/>
  <c r="CL99" i="7"/>
  <c r="CJ99" i="7"/>
  <c r="CH99" i="7"/>
  <c r="CG99" i="7"/>
  <c r="CH77" i="7"/>
  <c r="DC73" i="7"/>
  <c r="CH102" i="7"/>
  <c r="CG102" i="7"/>
  <c r="DA102" i="7"/>
  <c r="DB102" i="7"/>
  <c r="CL102" i="7"/>
  <c r="CJ102" i="7"/>
  <c r="DD102" i="7"/>
  <c r="DF102" i="7"/>
  <c r="CK46" i="7"/>
  <c r="CR46" i="7"/>
  <c r="CQ46" i="7"/>
  <c r="CI46" i="7"/>
  <c r="DE46" i="7"/>
  <c r="DL46" i="7"/>
  <c r="DC46" i="7"/>
  <c r="DK46" i="7"/>
  <c r="CM44" i="7"/>
  <c r="CN44" i="7"/>
  <c r="DG44" i="7"/>
  <c r="DJ44" i="7"/>
  <c r="CP44" i="7"/>
  <c r="DI44" i="7"/>
  <c r="DH44" i="7"/>
  <c r="CO44" i="7"/>
  <c r="CP31" i="7"/>
  <c r="DF77" i="7"/>
  <c r="DE81" i="7"/>
  <c r="DC85" i="7"/>
  <c r="CK101" i="7"/>
  <c r="CR101" i="7"/>
  <c r="CI101" i="7"/>
  <c r="DC101" i="7"/>
  <c r="CQ101" i="7"/>
  <c r="DE101" i="7"/>
  <c r="CL44" i="7"/>
  <c r="CJ44" i="7"/>
  <c r="CH44" i="7"/>
  <c r="DF44" i="7"/>
  <c r="DD44" i="7"/>
  <c r="CG44" i="7"/>
  <c r="DB44" i="7"/>
  <c r="DA44" i="7"/>
  <c r="CM80" i="7"/>
  <c r="DG80" i="7"/>
  <c r="DI80" i="7"/>
  <c r="CS80" i="7"/>
  <c r="CK40" i="7"/>
  <c r="CR40" i="7"/>
  <c r="CQ40" i="7"/>
  <c r="CI40" i="7"/>
  <c r="DE40" i="7"/>
  <c r="DL40" i="7"/>
  <c r="DK40" i="7"/>
  <c r="DC40" i="7"/>
  <c r="CK97" i="7"/>
  <c r="CI97" i="7"/>
  <c r="DF98" i="7"/>
  <c r="CH98" i="7"/>
  <c r="CG98" i="7"/>
  <c r="CL98" i="7"/>
  <c r="CJ98" i="7"/>
  <c r="CM71" i="7"/>
  <c r="DG71" i="7"/>
  <c r="CS71" i="7"/>
  <c r="CS86" i="7"/>
  <c r="DG86" i="7"/>
  <c r="CM86" i="7"/>
  <c r="CM40" i="7"/>
  <c r="CP40" i="7"/>
  <c r="DG40" i="7"/>
  <c r="DJ40" i="7"/>
  <c r="DC84" i="7"/>
  <c r="DD109" i="7"/>
  <c r="DF109" i="7"/>
  <c r="CH100" i="7"/>
  <c r="DA100" i="7"/>
  <c r="CG100" i="7"/>
  <c r="DB100" i="7"/>
  <c r="DD100" i="7"/>
  <c r="CL100" i="7"/>
  <c r="DF100" i="7"/>
  <c r="CJ100" i="7"/>
  <c r="CK44" i="7"/>
  <c r="CR44" i="7"/>
  <c r="CQ44" i="7"/>
  <c r="CI44" i="7"/>
  <c r="DE44" i="7"/>
  <c r="DL44" i="7"/>
  <c r="DK44" i="7"/>
  <c r="DC44" i="7"/>
  <c r="CL40" i="7"/>
  <c r="CJ40" i="7"/>
  <c r="CH40" i="7"/>
  <c r="DF40" i="7"/>
  <c r="DD40" i="7"/>
  <c r="DB40" i="7"/>
  <c r="CG40" i="7"/>
  <c r="DA40" i="7"/>
  <c r="DF97" i="7"/>
  <c r="CL97" i="7"/>
  <c r="CJ97" i="7"/>
  <c r="CH97" i="7"/>
  <c r="CG97" i="7"/>
  <c r="BR26" i="18"/>
  <c r="BC26" i="18" s="1"/>
  <c r="BQ12" i="18"/>
  <c r="BR12" i="18"/>
  <c r="BC12" i="18" s="1"/>
  <c r="BQ34" i="18"/>
  <c r="BB34" i="18" s="1"/>
  <c r="BR34" i="18"/>
  <c r="BC34" i="18" s="1"/>
  <c r="BR30" i="18"/>
  <c r="BC30" i="18" s="1"/>
  <c r="BQ30" i="18"/>
  <c r="BB30" i="18" s="1"/>
  <c r="BR20" i="18"/>
  <c r="BC20" i="18" s="1"/>
  <c r="BQ20" i="18"/>
  <c r="BB20" i="18" s="1"/>
  <c r="AY15" i="10"/>
  <c r="AV82" i="16"/>
  <c r="AL82" i="16"/>
  <c r="AW82" i="16"/>
  <c r="CF14" i="17"/>
  <c r="DJ22" i="17"/>
  <c r="CJ24" i="17"/>
  <c r="CJ32" i="17"/>
  <c r="CD11" i="17"/>
  <c r="G77" i="17"/>
  <c r="D91" i="17"/>
  <c r="E36" i="17"/>
  <c r="E71" i="17"/>
  <c r="F38" i="17"/>
  <c r="DI32" i="17"/>
  <c r="DI44" i="17"/>
  <c r="E29" i="17"/>
  <c r="DJ70" i="17"/>
  <c r="DB12" i="17"/>
  <c r="DI24" i="17"/>
  <c r="CC11" i="17"/>
  <c r="DC43" i="17"/>
  <c r="DF11" i="17"/>
  <c r="CD23" i="4"/>
  <c r="AR23" i="4" s="1"/>
  <c r="CN20" i="4"/>
  <c r="CN35" i="4"/>
  <c r="CN14" i="4"/>
  <c r="CM57" i="5"/>
  <c r="CM61" i="5"/>
  <c r="BC61" i="5"/>
  <c r="CN25" i="4"/>
  <c r="CN32" i="4"/>
  <c r="CN21" i="4"/>
  <c r="CM38" i="4"/>
  <c r="DB86" i="2"/>
  <c r="DD86" i="2"/>
  <c r="CE86" i="2"/>
  <c r="DE86" i="2"/>
  <c r="CC86" i="2"/>
  <c r="DJ62" i="2"/>
  <c r="CF30" i="4"/>
  <c r="CN30" i="4"/>
  <c r="CF19" i="4"/>
  <c r="CN19" i="4"/>
  <c r="CQ27" i="5"/>
  <c r="BE27" i="5"/>
  <c r="DD79" i="7"/>
  <c r="CH79" i="7"/>
  <c r="DA79" i="7"/>
  <c r="CL79" i="7"/>
  <c r="DF79" i="7"/>
  <c r="DF32" i="7"/>
  <c r="CJ32" i="7"/>
  <c r="CR16" i="7"/>
  <c r="DE16" i="7"/>
  <c r="CK16" i="7"/>
  <c r="CM16" i="7"/>
  <c r="AK94" i="16"/>
  <c r="AV94" i="16"/>
  <c r="CH11" i="17"/>
  <c r="DG11" i="17"/>
  <c r="E38" i="17"/>
  <c r="CE90" i="2"/>
  <c r="CD90" i="2"/>
  <c r="DE90" i="2"/>
  <c r="DD90" i="2"/>
  <c r="CB90" i="2"/>
  <c r="DC90" i="2"/>
  <c r="DB90" i="2"/>
  <c r="AV86" i="16"/>
  <c r="CE37" i="4"/>
  <c r="CM37" i="4"/>
  <c r="DI71" i="7"/>
  <c r="CO71" i="7"/>
  <c r="CN71" i="7"/>
  <c r="CF34" i="4"/>
  <c r="CN34" i="4"/>
  <c r="DC23" i="7"/>
  <c r="CI23" i="7"/>
  <c r="CK23" i="7"/>
  <c r="AL14" i="16"/>
  <c r="AW14" i="16"/>
  <c r="AM14" i="16"/>
  <c r="AX14" i="16"/>
  <c r="CF16" i="4"/>
  <c r="CN16" i="4"/>
  <c r="CL16" i="4"/>
  <c r="AI18" i="6"/>
  <c r="AE18" i="6"/>
  <c r="AQ18" i="6"/>
  <c r="AG18" i="6"/>
  <c r="AL18" i="6"/>
  <c r="AN18" i="6"/>
  <c r="DC98" i="7"/>
  <c r="DE98" i="7"/>
  <c r="CN13" i="4"/>
  <c r="CF13" i="4"/>
  <c r="AU88" i="16"/>
  <c r="AJ88" i="16"/>
  <c r="CD12" i="17"/>
  <c r="DC12" i="17"/>
  <c r="C4" i="12"/>
  <c r="AX20" i="16"/>
  <c r="AM20" i="16"/>
  <c r="AL37" i="6"/>
  <c r="AG37" i="6"/>
  <c r="AN37" i="6"/>
  <c r="AE37" i="6"/>
  <c r="DB84" i="7"/>
  <c r="DA84" i="7"/>
  <c r="CG84" i="7"/>
  <c r="CQ84" i="7"/>
  <c r="CL84" i="7"/>
  <c r="DF27" i="7"/>
  <c r="DD27" i="7"/>
  <c r="CL27" i="7"/>
  <c r="DK27" i="7"/>
  <c r="CQ27" i="7"/>
  <c r="AK82" i="16"/>
  <c r="AU82" i="16"/>
  <c r="DJ17" i="7"/>
  <c r="DI17" i="7"/>
  <c r="CP17" i="7"/>
  <c r="CM17" i="7"/>
  <c r="CN17" i="7"/>
  <c r="CF26" i="4"/>
  <c r="CN26" i="4"/>
  <c r="L21" i="6"/>
  <c r="DB72" i="7"/>
  <c r="CG72" i="7"/>
  <c r="CL72" i="7"/>
  <c r="DD72" i="7"/>
  <c r="AK91" i="16"/>
  <c r="AJ91" i="16"/>
  <c r="AV91" i="16"/>
  <c r="AU91" i="16"/>
  <c r="AV71" i="16"/>
  <c r="AX71" i="16"/>
  <c r="CL37" i="4"/>
  <c r="DF72" i="7"/>
  <c r="AE55" i="6"/>
  <c r="AN55" i="6"/>
  <c r="CJ81" i="7"/>
  <c r="DB73" i="7"/>
  <c r="CR73" i="7"/>
  <c r="CG28" i="7"/>
  <c r="DB28" i="7"/>
  <c r="CH28" i="7"/>
  <c r="DL28" i="7"/>
  <c r="DB24" i="7"/>
  <c r="CQ24" i="7"/>
  <c r="DD24" i="7"/>
  <c r="DL24" i="7"/>
  <c r="DC17" i="7"/>
  <c r="DE17" i="7"/>
  <c r="CQ17" i="7"/>
  <c r="CI17" i="7"/>
  <c r="AP28" i="6"/>
  <c r="AG28" i="6"/>
  <c r="K124" i="17"/>
  <c r="AW61" i="16"/>
  <c r="AX37" i="16"/>
  <c r="AX30" i="16"/>
  <c r="DG30" i="7"/>
  <c r="AL24" i="16"/>
  <c r="CK17" i="7"/>
  <c r="CF24" i="4"/>
  <c r="CF33" i="4"/>
  <c r="AV61" i="16"/>
  <c r="AM35" i="16"/>
  <c r="CF29" i="4"/>
  <c r="CN15" i="4"/>
  <c r="AJ14" i="6"/>
  <c r="CJ83" i="7"/>
  <c r="DF83" i="7"/>
  <c r="DF26" i="7"/>
  <c r="CH26" i="7"/>
  <c r="CJ26" i="7"/>
  <c r="DC15" i="7"/>
  <c r="CI15" i="7"/>
  <c r="CK15" i="7"/>
  <c r="AU93" i="16"/>
  <c r="AV93" i="16"/>
  <c r="AK93" i="16"/>
  <c r="AJ93" i="16"/>
  <c r="AO75" i="16"/>
  <c r="AY75" i="16"/>
  <c r="AN75" i="16"/>
  <c r="AZ74" i="16"/>
  <c r="AK74" i="16"/>
  <c r="AO58" i="16"/>
  <c r="AZ58" i="16"/>
  <c r="AY58" i="16"/>
  <c r="AN58" i="16"/>
  <c r="M38" i="16"/>
  <c r="AO14" i="16"/>
  <c r="AZ14" i="16"/>
  <c r="AY14" i="16"/>
  <c r="AN27" i="16"/>
  <c r="AY27" i="16"/>
  <c r="AZ27" i="16"/>
  <c r="AO39" i="16"/>
  <c r="AY39" i="16"/>
  <c r="AN22" i="16"/>
  <c r="AY22" i="16"/>
  <c r="AO22" i="16"/>
  <c r="AZ22" i="16"/>
  <c r="AH36" i="6"/>
  <c r="AQ36" i="6"/>
  <c r="AI36" i="6"/>
  <c r="AO36" i="6"/>
  <c r="AJ36" i="6"/>
  <c r="AP36" i="6"/>
  <c r="CK46" i="17"/>
  <c r="CJ46" i="17"/>
  <c r="DI46" i="17"/>
  <c r="DJ46" i="17"/>
  <c r="CK53" i="17"/>
  <c r="CJ53" i="17"/>
  <c r="DJ53" i="17"/>
  <c r="DI53" i="17"/>
  <c r="CK60" i="17"/>
  <c r="DI60" i="17"/>
  <c r="CJ63" i="17"/>
  <c r="CK63" i="17"/>
  <c r="DJ63" i="17"/>
  <c r="CJ67" i="17"/>
  <c r="DI67" i="17"/>
  <c r="DJ67" i="17"/>
  <c r="AN32" i="16"/>
  <c r="AZ32" i="16"/>
  <c r="AO32" i="16"/>
  <c r="DA95" i="7"/>
  <c r="DF95" i="7"/>
  <c r="CK16" i="17"/>
  <c r="CJ16" i="17"/>
  <c r="DI16" i="17"/>
  <c r="DI18" i="17"/>
  <c r="CJ18" i="17"/>
  <c r="CK18" i="17"/>
  <c r="CJ28" i="17"/>
  <c r="DI28" i="17"/>
  <c r="DJ28" i="17"/>
  <c r="CK28" i="17"/>
  <c r="DJ30" i="17"/>
  <c r="CJ30" i="17"/>
  <c r="CK30" i="17"/>
  <c r="DI34" i="17"/>
  <c r="DJ34" i="17"/>
  <c r="CJ34" i="17"/>
  <c r="AY46" i="16"/>
  <c r="AO46" i="16"/>
  <c r="AN46" i="16"/>
  <c r="AZ46" i="16"/>
  <c r="CN18" i="4"/>
  <c r="CF18" i="4"/>
  <c r="CO38" i="5"/>
  <c r="BD38" i="5"/>
  <c r="AP17" i="6"/>
  <c r="AJ17" i="6"/>
  <c r="AE17" i="6"/>
  <c r="AG17" i="6"/>
  <c r="AN17" i="6"/>
  <c r="CJ71" i="7"/>
  <c r="CQ71" i="7"/>
  <c r="CL30" i="7"/>
  <c r="CJ30" i="7"/>
  <c r="DC22" i="7"/>
  <c r="DE22" i="7"/>
  <c r="CI22" i="7"/>
  <c r="CQ22" i="7"/>
  <c r="AW58" i="16"/>
  <c r="AV58" i="16"/>
  <c r="AM58" i="16"/>
  <c r="AL48" i="16"/>
  <c r="J21" i="6"/>
  <c r="CR15" i="7"/>
  <c r="CL87" i="7"/>
  <c r="CN29" i="4"/>
  <c r="CK67" i="17"/>
  <c r="CK34" i="17"/>
  <c r="AY74" i="16"/>
  <c r="AN14" i="16"/>
  <c r="CO26" i="7"/>
  <c r="CD18" i="4"/>
  <c r="AX27" i="16"/>
  <c r="AW27" i="16"/>
  <c r="CR22" i="7"/>
  <c r="DI63" i="17"/>
  <c r="AO27" i="16"/>
  <c r="AO21" i="16"/>
  <c r="AN17" i="16"/>
  <c r="AY62" i="16"/>
  <c r="AO37" i="16"/>
  <c r="AM14" i="6"/>
  <c r="AH14" i="6"/>
  <c r="AO14" i="6"/>
  <c r="CG15" i="7"/>
  <c r="CL15" i="7"/>
  <c r="AP27" i="6"/>
  <c r="AH27" i="6"/>
  <c r="AQ27" i="6"/>
  <c r="AM27" i="6"/>
  <c r="AN74" i="16"/>
  <c r="AN61" i="16"/>
  <c r="AO61" i="16"/>
  <c r="AY61" i="16"/>
  <c r="AZ25" i="16"/>
  <c r="DJ52" i="17"/>
  <c r="DC95" i="7"/>
  <c r="CF25" i="4"/>
  <c r="CK15" i="17"/>
  <c r="DI15" i="17"/>
  <c r="CK27" i="17"/>
  <c r="CJ27" i="17"/>
  <c r="CK33" i="17"/>
  <c r="CJ33" i="17"/>
  <c r="CE11" i="17"/>
  <c r="AN62" i="16"/>
  <c r="AZ33" i="16"/>
  <c r="AF34" i="6"/>
  <c r="AI34" i="6"/>
  <c r="DJ58" i="17"/>
  <c r="CK32" i="17"/>
  <c r="AY33" i="16"/>
  <c r="CN36" i="4"/>
  <c r="CF32" i="4"/>
  <c r="CN28" i="4"/>
  <c r="AV90" i="16"/>
  <c r="AK90" i="16"/>
  <c r="AK87" i="16"/>
  <c r="AJ87" i="16"/>
  <c r="CF12" i="17"/>
  <c r="CF36" i="4"/>
  <c r="AN70" i="16"/>
  <c r="AK70" i="16"/>
  <c r="AZ70" i="16"/>
  <c r="AO33" i="16"/>
  <c r="AO28" i="16"/>
  <c r="AN28" i="16"/>
  <c r="CK44" i="17"/>
  <c r="CJ44" i="17"/>
  <c r="CK49" i="17"/>
  <c r="CJ49" i="17"/>
  <c r="CK56" i="17"/>
  <c r="CJ56" i="17"/>
  <c r="CK58" i="17"/>
  <c r="CJ58" i="17"/>
  <c r="CK65" i="17"/>
  <c r="CJ65" i="17"/>
  <c r="CJ70" i="17"/>
  <c r="CK70" i="17"/>
  <c r="DA97" i="7"/>
  <c r="DJ20" i="7"/>
  <c r="DA20" i="7"/>
  <c r="CG20" i="7"/>
  <c r="DF20" i="7"/>
  <c r="CL20" i="7"/>
  <c r="CQ20" i="7"/>
  <c r="DF14" i="17"/>
  <c r="DG14" i="17"/>
  <c r="CJ22" i="17"/>
  <c r="CK22" i="17"/>
  <c r="DI22" i="17"/>
  <c r="DB97" i="7"/>
  <c r="DJ44" i="17"/>
  <c r="DJ65" i="17"/>
  <c r="DI49" i="17"/>
  <c r="AF27" i="6"/>
  <c r="AY21" i="16"/>
  <c r="AO74" i="16"/>
  <c r="AY37" i="16"/>
  <c r="AZ73" i="16"/>
  <c r="DJ24" i="17"/>
  <c r="DD87" i="2"/>
  <c r="E19" i="16"/>
  <c r="D19" i="16" s="1"/>
  <c r="R21" i="6"/>
  <c r="D124" i="17"/>
  <c r="AJ86" i="16"/>
  <c r="AK89" i="16"/>
  <c r="CI11" i="17"/>
  <c r="DB88" i="2"/>
  <c r="G78" i="17"/>
  <c r="K122" i="17"/>
  <c r="K123" i="17"/>
  <c r="AN57" i="16"/>
  <c r="J23" i="16"/>
  <c r="AD55" i="6"/>
  <c r="CR77" i="7"/>
  <c r="CC88" i="2"/>
  <c r="CC91" i="2"/>
  <c r="CE91" i="2"/>
  <c r="AZ57" i="16"/>
  <c r="AJ82" i="16"/>
  <c r="G76" i="17"/>
  <c r="BH16" i="5"/>
  <c r="CM68" i="5"/>
  <c r="BG21" i="5"/>
  <c r="BD39" i="5"/>
  <c r="BC59" i="5"/>
  <c r="CR16" i="5"/>
  <c r="CP26" i="5"/>
  <c r="CP37" i="5"/>
  <c r="CN40" i="5"/>
  <c r="BL26" i="5"/>
  <c r="CM55" i="5"/>
  <c r="CO21" i="5"/>
  <c r="BH18" i="5"/>
  <c r="BG23" i="5"/>
  <c r="BH37" i="5"/>
  <c r="BH40" i="5"/>
  <c r="BH26" i="5"/>
  <c r="CN37" i="5"/>
  <c r="BD37" i="5"/>
  <c r="BE40" i="5"/>
  <c r="CP18" i="5"/>
  <c r="BE21" i="5"/>
  <c r="BF37" i="5"/>
  <c r="BF38" i="5"/>
  <c r="CR36" i="5"/>
  <c r="BH24" i="5"/>
  <c r="CX14" i="5"/>
  <c r="CO23" i="5"/>
  <c r="CR26" i="5"/>
  <c r="BF18" i="5"/>
  <c r="BE23" i="5"/>
  <c r="CR37" i="5"/>
  <c r="BF40" i="5"/>
  <c r="BF36" i="5"/>
  <c r="CM37" i="5"/>
  <c r="BG38" i="5"/>
  <c r="CO27" i="5"/>
  <c r="CQ13" i="5"/>
  <c r="CP22" i="5"/>
  <c r="CM58" i="5"/>
  <c r="CM47" i="5"/>
  <c r="CQ25" i="5"/>
  <c r="BE25" i="5"/>
  <c r="BG39" i="5"/>
  <c r="BE24" i="5"/>
  <c r="BE38" i="5"/>
  <c r="BG40" i="5"/>
  <c r="CQ38" i="5"/>
  <c r="BC56" i="5"/>
  <c r="CM38" i="5"/>
  <c r="F28" i="5"/>
  <c r="CM67" i="5"/>
  <c r="CQ39" i="5"/>
  <c r="CO13" i="5"/>
  <c r="CQ40" i="5"/>
  <c r="CQ18" i="5"/>
  <c r="BE13" i="5"/>
  <c r="BK18" i="5"/>
  <c r="BC40" i="5"/>
  <c r="BD36" i="5"/>
  <c r="AM48" i="16"/>
  <c r="AW48" i="16"/>
  <c r="CO18" i="5"/>
  <c r="CM36" i="5"/>
  <c r="BE33" i="5"/>
  <c r="BD35" i="5"/>
  <c r="BH39" i="5"/>
  <c r="BE16" i="5"/>
  <c r="CR15" i="5"/>
  <c r="CQ36" i="5"/>
  <c r="CO36" i="5"/>
  <c r="BE36" i="5"/>
  <c r="CN33" i="5"/>
  <c r="BD33" i="5"/>
  <c r="BE14" i="5"/>
  <c r="BF27" i="5"/>
  <c r="BG35" i="5"/>
  <c r="CN39" i="5"/>
  <c r="BC39" i="5"/>
  <c r="CM54" i="5"/>
  <c r="CO20" i="5"/>
  <c r="BH35" i="5"/>
  <c r="BC48" i="5"/>
  <c r="CR39" i="5"/>
  <c r="BC36" i="5"/>
  <c r="CO33" i="5"/>
  <c r="AM34" i="5"/>
  <c r="CM35" i="5"/>
  <c r="BK26" i="5"/>
  <c r="CQ33" i="5"/>
  <c r="CR33" i="5"/>
  <c r="CR35" i="5"/>
  <c r="CN36" i="5"/>
  <c r="CP23" i="5"/>
  <c r="BE35" i="5"/>
  <c r="BF39" i="5"/>
  <c r="BE22" i="10"/>
  <c r="CP24" i="7"/>
  <c r="CH71" i="7"/>
  <c r="CR27" i="7"/>
  <c r="DC21" i="7"/>
  <c r="CH25" i="7"/>
  <c r="DD25" i="7"/>
  <c r="DB27" i="7"/>
  <c r="CL29" i="7"/>
  <c r="CQ85" i="7"/>
  <c r="CH73" i="7"/>
  <c r="CG78" i="7"/>
  <c r="CH81" i="7"/>
  <c r="CL85" i="7"/>
  <c r="DD31" i="7"/>
  <c r="CO17" i="7"/>
  <c r="DH71" i="7"/>
  <c r="DG21" i="7"/>
  <c r="DD71" i="7"/>
  <c r="CQ25" i="7"/>
  <c r="DL25" i="7"/>
  <c r="DK29" i="7"/>
  <c r="DL29" i="7"/>
  <c r="DE23" i="7"/>
  <c r="CH27" i="7"/>
  <c r="CR78" i="7"/>
  <c r="CR83" i="7"/>
  <c r="CQ83" i="7"/>
  <c r="DG24" i="7"/>
  <c r="CM24" i="7"/>
  <c r="DA98" i="7"/>
  <c r="DB98" i="7"/>
  <c r="DD98" i="7"/>
  <c r="CJ87" i="7"/>
  <c r="CR87" i="7"/>
  <c r="DD87" i="7"/>
  <c r="CQ87" i="7"/>
  <c r="DF85" i="7"/>
  <c r="DD85" i="7"/>
  <c r="CR85" i="7"/>
  <c r="DA83" i="7"/>
  <c r="CG83" i="7"/>
  <c r="CL83" i="7"/>
  <c r="DB83" i="7"/>
  <c r="DD83" i="7"/>
  <c r="DA81" i="7"/>
  <c r="CG81" i="7"/>
  <c r="CL81" i="7"/>
  <c r="DB81" i="7"/>
  <c r="DD81" i="7"/>
  <c r="DF78" i="7"/>
  <c r="DA78" i="7"/>
  <c r="CL78" i="7"/>
  <c r="DD78" i="7"/>
  <c r="CQ78" i="7"/>
  <c r="DB78" i="7"/>
  <c r="DA73" i="7"/>
  <c r="DF73" i="7"/>
  <c r="DD73" i="7"/>
  <c r="CL73" i="7"/>
  <c r="CQ73" i="7"/>
  <c r="CG73" i="7"/>
  <c r="DB71" i="7"/>
  <c r="CG71" i="7"/>
  <c r="CL71" i="7"/>
  <c r="DF31" i="7"/>
  <c r="CQ31" i="7"/>
  <c r="CR31" i="7"/>
  <c r="CL31" i="7"/>
  <c r="DL31" i="7"/>
  <c r="CJ31" i="7"/>
  <c r="CJ29" i="7"/>
  <c r="CQ29" i="7"/>
  <c r="CJ27" i="7"/>
  <c r="CG27" i="7"/>
  <c r="DL27" i="7"/>
  <c r="DA25" i="7"/>
  <c r="CJ25" i="7"/>
  <c r="DE21" i="7"/>
  <c r="CI21" i="7"/>
  <c r="DE13" i="7"/>
  <c r="CI13" i="7"/>
  <c r="DE96" i="7"/>
  <c r="DC96" i="7"/>
  <c r="DE77" i="7"/>
  <c r="CQ77" i="7"/>
  <c r="DC77" i="7"/>
  <c r="CP30" i="7"/>
  <c r="CO24" i="7"/>
  <c r="DI25" i="7"/>
  <c r="CK13" i="7"/>
  <c r="CI16" i="7"/>
  <c r="CR23" i="7"/>
  <c r="DA71" i="7"/>
  <c r="DF71" i="7"/>
  <c r="CR25" i="7"/>
  <c r="DK25" i="7"/>
  <c r="CR29" i="7"/>
  <c r="DC16" i="7"/>
  <c r="CG25" i="7"/>
  <c r="DF25" i="7"/>
  <c r="DA27" i="7"/>
  <c r="DD29" i="7"/>
  <c r="CQ81" i="7"/>
  <c r="CJ78" i="7"/>
  <c r="DF81" i="7"/>
  <c r="CH83" i="7"/>
  <c r="DC13" i="7"/>
  <c r="CJ72" i="7"/>
  <c r="CH72" i="7"/>
  <c r="DD76" i="7"/>
  <c r="CR24" i="7"/>
  <c r="CR109" i="7"/>
  <c r="CL109" i="7"/>
  <c r="DD88" i="7"/>
  <c r="DF88" i="7"/>
  <c r="CL86" i="7"/>
  <c r="CJ86" i="7"/>
  <c r="CJ84" i="7"/>
  <c r="CH84" i="7"/>
  <c r="DF84" i="7"/>
  <c r="DD84" i="7"/>
  <c r="CJ82" i="7"/>
  <c r="CH82" i="7"/>
  <c r="DF82" i="7"/>
  <c r="DD82" i="7"/>
  <c r="CJ79" i="7"/>
  <c r="CG79" i="7"/>
  <c r="DB79" i="7"/>
  <c r="DB76" i="7"/>
  <c r="CG76" i="7"/>
  <c r="DF69" i="7"/>
  <c r="DA69" i="7"/>
  <c r="CR69" i="7"/>
  <c r="CL69" i="7"/>
  <c r="DD69" i="7"/>
  <c r="DD32" i="7"/>
  <c r="CL32" i="7"/>
  <c r="DD30" i="7"/>
  <c r="CQ30" i="7"/>
  <c r="DF30" i="7"/>
  <c r="DD28" i="7"/>
  <c r="CJ28" i="7"/>
  <c r="DF28" i="7"/>
  <c r="CL28" i="7"/>
  <c r="DD26" i="7"/>
  <c r="CL26" i="7"/>
  <c r="DB26" i="7"/>
  <c r="CG26" i="7"/>
  <c r="DF24" i="7"/>
  <c r="CL24" i="7"/>
  <c r="DK24" i="7"/>
  <c r="CJ24" i="7"/>
  <c r="CH24" i="7"/>
  <c r="DK22" i="7"/>
  <c r="DL22" i="7"/>
  <c r="DK17" i="7"/>
  <c r="DL17" i="7"/>
  <c r="DK15" i="7"/>
  <c r="DL15" i="7"/>
  <c r="DE95" i="7"/>
  <c r="DE97" i="7"/>
  <c r="DK20" i="7"/>
  <c r="DL20" i="7"/>
  <c r="DE99" i="7"/>
  <c r="BI26" i="5"/>
  <c r="CQ24" i="5"/>
  <c r="CQ16" i="5"/>
  <c r="CX16" i="5"/>
  <c r="BE22" i="5"/>
  <c r="CX24" i="5"/>
  <c r="BF20" i="5"/>
  <c r="BL24" i="5"/>
  <c r="BH22" i="5"/>
  <c r="CO16" i="5"/>
  <c r="BG18" i="5"/>
  <c r="BH17" i="5"/>
  <c r="CX22" i="5"/>
  <c r="BG26" i="5"/>
  <c r="CO14" i="5"/>
  <c r="CO26" i="5"/>
  <c r="CR20" i="5"/>
  <c r="CP20" i="5"/>
  <c r="BG14" i="5"/>
  <c r="CX13" i="5"/>
  <c r="CR21" i="5"/>
  <c r="CW16" i="5"/>
  <c r="BL18" i="5"/>
  <c r="CW22" i="5"/>
  <c r="BK24" i="5"/>
  <c r="BE26" i="5"/>
  <c r="BL16" i="5"/>
  <c r="BK20" i="5"/>
  <c r="CQ26" i="5"/>
  <c r="CR22" i="5"/>
  <c r="CO24" i="5"/>
  <c r="CX17" i="5"/>
  <c r="CW24" i="5"/>
  <c r="CQ19" i="5"/>
  <c r="CP25" i="5"/>
  <c r="CQ20" i="5"/>
  <c r="CP13" i="5"/>
  <c r="CO22" i="5"/>
  <c r="CW21" i="5"/>
  <c r="BK23" i="5"/>
  <c r="BL15" i="5"/>
  <c r="BH25" i="5"/>
  <c r="BH27" i="5"/>
  <c r="BF17" i="5"/>
  <c r="BE20" i="5"/>
  <c r="CX20" i="5"/>
  <c r="BK22" i="5"/>
  <c r="BK25" i="5"/>
  <c r="BK15" i="5"/>
  <c r="CR17" i="5"/>
  <c r="BI25" i="5"/>
  <c r="CX21" i="5"/>
  <c r="BL23" i="5"/>
  <c r="BF23" i="5"/>
  <c r="BF25" i="5"/>
  <c r="BH15" i="5"/>
  <c r="CX18" i="5"/>
  <c r="BL20" i="5"/>
  <c r="CW20" i="5"/>
  <c r="BL22" i="5"/>
  <c r="CP15" i="5"/>
  <c r="CQ22" i="5"/>
  <c r="CW18" i="5"/>
  <c r="BG25" i="5"/>
  <c r="CW25" i="5"/>
  <c r="BL27" i="5"/>
  <c r="BG15" i="5"/>
  <c r="CX15" i="5"/>
  <c r="BL17" i="5"/>
  <c r="BG19" i="5"/>
  <c r="BF13" i="5"/>
  <c r="CQ17" i="5"/>
  <c r="BL13" i="5"/>
  <c r="CO15" i="5"/>
  <c r="CP21" i="5"/>
  <c r="CO19" i="5"/>
  <c r="CW19" i="5"/>
  <c r="BL21" i="5"/>
  <c r="CW23" i="5"/>
  <c r="BL25" i="5"/>
  <c r="CX25" i="5"/>
  <c r="BK27" i="5"/>
  <c r="BK13" i="5"/>
  <c r="BE15" i="5"/>
  <c r="CW15" i="5"/>
  <c r="BK17" i="5"/>
  <c r="BE19" i="5"/>
  <c r="BH21" i="5"/>
  <c r="BH13" i="5"/>
  <c r="CO17" i="5"/>
  <c r="BI27" i="5"/>
  <c r="CX19" i="5"/>
  <c r="BK21" i="5"/>
  <c r="CX23" i="5"/>
  <c r="BG27" i="5"/>
  <c r="CW13" i="5"/>
  <c r="CW17" i="5"/>
  <c r="AV72" i="16"/>
  <c r="AM72" i="16"/>
  <c r="DI99" i="7"/>
  <c r="DH99" i="7"/>
  <c r="CM51" i="5"/>
  <c r="BC51" i="5"/>
  <c r="AJ55" i="6"/>
  <c r="AS55" i="6"/>
  <c r="O21" i="6"/>
  <c r="CN69" i="7"/>
  <c r="DI69" i="7"/>
  <c r="AX72" i="16"/>
  <c r="DH69" i="7"/>
  <c r="AP18" i="6"/>
  <c r="AH18" i="6"/>
  <c r="AJ18" i="6"/>
  <c r="AO18" i="6"/>
  <c r="AF18" i="6"/>
  <c r="AO16" i="6"/>
  <c r="AJ16" i="6"/>
  <c r="AF16" i="6"/>
  <c r="AI16" i="6"/>
  <c r="AQ16" i="6"/>
  <c r="AM16" i="6"/>
  <c r="AN14" i="6"/>
  <c r="AG14" i="6"/>
  <c r="AQ14" i="6"/>
  <c r="AI14" i="6"/>
  <c r="AE14" i="6"/>
  <c r="AE12" i="6"/>
  <c r="AJ12" i="6"/>
  <c r="AP12" i="6"/>
  <c r="AG12" i="6"/>
  <c r="AQ12" i="6"/>
  <c r="CQ109" i="7"/>
  <c r="CI109" i="7"/>
  <c r="CK109" i="7"/>
  <c r="CR88" i="7"/>
  <c r="DE88" i="7"/>
  <c r="CQ88" i="7"/>
  <c r="DC88" i="7"/>
  <c r="CK86" i="7"/>
  <c r="CI86" i="7"/>
  <c r="CR86" i="7"/>
  <c r="DE86" i="7"/>
  <c r="CK84" i="7"/>
  <c r="CI84" i="7"/>
  <c r="CR84" i="7"/>
  <c r="DE84" i="7"/>
  <c r="CK82" i="7"/>
  <c r="CI82" i="7"/>
  <c r="CR82" i="7"/>
  <c r="DE82" i="7"/>
  <c r="CQ79" i="7"/>
  <c r="CR79" i="7"/>
  <c r="CI79" i="7"/>
  <c r="DE79" i="7"/>
  <c r="CQ76" i="7"/>
  <c r="CI76" i="7"/>
  <c r="CR76" i="7"/>
  <c r="DE76" i="7"/>
  <c r="CQ72" i="7"/>
  <c r="CI72" i="7"/>
  <c r="CR72" i="7"/>
  <c r="DE72" i="7"/>
  <c r="CI69" i="7"/>
  <c r="DE69" i="7"/>
  <c r="DC69" i="7"/>
  <c r="CK69" i="7"/>
  <c r="DL32" i="7"/>
  <c r="CI32" i="7"/>
  <c r="DE32" i="7"/>
  <c r="CR32" i="7"/>
  <c r="DK32" i="7"/>
  <c r="CK32" i="7"/>
  <c r="DC30" i="7"/>
  <c r="CR30" i="7"/>
  <c r="CI30" i="7"/>
  <c r="CK30" i="7"/>
  <c r="DK30" i="7"/>
  <c r="DL30" i="7"/>
  <c r="CR28" i="7"/>
  <c r="DE28" i="7"/>
  <c r="CK28" i="7"/>
  <c r="CI28" i="7"/>
  <c r="DK28" i="7"/>
  <c r="CQ28" i="7"/>
  <c r="DL26" i="7"/>
  <c r="CQ26" i="7"/>
  <c r="DE26" i="7"/>
  <c r="CI26" i="7"/>
  <c r="DK26" i="7"/>
  <c r="CK26" i="7"/>
  <c r="DB23" i="7"/>
  <c r="DL23" i="7"/>
  <c r="DA23" i="7"/>
  <c r="CG23" i="7"/>
  <c r="DD23" i="7"/>
  <c r="DK23" i="7"/>
  <c r="CL23" i="7"/>
  <c r="CQ23" i="7"/>
  <c r="DB21" i="7"/>
  <c r="DL21" i="7"/>
  <c r="DA21" i="7"/>
  <c r="CJ21" i="7"/>
  <c r="CR21" i="7"/>
  <c r="DD21" i="7"/>
  <c r="DK21" i="7"/>
  <c r="CH21" i="7"/>
  <c r="CQ21" i="7"/>
  <c r="DB16" i="7"/>
  <c r="DL16" i="7"/>
  <c r="DA16" i="7"/>
  <c r="CL16" i="7"/>
  <c r="DD16" i="7"/>
  <c r="DK16" i="7"/>
  <c r="CH16" i="7"/>
  <c r="CQ16" i="7"/>
  <c r="DF13" i="7"/>
  <c r="DK13" i="7"/>
  <c r="CG13" i="7"/>
  <c r="CQ13" i="7"/>
  <c r="DL13" i="7"/>
  <c r="DA13" i="7"/>
  <c r="CJ13" i="7"/>
  <c r="CR13" i="7"/>
  <c r="AJ26" i="6"/>
  <c r="AI26" i="6"/>
  <c r="AQ26" i="6"/>
  <c r="AE26" i="6"/>
  <c r="AP26" i="6"/>
  <c r="AH28" i="6"/>
  <c r="AJ28" i="6"/>
  <c r="AO28" i="6"/>
  <c r="AF28" i="6"/>
  <c r="AI28" i="6"/>
  <c r="AQ28" i="6"/>
  <c r="CF22" i="4"/>
  <c r="CN22" i="4"/>
  <c r="AV84" i="16"/>
  <c r="AK84" i="16"/>
  <c r="AJ94" i="16"/>
  <c r="AU94" i="16"/>
  <c r="AK85" i="16"/>
  <c r="AJ85" i="16"/>
  <c r="AN69" i="16"/>
  <c r="AZ69" i="16"/>
  <c r="AY69" i="16"/>
  <c r="AN72" i="16"/>
  <c r="AY72" i="16"/>
  <c r="AZ72" i="16"/>
  <c r="AZ76" i="16"/>
  <c r="AO76" i="16"/>
  <c r="AN76" i="16"/>
  <c r="AY60" i="16"/>
  <c r="AO60" i="16"/>
  <c r="AN60" i="16"/>
  <c r="AZ48" i="16"/>
  <c r="AN48" i="16"/>
  <c r="AO48" i="16"/>
  <c r="AO47" i="16"/>
  <c r="AN47" i="16"/>
  <c r="AZ47" i="16"/>
  <c r="AN51" i="16"/>
  <c r="AZ51" i="16"/>
  <c r="AY51" i="16"/>
  <c r="CG12" i="17"/>
  <c r="DF12" i="17"/>
  <c r="AP16" i="6"/>
  <c r="AI12" i="6"/>
  <c r="DG62" i="2"/>
  <c r="CP14" i="5"/>
  <c r="BL14" i="5"/>
  <c r="BF14" i="5"/>
  <c r="BK14" i="5"/>
  <c r="BH14" i="5"/>
  <c r="AE35" i="6"/>
  <c r="AG35" i="6"/>
  <c r="K21" i="6"/>
  <c r="AF55" i="6"/>
  <c r="DC82" i="7"/>
  <c r="DC86" i="7"/>
  <c r="CQ69" i="7"/>
  <c r="CQ32" i="7"/>
  <c r="AP14" i="6"/>
  <c r="BG16" i="5"/>
  <c r="BK16" i="5"/>
  <c r="CW14" i="5"/>
  <c r="AN68" i="16"/>
  <c r="AY68" i="16"/>
  <c r="AZ68" i="16"/>
  <c r="CM40" i="5"/>
  <c r="BD40" i="5"/>
  <c r="BC38" i="5"/>
  <c r="CN38" i="5"/>
  <c r="BG22" i="10"/>
  <c r="BT22" i="10"/>
  <c r="BV22" i="10"/>
  <c r="BK22" i="10"/>
  <c r="BS22" i="10"/>
  <c r="BR22" i="10"/>
  <c r="BU22" i="10"/>
  <c r="BH22" i="10"/>
  <c r="CD87" i="2"/>
  <c r="DB87" i="2"/>
  <c r="DC89" i="2"/>
  <c r="CD91" i="2"/>
  <c r="DB91" i="2"/>
  <c r="AO57" i="16"/>
  <c r="DE87" i="2"/>
  <c r="CB89" i="2"/>
  <c r="L89" i="2" s="1"/>
  <c r="DE91" i="2"/>
  <c r="P95" i="16" l="1"/>
  <c r="D50" i="17"/>
  <c r="CG50" i="17" s="1"/>
  <c r="B146" i="2"/>
  <c r="F7" i="12" s="1"/>
  <c r="DI27" i="7"/>
  <c r="AW24" i="7"/>
  <c r="AW17" i="7"/>
  <c r="AW30" i="7"/>
  <c r="AW44" i="7"/>
  <c r="AW40" i="7"/>
  <c r="AM37" i="17"/>
  <c r="AR21" i="4"/>
  <c r="CL21" i="4"/>
  <c r="AR32" i="4"/>
  <c r="AR31" i="4"/>
  <c r="CL32" i="4"/>
  <c r="CD22" i="4"/>
  <c r="AR22" i="4" s="1"/>
  <c r="AM43" i="6"/>
  <c r="AM17" i="16"/>
  <c r="AL17" i="16"/>
  <c r="S18" i="16"/>
  <c r="AW21" i="16"/>
  <c r="AW24" i="16"/>
  <c r="AM24" i="16"/>
  <c r="AL29" i="16"/>
  <c r="AM34" i="16"/>
  <c r="AL34" i="16"/>
  <c r="S34" i="16" s="1"/>
  <c r="AW34" i="16"/>
  <c r="AV51" i="16"/>
  <c r="AW59" i="16"/>
  <c r="AL59" i="16"/>
  <c r="AV59" i="16"/>
  <c r="AM71" i="16"/>
  <c r="S71" i="16" s="1"/>
  <c r="AW71" i="16"/>
  <c r="AM13" i="16"/>
  <c r="AX13" i="16"/>
  <c r="AL13" i="16"/>
  <c r="AX21" i="16"/>
  <c r="AW20" i="16"/>
  <c r="AL21" i="16"/>
  <c r="S21" i="16" s="1"/>
  <c r="AX11" i="16"/>
  <c r="AW11" i="16"/>
  <c r="AX59" i="16"/>
  <c r="AM59" i="16"/>
  <c r="P86" i="16"/>
  <c r="P89" i="16"/>
  <c r="P93" i="16"/>
  <c r="P92" i="16"/>
  <c r="CO21" i="7"/>
  <c r="CL27" i="4"/>
  <c r="S30" i="16"/>
  <c r="CL25" i="4"/>
  <c r="AR25" i="4"/>
  <c r="E15" i="6"/>
  <c r="CL17" i="4"/>
  <c r="P87" i="16"/>
  <c r="CN15" i="7"/>
  <c r="DI15" i="7"/>
  <c r="DH15" i="7"/>
  <c r="CP15" i="7"/>
  <c r="N62" i="2"/>
  <c r="L87" i="2"/>
  <c r="DJ27" i="7"/>
  <c r="CP28" i="7"/>
  <c r="DJ28" i="7"/>
  <c r="CN28" i="7"/>
  <c r="CO27" i="7"/>
  <c r="DG28" i="7"/>
  <c r="CO28" i="7"/>
  <c r="DG95" i="7"/>
  <c r="AL50" i="16"/>
  <c r="AX50" i="16"/>
  <c r="AK50" i="16"/>
  <c r="AM50" i="16"/>
  <c r="AM51" i="16"/>
  <c r="AK51" i="16"/>
  <c r="AL47" i="16"/>
  <c r="AK47" i="16"/>
  <c r="AM46" i="16"/>
  <c r="AK46" i="16"/>
  <c r="AL57" i="16"/>
  <c r="AK57" i="16"/>
  <c r="AV60" i="16"/>
  <c r="AK60" i="16"/>
  <c r="AW69" i="16"/>
  <c r="AM69" i="16"/>
  <c r="AX69" i="16"/>
  <c r="AW75" i="16"/>
  <c r="AK75" i="16"/>
  <c r="AW76" i="16"/>
  <c r="AK76" i="16"/>
  <c r="AW73" i="16"/>
  <c r="AK73" i="16"/>
  <c r="AM73" i="16"/>
  <c r="AL69" i="16"/>
  <c r="AK69" i="16"/>
  <c r="AL73" i="16"/>
  <c r="AV62" i="16"/>
  <c r="AL51" i="16"/>
  <c r="AX51" i="16"/>
  <c r="AW46" i="16"/>
  <c r="AX46" i="16"/>
  <c r="AV46" i="16"/>
  <c r="AL46" i="16"/>
  <c r="AW95" i="7"/>
  <c r="S61" i="16"/>
  <c r="AW69" i="7"/>
  <c r="O68" i="17"/>
  <c r="D54" i="17"/>
  <c r="DF54" i="17" s="1"/>
  <c r="AM13" i="17"/>
  <c r="DP101" i="7"/>
  <c r="DO101" i="7"/>
  <c r="DM101" i="7"/>
  <c r="CV101" i="7"/>
  <c r="CU101" i="7"/>
  <c r="AX77" i="16"/>
  <c r="DM107" i="7"/>
  <c r="CU107" i="7"/>
  <c r="CV107" i="7"/>
  <c r="DP107" i="7"/>
  <c r="DO107" i="7"/>
  <c r="DP77" i="7"/>
  <c r="DO77" i="7"/>
  <c r="DM77" i="7"/>
  <c r="CU77" i="7"/>
  <c r="CV77" i="7"/>
  <c r="DH82" i="7"/>
  <c r="CU83" i="7"/>
  <c r="CV83" i="7"/>
  <c r="DM83" i="7"/>
  <c r="DO83" i="7"/>
  <c r="DP83" i="7"/>
  <c r="DI82" i="7"/>
  <c r="AH43" i="6"/>
  <c r="DP84" i="7"/>
  <c r="DO84" i="7"/>
  <c r="CU84" i="7"/>
  <c r="CV84" i="7"/>
  <c r="DM84" i="7"/>
  <c r="AW99" i="7"/>
  <c r="CN82" i="7"/>
  <c r="CM35" i="4"/>
  <c r="E29" i="6"/>
  <c r="DM95" i="7"/>
  <c r="DP95" i="7"/>
  <c r="DO95" i="7"/>
  <c r="AL77" i="16"/>
  <c r="DM96" i="7"/>
  <c r="CU96" i="7"/>
  <c r="DP96" i="7"/>
  <c r="DO96" i="7"/>
  <c r="CV96" i="7"/>
  <c r="AW71" i="7"/>
  <c r="DM78" i="7"/>
  <c r="CV78" i="7"/>
  <c r="DP78" i="7"/>
  <c r="DO78" i="7"/>
  <c r="CU78" i="7"/>
  <c r="CO82" i="7"/>
  <c r="AM57" i="16"/>
  <c r="DM72" i="7"/>
  <c r="CV72" i="7"/>
  <c r="DP72" i="7"/>
  <c r="DO72" i="7"/>
  <c r="CU72" i="7"/>
  <c r="AW97" i="7"/>
  <c r="AR17" i="4"/>
  <c r="CE34" i="4"/>
  <c r="AW109" i="7"/>
  <c r="AM77" i="16"/>
  <c r="AL28" i="16"/>
  <c r="DP85" i="7"/>
  <c r="DO85" i="7"/>
  <c r="CV85" i="7"/>
  <c r="CU85" i="7"/>
  <c r="DM85" i="7"/>
  <c r="CV98" i="7"/>
  <c r="DM98" i="7"/>
  <c r="DP98" i="7"/>
  <c r="DO98" i="7"/>
  <c r="CU98" i="7"/>
  <c r="AX28" i="16"/>
  <c r="AL76" i="16"/>
  <c r="AW86" i="7"/>
  <c r="AM28" i="16"/>
  <c r="DM102" i="7"/>
  <c r="CV102" i="7"/>
  <c r="DP102" i="7"/>
  <c r="DO102" i="7"/>
  <c r="CU102" i="7"/>
  <c r="DM81" i="7"/>
  <c r="DP81" i="7"/>
  <c r="CU81" i="7"/>
  <c r="CV81" i="7"/>
  <c r="DO81" i="7"/>
  <c r="D38" i="6"/>
  <c r="AX76" i="16"/>
  <c r="AL37" i="16"/>
  <c r="AW37" i="16"/>
  <c r="AM37" i="16"/>
  <c r="DM88" i="7"/>
  <c r="CU88" i="7"/>
  <c r="DP88" i="7"/>
  <c r="DO88" i="7"/>
  <c r="CV88" i="7"/>
  <c r="CV82" i="7"/>
  <c r="DM82" i="7"/>
  <c r="DO82" i="7"/>
  <c r="DP82" i="7"/>
  <c r="CU82" i="7"/>
  <c r="CD33" i="4"/>
  <c r="AR33" i="4" s="1"/>
  <c r="AV77" i="16"/>
  <c r="DP76" i="7"/>
  <c r="DO76" i="7"/>
  <c r="CU76" i="7"/>
  <c r="CV76" i="7"/>
  <c r="DM76" i="7"/>
  <c r="DM87" i="7"/>
  <c r="CU87" i="7"/>
  <c r="CV87" i="7"/>
  <c r="DP87" i="7"/>
  <c r="DO87" i="7"/>
  <c r="DM73" i="7"/>
  <c r="CU73" i="7"/>
  <c r="CV73" i="7"/>
  <c r="DP73" i="7"/>
  <c r="DO73" i="7"/>
  <c r="DG82" i="7"/>
  <c r="DP100" i="7"/>
  <c r="DO100" i="7"/>
  <c r="CU100" i="7"/>
  <c r="CV100" i="7"/>
  <c r="DM100" i="7"/>
  <c r="AW80" i="7"/>
  <c r="AM29" i="16"/>
  <c r="AX29" i="16"/>
  <c r="DM89" i="7"/>
  <c r="DP89" i="7"/>
  <c r="CV89" i="7"/>
  <c r="DO89" i="7"/>
  <c r="CU89" i="7"/>
  <c r="CE35" i="4"/>
  <c r="AR35" i="4" s="1"/>
  <c r="AW77" i="16"/>
  <c r="CN79" i="7"/>
  <c r="DM79" i="7"/>
  <c r="CU79" i="7"/>
  <c r="CV79" i="7"/>
  <c r="DP79" i="7"/>
  <c r="DO79" i="7"/>
  <c r="CS82" i="7"/>
  <c r="DG12" i="17"/>
  <c r="AV76" i="16"/>
  <c r="D47" i="17"/>
  <c r="DF47" i="17" s="1"/>
  <c r="AM32" i="17"/>
  <c r="AV75" i="16"/>
  <c r="AM47" i="16"/>
  <c r="D40" i="16"/>
  <c r="B101" i="16" s="1"/>
  <c r="F14" i="12" s="1"/>
  <c r="BQ29" i="18"/>
  <c r="BB29" i="18" s="1"/>
  <c r="T19" i="6"/>
  <c r="AI43" i="6"/>
  <c r="AX33" i="16"/>
  <c r="CN25" i="7"/>
  <c r="D17" i="17"/>
  <c r="DC15" i="17" s="1"/>
  <c r="AM33" i="16"/>
  <c r="S33" i="16" s="1"/>
  <c r="AX60" i="16"/>
  <c r="AX35" i="16"/>
  <c r="AL35" i="16"/>
  <c r="S35" i="16" s="1"/>
  <c r="AW35" i="16"/>
  <c r="AL36" i="16"/>
  <c r="S36" i="16" s="1"/>
  <c r="AW36" i="16"/>
  <c r="AM62" i="16"/>
  <c r="AW62" i="16"/>
  <c r="AX62" i="16"/>
  <c r="AL62" i="16"/>
  <c r="AR27" i="4"/>
  <c r="AW33" i="16"/>
  <c r="DG27" i="7"/>
  <c r="P90" i="16"/>
  <c r="AM75" i="16"/>
  <c r="AL75" i="16"/>
  <c r="D69" i="17"/>
  <c r="DG69" i="17" s="1"/>
  <c r="O66" i="17"/>
  <c r="AM15" i="16"/>
  <c r="AW15" i="16"/>
  <c r="AL15" i="16"/>
  <c r="AX15" i="16"/>
  <c r="P88" i="16"/>
  <c r="CP27" i="7"/>
  <c r="CN27" i="7"/>
  <c r="AM25" i="17"/>
  <c r="AL60" i="16"/>
  <c r="AM60" i="16"/>
  <c r="AW60" i="16"/>
  <c r="S49" i="16"/>
  <c r="P84" i="16"/>
  <c r="CM27" i="7"/>
  <c r="AM37" i="5"/>
  <c r="S24" i="16"/>
  <c r="AR37" i="4"/>
  <c r="S12" i="16"/>
  <c r="O45" i="17"/>
  <c r="DF43" i="17"/>
  <c r="AM15" i="17"/>
  <c r="D26" i="17"/>
  <c r="DC26" i="17" s="1"/>
  <c r="O59" i="17"/>
  <c r="D57" i="17"/>
  <c r="CG57" i="17" s="1"/>
  <c r="D36" i="17"/>
  <c r="DC36" i="17" s="1"/>
  <c r="D62" i="17"/>
  <c r="CH62" i="17" s="1"/>
  <c r="DH12" i="17"/>
  <c r="CI12" i="17"/>
  <c r="D23" i="17"/>
  <c r="DC23" i="17" s="1"/>
  <c r="O52" i="17"/>
  <c r="AM21" i="17"/>
  <c r="D29" i="17"/>
  <c r="DB29" i="17" s="1"/>
  <c r="CH12" i="17"/>
  <c r="D20" i="17"/>
  <c r="CC20" i="17" s="1"/>
  <c r="AM31" i="17"/>
  <c r="AM12" i="17"/>
  <c r="AM19" i="17"/>
  <c r="DG43" i="17"/>
  <c r="CG43" i="17"/>
  <c r="O43" i="17" s="1"/>
  <c r="AM24" i="17"/>
  <c r="D14" i="17"/>
  <c r="DB14" i="17" s="1"/>
  <c r="AM35" i="17"/>
  <c r="O53" i="17"/>
  <c r="O55" i="17"/>
  <c r="CM15" i="7"/>
  <c r="AW15" i="7" s="1"/>
  <c r="DJ15" i="7"/>
  <c r="DG25" i="7"/>
  <c r="DJ25" i="7"/>
  <c r="DG15" i="7"/>
  <c r="DG31" i="7"/>
  <c r="CO16" i="7"/>
  <c r="CM31" i="7"/>
  <c r="AW31" i="7" s="1"/>
  <c r="DG16" i="7"/>
  <c r="P85" i="16"/>
  <c r="AX75" i="16"/>
  <c r="P94" i="16"/>
  <c r="P91" i="16"/>
  <c r="AV47" i="16"/>
  <c r="AX47" i="16"/>
  <c r="AW47" i="16"/>
  <c r="S27" i="16"/>
  <c r="AW57" i="16"/>
  <c r="AX57" i="16"/>
  <c r="AV57" i="16"/>
  <c r="P55" i="6"/>
  <c r="T13" i="6"/>
  <c r="CD16" i="4"/>
  <c r="AR16" i="4" s="1"/>
  <c r="CC59" i="4"/>
  <c r="AO59" i="4" s="1"/>
  <c r="CL12" i="4"/>
  <c r="CD12" i="4"/>
  <c r="AR12" i="4" s="1"/>
  <c r="O60" i="17"/>
  <c r="O46" i="17"/>
  <c r="O48" i="17"/>
  <c r="O64" i="17"/>
  <c r="AM34" i="17"/>
  <c r="AM22" i="17"/>
  <c r="AM28" i="17"/>
  <c r="O70" i="17"/>
  <c r="O61" i="17"/>
  <c r="L86" i="2"/>
  <c r="L91" i="2"/>
  <c r="L88" i="2"/>
  <c r="L90" i="2"/>
  <c r="T17" i="6"/>
  <c r="S35" i="6"/>
  <c r="S34" i="6"/>
  <c r="CP45" i="7"/>
  <c r="CO45" i="7"/>
  <c r="CN45" i="7"/>
  <c r="CM45" i="7"/>
  <c r="DJ45" i="7"/>
  <c r="DH45" i="7"/>
  <c r="DI45" i="7"/>
  <c r="DG45" i="7"/>
  <c r="DI100" i="7"/>
  <c r="CO100" i="7"/>
  <c r="CN100" i="7"/>
  <c r="CM100" i="7"/>
  <c r="CS100" i="7"/>
  <c r="DG100" i="7"/>
  <c r="DH100" i="7"/>
  <c r="DG107" i="7"/>
  <c r="CS107" i="7"/>
  <c r="DH107" i="7"/>
  <c r="DI107" i="7"/>
  <c r="CM107" i="7"/>
  <c r="CN107" i="7"/>
  <c r="CO107" i="7"/>
  <c r="CM42" i="7"/>
  <c r="CO42" i="7"/>
  <c r="DG42" i="7"/>
  <c r="CN42" i="7"/>
  <c r="DJ42" i="7"/>
  <c r="CP42" i="7"/>
  <c r="DI42" i="7"/>
  <c r="DH42" i="7"/>
  <c r="CN81" i="7"/>
  <c r="DG81" i="7"/>
  <c r="CM81" i="7"/>
  <c r="CS81" i="7"/>
  <c r="CP41" i="7"/>
  <c r="CM41" i="7"/>
  <c r="AW41" i="7" s="1"/>
  <c r="DJ41" i="7"/>
  <c r="DG41" i="7"/>
  <c r="CP43" i="7"/>
  <c r="CO43" i="7"/>
  <c r="CN43" i="7"/>
  <c r="CM43" i="7"/>
  <c r="DH43" i="7"/>
  <c r="DJ43" i="7"/>
  <c r="DI43" i="7"/>
  <c r="DG43" i="7"/>
  <c r="CS85" i="7"/>
  <c r="DG85" i="7"/>
  <c r="CM85" i="7"/>
  <c r="DH101" i="7"/>
  <c r="DI101" i="7"/>
  <c r="CS101" i="7"/>
  <c r="CM101" i="7"/>
  <c r="DG101" i="7"/>
  <c r="CO101" i="7"/>
  <c r="CN101" i="7"/>
  <c r="CS73" i="7"/>
  <c r="DG73" i="7"/>
  <c r="CM73" i="7"/>
  <c r="CN20" i="7"/>
  <c r="DG102" i="7"/>
  <c r="CO102" i="7"/>
  <c r="DH102" i="7"/>
  <c r="CN102" i="7"/>
  <c r="DI102" i="7"/>
  <c r="CM102" i="7"/>
  <c r="CS102" i="7"/>
  <c r="DG96" i="7"/>
  <c r="CM96" i="7"/>
  <c r="CM20" i="7"/>
  <c r="CS83" i="7"/>
  <c r="CM83" i="7"/>
  <c r="DG83" i="7"/>
  <c r="CM79" i="7"/>
  <c r="DG79" i="7"/>
  <c r="CS79" i="7"/>
  <c r="CS89" i="7"/>
  <c r="CM89" i="7"/>
  <c r="DI89" i="7"/>
  <c r="DG89" i="7"/>
  <c r="CO89" i="7"/>
  <c r="CN89" i="7"/>
  <c r="DH89" i="7"/>
  <c r="CM33" i="7"/>
  <c r="DJ33" i="7"/>
  <c r="DI33" i="7"/>
  <c r="DH33" i="7"/>
  <c r="CP33" i="7"/>
  <c r="DG33" i="7"/>
  <c r="CN33" i="7"/>
  <c r="CO33" i="7"/>
  <c r="CS76" i="7"/>
  <c r="CM76" i="7"/>
  <c r="DG76" i="7"/>
  <c r="CS77" i="7"/>
  <c r="DG77" i="7"/>
  <c r="CM77" i="7"/>
  <c r="CM78" i="7"/>
  <c r="DG78" i="7"/>
  <c r="CS78" i="7"/>
  <c r="CO79" i="7"/>
  <c r="DJ31" i="7"/>
  <c r="DH28" i="7"/>
  <c r="DI28" i="7"/>
  <c r="CO98" i="7"/>
  <c r="CN98" i="7"/>
  <c r="CM98" i="7"/>
  <c r="DG98" i="7"/>
  <c r="CS98" i="7"/>
  <c r="CP53" i="7"/>
  <c r="CM53" i="7"/>
  <c r="AW53" i="7" s="1"/>
  <c r="DJ53" i="7"/>
  <c r="DG53" i="7"/>
  <c r="DG72" i="7"/>
  <c r="CM72" i="7"/>
  <c r="CS72" i="7"/>
  <c r="CM46" i="7"/>
  <c r="DG46" i="7"/>
  <c r="CP46" i="7"/>
  <c r="DJ46" i="7"/>
  <c r="CO46" i="7"/>
  <c r="DH46" i="7"/>
  <c r="CN46" i="7"/>
  <c r="DI46" i="7"/>
  <c r="CM87" i="7"/>
  <c r="DG87" i="7"/>
  <c r="CS87" i="7"/>
  <c r="CN84" i="7"/>
  <c r="CS84" i="7"/>
  <c r="CM84" i="7"/>
  <c r="DG84" i="7"/>
  <c r="CP39" i="7"/>
  <c r="CM39" i="7"/>
  <c r="AW39" i="7" s="1"/>
  <c r="DJ39" i="7"/>
  <c r="DG39" i="7"/>
  <c r="CM88" i="7"/>
  <c r="DG88" i="7"/>
  <c r="CS88" i="7"/>
  <c r="BQ26" i="18"/>
  <c r="BB26" i="18" s="1"/>
  <c r="B52" i="18"/>
  <c r="F17" i="12" s="1"/>
  <c r="BR27" i="18"/>
  <c r="BC27" i="18" s="1"/>
  <c r="BQ27" i="18"/>
  <c r="BB27" i="18" s="1"/>
  <c r="BB12" i="18"/>
  <c r="BR25" i="18"/>
  <c r="BC25" i="18" s="1"/>
  <c r="BQ25" i="18"/>
  <c r="BB25" i="18" s="1"/>
  <c r="BR28" i="18"/>
  <c r="BC28" i="18" s="1"/>
  <c r="BQ28" i="18"/>
  <c r="BB28" i="18" s="1"/>
  <c r="BQ19" i="18"/>
  <c r="BB19" i="18" s="1"/>
  <c r="BR19" i="18"/>
  <c r="BC19" i="18" s="1"/>
  <c r="BQ18" i="18"/>
  <c r="BB18" i="18" s="1"/>
  <c r="BR18" i="18"/>
  <c r="BC18" i="18" s="1"/>
  <c r="BQ17" i="18"/>
  <c r="BQ14" i="10"/>
  <c r="BH14" i="10"/>
  <c r="BS14" i="10"/>
  <c r="BW14" i="10"/>
  <c r="BD14" i="10"/>
  <c r="BL14" i="10"/>
  <c r="BV14" i="10"/>
  <c r="BR14" i="10"/>
  <c r="P82" i="16"/>
  <c r="D71" i="17"/>
  <c r="DF71" i="17" s="1"/>
  <c r="O58" i="17"/>
  <c r="O63" i="17"/>
  <c r="D38" i="17"/>
  <c r="AM33" i="17"/>
  <c r="O65" i="17"/>
  <c r="O44" i="17"/>
  <c r="CK59" i="4"/>
  <c r="CL18" i="4"/>
  <c r="CK62" i="4"/>
  <c r="CL14" i="4"/>
  <c r="CD14" i="4"/>
  <c r="AR14" i="4" s="1"/>
  <c r="AR18" i="4"/>
  <c r="CM36" i="4"/>
  <c r="CL36" i="4"/>
  <c r="CD36" i="4"/>
  <c r="CE36" i="4"/>
  <c r="CL24" i="4"/>
  <c r="CD24" i="4"/>
  <c r="AR24" i="4" s="1"/>
  <c r="AM22" i="16"/>
  <c r="AW22" i="16"/>
  <c r="AL22" i="16"/>
  <c r="AX22" i="16"/>
  <c r="DJ23" i="7"/>
  <c r="CO23" i="7"/>
  <c r="DI23" i="7"/>
  <c r="DH23" i="7"/>
  <c r="CN23" i="7"/>
  <c r="CM32" i="7"/>
  <c r="AW32" i="7" s="1"/>
  <c r="DJ32" i="7"/>
  <c r="DG32" i="7"/>
  <c r="CP32" i="7"/>
  <c r="DI84" i="7"/>
  <c r="O49" i="17"/>
  <c r="AL70" i="16"/>
  <c r="AM70" i="16"/>
  <c r="AW70" i="16"/>
  <c r="AX70" i="16"/>
  <c r="AV70" i="16"/>
  <c r="AE43" i="6"/>
  <c r="F21" i="6"/>
  <c r="AN43" i="6"/>
  <c r="AL32" i="16"/>
  <c r="AX32" i="16"/>
  <c r="AM32" i="16"/>
  <c r="AW32" i="16"/>
  <c r="CD29" i="4"/>
  <c r="AR29" i="4" s="1"/>
  <c r="CL29" i="4"/>
  <c r="CD34" i="4"/>
  <c r="CL34" i="4"/>
  <c r="CG36" i="4"/>
  <c r="CO36" i="4"/>
  <c r="CM34" i="4"/>
  <c r="CO20" i="7"/>
  <c r="DG20" i="7"/>
  <c r="CN72" i="7"/>
  <c r="DI72" i="7"/>
  <c r="CO72" i="7"/>
  <c r="DH72" i="7"/>
  <c r="S20" i="16"/>
  <c r="DI20" i="7"/>
  <c r="DH84" i="7"/>
  <c r="AM30" i="17"/>
  <c r="AM18" i="17"/>
  <c r="AN11" i="16"/>
  <c r="AY11" i="16"/>
  <c r="S58" i="16"/>
  <c r="AG43" i="6"/>
  <c r="AP43" i="6"/>
  <c r="S14" i="16"/>
  <c r="DJ16" i="7"/>
  <c r="CN16" i="7"/>
  <c r="DI16" i="7"/>
  <c r="DH16" i="7"/>
  <c r="CP16" i="7"/>
  <c r="AL39" i="16"/>
  <c r="AW39" i="16"/>
  <c r="AM39" i="16"/>
  <c r="AX39" i="16"/>
  <c r="DH79" i="7"/>
  <c r="DI79" i="7"/>
  <c r="S36" i="6"/>
  <c r="AM25" i="16"/>
  <c r="AX25" i="16"/>
  <c r="AL25" i="16"/>
  <c r="AW25" i="16"/>
  <c r="CM22" i="7"/>
  <c r="DJ22" i="7"/>
  <c r="DI22" i="7"/>
  <c r="DG22" i="7"/>
  <c r="CO22" i="7"/>
  <c r="CP22" i="7"/>
  <c r="CN22" i="7"/>
  <c r="DH22" i="7"/>
  <c r="AW74" i="16"/>
  <c r="AM74" i="16"/>
  <c r="AX74" i="16"/>
  <c r="AV74" i="16"/>
  <c r="AL74" i="16"/>
  <c r="DH81" i="7"/>
  <c r="CO81" i="7"/>
  <c r="T18" i="6"/>
  <c r="CN21" i="7"/>
  <c r="CP25" i="7"/>
  <c r="DG23" i="7"/>
  <c r="CP23" i="7"/>
  <c r="CP20" i="7"/>
  <c r="AO11" i="16"/>
  <c r="AZ11" i="16"/>
  <c r="V27" i="6"/>
  <c r="DJ26" i="7"/>
  <c r="CN26" i="7"/>
  <c r="DH26" i="7"/>
  <c r="CM26" i="7"/>
  <c r="CP26" i="7"/>
  <c r="DI26" i="7"/>
  <c r="DG26" i="7"/>
  <c r="CD30" i="4"/>
  <c r="AR30" i="4" s="1"/>
  <c r="CL30" i="4"/>
  <c r="T14" i="6"/>
  <c r="CO84" i="7"/>
  <c r="CD13" i="4"/>
  <c r="AR13" i="4" s="1"/>
  <c r="CL13" i="4"/>
  <c r="CD19" i="4"/>
  <c r="AR19" i="4" s="1"/>
  <c r="CL19" i="4"/>
  <c r="CC62" i="4"/>
  <c r="AO62" i="4" s="1"/>
  <c r="B84" i="4"/>
  <c r="F9" i="12" s="1"/>
  <c r="DH20" i="7"/>
  <c r="CM23" i="7"/>
  <c r="AW23" i="7" s="1"/>
  <c r="DI81" i="7"/>
  <c r="D28" i="5"/>
  <c r="O56" i="17"/>
  <c r="AM27" i="17"/>
  <c r="AM16" i="17"/>
  <c r="O67" i="17"/>
  <c r="CL15" i="4"/>
  <c r="CD15" i="4"/>
  <c r="AR15" i="4" s="1"/>
  <c r="CD26" i="4"/>
  <c r="AR26" i="4" s="1"/>
  <c r="CL26" i="4"/>
  <c r="S37" i="6"/>
  <c r="AN18" i="5"/>
  <c r="AM36" i="5"/>
  <c r="CW26" i="5"/>
  <c r="AM39" i="5"/>
  <c r="AM33" i="5"/>
  <c r="CX26" i="5"/>
  <c r="CS27" i="5"/>
  <c r="AM38" i="5"/>
  <c r="CS25" i="5"/>
  <c r="AM40" i="5"/>
  <c r="AN26" i="5"/>
  <c r="AM35" i="5"/>
  <c r="S48" i="16"/>
  <c r="BK14" i="10"/>
  <c r="BP22" i="10"/>
  <c r="BI14" i="10"/>
  <c r="BU14" i="10"/>
  <c r="BG14" i="10"/>
  <c r="B33" i="10"/>
  <c r="F15" i="12" s="1"/>
  <c r="BF14" i="10"/>
  <c r="BJ14" i="10"/>
  <c r="BO14" i="10"/>
  <c r="BT14" i="10"/>
  <c r="BJ22" i="10"/>
  <c r="BI22" i="10"/>
  <c r="DJ29" i="7"/>
  <c r="CP29" i="7"/>
  <c r="DG29" i="7"/>
  <c r="CM29" i="7"/>
  <c r="AW29" i="7" s="1"/>
  <c r="DH98" i="7"/>
  <c r="DI98" i="7"/>
  <c r="CN76" i="7"/>
  <c r="DI76" i="7"/>
  <c r="CO76" i="7"/>
  <c r="DH76" i="7"/>
  <c r="DH25" i="7"/>
  <c r="CO25" i="7"/>
  <c r="CM25" i="7"/>
  <c r="DI77" i="7"/>
  <c r="DH77" i="7"/>
  <c r="CN77" i="7"/>
  <c r="CO77" i="7"/>
  <c r="DH73" i="7"/>
  <c r="DI73" i="7"/>
  <c r="CO73" i="7"/>
  <c r="CN73" i="7"/>
  <c r="DH83" i="7"/>
  <c r="CN83" i="7"/>
  <c r="DI83" i="7"/>
  <c r="CO83" i="7"/>
  <c r="DH13" i="7"/>
  <c r="CO13" i="7"/>
  <c r="CM13" i="7"/>
  <c r="DJ13" i="7"/>
  <c r="CN13" i="7"/>
  <c r="DG13" i="7"/>
  <c r="CP13" i="7"/>
  <c r="DI13" i="7"/>
  <c r="DH21" i="7"/>
  <c r="DI21" i="7"/>
  <c r="CM21" i="7"/>
  <c r="CP21" i="7"/>
  <c r="DJ21" i="7"/>
  <c r="CN78" i="7"/>
  <c r="DI78" i="7"/>
  <c r="DH78" i="7"/>
  <c r="CO78" i="7"/>
  <c r="AN21" i="5"/>
  <c r="CS26" i="5"/>
  <c r="BI24" i="5"/>
  <c r="AN24" i="5" s="1"/>
  <c r="CS24" i="5"/>
  <c r="AN15" i="5"/>
  <c r="AN17" i="5"/>
  <c r="AN20" i="5"/>
  <c r="CS23" i="5"/>
  <c r="BI23" i="5"/>
  <c r="AN23" i="5" s="1"/>
  <c r="BI22" i="5"/>
  <c r="AN22" i="5" s="1"/>
  <c r="CS22" i="5"/>
  <c r="AN16" i="5"/>
  <c r="AN25" i="5"/>
  <c r="AN27" i="5"/>
  <c r="AN19" i="5"/>
  <c r="V26" i="6"/>
  <c r="AM68" i="16"/>
  <c r="AV68" i="16"/>
  <c r="AX68" i="16"/>
  <c r="AL68" i="16"/>
  <c r="AW68" i="16"/>
  <c r="AN14" i="5"/>
  <c r="T12" i="6"/>
  <c r="S72" i="16"/>
  <c r="AF43" i="6"/>
  <c r="AO43" i="6"/>
  <c r="G21" i="6"/>
  <c r="V28" i="6"/>
  <c r="T16" i="6"/>
  <c r="AJ43" i="6"/>
  <c r="AS43" i="6"/>
  <c r="DG50" i="17" l="1"/>
  <c r="CH50" i="17"/>
  <c r="O50" i="17" s="1"/>
  <c r="CD23" i="17"/>
  <c r="AW26" i="7"/>
  <c r="AW16" i="7"/>
  <c r="CG54" i="17"/>
  <c r="CH54" i="17"/>
  <c r="CH69" i="17"/>
  <c r="DF50" i="17"/>
  <c r="DF62" i="17"/>
  <c r="AW13" i="7"/>
  <c r="AW33" i="7"/>
  <c r="AW25" i="7"/>
  <c r="AW28" i="7"/>
  <c r="AW21" i="7"/>
  <c r="AW22" i="7"/>
  <c r="AW20" i="7"/>
  <c r="AW27" i="7"/>
  <c r="AW45" i="7"/>
  <c r="AW46" i="7"/>
  <c r="AW43" i="7"/>
  <c r="AW42" i="7"/>
  <c r="CG69" i="17"/>
  <c r="DG54" i="17"/>
  <c r="DF69" i="17"/>
  <c r="S17" i="16"/>
  <c r="S29" i="16"/>
  <c r="S59" i="16"/>
  <c r="S13" i="16"/>
  <c r="S51" i="16"/>
  <c r="S28" i="16"/>
  <c r="S50" i="16"/>
  <c r="B89" i="5"/>
  <c r="F10" i="12" s="1"/>
  <c r="CH47" i="17"/>
  <c r="S11" i="16"/>
  <c r="AW102" i="7"/>
  <c r="S47" i="16"/>
  <c r="S57" i="16"/>
  <c r="S46" i="16"/>
  <c r="S69" i="16"/>
  <c r="S73" i="16"/>
  <c r="S77" i="16"/>
  <c r="S75" i="16"/>
  <c r="S60" i="16"/>
  <c r="AW96" i="7"/>
  <c r="AW72" i="7"/>
  <c r="AW98" i="7"/>
  <c r="AW83" i="7"/>
  <c r="S76" i="16"/>
  <c r="AW78" i="7"/>
  <c r="AW89" i="7"/>
  <c r="AW73" i="7"/>
  <c r="S62" i="16"/>
  <c r="S37" i="16"/>
  <c r="AW87" i="7"/>
  <c r="AW77" i="7"/>
  <c r="AW76" i="7"/>
  <c r="AW79" i="7"/>
  <c r="AW82" i="7"/>
  <c r="AW88" i="7"/>
  <c r="AW84" i="7"/>
  <c r="AW101" i="7"/>
  <c r="AW85" i="7"/>
  <c r="AW81" i="7"/>
  <c r="AW107" i="7"/>
  <c r="AW100" i="7"/>
  <c r="B136" i="7"/>
  <c r="D12" i="12" s="1"/>
  <c r="DB23" i="17"/>
  <c r="DB36" i="17"/>
  <c r="DC29" i="17"/>
  <c r="DC14" i="17"/>
  <c r="CG47" i="17"/>
  <c r="DG47" i="17"/>
  <c r="E21" i="6"/>
  <c r="B81" i="6" s="1"/>
  <c r="F11" i="12" s="1"/>
  <c r="AR34" i="4"/>
  <c r="B161" i="17"/>
  <c r="F8" i="12" s="1"/>
  <c r="CC15" i="17"/>
  <c r="CD15" i="17"/>
  <c r="DB15" i="17"/>
  <c r="DF57" i="17"/>
  <c r="DG57" i="17"/>
  <c r="CH57" i="17"/>
  <c r="O57" i="17" s="1"/>
  <c r="CC38" i="17"/>
  <c r="CD38" i="17"/>
  <c r="S22" i="16"/>
  <c r="S39" i="16"/>
  <c r="CG62" i="17"/>
  <c r="O62" i="17" s="1"/>
  <c r="S15" i="16"/>
  <c r="CD36" i="17"/>
  <c r="CC23" i="17"/>
  <c r="DB26" i="17"/>
  <c r="CD14" i="17"/>
  <c r="CD26" i="17"/>
  <c r="DG62" i="17"/>
  <c r="CC26" i="17"/>
  <c r="CC14" i="17"/>
  <c r="DC20" i="17"/>
  <c r="CC36" i="17"/>
  <c r="DB20" i="17"/>
  <c r="CD20" i="17"/>
  <c r="AM20" i="17" s="1"/>
  <c r="AM11" i="17"/>
  <c r="CC29" i="17"/>
  <c r="CG71" i="17"/>
  <c r="CD29" i="17"/>
  <c r="DG71" i="17"/>
  <c r="DC38" i="17"/>
  <c r="DB38" i="17"/>
  <c r="B102" i="16"/>
  <c r="D14" i="12" s="1"/>
  <c r="S68" i="16"/>
  <c r="AL48" i="6"/>
  <c r="B82" i="6" s="1"/>
  <c r="D11" i="12" s="1"/>
  <c r="AJ48" i="6"/>
  <c r="O48" i="6" s="1"/>
  <c r="B53" i="18"/>
  <c r="D17" i="12" s="1"/>
  <c r="BB17" i="18"/>
  <c r="AY14" i="10"/>
  <c r="B34" i="10"/>
  <c r="D15" i="12" s="1"/>
  <c r="CH71" i="17"/>
  <c r="BI13" i="5"/>
  <c r="AN13" i="5" s="1"/>
  <c r="B85" i="4"/>
  <c r="D9" i="12" s="1"/>
  <c r="AR36" i="4"/>
  <c r="CS13" i="5"/>
  <c r="B90" i="5" s="1"/>
  <c r="D10" i="12" s="1"/>
  <c r="S25" i="16"/>
  <c r="S74" i="16"/>
  <c r="S32" i="16"/>
  <c r="S70" i="16"/>
  <c r="AL22" i="10"/>
  <c r="O43" i="6"/>
  <c r="O54" i="17" l="1"/>
  <c r="O69" i="17"/>
  <c r="AM23" i="17"/>
  <c r="O47" i="17"/>
  <c r="B162" i="17"/>
  <c r="D8" i="12" s="1"/>
  <c r="AM17" i="17"/>
  <c r="B135" i="7"/>
  <c r="F12" i="12" s="1"/>
  <c r="AM38" i="17"/>
  <c r="AM26" i="17"/>
  <c r="AM36" i="17"/>
  <c r="AM14" i="17"/>
  <c r="AM29" i="17"/>
  <c r="O71" i="17"/>
  <c r="B147" i="2"/>
  <c r="D7" i="12" s="1"/>
  <c r="D19" i="12" l="1"/>
  <c r="B10" i="13" s="1"/>
</calcChain>
</file>

<file path=xl/sharedStrings.xml><?xml version="1.0" encoding="utf-8"?>
<sst xmlns="http://schemas.openxmlformats.org/spreadsheetml/2006/main" count="15376" uniqueCount="1434">
  <si>
    <t>DATOS DEL ESTABLECIMIENTO</t>
  </si>
  <si>
    <t>CÓDIGOS</t>
  </si>
  <si>
    <t>NOMBRE DE COMUNA</t>
  </si>
  <si>
    <t>DEPENDENCIA</t>
  </si>
  <si>
    <t>MES:</t>
  </si>
  <si>
    <t>AÑO:</t>
  </si>
  <si>
    <t>Director Servicio de Salud o Director Establecimiento</t>
  </si>
  <si>
    <t>JUNIO</t>
  </si>
  <si>
    <t>SERVICIO DE SALUD</t>
  </si>
  <si>
    <t>Jefe de Estadisticas</t>
  </si>
  <si>
    <t>DICIEMBRE</t>
  </si>
  <si>
    <t>MUNICIPAL</t>
  </si>
  <si>
    <t>MINSAL - DEIS</t>
  </si>
  <si>
    <t>ATENCIÓN PRIMARIA DE SALUD</t>
  </si>
  <si>
    <t>MÉTODOS</t>
  </si>
  <si>
    <t>TOTAL</t>
  </si>
  <si>
    <t>GRUPO DE EDAD (en años)</t>
  </si>
  <si>
    <t>Pueblos Originarios</t>
  </si>
  <si>
    <t>Menor 
de 15 años</t>
  </si>
  <si>
    <t>15 a 19 años</t>
  </si>
  <si>
    <t>20 a 24 años</t>
  </si>
  <si>
    <t>25 a 29 años</t>
  </si>
  <si>
    <t>30 a 34 años</t>
  </si>
  <si>
    <t>35 a 39 años</t>
  </si>
  <si>
    <t>40 a 44 años</t>
  </si>
  <si>
    <t>45 a 49 años</t>
  </si>
  <si>
    <t>50 a 54 años</t>
  </si>
  <si>
    <t>HORMONAL</t>
  </si>
  <si>
    <t>Oral Combinado</t>
  </si>
  <si>
    <t>Oral Progestágeno</t>
  </si>
  <si>
    <t>Inyectable Combinado</t>
  </si>
  <si>
    <t>Inyectable Progestágeno</t>
  </si>
  <si>
    <t>Mujer</t>
  </si>
  <si>
    <t>Hombres</t>
  </si>
  <si>
    <t>Mujeres con Retiro de Implante Anticipado en el semestre (antes de los 3 años)</t>
  </si>
  <si>
    <t>GRUPOS DE EDAD</t>
  </si>
  <si>
    <t>TOTAL DE GESTANTES EN CONTROL</t>
  </si>
  <si>
    <t>EN RIESGO 
PSICO-
SOCIAL</t>
  </si>
  <si>
    <t>QUE PRESENTAN VIOLENCIA DE GÉNERO</t>
  </si>
  <si>
    <t>Menos de 15 años</t>
  </si>
  <si>
    <t>N° VDI</t>
  </si>
  <si>
    <t>N° Gestantes 
con VDI</t>
  </si>
  <si>
    <t>TOTAL de Visitas</t>
  </si>
  <si>
    <t>1 Visita</t>
  </si>
  <si>
    <t>2 Visitas</t>
  </si>
  <si>
    <t>3 Visitas</t>
  </si>
  <si>
    <t>4 y más visitas</t>
  </si>
  <si>
    <t>POBLACION</t>
  </si>
  <si>
    <t>ESTADO
NUTRICIONAL</t>
  </si>
  <si>
    <t>GRUPOS DE EDAD (en años)</t>
  </si>
  <si>
    <t>Menos 15 años</t>
  </si>
  <si>
    <t>GESTANTES EN CONTROL
(Información a la fecha de corte)</t>
  </si>
  <si>
    <t>OBESA</t>
  </si>
  <si>
    <t>SOBREPESO</t>
  </si>
  <si>
    <t>NORMAL</t>
  </si>
  <si>
    <t>BAJO PESO</t>
  </si>
  <si>
    <t>CONTROL AL 8º MES POST-PARTO
(Información del semestre)</t>
  </si>
  <si>
    <t xml:space="preserve">SECCION E: MUJERES Y GESTANTES EN CONTROL CON CONSULTA NUTRICIONAL </t>
  </si>
  <si>
    <t>MUJERES</t>
  </si>
  <si>
    <t>Gestantes con malnutrición por déficit (bajo peso)</t>
  </si>
  <si>
    <t>Gestantes con malnutrición por exceso - Obesa</t>
  </si>
  <si>
    <t>Gestantes con malnutrición por exceso - Sobrepeso</t>
  </si>
  <si>
    <t>En 3º mes post parto</t>
  </si>
  <si>
    <t>En 6º mes post parto</t>
  </si>
  <si>
    <t xml:space="preserve">SECCION F: MUJERES EN CONTROL DE CLIMATERIO </t>
  </si>
  <si>
    <t>Población</t>
  </si>
  <si>
    <t>45 a 64 años</t>
  </si>
  <si>
    <t>Población en Control</t>
  </si>
  <si>
    <t>Mujeres con pauta aplicada MRS*</t>
  </si>
  <si>
    <t>Mujeres con aplicación de terapia hormonal de reemplazo según MRS*</t>
  </si>
  <si>
    <t>* MRS: Menopause Rating Scale</t>
  </si>
  <si>
    <t>NIVEL SECUNDARIO</t>
  </si>
  <si>
    <t>PATOLOGÍA</t>
  </si>
  <si>
    <t xml:space="preserve">Preeclampsia (PE) </t>
  </si>
  <si>
    <t>Sindrome Hipertensivo del Embarazo (SHE)</t>
  </si>
  <si>
    <t>Factores de riesgo y condicionantes de Parto Prematuro</t>
  </si>
  <si>
    <t>Retardo Crecimiento Intrauterino (RCIU )</t>
  </si>
  <si>
    <t>SÍFILIS</t>
  </si>
  <si>
    <t>VIH</t>
  </si>
  <si>
    <t>Cesárea anterior</t>
  </si>
  <si>
    <t>Malformación Congénita</t>
  </si>
  <si>
    <t>Otras patologías del embarazo</t>
  </si>
  <si>
    <t>INDICADOR NUTRICIONAL
Y
PARÁMETROS DE MEDICIÓN</t>
  </si>
  <si>
    <t>GRUPOS DE EDAD (en meses - años) Y SEXO</t>
  </si>
  <si>
    <t>Menor de 1 mes</t>
  </si>
  <si>
    <t>1 mes</t>
  </si>
  <si>
    <t>2 meses</t>
  </si>
  <si>
    <t>3 meses</t>
  </si>
  <si>
    <t>4 meses</t>
  </si>
  <si>
    <t>5 meses</t>
  </si>
  <si>
    <t>6 meses</t>
  </si>
  <si>
    <t>7 a 11 meses</t>
  </si>
  <si>
    <t>12 a 17 meses</t>
  </si>
  <si>
    <t>18 a 23 meses</t>
  </si>
  <si>
    <t>24 a 35 meses</t>
  </si>
  <si>
    <t>36 a 41 meses</t>
  </si>
  <si>
    <t>42 a 47 meses</t>
  </si>
  <si>
    <t>48 a 59 meses</t>
  </si>
  <si>
    <t>60 a 71 meses</t>
  </si>
  <si>
    <t>Ambos
sexos</t>
  </si>
  <si>
    <t>Mujeres</t>
  </si>
  <si>
    <t>TOTAL DE NIÑOS EN CONTROL</t>
  </si>
  <si>
    <t>INDICADOR PESO/EDAD</t>
  </si>
  <si>
    <t>INDICADOR PESO/TALLA</t>
  </si>
  <si>
    <t>INDICADOR TALLA/EDAD</t>
  </si>
  <si>
    <t>DIAGNOSTICO NUTRICIONAL INTEGRADO</t>
  </si>
  <si>
    <t>DESNUTRIDO</t>
  </si>
  <si>
    <t>OBESO</t>
  </si>
  <si>
    <t>SUBTOTAL</t>
  </si>
  <si>
    <t>DESNUTRICIÓN 
SECUNDARIA</t>
  </si>
  <si>
    <t>T O T A L</t>
  </si>
  <si>
    <t>RESULTADO Y
GRUPOS DE EDAD</t>
  </si>
  <si>
    <t>12 a 23 meses</t>
  </si>
  <si>
    <t>RIESGO</t>
  </si>
  <si>
    <t>Menor de 12 meses</t>
  </si>
  <si>
    <t>24 a 47 meses</t>
  </si>
  <si>
    <t>RETRASO</t>
  </si>
  <si>
    <t>RESULTADO</t>
  </si>
  <si>
    <t>SCORE 
DE RIESGO</t>
  </si>
  <si>
    <t>LEVE</t>
  </si>
  <si>
    <t>MODERADO</t>
  </si>
  <si>
    <t>GRAVE</t>
  </si>
  <si>
    <t>NIÑO/A CON CONSULTA NUTRICIONAL EN</t>
  </si>
  <si>
    <t>EDAD</t>
  </si>
  <si>
    <t>Menor de 6 meses</t>
  </si>
  <si>
    <t>De 6 a 11 meses</t>
  </si>
  <si>
    <t>12 - 17 meses</t>
  </si>
  <si>
    <t>18 - 23 meses</t>
  </si>
  <si>
    <t>24 - 35 meses</t>
  </si>
  <si>
    <t>36 - 47 meses</t>
  </si>
  <si>
    <t>48 - 59 meses</t>
  </si>
  <si>
    <t>60 - 71 meses</t>
  </si>
  <si>
    <t>De 6 a 9 años</t>
  </si>
  <si>
    <t>CLASIFICACIÓN</t>
  </si>
  <si>
    <t>GRUPOS DE EDAD (en meses)</t>
  </si>
  <si>
    <t>36 a 47 meses</t>
  </si>
  <si>
    <t>48 a 71 meses</t>
  </si>
  <si>
    <t>6-9 años</t>
  </si>
  <si>
    <t>NORMAL (PA menor al percentil 90)</t>
  </si>
  <si>
    <t>SIN RIESGO</t>
  </si>
  <si>
    <t>CON RIESGO</t>
  </si>
  <si>
    <t>PROGRAMAS</t>
  </si>
  <si>
    <t>GRUPOS DE EDAD (en años) Y SEXO</t>
  </si>
  <si>
    <t>Con espirometría vigente</t>
  </si>
  <si>
    <t>10 a 14 años</t>
  </si>
  <si>
    <t xml:space="preserve">Hombres </t>
  </si>
  <si>
    <t>SÍNDROME BRONQUIAL OBSTRUCTIVA RECURRENTE (SBOR)</t>
  </si>
  <si>
    <t>SEVERO</t>
  </si>
  <si>
    <t>ASMA BRONQUIAL</t>
  </si>
  <si>
    <t>ENFERMEDAD PULMONAR OBSTRUCTIVA CRÓNICA (EPOC)</t>
  </si>
  <si>
    <t>OTRAS RESPIRATORIAS CRONICAS</t>
  </si>
  <si>
    <t>OXIGENO DEPENDIENTE</t>
  </si>
  <si>
    <t xml:space="preserve">FIBROSIS QUÍSTICA </t>
  </si>
  <si>
    <t xml:space="preserve">EPILEPSIA </t>
  </si>
  <si>
    <t xml:space="preserve">ENFERMEDAD DE PARKINSON </t>
  </si>
  <si>
    <t xml:space="preserve">ARTROSIS DE CADERA Y RODILLA </t>
  </si>
  <si>
    <t>ALIVIO DEL DOLOR</t>
  </si>
  <si>
    <t>HIPOTIROIDISMO</t>
  </si>
  <si>
    <t>DEPENDENCIA LEVE</t>
  </si>
  <si>
    <t>DEPENDENCIA MODERADA</t>
  </si>
  <si>
    <t>DEPENDENCIA SEVERA</t>
  </si>
  <si>
    <t>ONCOLÓGICA</t>
  </si>
  <si>
    <t>NO ONCOLÓGICA</t>
  </si>
  <si>
    <t>CON ESCARAS (*)</t>
  </si>
  <si>
    <t>ATENCIÓN DOMICILIARIA POR DEPENDENCIA SEVERA</t>
  </si>
  <si>
    <t>TOTAL PERSONAS</t>
  </si>
  <si>
    <t>TOTAL PERSONAS CON ESCARAS</t>
  </si>
  <si>
    <t>TOTAL PERSONAS CON CUIDADOR QUE RECIBE APOYO MONETARIO</t>
  </si>
  <si>
    <t>(*) Incluidos en Dependencia Severa Oncológica y NO Oncológica</t>
  </si>
  <si>
    <t>SECCION B: CUIDADORES DE PACIENTES CON DEPENDENCIA SEVERA</t>
  </si>
  <si>
    <t>CONCEPTO</t>
  </si>
  <si>
    <t>NÚMERO DE CUIDADORES</t>
  </si>
  <si>
    <t>SECCION C: POBLACIÓN EN CONTROL EN PROGRAMA DE REHABILITACIÓN PULMONAR EN SALA IRA-ERA</t>
  </si>
  <si>
    <t>PROGRAMA</t>
  </si>
  <si>
    <t>REHABILITACIÓN PULMONAR</t>
  </si>
  <si>
    <t>SECCIÓN A: PROGRAMA SALUD CARDIOVASCULAR (PSCV)</t>
  </si>
  <si>
    <t>Pacientes Diabéticos</t>
  </si>
  <si>
    <t>NUMERO DE PERSONAS EN PSCV</t>
  </si>
  <si>
    <t>CLASIFICACIÓN DEL
RIESGO
CARDIOVASCULAR</t>
  </si>
  <si>
    <t>BAJO</t>
  </si>
  <si>
    <t>PERSONAS BAJO CONTROL SEGÚN PATOLOGÍA Y FACTORES DE RIESGO (EXISTENCIA)</t>
  </si>
  <si>
    <t>HIPERTENSOS</t>
  </si>
  <si>
    <t>DIABETICOS</t>
  </si>
  <si>
    <t>DISLIPIDEMICOS</t>
  </si>
  <si>
    <t xml:space="preserve">ANTECEDENTES DE ENF. CEREBRO VASCULAR </t>
  </si>
  <si>
    <t xml:space="preserve">DETECCIÓN Y PREVENCION DE LA PROGRESION DE LA ENFERMEDAD RENAL CRÓNICA (ERC). </t>
  </si>
  <si>
    <t>SIN ENFERMEDAD RENAL (S/ERC)</t>
  </si>
  <si>
    <t>SECCIÓN B: METAS DE COMPENSACIÓN</t>
  </si>
  <si>
    <t>PERSONAS BAJO CONTROL POR HIPERTENSION</t>
  </si>
  <si>
    <t xml:space="preserve">PA &lt; 140/90 mmHg </t>
  </si>
  <si>
    <t>PERSONAS BAJO CONTROL POR DIABETES MELLITUS</t>
  </si>
  <si>
    <t xml:space="preserve">HbA1C&lt;7% </t>
  </si>
  <si>
    <t>PERSONAS BAJO CONTROL con antecedentes Enfermedad Cardiovascular (ECV)</t>
  </si>
  <si>
    <t>En tratamiento con Estatina</t>
  </si>
  <si>
    <t>SECCIÓN C: VARIABLES DE SEGUIMIENTO DEL PSCV AL CORTE</t>
  </si>
  <si>
    <t>VARIABLES</t>
  </si>
  <si>
    <t>EN TRATAMIENTO CON INSULINA</t>
  </si>
  <si>
    <t>CON HbA1C&gt;= 9 %</t>
  </si>
  <si>
    <t>CON UN EXÁMEN DE COLESTEROL LDL VIGENTE.</t>
  </si>
  <si>
    <t>Riesgo bajo</t>
  </si>
  <si>
    <t xml:space="preserve">Riesgo moderado </t>
  </si>
  <si>
    <t>Riesgo alto</t>
  </si>
  <si>
    <t xml:space="preserve">Riesgo máximo </t>
  </si>
  <si>
    <t xml:space="preserve">CON ÚLCERAS ACTIVAS DE PIE TRATADAS CON CURACIÓN </t>
  </si>
  <si>
    <t>Curación Convencional</t>
  </si>
  <si>
    <t>Curación Avanzada</t>
  </si>
  <si>
    <t>CONDICIÓN DE 
FUNCIONALIDAD</t>
  </si>
  <si>
    <t>65 a 69 años</t>
  </si>
  <si>
    <t>70 a 74 años</t>
  </si>
  <si>
    <t>75 a 79 años</t>
  </si>
  <si>
    <t>AUTOVALENTE SIN RIESGO</t>
  </si>
  <si>
    <t>AUTOVALENTE CON RIESGO</t>
  </si>
  <si>
    <t xml:space="preserve">RIESGO DE DEPENDENCIA </t>
  </si>
  <si>
    <t>SUBTOTAL (EFAM)</t>
  </si>
  <si>
    <t>DEPENDIENTE LEVE</t>
  </si>
  <si>
    <t xml:space="preserve">DEPENDIENTE MODERADO </t>
  </si>
  <si>
    <t xml:space="preserve">DEPENDIENTE GRAVE </t>
  </si>
  <si>
    <t>DEPENDIENTE TOTAL</t>
  </si>
  <si>
    <t>SUBTOTAL (INDICE BARTHEL)</t>
  </si>
  <si>
    <t>SECCION B: POBLACIÓN BAJO CONTROL POR ESTADO NUTRICIONAL</t>
  </si>
  <si>
    <t>ESTADO NUTRICIONAL</t>
  </si>
  <si>
    <t>80 y más años</t>
  </si>
  <si>
    <t xml:space="preserve">TOTAL </t>
  </si>
  <si>
    <t>PERSONAS CON SOSPECHA DE MALTRATO</t>
  </si>
  <si>
    <t xml:space="preserve">PERSONAS EN ACTIVIDAD FÍSICA </t>
  </si>
  <si>
    <t>TIPO DE RIESGO</t>
  </si>
  <si>
    <t>Normal</t>
  </si>
  <si>
    <t>Leve</t>
  </si>
  <si>
    <t>Alto</t>
  </si>
  <si>
    <t>A. ATENCIÓN PRIMARIA</t>
  </si>
  <si>
    <t>SECCION A.1: POBLACIÓN EN CONTROL EN APS AL CORTE</t>
  </si>
  <si>
    <t>Gestantes</t>
  </si>
  <si>
    <t>0 a 4 años</t>
  </si>
  <si>
    <t>5 a 9 años</t>
  </si>
  <si>
    <t>55 a 59 años</t>
  </si>
  <si>
    <t>60 a 64 años</t>
  </si>
  <si>
    <t>NÚMERO DE PERSONAS EN CONTROL EN EL PROGRAMA</t>
  </si>
  <si>
    <t>FACTORES DE RIESGO Y CONDICIONANTES DE LA SALUD MENTAL</t>
  </si>
  <si>
    <t>VICTIMA</t>
  </si>
  <si>
    <t>ABUSO SEXUAL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</si>
  <si>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</si>
  <si>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</si>
  <si>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</si>
  <si>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</si>
  <si>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</si>
  <si>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</si>
  <si>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TRASTORNOS MENTALES Y DEL COMPORTAMIENTO DEBIDO A CONSUMO SUSTANCIAS PSICOTROPICAS</t>
  </si>
  <si>
    <t>POLICONSUMO</t>
  </si>
  <si>
    <t>TRASTORNOS DEL COMPORTAMIENTO Y DE LAS EMOCIONES DE COMIENZO HABITUAL EN LA INFANCIA Y ADOLESCENCIA</t>
  </si>
  <si>
    <t>TRASTORNO HIPERCINÉTICO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</si>
  <si>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</si>
  <si>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</si>
  <si>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</si>
  <si>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</si>
  <si>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ESQUIZOFRENIA</t>
  </si>
  <si>
    <t>TRASTORNOS DE LA CONDUCTA ALIMENTARIA</t>
  </si>
  <si>
    <t>RETRASO MENTAL</t>
  </si>
  <si>
    <t>TRASTORNO DE PERSONALIDAD</t>
  </si>
  <si>
    <t>TRASTORNO GENERALIZADOS DEL DESARROLLO</t>
  </si>
  <si>
    <t>TIPO</t>
  </si>
  <si>
    <t>RUBRO</t>
  </si>
  <si>
    <t>PROGRAMA DE REHABILITACIÓN TIPO I</t>
  </si>
  <si>
    <t>PROGRAMA DE REHABILITACIÓN TIPO II</t>
  </si>
  <si>
    <t>DEPRESIÓN REFRACTARIA</t>
  </si>
  <si>
    <t>DEPRESIÓN GRAVE CON PSICOSIS</t>
  </si>
  <si>
    <r>
      <t xml:space="preserve">CONSUMO PERJUDICIAL O DEPENDENCIA DE ALCOHOL 
</t>
    </r>
    <r>
      <rPr>
        <b/>
        <sz val="8"/>
        <color indexed="10"/>
        <rFont val="Verdana"/>
        <family val="2"/>
      </rPr>
      <t/>
    </r>
  </si>
  <si>
    <t>SECCION B.2: PROGRAMA DE REHABILITACIÓN EN ESPECIALIDAD (PERSONAS CON TRANSTORNOS PSIQUIÁTRICO)</t>
  </si>
  <si>
    <t>CLASIFICACIÓN DE LAS FAMILIAS POR SECTOR</t>
  </si>
  <si>
    <t>SECTOR 1</t>
  </si>
  <si>
    <t>SECTOR 2</t>
  </si>
  <si>
    <t>SECTOR 3</t>
  </si>
  <si>
    <t>SECTOR 4</t>
  </si>
  <si>
    <t>SECTOR 5</t>
  </si>
  <si>
    <t>SECTOR 6</t>
  </si>
  <si>
    <t>SECTOR 7</t>
  </si>
  <si>
    <t>SECTOR 8</t>
  </si>
  <si>
    <t xml:space="preserve">N° FAMILIAS INSCRITAS </t>
  </si>
  <si>
    <t>2 a 4 años</t>
  </si>
  <si>
    <t>TRANS</t>
  </si>
  <si>
    <t>Menor 1 Año</t>
  </si>
  <si>
    <t>1 año</t>
  </si>
  <si>
    <t>Nº DE PERSONAS / COMERCIO SEXUAL</t>
  </si>
  <si>
    <t>Menor de 25 años</t>
  </si>
  <si>
    <t xml:space="preserve">25 a 29 años </t>
  </si>
  <si>
    <t>(*) FUENTE DE INFORMACIÓN: CITOEXPERT O REVICAN</t>
  </si>
  <si>
    <t>PAP INFORMADOS SEGÚN RESULTADO</t>
  </si>
  <si>
    <t>NORMALES</t>
  </si>
  <si>
    <t>INADECUADOS Y ATIPICOS</t>
  </si>
  <si>
    <t>POSITIVOS</t>
  </si>
  <si>
    <t>INADECUADOS</t>
  </si>
  <si>
    <t>ATIPICOS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</si>
  <si>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</si>
  <si>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</si>
  <si>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</si>
  <si>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</si>
  <si>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</si>
  <si>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</si>
  <si>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 xml:space="preserve">SECCION C: PROGRAMA DE CANCER DE MAMA: MUJERES CON MAMOGRAFÍA VIGENTE EN LOS ULTIMOS 3 AÑOS. </t>
  </si>
  <si>
    <t>Menor de 35 años</t>
  </si>
  <si>
    <t>35 a 49 años</t>
  </si>
  <si>
    <t>SECCION D: PROGRAMA DE CANCER DE MAMA: NÚMERO DE MUJERES CON EXAMEN FÍSICO DE MAMA (VIGENTE)</t>
  </si>
  <si>
    <t>(*) FUENTE DE INFORMACIÓN: TARJETERO POBLACIONAL DE LA APS</t>
  </si>
  <si>
    <t>A.- DIFERENCIAS ENTRE POBLACIÓN EN CONTROL Y ESTADO NUTRICIONAL</t>
  </si>
  <si>
    <t>B.- DESGLOSE DE POBLACIÓN SEGÚN CONDICIÓN, PATOLOGÍA, SEXO, ETC.</t>
  </si>
  <si>
    <t>REM</t>
  </si>
  <si>
    <t>Nº ERRORES</t>
  </si>
  <si>
    <t>JUSTIFICAR ERRORES (indicar)</t>
  </si>
  <si>
    <t>REM
SIN DATOS</t>
  </si>
  <si>
    <t>CAUSAL</t>
  </si>
  <si>
    <t>OTRA CAUSAL (indicar)</t>
  </si>
  <si>
    <t>HOJA NOMBRE</t>
  </si>
  <si>
    <t>REM P1</t>
  </si>
  <si>
    <t>Licencia médica</t>
  </si>
  <si>
    <t>REM P2</t>
  </si>
  <si>
    <t>Feriado Legal</t>
  </si>
  <si>
    <t>REM P3</t>
  </si>
  <si>
    <t>No hubo profesional</t>
  </si>
  <si>
    <t>REM P4</t>
  </si>
  <si>
    <t>No corresponde REM</t>
  </si>
  <si>
    <t>REM P5</t>
  </si>
  <si>
    <t>Otra causa justificada</t>
  </si>
  <si>
    <t>REM P6</t>
  </si>
  <si>
    <t>REM P7</t>
  </si>
  <si>
    <t>REM P11</t>
  </si>
  <si>
    <t>REM P12</t>
  </si>
  <si>
    <t>Hoja de Macros y Utilidades</t>
  </si>
  <si>
    <t>DESPROTEGER HOJAS</t>
  </si>
  <si>
    <t>PROTEGER HOJAS</t>
  </si>
  <si>
    <t>Contraseña para copia del archivo :DEIS</t>
  </si>
  <si>
    <t>TIPO DE ESTABLECIMIENTO/ESTRATEGIA</t>
  </si>
  <si>
    <t>Organizaciones sin fines de lucro y ONG (DELEGADO)</t>
  </si>
  <si>
    <t>Establecimiento de Mayor Complejidad (EMAYC)</t>
  </si>
  <si>
    <t>Establecimiento de Mediana Complejidad (EMEDC)</t>
  </si>
  <si>
    <t>Establecimiento de Menor Complejidad (EMENC)</t>
  </si>
  <si>
    <t>Centros de Diagnóstico Terapéutico (CDT)</t>
  </si>
  <si>
    <t>Centro de Referencia de Salud (CRS)</t>
  </si>
  <si>
    <t>Posta de Salud Rural (PSR)</t>
  </si>
  <si>
    <t>Consultorio General Urbano (CGU)</t>
  </si>
  <si>
    <t>Consultorio General Rural (CGR)</t>
  </si>
  <si>
    <t>Centro Comunitario de Salud Familiar (CECOF)</t>
  </si>
  <si>
    <t>Consultorio de Salud Mental (COSAM)</t>
  </si>
  <si>
    <t>Programa de Reparación y Atención Integral de Salud (PRAIS)</t>
  </si>
  <si>
    <t>Consultorio General Urbano (CGU) - CESFAM</t>
  </si>
  <si>
    <t>Consultorio General Rural (CGR) - CESFAM</t>
  </si>
  <si>
    <t>Dirección Servicio de Salud (DSS)</t>
  </si>
  <si>
    <t>Centro de Atención Funcionarios (CAF)</t>
  </si>
  <si>
    <t>CON RAZON ALBÚMINA CREATININA (RAC),VIGENTE</t>
  </si>
  <si>
    <t>CON VELOCIDAD DE FILTRACIÓN GLOMERULAR (VFG), VIGENTE</t>
  </si>
  <si>
    <t>CON FONDO DE OJO, VIGENTE</t>
  </si>
  <si>
    <t>20 - 24</t>
  </si>
  <si>
    <t>datos</t>
  </si>
  <si>
    <t>errores</t>
  </si>
  <si>
    <t>Del 5to mes</t>
  </si>
  <si>
    <t>De los 3 años y 6 meses</t>
  </si>
  <si>
    <t>Diada, menor de 10 días</t>
  </si>
  <si>
    <t>ALTO</t>
  </si>
  <si>
    <t>SECCION D: NIVEL DE CONTROL DE POBLACION RESPIRATORIA CRONICA</t>
  </si>
  <si>
    <t>Controlado</t>
  </si>
  <si>
    <t>Parcialmente Controlado</t>
  </si>
  <si>
    <t>No Controlado</t>
  </si>
  <si>
    <t>No evaluada</t>
  </si>
  <si>
    <t>Logra Control Adecuado</t>
  </si>
  <si>
    <t>No Logra Control Adecuado</t>
  </si>
  <si>
    <t xml:space="preserve">15 - 19 </t>
  </si>
  <si>
    <t>25 - 29</t>
  </si>
  <si>
    <t>30 - 34</t>
  </si>
  <si>
    <t>35 - 39</t>
  </si>
  <si>
    <t>40 - 44</t>
  </si>
  <si>
    <t>45 - 49</t>
  </si>
  <si>
    <t>50 - 54</t>
  </si>
  <si>
    <t>SECCION A.1: EXISTENCIA DE POBLACIÓN EN CONTROL EN PROGRAMA "MÁS ADULTOS MAYORES AUTOVALENTES" POR CONDICIÓN DE FUNCIONALIDAD</t>
  </si>
  <si>
    <t>TOTAL (EFAM)</t>
  </si>
  <si>
    <t xml:space="preserve">PERSONAS CON DIAGNOSTICOS DE TRASTORNOS MENTALES </t>
  </si>
  <si>
    <t>TABAQUISMO ≥ 55 AÑOS</t>
  </si>
  <si>
    <t>ANTECEDENTES DE INFARTO AGUDO AL MIOCARDIO (IAM)</t>
  </si>
  <si>
    <t>ETAPA G1 Y ETAPA G2 (VFG ≥ 60 ml/min)</t>
  </si>
  <si>
    <t>ETAPA G4 (VFG ≥15 a 29 ml/min)</t>
  </si>
  <si>
    <t>ETAPA G5 (VFG &lt;15 ml/min)</t>
  </si>
  <si>
    <t>HbA1C&lt;7% - PA &lt; 140/90mmHg y Colesterol LDL &lt; 100 mg/dl</t>
  </si>
  <si>
    <t>Primer trimestre</t>
  </si>
  <si>
    <t>Segundo trimestre</t>
  </si>
  <si>
    <t>Tercer trimestre</t>
  </si>
  <si>
    <t>Total de Gestantes con Ecografías del extrasistema</t>
  </si>
  <si>
    <t>Diabetes Pre Gestacional</t>
  </si>
  <si>
    <t>Diabetes Gestacional</t>
  </si>
  <si>
    <t>GESTANTES QUE PRESENTAN ARO</t>
  </si>
  <si>
    <t>Anemia</t>
  </si>
  <si>
    <t>Cardiopatías</t>
  </si>
  <si>
    <t>Pielonefritis</t>
  </si>
  <si>
    <t>Rh(-) sensibilizada</t>
  </si>
  <si>
    <t>Placenta previa</t>
  </si>
  <si>
    <t>Chagas</t>
  </si>
  <si>
    <t>Colestasia Intrahépatica de Embarazo</t>
  </si>
  <si>
    <t xml:space="preserve">SERIE P
</t>
  </si>
  <si>
    <t xml:space="preserve">Mujeres con EFM vigente
</t>
  </si>
  <si>
    <t>CONSUMO PERJUDICIAL O DEPENDENCIA COMO DROGA PRINCIPAL</t>
  </si>
  <si>
    <t xml:space="preserve">ASISTENCIA VENTILATORIA NO INVASIVA O INVASIVA </t>
  </si>
  <si>
    <t xml:space="preserve">CONSUMO PERJUDICIAL O DEPENDENCIA DE ALCOHOL 
</t>
  </si>
  <si>
    <t xml:space="preserve">Madre de Hijo menor de 5 años </t>
  </si>
  <si>
    <t>OTRAS</t>
  </si>
  <si>
    <t xml:space="preserve">OTRAS </t>
  </si>
  <si>
    <t>SECCION B: POBLACION EN CONTROL SEGÚN RESULTADO DE EVALUACIÓN DEL DESARROLLO PSICOMOTOR</t>
  </si>
  <si>
    <t>SECCION D: POBLACIÓN EN CONTROL EN EL SEMESTRE CON CONSULTA NUTRICIONAL, SEGÚN ESTRATEGIA</t>
  </si>
  <si>
    <t>SECCION E: POBLACIÓN INASISTENTE A CONTROL DEL NIÑO SANO (AL CORTE)</t>
  </si>
  <si>
    <t xml:space="preserve">PA &lt; 150/90 mmHg </t>
  </si>
  <si>
    <t>HbA1C&lt;8%</t>
  </si>
  <si>
    <t>CON ECG VIGENTE</t>
  </si>
  <si>
    <t>TODAS LAS PERSONAS EN PSCV</t>
  </si>
  <si>
    <t>SECCION A.3: PROGRAMA DE ACOMPAÑAMIENTO PSICOSOCIAL EN LA ATENCION PRIMARIA</t>
  </si>
  <si>
    <t>Ambos Sexos</t>
  </si>
  <si>
    <t>Grupos de Edad</t>
  </si>
  <si>
    <t>Adolescentes de Pueblos Originarios</t>
  </si>
  <si>
    <t>Ambos sexos</t>
  </si>
  <si>
    <t>15 - 19 años</t>
  </si>
  <si>
    <t>SOBREPESO / RIESGO OBESIDAD</t>
  </si>
  <si>
    <t>Estudio/trabajo</t>
  </si>
  <si>
    <t>Áreas de Riesgo</t>
  </si>
  <si>
    <t>Gineco/urologico/sexualidad</t>
  </si>
  <si>
    <t>Total de Adolescentes que reciben Consejería</t>
  </si>
  <si>
    <t>Adolescentes 10 a 14 años</t>
  </si>
  <si>
    <t>Adolescentes 15 a 19 años</t>
  </si>
  <si>
    <t>INDICADOR IMC / EDAD</t>
  </si>
  <si>
    <t>+ 3 D.S. (&gt;= 3 )</t>
  </si>
  <si>
    <t>+ 2 D.S. (&gt;= +2.0 a +2.9)</t>
  </si>
  <si>
    <t>+ 1 D.S. (&gt;= +1.0 a +1.9)</t>
  </si>
  <si>
    <t>- 1 D.S. (&lt;= -1.0 a -1.9)</t>
  </si>
  <si>
    <t>- 2 D.S. (&lt;= -2.0)</t>
  </si>
  <si>
    <t>PROMEDIO (-0,9 A + 0,9)</t>
  </si>
  <si>
    <t>+ 2 D.S. (&gt;= +2.0)</t>
  </si>
  <si>
    <t>+ 1 D.S. (+1.0 a +1.9)</t>
  </si>
  <si>
    <t>- 1 D.S. (-1.0 a -1.9)</t>
  </si>
  <si>
    <t>INDICADOR PERIMETRO DE CINTURA / EDAD</t>
  </si>
  <si>
    <t>NORMAL (&lt;p75)</t>
  </si>
  <si>
    <t>RIESGO DE OBESIDAD ABDOMINAL (75&lt;p&lt;90)</t>
  </si>
  <si>
    <t>OBESIDAD ABDOMINAL (&gt;p90)</t>
  </si>
  <si>
    <t>RIESGO DE DESNUTRIR/ DEFICIT PONDERAL*</t>
  </si>
  <si>
    <t>OBESO SEVERO</t>
  </si>
  <si>
    <t>Adolescentes 10-14 años</t>
  </si>
  <si>
    <t>Adolescentes 15 - 19 años</t>
  </si>
  <si>
    <t>6 a 9 años 11 meses</t>
  </si>
  <si>
    <t>NOTA(*): El Diagnóstico Nutricional Integrado de Déficit para los niños (as) 5 años y más denomina Déficit Ponderal al Riesgo de Desnutrir.</t>
  </si>
  <si>
    <t>AGRESOR/A</t>
  </si>
  <si>
    <t xml:space="preserve">VIOLENCIA </t>
  </si>
  <si>
    <t>AVANZADO</t>
  </si>
  <si>
    <t>SECCIÓN A. CLASIFICACIÓN DE LAS FAMILIAS SECTOR URBANO</t>
  </si>
  <si>
    <t>N° FAMILIAS EVALUADAS CON CARTOLA/ENCUESTA FAMILIAR</t>
  </si>
  <si>
    <t>N° DE FAMILIAS EN RIESGO BAJO</t>
  </si>
  <si>
    <t>N° DE FAMILIAS EN RIESGO MEDIO</t>
  </si>
  <si>
    <t>N° DE FAMILIAS EN RIESGO ALTO</t>
  </si>
  <si>
    <t>SECCIÓN A.1 CLASIFICACIÓN DE LAS FAMILIAS SECTOR RURAL</t>
  </si>
  <si>
    <t>SECCIÓN B. INTERVENCIÓN EN FAMILIAS SECTOR URBANO Y RURAL</t>
  </si>
  <si>
    <t>N° FAMILIAS CON PLAN DE INTERVENCIÓN</t>
  </si>
  <si>
    <t>N° FAMILIAS SIN PLAN DE INTERVENCIÓN</t>
  </si>
  <si>
    <t>N° FAMILIAS EGRESADAS DE PLANES DE INTERVENCIÓN</t>
  </si>
  <si>
    <t>TOTAL DE EGRESOS</t>
  </si>
  <si>
    <t>INTERVENCIÓN EN FAMILIAS</t>
  </si>
  <si>
    <t>ALTA POR CUMPLIR PLAN DE INTERVENCIÓN</t>
  </si>
  <si>
    <t>TRASLADO DE ESTABLECIMIENTO</t>
  </si>
  <si>
    <t>DERIVACIÓN POR COMPLEJIDAD DEL CASO</t>
  </si>
  <si>
    <t>POR ABANDONO</t>
  </si>
  <si>
    <t>Hombre</t>
  </si>
  <si>
    <t>GLAUCOMA</t>
  </si>
  <si>
    <t>SECCION A: POBLACIÓN EN CONTROL, SEGÚN ESTADO NUTRICIONAL PARA NIÑOS MENOR DE UN MES-59 MESES</t>
  </si>
  <si>
    <t>Alterado</t>
  </si>
  <si>
    <t>ALIMENTACION SALUDABLE</t>
  </si>
  <si>
    <t>TABAQUISMO</t>
  </si>
  <si>
    <t>CONSUMO DE DROGAS</t>
  </si>
  <si>
    <t>SALUD SEXUAL REPRODUCTIVA</t>
  </si>
  <si>
    <t>REGULACION DE FECUNDIDAD</t>
  </si>
  <si>
    <t>PREVENCION VIH-ITS</t>
  </si>
  <si>
    <t>ADOLESCENTES CON CONDUCTA POSTERGADORA</t>
  </si>
  <si>
    <t>ADOLESCENTES CON CONDUCTA ANTICIPADORA</t>
  </si>
  <si>
    <t>ADOLESCENTES CON CONDUCTA ACTIVA</t>
  </si>
  <si>
    <t>USO ACTUAL DE METODO ANTICONCEPTIVO</t>
  </si>
  <si>
    <t>USO ACTUAL DE DOBLE PROTECCIÓN</t>
  </si>
  <si>
    <t>ADOLESCENTE CON ANTECEDENTE DE UN PRIMER EMBARAZO</t>
  </si>
  <si>
    <t>ADOLESCENTE CON ANTECEDENTE DE MAS DE UN EMBARAZO</t>
  </si>
  <si>
    <t>ADOLESCENTE CON ANTECEDENTE DE ABORTO</t>
  </si>
  <si>
    <t>ADOLESCENTE QUE PRESENTA VIOLENCIA DE PAREJA/POLOLO</t>
  </si>
  <si>
    <t>ADOLESCENTE QUE PRESENTA O HA SIDO VICTIMA DE VIOLENCIA SEXUAL</t>
  </si>
  <si>
    <t>SALUD SEXUAL Y REPRODUCTIVA</t>
  </si>
  <si>
    <t>IDEACIÓN SUICIDA</t>
  </si>
  <si>
    <t>INTENTO SUICIDA</t>
  </si>
  <si>
    <t xml:space="preserve">CONSUMO ALCOHOL Y DROGAS </t>
  </si>
  <si>
    <t>NUTRICIONAL</t>
  </si>
  <si>
    <t>OTRO RIESGO</t>
  </si>
  <si>
    <t>ESTUDIA</t>
  </si>
  <si>
    <t>DESERCIÓN ESCOLAR</t>
  </si>
  <si>
    <t>TRABAJO JUVENIL</t>
  </si>
  <si>
    <t>PEORES FORMAS DE TRABAJO INFANTIL</t>
  </si>
  <si>
    <t>SERVICIO DOMESTICO NO REMUNERADO PELIGROSO</t>
  </si>
  <si>
    <t>TRABAJO INFANTIL</t>
  </si>
  <si>
    <t>NORMAL O EUTROFIA</t>
  </si>
  <si>
    <t>DEFICIT PONDERALO BAJO PESO</t>
  </si>
  <si>
    <t>RANGOS PERCENTILARES PARA CIRCUNFERENCIA DE CINTURA</t>
  </si>
  <si>
    <t>NORMAL (p&lt;75)</t>
  </si>
  <si>
    <t>≥+ 2.0 D.E.(Talla Alta)</t>
  </si>
  <si>
    <t>+ 1.0 a+ 1.9 D.E. (Talla Normal Alta)</t>
  </si>
  <si>
    <r>
      <rPr>
        <u/>
        <sz val="8"/>
        <rFont val="Verdana"/>
        <family val="2"/>
      </rPr>
      <t>&lt;</t>
    </r>
    <r>
      <rPr>
        <sz val="8"/>
        <rFont val="Verdana"/>
        <family val="2"/>
      </rPr>
      <t xml:space="preserve"> 2 D.E. (Talla Baja)</t>
    </r>
  </si>
  <si>
    <t>-0.9 a+ 0.9 D.E. (Talla Normal)</t>
  </si>
  <si>
    <r>
      <rPr>
        <u/>
        <sz val="8"/>
        <rFont val="Verdana"/>
        <family val="2"/>
      </rPr>
      <t>&gt;</t>
    </r>
    <r>
      <rPr>
        <sz val="8"/>
        <rFont val="Verdana"/>
        <family val="2"/>
      </rPr>
      <t>+ 3 D.E. (Obesidad Severa)</t>
    </r>
  </si>
  <si>
    <t>≥ +2.0 a+2,9 D.E. (Obesidad)</t>
  </si>
  <si>
    <t xml:space="preserve">≥ +1.0 a+1,9 D.E.(Sobrepeso) </t>
  </si>
  <si>
    <t>SECCION A.1: POBLACIÓN EN CONTROL, SEGÚN ESTADO NUTRICIONAL PARA NIÑOS DE 60 MESES-9 AÑOS 11 MESES</t>
  </si>
  <si>
    <t>SECCION A: PROGRAMA DE CANCER DE CUELLO UTERINO: POBLACIÓN CON PAP VIGENTE</t>
  </si>
  <si>
    <t>ACTIVIDAD Y AREA TEMATICA</t>
  </si>
  <si>
    <t>INSTRUMENTO DE EVALUACIÓN</t>
  </si>
  <si>
    <t>TIMED UP AND GO</t>
  </si>
  <si>
    <t>ESTACIÓN UNIPODAL</t>
  </si>
  <si>
    <t xml:space="preserve">Normal </t>
  </si>
  <si>
    <t>REM P9</t>
  </si>
  <si>
    <t>CON PRESIÓN ARTERIAL igual o Mayor 160/100 mmHg</t>
  </si>
  <si>
    <t>SECCION A: POBLACIÓN EN CONTROL DE SALUD INTEGRAL DE ADOLESCENTES, SEGÚN ESTADO NUTRICIONAL</t>
  </si>
  <si>
    <t>SECCION D:POBLACIÓN EN CONTROL SALUD INTEGRAL DE ADOLESCENTES, SEGÚN AMBITOS GINECO-UROLOGICO/SEXUALIDAD</t>
  </si>
  <si>
    <t>SECCION E:POBLACIÓN ADOLESCENTE QUE RECIBE CONSEJERÍA</t>
  </si>
  <si>
    <t>SECCION G: POBLACIÓN INFANTIL EUTRÓFICA, SEGÚN RIESGO DE MALNUTRICIÓN POR EXCESO (Incluida en sección A y A1)</t>
  </si>
  <si>
    <t>SECCION F: POBLACIÓN INFANTIL SEGÚN DIAGNÓSTICO DE PRESIÓN ARTERIAL (Incluida en sección A y A1)</t>
  </si>
  <si>
    <t>NUMERO DE PERSONAS EN CONTROL EN EL PROGRAMA</t>
  </si>
  <si>
    <t>PRIMER EPISODIO ESQUIZOFRENIA CON OCUPACION REGULAR</t>
  </si>
  <si>
    <t>OBESIDAD ABDOMINAL p&gt;90)</t>
  </si>
  <si>
    <t>Total Cuidadoras/es capacitadas/dos</t>
  </si>
  <si>
    <t>Total cuidadoras/es con examen preventivo vigente</t>
  </si>
  <si>
    <t>Cuidadoras/es con apoyo monetario</t>
  </si>
  <si>
    <t>Cuidadoras/es Capacitadas/os con apoyo monetario</t>
  </si>
  <si>
    <t>Total Cuidadoras/es</t>
  </si>
  <si>
    <t>Masculino</t>
  </si>
  <si>
    <t>Femenino</t>
  </si>
  <si>
    <t>Población Migrantes</t>
  </si>
  <si>
    <t>Adolescentes Migrantes</t>
  </si>
  <si>
    <t>POBLACION MIGRANTES</t>
  </si>
  <si>
    <t>Niños, Niñas, Adolescentes y Jóvenes de Población SENAME</t>
  </si>
  <si>
    <t>LUBRICANTES</t>
  </si>
  <si>
    <t>ESTERILIZACIÓN QUIRURGICA</t>
  </si>
  <si>
    <t>Mujeres con Retiro de Implante Anticipado en el semestre (antes de los 5 años)</t>
  </si>
  <si>
    <t>Gestantes que reciben preservativo</t>
  </si>
  <si>
    <t>SECCION F.1: POBLACIÓN EN CONTROL CLIMATERIO SEGÚN TIPO TERAPIA REEMPLAZO HORMONAL</t>
  </si>
  <si>
    <t>Estradiol Micronizado 1mg</t>
  </si>
  <si>
    <t>Estradiol Gel</t>
  </si>
  <si>
    <t>Progesterona Micronizada 100mg</t>
  </si>
  <si>
    <t>Progesterona Micronizada 200mg</t>
  </si>
  <si>
    <t>Nomegestrol 5mg comp.</t>
  </si>
  <si>
    <t>Tibolona 2,5mg comp.</t>
  </si>
  <si>
    <t>Menor 
de 45 años</t>
  </si>
  <si>
    <t>55 a 60 años</t>
  </si>
  <si>
    <t>Total de Niños y Niñas que han recibido VDI</t>
  </si>
  <si>
    <t>SECCIÓN A. POBLACIÓN SENAME POTENCIAL DE ATENCION EN APS AL CORTE</t>
  </si>
  <si>
    <t>Tipo de Programas SENAME</t>
  </si>
  <si>
    <t>Ambulatorios</t>
  </si>
  <si>
    <t>Residencia</t>
  </si>
  <si>
    <t>CIP / CRC</t>
  </si>
  <si>
    <t>N° TOTAL DE POBLACIÓN POTENCIAL SENAME</t>
  </si>
  <si>
    <t>SECCIÓN B. NIÑOS, NIÑAS, ADOLESCENTES Y JÓVENES VINCULADOS A POBLACIÓN SENAME EN CONTROL DE SALUD EN APS AL CORTE</t>
  </si>
  <si>
    <t xml:space="preserve">POR EDAD </t>
  </si>
  <si>
    <t>15 a 19</t>
  </si>
  <si>
    <t>Mayor a 25 años</t>
  </si>
  <si>
    <t>CIP-CRC</t>
  </si>
  <si>
    <t>AMBULATORIOS</t>
  </si>
  <si>
    <t>RESIDENCIALES</t>
  </si>
  <si>
    <t>SECCIÓN C. VARIABLES DE SEGUIMIENTO A POBLACIÓN SENAME EN CONTROL DE SALUD EN APS AL CORTE</t>
  </si>
  <si>
    <t>Variable</t>
  </si>
  <si>
    <t>20 a 24</t>
  </si>
  <si>
    <t>POBLACIÓN EN CONTROL CON MÉTODO DE REGULACIÓN DE FERTILIDAD</t>
  </si>
  <si>
    <t>GESTANTES EN CONTROL CON RIESGO PSICOSOCIAL</t>
  </si>
  <si>
    <t>POBLACIÓN INFANTIL EN CONTROL</t>
  </si>
  <si>
    <t>POBLACIÓN EN CONTROL DE SALUD INTEGRAL DE ADOLESCENTES SEGÚN ÁREA DE RIESGO</t>
  </si>
  <si>
    <t>POBLACIÓN EN CONTROL DE SALUD MENTAL</t>
  </si>
  <si>
    <t>POBLACIÓN EN PROGRAMA DE ACOMPAÑAMIENTO PSICOSOCIAL</t>
  </si>
  <si>
    <t>TIPO DE PROGRAMAS SENAME</t>
  </si>
  <si>
    <t>Implante Levonorgestrel (5 años)</t>
  </si>
  <si>
    <t>Talleres educativos</t>
  </si>
  <si>
    <t>SÓLO PRESERVATIVO MAC</t>
  </si>
  <si>
    <t>PRESERVATIVO/PRACTICA SEXUAL SEGURA</t>
  </si>
  <si>
    <t>Total</t>
  </si>
  <si>
    <t>RIESGO BAJO</t>
  </si>
  <si>
    <t>RIESGO MEDIO</t>
  </si>
  <si>
    <t>RIESGO ALTO</t>
  </si>
  <si>
    <t>Centro de Salud Urbano (CSU)</t>
  </si>
  <si>
    <t>Centro de Salud Familiar</t>
  </si>
  <si>
    <t>Implante Etonogestrel (3 años)</t>
  </si>
  <si>
    <t>REM-P1. POBLACIÓN EN CONTROL PROGRAMA DE SALUD DE LA MUJER</t>
  </si>
  <si>
    <t>D . I . U con Levonorgestrel</t>
  </si>
  <si>
    <t>Método de Regulación de Fertilidad más Preservativo</t>
  </si>
  <si>
    <t>SECCION D: GESTANTES Y MUJERES DE 8° MES POST-PARTO EN CONTROL, SEGÚN ESTADO NUTRICIONAL</t>
  </si>
  <si>
    <t>SECCION G: GESTANTES EN CONTROL CON ECOGRAFÍA POR TRIMESTRE DE GESTACION (EN EL SEMESTRE)</t>
  </si>
  <si>
    <t>REM-P4. POBLACIÓN EN CONTROL PROGRAMA DE SALUD CARDIOVASCULAR (PSCV)</t>
  </si>
  <si>
    <t>ETAPA G3a (VFG ≥45 a 59 ml/min)</t>
  </si>
  <si>
    <t>ETAPA G3b (VFG ≥30 a 44 ml/min)</t>
  </si>
  <si>
    <t>COLESTEROL LDL &lt; 100 mg/dL</t>
  </si>
  <si>
    <t>SECCION A: POBLACIÓN EN CONTROL POR CONDICIÓN DE FUNCIONALIDAD</t>
  </si>
  <si>
    <t>GRUPO DE EDAD (en años) Y SEXO</t>
  </si>
  <si>
    <t>D . I . U T con Cobre</t>
  </si>
  <si>
    <t xml:space="preserve"> TOTAL</t>
  </si>
  <si>
    <t>4 a 11 meses</t>
  </si>
  <si>
    <t>TIPO A</t>
  </si>
  <si>
    <t>TIPO B</t>
  </si>
  <si>
    <t>REM-P6. POBLACIÓN EN CONTROL PROGRAMA DE SALUD MENTAL EN ATENCIÓN PRIMARIA Y ESPECIALIDAD</t>
  </si>
  <si>
    <t>N° DE PERSONAS EN CONTROL EN PROGRAMA DE ACOMPAÑAMIENTO PSICOSOCIAL</t>
  </si>
  <si>
    <t>DEPRESIÓN CON ALTO RIESGO SUICIDA</t>
  </si>
  <si>
    <t>REM-P7. FAMILIAS EN CONTROL DE SALUD FAMILIAR</t>
  </si>
  <si>
    <t>REM-P9. POBLACIÓN EN CONTROL DEL ADOLESCENTE</t>
  </si>
  <si>
    <t>TOTAL ADOLESCENTES EN CONTROL</t>
  </si>
  <si>
    <t>≤ -2.0 D.E. (Desnutrición)</t>
  </si>
  <si>
    <t>- 1.0 a -1.9 D.E. (Talla Normal Baja)</t>
  </si>
  <si>
    <t>RIESGO DE OBESIDAD (p75&lt;p&lt;90)</t>
  </si>
  <si>
    <t>SECCION B: POBLACIÓN EN CONTROL SALUD INTEGRAL DE ADOLESCENTES, SEGÚN EDUCACIÓN Y TRABAJO</t>
  </si>
  <si>
    <t>SECCION C: POBLACIÓN EN CONTROL SALUD INTEGRAL DE ADOLESCENTES, SEGÚN ÁREAS DE RIESGO</t>
  </si>
  <si>
    <t>10-14 años</t>
  </si>
  <si>
    <t>GRUPO DE EDAD 
(en años)</t>
  </si>
  <si>
    <t xml:space="preserve"> 0 - 4</t>
  </si>
  <si>
    <t xml:space="preserve"> 5 - 9</t>
  </si>
  <si>
    <t xml:space="preserve"> 10 - 14 </t>
  </si>
  <si>
    <t>NUMERO DE ERRORES SEGÚN :</t>
  </si>
  <si>
    <t>CREA UNA COPIA DEL ARCHIVO (TRANFORMA HOJAS A VALORES)</t>
  </si>
  <si>
    <t>REM-P3. POBLACIÓN EN CONTROL OTROS PROGRAMAS</t>
  </si>
  <si>
    <t>Mujeres con mamografia vigente  (Menor o igual a 3 años)</t>
  </si>
  <si>
    <t>REM P13</t>
  </si>
  <si>
    <t>Menor de 15</t>
  </si>
  <si>
    <t>ACTIVIDAD FÍSICA</t>
  </si>
  <si>
    <t>≤ -1.0 a-1,9 D.E.(Bajo peso)</t>
  </si>
  <si>
    <t>SECCION A.2: PROGRAMA DE REHABILITACIÓN EN ATENCION PRIMARIA (PERSONAS CON TRANSTORNOS PSIQUIÁTRICO).</t>
  </si>
  <si>
    <t>SECCION A: POBLACIÓN EN CONTROL SEGÚN MÉTODO DE REGULACIÓN DE FERTILIDAD Y SALUD SEXUAL</t>
  </si>
  <si>
    <t>B. ATENCIÓN DE ESPECIALIDADES
SECCION B.1: POBLACIÓN EN CONTROL EN ESPECIALIDAD AL CORTE</t>
  </si>
  <si>
    <t>Madre de hojos</t>
  </si>
  <si>
    <t>Pueblos originarios</t>
  </si>
  <si>
    <t>Poblacion Migrantes</t>
  </si>
  <si>
    <t>No Olvide</t>
  </si>
  <si>
    <t>Niños y niñas SENAME</t>
  </si>
  <si>
    <t>Femenino (NO)</t>
  </si>
  <si>
    <t>REM-P13. NIÑOS, NIÑAS, ADOLESCENTES Y JÓVENES DE LA RED DE PROTECCIÓN SENAME EN ATENCIÓN</t>
  </si>
  <si>
    <t xml:space="preserve"> -0.9 a+ 0.9 D.E. (Peso Normal)</t>
  </si>
  <si>
    <t>CONDON FEMENINO</t>
  </si>
  <si>
    <t>PV-VIH (personas viviendo con VIH)</t>
  </si>
  <si>
    <t>Espacios Amigables</t>
  </si>
  <si>
    <t>SUICIDIO</t>
  </si>
  <si>
    <t>IDEACIÓN</t>
  </si>
  <si>
    <t>INTENTO</t>
  </si>
  <si>
    <t>TRASTORNO DE ESTRÉS POST TRAUMATICO</t>
  </si>
  <si>
    <t xml:space="preserve">TRASTORNO DE PANICO CON AGOROFOBIA </t>
  </si>
  <si>
    <t xml:space="preserve">TRASTORNO DE PANICO SIN AGOROFOBIA </t>
  </si>
  <si>
    <t>FOBIAS SOCIALES</t>
  </si>
  <si>
    <t>TRASTORNOS DE ANSIEDAD GENERALIZADA</t>
  </si>
  <si>
    <t>OTROS TRASTORNOS DE ANSIEDAD</t>
  </si>
  <si>
    <t>EPILEPSIA</t>
  </si>
  <si>
    <t>CON ATENCIÓN PODOLÓGICA VIGENTE</t>
  </si>
  <si>
    <t>SECCIÓN A: EXISTENCIA DE POBLACIÓN EN CONTROL</t>
  </si>
  <si>
    <t xml:space="preserve">CON INDICACIÓN DE NUTRICIÓN ENTERAL DOMICILIARIA (NED) </t>
  </si>
  <si>
    <t>MIGRANTES</t>
  </si>
  <si>
    <t>DEMENCIAS (INCLUYE ALZHEIMER)</t>
  </si>
  <si>
    <t>Niños, Niñas, Adolescentes y Jóvenes Población SENAME</t>
  </si>
  <si>
    <t>Nº TOTAL DE PERSONAS CON VIH/SIDA</t>
  </si>
  <si>
    <t>GESTANTES</t>
  </si>
  <si>
    <t>Inicia TARV en este embarazo</t>
  </si>
  <si>
    <t>en TARV previa</t>
  </si>
  <si>
    <t>NO GESTANTES</t>
  </si>
  <si>
    <t>Con TARV</t>
  </si>
  <si>
    <t>Sin TARV</t>
  </si>
  <si>
    <t>CON AMPUTACIÓN POR PIE DIABÉTICO</t>
  </si>
  <si>
    <t>MUJERES
con PAP Vigente 
en los ultimos 3 años</t>
  </si>
  <si>
    <t>TRANS MASCULINO
con PAP Vigente 
en los ultimos 3 años</t>
  </si>
  <si>
    <t>CON DIAGNOSTICO ASOCIADO DE HIPERTENSION ARTERIAL</t>
  </si>
  <si>
    <t>Población SENAME</t>
  </si>
  <si>
    <t>Madre de hijos</t>
  </si>
  <si>
    <t>Poblacion SENAME</t>
  </si>
  <si>
    <t>EN  TRATAMIENTO CON INSULINA QUE LOGRA META CON  HbA1C SEGÚN EDAD</t>
  </si>
  <si>
    <t>Plan Cuidado Integral Elaborado</t>
  </si>
  <si>
    <t>DISGNOSTICOS</t>
  </si>
  <si>
    <t>6 a 7 años</t>
  </si>
  <si>
    <t>8 a 9 años</t>
  </si>
  <si>
    <t>PRESIÓN ARTERIAL ELEVADA</t>
  </si>
  <si>
    <t>DIABETES TIPO I</t>
  </si>
  <si>
    <t>DIABETES TIPO II</t>
  </si>
  <si>
    <t>SÍNDROME DE DOWN</t>
  </si>
  <si>
    <t>TRASTORNO DE ESPECTRO AUTISTA</t>
  </si>
  <si>
    <t>FIBROSIS QUÍSTICA</t>
  </si>
  <si>
    <t>PARÁLISIS CEREBRAL</t>
  </si>
  <si>
    <t>ENFERMEDADES RENALES CRÓNICAS</t>
  </si>
  <si>
    <t>ENFERMEDADES CARDIACAS CRÓNICAS</t>
  </si>
  <si>
    <t>ENFERMEDADES GÁSTRICAS CRÓNICAS</t>
  </si>
  <si>
    <t>ENFERMEDADES DEL OJO</t>
  </si>
  <si>
    <t>ENFERMEDADES DEL OÍDO</t>
  </si>
  <si>
    <t>ENFERMEDADES DE LA PIEL</t>
  </si>
  <si>
    <t>NEOPLASIAS</t>
  </si>
  <si>
    <t>MALFORMACIONES CONGÉNITAS, DEFORMIDADES Y ANOMALÍAS CROMOSÓMICAS</t>
  </si>
  <si>
    <t>PREMATUROS</t>
  </si>
  <si>
    <t>HOSPITALIZACIÓN DOMICILIARIA</t>
  </si>
  <si>
    <t>TOTAL PERSONAS MAYORES EN CONTROL</t>
  </si>
  <si>
    <t xml:space="preserve">REM-P5. POBLACIÓN EN CONTROL PROGRAMA NACIONAL DE SALUD INTEGRAL DE PERSONAS MAYORES </t>
  </si>
  <si>
    <t>PCIE</t>
  </si>
  <si>
    <t>SECCIÓN B.1- PROGRAMA DE CANCER DE CUELLO UTERINO: PAP REALIZADOS E INFORMADOS SEGÚN RESULTADOS Y GRUPOS DE EDAD
(Examen realizados en la red pública)</t>
  </si>
  <si>
    <t>SECCIÓN B.2- PROGRAMA DE CANCER DE CUELLO UTERINO: PAP REALIZADOS E INFORMADOS SEGÚN RESULTADOS Y GRUPOS DE EDAD
(Examen realizados en extrasistema)</t>
  </si>
  <si>
    <t>SECCION C: PERSONAS MAYORES CON SOSPECHA DE MALTRATO</t>
  </si>
  <si>
    <t xml:space="preserve">SECCION D: PERSONAS MAYORES EN ACTIVIDAD FÍSICA </t>
  </si>
  <si>
    <t>SECCION E: PERSONAS MAYORES CON RIESGO DE CAÍDAS</t>
  </si>
  <si>
    <t>REM-P11. POBLACIÓN EN CONTROL PROGRAMA DE INFECCIONES DE TRASMISIÓN SEXUAL - VIH / SIDA</t>
  </si>
  <si>
    <t>SECCION A: POBLACIÓN EN CONTROL DEL PROGRAMA DE VIH/SIDA (Uso exclusivo Centros de Atención VIH-SIDA)</t>
  </si>
  <si>
    <t xml:space="preserve">Centro de Rehabilitacion (CR) </t>
  </si>
  <si>
    <t>Consultorio General Urbano(CGU) con SAPU/SUR/SAR</t>
  </si>
  <si>
    <t>Consultorio General Urbano (CGU) - CESFAM con SAPU/SAR</t>
  </si>
  <si>
    <t>Consultorio General Rural (CGR) con SAPU/SAR/SUR</t>
  </si>
  <si>
    <t>Consultorio General Rural (CGR) - CESFAM con SAPU/SAR/SUR</t>
  </si>
  <si>
    <t>SOBREPESO: IMC entre 25 y 29.9 &lt;65</t>
  </si>
  <si>
    <t>SOBREPESO: IMC entre 28 y 31.9 &gt;65</t>
  </si>
  <si>
    <t>OBESIDAD IMC igual o Mayor a 30KG/M2 &lt;65</t>
  </si>
  <si>
    <t>**OBESIDAD: IMC igual o Mayor a 32KG/M2 &gt;65</t>
  </si>
  <si>
    <t xml:space="preserve">SECCION C: POBLACIÓN MENOR DE 1 AÑO EN CONTROL, SEGÚN SCORE RIESGO EN IRA Y VISITA DOMICILIARIA INTEGRAL </t>
  </si>
  <si>
    <t xml:space="preserve">SECCION C: GESTANTES EN RIESGO PSICOSOCIAL CON VISITA DOMICILIARIA INTEGRAL REALIZADA </t>
  </si>
  <si>
    <t>NOTA (*): La vigencia de la evaluación del pie diabetico es de 12 meses.</t>
  </si>
  <si>
    <t>CON *EVALUACIÓN VIGENTE DEL PIE SEGÚN PAUTA DE ESTIMACION DEL RIESGO DE ULCERACION EN PERSONAS CON DIABETES</t>
  </si>
  <si>
    <t xml:space="preserve">MUJERES BAJO CONTROL DE REGULACIÓN DE FERTILIDAD SEGÚN ESTADO NUTRICIONAL </t>
  </si>
  <si>
    <t>MUJERES
con Examen VPH Vigente 
en los ultimos 5 años</t>
  </si>
  <si>
    <t>TRANS MASCULINO
con Examen VPH Vigente 
en los ultimos 5 años</t>
  </si>
  <si>
    <t>VPH INFORMADOS SEGÚN RESULTADO</t>
  </si>
  <si>
    <t>VPH (-)</t>
  </si>
  <si>
    <t>VPH 16 (+)</t>
  </si>
  <si>
    <t>VPH 18 (+)</t>
  </si>
  <si>
    <t xml:space="preserve">VPH AR* (+) </t>
  </si>
  <si>
    <t>* Agrupados Alto Riesgo</t>
  </si>
  <si>
    <t xml:space="preserve">TOTAL VPH  INFORMADOS EN TRANS MASCULINO </t>
  </si>
  <si>
    <t xml:space="preserve">VPH AR (+) </t>
  </si>
  <si>
    <t>SECCION E: PROGRAMA DE CANCER DE CUELLO UTERINO: POBLACIÓN CON VPH VIGENTE</t>
  </si>
  <si>
    <t xml:space="preserve">TOTAL PAP INFORMADOS EN TRANS MASCULINO </t>
  </si>
  <si>
    <t>REM-P12. PERSONAS CON PAP – MAMOGRAFIA - EXAMEN FISICO DE MAMA VIGENTES Y PRODUCCION DE PAP Y VPH (SEMESTRAL)</t>
  </si>
  <si>
    <t>70 y mas años</t>
  </si>
  <si>
    <t>AUTISMO</t>
  </si>
  <si>
    <t>ASPERGER</t>
  </si>
  <si>
    <t>SÍNDROME DE RETT</t>
  </si>
  <si>
    <t>TRASTORNO DESINTEGRATIVO DE LA INFANCIA</t>
  </si>
  <si>
    <t>TRASTONO GENERALIZADO DEL DESARROLLO NO ESPECÍFICO</t>
  </si>
  <si>
    <t>N° DE PERSONAS EN TARV</t>
  </si>
  <si>
    <t xml:space="preserve">SECCION H: MUJERES BAJO CONTROL DE REGULACIÓN DE FERTILIDAD SEGÚN ESTADO NUTRICIONAL </t>
  </si>
  <si>
    <t>SECCIÓN I POBLACIÓN EN CONTROL POR PATOLOGÍAS DE ALTO RIESGO OBSTÉTRICO</t>
  </si>
  <si>
    <t>SECCIÓN F: PROGRAMA DE CANCER DE CUELLO UTERINO: RESULTADOS DE VPH  REALIZADOS EN EL SISTEMA PUBLICO SEGÚN GRUPOS DE EDAD 
(Examen realizados en la red pública)</t>
  </si>
  <si>
    <t>SECCIÓN F.1: PROGRAMA DE CANCER DE CUELLO UTERINO: RESULTADOS DE  VPH INFORMADOS, REALIZADOS EN EL EXTRASISTEMA SEGÚN  GRUPOS DE EDAD (Examen realizados en extrasistema)</t>
  </si>
  <si>
    <t>PUEBLOS ORIGINARIOS</t>
  </si>
  <si>
    <t>SECCIÓN D. NIÑOS, NIÑAS, ADOLESCENTES Y JÓVENES VINCULADOS A LA RED SENAME EN CONTROL DE SALUD MENTAL EN ESPECIALIDAD AL CORTE</t>
  </si>
  <si>
    <t xml:space="preserve">HTA ESTADIO I </t>
  </si>
  <si>
    <t>HTA ESTADIO II</t>
  </si>
  <si>
    <t xml:space="preserve"> </t>
  </si>
  <si>
    <t>En tratamiento con Antiagregantes plaquetarios</t>
  </si>
  <si>
    <t>PERSONAS CON RCV ALTO</t>
  </si>
  <si>
    <t>PERSONAS CON DIABETES  EN PSCV</t>
  </si>
  <si>
    <t>CON ERC ETAPA 3B O SUPERIOR Y EN TRATAMIENTO CON IECA O ARA II.</t>
  </si>
  <si>
    <t>ANTECEDENTE DE ATAQUE CEREBRO VASCULAR</t>
  </si>
  <si>
    <t>ANTECEDENTES DE INFARTO AGUDO AL MIOCARDIO</t>
  </si>
  <si>
    <t>CON VELOCIDAD DE FILTRACION GLOMERULAR VIGENTE(VFG),</t>
  </si>
  <si>
    <t>Derivación Nivel Secundario</t>
  </si>
  <si>
    <t xml:space="preserve">REM-P2. POBLACIÓN EN CONTROL PROGRAMA NACIONAL  DE SALUD DE LA INFANCIA </t>
  </si>
  <si>
    <t xml:space="preserve"> Mujeres en control con enfermedad cardiovascular (DM-HTA)
</t>
  </si>
  <si>
    <t>Mujeres con MRS elevado*</t>
  </si>
  <si>
    <t>PERSONAS CON HIPERTENSION EN PSCV</t>
  </si>
  <si>
    <t>Con carga viral &lt;a 1000 copias</t>
  </si>
  <si>
    <t>SECCIÓN E:  RESULTADO DE ENCUESTA CALIDAD DE VIDA</t>
  </si>
  <si>
    <t>POR EDAD</t>
  </si>
  <si>
    <t>5 - 9 
años</t>
  </si>
  <si>
    <t>10 - 14
años</t>
  </si>
  <si>
    <t>15 - 19
años</t>
  </si>
  <si>
    <t xml:space="preserve">20 a 24 años
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</si>
  <si>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</si>
  <si>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</si>
  <si>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</si>
  <si>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</si>
  <si>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</si>
  <si>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</si>
  <si>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</si>
  <si>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</si>
  <si>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mas años</t>
  </si>
  <si>
    <t>Ingresos</t>
  </si>
  <si>
    <t>Abandonos</t>
  </si>
  <si>
    <t>Egresos por termino de ciclo</t>
  </si>
  <si>
    <t>Articulacion continuidad en intersector</t>
  </si>
  <si>
    <t>DIAGNÓSTICO</t>
  </si>
  <si>
    <t>ACTIVIDAD</t>
  </si>
  <si>
    <t>Mejora en relación a  año anterior</t>
  </si>
  <si>
    <t>No mejora en relación a año anterior</t>
  </si>
  <si>
    <t>Evaluados</t>
  </si>
  <si>
    <t>SECCION B: POBLACIÓN EN CONTROL POR COMERCIO SEXUAL (Uso exclusivo de Unidades Control Comercio Sexual)</t>
  </si>
  <si>
    <t>OTRAS CRÓNICAS RESPIRATORIAS</t>
  </si>
  <si>
    <t>Unidad de Salud de Funcionarios (USF)</t>
  </si>
  <si>
    <t>Servicio de Atención Primaria de Urgencia (SAPU)</t>
  </si>
  <si>
    <t>SAPU Alta Resolución (SAR)</t>
  </si>
  <si>
    <t>Servicio de Urgencia Rural (SUR)</t>
  </si>
  <si>
    <t>Servicio de Atención Primaria de Urgencia Dental (SAPUDENT)</t>
  </si>
  <si>
    <t>Hospital de Campaña</t>
  </si>
  <si>
    <t>Centro Oncologico</t>
  </si>
  <si>
    <t>SAMU</t>
  </si>
  <si>
    <t>yu</t>
  </si>
  <si>
    <t>Clinica Dental Movil (CDM)</t>
  </si>
  <si>
    <t xml:space="preserve">Laboratorio Clinico o Dental </t>
  </si>
  <si>
    <t>P1010100</t>
  </si>
  <si>
    <t>P1060124</t>
  </si>
  <si>
    <t>P1010201</t>
  </si>
  <si>
    <t>P1010202</t>
  </si>
  <si>
    <t>P1010203</t>
  </si>
  <si>
    <t>P1040508</t>
  </si>
  <si>
    <t>P1040500</t>
  </si>
  <si>
    <t>P1200190</t>
  </si>
  <si>
    <t>P1010301</t>
  </si>
  <si>
    <t>P1010302</t>
  </si>
  <si>
    <t>P1200240</t>
  </si>
  <si>
    <t>P1200250</t>
  </si>
  <si>
    <t>P1060010</t>
  </si>
  <si>
    <t>P1060020</t>
  </si>
  <si>
    <t>P1200260</t>
  </si>
  <si>
    <t>P1060090</t>
  </si>
  <si>
    <t>P1200270</t>
  </si>
  <si>
    <t>P1200200</t>
  </si>
  <si>
    <t>P1200210</t>
  </si>
  <si>
    <t>P1200220</t>
  </si>
  <si>
    <t>P1200230</t>
  </si>
  <si>
    <t>P1200350</t>
  </si>
  <si>
    <t>P1020100</t>
  </si>
  <si>
    <t>P1020200</t>
  </si>
  <si>
    <t>P1040501</t>
  </si>
  <si>
    <t>P1060100</t>
  </si>
  <si>
    <t>P1060101</t>
  </si>
  <si>
    <t>P1060102</t>
  </si>
  <si>
    <t>P1060103</t>
  </si>
  <si>
    <t>P1060104</t>
  </si>
  <si>
    <t>P1060105</t>
  </si>
  <si>
    <t>P1040502</t>
  </si>
  <si>
    <t>P1040503</t>
  </si>
  <si>
    <t>P1040504</t>
  </si>
  <si>
    <t>P1040505</t>
  </si>
  <si>
    <t>P1030101</t>
  </si>
  <si>
    <t>P1030102</t>
  </si>
  <si>
    <t>P1030103</t>
  </si>
  <si>
    <t>P1030104</t>
  </si>
  <si>
    <t>P1030201</t>
  </si>
  <si>
    <t>P1030202</t>
  </si>
  <si>
    <t>P1030203</t>
  </si>
  <si>
    <t>P1030204</t>
  </si>
  <si>
    <t>P1050100</t>
  </si>
  <si>
    <t>P1050101</t>
  </si>
  <si>
    <t>P1050102</t>
  </si>
  <si>
    <t>P1050103</t>
  </si>
  <si>
    <t>P1050104</t>
  </si>
  <si>
    <t>P1030301</t>
  </si>
  <si>
    <t>P1060040</t>
  </si>
  <si>
    <t>P1060050</t>
  </si>
  <si>
    <t>P1060060</t>
  </si>
  <si>
    <t>P1200340</t>
  </si>
  <si>
    <t>P1200280</t>
  </si>
  <si>
    <t>P1200290</t>
  </si>
  <si>
    <t>P1200300</t>
  </si>
  <si>
    <t>P1200310</t>
  </si>
  <si>
    <t>P1200320</t>
  </si>
  <si>
    <t>P1200330</t>
  </si>
  <si>
    <t>P1060106</t>
  </si>
  <si>
    <t>P1060107</t>
  </si>
  <si>
    <t>P1060108</t>
  </si>
  <si>
    <t>P1060109</t>
  </si>
  <si>
    <t>P1060110</t>
  </si>
  <si>
    <t>P1060111</t>
  </si>
  <si>
    <t>P1060112</t>
  </si>
  <si>
    <t>P1060113</t>
  </si>
  <si>
    <t>P1060114</t>
  </si>
  <si>
    <t>P1200100</t>
  </si>
  <si>
    <t>P1200110</t>
  </si>
  <si>
    <t>P1200120</t>
  </si>
  <si>
    <t>P1200130</t>
  </si>
  <si>
    <t>P1200140</t>
  </si>
  <si>
    <t>P1200150</t>
  </si>
  <si>
    <t>P1200160</t>
  </si>
  <si>
    <t>P1200170</t>
  </si>
  <si>
    <t>P1200180</t>
  </si>
  <si>
    <t>CODIGOS ELIMINADOS</t>
  </si>
  <si>
    <t>P1600100</t>
  </si>
  <si>
    <t>P1600101</t>
  </si>
  <si>
    <t>P1600102</t>
  </si>
  <si>
    <t>P1600103</t>
  </si>
  <si>
    <t>P1030303</t>
  </si>
  <si>
    <t>P1060070</t>
  </si>
  <si>
    <t>P1030304</t>
  </si>
  <si>
    <t>P1030401</t>
  </si>
  <si>
    <t>P1040506</t>
  </si>
  <si>
    <t>P1040507</t>
  </si>
  <si>
    <t>P1060115</t>
  </si>
  <si>
    <t>P1060116</t>
  </si>
  <si>
    <t>P1030403</t>
  </si>
  <si>
    <t>P1060080</t>
  </si>
  <si>
    <t>P1060117</t>
  </si>
  <si>
    <t>P1060118</t>
  </si>
  <si>
    <t>P1060119</t>
  </si>
  <si>
    <t>P1060120</t>
  </si>
  <si>
    <t>P1060121</t>
  </si>
  <si>
    <t>P1060122</t>
  </si>
  <si>
    <t>P1060123</t>
  </si>
  <si>
    <t>P1030404</t>
  </si>
  <si>
    <t>P2060000</t>
  </si>
  <si>
    <t>P2400100</t>
  </si>
  <si>
    <t>P2400110</t>
  </si>
  <si>
    <t>P2070101</t>
  </si>
  <si>
    <t>P2070102</t>
  </si>
  <si>
    <t>P2070201</t>
  </si>
  <si>
    <t>P2070202</t>
  </si>
  <si>
    <t>P2070301</t>
  </si>
  <si>
    <t>P2070302</t>
  </si>
  <si>
    <t>P2400120</t>
  </si>
  <si>
    <t>P2400130</t>
  </si>
  <si>
    <t>P2070401</t>
  </si>
  <si>
    <t>P2070402</t>
  </si>
  <si>
    <t>P2400140</t>
  </si>
  <si>
    <t>P2070501</t>
  </si>
  <si>
    <t>P2070502</t>
  </si>
  <si>
    <t>P2070503</t>
  </si>
  <si>
    <t>P2070504</t>
  </si>
  <si>
    <t>P2070505</t>
  </si>
  <si>
    <t>P2070506</t>
  </si>
  <si>
    <t>P2400150</t>
  </si>
  <si>
    <t>P2400160</t>
  </si>
  <si>
    <t>P2400170</t>
  </si>
  <si>
    <t>P2400180</t>
  </si>
  <si>
    <t>P2400190</t>
  </si>
  <si>
    <t>P2400200</t>
  </si>
  <si>
    <t>P2400210</t>
  </si>
  <si>
    <t>P2400220</t>
  </si>
  <si>
    <t>P2400230</t>
  </si>
  <si>
    <t>P2400240</t>
  </si>
  <si>
    <t>P2400250</t>
  </si>
  <si>
    <t>P2400260</t>
  </si>
  <si>
    <t>P2400270</t>
  </si>
  <si>
    <t>P2400280</t>
  </si>
  <si>
    <t>P2400290</t>
  </si>
  <si>
    <t>P2400300</t>
  </si>
  <si>
    <t>P2400310</t>
  </si>
  <si>
    <t>P2400320</t>
  </si>
  <si>
    <t>P2400330</t>
  </si>
  <si>
    <t>P2400340</t>
  </si>
  <si>
    <t>P2400350</t>
  </si>
  <si>
    <t>P2400360</t>
  </si>
  <si>
    <t>P2100200</t>
  </si>
  <si>
    <t>P2300100</t>
  </si>
  <si>
    <t>P2300200</t>
  </si>
  <si>
    <t>P2100400</t>
  </si>
  <si>
    <t>P2100500</t>
  </si>
  <si>
    <t>P2100600</t>
  </si>
  <si>
    <t>P2300300</t>
  </si>
  <si>
    <t>P2300400</t>
  </si>
  <si>
    <t>P2200900</t>
  </si>
  <si>
    <t>P2300000</t>
  </si>
  <si>
    <t>P2090300</t>
  </si>
  <si>
    <t>P2090400</t>
  </si>
  <si>
    <t>P2100100</t>
  </si>
  <si>
    <t>P2200700</t>
  </si>
  <si>
    <t>P2200800</t>
  </si>
  <si>
    <t>P2300410</t>
  </si>
  <si>
    <t>P2300420</t>
  </si>
  <si>
    <t>P2300460</t>
  </si>
  <si>
    <t>P2300470</t>
  </si>
  <si>
    <t>P2300480</t>
  </si>
  <si>
    <t>P2300490</t>
  </si>
  <si>
    <t>P2300500</t>
  </si>
  <si>
    <t>P2300510</t>
  </si>
  <si>
    <t>P2300520</t>
  </si>
  <si>
    <t>P2300530</t>
  </si>
  <si>
    <t>P2300540</t>
  </si>
  <si>
    <t>P2300550</t>
  </si>
  <si>
    <t>P2300560</t>
  </si>
  <si>
    <t>P2300570</t>
  </si>
  <si>
    <t>P2300580</t>
  </si>
  <si>
    <t>P2500100</t>
  </si>
  <si>
    <t>P2500200</t>
  </si>
  <si>
    <t>P2500300</t>
  </si>
  <si>
    <t>P2500400</t>
  </si>
  <si>
    <t>P2500500</t>
  </si>
  <si>
    <t>P2500600</t>
  </si>
  <si>
    <t>P2500700</t>
  </si>
  <si>
    <t>P2500800</t>
  </si>
  <si>
    <t>P2500900</t>
  </si>
  <si>
    <t>P2501000</t>
  </si>
  <si>
    <t>P2501100</t>
  </si>
  <si>
    <t>P2501200</t>
  </si>
  <si>
    <t>P2501300</t>
  </si>
  <si>
    <t>P2501400</t>
  </si>
  <si>
    <t>P2501500</t>
  </si>
  <si>
    <t>P2501600</t>
  </si>
  <si>
    <t>P2501700</t>
  </si>
  <si>
    <t>P3160950</t>
  </si>
  <si>
    <t>P3160960</t>
  </si>
  <si>
    <t>P3160970</t>
  </si>
  <si>
    <t>P3160980</t>
  </si>
  <si>
    <t>P3160990</t>
  </si>
  <si>
    <t>P3161000</t>
  </si>
  <si>
    <t>P3161010</t>
  </si>
  <si>
    <t>P3161020</t>
  </si>
  <si>
    <t>P3161030</t>
  </si>
  <si>
    <t>P3120500</t>
  </si>
  <si>
    <t>P3161050</t>
  </si>
  <si>
    <t>P3120600</t>
  </si>
  <si>
    <t>P3120700</t>
  </si>
  <si>
    <t>P3170100</t>
  </si>
  <si>
    <t>P3140200</t>
  </si>
  <si>
    <t>P3140300</t>
  </si>
  <si>
    <t>P3120800</t>
  </si>
  <si>
    <t>P3161040</t>
  </si>
  <si>
    <t>P3160910</t>
  </si>
  <si>
    <t>P3160920</t>
  </si>
  <si>
    <t>P3130200</t>
  </si>
  <si>
    <t>P3140400</t>
  </si>
  <si>
    <t>P3130201</t>
  </si>
  <si>
    <t>P3160800</t>
  </si>
  <si>
    <t>P3160900</t>
  </si>
  <si>
    <t>P3160940</t>
  </si>
  <si>
    <t>P3170200</t>
  </si>
  <si>
    <t>P5300600</t>
  </si>
  <si>
    <t>P3160930</t>
  </si>
  <si>
    <t>P3161041</t>
  </si>
  <si>
    <t>P3161042</t>
  </si>
  <si>
    <t>P3161043</t>
  </si>
  <si>
    <t>P3161044</t>
  </si>
  <si>
    <t>P3161045</t>
  </si>
  <si>
    <t>P3161046</t>
  </si>
  <si>
    <t>P3161047</t>
  </si>
  <si>
    <t>P5180100</t>
  </si>
  <si>
    <t>P5180200</t>
  </si>
  <si>
    <t>P5300510</t>
  </si>
  <si>
    <t>P5300100</t>
  </si>
  <si>
    <t>P5300200</t>
  </si>
  <si>
    <t>P5300520</t>
  </si>
  <si>
    <t>P5300530</t>
  </si>
  <si>
    <t>P5300570</t>
  </si>
  <si>
    <t>P5300580</t>
  </si>
  <si>
    <t>P5300590</t>
  </si>
  <si>
    <t>P5190200</t>
  </si>
  <si>
    <t>P5190300</t>
  </si>
  <si>
    <t>P5190400</t>
  </si>
  <si>
    <t>P5200100</t>
  </si>
  <si>
    <t>P5300400</t>
  </si>
  <si>
    <t>P5300500</t>
  </si>
  <si>
    <t>P5300540</t>
  </si>
  <si>
    <t>P5300550</t>
  </si>
  <si>
    <t>P5300560</t>
  </si>
  <si>
    <t>P5400100</t>
  </si>
  <si>
    <t>P5400200</t>
  </si>
  <si>
    <t>P9100100</t>
  </si>
  <si>
    <t>P9100110</t>
  </si>
  <si>
    <t>P9100120</t>
  </si>
  <si>
    <t>P9100130</t>
  </si>
  <si>
    <t>P9100140</t>
  </si>
  <si>
    <t>P9100150</t>
  </si>
  <si>
    <t>P9100160</t>
  </si>
  <si>
    <t>P9100170</t>
  </si>
  <si>
    <t>P9100180</t>
  </si>
  <si>
    <t>P9100190</t>
  </si>
  <si>
    <t>P9100200</t>
  </si>
  <si>
    <t>P9100210</t>
  </si>
  <si>
    <t>P9100220</t>
  </si>
  <si>
    <t>P9100230</t>
  </si>
  <si>
    <t>P9100240</t>
  </si>
  <si>
    <t>P9100250</t>
  </si>
  <si>
    <t>P9100260</t>
  </si>
  <si>
    <t>P9100270</t>
  </si>
  <si>
    <t>P9100280</t>
  </si>
  <si>
    <t>P9100290</t>
  </si>
  <si>
    <t>P9100300</t>
  </si>
  <si>
    <t>P9100310</t>
  </si>
  <si>
    <t>P9100320</t>
  </si>
  <si>
    <t>P9100330</t>
  </si>
  <si>
    <t>P9100340</t>
  </si>
  <si>
    <t>P9100350</t>
  </si>
  <si>
    <t>P9100360</t>
  </si>
  <si>
    <t>P9100370</t>
  </si>
  <si>
    <t>P9100380</t>
  </si>
  <si>
    <t>P9100390</t>
  </si>
  <si>
    <t>P9100400</t>
  </si>
  <si>
    <t>P9100410</t>
  </si>
  <si>
    <t>P9100420</t>
  </si>
  <si>
    <t>P9100430</t>
  </si>
  <si>
    <t>P9100440</t>
  </si>
  <si>
    <t>P9100450</t>
  </si>
  <si>
    <t>P9100460</t>
  </si>
  <si>
    <t>P9100470</t>
  </si>
  <si>
    <t>P9100480</t>
  </si>
  <si>
    <t>P9100490</t>
  </si>
  <si>
    <t>P9100500</t>
  </si>
  <si>
    <t>P9100510</t>
  </si>
  <si>
    <t>P9100520</t>
  </si>
  <si>
    <t>P9100530</t>
  </si>
  <si>
    <t>P9100570</t>
  </si>
  <si>
    <t>P9100580</t>
  </si>
  <si>
    <t>P9100590</t>
  </si>
  <si>
    <t>P9100600</t>
  </si>
  <si>
    <t>P9100610</t>
  </si>
  <si>
    <t>P9100620</t>
  </si>
  <si>
    <t>P9100630</t>
  </si>
  <si>
    <t>P9100640</t>
  </si>
  <si>
    <t>P9100650</t>
  </si>
  <si>
    <t>P9100660</t>
  </si>
  <si>
    <t>P9100670</t>
  </si>
  <si>
    <t>P9100680</t>
  </si>
  <si>
    <t>P9100690</t>
  </si>
  <si>
    <t>P9100700</t>
  </si>
  <si>
    <t>P1207150</t>
  </si>
  <si>
    <t>P1206010</t>
  </si>
  <si>
    <t>P1206020</t>
  </si>
  <si>
    <t>P1206030</t>
  </si>
  <si>
    <t>P1206040</t>
  </si>
  <si>
    <t>P1206050</t>
  </si>
  <si>
    <t>P1206060</t>
  </si>
  <si>
    <t>P1206070</t>
  </si>
  <si>
    <t>P1206080</t>
  </si>
  <si>
    <t>P1207160</t>
  </si>
  <si>
    <t>P1230001</t>
  </si>
  <si>
    <t>P1230002</t>
  </si>
  <si>
    <t>P1230003</t>
  </si>
  <si>
    <t>P1207170</t>
  </si>
  <si>
    <t>P1207010</t>
  </si>
  <si>
    <t>P1207020</t>
  </si>
  <si>
    <t>P1208020</t>
  </si>
  <si>
    <t>P1208030</t>
  </si>
  <si>
    <t>P1208040</t>
  </si>
  <si>
    <t>P1208050</t>
  </si>
  <si>
    <t>P1208060</t>
  </si>
  <si>
    <t>P1208070</t>
  </si>
  <si>
    <t>P1208080</t>
  </si>
  <si>
    <t>P1208090</t>
  </si>
  <si>
    <t>P1208100</t>
  </si>
  <si>
    <t>P1230004</t>
  </si>
  <si>
    <t>P1220091</t>
  </si>
  <si>
    <t>P1220092</t>
  </si>
  <si>
    <t>P1220093</t>
  </si>
  <si>
    <t>P1220094</t>
  </si>
  <si>
    <t>P1220095</t>
  </si>
  <si>
    <t>P1220096</t>
  </si>
  <si>
    <t>P1220097</t>
  </si>
  <si>
    <t>P1220098</t>
  </si>
  <si>
    <t>P1220099</t>
  </si>
  <si>
    <t>P1220100</t>
  </si>
  <si>
    <t>P1220101</t>
  </si>
  <si>
    <t>P1220102</t>
  </si>
  <si>
    <t>P1230005</t>
  </si>
  <si>
    <t>P1207190</t>
  </si>
  <si>
    <t>P1220020</t>
  </si>
  <si>
    <t>P1220030</t>
  </si>
  <si>
    <t>P1207030</t>
  </si>
  <si>
    <t>P1207040</t>
  </si>
  <si>
    <t>P1207050</t>
  </si>
  <si>
    <t>P1207060</t>
  </si>
  <si>
    <t>P1207070</t>
  </si>
  <si>
    <t>P1207080</t>
  </si>
  <si>
    <t>P1207180</t>
  </si>
  <si>
    <t>P1220070</t>
  </si>
  <si>
    <t>P1220090</t>
  </si>
  <si>
    <t>P1207090</t>
  </si>
  <si>
    <t>P1207100</t>
  </si>
  <si>
    <t>P1207110</t>
  </si>
  <si>
    <t>P1207120</t>
  </si>
  <si>
    <t>P1207130</t>
  </si>
  <si>
    <t>P1207140</t>
  </si>
  <si>
    <t>P1240010</t>
  </si>
  <si>
    <t>P1240011</t>
  </si>
  <si>
    <t>P1240012</t>
  </si>
  <si>
    <t>P1240013</t>
  </si>
  <si>
    <t>P1240014</t>
  </si>
  <si>
    <t>P1240015</t>
  </si>
  <si>
    <t>P1240016</t>
  </si>
  <si>
    <t>P1240017</t>
  </si>
  <si>
    <t>P1240018</t>
  </si>
  <si>
    <t>P1240019</t>
  </si>
  <si>
    <t>P1240020</t>
  </si>
  <si>
    <t>P1240021</t>
  </si>
  <si>
    <t>P1240022</t>
  </si>
  <si>
    <t>P1240023</t>
  </si>
  <si>
    <t>P1240024</t>
  </si>
  <si>
    <t>P1240025</t>
  </si>
  <si>
    <t>P1240026</t>
  </si>
  <si>
    <t>P1240027</t>
  </si>
  <si>
    <t>P1240028</t>
  </si>
  <si>
    <t>P1240029</t>
  </si>
  <si>
    <t>P1240030</t>
  </si>
  <si>
    <t>P1240031</t>
  </si>
  <si>
    <t>P1240032</t>
  </si>
  <si>
    <t>P1240033</t>
  </si>
  <si>
    <t>P1240034</t>
  </si>
  <si>
    <t>P1240035</t>
  </si>
  <si>
    <t>P1240036</t>
  </si>
  <si>
    <t>P1240037</t>
  </si>
  <si>
    <t>P1240038</t>
  </si>
  <si>
    <t>P1310010</t>
  </si>
  <si>
    <t>P1310020</t>
  </si>
  <si>
    <t>P1310030</t>
  </si>
  <si>
    <t>P1310040</t>
  </si>
  <si>
    <t>P1310050</t>
  </si>
  <si>
    <t>P1310060</t>
  </si>
  <si>
    <t>P1310070</t>
  </si>
  <si>
    <t>P1310080</t>
  </si>
  <si>
    <t>P1310090</t>
  </si>
  <si>
    <t>P1320010</t>
  </si>
  <si>
    <t>P1320020</t>
  </si>
  <si>
    <t>P1320060</t>
  </si>
  <si>
    <t>P1320070</t>
  </si>
  <si>
    <t>P1320080</t>
  </si>
  <si>
    <t>P1320090</t>
  </si>
  <si>
    <t>P1320100</t>
  </si>
  <si>
    <t>P1320110</t>
  </si>
  <si>
    <t>P11000150</t>
  </si>
  <si>
    <t>P11000160</t>
  </si>
  <si>
    <t>P11000170</t>
  </si>
  <si>
    <t>P11000180</t>
  </si>
  <si>
    <t>P11000140</t>
  </si>
  <si>
    <t>CODIGOS NUEVOS</t>
  </si>
  <si>
    <t>P11000190</t>
  </si>
  <si>
    <t>P11000200</t>
  </si>
  <si>
    <t>P7010100</t>
  </si>
  <si>
    <t>P7010200</t>
  </si>
  <si>
    <t>P7010300</t>
  </si>
  <si>
    <t>P7200100</t>
  </si>
  <si>
    <t>P7200200</t>
  </si>
  <si>
    <t>P7010400</t>
  </si>
  <si>
    <t>P7010500</t>
  </si>
  <si>
    <t>P7010600</t>
  </si>
  <si>
    <t>P7200300</t>
  </si>
  <si>
    <t>P7200400</t>
  </si>
  <si>
    <t>P7200500</t>
  </si>
  <si>
    <t>P7201300</t>
  </si>
  <si>
    <t>P7201400</t>
  </si>
  <si>
    <t>P7201500</t>
  </si>
  <si>
    <t>P7201200</t>
  </si>
  <si>
    <t>P7200700</t>
  </si>
  <si>
    <t>P7200800</t>
  </si>
  <si>
    <t>P7200900</t>
  </si>
  <si>
    <t>P7201000</t>
  </si>
  <si>
    <t>P7201100</t>
  </si>
  <si>
    <t>P6221000</t>
  </si>
  <si>
    <t>P6221100</t>
  </si>
  <si>
    <t>P6221200</t>
  </si>
  <si>
    <t>P6221500</t>
  </si>
  <si>
    <t>P6230800</t>
  </si>
  <si>
    <t>P6230900</t>
  </si>
  <si>
    <t>P6227601</t>
  </si>
  <si>
    <t>P6221600</t>
  </si>
  <si>
    <t>P6227500</t>
  </si>
  <si>
    <t>P6227600</t>
  </si>
  <si>
    <t>P6221700</t>
  </si>
  <si>
    <t>P6221800</t>
  </si>
  <si>
    <t>P6221900</t>
  </si>
  <si>
    <t>P6222000</t>
  </si>
  <si>
    <t>P6222100</t>
  </si>
  <si>
    <t>P6222600</t>
  </si>
  <si>
    <t>P6223060</t>
  </si>
  <si>
    <t>P6223070</t>
  </si>
  <si>
    <t>P6223080</t>
  </si>
  <si>
    <t>P6231000</t>
  </si>
  <si>
    <t>P6231100</t>
  </si>
  <si>
    <t>P6231200</t>
  </si>
  <si>
    <t>P6231300</t>
  </si>
  <si>
    <t>P6231400</t>
  </si>
  <si>
    <t>P6231500</t>
  </si>
  <si>
    <t>P6222300</t>
  </si>
  <si>
    <t>P6230100</t>
  </si>
  <si>
    <t>P6230200</t>
  </si>
  <si>
    <t>P6222400</t>
  </si>
  <si>
    <t>P6227400</t>
  </si>
  <si>
    <t>P6222500</t>
  </si>
  <si>
    <t>P6222800</t>
  </si>
  <si>
    <t>P6222900</t>
  </si>
  <si>
    <t>P6231600</t>
  </si>
  <si>
    <t>P6227602</t>
  </si>
  <si>
    <t>P6223000</t>
  </si>
  <si>
    <t>P6223040</t>
  </si>
  <si>
    <t>P6223050</t>
  </si>
  <si>
    <t>P6230300</t>
  </si>
  <si>
    <t>P6223090</t>
  </si>
  <si>
    <t>P6223100</t>
  </si>
  <si>
    <t>P6223110</t>
  </si>
  <si>
    <t>P6223140</t>
  </si>
  <si>
    <t>P6231900</t>
  </si>
  <si>
    <t>P6232000</t>
  </si>
  <si>
    <t>P6223170</t>
  </si>
  <si>
    <t>P6223180</t>
  </si>
  <si>
    <t>P6223190</t>
  </si>
  <si>
    <t>P6223200</t>
  </si>
  <si>
    <t>P6223210</t>
  </si>
  <si>
    <t>P6223220</t>
  </si>
  <si>
    <t>P6223230</t>
  </si>
  <si>
    <t>P6223240</t>
  </si>
  <si>
    <t>P6223250</t>
  </si>
  <si>
    <t>P6223260</t>
  </si>
  <si>
    <t>P6223270</t>
  </si>
  <si>
    <t>P6223280</t>
  </si>
  <si>
    <t>P6223290</t>
  </si>
  <si>
    <t>P6232100</t>
  </si>
  <si>
    <t>P6232200</t>
  </si>
  <si>
    <t>P6232300</t>
  </si>
  <si>
    <t>P6232400</t>
  </si>
  <si>
    <t>P6232500</t>
  </si>
  <si>
    <t>P6232600</t>
  </si>
  <si>
    <t>P6223310</t>
  </si>
  <si>
    <t>P6230400</t>
  </si>
  <si>
    <t>P6230500</t>
  </si>
  <si>
    <t>P6223330</t>
  </si>
  <si>
    <t>P6223340</t>
  </si>
  <si>
    <t>P6223350</t>
  </si>
  <si>
    <t>P6223360</t>
  </si>
  <si>
    <t>P6223370</t>
  </si>
  <si>
    <t>P6232700</t>
  </si>
  <si>
    <t>P6227603</t>
  </si>
  <si>
    <t>P6223380</t>
  </si>
  <si>
    <t>P6223390</t>
  </si>
  <si>
    <t>P6223400</t>
  </si>
  <si>
    <t>P1320030</t>
  </si>
  <si>
    <t>P1320040</t>
  </si>
  <si>
    <t>P1320050</t>
  </si>
  <si>
    <t>P3170400</t>
  </si>
  <si>
    <t>P3170500</t>
  </si>
  <si>
    <t>P3170600</t>
  </si>
  <si>
    <t>P3170700</t>
  </si>
  <si>
    <t>P3170800</t>
  </si>
  <si>
    <t>P3170900</t>
  </si>
  <si>
    <t>P3171000</t>
  </si>
  <si>
    <t>P3171100</t>
  </si>
  <si>
    <t>P3171200</t>
  </si>
  <si>
    <t>P3171300</t>
  </si>
  <si>
    <t>P3171400</t>
  </si>
  <si>
    <t>P3171500</t>
  </si>
  <si>
    <t>P3171600</t>
  </si>
  <si>
    <t>P6241010</t>
  </si>
  <si>
    <t>P6241020</t>
  </si>
  <si>
    <t>P6241030</t>
  </si>
  <si>
    <t>P6241040</t>
  </si>
  <si>
    <t>P6241050</t>
  </si>
  <si>
    <t>P6241060</t>
  </si>
  <si>
    <t>P6241070</t>
  </si>
  <si>
    <t>P6241080</t>
  </si>
  <si>
    <t>P6241090</t>
  </si>
  <si>
    <t>P6241100</t>
  </si>
  <si>
    <t>P4150100</t>
  </si>
  <si>
    <t>P4190100</t>
  </si>
  <si>
    <t>P4150703</t>
  </si>
  <si>
    <t>P4150801</t>
  </si>
  <si>
    <t>P4150601</t>
  </si>
  <si>
    <t>P4150602</t>
  </si>
  <si>
    <t>P4150603</t>
  </si>
  <si>
    <t>P4150701</t>
  </si>
  <si>
    <t>P4190900</t>
  </si>
  <si>
    <t>P4190910</t>
  </si>
  <si>
    <t>P4190800</t>
  </si>
  <si>
    <t>P4190801</t>
  </si>
  <si>
    <t>P4190810</t>
  </si>
  <si>
    <t>P4190811</t>
  </si>
  <si>
    <t>P4190803</t>
  </si>
  <si>
    <t>P4190804</t>
  </si>
  <si>
    <t>P4180200</t>
  </si>
  <si>
    <t>P4200100</t>
  </si>
  <si>
    <t>P4180300</t>
  </si>
  <si>
    <t>P4200200</t>
  </si>
  <si>
    <t>P4190920</t>
  </si>
  <si>
    <t>P4180500</t>
  </si>
  <si>
    <t>P4190930</t>
  </si>
  <si>
    <t>P4190940</t>
  </si>
  <si>
    <t>P4190805</t>
  </si>
  <si>
    <t>P4190806</t>
  </si>
  <si>
    <t>P4190950</t>
  </si>
  <si>
    <t>P4200600</t>
  </si>
  <si>
    <t>P4200300</t>
  </si>
  <si>
    <t>P4180800</t>
  </si>
  <si>
    <t>P4200700</t>
  </si>
  <si>
    <t>P4190960</t>
  </si>
  <si>
    <t>P4190807</t>
  </si>
  <si>
    <t>P4190808</t>
  </si>
  <si>
    <t>P4190809</t>
  </si>
  <si>
    <t>P4170300</t>
  </si>
  <si>
    <t>P4190500</t>
  </si>
  <si>
    <t>P4190600</t>
  </si>
  <si>
    <t>P4190970</t>
  </si>
  <si>
    <t>P4170500</t>
  </si>
  <si>
    <t>P4200800</t>
  </si>
  <si>
    <t>P4200900</t>
  </si>
  <si>
    <t>P4201100</t>
  </si>
  <si>
    <t>P4201200</t>
  </si>
  <si>
    <t>P4190812</t>
  </si>
  <si>
    <t>P4200400</t>
  </si>
  <si>
    <t>P4201500</t>
  </si>
  <si>
    <t>P4201600</t>
  </si>
  <si>
    <t>P4200500</t>
  </si>
  <si>
    <t>P4201700</t>
  </si>
  <si>
    <t>P4201800</t>
  </si>
  <si>
    <t>P4201900</t>
  </si>
  <si>
    <t>P4202000</t>
  </si>
  <si>
    <t>P4202010</t>
  </si>
  <si>
    <t>P4202020</t>
  </si>
  <si>
    <t>P4202030</t>
  </si>
  <si>
    <t>P4202040</t>
  </si>
  <si>
    <t>P4301010</t>
  </si>
  <si>
    <t>COL01</t>
  </si>
  <si>
    <t>COL02</t>
  </si>
  <si>
    <t>COL03</t>
  </si>
  <si>
    <t>COL04</t>
  </si>
  <si>
    <t>COL05</t>
  </si>
  <si>
    <t>COL06</t>
  </si>
  <si>
    <t>COL07</t>
  </si>
  <si>
    <t>COL08</t>
  </si>
  <si>
    <t>COL09</t>
  </si>
  <si>
    <t>COL10</t>
  </si>
  <si>
    <t>COL11</t>
  </si>
  <si>
    <t>COL12</t>
  </si>
  <si>
    <t>COL13</t>
  </si>
  <si>
    <t>COL14</t>
  </si>
  <si>
    <t>COL15</t>
  </si>
  <si>
    <t>COL16</t>
  </si>
  <si>
    <t>COL17</t>
  </si>
  <si>
    <t>COL18</t>
  </si>
  <si>
    <t>COL19</t>
  </si>
  <si>
    <t>COL20</t>
  </si>
  <si>
    <t>COL21</t>
  </si>
  <si>
    <t>COL22</t>
  </si>
  <si>
    <t>COL23</t>
  </si>
  <si>
    <t>COL24</t>
  </si>
  <si>
    <t>COL25</t>
  </si>
  <si>
    <t>COL26</t>
  </si>
  <si>
    <t>COL27</t>
  </si>
  <si>
    <t>COL28</t>
  </si>
  <si>
    <t>COL29</t>
  </si>
  <si>
    <t>COL30</t>
  </si>
  <si>
    <t>COL31</t>
  </si>
  <si>
    <t>COL32</t>
  </si>
  <si>
    <t>COL33</t>
  </si>
  <si>
    <t>COL34</t>
  </si>
  <si>
    <t>COL35</t>
  </si>
  <si>
    <t>COL36</t>
  </si>
  <si>
    <t>COL37</t>
  </si>
  <si>
    <t>COL38</t>
  </si>
  <si>
    <t>COL39</t>
  </si>
  <si>
    <t>COL40</t>
  </si>
  <si>
    <t>COL41</t>
  </si>
  <si>
    <t>COL42</t>
  </si>
  <si>
    <t>COL43</t>
  </si>
  <si>
    <t>COL44</t>
  </si>
  <si>
    <t>COL45</t>
  </si>
  <si>
    <t>COL46</t>
  </si>
  <si>
    <t>7 a 12 meses</t>
  </si>
  <si>
    <t>SECCION H: POBLACIÓN SEGÚN DIAGNÓSTICO DE NIÑOS, NIÑAS Y ADOLESCENTES CON NECESIDADES ESPECIALES DE ATENCIÓN EN SALUD (NANEAS) (incluidas en sección A y A.1)</t>
  </si>
  <si>
    <r>
      <t xml:space="preserve">SECCION B: GESTANTES EN CONTROL CON </t>
    </r>
    <r>
      <rPr>
        <b/>
        <sz val="12"/>
        <color rgb="FFFF0000"/>
        <rFont val="Verdana"/>
        <family val="2"/>
      </rPr>
      <t>EVALUACIÓN</t>
    </r>
    <r>
      <rPr>
        <b/>
        <sz val="12"/>
        <rFont val="Verdana"/>
        <family val="2"/>
      </rPr>
      <t xml:space="preserve"> RIESGO </t>
    </r>
    <r>
      <rPr>
        <b/>
        <sz val="12"/>
        <color rgb="FFFF0000"/>
        <rFont val="Verdana"/>
        <family val="2"/>
      </rPr>
      <t xml:space="preserve">BIOPSICOSOCIAL </t>
    </r>
  </si>
  <si>
    <t>Versión 1.1: JUNIO 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</si>
</sst>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-[$€-2]* #,##0.00_-;\-[$€-2]* #,##0.00_-;_-[$€-2]* &quot;-&quot;??_-"/>
    <numFmt numFmtId="165" formatCode="&quot;$&quot;\ #,##0"/>
  </numFmts>
  <fonts count="54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0"/>
      <name val="Arial"/>
      <family val="2"/>
    </font>
    <font>
      <b/>
      <sz val="11"/>
      <name val="Verdana"/>
      <family val="2"/>
    </font>
    <font>
      <b/>
      <sz val="11"/>
      <name val="Arial"/>
      <family val="2"/>
    </font>
    <font>
      <b/>
      <sz val="9"/>
      <name val="Verdana"/>
      <family val="2"/>
    </font>
    <font>
      <sz val="8"/>
      <color indexed="10"/>
      <name val="Verdana"/>
      <family val="2"/>
    </font>
    <font>
      <sz val="8"/>
      <name val="Verdana"/>
      <family val="2"/>
    </font>
    <font>
      <b/>
      <sz val="10"/>
      <name val="Verdana"/>
      <family val="2"/>
    </font>
    <font>
      <sz val="10"/>
      <name val="Arial"/>
      <family val="2"/>
    </font>
    <font>
      <b/>
      <sz val="8"/>
      <color indexed="10"/>
      <name val="Verdana"/>
      <family val="2"/>
    </font>
    <font>
      <b/>
      <sz val="8"/>
      <name val="Verdana"/>
      <family val="2"/>
    </font>
    <font>
      <b/>
      <sz val="10"/>
      <color indexed="60"/>
      <name val="Verdana"/>
      <family val="2"/>
    </font>
    <font>
      <sz val="10"/>
      <name val="Verdana"/>
      <family val="2"/>
    </font>
    <font>
      <b/>
      <sz val="24"/>
      <name val="Verdana"/>
      <family val="2"/>
    </font>
    <font>
      <b/>
      <sz val="12"/>
      <name val="Verdana"/>
      <family val="2"/>
    </font>
    <font>
      <sz val="8"/>
      <name val="Arial"/>
      <family val="2"/>
    </font>
    <font>
      <sz val="14"/>
      <name val="Verdana"/>
      <family val="2"/>
    </font>
    <font>
      <sz val="8"/>
      <name val="Trebuchet MS"/>
      <family val="2"/>
    </font>
    <font>
      <sz val="12"/>
      <name val="Verdana"/>
      <family val="2"/>
    </font>
    <font>
      <sz val="11"/>
      <color indexed="8"/>
      <name val="Calibri"/>
      <family val="2"/>
    </font>
    <font>
      <b/>
      <sz val="14"/>
      <name val="Verdana"/>
      <family val="2"/>
    </font>
    <font>
      <sz val="12"/>
      <name val="Arial"/>
      <family val="2"/>
    </font>
    <font>
      <b/>
      <sz val="12"/>
      <name val="Arial"/>
      <family val="2"/>
    </font>
    <font>
      <sz val="12"/>
      <color indexed="60"/>
      <name val="Verdana"/>
      <family val="2"/>
    </font>
    <font>
      <b/>
      <sz val="18"/>
      <name val="Verdana"/>
      <family val="2"/>
    </font>
    <font>
      <b/>
      <sz val="10"/>
      <color indexed="10"/>
      <name val="Verdana"/>
      <family val="2"/>
    </font>
    <font>
      <sz val="8"/>
      <name val="Calibri"/>
      <family val="2"/>
    </font>
    <font>
      <u/>
      <sz val="8"/>
      <name val="Verdana"/>
      <family val="2"/>
    </font>
    <font>
      <sz val="11"/>
      <color theme="1"/>
      <name val="Calibri"/>
      <family val="2"/>
      <scheme val="minor"/>
    </font>
    <font>
      <sz val="8"/>
      <color rgb="FFFF0000"/>
      <name val="Verdana"/>
      <family val="2"/>
    </font>
    <font>
      <sz val="8"/>
      <color theme="1"/>
      <name val="Verdana"/>
      <family val="2"/>
    </font>
    <font>
      <b/>
      <sz val="8"/>
      <color rgb="FFFF0000"/>
      <name val="Verdana"/>
      <family val="2"/>
    </font>
    <font>
      <sz val="8"/>
      <color theme="6" tint="-0.249977111117893"/>
      <name val="Verdana"/>
      <family val="2"/>
    </font>
    <font>
      <sz val="8"/>
      <color rgb="FF404040"/>
      <name val="Verdana"/>
      <family val="2"/>
    </font>
    <font>
      <b/>
      <sz val="8"/>
      <color theme="1"/>
      <name val="Verdana"/>
      <family val="2"/>
    </font>
    <font>
      <b/>
      <sz val="12"/>
      <color theme="1"/>
      <name val="Verdana"/>
      <family val="2"/>
    </font>
    <font>
      <sz val="8"/>
      <color rgb="FF00B050"/>
      <name val="Verdana"/>
      <family val="2"/>
    </font>
    <font>
      <sz val="8"/>
      <color theme="8"/>
      <name val="Verdana"/>
      <family val="2"/>
    </font>
    <font>
      <sz val="12"/>
      <color theme="1"/>
      <name val="Verdana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FF0000"/>
      <name val="Verdana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Verdana"/>
      <family val="2"/>
    </font>
    <font>
      <b/>
      <sz val="10"/>
      <color rgb="FFFF0000"/>
      <name val="Verdana"/>
      <family val="2"/>
    </font>
    <font>
      <sz val="10"/>
      <color rgb="FFFF0000"/>
      <name val="Verdana"/>
      <family val="2"/>
    </font>
    <font>
      <sz val="10"/>
      <name val="Comic Sans MS"/>
      <family val="4"/>
    </font>
    <font>
      <sz val="10"/>
      <color indexed="30"/>
      <name val="Verdana"/>
      <family val="2"/>
    </font>
    <font>
      <sz val="11"/>
      <color indexed="30"/>
      <name val="Verdana"/>
      <family val="2"/>
    </font>
    <font>
      <sz val="11"/>
      <name val="Verdana"/>
      <family val="2"/>
    </font>
    <font>
      <sz val="11"/>
      <color rgb="FF0070C0"/>
      <name val="Verdana"/>
      <family val="2"/>
    </font>
    <font>
      <sz val="11"/>
      <color theme="1"/>
      <name val="Verdana"/>
      <family val="2"/>
    </font>
    <font>
      <sz val="11"/>
      <color rgb="FFFF0000"/>
      <name val="Verdana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BA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rgb="FFFFFFFF"/>
        <bgColor indexed="64"/>
      </patternFill>
    </fill>
  </fills>
  <borders count="2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9"/>
      </left>
      <right/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double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double">
        <color indexed="64"/>
      </right>
      <top style="hair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9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/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double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medium">
        <color indexed="12"/>
      </left>
      <right/>
      <top style="medium">
        <color indexed="12"/>
      </top>
      <bottom style="medium">
        <color indexed="12"/>
      </bottom>
      <diagonal/>
    </border>
    <border>
      <left/>
      <right/>
      <top style="medium">
        <color indexed="12"/>
      </top>
      <bottom style="medium">
        <color indexed="12"/>
      </bottom>
      <diagonal/>
    </border>
    <border>
      <left/>
      <right style="medium">
        <color indexed="12"/>
      </right>
      <top style="medium">
        <color indexed="12"/>
      </top>
      <bottom style="medium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/>
      <right/>
      <top style="medium">
        <color indexed="12"/>
      </top>
      <bottom/>
      <diagonal/>
    </border>
    <border>
      <left/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/>
      <top/>
      <bottom style="medium">
        <color indexed="12"/>
      </bottom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double">
        <color indexed="64"/>
      </top>
      <bottom/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</borders>
  <cellStyleXfs count="141">
    <xf numFmtId="0" fontId="0" fillId="0" borderId="0"/>
    <xf numFmtId="0" fontId="1" fillId="2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3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2" borderId="0" applyNumberFormat="0" applyBorder="0" applyAlignment="0" applyProtection="0"/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2" applyNumberFormat="0">
      <protection locked="0"/>
    </xf>
    <xf numFmtId="0" fontId="9" fillId="13" borderId="1" applyBorder="0">
      <protection locked="0"/>
    </xf>
    <xf numFmtId="0" fontId="9" fillId="13" borderId="1" applyBorder="0">
      <protection locked="0"/>
    </xf>
    <xf numFmtId="0" fontId="18" fillId="0" borderId="1" applyNumberFormat="0" applyBorder="0">
      <protection hidden="1"/>
    </xf>
    <xf numFmtId="0" fontId="18" fillId="0" borderId="1" applyNumberFormat="0" applyBorder="0">
      <protection hidden="1"/>
    </xf>
    <xf numFmtId="0" fontId="18" fillId="0" borderId="1" applyNumberFormat="0" applyBorder="0" applyAlignment="0">
      <protection hidden="1"/>
    </xf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2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29" fillId="0" borderId="0"/>
    <xf numFmtId="0" fontId="9" fillId="0" borderId="0"/>
    <xf numFmtId="0" fontId="2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9" fillId="0" borderId="0"/>
    <xf numFmtId="0" fontId="9" fillId="0" borderId="0"/>
    <xf numFmtId="0" fontId="29" fillId="0" borderId="0"/>
    <xf numFmtId="0" fontId="9" fillId="0" borderId="0"/>
    <xf numFmtId="0" fontId="2" fillId="0" borderId="0" applyFont="0" applyBorder="0" applyAlignment="0" applyProtection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2" fillId="0" borderId="0" applyFont="0" applyBorder="0" applyAlignment="0" applyProtection="0"/>
    <xf numFmtId="0" fontId="9" fillId="0" borderId="0"/>
    <xf numFmtId="0" fontId="9" fillId="0" borderId="0"/>
    <xf numFmtId="0" fontId="9" fillId="0" borderId="0"/>
    <xf numFmtId="0" fontId="9" fillId="5" borderId="3" applyNumberFormat="0" applyFont="0" applyAlignment="0" applyProtection="0"/>
    <xf numFmtId="0" fontId="9" fillId="5" borderId="3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13" borderId="193" applyNumberFormat="0">
      <protection locked="0"/>
    </xf>
    <xf numFmtId="0" fontId="9" fillId="13" borderId="193" applyNumberFormat="0">
      <protection locked="0"/>
    </xf>
    <xf numFmtId="0" fontId="47" fillId="0" borderId="0"/>
  </cellStyleXfs>
  <cellXfs count="2597">
    <xf numFmtId="0" fontId="0" fillId="0" borderId="0" xfId="0"/>
    <xf numFmtId="0" fontId="6" fillId="0" borderId="0" xfId="124" applyNumberFormat="1" applyFont="1" applyFill="1" applyAlignment="1" applyProtection="1"/>
    <xf numFmtId="0" fontId="7" fillId="0" borderId="0" xfId="124" applyNumberFormat="1" applyFont="1" applyFill="1" applyAlignment="1" applyProtection="1"/>
    <xf numFmtId="0" fontId="8" fillId="0" borderId="4" xfId="0" applyNumberFormat="1" applyFont="1" applyFill="1" applyBorder="1" applyAlignment="1" applyProtection="1">
      <alignment horizontal="left" vertical="center"/>
    </xf>
    <xf numFmtId="0" fontId="3" fillId="14" borderId="5" xfId="124" applyNumberFormat="1" applyFont="1" applyFill="1" applyBorder="1" applyAlignment="1" applyProtection="1">
      <alignment horizontal="center"/>
      <protection locked="0"/>
    </xf>
    <xf numFmtId="0" fontId="3" fillId="0" borderId="6" xfId="124" applyNumberFormat="1" applyFont="1" applyFill="1" applyBorder="1" applyAlignment="1" applyProtection="1">
      <alignment horizontal="center"/>
      <protection locked="0"/>
    </xf>
    <xf numFmtId="0" fontId="10" fillId="0" borderId="0" xfId="124" applyNumberFormat="1" applyFont="1" applyFill="1" applyBorder="1" applyAlignment="1" applyProtection="1">
      <alignment horizontal="left" vertical="center"/>
    </xf>
    <xf numFmtId="0" fontId="10" fillId="0" borderId="0" xfId="124" applyNumberFormat="1" applyFont="1" applyFill="1" applyAlignment="1" applyProtection="1">
      <alignment horizontal="left" vertical="center"/>
    </xf>
    <xf numFmtId="0" fontId="8" fillId="0" borderId="0" xfId="124" applyNumberFormat="1" applyFont="1" applyFill="1" applyBorder="1" applyAlignment="1" applyProtection="1">
      <alignment horizontal="center" vertical="center"/>
    </xf>
    <xf numFmtId="0" fontId="7" fillId="15" borderId="0" xfId="14" applyNumberFormat="1" applyFont="1" applyFill="1" applyBorder="1" applyAlignment="1" applyProtection="1">
      <protection locked="0"/>
    </xf>
    <xf numFmtId="0" fontId="3" fillId="14" borderId="7" xfId="124" applyNumberFormat="1" applyFont="1" applyFill="1" applyBorder="1" applyAlignment="1" applyProtection="1">
      <alignment horizontal="center"/>
      <protection locked="0"/>
    </xf>
    <xf numFmtId="0" fontId="3" fillId="14" borderId="8" xfId="124" applyNumberFormat="1" applyFont="1" applyFill="1" applyBorder="1" applyAlignment="1" applyProtection="1">
      <alignment horizontal="center"/>
      <protection locked="0"/>
    </xf>
    <xf numFmtId="0" fontId="10" fillId="0" borderId="9" xfId="124" applyNumberFormat="1" applyFont="1" applyFill="1" applyBorder="1" applyAlignment="1" applyProtection="1">
      <alignment horizontal="left" vertical="center"/>
    </xf>
    <xf numFmtId="0" fontId="3" fillId="0" borderId="9" xfId="124" applyNumberFormat="1" applyFont="1" applyFill="1" applyBorder="1" applyAlignment="1" applyProtection="1">
      <alignment horizontal="center"/>
    </xf>
    <xf numFmtId="0" fontId="3" fillId="0" borderId="0" xfId="124" applyNumberFormat="1" applyFont="1" applyFill="1" applyBorder="1" applyAlignment="1" applyProtection="1">
      <alignment horizontal="center"/>
    </xf>
    <xf numFmtId="0" fontId="11" fillId="0" borderId="0" xfId="124" applyNumberFormat="1" applyFont="1" applyFill="1" applyBorder="1" applyAlignment="1" applyProtection="1">
      <alignment horizontal="left" vertical="center"/>
    </xf>
    <xf numFmtId="0" fontId="11" fillId="0" borderId="0" xfId="124" applyNumberFormat="1" applyFont="1" applyFill="1" applyAlignment="1" applyProtection="1">
      <alignment horizontal="center" vertical="center"/>
    </xf>
    <xf numFmtId="0" fontId="8" fillId="0" borderId="0" xfId="124" applyNumberFormat="1" applyFont="1" applyFill="1" applyBorder="1" applyAlignment="1" applyProtection="1">
      <alignment horizontal="left" vertical="center"/>
    </xf>
    <xf numFmtId="0" fontId="3" fillId="14" borderId="10" xfId="124" applyNumberFormat="1" applyFont="1" applyFill="1" applyBorder="1" applyAlignment="1" applyProtection="1">
      <alignment horizontal="center"/>
      <protection locked="0"/>
    </xf>
    <xf numFmtId="0" fontId="3" fillId="0" borderId="0" xfId="124" applyNumberFormat="1" applyFont="1" applyFill="1" applyAlignment="1" applyProtection="1">
      <alignment horizontal="center"/>
    </xf>
    <xf numFmtId="0" fontId="11" fillId="0" borderId="0" xfId="124" applyNumberFormat="1" applyFont="1" applyFill="1" applyAlignment="1" applyProtection="1">
      <alignment horizontal="left" vertical="center"/>
    </xf>
    <xf numFmtId="0" fontId="3" fillId="0" borderId="1" xfId="14" applyNumberFormat="1" applyFont="1" applyFill="1" applyBorder="1" applyAlignment="1" applyProtection="1">
      <alignment horizontal="center"/>
    </xf>
    <xf numFmtId="0" fontId="11" fillId="15" borderId="0" xfId="14" applyNumberFormat="1" applyFont="1" applyFill="1" applyBorder="1" applyAlignment="1" applyProtection="1">
      <protection locked="0"/>
    </xf>
    <xf numFmtId="0" fontId="8" fillId="0" borderId="4" xfId="124" applyNumberFormat="1" applyFont="1" applyFill="1" applyBorder="1" applyAlignment="1" applyProtection="1">
      <alignment horizontal="left" vertical="center"/>
    </xf>
    <xf numFmtId="0" fontId="8" fillId="0" borderId="4" xfId="124" applyNumberFormat="1" applyFont="1" applyFill="1" applyBorder="1" applyAlignment="1" applyProtection="1">
      <alignment horizontal="centerContinuous" vertical="center"/>
    </xf>
    <xf numFmtId="0" fontId="13" fillId="0" borderId="0" xfId="124" applyNumberFormat="1" applyFont="1" applyFill="1" applyAlignment="1" applyProtection="1">
      <alignment horizontal="left"/>
    </xf>
    <xf numFmtId="0" fontId="13" fillId="0" borderId="0" xfId="124" applyNumberFormat="1" applyFont="1" applyFill="1" applyAlignment="1" applyProtection="1"/>
    <xf numFmtId="0" fontId="8" fillId="0" borderId="1" xfId="0" applyFont="1" applyBorder="1" applyAlignment="1">
      <alignment wrapText="1"/>
    </xf>
    <xf numFmtId="0" fontId="13" fillId="15" borderId="1" xfId="14" applyNumberFormat="1" applyFont="1" applyFill="1" applyBorder="1" applyAlignment="1" applyProtection="1">
      <alignment horizontal="center"/>
      <protection locked="0"/>
    </xf>
    <xf numFmtId="1" fontId="7" fillId="0" borderId="0" xfId="124" applyNumberFormat="1" applyFont="1" applyFill="1" applyAlignment="1" applyProtection="1">
      <alignment horizontal="right"/>
    </xf>
    <xf numFmtId="49" fontId="7" fillId="0" borderId="0" xfId="124" applyNumberFormat="1" applyFont="1" applyFill="1" applyAlignment="1" applyProtection="1">
      <alignment horizontal="center"/>
    </xf>
    <xf numFmtId="0" fontId="7" fillId="14" borderId="0" xfId="124" applyNumberFormat="1" applyFont="1" applyFill="1" applyAlignment="1" applyProtection="1"/>
    <xf numFmtId="0" fontId="8" fillId="0" borderId="11" xfId="0" applyFont="1" applyBorder="1"/>
    <xf numFmtId="0" fontId="9" fillId="0" borderId="0" xfId="0" applyFont="1"/>
    <xf numFmtId="0" fontId="9" fillId="0" borderId="4" xfId="0" applyFont="1" applyBorder="1"/>
    <xf numFmtId="0" fontId="7" fillId="0" borderId="0" xfId="124" applyNumberFormat="1" applyFont="1" applyFill="1" applyAlignment="1" applyProtection="1">
      <alignment horizontal="left"/>
    </xf>
    <xf numFmtId="0" fontId="6" fillId="0" borderId="0" xfId="124" applyNumberFormat="1" applyFont="1" applyFill="1" applyAlignment="1" applyProtection="1">
      <alignment horizontal="center"/>
    </xf>
    <xf numFmtId="0" fontId="7" fillId="0" borderId="0" xfId="124" applyNumberFormat="1" applyFont="1" applyFill="1" applyAlignment="1" applyProtection="1">
      <alignment horizontal="center"/>
    </xf>
    <xf numFmtId="0" fontId="7" fillId="14" borderId="0" xfId="0" applyFont="1" applyFill="1"/>
    <xf numFmtId="0" fontId="21" fillId="0" borderId="12" xfId="0" applyFont="1" applyFill="1" applyBorder="1" applyAlignment="1" applyProtection="1">
      <alignment vertical="center"/>
      <protection hidden="1"/>
    </xf>
    <xf numFmtId="0" fontId="9" fillId="0" borderId="13" xfId="0" applyFont="1" applyFill="1" applyBorder="1" applyProtection="1">
      <protection hidden="1"/>
    </xf>
    <xf numFmtId="0" fontId="9" fillId="0" borderId="14" xfId="0" applyFont="1" applyFill="1" applyBorder="1" applyProtection="1">
      <protection hidden="1"/>
    </xf>
    <xf numFmtId="0" fontId="17" fillId="0" borderId="15" xfId="0" applyFont="1" applyFill="1" applyBorder="1" applyProtection="1">
      <protection hidden="1"/>
    </xf>
    <xf numFmtId="0" fontId="9" fillId="0" borderId="0" xfId="0" applyFont="1" applyFill="1" applyBorder="1" applyProtection="1">
      <protection hidden="1"/>
    </xf>
    <xf numFmtId="0" fontId="9" fillId="0" borderId="16" xfId="0" applyFont="1" applyFill="1" applyBorder="1" applyProtection="1">
      <protection hidden="1"/>
    </xf>
    <xf numFmtId="0" fontId="17" fillId="0" borderId="17" xfId="0" applyFont="1" applyFill="1" applyBorder="1" applyProtection="1">
      <protection hidden="1"/>
    </xf>
    <xf numFmtId="0" fontId="9" fillId="0" borderId="18" xfId="0" applyFont="1" applyFill="1" applyBorder="1" applyProtection="1">
      <protection hidden="1"/>
    </xf>
    <xf numFmtId="0" fontId="9" fillId="0" borderId="19" xfId="0" applyFont="1" applyFill="1" applyBorder="1" applyProtection="1">
      <protection hidden="1"/>
    </xf>
    <xf numFmtId="0" fontId="15" fillId="0" borderId="1" xfId="0" applyFont="1" applyFill="1" applyBorder="1" applyAlignment="1" applyProtection="1">
      <alignment horizontal="center" vertical="center" wrapText="1"/>
      <protection hidden="1"/>
    </xf>
    <xf numFmtId="0" fontId="22" fillId="0" borderId="1" xfId="0" applyFont="1" applyFill="1" applyBorder="1" applyProtection="1">
      <protection hidden="1"/>
    </xf>
    <xf numFmtId="0" fontId="23" fillId="0" borderId="1" xfId="0" applyFont="1" applyFill="1" applyBorder="1" applyProtection="1">
      <protection hidden="1"/>
    </xf>
    <xf numFmtId="0" fontId="2" fillId="0" borderId="1" xfId="0" applyFont="1" applyFill="1" applyBorder="1" applyProtection="1">
      <protection locked="0"/>
    </xf>
    <xf numFmtId="0" fontId="24" fillId="0" borderId="1" xfId="0" applyFont="1" applyFill="1" applyBorder="1" applyAlignment="1" applyProtection="1">
      <alignment horizontal="center"/>
      <protection hidden="1"/>
    </xf>
    <xf numFmtId="0" fontId="13" fillId="0" borderId="1" xfId="0" applyFont="1" applyFill="1" applyBorder="1" applyProtection="1">
      <protection locked="0"/>
    </xf>
    <xf numFmtId="0" fontId="7" fillId="0" borderId="1" xfId="0" applyFont="1" applyFill="1" applyBorder="1" applyProtection="1">
      <protection locked="0"/>
    </xf>
    <xf numFmtId="0" fontId="13" fillId="0" borderId="0" xfId="109" applyFont="1"/>
    <xf numFmtId="0" fontId="13" fillId="0" borderId="0" xfId="109" applyFont="1" applyBorder="1"/>
    <xf numFmtId="0" fontId="13" fillId="0" borderId="0" xfId="109" applyFont="1" applyAlignment="1"/>
    <xf numFmtId="0" fontId="19" fillId="0" borderId="0" xfId="109" applyFont="1"/>
    <xf numFmtId="0" fontId="19" fillId="0" borderId="0" xfId="109" applyFont="1" applyFill="1"/>
    <xf numFmtId="0" fontId="19" fillId="0" borderId="0" xfId="109" applyFont="1" applyFill="1" applyBorder="1"/>
    <xf numFmtId="0" fontId="8" fillId="0" borderId="0" xfId="109" applyFont="1" applyFill="1" applyBorder="1" applyAlignment="1"/>
    <xf numFmtId="0" fontId="8" fillId="16" borderId="0" xfId="0" applyFont="1" applyFill="1" applyBorder="1" applyAlignment="1">
      <alignment horizontal="center" vertical="center" wrapText="1"/>
    </xf>
    <xf numFmtId="0" fontId="8" fillId="16" borderId="0" xfId="0" applyFont="1" applyFill="1" applyBorder="1" applyAlignment="1">
      <alignment vertical="center"/>
    </xf>
    <xf numFmtId="0" fontId="8" fillId="16" borderId="20" xfId="0" applyFont="1" applyFill="1" applyBorder="1" applyAlignment="1">
      <alignment horizontal="center" vertical="center" wrapText="1"/>
    </xf>
    <xf numFmtId="0" fontId="8" fillId="0" borderId="0" xfId="109" applyFont="1" applyAlignment="1">
      <alignment vertical="center"/>
    </xf>
    <xf numFmtId="0" fontId="7" fillId="16" borderId="0" xfId="0" applyFont="1" applyFill="1" applyBorder="1" applyAlignment="1">
      <alignment vertical="center" wrapText="1"/>
    </xf>
    <xf numFmtId="0" fontId="8" fillId="15" borderId="1" xfId="0" applyNumberFormat="1" applyFont="1" applyFill="1" applyBorder="1" applyAlignment="1" applyProtection="1">
      <alignment horizontal="center"/>
      <protection locked="0"/>
    </xf>
    <xf numFmtId="0" fontId="8" fillId="15" borderId="1" xfId="14" applyNumberFormat="1" applyFont="1" applyFill="1" applyBorder="1" applyAlignment="1" applyProtection="1">
      <alignment horizontal="center"/>
      <protection locked="0"/>
    </xf>
    <xf numFmtId="1" fontId="11" fillId="17" borderId="0" xfId="0" applyNumberFormat="1" applyFont="1" applyFill="1" applyBorder="1" applyProtection="1"/>
    <xf numFmtId="1" fontId="11" fillId="0" borderId="0" xfId="0" applyNumberFormat="1" applyFont="1" applyFill="1" applyBorder="1" applyProtection="1"/>
    <xf numFmtId="1" fontId="11" fillId="17" borderId="0" xfId="0" applyNumberFormat="1" applyFont="1" applyFill="1" applyBorder="1" applyAlignment="1" applyProtection="1">
      <alignment horizontal="center"/>
    </xf>
    <xf numFmtId="1" fontId="7" fillId="0" borderId="0" xfId="0" applyNumberFormat="1" applyFont="1" applyBorder="1" applyProtection="1">
      <protection hidden="1"/>
    </xf>
    <xf numFmtId="1" fontId="7" fillId="0" borderId="0" xfId="0" applyNumberFormat="1" applyFont="1" applyBorder="1" applyAlignment="1" applyProtection="1">
      <alignment horizontal="center" vertical="center"/>
      <protection hidden="1"/>
    </xf>
    <xf numFmtId="1" fontId="7" fillId="0" borderId="7" xfId="0" applyNumberFormat="1" applyFont="1" applyBorder="1" applyAlignment="1" applyProtection="1">
      <alignment horizontal="center" vertical="center" wrapText="1"/>
    </xf>
    <xf numFmtId="1" fontId="7" fillId="0" borderId="8" xfId="0" quotePrefix="1" applyNumberFormat="1" applyFont="1" applyFill="1" applyBorder="1" applyAlignment="1" applyProtection="1">
      <alignment horizontal="center" vertical="center"/>
    </xf>
    <xf numFmtId="1" fontId="7" fillId="0" borderId="8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1" fontId="7" fillId="0" borderId="30" xfId="0" applyNumberFormat="1" applyFont="1" applyFill="1" applyBorder="1" applyAlignment="1" applyProtection="1">
      <alignment horizontal="left" wrapText="1"/>
      <protection hidden="1"/>
    </xf>
    <xf numFmtId="1" fontId="7" fillId="0" borderId="35" xfId="0" applyNumberFormat="1" applyFont="1" applyFill="1" applyBorder="1" applyAlignment="1" applyProtection="1">
      <alignment horizontal="left" wrapText="1"/>
      <protection hidden="1"/>
    </xf>
    <xf numFmtId="1" fontId="7" fillId="0" borderId="30" xfId="0" applyNumberFormat="1" applyFont="1" applyFill="1" applyBorder="1" applyProtection="1">
      <protection hidden="1"/>
    </xf>
    <xf numFmtId="1" fontId="6" fillId="0" borderId="0" xfId="0" applyNumberFormat="1" applyFont="1" applyFill="1" applyProtection="1">
      <protection hidden="1"/>
    </xf>
    <xf numFmtId="1" fontId="7" fillId="0" borderId="35" xfId="0" applyNumberFormat="1" applyFont="1" applyFill="1" applyBorder="1" applyProtection="1">
      <protection hidden="1"/>
    </xf>
    <xf numFmtId="1" fontId="7" fillId="0" borderId="1" xfId="0" applyNumberFormat="1" applyFont="1" applyFill="1" applyBorder="1" applyAlignment="1" applyProtection="1">
      <alignment horizontal="center"/>
      <protection hidden="1"/>
    </xf>
    <xf numFmtId="1" fontId="11" fillId="0" borderId="0" xfId="0" applyNumberFormat="1" applyFont="1" applyFill="1" applyBorder="1" applyAlignment="1" applyProtection="1">
      <alignment horizontal="right"/>
    </xf>
    <xf numFmtId="1" fontId="7" fillId="0" borderId="69" xfId="0" applyNumberFormat="1" applyFont="1" applyFill="1" applyBorder="1" applyProtection="1">
      <protection hidden="1"/>
    </xf>
    <xf numFmtId="1" fontId="7" fillId="0" borderId="30" xfId="0" applyNumberFormat="1" applyFont="1" applyFill="1" applyBorder="1" applyAlignment="1" applyProtection="1">
      <alignment horizontal="left"/>
      <protection hidden="1"/>
    </xf>
    <xf numFmtId="1" fontId="7" fillId="0" borderId="35" xfId="0" applyNumberFormat="1" applyFont="1" applyFill="1" applyBorder="1" applyAlignment="1" applyProtection="1">
      <alignment horizontal="left"/>
      <protection hidden="1"/>
    </xf>
    <xf numFmtId="1" fontId="7" fillId="0" borderId="45" xfId="0" applyNumberFormat="1" applyFont="1" applyFill="1" applyBorder="1" applyAlignment="1" applyProtection="1">
      <alignment horizontal="left"/>
      <protection hidden="1"/>
    </xf>
    <xf numFmtId="1" fontId="6" fillId="0" borderId="0" xfId="0" applyNumberFormat="1" applyFont="1" applyProtection="1">
      <protection hidden="1"/>
    </xf>
    <xf numFmtId="1" fontId="7" fillId="0" borderId="0" xfId="0" applyNumberFormat="1" applyFont="1" applyProtection="1">
      <protection hidden="1"/>
    </xf>
    <xf numFmtId="1" fontId="7" fillId="0" borderId="75" xfId="0" applyNumberFormat="1" applyFont="1" applyFill="1" applyBorder="1" applyAlignment="1" applyProtection="1">
      <alignment vertical="center" wrapText="1"/>
      <protection hidden="1"/>
    </xf>
    <xf numFmtId="1" fontId="6" fillId="0" borderId="9" xfId="0" applyNumberFormat="1" applyFont="1" applyBorder="1" applyAlignment="1" applyProtection="1">
      <protection hidden="1"/>
    </xf>
    <xf numFmtId="1" fontId="7" fillId="0" borderId="76" xfId="0" applyNumberFormat="1" applyFont="1" applyFill="1" applyBorder="1" applyAlignment="1" applyProtection="1">
      <alignment vertical="center" wrapText="1"/>
      <protection hidden="1"/>
    </xf>
    <xf numFmtId="1" fontId="7" fillId="0" borderId="69" xfId="0" applyNumberFormat="1" applyFont="1" applyFill="1" applyBorder="1" applyAlignment="1" applyProtection="1">
      <alignment vertical="center" wrapText="1"/>
      <protection hidden="1"/>
    </xf>
    <xf numFmtId="1" fontId="11" fillId="0" borderId="0" xfId="0" applyNumberFormat="1" applyFont="1" applyBorder="1" applyAlignment="1" applyProtection="1">
      <alignment horizontal="center" vertical="center"/>
      <protection hidden="1"/>
    </xf>
    <xf numFmtId="1" fontId="7" fillId="0" borderId="10" xfId="0" applyNumberFormat="1" applyFont="1" applyFill="1" applyBorder="1" applyAlignment="1" applyProtection="1">
      <alignment vertical="center" wrapText="1"/>
      <protection hidden="1"/>
    </xf>
    <xf numFmtId="1" fontId="10" fillId="0" borderId="0" xfId="0" applyNumberFormat="1" applyFont="1" applyBorder="1" applyAlignment="1" applyProtection="1">
      <protection hidden="1"/>
    </xf>
    <xf numFmtId="1" fontId="7" fillId="0" borderId="7" xfId="0" applyNumberFormat="1" applyFont="1" applyBorder="1" applyAlignment="1" applyProtection="1">
      <alignment horizontal="center" vertical="center" wrapText="1"/>
      <protection hidden="1"/>
    </xf>
    <xf numFmtId="1" fontId="7" fillId="0" borderId="8" xfId="0" applyNumberFormat="1" applyFont="1" applyBorder="1" applyAlignment="1" applyProtection="1">
      <alignment horizontal="center" vertical="center" wrapText="1"/>
      <protection hidden="1"/>
    </xf>
    <xf numFmtId="1" fontId="7" fillId="0" borderId="30" xfId="0" applyNumberFormat="1" applyFont="1" applyBorder="1" applyAlignment="1" applyProtection="1">
      <alignment horizontal="center" vertical="center" wrapText="1"/>
    </xf>
    <xf numFmtId="1" fontId="7" fillId="0" borderId="35" xfId="0" applyNumberFormat="1" applyFont="1" applyFill="1" applyBorder="1" applyAlignment="1" applyProtection="1">
      <alignment horizontal="center" vertical="center"/>
    </xf>
    <xf numFmtId="1" fontId="7" fillId="0" borderId="69" xfId="0" applyNumberFormat="1" applyFont="1" applyFill="1" applyBorder="1" applyAlignment="1" applyProtection="1">
      <alignment horizontal="center" vertical="center"/>
    </xf>
    <xf numFmtId="1" fontId="7" fillId="0" borderId="7" xfId="0" applyNumberFormat="1" applyFont="1" applyFill="1" applyBorder="1" applyAlignment="1" applyProtection="1">
      <alignment horizontal="center" vertical="center" wrapText="1"/>
    </xf>
    <xf numFmtId="1" fontId="7" fillId="0" borderId="81" xfId="0" applyNumberFormat="1" applyFont="1" applyFill="1" applyBorder="1" applyAlignment="1" applyProtection="1">
      <alignment horizontal="center" vertical="center" wrapText="1"/>
    </xf>
    <xf numFmtId="1" fontId="7" fillId="0" borderId="9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0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0" xfId="0" applyNumberFormat="1" applyFont="1" applyBorder="1" applyAlignment="1" applyProtection="1">
      <alignment wrapText="1"/>
      <protection hidden="1"/>
    </xf>
    <xf numFmtId="1" fontId="7" fillId="0" borderId="75" xfId="0" applyNumberFormat="1" applyFont="1" applyFill="1" applyBorder="1" applyAlignment="1" applyProtection="1">
      <alignment wrapText="1"/>
    </xf>
    <xf numFmtId="1" fontId="7" fillId="0" borderId="78" xfId="0" applyNumberFormat="1" applyFont="1" applyBorder="1" applyAlignment="1" applyProtection="1">
      <alignment wrapText="1"/>
      <protection hidden="1"/>
    </xf>
    <xf numFmtId="1" fontId="7" fillId="0" borderId="76" xfId="0" applyNumberFormat="1" applyFont="1" applyFill="1" applyBorder="1" applyAlignment="1" applyProtection="1">
      <alignment wrapText="1"/>
    </xf>
    <xf numFmtId="1" fontId="7" fillId="0" borderId="0" xfId="0" applyNumberFormat="1" applyFont="1" applyFill="1" applyProtection="1">
      <protection hidden="1"/>
    </xf>
    <xf numFmtId="1" fontId="7" fillId="0" borderId="80" xfId="0" applyNumberFormat="1" applyFont="1" applyFill="1" applyBorder="1" applyAlignment="1" applyProtection="1">
      <alignment wrapText="1"/>
    </xf>
    <xf numFmtId="1" fontId="7" fillId="0" borderId="29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7" xfId="125" applyNumberFormat="1" applyFont="1" applyFill="1" applyBorder="1" applyAlignment="1" applyProtection="1">
      <alignment horizontal="center" vertical="center" wrapText="1"/>
    </xf>
    <xf numFmtId="1" fontId="7" fillId="0" borderId="5" xfId="125" applyNumberFormat="1" applyFont="1" applyFill="1" applyBorder="1" applyAlignment="1" applyProtection="1">
      <alignment horizontal="center" vertical="center" wrapText="1"/>
    </xf>
    <xf numFmtId="1" fontId="7" fillId="0" borderId="83" xfId="125" applyNumberFormat="1" applyFont="1" applyFill="1" applyBorder="1" applyAlignment="1" applyProtection="1">
      <alignment horizontal="center" vertical="center" wrapText="1"/>
    </xf>
    <xf numFmtId="1" fontId="7" fillId="0" borderId="76" xfId="125" applyNumberFormat="1" applyFont="1" applyFill="1" applyBorder="1" applyAlignment="1" applyProtection="1"/>
    <xf numFmtId="1" fontId="7" fillId="0" borderId="92" xfId="125" applyNumberFormat="1" applyFont="1" applyFill="1" applyBorder="1" applyAlignment="1" applyProtection="1"/>
    <xf numFmtId="1" fontId="7" fillId="0" borderId="45" xfId="125" applyNumberFormat="1" applyFont="1" applyFill="1" applyBorder="1" applyAlignment="1" applyProtection="1"/>
    <xf numFmtId="1" fontId="7" fillId="0" borderId="10" xfId="125" applyNumberFormat="1" applyFont="1" applyFill="1" applyBorder="1" applyAlignment="1" applyProtection="1"/>
    <xf numFmtId="1" fontId="7" fillId="0" borderId="1" xfId="125" applyNumberFormat="1" applyFont="1" applyFill="1" applyBorder="1" applyAlignment="1" applyProtection="1"/>
    <xf numFmtId="1" fontId="7" fillId="0" borderId="77" xfId="125" applyNumberFormat="1" applyFont="1" applyFill="1" applyBorder="1" applyAlignment="1" applyProtection="1"/>
    <xf numFmtId="1" fontId="7" fillId="0" borderId="9" xfId="125" applyNumberFormat="1" applyFont="1" applyFill="1" applyBorder="1" applyAlignment="1" applyProtection="1"/>
    <xf numFmtId="1" fontId="7" fillId="22" borderId="0" xfId="125" applyNumberFormat="1" applyFont="1" applyFill="1" applyBorder="1" applyAlignment="1" applyProtection="1"/>
    <xf numFmtId="1" fontId="6" fillId="22" borderId="0" xfId="0" applyNumberFormat="1" applyFont="1" applyFill="1" applyBorder="1" applyProtection="1">
      <protection hidden="1"/>
    </xf>
    <xf numFmtId="1" fontId="7" fillId="0" borderId="100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86" xfId="125" applyNumberFormat="1" applyFont="1" applyFill="1" applyBorder="1" applyAlignment="1" applyProtection="1">
      <alignment horizontal="center" vertical="center" wrapText="1"/>
    </xf>
    <xf numFmtId="1" fontId="7" fillId="0" borderId="27" xfId="125" applyNumberFormat="1" applyFont="1" applyFill="1" applyBorder="1" applyAlignment="1" applyProtection="1"/>
    <xf numFmtId="1" fontId="7" fillId="0" borderId="39" xfId="125" applyNumberFormat="1" applyFont="1" applyFill="1" applyBorder="1" applyAlignment="1" applyProtection="1"/>
    <xf numFmtId="1" fontId="7" fillId="0" borderId="44" xfId="125" applyNumberFormat="1" applyFont="1" applyFill="1" applyBorder="1" applyAlignment="1" applyProtection="1"/>
    <xf numFmtId="1" fontId="7" fillId="0" borderId="34" xfId="125" applyNumberFormat="1" applyFont="1" applyFill="1" applyBorder="1" applyAlignment="1" applyProtection="1"/>
    <xf numFmtId="1" fontId="7" fillId="17" borderId="0" xfId="0" applyNumberFormat="1" applyFont="1" applyFill="1" applyBorder="1" applyProtection="1">
      <protection hidden="1"/>
    </xf>
    <xf numFmtId="1" fontId="7" fillId="0" borderId="5" xfId="0" applyNumberFormat="1" applyFont="1" applyBorder="1" applyAlignment="1" applyProtection="1">
      <alignment horizontal="center" vertical="center" wrapText="1"/>
    </xf>
    <xf numFmtId="1" fontId="7" fillId="17" borderId="0" xfId="125" applyNumberFormat="1" applyFont="1" applyFill="1" applyBorder="1" applyAlignment="1" applyProtection="1">
      <alignment horizontal="center" vertical="center"/>
    </xf>
    <xf numFmtId="1" fontId="7" fillId="17" borderId="0" xfId="125" quotePrefix="1" applyNumberFormat="1" applyFont="1" applyFill="1" applyBorder="1" applyAlignment="1" applyProtection="1">
      <alignment horizontal="center" vertical="center"/>
    </xf>
    <xf numFmtId="1" fontId="7" fillId="0" borderId="30" xfId="0" quotePrefix="1" applyNumberFormat="1" applyFont="1" applyBorder="1" applyAlignment="1" applyProtection="1">
      <alignment horizontal="left" wrapText="1"/>
    </xf>
    <xf numFmtId="1" fontId="6" fillId="17" borderId="0" xfId="0" applyNumberFormat="1" applyFont="1" applyFill="1" applyProtection="1"/>
    <xf numFmtId="1" fontId="7" fillId="0" borderId="35" xfId="0" quotePrefix="1" applyNumberFormat="1" applyFont="1" applyBorder="1" applyAlignment="1" applyProtection="1">
      <alignment horizontal="left" wrapText="1"/>
    </xf>
    <xf numFmtId="1" fontId="7" fillId="0" borderId="69" xfId="0" quotePrefix="1" applyNumberFormat="1" applyFont="1" applyBorder="1" applyAlignment="1" applyProtection="1">
      <alignment horizontal="left" wrapText="1"/>
    </xf>
    <xf numFmtId="1" fontId="7" fillId="17" borderId="0" xfId="125" applyNumberFormat="1" applyFont="1" applyFill="1" applyBorder="1" applyAlignment="1" applyProtection="1">
      <alignment horizontal="right"/>
      <protection hidden="1"/>
    </xf>
    <xf numFmtId="1" fontId="7" fillId="0" borderId="30" xfId="125" applyNumberFormat="1" applyFont="1" applyFill="1" applyBorder="1" applyAlignment="1" applyProtection="1">
      <alignment vertical="center"/>
    </xf>
    <xf numFmtId="1" fontId="7" fillId="0" borderId="35" xfId="125" applyNumberFormat="1" applyFont="1" applyFill="1" applyBorder="1" applyAlignment="1" applyProtection="1">
      <alignment vertical="center"/>
    </xf>
    <xf numFmtId="1" fontId="7" fillId="0" borderId="45" xfId="125" applyNumberFormat="1" applyFont="1" applyFill="1" applyBorder="1" applyAlignment="1" applyProtection="1">
      <alignment vertical="center"/>
    </xf>
    <xf numFmtId="1" fontId="7" fillId="0" borderId="1" xfId="125" applyNumberFormat="1" applyFont="1" applyFill="1" applyBorder="1" applyAlignment="1" applyProtection="1">
      <alignment horizontal="center" vertical="center"/>
    </xf>
    <xf numFmtId="1" fontId="7" fillId="0" borderId="0" xfId="125" applyNumberFormat="1" applyFont="1" applyFill="1" applyBorder="1" applyAlignment="1" applyProtection="1">
      <alignment horizontal="center" vertical="center" wrapText="1"/>
    </xf>
    <xf numFmtId="1" fontId="7" fillId="17" borderId="9" xfId="125" applyNumberFormat="1" applyFont="1" applyFill="1" applyBorder="1" applyAlignment="1" applyProtection="1">
      <alignment horizontal="center" vertical="center"/>
    </xf>
    <xf numFmtId="1" fontId="7" fillId="0" borderId="105" xfId="125" applyNumberFormat="1" applyFont="1" applyFill="1" applyBorder="1" applyAlignment="1" applyProtection="1">
      <alignment horizontal="center" vertical="center" wrapText="1"/>
    </xf>
    <xf numFmtId="1" fontId="11" fillId="0" borderId="0" xfId="131" applyNumberFormat="1" applyFont="1" applyFill="1" applyAlignment="1" applyProtection="1">
      <alignment horizontal="left"/>
    </xf>
    <xf numFmtId="1" fontId="11" fillId="0" borderId="0" xfId="0" applyNumberFormat="1" applyFont="1" applyBorder="1" applyProtection="1"/>
    <xf numFmtId="1" fontId="11" fillId="0" borderId="0" xfId="0" applyNumberFormat="1" applyFont="1" applyBorder="1" applyAlignment="1" applyProtection="1">
      <alignment horizontal="center"/>
    </xf>
    <xf numFmtId="1" fontId="11" fillId="0" borderId="0" xfId="126" applyNumberFormat="1" applyFont="1" applyFill="1" applyBorder="1" applyAlignment="1" applyProtection="1"/>
    <xf numFmtId="1" fontId="11" fillId="0" borderId="0" xfId="126" applyNumberFormat="1" applyFont="1" applyFill="1" applyBorder="1" applyAlignment="1" applyProtection="1">
      <alignment vertical="center"/>
    </xf>
    <xf numFmtId="1" fontId="7" fillId="0" borderId="0" xfId="126" applyNumberFormat="1" applyFont="1" applyFill="1" applyBorder="1" applyAlignment="1" applyProtection="1"/>
    <xf numFmtId="1" fontId="7" fillId="0" borderId="7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46" xfId="126" applyNumberFormat="1" applyFont="1" applyFill="1" applyBorder="1" applyAlignment="1" applyProtection="1">
      <alignment horizontal="center" vertical="center"/>
    </xf>
    <xf numFmtId="1" fontId="7" fillId="0" borderId="105" xfId="126" applyNumberFormat="1" applyFont="1" applyFill="1" applyBorder="1" applyAlignment="1" applyProtection="1">
      <alignment horizontal="center" vertical="center"/>
    </xf>
    <xf numFmtId="1" fontId="7" fillId="0" borderId="102" xfId="126" applyNumberFormat="1" applyFont="1" applyFill="1" applyBorder="1" applyAlignment="1" applyProtection="1">
      <alignment horizontal="center" vertical="center"/>
    </xf>
    <xf numFmtId="1" fontId="7" fillId="0" borderId="102" xfId="126" applyNumberFormat="1" applyFont="1" applyFill="1" applyBorder="1" applyAlignment="1" applyProtection="1">
      <alignment horizontal="center" vertical="center"/>
      <protection hidden="1"/>
    </xf>
    <xf numFmtId="1" fontId="7" fillId="0" borderId="105" xfId="126" applyNumberFormat="1" applyFont="1" applyFill="1" applyBorder="1" applyAlignment="1" applyProtection="1">
      <alignment horizontal="center" vertical="center"/>
      <protection hidden="1"/>
    </xf>
    <xf numFmtId="1" fontId="7" fillId="0" borderId="7" xfId="109" applyNumberFormat="1" applyFont="1" applyFill="1" applyBorder="1" applyAlignment="1" applyProtection="1">
      <alignment horizontal="center" vertical="center" wrapText="1"/>
    </xf>
    <xf numFmtId="1" fontId="7" fillId="0" borderId="5" xfId="109" applyNumberFormat="1" applyFont="1" applyFill="1" applyBorder="1" applyAlignment="1" applyProtection="1">
      <alignment horizontal="center" vertical="center" wrapText="1"/>
    </xf>
    <xf numFmtId="1" fontId="7" fillId="0" borderId="23" xfId="109" applyNumberFormat="1" applyFont="1" applyFill="1" applyBorder="1" applyAlignment="1" applyProtection="1">
      <alignment horizontal="center" vertical="center" wrapText="1"/>
    </xf>
    <xf numFmtId="1" fontId="7" fillId="0" borderId="34" xfId="125" applyNumberFormat="1" applyFont="1" applyFill="1" applyBorder="1" applyAlignment="1" applyProtection="1">
      <alignment horizontal="left" vertical="center"/>
    </xf>
    <xf numFmtId="1" fontId="7" fillId="0" borderId="29" xfId="125" applyNumberFormat="1" applyFont="1" applyFill="1" applyBorder="1" applyAlignment="1" applyProtection="1">
      <alignment horizontal="left" vertical="center"/>
    </xf>
    <xf numFmtId="1" fontId="7" fillId="0" borderId="27" xfId="127" applyNumberFormat="1" applyFont="1" applyFill="1" applyBorder="1" applyAlignment="1" applyProtection="1">
      <alignment horizontal="left" vertical="center"/>
    </xf>
    <xf numFmtId="1" fontId="7" fillId="0" borderId="29" xfId="127" applyNumberFormat="1" applyFont="1" applyFill="1" applyBorder="1" applyAlignment="1" applyProtection="1">
      <alignment horizontal="left" vertical="center" wrapText="1"/>
    </xf>
    <xf numFmtId="1" fontId="7" fillId="0" borderId="39" xfId="126" applyNumberFormat="1" applyFont="1" applyFill="1" applyBorder="1" applyAlignment="1" applyProtection="1">
      <alignment vertical="center" wrapText="1"/>
    </xf>
    <xf numFmtId="1" fontId="7" fillId="0" borderId="72" xfId="126" applyNumberFormat="1" applyFont="1" applyFill="1" applyBorder="1" applyAlignment="1" applyProtection="1">
      <alignment vertical="center" wrapText="1"/>
    </xf>
    <xf numFmtId="1" fontId="7" fillId="0" borderId="111" xfId="126" applyNumberFormat="1" applyFont="1" applyFill="1" applyBorder="1" applyAlignment="1" applyProtection="1">
      <alignment vertical="center" wrapText="1"/>
    </xf>
    <xf numFmtId="1" fontId="7" fillId="0" borderId="100" xfId="126" applyNumberFormat="1" applyFont="1" applyFill="1" applyBorder="1" applyAlignment="1" applyProtection="1">
      <alignment vertical="center" wrapText="1"/>
    </xf>
    <xf numFmtId="1" fontId="7" fillId="0" borderId="0" xfId="126" applyNumberFormat="1" applyFont="1" applyFill="1" applyBorder="1" applyAlignment="1" applyProtection="1">
      <alignment vertical="center"/>
      <protection hidden="1"/>
    </xf>
    <xf numFmtId="1" fontId="11" fillId="0" borderId="0" xfId="126" applyNumberFormat="1" applyFont="1" applyFill="1" applyBorder="1" applyAlignment="1" applyProtection="1">
      <alignment vertical="center" wrapText="1"/>
      <protection hidden="1"/>
    </xf>
    <xf numFmtId="1" fontId="7" fillId="0" borderId="0" xfId="126" applyNumberFormat="1" applyFont="1" applyFill="1" applyBorder="1" applyAlignment="1" applyProtection="1">
      <protection hidden="1"/>
    </xf>
    <xf numFmtId="1" fontId="7" fillId="0" borderId="102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7" xfId="126" applyNumberFormat="1" applyFont="1" applyFill="1" applyBorder="1" applyAlignment="1" applyProtection="1">
      <alignment horizontal="center" vertical="center"/>
    </xf>
    <xf numFmtId="1" fontId="7" fillId="0" borderId="5" xfId="126" applyNumberFormat="1" applyFont="1" applyFill="1" applyBorder="1" applyAlignment="1" applyProtection="1">
      <alignment horizontal="center" vertical="center"/>
    </xf>
    <xf numFmtId="1" fontId="7" fillId="0" borderId="7" xfId="126" applyNumberFormat="1" applyFont="1" applyFill="1" applyBorder="1" applyAlignment="1" applyProtection="1">
      <alignment horizontal="center" vertical="center"/>
      <protection hidden="1"/>
    </xf>
    <xf numFmtId="1" fontId="7" fillId="0" borderId="5" xfId="126" applyNumberFormat="1" applyFont="1" applyFill="1" applyBorder="1" applyAlignment="1" applyProtection="1">
      <alignment horizontal="center" vertical="center"/>
      <protection hidden="1"/>
    </xf>
    <xf numFmtId="1" fontId="7" fillId="0" borderId="123" xfId="125" applyNumberFormat="1" applyFont="1" applyFill="1" applyBorder="1" applyAlignment="1" applyProtection="1">
      <alignment horizontal="left" vertical="center"/>
    </xf>
    <xf numFmtId="1" fontId="7" fillId="0" borderId="124" xfId="125" applyNumberFormat="1" applyFont="1" applyFill="1" applyBorder="1" applyAlignment="1" applyProtection="1">
      <alignment horizontal="left" vertical="center"/>
    </xf>
    <xf numFmtId="1" fontId="7" fillId="0" borderId="30" xfId="127" applyNumberFormat="1" applyFont="1" applyFill="1" applyBorder="1" applyAlignment="1" applyProtection="1">
      <alignment horizontal="left" vertical="center"/>
    </xf>
    <xf numFmtId="1" fontId="7" fillId="0" borderId="11" xfId="125" applyNumberFormat="1" applyFont="1" applyFill="1" applyBorder="1" applyAlignment="1" applyProtection="1">
      <alignment horizontal="left" vertical="center"/>
    </xf>
    <xf numFmtId="1" fontId="11" fillId="0" borderId="0" xfId="132" applyNumberFormat="1" applyFont="1" applyFill="1" applyAlignment="1" applyProtection="1">
      <alignment horizontal="left"/>
    </xf>
    <xf numFmtId="1" fontId="7" fillId="0" borderId="8" xfId="126" applyNumberFormat="1" applyFont="1" applyFill="1" applyBorder="1" applyAlignment="1" applyProtection="1">
      <alignment horizontal="center" vertical="center"/>
      <protection hidden="1"/>
    </xf>
    <xf numFmtId="1" fontId="7" fillId="0" borderId="125" xfId="126" applyNumberFormat="1" applyFont="1" applyFill="1" applyBorder="1" applyAlignment="1" applyProtection="1">
      <alignment horizontal="center" vertical="center"/>
      <protection hidden="1"/>
    </xf>
    <xf numFmtId="1" fontId="7" fillId="0" borderId="0" xfId="126" applyNumberFormat="1" applyFont="1" applyFill="1" applyBorder="1" applyAlignment="1" applyProtection="1">
      <alignment horizontal="center" vertical="center"/>
      <protection hidden="1"/>
    </xf>
    <xf numFmtId="1" fontId="7" fillId="0" borderId="34" xfId="126" applyNumberFormat="1" applyFont="1" applyFill="1" applyBorder="1" applyAlignment="1" applyProtection="1">
      <alignment vertical="center"/>
      <protection hidden="1"/>
    </xf>
    <xf numFmtId="1" fontId="7" fillId="0" borderId="39" xfId="126" applyNumberFormat="1" applyFont="1" applyFill="1" applyBorder="1" applyAlignment="1" applyProtection="1">
      <alignment vertical="center"/>
      <protection hidden="1"/>
    </xf>
    <xf numFmtId="1" fontId="7" fillId="17" borderId="39" xfId="126" applyNumberFormat="1" applyFont="1" applyFill="1" applyBorder="1" applyAlignment="1" applyProtection="1">
      <alignment vertical="center" wrapText="1"/>
      <protection hidden="1"/>
    </xf>
    <xf numFmtId="1" fontId="7" fillId="0" borderId="30" xfId="126" applyNumberFormat="1" applyFont="1" applyFill="1" applyBorder="1" applyAlignment="1" applyProtection="1">
      <alignment vertical="center"/>
      <protection hidden="1"/>
    </xf>
    <xf numFmtId="1" fontId="7" fillId="0" borderId="35" xfId="126" applyNumberFormat="1" applyFont="1" applyFill="1" applyBorder="1" applyAlignment="1" applyProtection="1">
      <alignment vertical="center"/>
      <protection hidden="1"/>
    </xf>
    <xf numFmtId="1" fontId="7" fillId="0" borderId="45" xfId="126" applyNumberFormat="1" applyFont="1" applyFill="1" applyBorder="1" applyAlignment="1" applyProtection="1">
      <alignment vertical="center"/>
      <protection hidden="1"/>
    </xf>
    <xf numFmtId="1" fontId="7" fillId="0" borderId="80" xfId="126" applyNumberFormat="1" applyFont="1" applyFill="1" applyBorder="1" applyAlignment="1" applyProtection="1">
      <alignment vertical="center"/>
      <protection hidden="1"/>
    </xf>
    <xf numFmtId="1" fontId="7" fillId="0" borderId="78" xfId="126" applyNumberFormat="1" applyFont="1" applyFill="1" applyBorder="1" applyAlignment="1" applyProtection="1">
      <alignment vertical="center" wrapText="1"/>
      <protection hidden="1"/>
    </xf>
    <xf numFmtId="1" fontId="7" fillId="0" borderId="35" xfId="126" applyNumberFormat="1" applyFont="1" applyFill="1" applyBorder="1" applyAlignment="1" applyProtection="1">
      <alignment vertical="center" wrapText="1"/>
      <protection hidden="1"/>
    </xf>
    <xf numFmtId="1" fontId="7" fillId="0" borderId="69" xfId="126" applyNumberFormat="1" applyFont="1" applyFill="1" applyBorder="1" applyAlignment="1" applyProtection="1">
      <alignment vertical="center" wrapText="1"/>
      <protection hidden="1"/>
    </xf>
    <xf numFmtId="1" fontId="7" fillId="0" borderId="96" xfId="126" applyNumberFormat="1" applyFont="1" applyFill="1" applyBorder="1" applyAlignment="1" applyProtection="1">
      <alignment horizontal="center" vertical="center"/>
      <protection hidden="1"/>
    </xf>
    <xf numFmtId="1" fontId="7" fillId="0" borderId="30" xfId="126" applyNumberFormat="1" applyFont="1" applyFill="1" applyBorder="1" applyAlignment="1" applyProtection="1">
      <alignment vertical="center" wrapText="1"/>
      <protection hidden="1"/>
    </xf>
    <xf numFmtId="1" fontId="11" fillId="0" borderId="0" xfId="127" quotePrefix="1" applyNumberFormat="1" applyFont="1" applyFill="1" applyBorder="1" applyAlignment="1" applyProtection="1">
      <alignment horizontal="left"/>
      <protection hidden="1"/>
    </xf>
    <xf numFmtId="1" fontId="7" fillId="0" borderId="0" xfId="127" applyNumberFormat="1" applyFont="1" applyFill="1" applyBorder="1" applyAlignment="1" applyProtection="1">
      <protection hidden="1"/>
    </xf>
    <xf numFmtId="1" fontId="7" fillId="0" borderId="81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5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9" xfId="127" applyNumberFormat="1" applyFont="1" applyFill="1" applyBorder="1" applyAlignment="1" applyProtection="1">
      <alignment horizontal="left"/>
      <protection hidden="1"/>
    </xf>
    <xf numFmtId="1" fontId="7" fillId="0" borderId="0" xfId="127" applyNumberFormat="1" applyFont="1" applyFill="1" applyBorder="1" applyAlignment="1" applyProtection="1">
      <alignment horizontal="left"/>
      <protection hidden="1"/>
    </xf>
    <xf numFmtId="1" fontId="7" fillId="0" borderId="100" xfId="127" applyNumberFormat="1" applyFont="1" applyFill="1" applyBorder="1" applyAlignment="1" applyProtection="1">
      <alignment horizontal="left"/>
      <protection hidden="1"/>
    </xf>
    <xf numFmtId="1" fontId="7" fillId="0" borderId="0" xfId="14" applyNumberFormat="1" applyFont="1" applyFill="1" applyBorder="1" applyAlignment="1" applyProtection="1"/>
    <xf numFmtId="1" fontId="6" fillId="0" borderId="0" xfId="0" applyNumberFormat="1" applyFont="1" applyFill="1" applyBorder="1" applyProtection="1">
      <protection hidden="1"/>
    </xf>
    <xf numFmtId="1" fontId="7" fillId="0" borderId="8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67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8" xfId="127" applyNumberFormat="1" applyFont="1" applyFill="1" applyBorder="1" applyAlignment="1" applyProtection="1">
      <alignment horizontal="center" vertical="center"/>
      <protection hidden="1"/>
    </xf>
    <xf numFmtId="1" fontId="7" fillId="0" borderId="5" xfId="127" applyNumberFormat="1" applyFont="1" applyFill="1" applyBorder="1" applyAlignment="1" applyProtection="1">
      <alignment horizontal="center" vertical="center"/>
      <protection hidden="1"/>
    </xf>
    <xf numFmtId="1" fontId="7" fillId="0" borderId="81" xfId="109" applyNumberFormat="1" applyFont="1" applyFill="1" applyBorder="1" applyAlignment="1" applyProtection="1">
      <alignment horizontal="center" vertical="center" wrapText="1"/>
    </xf>
    <xf numFmtId="1" fontId="7" fillId="0" borderId="83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81" xfId="127" applyNumberFormat="1" applyFont="1" applyFill="1" applyBorder="1" applyAlignment="1" applyProtection="1">
      <alignment horizontal="center" vertical="center"/>
      <protection hidden="1"/>
    </xf>
    <xf numFmtId="1" fontId="7" fillId="0" borderId="0" xfId="0" applyNumberFormat="1" applyFont="1" applyProtection="1"/>
    <xf numFmtId="1" fontId="7" fillId="0" borderId="0" xfId="0" applyNumberFormat="1" applyFont="1" applyFill="1" applyProtection="1"/>
    <xf numFmtId="1" fontId="7" fillId="0" borderId="0" xfId="0" applyNumberFormat="1" applyFont="1" applyFill="1" applyBorder="1" applyProtection="1"/>
    <xf numFmtId="1" fontId="7" fillId="0" borderId="0" xfId="0" applyNumberFormat="1" applyFont="1" applyFill="1" applyAlignment="1" applyProtection="1">
      <protection hidden="1"/>
    </xf>
    <xf numFmtId="1" fontId="7" fillId="0" borderId="7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23" xfId="127" applyNumberFormat="1" applyFont="1" applyFill="1" applyBorder="1" applyAlignment="1" applyProtection="1">
      <alignment horizontal="center" vertical="center" wrapText="1"/>
      <protection hidden="1"/>
    </xf>
    <xf numFmtId="1" fontId="7" fillId="17" borderId="0" xfId="0" applyNumberFormat="1" applyFont="1" applyFill="1" applyProtection="1"/>
    <xf numFmtId="1" fontId="7" fillId="0" borderId="30" xfId="129" applyNumberFormat="1" applyFont="1" applyFill="1" applyBorder="1" applyAlignment="1" applyProtection="1">
      <alignment vertical="center" wrapText="1"/>
      <protection hidden="1"/>
    </xf>
    <xf numFmtId="1" fontId="7" fillId="0" borderId="69" xfId="129" applyNumberFormat="1" applyFont="1" applyFill="1" applyBorder="1" applyAlignment="1" applyProtection="1">
      <alignment vertical="center" wrapText="1"/>
      <protection hidden="1"/>
    </xf>
    <xf numFmtId="1" fontId="11" fillId="0" borderId="0" xfId="0" applyNumberFormat="1" applyFont="1" applyFill="1" applyAlignment="1" applyProtection="1">
      <alignment wrapText="1"/>
      <protection hidden="1"/>
    </xf>
    <xf numFmtId="1" fontId="7" fillId="0" borderId="35" xfId="129" applyNumberFormat="1" applyFont="1" applyFill="1" applyBorder="1" applyAlignment="1" applyProtection="1">
      <alignment vertical="top" wrapText="1"/>
      <protection hidden="1"/>
    </xf>
    <xf numFmtId="1" fontId="7" fillId="0" borderId="27" xfId="129" applyNumberFormat="1" applyFont="1" applyFill="1" applyBorder="1" applyAlignment="1" applyProtection="1">
      <alignment vertical="center" wrapText="1"/>
      <protection hidden="1"/>
    </xf>
    <xf numFmtId="1" fontId="7" fillId="0" borderId="34" xfId="129" applyNumberFormat="1" applyFont="1" applyFill="1" applyBorder="1" applyAlignment="1" applyProtection="1">
      <alignment vertical="center" wrapText="1"/>
      <protection hidden="1"/>
    </xf>
    <xf numFmtId="1" fontId="7" fillId="0" borderId="29" xfId="129" applyNumberFormat="1" applyFont="1" applyFill="1" applyBorder="1" applyAlignment="1" applyProtection="1">
      <alignment vertical="center" wrapText="1"/>
      <protection hidden="1"/>
    </xf>
    <xf numFmtId="1" fontId="7" fillId="0" borderId="1" xfId="113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113" applyNumberFormat="1" applyFont="1" applyFill="1" applyBorder="1" applyAlignment="1" applyProtection="1">
      <alignment horizontal="left" vertical="center" wrapText="1"/>
      <protection hidden="1"/>
    </xf>
    <xf numFmtId="1" fontId="7" fillId="0" borderId="81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02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02" xfId="109" applyNumberFormat="1" applyFont="1" applyFill="1" applyBorder="1" applyAlignment="1" applyProtection="1">
      <alignment horizontal="center" vertical="center" wrapText="1"/>
    </xf>
    <xf numFmtId="1" fontId="7" fillId="0" borderId="105" xfId="109" applyNumberFormat="1" applyFont="1" applyFill="1" applyBorder="1" applyAlignment="1" applyProtection="1">
      <alignment horizontal="center" vertical="center" wrapText="1"/>
    </xf>
    <xf numFmtId="1" fontId="7" fillId="0" borderId="137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30" xfId="129" applyNumberFormat="1" applyFont="1" applyFill="1" applyBorder="1" applyAlignment="1" applyProtection="1">
      <alignment wrapText="1"/>
      <protection hidden="1"/>
    </xf>
    <xf numFmtId="1" fontId="7" fillId="0" borderId="0" xfId="0" applyNumberFormat="1" applyFont="1" applyBorder="1" applyProtection="1"/>
    <xf numFmtId="1" fontId="7" fillId="22" borderId="0" xfId="0" applyNumberFormat="1" applyFont="1" applyFill="1" applyBorder="1" applyAlignment="1" applyProtection="1">
      <alignment wrapText="1"/>
    </xf>
    <xf numFmtId="1" fontId="11" fillId="22" borderId="0" xfId="131" applyNumberFormat="1" applyFont="1" applyFill="1" applyAlignment="1" applyProtection="1">
      <alignment horizontal="left"/>
    </xf>
    <xf numFmtId="1" fontId="15" fillId="22" borderId="0" xfId="126" applyNumberFormat="1" applyFont="1" applyFill="1" applyBorder="1" applyAlignment="1" applyProtection="1">
      <alignment vertical="center"/>
    </xf>
    <xf numFmtId="1" fontId="7" fillId="0" borderId="79" xfId="125" quotePrefix="1" applyNumberFormat="1" applyFont="1" applyFill="1" applyBorder="1" applyAlignment="1" applyProtection="1">
      <alignment horizontal="left" wrapText="1"/>
    </xf>
    <xf numFmtId="1" fontId="7" fillId="0" borderId="45" xfId="125" quotePrefix="1" applyNumberFormat="1" applyFont="1" applyFill="1" applyBorder="1" applyAlignment="1" applyProtection="1">
      <alignment wrapText="1"/>
    </xf>
    <xf numFmtId="1" fontId="7" fillId="0" borderId="69" xfId="125" quotePrefix="1" applyNumberFormat="1" applyFont="1" applyFill="1" applyBorder="1" applyAlignment="1" applyProtection="1">
      <alignment wrapText="1"/>
    </xf>
    <xf numFmtId="1" fontId="7" fillId="0" borderId="11" xfId="125" quotePrefix="1" applyNumberFormat="1" applyFont="1" applyFill="1" applyBorder="1" applyAlignment="1" applyProtection="1"/>
    <xf numFmtId="1" fontId="7" fillId="0" borderId="79" xfId="125" quotePrefix="1" applyNumberFormat="1" applyFont="1" applyFill="1" applyBorder="1" applyAlignment="1" applyProtection="1">
      <alignment wrapText="1"/>
    </xf>
    <xf numFmtId="1" fontId="7" fillId="0" borderId="1" xfId="125" applyNumberFormat="1" applyFont="1" applyFill="1" applyBorder="1" applyAlignment="1" applyProtection="1">
      <alignment horizontal="left"/>
    </xf>
    <xf numFmtId="1" fontId="7" fillId="0" borderId="11" xfId="125" quotePrefix="1" applyNumberFormat="1" applyFont="1" applyFill="1" applyBorder="1" applyAlignment="1" applyProtection="1">
      <alignment wrapText="1"/>
    </xf>
    <xf numFmtId="1" fontId="7" fillId="0" borderId="139" xfId="125" quotePrefix="1" applyNumberFormat="1" applyFont="1" applyFill="1" applyBorder="1" applyAlignment="1" applyProtection="1"/>
    <xf numFmtId="1" fontId="7" fillId="0" borderId="1" xfId="125" quotePrefix="1" applyNumberFormat="1" applyFont="1" applyFill="1" applyBorder="1" applyAlignment="1" applyProtection="1"/>
    <xf numFmtId="1" fontId="7" fillId="0" borderId="92" xfId="125" quotePrefix="1" applyNumberFormat="1" applyFont="1" applyFill="1" applyBorder="1" applyAlignment="1" applyProtection="1"/>
    <xf numFmtId="1" fontId="7" fillId="0" borderId="76" xfId="125" applyNumberFormat="1" applyFont="1" applyFill="1" applyBorder="1" applyAlignment="1" applyProtection="1">
      <alignment wrapText="1"/>
    </xf>
    <xf numFmtId="1" fontId="7" fillId="0" borderId="77" xfId="125" applyNumberFormat="1" applyFont="1" applyFill="1" applyBorder="1" applyAlignment="1" applyProtection="1">
      <alignment wrapText="1"/>
    </xf>
    <xf numFmtId="1" fontId="7" fillId="0" borderId="9" xfId="125" applyNumberFormat="1" applyFont="1" applyFill="1" applyBorder="1" applyAlignment="1" applyProtection="1">
      <alignment wrapText="1"/>
    </xf>
    <xf numFmtId="1" fontId="7" fillId="0" borderId="5" xfId="126" applyNumberFormat="1" applyFont="1" applyFill="1" applyBorder="1" applyAlignment="1" applyProtection="1">
      <alignment horizontal="center" vertical="center" wrapText="1"/>
      <protection hidden="1"/>
    </xf>
    <xf numFmtId="1" fontId="11" fillId="17" borderId="0" xfId="109" applyNumberFormat="1" applyFont="1" applyFill="1" applyBorder="1" applyProtection="1"/>
    <xf numFmtId="1" fontId="11" fillId="17" borderId="0" xfId="109" applyNumberFormat="1" applyFont="1" applyFill="1" applyBorder="1" applyAlignment="1" applyProtection="1">
      <alignment horizontal="center"/>
    </xf>
    <xf numFmtId="1" fontId="11" fillId="17" borderId="0" xfId="133" applyNumberFormat="1" applyFont="1" applyFill="1" applyAlignment="1" applyProtection="1">
      <alignment horizontal="left"/>
    </xf>
    <xf numFmtId="1" fontId="7" fillId="17" borderId="103" xfId="109" applyNumberFormat="1" applyFont="1" applyFill="1" applyBorder="1" applyAlignment="1" applyProtection="1">
      <alignment horizontal="center" vertical="center" wrapText="1"/>
    </xf>
    <xf numFmtId="1" fontId="7" fillId="17" borderId="105" xfId="109" applyNumberFormat="1" applyFont="1" applyFill="1" applyBorder="1" applyAlignment="1" applyProtection="1">
      <alignment horizontal="center" vertical="center"/>
    </xf>
    <xf numFmtId="1" fontId="7" fillId="0" borderId="5" xfId="0" applyNumberFormat="1" applyFont="1" applyFill="1" applyBorder="1" applyAlignment="1" applyProtection="1">
      <alignment horizontal="center" vertical="center" wrapText="1"/>
    </xf>
    <xf numFmtId="1" fontId="7" fillId="0" borderId="23" xfId="0" applyNumberFormat="1" applyFont="1" applyFill="1" applyBorder="1" applyAlignment="1" applyProtection="1">
      <alignment horizontal="center" vertical="center" wrapText="1"/>
    </xf>
    <xf numFmtId="1" fontId="6" fillId="0" borderId="0" xfId="0" applyNumberFormat="1" applyFont="1" applyFill="1" applyProtection="1"/>
    <xf numFmtId="1" fontId="7" fillId="0" borderId="83" xfId="0" applyNumberFormat="1" applyFont="1" applyFill="1" applyBorder="1" applyAlignment="1" applyProtection="1">
      <alignment horizontal="center" vertical="center" wrapText="1"/>
    </xf>
    <xf numFmtId="1" fontId="7" fillId="17" borderId="1" xfId="109" applyNumberFormat="1" applyFont="1" applyFill="1" applyBorder="1" applyAlignment="1" applyProtection="1">
      <alignment vertical="center" wrapText="1"/>
    </xf>
    <xf numFmtId="1" fontId="7" fillId="0" borderId="0" xfId="130" applyNumberFormat="1" applyFont="1" applyFill="1" applyBorder="1" applyAlignment="1" applyProtection="1">
      <protection hidden="1"/>
    </xf>
    <xf numFmtId="1" fontId="7" fillId="0" borderId="0" xfId="130" applyNumberFormat="1" applyFont="1" applyFill="1" applyAlignment="1" applyProtection="1">
      <protection hidden="1"/>
    </xf>
    <xf numFmtId="1" fontId="7" fillId="17" borderId="0" xfId="130" applyNumberFormat="1" applyFont="1" applyFill="1" applyAlignment="1" applyProtection="1">
      <protection hidden="1"/>
    </xf>
    <xf numFmtId="1" fontId="11" fillId="0" borderId="0" xfId="130" applyNumberFormat="1" applyFont="1" applyFill="1" applyAlignment="1" applyProtection="1">
      <alignment vertical="center"/>
    </xf>
    <xf numFmtId="1" fontId="11" fillId="0" borderId="0" xfId="130" applyNumberFormat="1" applyFont="1" applyFill="1" applyAlignment="1" applyProtection="1">
      <alignment horizontal="center"/>
    </xf>
    <xf numFmtId="1" fontId="11" fillId="0" borderId="0" xfId="130" applyNumberFormat="1" applyFont="1" applyFill="1" applyAlignment="1" applyProtection="1">
      <alignment horizontal="center"/>
      <protection hidden="1"/>
    </xf>
    <xf numFmtId="1" fontId="11" fillId="0" borderId="140" xfId="130" applyNumberFormat="1" applyFont="1" applyFill="1" applyBorder="1" applyAlignment="1" applyProtection="1">
      <alignment horizontal="center" vertical="center" wrapText="1"/>
    </xf>
    <xf numFmtId="1" fontId="7" fillId="0" borderId="139" xfId="130" applyNumberFormat="1" applyFont="1" applyFill="1" applyBorder="1" applyAlignment="1" applyProtection="1">
      <alignment horizontal="center" vertical="center" wrapText="1"/>
    </xf>
    <xf numFmtId="1" fontId="11" fillId="0" borderId="0" xfId="0" applyNumberFormat="1" applyFont="1" applyFill="1" applyBorder="1" applyAlignment="1" applyProtection="1">
      <alignment vertical="center" wrapText="1"/>
    </xf>
    <xf numFmtId="1" fontId="7" fillId="0" borderId="0" xfId="130" applyNumberFormat="1" applyFont="1" applyFill="1" applyAlignment="1" applyProtection="1">
      <alignment horizontal="center" vertical="center"/>
      <protection hidden="1"/>
    </xf>
    <xf numFmtId="1" fontId="7" fillId="17" borderId="0" xfId="130" applyNumberFormat="1" applyFont="1" applyFill="1" applyAlignment="1" applyProtection="1">
      <alignment horizontal="center" vertical="center"/>
      <protection hidden="1"/>
    </xf>
    <xf numFmtId="1" fontId="7" fillId="0" borderId="35" xfId="130" applyNumberFormat="1" applyFont="1" applyFill="1" applyBorder="1" applyAlignment="1" applyProtection="1"/>
    <xf numFmtId="1" fontId="7" fillId="0" borderId="10" xfId="130" applyNumberFormat="1" applyFont="1" applyFill="1" applyBorder="1" applyAlignment="1" applyProtection="1"/>
    <xf numFmtId="1" fontId="7" fillId="0" borderId="1" xfId="130" applyNumberFormat="1" applyFont="1" applyFill="1" applyBorder="1" applyAlignment="1" applyProtection="1">
      <alignment horizontal="right"/>
    </xf>
    <xf numFmtId="1" fontId="11" fillId="0" borderId="0" xfId="130" applyNumberFormat="1" applyFont="1" applyFill="1" applyAlignment="1" applyProtection="1">
      <protection hidden="1"/>
    </xf>
    <xf numFmtId="1" fontId="11" fillId="0" borderId="0" xfId="130" applyNumberFormat="1" applyFont="1" applyFill="1" applyAlignment="1" applyProtection="1"/>
    <xf numFmtId="1" fontId="7" fillId="0" borderId="30" xfId="130" applyNumberFormat="1" applyFont="1" applyFill="1" applyBorder="1" applyAlignment="1" applyProtection="1"/>
    <xf numFmtId="1" fontId="10" fillId="0" borderId="0" xfId="0" applyNumberFormat="1" applyFont="1" applyFill="1" applyProtection="1">
      <protection hidden="1"/>
    </xf>
    <xf numFmtId="1" fontId="7" fillId="0" borderId="69" xfId="130" applyNumberFormat="1" applyFont="1" applyFill="1" applyBorder="1" applyAlignment="1" applyProtection="1"/>
    <xf numFmtId="1" fontId="11" fillId="0" borderId="0" xfId="130" applyNumberFormat="1" applyFont="1" applyFill="1" applyBorder="1" applyAlignment="1" applyProtection="1">
      <alignment horizontal="right"/>
      <protection hidden="1"/>
    </xf>
    <xf numFmtId="1" fontId="7" fillId="17" borderId="0" xfId="130" applyNumberFormat="1" applyFont="1" applyFill="1" applyBorder="1" applyAlignment="1" applyProtection="1">
      <protection hidden="1"/>
    </xf>
    <xf numFmtId="1" fontId="7" fillId="0" borderId="11" xfId="130" applyNumberFormat="1" applyFont="1" applyFill="1" applyBorder="1" applyAlignment="1" applyProtection="1"/>
    <xf numFmtId="1" fontId="11" fillId="0" borderId="0" xfId="130" applyNumberFormat="1" applyFont="1" applyFill="1" applyBorder="1" applyAlignment="1" applyProtection="1">
      <alignment horizontal="left"/>
    </xf>
    <xf numFmtId="1" fontId="7" fillId="0" borderId="0" xfId="130" applyNumberFormat="1" applyFont="1" applyFill="1" applyAlignment="1" applyProtection="1"/>
    <xf numFmtId="1" fontId="7" fillId="0" borderId="30" xfId="130" applyNumberFormat="1" applyFont="1" applyFill="1" applyBorder="1" applyAlignment="1" applyProtection="1">
      <alignment wrapText="1"/>
    </xf>
    <xf numFmtId="1" fontId="7" fillId="0" borderId="35" xfId="130" quotePrefix="1" applyNumberFormat="1" applyFont="1" applyFill="1" applyBorder="1" applyAlignment="1" applyProtection="1"/>
    <xf numFmtId="1" fontId="7" fillId="0" borderId="10" xfId="130" applyNumberFormat="1" applyFont="1" applyFill="1" applyBorder="1" applyAlignment="1" applyProtection="1">
      <alignment vertical="center"/>
    </xf>
    <xf numFmtId="1" fontId="11" fillId="0" borderId="0" xfId="130" applyNumberFormat="1" applyFont="1" applyFill="1" applyBorder="1" applyAlignment="1" applyProtection="1"/>
    <xf numFmtId="1" fontId="7" fillId="0" borderId="0" xfId="26" applyNumberFormat="1" applyFont="1" applyFill="1" applyBorder="1" applyAlignment="1" applyProtection="1">
      <protection hidden="1"/>
    </xf>
    <xf numFmtId="1" fontId="11" fillId="0" borderId="6" xfId="130" applyNumberFormat="1" applyFont="1" applyFill="1" applyBorder="1" applyAlignment="1" applyProtection="1">
      <alignment horizontal="left"/>
    </xf>
    <xf numFmtId="1" fontId="7" fillId="0" borderId="140" xfId="130" applyNumberFormat="1" applyFont="1" applyFill="1" applyBorder="1" applyAlignment="1" applyProtection="1">
      <alignment horizontal="center" vertical="center" wrapText="1"/>
    </xf>
    <xf numFmtId="1" fontId="7" fillId="0" borderId="0" xfId="130" applyNumberFormat="1" applyFont="1" applyFill="1" applyBorder="1" applyAlignment="1" applyProtection="1">
      <alignment vertical="center" wrapText="1"/>
    </xf>
    <xf numFmtId="1" fontId="7" fillId="0" borderId="0" xfId="130" applyNumberFormat="1" applyFont="1" applyFill="1" applyBorder="1" applyAlignment="1" applyProtection="1"/>
    <xf numFmtId="1" fontId="7" fillId="0" borderId="0" xfId="130" applyNumberFormat="1" applyFont="1" applyFill="1" applyBorder="1" applyAlignment="1" applyProtection="1">
      <alignment horizontal="center" vertical="center" wrapText="1"/>
    </xf>
    <xf numFmtId="1" fontId="7" fillId="22" borderId="76" xfId="126" applyNumberFormat="1" applyFont="1" applyFill="1" applyBorder="1" applyAlignment="1" applyProtection="1">
      <alignment horizontal="left" vertical="center" wrapText="1"/>
    </xf>
    <xf numFmtId="1" fontId="7" fillId="22" borderId="69" xfId="126" applyNumberFormat="1" applyFont="1" applyFill="1" applyBorder="1" applyAlignment="1" applyProtection="1">
      <alignment vertical="center"/>
      <protection hidden="1"/>
    </xf>
    <xf numFmtId="1" fontId="7" fillId="22" borderId="35" xfId="126" applyNumberFormat="1" applyFont="1" applyFill="1" applyBorder="1" applyAlignment="1" applyProtection="1">
      <alignment vertical="center" wrapText="1"/>
      <protection hidden="1"/>
    </xf>
    <xf numFmtId="1" fontId="23" fillId="0" borderId="1" xfId="0" applyNumberFormat="1" applyFont="1" applyFill="1" applyBorder="1" applyProtection="1">
      <protection hidden="1"/>
    </xf>
    <xf numFmtId="1" fontId="7" fillId="0" borderId="23" xfId="0" applyNumberFormat="1" applyFont="1" applyBorder="1" applyAlignment="1" applyProtection="1">
      <alignment horizontal="center" vertical="center" wrapText="1"/>
      <protection hidden="1"/>
    </xf>
    <xf numFmtId="1" fontId="30" fillId="22" borderId="0" xfId="0" applyNumberFormat="1" applyFont="1" applyFill="1" applyBorder="1" applyProtection="1">
      <protection hidden="1"/>
    </xf>
    <xf numFmtId="1" fontId="7" fillId="15" borderId="7" xfId="73" applyNumberFormat="1" applyFont="1" applyFill="1" applyBorder="1" applyAlignment="1" applyProtection="1">
      <alignment horizontal="right"/>
      <protection locked="0"/>
    </xf>
    <xf numFmtId="1" fontId="7" fillId="15" borderId="5" xfId="73" applyNumberFormat="1" applyFont="1" applyFill="1" applyBorder="1" applyAlignment="1" applyProtection="1">
      <alignment horizontal="right"/>
      <protection locked="0"/>
    </xf>
    <xf numFmtId="1" fontId="7" fillId="15" borderId="94" xfId="73" applyNumberFormat="1" applyFont="1" applyFill="1" applyBorder="1" applyAlignment="1" applyProtection="1">
      <alignment horizontal="right"/>
      <protection locked="0"/>
    </xf>
    <xf numFmtId="1" fontId="7" fillId="15" borderId="95" xfId="73" applyNumberFormat="1" applyFont="1" applyFill="1" applyBorder="1" applyAlignment="1" applyProtection="1">
      <alignment horizontal="right"/>
      <protection locked="0"/>
    </xf>
    <xf numFmtId="1" fontId="7" fillId="15" borderId="73" xfId="73" applyNumberFormat="1" applyFont="1" applyFill="1" applyBorder="1" applyAlignment="1" applyProtection="1">
      <alignment horizontal="right"/>
      <protection locked="0"/>
    </xf>
    <xf numFmtId="1" fontId="7" fillId="15" borderId="93" xfId="73" applyNumberFormat="1" applyFont="1" applyFill="1" applyBorder="1" applyAlignment="1" applyProtection="1">
      <alignment horizontal="right"/>
      <protection locked="0"/>
    </xf>
    <xf numFmtId="1" fontId="7" fillId="22" borderId="78" xfId="125" applyNumberFormat="1" applyFont="1" applyFill="1" applyBorder="1" applyAlignment="1" applyProtection="1">
      <alignment horizontal="right"/>
    </xf>
    <xf numFmtId="1" fontId="7" fillId="22" borderId="45" xfId="125" applyNumberFormat="1" applyFont="1" applyFill="1" applyBorder="1" applyAlignment="1" applyProtection="1">
      <alignment horizontal="right"/>
    </xf>
    <xf numFmtId="1" fontId="7" fillId="22" borderId="1" xfId="125" applyNumberFormat="1" applyFont="1" applyFill="1" applyBorder="1" applyAlignment="1" applyProtection="1">
      <alignment horizontal="right"/>
    </xf>
    <xf numFmtId="1" fontId="7" fillId="15" borderId="146" xfId="73" applyNumberFormat="1" applyFont="1" applyFill="1" applyBorder="1" applyAlignment="1" applyProtection="1">
      <alignment horizontal="right"/>
      <protection locked="0"/>
    </xf>
    <xf numFmtId="1" fontId="7" fillId="22" borderId="35" xfId="125" applyNumberFormat="1" applyFont="1" applyFill="1" applyBorder="1" applyAlignment="1" applyProtection="1">
      <alignment horizontal="right"/>
    </xf>
    <xf numFmtId="1" fontId="7" fillId="22" borderId="79" xfId="125" applyNumberFormat="1" applyFont="1" applyFill="1" applyBorder="1" applyAlignment="1" applyProtection="1">
      <alignment horizontal="right" wrapText="1"/>
    </xf>
    <xf numFmtId="1" fontId="7" fillId="15" borderId="101" xfId="73" applyNumberFormat="1" applyFont="1" applyFill="1" applyBorder="1" applyAlignment="1" applyProtection="1">
      <alignment horizontal="right"/>
      <protection locked="0"/>
    </xf>
    <xf numFmtId="1" fontId="7" fillId="15" borderId="99" xfId="73" applyNumberFormat="1" applyFont="1" applyFill="1" applyBorder="1" applyAlignment="1" applyProtection="1">
      <alignment horizontal="right"/>
      <protection locked="0"/>
    </xf>
    <xf numFmtId="1" fontId="7" fillId="15" borderId="70" xfId="73" applyNumberFormat="1" applyFont="1" applyFill="1" applyBorder="1" applyAlignment="1" applyProtection="1">
      <alignment horizontal="right"/>
      <protection locked="0"/>
    </xf>
    <xf numFmtId="1" fontId="7" fillId="15" borderId="89" xfId="73" applyNumberFormat="1" applyFont="1" applyFill="1" applyBorder="1" applyAlignment="1" applyProtection="1">
      <alignment horizontal="right"/>
      <protection locked="0"/>
    </xf>
    <xf numFmtId="1" fontId="7" fillId="15" borderId="71" xfId="73" applyNumberFormat="1" applyFont="1" applyFill="1" applyBorder="1" applyAlignment="1" applyProtection="1">
      <alignment horizontal="right"/>
      <protection locked="0"/>
    </xf>
    <xf numFmtId="1" fontId="7" fillId="15" borderId="72" xfId="73" applyNumberFormat="1" applyFont="1" applyFill="1" applyBorder="1" applyAlignment="1" applyProtection="1">
      <alignment horizontal="right"/>
      <protection locked="0"/>
    </xf>
    <xf numFmtId="1" fontId="7" fillId="15" borderId="109" xfId="73" applyNumberFormat="1" applyFont="1" applyFill="1" applyBorder="1" applyAlignment="1" applyProtection="1">
      <alignment horizontal="right"/>
      <protection locked="0"/>
    </xf>
    <xf numFmtId="1" fontId="7" fillId="15" borderId="108" xfId="73" applyNumberFormat="1" applyFont="1" applyFill="1" applyBorder="1" applyAlignment="1" applyProtection="1">
      <alignment horizontal="right"/>
      <protection locked="0"/>
    </xf>
    <xf numFmtId="1" fontId="7" fillId="0" borderId="101" xfId="126" applyNumberFormat="1" applyFont="1" applyFill="1" applyBorder="1" applyAlignment="1" applyProtection="1">
      <alignment horizontal="right" wrapText="1"/>
      <protection hidden="1"/>
    </xf>
    <xf numFmtId="1" fontId="7" fillId="0" borderId="100" xfId="126" applyNumberFormat="1" applyFont="1" applyFill="1" applyBorder="1" applyAlignment="1" applyProtection="1">
      <alignment horizontal="right" wrapText="1"/>
      <protection hidden="1"/>
    </xf>
    <xf numFmtId="1" fontId="7" fillId="15" borderId="31" xfId="73" applyNumberFormat="1" applyFont="1" applyFill="1" applyBorder="1" applyAlignment="1" applyProtection="1">
      <alignment horizontal="right"/>
      <protection locked="0"/>
    </xf>
    <xf numFmtId="1" fontId="7" fillId="15" borderId="36" xfId="73" applyNumberFormat="1" applyFont="1" applyFill="1" applyBorder="1" applyAlignment="1" applyProtection="1">
      <alignment horizontal="right"/>
      <protection locked="0"/>
    </xf>
    <xf numFmtId="1" fontId="7" fillId="15" borderId="85" xfId="73" applyNumberFormat="1" applyFont="1" applyFill="1" applyBorder="1" applyAlignment="1" applyProtection="1">
      <alignment horizontal="right"/>
      <protection locked="0"/>
    </xf>
    <xf numFmtId="1" fontId="7" fillId="15" borderId="86" xfId="73" applyNumberFormat="1" applyFont="1" applyFill="1" applyBorder="1" applyAlignment="1" applyProtection="1">
      <alignment horizontal="right"/>
      <protection locked="0"/>
    </xf>
    <xf numFmtId="1" fontId="7" fillId="15" borderId="133" xfId="73" applyNumberFormat="1" applyFont="1" applyFill="1" applyBorder="1" applyAlignment="1" applyProtection="1">
      <alignment horizontal="right"/>
      <protection locked="0"/>
    </xf>
    <xf numFmtId="1" fontId="7" fillId="0" borderId="23" xfId="126" applyNumberFormat="1" applyFont="1" applyFill="1" applyBorder="1" applyAlignment="1" applyProtection="1">
      <alignment horizontal="center" vertical="center" wrapText="1"/>
      <protection hidden="1"/>
    </xf>
    <xf numFmtId="1" fontId="7" fillId="15" borderId="121" xfId="73" applyNumberFormat="1" applyFont="1" applyFill="1" applyBorder="1" applyAlignment="1" applyProtection="1">
      <alignment horizontal="right"/>
      <protection locked="0"/>
    </xf>
    <xf numFmtId="1" fontId="7" fillId="15" borderId="149" xfId="73" applyNumberFormat="1" applyFont="1" applyFill="1" applyBorder="1" applyAlignment="1" applyProtection="1">
      <alignment horizontal="right"/>
      <protection locked="0"/>
    </xf>
    <xf numFmtId="1" fontId="7" fillId="15" borderId="132" xfId="73" applyNumberFormat="1" applyFont="1" applyFill="1" applyBorder="1" applyAlignment="1" applyProtection="1">
      <alignment horizontal="right"/>
      <protection locked="0"/>
    </xf>
    <xf numFmtId="1" fontId="7" fillId="15" borderId="135" xfId="73" applyNumberFormat="1" applyFont="1" applyFill="1" applyBorder="1" applyAlignment="1" applyProtection="1">
      <alignment horizontal="right"/>
      <protection locked="0"/>
    </xf>
    <xf numFmtId="1" fontId="7" fillId="15" borderId="6" xfId="73" applyNumberFormat="1" applyFont="1" applyFill="1" applyBorder="1" applyAlignment="1" applyProtection="1">
      <alignment horizontal="right"/>
      <protection locked="0"/>
    </xf>
    <xf numFmtId="1" fontId="7" fillId="15" borderId="107" xfId="73" applyNumberFormat="1" applyFont="1" applyFill="1" applyBorder="1" applyAlignment="1" applyProtection="1">
      <alignment horizontal="right"/>
      <protection locked="0"/>
    </xf>
    <xf numFmtId="1" fontId="7" fillId="15" borderId="141" xfId="73" applyNumberFormat="1" applyFont="1" applyFill="1" applyBorder="1" applyAlignment="1" applyProtection="1">
      <alignment horizontal="right"/>
      <protection locked="0"/>
    </xf>
    <xf numFmtId="1" fontId="7" fillId="0" borderId="11" xfId="0" applyNumberFormat="1" applyFont="1" applyFill="1" applyBorder="1" applyAlignment="1" applyProtection="1">
      <alignment horizontal="center" wrapText="1"/>
    </xf>
    <xf numFmtId="1" fontId="7" fillId="0" borderId="7" xfId="113" applyNumberFormat="1" applyFont="1" applyFill="1" applyBorder="1" applyAlignment="1" applyProtection="1">
      <alignment horizontal="right" wrapText="1"/>
      <protection hidden="1"/>
    </xf>
    <xf numFmtId="1" fontId="7" fillId="0" borderId="8" xfId="46" applyNumberFormat="1" applyFont="1" applyFill="1" applyBorder="1" applyAlignment="1" applyProtection="1">
      <alignment horizontal="right"/>
    </xf>
    <xf numFmtId="1" fontId="7" fillId="0" borderId="5" xfId="46" applyNumberFormat="1" applyFont="1" applyFill="1" applyBorder="1" applyAlignment="1" applyProtection="1">
      <alignment horizontal="right"/>
    </xf>
    <xf numFmtId="1" fontId="7" fillId="15" borderId="23" xfId="73" applyNumberFormat="1" applyFont="1" applyFill="1" applyBorder="1" applyAlignment="1" applyProtection="1">
      <alignment horizontal="right"/>
      <protection locked="0"/>
    </xf>
    <xf numFmtId="1" fontId="7" fillId="15" borderId="110" xfId="73" applyNumberFormat="1" applyFont="1" applyFill="1" applyBorder="1" applyAlignment="1" applyProtection="1">
      <alignment horizontal="right"/>
      <protection locked="0"/>
    </xf>
    <xf numFmtId="1" fontId="7" fillId="15" borderId="134" xfId="73" applyNumberFormat="1" applyFont="1" applyFill="1" applyBorder="1" applyAlignment="1" applyProtection="1">
      <alignment horizontal="right"/>
      <protection locked="0"/>
    </xf>
    <xf numFmtId="1" fontId="7" fillId="0" borderId="84" xfId="126" applyNumberFormat="1" applyFont="1" applyFill="1" applyBorder="1" applyAlignment="1" applyProtection="1">
      <alignment horizontal="center" vertical="center" wrapText="1"/>
      <protection hidden="1"/>
    </xf>
    <xf numFmtId="1" fontId="7" fillId="15" borderId="83" xfId="73" applyNumberFormat="1" applyFont="1" applyFill="1" applyBorder="1" applyAlignment="1" applyProtection="1">
      <alignment horizontal="right"/>
      <protection locked="0"/>
    </xf>
    <xf numFmtId="1" fontId="7" fillId="15" borderId="37" xfId="73" applyNumberFormat="1" applyFont="1" applyFill="1" applyBorder="1" applyAlignment="1" applyProtection="1">
      <alignment horizontal="right"/>
      <protection locked="0"/>
    </xf>
    <xf numFmtId="1" fontId="7" fillId="15" borderId="151" xfId="73" applyNumberFormat="1" applyFont="1" applyFill="1" applyBorder="1" applyAlignment="1" applyProtection="1">
      <alignment horizontal="right"/>
      <protection locked="0"/>
    </xf>
    <xf numFmtId="1" fontId="7" fillId="25" borderId="36" xfId="73" applyNumberFormat="1" applyFont="1" applyFill="1" applyBorder="1" applyAlignment="1" applyProtection="1">
      <alignment horizontal="right"/>
    </xf>
    <xf numFmtId="1" fontId="7" fillId="25" borderId="72" xfId="73" applyNumberFormat="1" applyFont="1" applyFill="1" applyBorder="1" applyAlignment="1" applyProtection="1">
      <alignment horizontal="right"/>
    </xf>
    <xf numFmtId="1" fontId="7" fillId="25" borderId="37" xfId="73" applyNumberFormat="1" applyFont="1" applyFill="1" applyBorder="1" applyAlignment="1" applyProtection="1">
      <alignment horizontal="right"/>
    </xf>
    <xf numFmtId="1" fontId="32" fillId="17" borderId="0" xfId="0" applyNumberFormat="1" applyFont="1" applyFill="1" applyBorder="1" applyProtection="1"/>
    <xf numFmtId="1" fontId="30" fillId="22" borderId="0" xfId="125" applyNumberFormat="1" applyFont="1" applyFill="1" applyBorder="1" applyAlignment="1" applyProtection="1"/>
    <xf numFmtId="1" fontId="7" fillId="22" borderId="0" xfId="0" applyNumberFormat="1" applyFont="1" applyFill="1" applyProtection="1"/>
    <xf numFmtId="1" fontId="7" fillId="22" borderId="0" xfId="125" applyNumberFormat="1" applyFont="1" applyFill="1" applyBorder="1" applyAlignment="1" applyProtection="1">
      <alignment vertical="center" wrapText="1"/>
    </xf>
    <xf numFmtId="1" fontId="7" fillId="22" borderId="0" xfId="125" quotePrefix="1" applyNumberFormat="1" applyFont="1" applyFill="1" applyBorder="1" applyAlignment="1" applyProtection="1">
      <alignment vertical="center" wrapText="1"/>
    </xf>
    <xf numFmtId="1" fontId="7" fillId="22" borderId="0" xfId="125" applyNumberFormat="1" applyFont="1" applyFill="1" applyBorder="1" applyAlignment="1" applyProtection="1">
      <alignment horizontal="center" vertical="center" wrapText="1"/>
    </xf>
    <xf numFmtId="1" fontId="7" fillId="0" borderId="1" xfId="130" applyNumberFormat="1" applyFont="1" applyFill="1" applyBorder="1" applyAlignment="1" applyProtection="1">
      <alignment horizontal="center" vertical="center" wrapText="1"/>
    </xf>
    <xf numFmtId="1" fontId="7" fillId="23" borderId="0" xfId="130" applyNumberFormat="1" applyFont="1" applyFill="1" applyAlignment="1" applyProtection="1">
      <protection hidden="1"/>
    </xf>
    <xf numFmtId="1" fontId="7" fillId="15" borderId="47" xfId="73" applyNumberFormat="1" applyFont="1" applyFill="1" applyBorder="1" applyAlignment="1" applyProtection="1">
      <alignment horizontal="right"/>
      <protection locked="0"/>
    </xf>
    <xf numFmtId="1" fontId="7" fillId="0" borderId="151" xfId="125" applyNumberFormat="1" applyFont="1" applyFill="1" applyBorder="1" applyAlignment="1" applyProtection="1">
      <alignment horizontal="center" vertical="center" wrapText="1"/>
    </xf>
    <xf numFmtId="1" fontId="7" fillId="0" borderId="87" xfId="125" applyNumberFormat="1" applyFont="1" applyFill="1" applyBorder="1" applyAlignment="1" applyProtection="1">
      <alignment horizontal="center" vertical="center" wrapText="1"/>
    </xf>
    <xf numFmtId="1" fontId="11" fillId="0" borderId="67" xfId="130" applyNumberFormat="1" applyFont="1" applyFill="1" applyBorder="1" applyAlignment="1" applyProtection="1">
      <alignment horizontal="center" vertical="center" wrapText="1"/>
    </xf>
    <xf numFmtId="1" fontId="7" fillId="17" borderId="30" xfId="0" applyNumberFormat="1" applyFont="1" applyFill="1" applyBorder="1" applyAlignment="1" applyProtection="1">
      <alignment vertical="center" wrapText="1"/>
      <protection hidden="1"/>
    </xf>
    <xf numFmtId="1" fontId="7" fillId="17" borderId="35" xfId="0" applyNumberFormat="1" applyFont="1" applyFill="1" applyBorder="1" applyAlignment="1" applyProtection="1">
      <alignment vertical="center" wrapText="1"/>
      <protection hidden="1"/>
    </xf>
    <xf numFmtId="1" fontId="31" fillId="0" borderId="9" xfId="0" applyNumberFormat="1" applyFont="1" applyFill="1" applyBorder="1" applyAlignment="1" applyProtection="1">
      <alignment horizontal="left"/>
      <protection hidden="1"/>
    </xf>
    <xf numFmtId="1" fontId="31" fillId="0" borderId="0" xfId="0" quotePrefix="1" applyNumberFormat="1" applyFont="1" applyFill="1" applyBorder="1" applyAlignment="1" applyProtection="1">
      <alignment horizontal="left"/>
      <protection hidden="1"/>
    </xf>
    <xf numFmtId="1" fontId="31" fillId="0" borderId="35" xfId="0" applyNumberFormat="1" applyFont="1" applyFill="1" applyBorder="1" applyAlignment="1" applyProtection="1">
      <alignment horizontal="left" wrapText="1"/>
      <protection hidden="1"/>
    </xf>
    <xf numFmtId="1" fontId="31" fillId="0" borderId="69" xfId="0" applyNumberFormat="1" applyFont="1" applyFill="1" applyBorder="1" applyAlignment="1" applyProtection="1">
      <alignment horizontal="left" wrapText="1"/>
      <protection hidden="1"/>
    </xf>
    <xf numFmtId="1" fontId="31" fillId="0" borderId="30" xfId="0" applyNumberFormat="1" applyFont="1" applyFill="1" applyBorder="1" applyAlignment="1" applyProtection="1">
      <alignment horizontal="left" wrapText="1"/>
      <protection hidden="1"/>
    </xf>
    <xf numFmtId="1" fontId="31" fillId="0" borderId="11" xfId="0" applyNumberFormat="1" applyFont="1" applyFill="1" applyBorder="1" applyAlignment="1" applyProtection="1">
      <alignment horizontal="left" wrapText="1"/>
      <protection hidden="1"/>
    </xf>
    <xf numFmtId="1" fontId="31" fillId="0" borderId="95" xfId="0" applyNumberFormat="1" applyFont="1" applyFill="1" applyBorder="1" applyAlignment="1" applyProtection="1">
      <alignment horizontal="left" wrapText="1"/>
      <protection hidden="1"/>
    </xf>
    <xf numFmtId="1" fontId="31" fillId="17" borderId="29" xfId="0" applyNumberFormat="1" applyFont="1" applyFill="1" applyBorder="1" applyAlignment="1" applyProtection="1">
      <alignment vertical="center" wrapText="1"/>
      <protection hidden="1"/>
    </xf>
    <xf numFmtId="1" fontId="31" fillId="0" borderId="7" xfId="0" applyNumberFormat="1" applyFont="1" applyBorder="1" applyAlignment="1" applyProtection="1">
      <alignment horizontal="center" vertical="center" wrapText="1"/>
    </xf>
    <xf numFmtId="1" fontId="31" fillId="0" borderId="8" xfId="0" quotePrefix="1" applyNumberFormat="1" applyFont="1" applyFill="1" applyBorder="1" applyAlignment="1" applyProtection="1">
      <alignment horizontal="center" vertical="center"/>
    </xf>
    <xf numFmtId="1" fontId="31" fillId="0" borderId="8" xfId="0" applyNumberFormat="1" applyFont="1" applyFill="1" applyBorder="1" applyAlignment="1" applyProtection="1">
      <alignment horizontal="center" vertical="center"/>
    </xf>
    <xf numFmtId="1" fontId="31" fillId="0" borderId="76" xfId="0" applyNumberFormat="1" applyFont="1" applyFill="1" applyBorder="1" applyAlignment="1" applyProtection="1">
      <alignment horizontal="left"/>
      <protection hidden="1"/>
    </xf>
    <xf numFmtId="1" fontId="31" fillId="0" borderId="128" xfId="0" quotePrefix="1" applyNumberFormat="1" applyFont="1" applyFill="1" applyBorder="1" applyAlignment="1" applyProtection="1">
      <alignment horizontal="left"/>
      <protection hidden="1"/>
    </xf>
    <xf numFmtId="1" fontId="35" fillId="0" borderId="0" xfId="131" applyNumberFormat="1" applyFont="1" applyFill="1" applyAlignment="1" applyProtection="1">
      <alignment horizontal="left"/>
    </xf>
    <xf numFmtId="1" fontId="35" fillId="0" borderId="0" xfId="0" applyNumberFormat="1" applyFont="1" applyBorder="1" applyProtection="1"/>
    <xf numFmtId="1" fontId="35" fillId="0" borderId="0" xfId="0" applyNumberFormat="1" applyFont="1" applyFill="1" applyBorder="1" applyProtection="1"/>
    <xf numFmtId="1" fontId="35" fillId="0" borderId="0" xfId="0" applyNumberFormat="1" applyFont="1" applyBorder="1" applyAlignment="1" applyProtection="1">
      <alignment horizontal="center"/>
    </xf>
    <xf numFmtId="1" fontId="31" fillId="0" borderId="0" xfId="0" applyNumberFormat="1" applyFont="1" applyProtection="1">
      <protection hidden="1"/>
    </xf>
    <xf numFmtId="1" fontId="31" fillId="0" borderId="0" xfId="0" applyNumberFormat="1" applyFont="1" applyProtection="1"/>
    <xf numFmtId="1" fontId="31" fillId="17" borderId="0" xfId="0" applyNumberFormat="1" applyFont="1" applyFill="1" applyProtection="1">
      <protection hidden="1"/>
    </xf>
    <xf numFmtId="1" fontId="31" fillId="17" borderId="0" xfId="0" applyNumberFormat="1" applyFont="1" applyFill="1" applyProtection="1"/>
    <xf numFmtId="1" fontId="7" fillId="0" borderId="84" xfId="0" applyNumberFormat="1" applyFont="1" applyFill="1" applyBorder="1" applyAlignment="1" applyProtection="1">
      <alignment horizontal="center" vertical="center" wrapText="1"/>
    </xf>
    <xf numFmtId="1" fontId="31" fillId="17" borderId="11" xfId="126" applyNumberFormat="1" applyFont="1" applyFill="1" applyBorder="1" applyAlignment="1" applyProtection="1">
      <alignment horizontal="left" vertical="center" wrapText="1"/>
      <protection hidden="1"/>
    </xf>
    <xf numFmtId="1" fontId="11" fillId="21" borderId="0" xfId="0" applyNumberFormat="1" applyFont="1" applyFill="1" applyBorder="1" applyProtection="1"/>
    <xf numFmtId="1" fontId="11" fillId="22" borderId="0" xfId="0" applyNumberFormat="1" applyFont="1" applyFill="1" applyBorder="1" applyProtection="1"/>
    <xf numFmtId="1" fontId="7" fillId="22" borderId="0" xfId="0" applyNumberFormat="1" applyFont="1" applyFill="1" applyBorder="1" applyAlignment="1" applyProtection="1">
      <alignment horizontal="center" vertical="center"/>
    </xf>
    <xf numFmtId="1" fontId="7" fillId="22" borderId="0" xfId="0" applyNumberFormat="1" applyFont="1" applyFill="1" applyProtection="1">
      <protection hidden="1"/>
    </xf>
    <xf numFmtId="1" fontId="7" fillId="21" borderId="0" xfId="126" applyNumberFormat="1" applyFont="1" applyFill="1" applyBorder="1" applyAlignment="1" applyProtection="1"/>
    <xf numFmtId="1" fontId="7" fillId="21" borderId="0" xfId="126" quotePrefix="1" applyNumberFormat="1" applyFont="1" applyFill="1" applyBorder="1" applyAlignment="1" applyProtection="1">
      <alignment horizontal="center" vertical="center"/>
      <protection hidden="1"/>
    </xf>
    <xf numFmtId="1" fontId="7" fillId="21" borderId="0" xfId="126" quotePrefix="1" applyNumberFormat="1" applyFont="1" applyFill="1" applyBorder="1" applyAlignment="1" applyProtection="1">
      <alignment horizontal="center" vertical="center"/>
    </xf>
    <xf numFmtId="1" fontId="7" fillId="21" borderId="0" xfId="126" applyNumberFormat="1" applyFont="1" applyFill="1" applyBorder="1" applyAlignment="1" applyProtection="1">
      <alignment horizontal="center" vertical="center"/>
      <protection hidden="1"/>
    </xf>
    <xf numFmtId="1" fontId="7" fillId="21" borderId="0" xfId="0" applyNumberFormat="1" applyFont="1" applyFill="1" applyAlignment="1" applyProtection="1">
      <protection hidden="1"/>
    </xf>
    <xf numFmtId="1" fontId="7" fillId="21" borderId="0" xfId="130" applyNumberFormat="1" applyFont="1" applyFill="1" applyBorder="1" applyAlignment="1" applyProtection="1">
      <protection hidden="1"/>
    </xf>
    <xf numFmtId="1" fontId="7" fillId="21" borderId="0" xfId="130" applyNumberFormat="1" applyFont="1" applyFill="1" applyAlignment="1" applyProtection="1">
      <protection hidden="1"/>
    </xf>
    <xf numFmtId="1" fontId="7" fillId="21" borderId="0" xfId="130" applyNumberFormat="1" applyFont="1" applyFill="1" applyAlignment="1" applyProtection="1">
      <alignment horizontal="center" vertical="center"/>
      <protection hidden="1"/>
    </xf>
    <xf numFmtId="1" fontId="7" fillId="21" borderId="0" xfId="0" applyNumberFormat="1" applyFont="1" applyFill="1" applyBorder="1" applyAlignment="1" applyProtection="1">
      <alignment horizontal="center" vertical="center" wrapText="1"/>
      <protection hidden="1"/>
    </xf>
    <xf numFmtId="1" fontId="7" fillId="21" borderId="0" xfId="130" applyNumberFormat="1" applyFont="1" applyFill="1" applyAlignment="1" applyProtection="1"/>
    <xf numFmtId="1" fontId="35" fillId="21" borderId="0" xfId="0" applyNumberFormat="1" applyFont="1" applyFill="1" applyBorder="1" applyProtection="1"/>
    <xf numFmtId="1" fontId="31" fillId="21" borderId="0" xfId="0" applyNumberFormat="1" applyFont="1" applyFill="1" applyProtection="1"/>
    <xf numFmtId="1" fontId="31" fillId="21" borderId="0" xfId="0" applyNumberFormat="1" applyFont="1" applyFill="1" applyProtection="1">
      <protection hidden="1"/>
    </xf>
    <xf numFmtId="1" fontId="7" fillId="21" borderId="0" xfId="0" applyNumberFormat="1" applyFont="1" applyFill="1" applyBorder="1" applyAlignment="1" applyProtection="1">
      <alignment horizontal="center" vertical="center" wrapText="1"/>
    </xf>
    <xf numFmtId="1" fontId="7" fillId="21" borderId="0" xfId="109" applyNumberFormat="1" applyFont="1" applyFill="1" applyBorder="1" applyAlignment="1" applyProtection="1">
      <alignment horizontal="center" vertical="center" wrapText="1"/>
    </xf>
    <xf numFmtId="1" fontId="6" fillId="0" borderId="0" xfId="0" applyNumberFormat="1" applyFont="1" applyFill="1" applyAlignment="1" applyProtection="1">
      <protection hidden="1"/>
    </xf>
    <xf numFmtId="1" fontId="30" fillId="17" borderId="0" xfId="0" applyNumberFormat="1" applyFont="1" applyFill="1" applyProtection="1"/>
    <xf numFmtId="1" fontId="7" fillId="0" borderId="0" xfId="0" applyNumberFormat="1" applyFont="1" applyFill="1" applyBorder="1" applyAlignment="1" applyProtection="1">
      <alignment vertical="center" wrapText="1"/>
    </xf>
    <xf numFmtId="1" fontId="7" fillId="22" borderId="0" xfId="0" applyNumberFormat="1" applyFont="1" applyFill="1" applyBorder="1" applyProtection="1"/>
    <xf numFmtId="1" fontId="11" fillId="21" borderId="0" xfId="0" applyNumberFormat="1" applyFont="1" applyFill="1" applyProtection="1"/>
    <xf numFmtId="1" fontId="7" fillId="22" borderId="0" xfId="130" applyNumberFormat="1" applyFont="1" applyFill="1" applyAlignment="1" applyProtection="1">
      <protection hidden="1"/>
    </xf>
    <xf numFmtId="1" fontId="7" fillId="29" borderId="0" xfId="130" applyNumberFormat="1" applyFont="1" applyFill="1" applyAlignment="1" applyProtection="1">
      <alignment horizontal="center" vertical="center"/>
      <protection hidden="1"/>
    </xf>
    <xf numFmtId="1" fontId="7" fillId="29" borderId="0" xfId="130" applyNumberFormat="1" applyFont="1" applyFill="1" applyAlignment="1" applyProtection="1">
      <protection hidden="1"/>
    </xf>
    <xf numFmtId="1" fontId="7" fillId="29" borderId="0" xfId="0" applyNumberFormat="1" applyFont="1" applyFill="1" applyBorder="1" applyAlignment="1" applyProtection="1">
      <alignment horizontal="center" vertical="center" wrapText="1"/>
      <protection hidden="1"/>
    </xf>
    <xf numFmtId="1" fontId="7" fillId="29" borderId="0" xfId="130" applyNumberFormat="1" applyFont="1" applyFill="1" applyBorder="1" applyAlignment="1" applyProtection="1">
      <protection hidden="1"/>
    </xf>
    <xf numFmtId="1" fontId="7" fillId="29" borderId="0" xfId="0" applyNumberFormat="1" applyFont="1" applyFill="1" applyAlignment="1" applyProtection="1">
      <protection hidden="1"/>
    </xf>
    <xf numFmtId="1" fontId="35" fillId="29" borderId="0" xfId="0" applyNumberFormat="1" applyFont="1" applyFill="1" applyBorder="1" applyProtection="1"/>
    <xf numFmtId="1" fontId="31" fillId="29" borderId="0" xfId="0" applyNumberFormat="1" applyFont="1" applyFill="1" applyProtection="1">
      <protection hidden="1"/>
    </xf>
    <xf numFmtId="1" fontId="11" fillId="22" borderId="0" xfId="130" applyNumberFormat="1" applyFont="1" applyFill="1" applyAlignment="1" applyProtection="1">
      <alignment horizontal="center"/>
      <protection hidden="1"/>
    </xf>
    <xf numFmtId="1" fontId="7" fillId="22" borderId="0" xfId="130" applyNumberFormat="1" applyFont="1" applyFill="1" applyAlignment="1" applyProtection="1">
      <alignment horizontal="center" vertical="center"/>
      <protection hidden="1"/>
    </xf>
    <xf numFmtId="1" fontId="7" fillId="22" borderId="0" xfId="0" applyNumberFormat="1" applyFont="1" applyFill="1" applyBorder="1" applyAlignment="1" applyProtection="1">
      <alignment horizontal="center" vertical="center" wrapText="1"/>
      <protection hidden="1"/>
    </xf>
    <xf numFmtId="1" fontId="7" fillId="22" borderId="0" xfId="130" applyNumberFormat="1" applyFont="1" applyFill="1" applyBorder="1" applyAlignment="1" applyProtection="1">
      <protection hidden="1"/>
    </xf>
    <xf numFmtId="1" fontId="7" fillId="21" borderId="0" xfId="109" applyNumberFormat="1" applyFont="1" applyFill="1" applyBorder="1" applyAlignment="1" applyProtection="1">
      <alignment vertical="center" wrapText="1"/>
    </xf>
    <xf numFmtId="1" fontId="7" fillId="22" borderId="0" xfId="109" applyNumberFormat="1" applyFont="1" applyFill="1" applyBorder="1" applyAlignment="1" applyProtection="1">
      <alignment vertical="center" wrapText="1"/>
    </xf>
    <xf numFmtId="1" fontId="7" fillId="0" borderId="67" xfId="0" applyNumberFormat="1" applyFont="1" applyFill="1" applyBorder="1" applyAlignment="1" applyProtection="1">
      <alignment horizontal="center" vertical="center"/>
    </xf>
    <xf numFmtId="1" fontId="7" fillId="0" borderId="79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0" applyNumberFormat="1" applyFont="1" applyBorder="1" applyAlignment="1" applyProtection="1">
      <alignment horizontal="center" vertical="center" wrapText="1"/>
      <protection hidden="1"/>
    </xf>
    <xf numFmtId="1" fontId="7" fillId="0" borderId="103" xfId="125" applyNumberFormat="1" applyFont="1" applyFill="1" applyBorder="1" applyAlignment="1" applyProtection="1">
      <alignment horizontal="center" vertical="center" wrapText="1"/>
    </xf>
    <xf numFmtId="1" fontId="7" fillId="0" borderId="102" xfId="125" applyNumberFormat="1" applyFont="1" applyFill="1" applyBorder="1" applyAlignment="1" applyProtection="1">
      <alignment horizontal="center" vertical="center" wrapText="1"/>
    </xf>
    <xf numFmtId="1" fontId="7" fillId="0" borderId="85" xfId="125" applyNumberFormat="1" applyFont="1" applyFill="1" applyBorder="1" applyAlignment="1" applyProtection="1">
      <alignment horizontal="center" vertical="center" wrapText="1"/>
    </xf>
    <xf numFmtId="1" fontId="7" fillId="0" borderId="67" xfId="125" applyNumberFormat="1" applyFont="1" applyFill="1" applyBorder="1" applyAlignment="1" applyProtection="1">
      <alignment horizontal="center" vertical="center" wrapText="1"/>
    </xf>
    <xf numFmtId="1" fontId="7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7" fillId="17" borderId="11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67" xfId="126" applyNumberFormat="1" applyFont="1" applyFill="1" applyBorder="1" applyAlignment="1" applyProtection="1">
      <alignment horizontal="center" vertical="center"/>
      <protection hidden="1"/>
    </xf>
    <xf numFmtId="1" fontId="7" fillId="0" borderId="1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7" xfId="127" applyNumberFormat="1" applyFont="1" applyFill="1" applyBorder="1" applyAlignment="1" applyProtection="1">
      <alignment horizontal="center" vertical="center"/>
      <protection hidden="1"/>
    </xf>
    <xf numFmtId="1" fontId="7" fillId="0" borderId="1" xfId="0" applyNumberFormat="1" applyFont="1" applyFill="1" applyBorder="1" applyAlignment="1" applyProtection="1">
      <alignment horizontal="center" vertical="center"/>
    </xf>
    <xf numFmtId="1" fontId="7" fillId="0" borderId="78" xfId="129" applyNumberFormat="1" applyFont="1" applyFill="1" applyBorder="1" applyAlignment="1" applyProtection="1">
      <alignment vertical="center" wrapText="1"/>
      <protection hidden="1"/>
    </xf>
    <xf numFmtId="1" fontId="7" fillId="0" borderId="35" xfId="129" applyNumberFormat="1" applyFont="1" applyFill="1" applyBorder="1" applyAlignment="1" applyProtection="1">
      <alignment vertical="center" wrapText="1"/>
      <protection hidden="1"/>
    </xf>
    <xf numFmtId="1" fontId="7" fillId="0" borderId="0" xfId="0" applyNumberFormat="1" applyFont="1" applyFill="1" applyBorder="1" applyAlignment="1" applyProtection="1">
      <alignment horizontal="center" vertical="center" wrapText="1"/>
    </xf>
    <xf numFmtId="1" fontId="7" fillId="0" borderId="96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5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7" xfId="126" applyNumberFormat="1" applyFont="1" applyFill="1" applyBorder="1" applyAlignment="1" applyProtection="1">
      <alignment horizontal="center" vertical="center" wrapText="1"/>
      <protection hidden="1"/>
    </xf>
    <xf numFmtId="1" fontId="7" fillId="22" borderId="0" xfId="109" applyNumberFormat="1" applyFont="1" applyFill="1" applyBorder="1" applyAlignment="1" applyProtection="1">
      <alignment horizontal="center" vertical="center" wrapText="1"/>
    </xf>
    <xf numFmtId="1" fontId="11" fillId="0" borderId="1" xfId="130" applyNumberFormat="1" applyFont="1" applyFill="1" applyBorder="1" applyAlignment="1" applyProtection="1">
      <alignment horizontal="center" vertical="center" wrapText="1"/>
    </xf>
    <xf numFmtId="1" fontId="7" fillId="22" borderId="69" xfId="125" applyNumberFormat="1" applyFont="1" applyFill="1" applyBorder="1" applyAlignment="1" applyProtection="1">
      <alignment horizontal="right"/>
    </xf>
    <xf numFmtId="1" fontId="31" fillId="22" borderId="11" xfId="0" applyNumberFormat="1" applyFont="1" applyFill="1" applyBorder="1" applyAlignment="1" applyProtection="1">
      <alignment horizontal="right"/>
    </xf>
    <xf numFmtId="1" fontId="7" fillId="22" borderId="30" xfId="125" applyNumberFormat="1" applyFont="1" applyFill="1" applyBorder="1" applyAlignment="1" applyProtection="1">
      <alignment horizontal="right"/>
    </xf>
    <xf numFmtId="1" fontId="7" fillId="22" borderId="79" xfId="125" applyNumberFormat="1" applyFont="1" applyFill="1" applyBorder="1" applyAlignment="1" applyProtection="1">
      <alignment horizontal="right"/>
    </xf>
    <xf numFmtId="1" fontId="31" fillId="22" borderId="39" xfId="0" applyNumberFormat="1" applyFont="1" applyFill="1" applyBorder="1" applyAlignment="1" applyProtection="1">
      <alignment horizontal="right"/>
    </xf>
    <xf numFmtId="1" fontId="31" fillId="22" borderId="127" xfId="0" applyNumberFormat="1" applyFont="1" applyFill="1" applyBorder="1" applyAlignment="1" applyProtection="1">
      <alignment horizontal="right"/>
    </xf>
    <xf numFmtId="1" fontId="30" fillId="0" borderId="0" xfId="0" applyNumberFormat="1" applyFont="1" applyProtection="1"/>
    <xf numFmtId="1" fontId="33" fillId="0" borderId="0" xfId="0" applyNumberFormat="1" applyFont="1" applyProtection="1"/>
    <xf numFmtId="1" fontId="10" fillId="0" borderId="0" xfId="0" applyNumberFormat="1" applyFont="1" applyAlignment="1" applyProtection="1"/>
    <xf numFmtId="1" fontId="11" fillId="0" borderId="0" xfId="0" applyNumberFormat="1" applyFont="1" applyProtection="1"/>
    <xf numFmtId="1" fontId="10" fillId="0" borderId="9" xfId="0" applyNumberFormat="1" applyFont="1" applyBorder="1" applyAlignment="1" applyProtection="1"/>
    <xf numFmtId="1" fontId="30" fillId="0" borderId="0" xfId="0" applyNumberFormat="1" applyFont="1" applyFill="1" applyProtection="1"/>
    <xf numFmtId="1" fontId="7" fillId="0" borderId="0" xfId="0" applyNumberFormat="1" applyFont="1" applyFill="1" applyBorder="1" applyAlignment="1" applyProtection="1">
      <alignment horizontal="right"/>
    </xf>
    <xf numFmtId="1" fontId="7" fillId="27" borderId="1" xfId="0" applyNumberFormat="1" applyFont="1" applyFill="1" applyBorder="1" applyProtection="1"/>
    <xf numFmtId="1" fontId="7" fillId="27" borderId="0" xfId="0" applyNumberFormat="1" applyFont="1" applyFill="1" applyProtection="1"/>
    <xf numFmtId="1" fontId="30" fillId="21" borderId="0" xfId="0" applyNumberFormat="1" applyFont="1" applyFill="1" applyProtection="1"/>
    <xf numFmtId="1" fontId="30" fillId="17" borderId="0" xfId="0" applyNumberFormat="1" applyFont="1" applyFill="1" applyBorder="1" applyProtection="1"/>
    <xf numFmtId="1" fontId="7" fillId="0" borderId="84" xfId="0" applyNumberFormat="1" applyFont="1" applyFill="1" applyBorder="1" applyAlignment="1" applyProtection="1">
      <alignment horizontal="center" vertical="center"/>
    </xf>
    <xf numFmtId="1" fontId="30" fillId="22" borderId="0" xfId="0" applyNumberFormat="1" applyFont="1" applyFill="1" applyBorder="1" applyProtection="1"/>
    <xf numFmtId="1" fontId="7" fillId="29" borderId="0" xfId="0" applyNumberFormat="1" applyFont="1" applyFill="1" applyProtection="1"/>
    <xf numFmtId="1" fontId="11" fillId="17" borderId="0" xfId="0" applyNumberFormat="1" applyFont="1" applyFill="1" applyBorder="1" applyAlignment="1" applyProtection="1"/>
    <xf numFmtId="1" fontId="7" fillId="17" borderId="0" xfId="125" applyNumberFormat="1" applyFont="1" applyFill="1" applyBorder="1" applyAlignment="1" applyProtection="1">
      <alignment horizontal="right"/>
    </xf>
    <xf numFmtId="1" fontId="7" fillId="21" borderId="1" xfId="0" applyNumberFormat="1" applyFont="1" applyFill="1" applyBorder="1" applyProtection="1"/>
    <xf numFmtId="1" fontId="7" fillId="21" borderId="0" xfId="0" applyNumberFormat="1" applyFont="1" applyFill="1" applyProtection="1"/>
    <xf numFmtId="1" fontId="11" fillId="0" borderId="0" xfId="0" applyNumberFormat="1" applyFont="1" applyAlignment="1" applyProtection="1">
      <alignment vertical="center"/>
    </xf>
    <xf numFmtId="1" fontId="7" fillId="0" borderId="7" xfId="0" applyNumberFormat="1" applyFont="1" applyFill="1" applyBorder="1" applyAlignment="1" applyProtection="1">
      <alignment horizontal="center" vertical="center"/>
    </xf>
    <xf numFmtId="1" fontId="7" fillId="0" borderId="5" xfId="0" applyNumberFormat="1" applyFont="1" applyFill="1" applyBorder="1" applyAlignment="1" applyProtection="1">
      <alignment horizontal="center" vertical="center"/>
    </xf>
    <xf numFmtId="1" fontId="7" fillId="21" borderId="0" xfId="0" applyNumberFormat="1" applyFont="1" applyFill="1" applyBorder="1" applyProtection="1"/>
    <xf numFmtId="1" fontId="7" fillId="29" borderId="0" xfId="0" applyNumberFormat="1" applyFont="1" applyFill="1" applyBorder="1" applyProtection="1"/>
    <xf numFmtId="1" fontId="7" fillId="28" borderId="0" xfId="0" applyNumberFormat="1" applyFont="1" applyFill="1" applyBorder="1" applyProtection="1"/>
    <xf numFmtId="1" fontId="11" fillId="0" borderId="0" xfId="0" applyNumberFormat="1" applyFont="1" applyFill="1" applyProtection="1"/>
    <xf numFmtId="1" fontId="7" fillId="22" borderId="0" xfId="0" applyNumberFormat="1" applyFont="1" applyFill="1" applyBorder="1" applyAlignment="1" applyProtection="1"/>
    <xf numFmtId="1" fontId="31" fillId="22" borderId="84" xfId="0" applyNumberFormat="1" applyFont="1" applyFill="1" applyBorder="1" applyAlignment="1" applyProtection="1">
      <alignment horizontal="center" vertical="center" wrapText="1"/>
    </xf>
    <xf numFmtId="1" fontId="31" fillId="22" borderId="8" xfId="0" applyNumberFormat="1" applyFont="1" applyFill="1" applyBorder="1" applyAlignment="1" applyProtection="1">
      <alignment horizontal="center" vertical="center" wrapText="1"/>
    </xf>
    <xf numFmtId="1" fontId="31" fillId="22" borderId="5" xfId="0" applyNumberFormat="1" applyFont="1" applyFill="1" applyBorder="1" applyAlignment="1" applyProtection="1">
      <alignment horizontal="center" vertical="center" wrapText="1"/>
    </xf>
    <xf numFmtId="1" fontId="7" fillId="28" borderId="0" xfId="0" applyNumberFormat="1" applyFont="1" applyFill="1" applyProtection="1"/>
    <xf numFmtId="1" fontId="7" fillId="0" borderId="9" xfId="0" applyNumberFormat="1" applyFont="1" applyFill="1" applyBorder="1" applyAlignment="1" applyProtection="1">
      <alignment vertical="center" wrapText="1"/>
    </xf>
    <xf numFmtId="1" fontId="7" fillId="21" borderId="0" xfId="0" applyNumberFormat="1" applyFont="1" applyFill="1" applyBorder="1" applyAlignment="1" applyProtection="1">
      <alignment vertical="center" wrapText="1"/>
    </xf>
    <xf numFmtId="1" fontId="7" fillId="27" borderId="0" xfId="0" applyNumberFormat="1" applyFont="1" applyFill="1" applyBorder="1" applyProtection="1"/>
    <xf numFmtId="1" fontId="31" fillId="27" borderId="0" xfId="0" applyNumberFormat="1" applyFont="1" applyFill="1" applyProtection="1"/>
    <xf numFmtId="1" fontId="30" fillId="27" borderId="0" xfId="0" applyNumberFormat="1" applyFont="1" applyFill="1" applyProtection="1"/>
    <xf numFmtId="1" fontId="7" fillId="0" borderId="1" xfId="0" applyNumberFormat="1" applyFont="1" applyBorder="1" applyAlignment="1" applyProtection="1">
      <alignment horizontal="center" vertical="center" wrapText="1"/>
    </xf>
    <xf numFmtId="1" fontId="7" fillId="0" borderId="81" xfId="0" applyNumberFormat="1" applyFont="1" applyFill="1" applyBorder="1" applyAlignment="1" applyProtection="1">
      <alignment horizontal="center" vertical="center"/>
    </xf>
    <xf numFmtId="1" fontId="7" fillId="0" borderId="30" xfId="0" applyNumberFormat="1" applyFont="1" applyBorder="1" applyAlignment="1" applyProtection="1">
      <alignment vertical="center" wrapText="1"/>
    </xf>
    <xf numFmtId="1" fontId="7" fillId="0" borderId="35" xfId="0" applyNumberFormat="1" applyFont="1" applyBorder="1" applyAlignment="1" applyProtection="1">
      <alignment vertical="center" wrapText="1"/>
    </xf>
    <xf numFmtId="1" fontId="7" fillId="22" borderId="0" xfId="46" applyNumberFormat="1" applyFont="1" applyFill="1" applyBorder="1" applyAlignment="1" applyProtection="1">
      <alignment horizontal="left"/>
    </xf>
    <xf numFmtId="1" fontId="7" fillId="0" borderId="46" xfId="0" applyNumberFormat="1" applyFont="1" applyFill="1" applyBorder="1" applyAlignment="1" applyProtection="1">
      <alignment horizontal="center" vertical="center"/>
    </xf>
    <xf numFmtId="1" fontId="7" fillId="0" borderId="105" xfId="0" applyNumberFormat="1" applyFont="1" applyFill="1" applyBorder="1" applyAlignment="1" applyProtection="1">
      <alignment horizontal="center" vertical="center"/>
    </xf>
    <xf numFmtId="1" fontId="7" fillId="0" borderId="102" xfId="0" applyNumberFormat="1" applyFont="1" applyFill="1" applyBorder="1" applyAlignment="1" applyProtection="1">
      <alignment horizontal="center" vertical="center"/>
    </xf>
    <xf numFmtId="1" fontId="11" fillId="0" borderId="0" xfId="0" applyNumberFormat="1" applyFont="1" applyFill="1" applyBorder="1" applyAlignment="1" applyProtection="1">
      <alignment horizontal="left" vertical="center"/>
    </xf>
    <xf numFmtId="1" fontId="7" fillId="0" borderId="30" xfId="0" applyNumberFormat="1" applyFont="1" applyFill="1" applyBorder="1" applyAlignment="1" applyProtection="1">
      <alignment vertical="center" wrapText="1"/>
    </xf>
    <xf numFmtId="1" fontId="7" fillId="0" borderId="35" xfId="0" applyNumberFormat="1" applyFont="1" applyFill="1" applyBorder="1" applyAlignment="1" applyProtection="1">
      <alignment vertical="center" wrapText="1"/>
    </xf>
    <xf numFmtId="1" fontId="7" fillId="0" borderId="39" xfId="0" applyNumberFormat="1" applyFont="1" applyFill="1" applyBorder="1" applyAlignment="1" applyProtection="1">
      <alignment vertical="center" wrapText="1"/>
    </xf>
    <xf numFmtId="1" fontId="7" fillId="0" borderId="11" xfId="0" applyNumberFormat="1" applyFont="1" applyFill="1" applyBorder="1" applyAlignment="1" applyProtection="1">
      <alignment vertical="center" wrapText="1"/>
    </xf>
    <xf numFmtId="1" fontId="7" fillId="22" borderId="0" xfId="0" applyNumberFormat="1" applyFont="1" applyFill="1" applyBorder="1" applyAlignment="1" applyProtection="1">
      <alignment vertical="center" wrapText="1"/>
    </xf>
    <xf numFmtId="1" fontId="11" fillId="0" borderId="0" xfId="0" applyNumberFormat="1" applyFont="1" applyAlignment="1" applyProtection="1"/>
    <xf numFmtId="0" fontId="31" fillId="0" borderId="1" xfId="0" applyFont="1" applyBorder="1" applyAlignment="1" applyProtection="1">
      <alignment horizontal="center" vertical="center"/>
    </xf>
    <xf numFmtId="0" fontId="31" fillId="0" borderId="7" xfId="0" applyFont="1" applyBorder="1" applyAlignment="1" applyProtection="1">
      <alignment horizontal="center" vertical="center"/>
    </xf>
    <xf numFmtId="0" fontId="31" fillId="0" borderId="8" xfId="0" applyFont="1" applyBorder="1" applyAlignment="1" applyProtection="1">
      <alignment horizontal="center" vertical="center"/>
    </xf>
    <xf numFmtId="0" fontId="31" fillId="0" borderId="81" xfId="0" applyFont="1" applyBorder="1" applyAlignment="1" applyProtection="1">
      <alignment horizontal="center" vertical="center"/>
    </xf>
    <xf numFmtId="0" fontId="31" fillId="0" borderId="67" xfId="0" applyFont="1" applyBorder="1" applyAlignment="1" applyProtection="1">
      <alignment horizontal="center" vertical="center"/>
    </xf>
    <xf numFmtId="1" fontId="7" fillId="13" borderId="1" xfId="0" applyNumberFormat="1" applyFont="1" applyFill="1" applyBorder="1" applyProtection="1"/>
    <xf numFmtId="1" fontId="31" fillId="22" borderId="148" xfId="0" applyNumberFormat="1" applyFont="1" applyFill="1" applyBorder="1" applyAlignment="1" applyProtection="1">
      <alignment horizontal="right"/>
    </xf>
    <xf numFmtId="1" fontId="31" fillId="22" borderId="34" xfId="0" applyNumberFormat="1" applyFont="1" applyFill="1" applyBorder="1" applyAlignment="1" applyProtection="1">
      <alignment horizontal="right"/>
    </xf>
    <xf numFmtId="1" fontId="31" fillId="22" borderId="104" xfId="0" applyNumberFormat="1" applyFont="1" applyFill="1" applyBorder="1" applyAlignment="1" applyProtection="1">
      <alignment horizontal="right"/>
    </xf>
    <xf numFmtId="1" fontId="31" fillId="22" borderId="62" xfId="0" applyNumberFormat="1" applyFont="1" applyFill="1" applyBorder="1" applyAlignment="1" applyProtection="1">
      <alignment horizontal="right"/>
    </xf>
    <xf numFmtId="1" fontId="31" fillId="22" borderId="44" xfId="0" applyNumberFormat="1" applyFont="1" applyFill="1" applyBorder="1" applyAlignment="1" applyProtection="1">
      <alignment horizontal="right"/>
    </xf>
    <xf numFmtId="1" fontId="31" fillId="22" borderId="150" xfId="0" applyNumberFormat="1" applyFont="1" applyFill="1" applyBorder="1" applyAlignment="1" applyProtection="1">
      <alignment horizontal="right"/>
    </xf>
    <xf numFmtId="1" fontId="31" fillId="22" borderId="29" xfId="0" applyNumberFormat="1" applyFont="1" applyFill="1" applyBorder="1" applyAlignment="1" applyProtection="1">
      <alignment horizontal="right"/>
    </xf>
    <xf numFmtId="1" fontId="31" fillId="22" borderId="56" xfId="0" applyNumberFormat="1" applyFont="1" applyFill="1" applyBorder="1" applyAlignment="1" applyProtection="1">
      <alignment horizontal="right"/>
    </xf>
    <xf numFmtId="1" fontId="31" fillId="22" borderId="27" xfId="0" applyNumberFormat="1" applyFont="1" applyFill="1" applyBorder="1" applyAlignment="1" applyProtection="1">
      <alignment horizontal="right"/>
    </xf>
    <xf numFmtId="1" fontId="31" fillId="22" borderId="59" xfId="0" applyNumberFormat="1" applyFont="1" applyFill="1" applyBorder="1" applyAlignment="1" applyProtection="1">
      <alignment horizontal="right"/>
    </xf>
    <xf numFmtId="1" fontId="31" fillId="22" borderId="160" xfId="0" applyNumberFormat="1" applyFont="1" applyFill="1" applyBorder="1" applyAlignment="1" applyProtection="1">
      <alignment horizontal="right"/>
    </xf>
    <xf numFmtId="1" fontId="31" fillId="22" borderId="49" xfId="0" applyNumberFormat="1" applyFont="1" applyFill="1" applyBorder="1" applyAlignment="1" applyProtection="1">
      <alignment horizontal="right"/>
    </xf>
    <xf numFmtId="1" fontId="7" fillId="22" borderId="1" xfId="0" applyNumberFormat="1" applyFont="1" applyFill="1" applyBorder="1" applyAlignment="1" applyProtection="1">
      <alignment horizontal="center" wrapText="1"/>
    </xf>
    <xf numFmtId="1" fontId="7" fillId="22" borderId="64" xfId="0" applyNumberFormat="1" applyFont="1" applyFill="1" applyBorder="1" applyAlignment="1" applyProtection="1">
      <alignment horizontal="center" wrapText="1"/>
    </xf>
    <xf numFmtId="1" fontId="7" fillId="22" borderId="67" xfId="0" applyNumberFormat="1" applyFont="1" applyFill="1" applyBorder="1" applyAlignment="1" applyProtection="1">
      <alignment horizontal="center" wrapText="1"/>
    </xf>
    <xf numFmtId="1" fontId="7" fillId="22" borderId="34" xfId="0" applyNumberFormat="1" applyFont="1" applyFill="1" applyBorder="1" applyAlignment="1" applyProtection="1">
      <alignment horizontal="right" wrapText="1"/>
    </xf>
    <xf numFmtId="1" fontId="7" fillId="22" borderId="94" xfId="0" applyNumberFormat="1" applyFont="1" applyFill="1" applyBorder="1" applyAlignment="1" applyProtection="1">
      <alignment horizontal="right" wrapText="1"/>
    </xf>
    <xf numFmtId="1" fontId="7" fillId="22" borderId="78" xfId="0" applyNumberFormat="1" applyFont="1" applyFill="1" applyBorder="1" applyAlignment="1" applyProtection="1">
      <alignment horizontal="right" wrapText="1"/>
    </xf>
    <xf numFmtId="1" fontId="34" fillId="22" borderId="78" xfId="0" applyNumberFormat="1" applyFont="1" applyFill="1" applyBorder="1" applyAlignment="1" applyProtection="1">
      <alignment horizontal="right" wrapText="1"/>
    </xf>
    <xf numFmtId="1" fontId="34" fillId="22" borderId="148" xfId="0" applyNumberFormat="1" applyFont="1" applyFill="1" applyBorder="1" applyAlignment="1" applyProtection="1">
      <alignment horizontal="right" wrapText="1"/>
    </xf>
    <xf numFmtId="1" fontId="7" fillId="22" borderId="39" xfId="0" applyNumberFormat="1" applyFont="1" applyFill="1" applyBorder="1" applyAlignment="1" applyProtection="1">
      <alignment horizontal="right" wrapText="1"/>
    </xf>
    <xf numFmtId="1" fontId="7" fillId="22" borderId="71" xfId="0" applyNumberFormat="1" applyFont="1" applyFill="1" applyBorder="1" applyAlignment="1" applyProtection="1">
      <alignment horizontal="right" wrapText="1"/>
    </xf>
    <xf numFmtId="1" fontId="7" fillId="22" borderId="35" xfId="0" applyNumberFormat="1" applyFont="1" applyFill="1" applyBorder="1" applyAlignment="1" applyProtection="1">
      <alignment horizontal="right" wrapText="1"/>
    </xf>
    <xf numFmtId="1" fontId="34" fillId="22" borderId="35" xfId="0" applyNumberFormat="1" applyFont="1" applyFill="1" applyBorder="1" applyAlignment="1" applyProtection="1">
      <alignment horizontal="right" wrapText="1"/>
    </xf>
    <xf numFmtId="1" fontId="34" fillId="22" borderId="59" xfId="0" applyNumberFormat="1" applyFont="1" applyFill="1" applyBorder="1" applyAlignment="1" applyProtection="1">
      <alignment horizontal="right" wrapText="1"/>
    </xf>
    <xf numFmtId="1" fontId="7" fillId="22" borderId="59" xfId="0" applyNumberFormat="1" applyFont="1" applyFill="1" applyBorder="1" applyAlignment="1" applyProtection="1">
      <alignment horizontal="right" wrapText="1"/>
    </xf>
    <xf numFmtId="1" fontId="7" fillId="22" borderId="39" xfId="0" applyNumberFormat="1" applyFont="1" applyFill="1" applyBorder="1" applyAlignment="1" applyProtection="1">
      <alignment horizontal="right"/>
    </xf>
    <xf numFmtId="1" fontId="7" fillId="22" borderId="127" xfId="0" applyNumberFormat="1" applyFont="1" applyFill="1" applyBorder="1" applyAlignment="1" applyProtection="1">
      <alignment horizontal="right" wrapText="1"/>
    </xf>
    <xf numFmtId="1" fontId="7" fillId="22" borderId="109" xfId="0" applyNumberFormat="1" applyFont="1" applyFill="1" applyBorder="1" applyAlignment="1" applyProtection="1">
      <alignment horizontal="right" wrapText="1"/>
    </xf>
    <xf numFmtId="1" fontId="7" fillId="22" borderId="69" xfId="0" applyNumberFormat="1" applyFont="1" applyFill="1" applyBorder="1" applyAlignment="1" applyProtection="1">
      <alignment horizontal="right" wrapText="1"/>
    </xf>
    <xf numFmtId="1" fontId="34" fillId="22" borderId="69" xfId="0" applyNumberFormat="1" applyFont="1" applyFill="1" applyBorder="1" applyAlignment="1" applyProtection="1">
      <alignment horizontal="right" wrapText="1"/>
    </xf>
    <xf numFmtId="1" fontId="11" fillId="22" borderId="0" xfId="0" applyNumberFormat="1" applyFont="1" applyFill="1" applyBorder="1" applyAlignment="1" applyProtection="1">
      <alignment horizontal="center" vertical="center" wrapText="1"/>
    </xf>
    <xf numFmtId="1" fontId="7" fillId="22" borderId="30" xfId="0" applyNumberFormat="1" applyFont="1" applyFill="1" applyBorder="1" applyAlignment="1" applyProtection="1">
      <alignment horizontal="right" wrapText="1"/>
    </xf>
    <xf numFmtId="1" fontId="7" fillId="22" borderId="70" xfId="0" applyNumberFormat="1" applyFont="1" applyFill="1" applyBorder="1" applyAlignment="1" applyProtection="1">
      <alignment horizontal="right" wrapText="1"/>
    </xf>
    <xf numFmtId="1" fontId="7" fillId="22" borderId="27" xfId="0" applyNumberFormat="1" applyFont="1" applyFill="1" applyBorder="1" applyAlignment="1" applyProtection="1">
      <alignment horizontal="right" wrapText="1"/>
    </xf>
    <xf numFmtId="1" fontId="31" fillId="22" borderId="30" xfId="0" applyNumberFormat="1" applyFont="1" applyFill="1" applyBorder="1" applyAlignment="1" applyProtection="1">
      <alignment horizontal="right" wrapText="1"/>
    </xf>
    <xf numFmtId="1" fontId="31" fillId="22" borderId="56" xfId="0" applyNumberFormat="1" applyFont="1" applyFill="1" applyBorder="1" applyAlignment="1" applyProtection="1">
      <alignment horizontal="right" wrapText="1"/>
    </xf>
    <xf numFmtId="1" fontId="31" fillId="22" borderId="27" xfId="0" applyNumberFormat="1" applyFont="1" applyFill="1" applyBorder="1" applyAlignment="1" applyProtection="1">
      <alignment horizontal="right" wrapText="1"/>
    </xf>
    <xf numFmtId="1" fontId="7" fillId="22" borderId="35" xfId="0" applyNumberFormat="1" applyFont="1" applyFill="1" applyBorder="1" applyAlignment="1" applyProtection="1">
      <alignment horizontal="right"/>
    </xf>
    <xf numFmtId="1" fontId="7" fillId="22" borderId="71" xfId="0" applyNumberFormat="1" applyFont="1" applyFill="1" applyBorder="1" applyAlignment="1" applyProtection="1">
      <alignment horizontal="right"/>
    </xf>
    <xf numFmtId="1" fontId="31" fillId="22" borderId="35" xfId="0" applyNumberFormat="1" applyFont="1" applyFill="1" applyBorder="1" applyAlignment="1" applyProtection="1">
      <alignment horizontal="right" wrapText="1"/>
    </xf>
    <xf numFmtId="1" fontId="31" fillId="22" borderId="59" xfId="0" applyNumberFormat="1" applyFont="1" applyFill="1" applyBorder="1" applyAlignment="1" applyProtection="1">
      <alignment horizontal="right" wrapText="1"/>
    </xf>
    <xf numFmtId="1" fontId="31" fillId="22" borderId="39" xfId="0" applyNumberFormat="1" applyFont="1" applyFill="1" applyBorder="1" applyAlignment="1" applyProtection="1">
      <alignment horizontal="right" wrapText="1"/>
    </xf>
    <xf numFmtId="1" fontId="31" fillId="22" borderId="71" xfId="0" applyNumberFormat="1" applyFont="1" applyFill="1" applyBorder="1" applyAlignment="1" applyProtection="1">
      <alignment horizontal="right"/>
    </xf>
    <xf numFmtId="1" fontId="7" fillId="22" borderId="11" xfId="0" applyNumberFormat="1" applyFont="1" applyFill="1" applyBorder="1" applyAlignment="1" applyProtection="1">
      <alignment horizontal="right" wrapText="1"/>
    </xf>
    <xf numFmtId="1" fontId="7" fillId="22" borderId="85" xfId="0" applyNumberFormat="1" applyFont="1" applyFill="1" applyBorder="1" applyAlignment="1" applyProtection="1">
      <alignment horizontal="right" wrapText="1"/>
    </xf>
    <xf numFmtId="1" fontId="7" fillId="22" borderId="29" xfId="0" applyNumberFormat="1" applyFont="1" applyFill="1" applyBorder="1" applyAlignment="1" applyProtection="1">
      <alignment horizontal="right" wrapText="1"/>
    </xf>
    <xf numFmtId="1" fontId="31" fillId="22" borderId="69" xfId="0" applyNumberFormat="1" applyFont="1" applyFill="1" applyBorder="1" applyAlignment="1" applyProtection="1">
      <alignment horizontal="right" wrapText="1"/>
    </xf>
    <xf numFmtId="1" fontId="31" fillId="22" borderId="104" xfId="0" applyNumberFormat="1" applyFont="1" applyFill="1" applyBorder="1" applyAlignment="1" applyProtection="1">
      <alignment horizontal="right" wrapText="1"/>
    </xf>
    <xf numFmtId="1" fontId="31" fillId="22" borderId="127" xfId="0" applyNumberFormat="1" applyFont="1" applyFill="1" applyBorder="1" applyAlignment="1" applyProtection="1">
      <alignment horizontal="right" wrapText="1"/>
    </xf>
    <xf numFmtId="1" fontId="11" fillId="22" borderId="0" xfId="0" applyNumberFormat="1" applyFont="1" applyFill="1" applyBorder="1" applyAlignment="1" applyProtection="1">
      <alignment horizontal="center" wrapText="1"/>
    </xf>
    <xf numFmtId="1" fontId="7" fillId="22" borderId="30" xfId="0" applyNumberFormat="1" applyFont="1" applyFill="1" applyBorder="1" applyAlignment="1" applyProtection="1">
      <alignment wrapText="1"/>
    </xf>
    <xf numFmtId="1" fontId="34" fillId="22" borderId="30" xfId="0" applyNumberFormat="1" applyFont="1" applyFill="1" applyBorder="1" applyAlignment="1" applyProtection="1">
      <alignment horizontal="right" wrapText="1"/>
    </xf>
    <xf numFmtId="1" fontId="34" fillId="22" borderId="56" xfId="0" applyNumberFormat="1" applyFont="1" applyFill="1" applyBorder="1" applyAlignment="1" applyProtection="1">
      <alignment horizontal="right" wrapText="1"/>
    </xf>
    <xf numFmtId="1" fontId="34" fillId="22" borderId="27" xfId="0" applyNumberFormat="1" applyFont="1" applyFill="1" applyBorder="1" applyAlignment="1" applyProtection="1">
      <alignment horizontal="right" wrapText="1"/>
    </xf>
    <xf numFmtId="1" fontId="31" fillId="22" borderId="0" xfId="0" applyNumberFormat="1" applyFont="1" applyFill="1" applyBorder="1" applyProtection="1"/>
    <xf numFmtId="1" fontId="7" fillId="22" borderId="79" xfId="0" applyNumberFormat="1" applyFont="1" applyFill="1" applyBorder="1" applyAlignment="1" applyProtection="1">
      <alignment wrapText="1"/>
    </xf>
    <xf numFmtId="1" fontId="34" fillId="22" borderId="45" xfId="0" applyNumberFormat="1" applyFont="1" applyFill="1" applyBorder="1" applyAlignment="1" applyProtection="1">
      <alignment horizontal="right" wrapText="1"/>
    </xf>
    <xf numFmtId="1" fontId="34" fillId="22" borderId="62" xfId="0" applyNumberFormat="1" applyFont="1" applyFill="1" applyBorder="1" applyAlignment="1" applyProtection="1">
      <alignment horizontal="right" wrapText="1"/>
    </xf>
    <xf numFmtId="1" fontId="34" fillId="22" borderId="44" xfId="0" applyNumberFormat="1" applyFont="1" applyFill="1" applyBorder="1" applyAlignment="1" applyProtection="1">
      <alignment horizontal="right" wrapText="1"/>
    </xf>
    <xf numFmtId="1" fontId="31" fillId="22" borderId="30" xfId="0" applyNumberFormat="1" applyFont="1" applyFill="1" applyBorder="1" applyAlignment="1" applyProtection="1">
      <alignment horizontal="right"/>
    </xf>
    <xf numFmtId="1" fontId="7" fillId="22" borderId="11" xfId="0" applyNumberFormat="1" applyFont="1" applyFill="1" applyBorder="1" applyAlignment="1" applyProtection="1">
      <alignment wrapText="1"/>
    </xf>
    <xf numFmtId="1" fontId="31" fillId="22" borderId="69" xfId="0" applyNumberFormat="1" applyFont="1" applyFill="1" applyBorder="1" applyAlignment="1" applyProtection="1">
      <alignment horizontal="right"/>
    </xf>
    <xf numFmtId="1" fontId="7" fillId="22" borderId="78" xfId="0" applyNumberFormat="1" applyFont="1" applyFill="1" applyBorder="1" applyAlignment="1" applyProtection="1">
      <alignment wrapText="1"/>
    </xf>
    <xf numFmtId="1" fontId="31" fillId="22" borderId="78" xfId="0" applyNumberFormat="1" applyFont="1" applyFill="1" applyBorder="1" applyAlignment="1" applyProtection="1">
      <alignment horizontal="right"/>
    </xf>
    <xf numFmtId="1" fontId="30" fillId="22" borderId="0" xfId="0" applyNumberFormat="1" applyFont="1" applyFill="1" applyBorder="1" applyAlignment="1" applyProtection="1">
      <alignment wrapText="1"/>
    </xf>
    <xf numFmtId="1" fontId="11" fillId="0" borderId="0" xfId="0" applyNumberFormat="1" applyFont="1" applyFill="1" applyAlignment="1" applyProtection="1"/>
    <xf numFmtId="1" fontId="35" fillId="0" borderId="0" xfId="0" applyNumberFormat="1" applyFont="1" applyFill="1" applyBorder="1" applyAlignment="1" applyProtection="1">
      <alignment horizontal="left" vertical="center"/>
    </xf>
    <xf numFmtId="1" fontId="31" fillId="29" borderId="0" xfId="0" applyNumberFormat="1" applyFont="1" applyFill="1" applyProtection="1"/>
    <xf numFmtId="0" fontId="31" fillId="22" borderId="49" xfId="0" applyFont="1" applyFill="1" applyBorder="1" applyProtection="1"/>
    <xf numFmtId="0" fontId="31" fillId="22" borderId="0" xfId="0" applyFont="1" applyFill="1" applyProtection="1"/>
    <xf numFmtId="0" fontId="31" fillId="22" borderId="100" xfId="0" applyFont="1" applyFill="1" applyBorder="1" applyProtection="1"/>
    <xf numFmtId="0" fontId="31" fillId="0" borderId="7" xfId="0" applyFont="1" applyBorder="1" applyAlignment="1" applyProtection="1">
      <alignment horizontal="center" vertical="center" wrapText="1"/>
    </xf>
    <xf numFmtId="0" fontId="31" fillId="0" borderId="5" xfId="0" applyFont="1" applyBorder="1" applyAlignment="1" applyProtection="1">
      <alignment horizontal="center" vertical="center"/>
    </xf>
    <xf numFmtId="0" fontId="31" fillId="0" borderId="1" xfId="0" applyFont="1" applyBorder="1" applyAlignment="1" applyProtection="1">
      <alignment wrapText="1"/>
    </xf>
    <xf numFmtId="1" fontId="31" fillId="22" borderId="0" xfId="0" applyNumberFormat="1" applyFont="1" applyFill="1" applyBorder="1" applyAlignment="1" applyProtection="1"/>
    <xf numFmtId="1" fontId="31" fillId="21" borderId="0" xfId="0" applyNumberFormat="1" applyFont="1" applyFill="1" applyBorder="1" applyProtection="1"/>
    <xf numFmtId="0" fontId="31" fillId="0" borderId="11" xfId="0" applyFont="1" applyFill="1" applyBorder="1" applyProtection="1"/>
    <xf numFmtId="0" fontId="31" fillId="0" borderId="30" xfId="0" applyFont="1" applyBorder="1" applyProtection="1"/>
    <xf numFmtId="0" fontId="31" fillId="0" borderId="78" xfId="0" applyFont="1" applyBorder="1" applyProtection="1"/>
    <xf numFmtId="0" fontId="31" fillId="0" borderId="69" xfId="0" applyFont="1" applyBorder="1" applyProtection="1"/>
    <xf numFmtId="1" fontId="31" fillId="0" borderId="0" xfId="0" applyNumberFormat="1" applyFont="1" applyFill="1" applyProtection="1"/>
    <xf numFmtId="0" fontId="31" fillId="0" borderId="30" xfId="0" applyFont="1" applyBorder="1" applyAlignment="1" applyProtection="1">
      <alignment horizontal="left" vertical="center" wrapText="1"/>
    </xf>
    <xf numFmtId="0" fontId="31" fillId="0" borderId="35" xfId="0" applyFont="1" applyBorder="1" applyAlignment="1" applyProtection="1">
      <alignment horizontal="left" vertical="center" wrapText="1"/>
    </xf>
    <xf numFmtId="0" fontId="31" fillId="0" borderId="69" xfId="0" applyFont="1" applyFill="1" applyBorder="1" applyAlignment="1" applyProtection="1">
      <alignment horizontal="left" vertical="center" wrapText="1"/>
    </xf>
    <xf numFmtId="1" fontId="31" fillId="22" borderId="0" xfId="0" applyNumberFormat="1" applyFont="1" applyFill="1" applyProtection="1"/>
    <xf numFmtId="1" fontId="31" fillId="27" borderId="1" xfId="0" applyNumberFormat="1" applyFont="1" applyFill="1" applyBorder="1" applyProtection="1"/>
    <xf numFmtId="1" fontId="30" fillId="22" borderId="0" xfId="0" applyNumberFormat="1" applyFont="1" applyFill="1" applyProtection="1"/>
    <xf numFmtId="1" fontId="10" fillId="0" borderId="0" xfId="0" applyNumberFormat="1" applyFont="1" applyFill="1" applyBorder="1" applyAlignment="1" applyProtection="1">
      <alignment horizontal="right"/>
    </xf>
    <xf numFmtId="1" fontId="11" fillId="0" borderId="0" xfId="0" applyNumberFormat="1" applyFont="1" applyFill="1" applyBorder="1" applyAlignment="1" applyProtection="1">
      <alignment vertical="center" wrapText="1"/>
      <protection hidden="1"/>
    </xf>
    <xf numFmtId="1" fontId="35" fillId="0" borderId="6" xfId="0" applyNumberFormat="1" applyFont="1" applyFill="1" applyBorder="1" applyAlignment="1" applyProtection="1">
      <protection hidden="1"/>
    </xf>
    <xf numFmtId="1" fontId="11" fillId="0" borderId="6" xfId="0" applyNumberFormat="1" applyFont="1" applyFill="1" applyBorder="1" applyAlignment="1" applyProtection="1">
      <protection hidden="1"/>
    </xf>
    <xf numFmtId="1" fontId="7" fillId="21" borderId="0" xfId="0" applyNumberFormat="1" applyFont="1" applyFill="1" applyBorder="1" applyAlignment="1" applyProtection="1">
      <alignment horizontal="center" vertical="center"/>
    </xf>
    <xf numFmtId="1" fontId="7" fillId="29" borderId="0" xfId="0" applyNumberFormat="1" applyFont="1" applyFill="1" applyBorder="1" applyAlignment="1" applyProtection="1">
      <alignment horizontal="center" vertical="center" wrapText="1"/>
    </xf>
    <xf numFmtId="1" fontId="7" fillId="27" borderId="4" xfId="0" applyNumberFormat="1" applyFont="1" applyFill="1" applyBorder="1" applyProtection="1"/>
    <xf numFmtId="1" fontId="7" fillId="28" borderId="4" xfId="0" applyNumberFormat="1" applyFont="1" applyFill="1" applyBorder="1" applyProtection="1"/>
    <xf numFmtId="1" fontId="7" fillId="28" borderId="49" xfId="0" applyNumberFormat="1" applyFont="1" applyFill="1" applyBorder="1" applyProtection="1"/>
    <xf numFmtId="1" fontId="7" fillId="28" borderId="100" xfId="0" applyNumberFormat="1" applyFont="1" applyFill="1" applyBorder="1" applyProtection="1"/>
    <xf numFmtId="1" fontId="7" fillId="28" borderId="6" xfId="0" applyNumberFormat="1" applyFont="1" applyFill="1" applyBorder="1" applyProtection="1"/>
    <xf numFmtId="1" fontId="7" fillId="28" borderId="29" xfId="0" applyNumberFormat="1" applyFont="1" applyFill="1" applyBorder="1" applyProtection="1"/>
    <xf numFmtId="1" fontId="37" fillId="28" borderId="0" xfId="0" applyNumberFormat="1" applyFont="1" applyFill="1" applyProtection="1"/>
    <xf numFmtId="1" fontId="11" fillId="0" borderId="0" xfId="0" applyNumberFormat="1" applyFont="1" applyFill="1" applyBorder="1" applyAlignment="1" applyProtection="1">
      <protection hidden="1"/>
    </xf>
    <xf numFmtId="1" fontId="11" fillId="0" borderId="4" xfId="0" applyNumberFormat="1" applyFont="1" applyFill="1" applyBorder="1" applyAlignment="1" applyProtection="1">
      <protection hidden="1"/>
    </xf>
    <xf numFmtId="1" fontId="36" fillId="0" borderId="22" xfId="0" applyNumberFormat="1" applyFont="1" applyFill="1" applyBorder="1" applyAlignment="1" applyProtection="1">
      <protection hidden="1"/>
    </xf>
    <xf numFmtId="1" fontId="15" fillId="0" borderId="68" xfId="0" applyNumberFormat="1" applyFont="1" applyFill="1" applyBorder="1" applyAlignment="1" applyProtection="1">
      <protection hidden="1"/>
    </xf>
    <xf numFmtId="1" fontId="15" fillId="0" borderId="74" xfId="0" applyNumberFormat="1" applyFont="1" applyFill="1" applyBorder="1" applyAlignment="1" applyProtection="1">
      <protection hidden="1"/>
    </xf>
    <xf numFmtId="1" fontId="36" fillId="0" borderId="6" xfId="0" applyNumberFormat="1" applyFont="1" applyFill="1" applyBorder="1" applyAlignment="1" applyProtection="1">
      <protection hidden="1"/>
    </xf>
    <xf numFmtId="1" fontId="15" fillId="0" borderId="82" xfId="0" applyNumberFormat="1" applyFont="1" applyFill="1" applyBorder="1" applyProtection="1">
      <protection hidden="1"/>
    </xf>
    <xf numFmtId="1" fontId="11" fillId="17" borderId="0" xfId="125" applyNumberFormat="1" applyFont="1" applyFill="1" applyBorder="1" applyAlignment="1" applyProtection="1">
      <alignment vertical="center" wrapText="1"/>
    </xf>
    <xf numFmtId="1" fontId="11" fillId="21" borderId="0" xfId="125" applyNumberFormat="1" applyFont="1" applyFill="1" applyBorder="1" applyAlignment="1" applyProtection="1">
      <alignment vertical="center" wrapText="1"/>
    </xf>
    <xf numFmtId="1" fontId="11" fillId="17" borderId="0" xfId="125" quotePrefix="1" applyNumberFormat="1" applyFont="1" applyFill="1" applyBorder="1" applyAlignment="1" applyProtection="1"/>
    <xf numFmtId="1" fontId="11" fillId="17" borderId="0" xfId="0" applyNumberFormat="1" applyFont="1" applyFill="1" applyBorder="1" applyAlignment="1" applyProtection="1">
      <alignment vertical="center"/>
    </xf>
    <xf numFmtId="1" fontId="7" fillId="21" borderId="0" xfId="125" quotePrefix="1" applyNumberFormat="1" applyFont="1" applyFill="1" applyBorder="1" applyAlignment="1" applyProtection="1">
      <alignment vertical="center" wrapText="1"/>
    </xf>
    <xf numFmtId="1" fontId="7" fillId="21" borderId="0" xfId="125" quotePrefix="1" applyNumberFormat="1" applyFont="1" applyFill="1" applyBorder="1" applyAlignment="1" applyProtection="1">
      <alignment horizontal="center" vertical="center" wrapText="1"/>
    </xf>
    <xf numFmtId="1" fontId="7" fillId="21" borderId="0" xfId="125" applyNumberFormat="1" applyFont="1" applyFill="1" applyBorder="1" applyAlignment="1" applyProtection="1">
      <alignment vertical="center" wrapText="1"/>
    </xf>
    <xf numFmtId="1" fontId="7" fillId="21" borderId="0" xfId="125" applyNumberFormat="1" applyFont="1" applyFill="1" applyBorder="1" applyAlignment="1" applyProtection="1">
      <alignment horizontal="center" vertical="center" wrapText="1"/>
    </xf>
    <xf numFmtId="1" fontId="7" fillId="21" borderId="0" xfId="125" applyNumberFormat="1" applyFont="1" applyFill="1" applyBorder="1" applyAlignment="1" applyProtection="1"/>
    <xf numFmtId="1" fontId="38" fillId="21" borderId="0" xfId="0" applyNumberFormat="1" applyFont="1" applyFill="1" applyProtection="1"/>
    <xf numFmtId="1" fontId="11" fillId="17" borderId="6" xfId="125" quotePrefix="1" applyNumberFormat="1" applyFont="1" applyFill="1" applyBorder="1" applyAlignment="1" applyProtection="1"/>
    <xf numFmtId="1" fontId="11" fillId="0" borderId="4" xfId="125" quotePrefix="1" applyNumberFormat="1" applyFont="1" applyFill="1" applyBorder="1" applyAlignment="1" applyProtection="1"/>
    <xf numFmtId="1" fontId="11" fillId="0" borderId="0" xfId="125" quotePrefix="1" applyNumberFormat="1" applyFont="1" applyFill="1" applyBorder="1" applyAlignment="1" applyProtection="1"/>
    <xf numFmtId="1" fontId="7" fillId="29" borderId="0" xfId="125" applyNumberFormat="1" applyFont="1" applyFill="1" applyBorder="1" applyAlignment="1" applyProtection="1">
      <alignment horizontal="center" vertical="center" wrapText="1"/>
    </xf>
    <xf numFmtId="1" fontId="7" fillId="0" borderId="0" xfId="0" applyNumberFormat="1" applyFont="1" applyBorder="1" applyAlignment="1" applyProtection="1">
      <alignment horizontal="center" vertical="center" wrapText="1"/>
    </xf>
    <xf numFmtId="1" fontId="11" fillId="0" borderId="6" xfId="125" quotePrefix="1" applyNumberFormat="1" applyFont="1" applyFill="1" applyBorder="1" applyAlignment="1" applyProtection="1"/>
    <xf numFmtId="1" fontId="15" fillId="17" borderId="0" xfId="125" quotePrefix="1" applyNumberFormat="1" applyFont="1" applyFill="1" applyBorder="1" applyAlignment="1" applyProtection="1"/>
    <xf numFmtId="1" fontId="15" fillId="17" borderId="6" xfId="125" quotePrefix="1" applyNumberFormat="1" applyFont="1" applyFill="1" applyBorder="1" applyAlignment="1" applyProtection="1"/>
    <xf numFmtId="1" fontId="15" fillId="0" borderId="4" xfId="125" quotePrefix="1" applyNumberFormat="1" applyFont="1" applyFill="1" applyBorder="1" applyAlignment="1" applyProtection="1"/>
    <xf numFmtId="1" fontId="15" fillId="0" borderId="6" xfId="125" quotePrefix="1" applyNumberFormat="1" applyFont="1" applyFill="1" applyBorder="1" applyAlignment="1" applyProtection="1"/>
    <xf numFmtId="1" fontId="32" fillId="0" borderId="0" xfId="0" applyNumberFormat="1" applyFont="1" applyProtection="1"/>
    <xf numFmtId="1" fontId="11" fillId="22" borderId="0" xfId="0" applyNumberFormat="1" applyFont="1" applyFill="1" applyProtection="1"/>
    <xf numFmtId="1" fontId="11" fillId="0" borderId="6" xfId="126" applyNumberFormat="1" applyFont="1" applyFill="1" applyBorder="1" applyAlignment="1" applyProtection="1"/>
    <xf numFmtId="1" fontId="15" fillId="0" borderId="6" xfId="126" applyNumberFormat="1" applyFont="1" applyFill="1" applyBorder="1" applyAlignment="1" applyProtection="1"/>
    <xf numFmtId="1" fontId="11" fillId="0" borderId="0" xfId="126" applyNumberFormat="1" applyFont="1" applyFill="1" applyBorder="1" applyAlignment="1" applyProtection="1">
      <protection hidden="1"/>
    </xf>
    <xf numFmtId="1" fontId="7" fillId="0" borderId="0" xfId="0" applyNumberFormat="1" applyFont="1" applyAlignment="1" applyProtection="1">
      <alignment vertical="center"/>
    </xf>
    <xf numFmtId="1" fontId="7" fillId="0" borderId="6" xfId="126" applyNumberFormat="1" applyFont="1" applyFill="1" applyBorder="1" applyAlignment="1" applyProtection="1">
      <alignment horizontal="right" vertical="center"/>
      <protection hidden="1"/>
    </xf>
    <xf numFmtId="1" fontId="11" fillId="0" borderId="6" xfId="126" applyNumberFormat="1" applyFont="1" applyFill="1" applyBorder="1" applyAlignment="1" applyProtection="1">
      <protection hidden="1"/>
    </xf>
    <xf numFmtId="1" fontId="7" fillId="29" borderId="0" xfId="126" quotePrefix="1" applyNumberFormat="1" applyFont="1" applyFill="1" applyBorder="1" applyAlignment="1" applyProtection="1">
      <alignment horizontal="center" vertical="center"/>
      <protection hidden="1"/>
    </xf>
    <xf numFmtId="1" fontId="7" fillId="29" borderId="0" xfId="126" quotePrefix="1" applyNumberFormat="1" applyFont="1" applyFill="1" applyBorder="1" applyAlignment="1" applyProtection="1">
      <alignment horizontal="center" vertical="center"/>
    </xf>
    <xf numFmtId="1" fontId="7" fillId="29" borderId="0" xfId="109" applyNumberFormat="1" applyFont="1" applyFill="1" applyBorder="1" applyAlignment="1" applyProtection="1">
      <alignment horizontal="center" vertical="center" wrapText="1"/>
    </xf>
    <xf numFmtId="1" fontId="7" fillId="29" borderId="0" xfId="126" applyNumberFormat="1" applyFont="1" applyFill="1" applyBorder="1" applyAlignment="1" applyProtection="1">
      <alignment horizontal="center" vertical="center"/>
      <protection hidden="1"/>
    </xf>
    <xf numFmtId="1" fontId="30" fillId="29" borderId="0" xfId="0" applyNumberFormat="1" applyFont="1" applyFill="1" applyProtection="1"/>
    <xf numFmtId="1" fontId="7" fillId="28" borderId="0" xfId="0" quotePrefix="1" applyNumberFormat="1" applyFont="1" applyFill="1" applyProtection="1"/>
    <xf numFmtId="1" fontId="15" fillId="0" borderId="0" xfId="126" applyNumberFormat="1" applyFont="1" applyFill="1" applyBorder="1" applyAlignment="1" applyProtection="1">
      <protection hidden="1"/>
    </xf>
    <xf numFmtId="1" fontId="11" fillId="0" borderId="0" xfId="127" applyNumberFormat="1" applyFont="1" applyFill="1" applyBorder="1" applyAlignment="1" applyProtection="1">
      <alignment vertical="center" wrapText="1"/>
      <protection hidden="1"/>
    </xf>
    <xf numFmtId="1" fontId="11" fillId="0" borderId="6" xfId="127" applyNumberFormat="1" applyFont="1" applyFill="1" applyBorder="1" applyAlignment="1" applyProtection="1">
      <protection hidden="1"/>
    </xf>
    <xf numFmtId="1" fontId="11" fillId="0" borderId="96" xfId="127" applyNumberFormat="1" applyFont="1" applyFill="1" applyBorder="1" applyAlignment="1" applyProtection="1">
      <protection hidden="1"/>
    </xf>
    <xf numFmtId="1" fontId="15" fillId="0" borderId="6" xfId="127" applyNumberFormat="1" applyFont="1" applyFill="1" applyBorder="1" applyAlignment="1" applyProtection="1">
      <protection hidden="1"/>
    </xf>
    <xf numFmtId="1" fontId="15" fillId="0" borderId="96" xfId="127" applyNumberFormat="1" applyFont="1" applyFill="1" applyBorder="1" applyAlignment="1" applyProtection="1">
      <protection hidden="1"/>
    </xf>
    <xf numFmtId="1" fontId="10" fillId="22" borderId="0" xfId="0" applyNumberFormat="1" applyFont="1" applyFill="1" applyProtection="1">
      <protection hidden="1"/>
    </xf>
    <xf numFmtId="1" fontId="10" fillId="0" borderId="0" xfId="0" applyNumberFormat="1" applyFont="1" applyProtection="1">
      <protection hidden="1"/>
    </xf>
    <xf numFmtId="1" fontId="11" fillId="0" borderId="0" xfId="126" applyNumberFormat="1" applyFont="1" applyFill="1" applyBorder="1" applyAlignment="1" applyProtection="1">
      <alignment horizontal="center" vertical="center"/>
      <protection hidden="1"/>
    </xf>
    <xf numFmtId="1" fontId="7" fillId="21" borderId="0" xfId="126" applyNumberFormat="1" applyFont="1" applyFill="1" applyBorder="1" applyAlignment="1" applyProtection="1">
      <protection hidden="1"/>
    </xf>
    <xf numFmtId="1" fontId="7" fillId="29" borderId="0" xfId="126" applyNumberFormat="1" applyFont="1" applyFill="1" applyBorder="1" applyAlignment="1" applyProtection="1">
      <protection hidden="1"/>
    </xf>
    <xf numFmtId="1" fontId="35" fillId="0" borderId="0" xfId="0" applyNumberFormat="1" applyFont="1" applyProtection="1"/>
    <xf numFmtId="1" fontId="7" fillId="22" borderId="49" xfId="0" applyNumberFormat="1" applyFont="1" applyFill="1" applyBorder="1" applyAlignment="1" applyProtection="1">
      <alignment horizontal="center" vertical="center"/>
    </xf>
    <xf numFmtId="1" fontId="15" fillId="0" borderId="6" xfId="126" applyNumberFormat="1" applyFont="1" applyFill="1" applyBorder="1" applyAlignment="1" applyProtection="1">
      <protection hidden="1"/>
    </xf>
    <xf numFmtId="1" fontId="39" fillId="0" borderId="0" xfId="0" applyNumberFormat="1" applyFont="1" applyProtection="1"/>
    <xf numFmtId="1" fontId="11" fillId="0" borderId="6" xfId="0" applyNumberFormat="1" applyFont="1" applyFill="1" applyBorder="1" applyAlignment="1" applyProtection="1"/>
    <xf numFmtId="1" fontId="11" fillId="22" borderId="6" xfId="0" applyNumberFormat="1" applyFont="1" applyFill="1" applyBorder="1" applyAlignment="1" applyProtection="1"/>
    <xf numFmtId="1" fontId="11" fillId="0" borderId="0" xfId="0" applyNumberFormat="1" applyFont="1" applyFill="1" applyBorder="1" applyAlignment="1" applyProtection="1"/>
    <xf numFmtId="1" fontId="15" fillId="0" borderId="6" xfId="0" applyNumberFormat="1" applyFont="1" applyFill="1" applyBorder="1" applyAlignment="1" applyProtection="1"/>
    <xf numFmtId="1" fontId="15" fillId="22" borderId="6" xfId="0" applyNumberFormat="1" applyFont="1" applyFill="1" applyBorder="1" applyAlignment="1" applyProtection="1"/>
    <xf numFmtId="1" fontId="11" fillId="22" borderId="0" xfId="126" applyNumberFormat="1" applyFont="1" applyFill="1" applyBorder="1" applyAlignment="1" applyProtection="1">
      <alignment vertical="center"/>
    </xf>
    <xf numFmtId="1" fontId="31" fillId="22" borderId="0" xfId="0" applyNumberFormat="1" applyFont="1" applyFill="1" applyAlignment="1" applyProtection="1"/>
    <xf numFmtId="1" fontId="31" fillId="28" borderId="0" xfId="0" applyNumberFormat="1" applyFont="1" applyFill="1" applyProtection="1"/>
    <xf numFmtId="1" fontId="31" fillId="22" borderId="0" xfId="0" applyNumberFormat="1" applyFont="1" applyFill="1" applyAlignment="1" applyProtection="1">
      <alignment horizontal="left"/>
    </xf>
    <xf numFmtId="1" fontId="35" fillId="22" borderId="0" xfId="0" applyNumberFormat="1" applyFont="1" applyFill="1" applyProtection="1"/>
    <xf numFmtId="1" fontId="7" fillId="17" borderId="0" xfId="109" applyNumberFormat="1" applyFont="1" applyFill="1" applyProtection="1"/>
    <xf numFmtId="1" fontId="11" fillId="17" borderId="82" xfId="109" applyNumberFormat="1" applyFont="1" applyFill="1" applyBorder="1" applyProtection="1"/>
    <xf numFmtId="1" fontId="7" fillId="27" borderId="0" xfId="0" applyNumberFormat="1" applyFont="1" applyFill="1" applyAlignment="1" applyProtection="1">
      <protection hidden="1"/>
    </xf>
    <xf numFmtId="1" fontId="7" fillId="28" borderId="0" xfId="0" applyNumberFormat="1" applyFont="1" applyFill="1" applyAlignment="1" applyProtection="1">
      <protection hidden="1"/>
    </xf>
    <xf numFmtId="1" fontId="15" fillId="17" borderId="0" xfId="127" applyNumberFormat="1" applyFont="1" applyFill="1" applyBorder="1" applyAlignment="1" applyProtection="1">
      <alignment horizontal="left"/>
      <protection hidden="1"/>
    </xf>
    <xf numFmtId="1" fontId="10" fillId="0" borderId="0" xfId="0" applyNumberFormat="1" applyFont="1" applyAlignment="1" applyProtection="1">
      <protection hidden="1"/>
    </xf>
    <xf numFmtId="1" fontId="11" fillId="0" borderId="0" xfId="130" applyNumberFormat="1" applyFont="1" applyFill="1" applyBorder="1" applyAlignment="1" applyProtection="1">
      <alignment horizontal="center" vertical="center"/>
      <protection hidden="1"/>
    </xf>
    <xf numFmtId="1" fontId="11" fillId="22" borderId="0" xfId="130" applyNumberFormat="1" applyFont="1" applyFill="1" applyBorder="1" applyAlignment="1" applyProtection="1">
      <alignment horizontal="center" vertical="center"/>
      <protection hidden="1"/>
    </xf>
    <xf numFmtId="1" fontId="11" fillId="21" borderId="0" xfId="130" applyNumberFormat="1" applyFont="1" applyFill="1" applyBorder="1" applyAlignment="1" applyProtection="1">
      <alignment horizontal="center" vertical="center"/>
      <protection hidden="1"/>
    </xf>
    <xf numFmtId="1" fontId="11" fillId="0" borderId="0" xfId="130" applyNumberFormat="1" applyFont="1" applyFill="1" applyBorder="1" applyAlignment="1" applyProtection="1">
      <alignment wrapText="1"/>
    </xf>
    <xf numFmtId="1" fontId="11" fillId="22" borderId="0" xfId="130" applyNumberFormat="1" applyFont="1" applyFill="1" applyBorder="1" applyAlignment="1" applyProtection="1">
      <alignment wrapText="1"/>
    </xf>
    <xf numFmtId="1" fontId="11" fillId="21" borderId="0" xfId="130" applyNumberFormat="1" applyFont="1" applyFill="1" applyBorder="1" applyAlignment="1" applyProtection="1">
      <alignment wrapText="1"/>
    </xf>
    <xf numFmtId="1" fontId="11" fillId="29" borderId="0" xfId="130" applyNumberFormat="1" applyFont="1" applyFill="1" applyBorder="1" applyAlignment="1" applyProtection="1">
      <alignment wrapText="1"/>
    </xf>
    <xf numFmtId="1" fontId="15" fillId="0" borderId="0" xfId="130" applyNumberFormat="1" applyFont="1" applyFill="1" applyAlignment="1" applyProtection="1"/>
    <xf numFmtId="1" fontId="15" fillId="0" borderId="6" xfId="130" applyNumberFormat="1" applyFont="1" applyFill="1" applyBorder="1" applyAlignment="1" applyProtection="1">
      <alignment horizontal="left"/>
    </xf>
    <xf numFmtId="1" fontId="35" fillId="17" borderId="0" xfId="0" applyNumberFormat="1" applyFont="1" applyFill="1" applyBorder="1" applyProtection="1"/>
    <xf numFmtId="1" fontId="35" fillId="22" borderId="6" xfId="0" applyNumberFormat="1" applyFont="1" applyFill="1" applyBorder="1" applyAlignment="1" applyProtection="1"/>
    <xf numFmtId="1" fontId="7" fillId="0" borderId="1" xfId="126" applyNumberFormat="1" applyFont="1" applyFill="1" applyBorder="1" applyAlignment="1" applyProtection="1">
      <alignment horizontal="right" wrapText="1"/>
      <protection hidden="1"/>
    </xf>
    <xf numFmtId="1" fontId="7" fillId="0" borderId="7" xfId="126" applyNumberFormat="1" applyFont="1" applyFill="1" applyBorder="1" applyAlignment="1" applyProtection="1">
      <alignment horizontal="right" wrapText="1"/>
      <protection hidden="1"/>
    </xf>
    <xf numFmtId="1" fontId="7" fillId="0" borderId="67" xfId="126" applyNumberFormat="1" applyFont="1" applyFill="1" applyBorder="1" applyAlignment="1" applyProtection="1">
      <alignment horizontal="right" wrapText="1"/>
      <protection hidden="1"/>
    </xf>
    <xf numFmtId="1" fontId="7" fillId="0" borderId="64" xfId="126" applyNumberFormat="1" applyFont="1" applyFill="1" applyBorder="1" applyAlignment="1" applyProtection="1">
      <alignment horizontal="right" wrapText="1"/>
      <protection hidden="1"/>
    </xf>
    <xf numFmtId="1" fontId="7" fillId="0" borderId="78" xfId="126" applyNumberFormat="1" applyFont="1" applyFill="1" applyBorder="1" applyAlignment="1" applyProtection="1">
      <alignment horizontal="right" wrapText="1"/>
      <protection hidden="1"/>
    </xf>
    <xf numFmtId="1" fontId="7" fillId="0" borderId="94" xfId="126" applyNumberFormat="1" applyFont="1" applyFill="1" applyBorder="1" applyAlignment="1" applyProtection="1">
      <alignment horizontal="right" wrapText="1"/>
      <protection hidden="1"/>
    </xf>
    <xf numFmtId="1" fontId="7" fillId="0" borderId="34" xfId="126" applyNumberFormat="1" applyFont="1" applyFill="1" applyBorder="1" applyAlignment="1" applyProtection="1">
      <alignment horizontal="right" wrapText="1"/>
      <protection hidden="1"/>
    </xf>
    <xf numFmtId="1" fontId="7" fillId="0" borderId="56" xfId="126" applyNumberFormat="1" applyFont="1" applyFill="1" applyBorder="1" applyAlignment="1" applyProtection="1">
      <alignment horizontal="right" wrapText="1"/>
      <protection hidden="1"/>
    </xf>
    <xf numFmtId="1" fontId="7" fillId="0" borderId="27" xfId="126" applyNumberFormat="1" applyFont="1" applyFill="1" applyBorder="1" applyAlignment="1" applyProtection="1">
      <alignment horizontal="right" wrapText="1"/>
      <protection hidden="1"/>
    </xf>
    <xf numFmtId="1" fontId="7" fillId="0" borderId="35" xfId="126" applyNumberFormat="1" applyFont="1" applyFill="1" applyBorder="1" applyAlignment="1" applyProtection="1">
      <alignment horizontal="right" wrapText="1"/>
      <protection hidden="1"/>
    </xf>
    <xf numFmtId="1" fontId="7" fillId="0" borderId="71" xfId="126" applyNumberFormat="1" applyFont="1" applyFill="1" applyBorder="1" applyAlignment="1" applyProtection="1">
      <alignment horizontal="right" wrapText="1"/>
      <protection hidden="1"/>
    </xf>
    <xf numFmtId="1" fontId="7" fillId="0" borderId="59" xfId="126" applyNumberFormat="1" applyFont="1" applyFill="1" applyBorder="1" applyAlignment="1" applyProtection="1">
      <alignment horizontal="right" wrapText="1"/>
      <protection hidden="1"/>
    </xf>
    <xf numFmtId="1" fontId="7" fillId="0" borderId="39" xfId="126" applyNumberFormat="1" applyFont="1" applyFill="1" applyBorder="1" applyAlignment="1" applyProtection="1">
      <alignment horizontal="right" wrapText="1"/>
      <protection hidden="1"/>
    </xf>
    <xf numFmtId="1" fontId="7" fillId="0" borderId="69" xfId="126" applyNumberFormat="1" applyFont="1" applyFill="1" applyBorder="1" applyAlignment="1" applyProtection="1">
      <alignment horizontal="right" wrapText="1"/>
      <protection hidden="1"/>
    </xf>
    <xf numFmtId="1" fontId="7" fillId="0" borderId="109" xfId="126" applyNumberFormat="1" applyFont="1" applyFill="1" applyBorder="1" applyAlignment="1" applyProtection="1">
      <alignment horizontal="right" wrapText="1"/>
      <protection hidden="1"/>
    </xf>
    <xf numFmtId="1" fontId="7" fillId="0" borderId="127" xfId="126" applyNumberFormat="1" applyFont="1" applyFill="1" applyBorder="1" applyAlignment="1" applyProtection="1">
      <alignment horizontal="right" wrapText="1"/>
      <protection hidden="1"/>
    </xf>
    <xf numFmtId="1" fontId="7" fillId="0" borderId="104" xfId="126" applyNumberFormat="1" applyFont="1" applyFill="1" applyBorder="1" applyAlignment="1" applyProtection="1">
      <alignment horizontal="right" wrapText="1"/>
      <protection hidden="1"/>
    </xf>
    <xf numFmtId="1" fontId="7" fillId="0" borderId="11" xfId="126" applyNumberFormat="1" applyFont="1" applyFill="1" applyBorder="1" applyAlignment="1" applyProtection="1">
      <alignment horizontal="right" wrapText="1"/>
      <protection hidden="1"/>
    </xf>
    <xf numFmtId="1" fontId="7" fillId="0" borderId="85" xfId="126" applyNumberFormat="1" applyFont="1" applyFill="1" applyBorder="1" applyAlignment="1" applyProtection="1">
      <alignment horizontal="right" wrapText="1"/>
      <protection hidden="1"/>
    </xf>
    <xf numFmtId="1" fontId="7" fillId="0" borderId="29" xfId="126" applyNumberFormat="1" applyFont="1" applyFill="1" applyBorder="1" applyAlignment="1" applyProtection="1">
      <alignment horizontal="right" wrapText="1"/>
      <protection hidden="1"/>
    </xf>
    <xf numFmtId="1" fontId="7" fillId="0" borderId="6" xfId="126" applyNumberFormat="1" applyFont="1" applyFill="1" applyBorder="1" applyAlignment="1" applyProtection="1">
      <alignment horizontal="right" wrapText="1"/>
      <protection hidden="1"/>
    </xf>
    <xf numFmtId="1" fontId="7" fillId="0" borderId="150" xfId="126" applyNumberFormat="1" applyFont="1" applyFill="1" applyBorder="1" applyAlignment="1" applyProtection="1">
      <alignment horizontal="right" wrapText="1"/>
      <protection hidden="1"/>
    </xf>
    <xf numFmtId="1" fontId="7" fillId="0" borderId="86" xfId="126" applyNumberFormat="1" applyFont="1" applyFill="1" applyBorder="1" applyAlignment="1" applyProtection="1">
      <alignment horizontal="right" wrapText="1"/>
      <protection hidden="1"/>
    </xf>
    <xf numFmtId="1" fontId="7" fillId="0" borderId="148" xfId="126" applyNumberFormat="1" applyFont="1" applyFill="1" applyBorder="1" applyAlignment="1" applyProtection="1">
      <alignment horizontal="right" wrapText="1"/>
      <protection hidden="1"/>
    </xf>
    <xf numFmtId="1" fontId="7" fillId="0" borderId="45" xfId="126" applyNumberFormat="1" applyFont="1" applyFill="1" applyBorder="1" applyAlignment="1" applyProtection="1">
      <alignment horizontal="right" wrapText="1"/>
      <protection hidden="1"/>
    </xf>
    <xf numFmtId="1" fontId="7" fillId="0" borderId="73" xfId="126" applyNumberFormat="1" applyFont="1" applyFill="1" applyBorder="1" applyAlignment="1" applyProtection="1">
      <alignment horizontal="right" wrapText="1"/>
      <protection hidden="1"/>
    </xf>
    <xf numFmtId="1" fontId="7" fillId="0" borderId="62" xfId="126" applyNumberFormat="1" applyFont="1" applyFill="1" applyBorder="1" applyAlignment="1" applyProtection="1">
      <alignment horizontal="right" wrapText="1"/>
      <protection hidden="1"/>
    </xf>
    <xf numFmtId="1" fontId="7" fillId="0" borderId="44" xfId="126" applyNumberFormat="1" applyFont="1" applyFill="1" applyBorder="1" applyAlignment="1" applyProtection="1">
      <alignment horizontal="right" wrapText="1"/>
      <protection hidden="1"/>
    </xf>
    <xf numFmtId="1" fontId="7" fillId="0" borderId="96" xfId="126" applyNumberFormat="1" applyFont="1" applyFill="1" applyBorder="1" applyAlignment="1" applyProtection="1">
      <alignment horizontal="right" wrapText="1"/>
      <protection hidden="1"/>
    </xf>
    <xf numFmtId="1" fontId="7" fillId="0" borderId="65" xfId="126" applyNumberFormat="1" applyFont="1" applyFill="1" applyBorder="1" applyAlignment="1" applyProtection="1">
      <alignment horizontal="right" wrapText="1"/>
      <protection hidden="1"/>
    </xf>
    <xf numFmtId="1" fontId="7" fillId="0" borderId="5" xfId="126" applyNumberFormat="1" applyFont="1" applyFill="1" applyBorder="1" applyAlignment="1" applyProtection="1">
      <alignment horizontal="right" wrapText="1"/>
      <protection hidden="1"/>
    </xf>
    <xf numFmtId="1" fontId="7" fillId="0" borderId="83" xfId="126" applyNumberFormat="1" applyFont="1" applyFill="1" applyBorder="1" applyAlignment="1" applyProtection="1">
      <alignment horizontal="right" wrapText="1"/>
      <protection hidden="1"/>
    </xf>
    <xf numFmtId="1" fontId="7" fillId="0" borderId="81" xfId="126" applyNumberFormat="1" applyFont="1" applyFill="1" applyBorder="1" applyAlignment="1" applyProtection="1">
      <alignment horizontal="right" wrapText="1"/>
      <protection hidden="1"/>
    </xf>
    <xf numFmtId="1" fontId="7" fillId="0" borderId="30" xfId="0" applyNumberFormat="1" applyFont="1" applyFill="1" applyBorder="1" applyAlignment="1" applyProtection="1">
      <alignment horizontal="right"/>
    </xf>
    <xf numFmtId="1" fontId="7" fillId="15" borderId="70" xfId="0" applyNumberFormat="1" applyFont="1" applyFill="1" applyBorder="1" applyAlignment="1" applyProtection="1">
      <alignment horizontal="right"/>
      <protection locked="0"/>
    </xf>
    <xf numFmtId="1" fontId="7" fillId="15" borderId="24" xfId="0" applyNumberFormat="1" applyFont="1" applyFill="1" applyBorder="1" applyAlignment="1" applyProtection="1">
      <alignment horizontal="right"/>
      <protection locked="0"/>
    </xf>
    <xf numFmtId="1" fontId="7" fillId="15" borderId="25" xfId="0" applyNumberFormat="1" applyFont="1" applyFill="1" applyBorder="1" applyAlignment="1" applyProtection="1">
      <alignment horizontal="right"/>
      <protection locked="0"/>
    </xf>
    <xf numFmtId="1" fontId="7" fillId="20" borderId="24" xfId="0" applyNumberFormat="1" applyFont="1" applyFill="1" applyBorder="1" applyAlignment="1" applyProtection="1">
      <alignment horizontal="right"/>
    </xf>
    <xf numFmtId="1" fontId="7" fillId="15" borderId="26" xfId="0" applyNumberFormat="1" applyFont="1" applyFill="1" applyBorder="1" applyAlignment="1" applyProtection="1">
      <alignment horizontal="right"/>
      <protection locked="0"/>
    </xf>
    <xf numFmtId="1" fontId="7" fillId="15" borderId="57" xfId="0" applyNumberFormat="1" applyFont="1" applyFill="1" applyBorder="1" applyAlignment="1" applyProtection="1">
      <alignment horizontal="right"/>
      <protection locked="0"/>
    </xf>
    <xf numFmtId="1" fontId="7" fillId="15" borderId="27" xfId="0" applyNumberFormat="1" applyFont="1" applyFill="1" applyBorder="1" applyAlignment="1" applyProtection="1">
      <alignment horizontal="right"/>
      <protection locked="0"/>
    </xf>
    <xf numFmtId="1" fontId="7" fillId="0" borderId="11" xfId="0" applyNumberFormat="1" applyFont="1" applyFill="1" applyBorder="1" applyAlignment="1" applyProtection="1">
      <alignment horizontal="right"/>
    </xf>
    <xf numFmtId="1" fontId="7" fillId="15" borderId="88" xfId="0" applyNumberFormat="1" applyFont="1" applyFill="1" applyBorder="1" applyAlignment="1" applyProtection="1">
      <alignment horizontal="right"/>
      <protection locked="0"/>
    </xf>
    <xf numFmtId="1" fontId="7" fillId="15" borderId="107" xfId="0" applyNumberFormat="1" applyFont="1" applyFill="1" applyBorder="1" applyAlignment="1" applyProtection="1">
      <alignment horizontal="right"/>
      <protection locked="0"/>
    </xf>
    <xf numFmtId="1" fontId="7" fillId="15" borderId="126" xfId="0" applyNumberFormat="1" applyFont="1" applyFill="1" applyBorder="1" applyAlignment="1" applyProtection="1">
      <alignment horizontal="right"/>
      <protection locked="0"/>
    </xf>
    <xf numFmtId="1" fontId="7" fillId="15" borderId="130" xfId="0" applyNumberFormat="1" applyFont="1" applyFill="1" applyBorder="1" applyAlignment="1" applyProtection="1">
      <alignment horizontal="right"/>
      <protection locked="0"/>
    </xf>
    <xf numFmtId="1" fontId="7" fillId="20" borderId="145" xfId="0" applyNumberFormat="1" applyFont="1" applyFill="1" applyBorder="1" applyAlignment="1" applyProtection="1">
      <alignment horizontal="right"/>
    </xf>
    <xf numFmtId="1" fontId="7" fillId="15" borderId="145" xfId="0" applyNumberFormat="1" applyFont="1" applyFill="1" applyBorder="1" applyAlignment="1" applyProtection="1">
      <alignment horizontal="right"/>
      <protection locked="0"/>
    </xf>
    <xf numFmtId="1" fontId="7" fillId="15" borderId="29" xfId="0" applyNumberFormat="1" applyFont="1" applyFill="1" applyBorder="1" applyAlignment="1" applyProtection="1">
      <alignment horizontal="right"/>
      <protection locked="0"/>
    </xf>
    <xf numFmtId="1" fontId="7" fillId="0" borderId="78" xfId="0" applyNumberFormat="1" applyFont="1" applyFill="1" applyBorder="1" applyAlignment="1" applyProtection="1">
      <alignment horizontal="right"/>
    </xf>
    <xf numFmtId="1" fontId="7" fillId="15" borderId="31" xfId="0" applyNumberFormat="1" applyFont="1" applyFill="1" applyBorder="1" applyAlignment="1" applyProtection="1">
      <alignment horizontal="right"/>
      <protection locked="0"/>
    </xf>
    <xf numFmtId="1" fontId="7" fillId="15" borderId="32" xfId="0" applyNumberFormat="1" applyFont="1" applyFill="1" applyBorder="1" applyAlignment="1" applyProtection="1">
      <alignment horizontal="right"/>
      <protection locked="0"/>
    </xf>
    <xf numFmtId="1" fontId="7" fillId="20" borderId="31" xfId="0" applyNumberFormat="1" applyFont="1" applyFill="1" applyBorder="1" applyAlignment="1" applyProtection="1">
      <alignment horizontal="right"/>
    </xf>
    <xf numFmtId="1" fontId="7" fillId="15" borderId="34" xfId="0" applyNumberFormat="1" applyFont="1" applyFill="1" applyBorder="1" applyAlignment="1" applyProtection="1">
      <alignment horizontal="right"/>
      <protection locked="0"/>
    </xf>
    <xf numFmtId="1" fontId="7" fillId="15" borderId="36" xfId="0" applyNumberFormat="1" applyFont="1" applyFill="1" applyBorder="1" applyAlignment="1" applyProtection="1">
      <alignment horizontal="right"/>
      <protection locked="0"/>
    </xf>
    <xf numFmtId="1" fontId="7" fillId="15" borderId="21" xfId="0" applyNumberFormat="1" applyFont="1" applyFill="1" applyBorder="1" applyAlignment="1" applyProtection="1">
      <alignment horizontal="right"/>
      <protection locked="0"/>
    </xf>
    <xf numFmtId="1" fontId="7" fillId="20" borderId="60" xfId="0" applyNumberFormat="1" applyFont="1" applyFill="1" applyBorder="1" applyAlignment="1" applyProtection="1">
      <alignment horizontal="right"/>
    </xf>
    <xf numFmtId="1" fontId="7" fillId="15" borderId="60" xfId="0" applyNumberFormat="1" applyFont="1" applyFill="1" applyBorder="1" applyAlignment="1" applyProtection="1">
      <alignment horizontal="right"/>
      <protection locked="0"/>
    </xf>
    <xf numFmtId="1" fontId="7" fillId="15" borderId="39" xfId="0" applyNumberFormat="1" applyFont="1" applyFill="1" applyBorder="1" applyAlignment="1" applyProtection="1">
      <alignment horizontal="right"/>
      <protection locked="0"/>
    </xf>
    <xf numFmtId="1" fontId="7" fillId="15" borderId="40" xfId="0" applyNumberFormat="1" applyFont="1" applyFill="1" applyBorder="1" applyAlignment="1" applyProtection="1">
      <alignment horizontal="right"/>
      <protection locked="0"/>
    </xf>
    <xf numFmtId="1" fontId="7" fillId="15" borderId="41" xfId="0" applyNumberFormat="1" applyFont="1" applyFill="1" applyBorder="1" applyAlignment="1" applyProtection="1">
      <alignment horizontal="right"/>
      <protection locked="0"/>
    </xf>
    <xf numFmtId="1" fontId="7" fillId="20" borderId="63" xfId="0" applyNumberFormat="1" applyFont="1" applyFill="1" applyBorder="1" applyAlignment="1" applyProtection="1">
      <alignment horizontal="right"/>
    </xf>
    <xf numFmtId="1" fontId="7" fillId="15" borderId="63" xfId="0" applyNumberFormat="1" applyFont="1" applyFill="1" applyBorder="1" applyAlignment="1" applyProtection="1">
      <alignment horizontal="right"/>
      <protection locked="0"/>
    </xf>
    <xf numFmtId="1" fontId="7" fillId="15" borderId="44" xfId="0" applyNumberFormat="1" applyFont="1" applyFill="1" applyBorder="1" applyAlignment="1" applyProtection="1">
      <alignment horizontal="right"/>
      <protection locked="0"/>
    </xf>
    <xf numFmtId="1" fontId="7" fillId="15" borderId="38" xfId="0" applyNumberFormat="1" applyFont="1" applyFill="1" applyBorder="1" applyAlignment="1" applyProtection="1">
      <alignment horizontal="right"/>
      <protection locked="0"/>
    </xf>
    <xf numFmtId="1" fontId="7" fillId="20" borderId="142" xfId="0" applyNumberFormat="1" applyFont="1" applyFill="1" applyBorder="1" applyAlignment="1" applyProtection="1">
      <alignment horizontal="right"/>
    </xf>
    <xf numFmtId="1" fontId="7" fillId="15" borderId="127" xfId="0" applyNumberFormat="1" applyFont="1" applyFill="1" applyBorder="1" applyAlignment="1" applyProtection="1">
      <alignment horizontal="right"/>
      <protection locked="0"/>
    </xf>
    <xf numFmtId="1" fontId="7" fillId="0" borderId="79" xfId="0" applyNumberFormat="1" applyFont="1" applyFill="1" applyBorder="1" applyAlignment="1" applyProtection="1">
      <alignment horizontal="right"/>
    </xf>
    <xf numFmtId="1" fontId="7" fillId="15" borderId="120" xfId="0" applyNumberFormat="1" applyFont="1" applyFill="1" applyBorder="1" applyAlignment="1" applyProtection="1">
      <alignment horizontal="right"/>
      <protection locked="0"/>
    </xf>
    <xf numFmtId="1" fontId="7" fillId="15" borderId="131" xfId="0" applyNumberFormat="1" applyFont="1" applyFill="1" applyBorder="1" applyAlignment="1" applyProtection="1">
      <alignment horizontal="right"/>
      <protection locked="0"/>
    </xf>
    <xf numFmtId="1" fontId="7" fillId="15" borderId="100" xfId="0" applyNumberFormat="1" applyFont="1" applyFill="1" applyBorder="1" applyAlignment="1" applyProtection="1">
      <alignment horizontal="right"/>
      <protection locked="0"/>
    </xf>
    <xf numFmtId="1" fontId="7" fillId="15" borderId="94" xfId="0" applyNumberFormat="1" applyFont="1" applyFill="1" applyBorder="1" applyAlignment="1" applyProtection="1">
      <alignment horizontal="right"/>
      <protection locked="0"/>
    </xf>
    <xf numFmtId="1" fontId="7" fillId="20" borderId="156" xfId="0" applyNumberFormat="1" applyFont="1" applyFill="1" applyBorder="1" applyAlignment="1" applyProtection="1">
      <alignment horizontal="right"/>
    </xf>
    <xf numFmtId="1" fontId="7" fillId="0" borderId="45" xfId="0" applyNumberFormat="1" applyFont="1" applyFill="1" applyBorder="1" applyAlignment="1" applyProtection="1">
      <alignment horizontal="right"/>
    </xf>
    <xf numFmtId="1" fontId="7" fillId="15" borderId="109" xfId="0" applyNumberFormat="1" applyFont="1" applyFill="1" applyBorder="1" applyAlignment="1" applyProtection="1">
      <alignment horizontal="right"/>
      <protection locked="0"/>
    </xf>
    <xf numFmtId="1" fontId="7" fillId="15" borderId="43" xfId="0" applyNumberFormat="1" applyFont="1" applyFill="1" applyBorder="1" applyAlignment="1" applyProtection="1">
      <alignment horizontal="right"/>
      <protection locked="0"/>
    </xf>
    <xf numFmtId="1" fontId="7" fillId="0" borderId="139" xfId="0" applyNumberFormat="1" applyFont="1" applyFill="1" applyBorder="1" applyAlignment="1" applyProtection="1">
      <alignment horizontal="right"/>
    </xf>
    <xf numFmtId="1" fontId="7" fillId="0" borderId="46" xfId="0" applyNumberFormat="1" applyFont="1" applyFill="1" applyBorder="1" applyAlignment="1" applyProtection="1">
      <alignment horizontal="right"/>
    </xf>
    <xf numFmtId="1" fontId="7" fillId="0" borderId="103" xfId="0" applyNumberFormat="1" applyFont="1" applyFill="1" applyBorder="1" applyAlignment="1" applyProtection="1">
      <alignment horizontal="right"/>
    </xf>
    <xf numFmtId="1" fontId="7" fillId="0" borderId="161" xfId="0" applyNumberFormat="1" applyFont="1" applyFill="1" applyBorder="1" applyAlignment="1" applyProtection="1">
      <alignment horizontal="right"/>
    </xf>
    <xf numFmtId="1" fontId="7" fillId="15" borderId="50" xfId="0" applyNumberFormat="1" applyFont="1" applyFill="1" applyBorder="1" applyAlignment="1" applyProtection="1">
      <alignment horizontal="right"/>
      <protection locked="0"/>
    </xf>
    <xf numFmtId="1" fontId="7" fillId="15" borderId="174" xfId="0" applyNumberFormat="1" applyFont="1" applyFill="1" applyBorder="1" applyAlignment="1" applyProtection="1">
      <alignment horizontal="right"/>
      <protection locked="0"/>
    </xf>
    <xf numFmtId="1" fontId="7" fillId="0" borderId="162" xfId="0" applyNumberFormat="1" applyFont="1" applyFill="1" applyBorder="1" applyAlignment="1" applyProtection="1">
      <alignment horizontal="right"/>
    </xf>
    <xf numFmtId="1" fontId="7" fillId="15" borderId="52" xfId="0" applyNumberFormat="1" applyFont="1" applyFill="1" applyBorder="1" applyAlignment="1" applyProtection="1">
      <alignment horizontal="right"/>
      <protection locked="0"/>
    </xf>
    <xf numFmtId="1" fontId="7" fillId="15" borderId="53" xfId="0" applyNumberFormat="1" applyFont="1" applyFill="1" applyBorder="1" applyAlignment="1" applyProtection="1">
      <alignment horizontal="right"/>
      <protection locked="0"/>
    </xf>
    <xf numFmtId="1" fontId="7" fillId="15" borderId="55" xfId="0" applyNumberFormat="1" applyFont="1" applyFill="1" applyBorder="1" applyAlignment="1" applyProtection="1">
      <alignment horizontal="right"/>
      <protection locked="0"/>
    </xf>
    <xf numFmtId="1" fontId="7" fillId="15" borderId="56" xfId="0" applyNumberFormat="1" applyFont="1" applyFill="1" applyBorder="1" applyAlignment="1" applyProtection="1">
      <alignment horizontal="right"/>
      <protection locked="0"/>
    </xf>
    <xf numFmtId="1" fontId="7" fillId="15" borderId="58" xfId="0" applyNumberFormat="1" applyFont="1" applyFill="1" applyBorder="1" applyAlignment="1" applyProtection="1">
      <alignment horizontal="right"/>
      <protection locked="0"/>
    </xf>
    <xf numFmtId="1" fontId="7" fillId="15" borderId="59" xfId="0" applyNumberFormat="1" applyFont="1" applyFill="1" applyBorder="1" applyAlignment="1" applyProtection="1">
      <alignment horizontal="right"/>
      <protection locked="0"/>
    </xf>
    <xf numFmtId="1" fontId="7" fillId="15" borderId="61" xfId="0" applyNumberFormat="1" applyFont="1" applyFill="1" applyBorder="1" applyAlignment="1" applyProtection="1">
      <alignment horizontal="right"/>
      <protection locked="0"/>
    </xf>
    <xf numFmtId="1" fontId="7" fillId="15" borderId="62" xfId="0" applyNumberFormat="1" applyFont="1" applyFill="1" applyBorder="1" applyAlignment="1" applyProtection="1">
      <alignment horizontal="right"/>
      <protection locked="0"/>
    </xf>
    <xf numFmtId="1" fontId="7" fillId="0" borderId="64" xfId="0" applyNumberFormat="1" applyFont="1" applyFill="1" applyBorder="1" applyAlignment="1" applyProtection="1">
      <alignment horizontal="right"/>
    </xf>
    <xf numFmtId="1" fontId="7" fillId="0" borderId="65" xfId="0" applyNumberFormat="1" applyFont="1" applyFill="1" applyBorder="1" applyAlignment="1" applyProtection="1">
      <alignment horizontal="right"/>
    </xf>
    <xf numFmtId="1" fontId="7" fillId="0" borderId="66" xfId="0" applyNumberFormat="1" applyFont="1" applyFill="1" applyBorder="1" applyAlignment="1" applyProtection="1">
      <alignment horizontal="right"/>
    </xf>
    <xf numFmtId="1" fontId="7" fillId="0" borderId="67" xfId="0" applyNumberFormat="1" applyFont="1" applyFill="1" applyBorder="1" applyAlignment="1" applyProtection="1">
      <alignment horizontal="right"/>
    </xf>
    <xf numFmtId="1" fontId="7" fillId="15" borderId="30" xfId="0" applyNumberFormat="1" applyFont="1" applyFill="1" applyBorder="1" applyAlignment="1" applyProtection="1">
      <alignment horizontal="right"/>
      <protection locked="0"/>
    </xf>
    <xf numFmtId="1" fontId="7" fillId="15" borderId="35" xfId="0" applyNumberFormat="1" applyFont="1" applyFill="1" applyBorder="1" applyAlignment="1" applyProtection="1">
      <alignment horizontal="right"/>
      <protection locked="0"/>
    </xf>
    <xf numFmtId="1" fontId="7" fillId="0" borderId="35" xfId="0" applyNumberFormat="1" applyFont="1" applyFill="1" applyBorder="1" applyAlignment="1" applyProtection="1">
      <alignment horizontal="right"/>
    </xf>
    <xf numFmtId="1" fontId="7" fillId="15" borderId="69" xfId="0" applyNumberFormat="1" applyFont="1" applyFill="1" applyBorder="1" applyAlignment="1" applyProtection="1">
      <alignment horizontal="right"/>
      <protection locked="0"/>
    </xf>
    <xf numFmtId="1" fontId="7" fillId="0" borderId="1" xfId="0" applyNumberFormat="1" applyFont="1" applyFill="1" applyBorder="1" applyAlignment="1" applyProtection="1">
      <alignment horizontal="right"/>
    </xf>
    <xf numFmtId="1" fontId="7" fillId="17" borderId="30" xfId="0" applyNumberFormat="1" applyFont="1" applyFill="1" applyBorder="1" applyAlignment="1" applyProtection="1">
      <alignment horizontal="right"/>
    </xf>
    <xf numFmtId="1" fontId="7" fillId="17" borderId="35" xfId="0" applyNumberFormat="1" applyFont="1" applyFill="1" applyBorder="1" applyAlignment="1" applyProtection="1">
      <alignment horizontal="right"/>
    </xf>
    <xf numFmtId="1" fontId="7" fillId="17" borderId="45" xfId="0" applyNumberFormat="1" applyFont="1" applyFill="1" applyBorder="1" applyAlignment="1" applyProtection="1">
      <alignment horizontal="right"/>
    </xf>
    <xf numFmtId="1" fontId="7" fillId="15" borderId="45" xfId="0" applyNumberFormat="1" applyFont="1" applyFill="1" applyBorder="1" applyAlignment="1" applyProtection="1">
      <alignment horizontal="right"/>
      <protection locked="0"/>
    </xf>
    <xf numFmtId="1" fontId="7" fillId="17" borderId="1" xfId="0" applyNumberFormat="1" applyFont="1" applyFill="1" applyBorder="1" applyAlignment="1" applyProtection="1">
      <alignment horizontal="right"/>
    </xf>
    <xf numFmtId="1" fontId="7" fillId="15" borderId="1" xfId="0" applyNumberFormat="1" applyFont="1" applyFill="1" applyBorder="1" applyAlignment="1" applyProtection="1">
      <alignment horizontal="right"/>
      <protection locked="0"/>
    </xf>
    <xf numFmtId="1" fontId="31" fillId="0" borderId="30" xfId="0" applyNumberFormat="1" applyFont="1" applyFill="1" applyBorder="1" applyAlignment="1" applyProtection="1">
      <alignment horizontal="right"/>
    </xf>
    <xf numFmtId="1" fontId="31" fillId="15" borderId="70" xfId="0" applyNumberFormat="1" applyFont="1" applyFill="1" applyBorder="1" applyAlignment="1" applyProtection="1">
      <alignment horizontal="right"/>
      <protection locked="0"/>
    </xf>
    <xf numFmtId="1" fontId="31" fillId="15" borderId="24" xfId="0" applyNumberFormat="1" applyFont="1" applyFill="1" applyBorder="1" applyAlignment="1" applyProtection="1">
      <alignment horizontal="right"/>
      <protection locked="0"/>
    </xf>
    <xf numFmtId="1" fontId="31" fillId="15" borderId="27" xfId="0" applyNumberFormat="1" applyFont="1" applyFill="1" applyBorder="1" applyAlignment="1" applyProtection="1">
      <alignment horizontal="right"/>
      <protection locked="0"/>
    </xf>
    <xf numFmtId="1" fontId="31" fillId="0" borderId="35" xfId="0" applyNumberFormat="1" applyFont="1" applyFill="1" applyBorder="1" applyAlignment="1" applyProtection="1">
      <alignment horizontal="right"/>
    </xf>
    <xf numFmtId="1" fontId="31" fillId="15" borderId="36" xfId="0" applyNumberFormat="1" applyFont="1" applyFill="1" applyBorder="1" applyAlignment="1" applyProtection="1">
      <alignment horizontal="right"/>
      <protection locked="0"/>
    </xf>
    <xf numFmtId="1" fontId="31" fillId="15" borderId="21" xfId="0" applyNumberFormat="1" applyFont="1" applyFill="1" applyBorder="1" applyAlignment="1" applyProtection="1">
      <alignment horizontal="right"/>
      <protection locked="0"/>
    </xf>
    <xf numFmtId="1" fontId="31" fillId="15" borderId="39" xfId="0" applyNumberFormat="1" applyFont="1" applyFill="1" applyBorder="1" applyAlignment="1" applyProtection="1">
      <alignment horizontal="right"/>
      <protection locked="0"/>
    </xf>
    <xf numFmtId="1" fontId="31" fillId="0" borderId="78" xfId="0" applyNumberFormat="1" applyFont="1" applyFill="1" applyBorder="1" applyAlignment="1" applyProtection="1">
      <alignment horizontal="right"/>
    </xf>
    <xf numFmtId="1" fontId="31" fillId="15" borderId="31" xfId="0" applyNumberFormat="1" applyFont="1" applyFill="1" applyBorder="1" applyAlignment="1" applyProtection="1">
      <alignment horizontal="right"/>
      <protection locked="0"/>
    </xf>
    <xf numFmtId="1" fontId="31" fillId="15" borderId="34" xfId="0" applyNumberFormat="1" applyFont="1" applyFill="1" applyBorder="1" applyAlignment="1" applyProtection="1">
      <alignment horizontal="right"/>
      <protection locked="0"/>
    </xf>
    <xf numFmtId="1" fontId="31" fillId="0" borderId="69" xfId="0" applyNumberFormat="1" applyFont="1" applyFill="1" applyBorder="1" applyAlignment="1" applyProtection="1">
      <alignment horizontal="right"/>
    </xf>
    <xf numFmtId="1" fontId="31" fillId="15" borderId="107" xfId="0" applyNumberFormat="1" applyFont="1" applyFill="1" applyBorder="1" applyAlignment="1" applyProtection="1">
      <alignment horizontal="right"/>
      <protection locked="0"/>
    </xf>
    <xf numFmtId="1" fontId="31" fillId="15" borderId="127" xfId="0" applyNumberFormat="1" applyFont="1" applyFill="1" applyBorder="1" applyAlignment="1" applyProtection="1">
      <alignment horizontal="right"/>
      <protection locked="0"/>
    </xf>
    <xf numFmtId="1" fontId="31" fillId="22" borderId="107" xfId="0" applyNumberFormat="1" applyFont="1" applyFill="1" applyBorder="1" applyAlignment="1" applyProtection="1">
      <alignment horizontal="right"/>
    </xf>
    <xf numFmtId="1" fontId="31" fillId="22" borderId="83" xfId="0" applyNumberFormat="1" applyFont="1" applyFill="1" applyBorder="1" applyAlignment="1" applyProtection="1">
      <alignment horizontal="right"/>
    </xf>
    <xf numFmtId="1" fontId="31" fillId="22" borderId="64" xfId="0" applyNumberFormat="1" applyFont="1" applyFill="1" applyBorder="1" applyAlignment="1" applyProtection="1">
      <alignment horizontal="right"/>
    </xf>
    <xf numFmtId="1" fontId="7" fillId="15" borderId="132" xfId="0" applyNumberFormat="1" applyFont="1" applyFill="1" applyBorder="1" applyAlignment="1" applyProtection="1">
      <alignment horizontal="right"/>
      <protection locked="0"/>
    </xf>
    <xf numFmtId="1" fontId="7" fillId="15" borderId="110" xfId="0" applyNumberFormat="1" applyFont="1" applyFill="1" applyBorder="1" applyAlignment="1" applyProtection="1">
      <alignment horizontal="right"/>
      <protection locked="0"/>
    </xf>
    <xf numFmtId="1" fontId="7" fillId="15" borderId="121" xfId="0" applyNumberFormat="1" applyFont="1" applyFill="1" applyBorder="1" applyAlignment="1" applyProtection="1">
      <alignment horizontal="right"/>
      <protection locked="0"/>
    </xf>
    <xf numFmtId="1" fontId="7" fillId="0" borderId="88" xfId="0" applyNumberFormat="1" applyFont="1" applyFill="1" applyBorder="1" applyAlignment="1" applyProtection="1">
      <alignment horizontal="right"/>
    </xf>
    <xf numFmtId="1" fontId="7" fillId="0" borderId="88" xfId="0" applyNumberFormat="1" applyFont="1" applyFill="1" applyBorder="1" applyAlignment="1" applyProtection="1">
      <alignment horizontal="right" wrapText="1"/>
    </xf>
    <xf numFmtId="1" fontId="7" fillId="0" borderId="6" xfId="0" applyNumberFormat="1" applyFont="1" applyFill="1" applyBorder="1" applyAlignment="1" applyProtection="1">
      <alignment horizontal="right"/>
    </xf>
    <xf numFmtId="1" fontId="7" fillId="0" borderId="11" xfId="0" applyNumberFormat="1" applyFont="1" applyFill="1" applyBorder="1" applyAlignment="1" applyProtection="1">
      <alignment horizontal="right" wrapText="1"/>
    </xf>
    <xf numFmtId="1" fontId="7" fillId="15" borderId="89" xfId="0" applyNumberFormat="1" applyFont="1" applyFill="1" applyBorder="1" applyAlignment="1" applyProtection="1">
      <alignment horizontal="right"/>
      <protection locked="0"/>
    </xf>
    <xf numFmtId="1" fontId="7" fillId="15" borderId="71" xfId="0" applyNumberFormat="1" applyFont="1" applyFill="1" applyBorder="1" applyAlignment="1" applyProtection="1">
      <alignment horizontal="right"/>
      <protection locked="0"/>
    </xf>
    <xf numFmtId="1" fontId="7" fillId="15" borderId="72" xfId="0" applyNumberFormat="1" applyFont="1" applyFill="1" applyBorder="1" applyAlignment="1" applyProtection="1">
      <alignment horizontal="right"/>
      <protection locked="0"/>
    </xf>
    <xf numFmtId="1" fontId="7" fillId="15" borderId="108" xfId="0" applyNumberFormat="1" applyFont="1" applyFill="1" applyBorder="1" applyAlignment="1" applyProtection="1">
      <alignment horizontal="right"/>
      <protection locked="0"/>
    </xf>
    <xf numFmtId="1" fontId="7" fillId="0" borderId="29" xfId="125" applyNumberFormat="1" applyFont="1" applyFill="1" applyBorder="1" applyAlignment="1" applyProtection="1">
      <alignment horizontal="right" wrapText="1"/>
    </xf>
    <xf numFmtId="1" fontId="7" fillId="0" borderId="11" xfId="125" applyNumberFormat="1" applyFont="1" applyFill="1" applyBorder="1" applyAlignment="1" applyProtection="1">
      <alignment horizontal="right"/>
    </xf>
    <xf numFmtId="1" fontId="7" fillId="15" borderId="85" xfId="125" applyNumberFormat="1" applyFont="1" applyFill="1" applyBorder="1" applyAlignment="1" applyProtection="1">
      <alignment horizontal="right"/>
      <protection locked="0"/>
    </xf>
    <xf numFmtId="1" fontId="7" fillId="15" borderId="86" xfId="125" applyNumberFormat="1" applyFont="1" applyFill="1" applyBorder="1" applyAlignment="1" applyProtection="1">
      <alignment horizontal="right"/>
      <protection locked="0"/>
    </xf>
    <xf numFmtId="1" fontId="7" fillId="15" borderId="135" xfId="125" applyNumberFormat="1" applyFont="1" applyFill="1" applyBorder="1" applyAlignment="1" applyProtection="1">
      <alignment horizontal="right"/>
      <protection locked="0"/>
    </xf>
    <xf numFmtId="1" fontId="7" fillId="15" borderId="7" xfId="125" applyNumberFormat="1" applyFont="1" applyFill="1" applyBorder="1" applyAlignment="1" applyProtection="1">
      <alignment horizontal="right"/>
      <protection locked="0"/>
    </xf>
    <xf numFmtId="1" fontId="7" fillId="15" borderId="5" xfId="125" applyNumberFormat="1" applyFont="1" applyFill="1" applyBorder="1" applyAlignment="1" applyProtection="1">
      <alignment horizontal="right"/>
      <protection locked="0"/>
    </xf>
    <xf numFmtId="1" fontId="7" fillId="15" borderId="88" xfId="125" applyNumberFormat="1" applyFont="1" applyFill="1" applyBorder="1" applyAlignment="1" applyProtection="1">
      <alignment horizontal="right"/>
      <protection locked="0"/>
    </xf>
    <xf numFmtId="1" fontId="7" fillId="15" borderId="23" xfId="125" applyNumberFormat="1" applyFont="1" applyFill="1" applyBorder="1" applyAlignment="1" applyProtection="1">
      <alignment horizontal="right"/>
      <protection locked="0"/>
    </xf>
    <xf numFmtId="1" fontId="7" fillId="15" borderId="84" xfId="125" applyNumberFormat="1" applyFont="1" applyFill="1" applyBorder="1" applyAlignment="1" applyProtection="1">
      <alignment horizontal="right"/>
      <protection locked="0"/>
    </xf>
    <xf numFmtId="1" fontId="7" fillId="0" borderId="30" xfId="125" applyNumberFormat="1" applyFont="1" applyFill="1" applyBorder="1" applyAlignment="1" applyProtection="1">
      <alignment horizontal="right"/>
    </xf>
    <xf numFmtId="1" fontId="7" fillId="15" borderId="70" xfId="125" applyNumberFormat="1" applyFont="1" applyFill="1" applyBorder="1" applyAlignment="1" applyProtection="1">
      <alignment horizontal="right"/>
      <protection locked="0"/>
    </xf>
    <xf numFmtId="1" fontId="7" fillId="15" borderId="89" xfId="125" applyNumberFormat="1" applyFont="1" applyFill="1" applyBorder="1" applyAlignment="1" applyProtection="1">
      <alignment horizontal="right"/>
      <protection locked="0"/>
    </xf>
    <xf numFmtId="1" fontId="7" fillId="15" borderId="132" xfId="125" applyNumberFormat="1" applyFont="1" applyFill="1" applyBorder="1" applyAlignment="1" applyProtection="1">
      <alignment horizontal="right"/>
      <protection locked="0"/>
    </xf>
    <xf numFmtId="1" fontId="7" fillId="15" borderId="24" xfId="125" applyNumberFormat="1" applyFont="1" applyFill="1" applyBorder="1" applyAlignment="1" applyProtection="1">
      <alignment horizontal="right"/>
      <protection locked="0"/>
    </xf>
    <xf numFmtId="1" fontId="7" fillId="15" borderId="106" xfId="125" applyNumberFormat="1" applyFont="1" applyFill="1" applyBorder="1" applyAlignment="1" applyProtection="1">
      <alignment horizontal="right"/>
      <protection locked="0"/>
    </xf>
    <xf numFmtId="1" fontId="7" fillId="0" borderId="45" xfId="125" applyNumberFormat="1" applyFont="1" applyFill="1" applyBorder="1" applyAlignment="1" applyProtection="1">
      <alignment horizontal="right"/>
    </xf>
    <xf numFmtId="1" fontId="7" fillId="15" borderId="109" xfId="125" applyNumberFormat="1" applyFont="1" applyFill="1" applyBorder="1" applyAlignment="1" applyProtection="1">
      <alignment horizontal="right"/>
      <protection locked="0"/>
    </xf>
    <xf numFmtId="1" fontId="7" fillId="15" borderId="108" xfId="125" applyNumberFormat="1" applyFont="1" applyFill="1" applyBorder="1" applyAlignment="1" applyProtection="1">
      <alignment horizontal="right"/>
      <protection locked="0"/>
    </xf>
    <xf numFmtId="1" fontId="7" fillId="15" borderId="121" xfId="125" applyNumberFormat="1" applyFont="1" applyFill="1" applyBorder="1" applyAlignment="1" applyProtection="1">
      <alignment horizontal="right"/>
      <protection locked="0"/>
    </xf>
    <xf numFmtId="1" fontId="7" fillId="15" borderId="107" xfId="125" applyNumberFormat="1" applyFont="1" applyFill="1" applyBorder="1" applyAlignment="1" applyProtection="1">
      <alignment horizontal="right"/>
      <protection locked="0"/>
    </xf>
    <xf numFmtId="1" fontId="7" fillId="15" borderId="136" xfId="125" applyNumberFormat="1" applyFont="1" applyFill="1" applyBorder="1" applyAlignment="1" applyProtection="1">
      <alignment horizontal="right"/>
      <protection locked="0"/>
    </xf>
    <xf numFmtId="1" fontId="7" fillId="15" borderId="141" xfId="125" applyNumberFormat="1" applyFont="1" applyFill="1" applyBorder="1" applyAlignment="1" applyProtection="1">
      <alignment horizontal="right"/>
      <protection locked="0"/>
    </xf>
    <xf numFmtId="1" fontId="7" fillId="0" borderId="1" xfId="125" applyNumberFormat="1" applyFont="1" applyFill="1" applyBorder="1" applyAlignment="1" applyProtection="1">
      <alignment horizontal="right"/>
    </xf>
    <xf numFmtId="1" fontId="7" fillId="0" borderId="7" xfId="125" applyNumberFormat="1" applyFont="1" applyFill="1" applyBorder="1" applyAlignment="1" applyProtection="1">
      <alignment horizontal="right"/>
    </xf>
    <xf numFmtId="1" fontId="7" fillId="0" borderId="5" xfId="125" applyNumberFormat="1" applyFont="1" applyFill="1" applyBorder="1" applyAlignment="1" applyProtection="1">
      <alignment horizontal="right"/>
    </xf>
    <xf numFmtId="1" fontId="7" fillId="0" borderId="23" xfId="125" applyNumberFormat="1" applyFont="1" applyFill="1" applyBorder="1" applyAlignment="1" applyProtection="1">
      <alignment horizontal="right"/>
    </xf>
    <xf numFmtId="1" fontId="7" fillId="0" borderId="81" xfId="125" applyNumberFormat="1" applyFont="1" applyFill="1" applyBorder="1" applyAlignment="1" applyProtection="1">
      <alignment horizontal="right"/>
    </xf>
    <xf numFmtId="1" fontId="7" fillId="0" borderId="84" xfId="125" applyNumberFormat="1" applyFont="1" applyFill="1" applyBorder="1" applyAlignment="1" applyProtection="1">
      <alignment horizontal="right"/>
    </xf>
    <xf numFmtId="1" fontId="7" fillId="15" borderId="123" xfId="125" applyNumberFormat="1" applyFont="1" applyFill="1" applyBorder="1" applyAlignment="1" applyProtection="1">
      <alignment horizontal="right"/>
      <protection locked="0"/>
    </xf>
    <xf numFmtId="1" fontId="7" fillId="0" borderId="79" xfId="125" applyNumberFormat="1" applyFont="1" applyFill="1" applyBorder="1" applyAlignment="1" applyProtection="1">
      <alignment horizontal="right"/>
    </xf>
    <xf numFmtId="1" fontId="7" fillId="15" borderId="129" xfId="125" applyNumberFormat="1" applyFont="1" applyFill="1" applyBorder="1" applyAlignment="1" applyProtection="1">
      <alignment horizontal="right"/>
      <protection locked="0"/>
    </xf>
    <xf numFmtId="1" fontId="7" fillId="0" borderId="78" xfId="125" applyNumberFormat="1" applyFont="1" applyFill="1" applyBorder="1" applyAlignment="1" applyProtection="1">
      <alignment horizontal="right"/>
    </xf>
    <xf numFmtId="1" fontId="7" fillId="0" borderId="67" xfId="125" applyNumberFormat="1" applyFont="1" applyFill="1" applyBorder="1" applyAlignment="1" applyProtection="1">
      <alignment horizontal="right"/>
    </xf>
    <xf numFmtId="1" fontId="7" fillId="0" borderId="75" xfId="125" applyNumberFormat="1" applyFont="1" applyFill="1" applyBorder="1" applyAlignment="1" applyProtection="1">
      <alignment horizontal="right"/>
    </xf>
    <xf numFmtId="1" fontId="7" fillId="0" borderId="9" xfId="125" applyNumberFormat="1" applyFont="1" applyFill="1" applyBorder="1" applyAlignment="1" applyProtection="1">
      <alignment horizontal="right"/>
    </xf>
    <xf numFmtId="1" fontId="7" fillId="0" borderId="10" xfId="125" applyNumberFormat="1" applyFont="1" applyFill="1" applyBorder="1" applyAlignment="1" applyProtection="1">
      <alignment horizontal="right"/>
    </xf>
    <xf numFmtId="1" fontId="7" fillId="22" borderId="7" xfId="125" applyNumberFormat="1" applyFont="1" applyFill="1" applyBorder="1" applyAlignment="1" applyProtection="1">
      <alignment horizontal="right"/>
    </xf>
    <xf numFmtId="1" fontId="7" fillId="22" borderId="67" xfId="125" applyNumberFormat="1" applyFont="1" applyFill="1" applyBorder="1" applyAlignment="1" applyProtection="1">
      <alignment horizontal="right"/>
    </xf>
    <xf numFmtId="1" fontId="7" fillId="22" borderId="23" xfId="125" applyNumberFormat="1" applyFont="1" applyFill="1" applyBorder="1" applyAlignment="1" applyProtection="1">
      <alignment horizontal="right"/>
    </xf>
    <xf numFmtId="1" fontId="7" fillId="22" borderId="5" xfId="125" applyNumberFormat="1" applyFont="1" applyFill="1" applyBorder="1" applyAlignment="1" applyProtection="1">
      <alignment horizontal="right"/>
    </xf>
    <xf numFmtId="1" fontId="7" fillId="22" borderId="81" xfId="125" applyNumberFormat="1" applyFont="1" applyFill="1" applyBorder="1" applyAlignment="1" applyProtection="1">
      <alignment horizontal="right"/>
    </xf>
    <xf numFmtId="1" fontId="7" fillId="22" borderId="96" xfId="125" applyNumberFormat="1" applyFont="1" applyFill="1" applyBorder="1" applyAlignment="1" applyProtection="1">
      <alignment horizontal="right"/>
    </xf>
    <xf numFmtId="1" fontId="7" fillId="22" borderId="84" xfId="125" applyNumberFormat="1" applyFont="1" applyFill="1" applyBorder="1" applyAlignment="1" applyProtection="1">
      <alignment horizontal="right"/>
    </xf>
    <xf numFmtId="1" fontId="7" fillId="15" borderId="94" xfId="125" applyNumberFormat="1" applyFont="1" applyFill="1" applyBorder="1" applyAlignment="1" applyProtection="1">
      <alignment horizontal="right"/>
      <protection locked="0"/>
    </xf>
    <xf numFmtId="1" fontId="7" fillId="15" borderId="31" xfId="125" applyNumberFormat="1" applyFont="1" applyFill="1" applyBorder="1" applyAlignment="1" applyProtection="1">
      <alignment horizontal="right"/>
      <protection locked="0"/>
    </xf>
    <xf numFmtId="1" fontId="7" fillId="15" borderId="133" xfId="125" applyNumberFormat="1" applyFont="1" applyFill="1" applyBorder="1" applyAlignment="1" applyProtection="1">
      <alignment horizontal="right"/>
      <protection locked="0"/>
    </xf>
    <xf numFmtId="1" fontId="7" fillId="15" borderId="95" xfId="125" applyNumberFormat="1" applyFont="1" applyFill="1" applyBorder="1" applyAlignment="1" applyProtection="1">
      <alignment horizontal="right"/>
      <protection locked="0"/>
    </xf>
    <xf numFmtId="1" fontId="7" fillId="15" borderId="124" xfId="125" applyNumberFormat="1" applyFont="1" applyFill="1" applyBorder="1" applyAlignment="1" applyProtection="1">
      <alignment horizontal="right"/>
      <protection locked="0"/>
    </xf>
    <xf numFmtId="1" fontId="7" fillId="15" borderId="143" xfId="125" applyNumberFormat="1" applyFont="1" applyFill="1" applyBorder="1" applyAlignment="1" applyProtection="1">
      <alignment horizontal="right"/>
      <protection locked="0"/>
    </xf>
    <xf numFmtId="1" fontId="7" fillId="15" borderId="146" xfId="125" applyNumberFormat="1" applyFont="1" applyFill="1" applyBorder="1" applyAlignment="1" applyProtection="1">
      <alignment horizontal="right"/>
      <protection locked="0"/>
    </xf>
    <xf numFmtId="1" fontId="7" fillId="0" borderId="97" xfId="125" applyNumberFormat="1" applyFont="1" applyFill="1" applyBorder="1" applyAlignment="1" applyProtection="1">
      <alignment horizontal="right"/>
    </xf>
    <xf numFmtId="1" fontId="7" fillId="15" borderId="81" xfId="125" applyNumberFormat="1" applyFont="1" applyFill="1" applyBorder="1" applyAlignment="1" applyProtection="1">
      <alignment horizontal="right"/>
      <protection locked="0"/>
    </xf>
    <xf numFmtId="1" fontId="7" fillId="15" borderId="87" xfId="125" applyNumberFormat="1" applyFont="1" applyFill="1" applyBorder="1" applyAlignment="1" applyProtection="1">
      <alignment horizontal="right"/>
      <protection locked="0"/>
    </xf>
    <xf numFmtId="1" fontId="7" fillId="0" borderId="77" xfId="125" applyNumberFormat="1" applyFont="1" applyFill="1" applyBorder="1" applyAlignment="1" applyProtection="1">
      <alignment horizontal="right"/>
    </xf>
    <xf numFmtId="1" fontId="7" fillId="0" borderId="76" xfId="125" applyNumberFormat="1" applyFont="1" applyFill="1" applyBorder="1" applyAlignment="1" applyProtection="1">
      <alignment horizontal="right"/>
    </xf>
    <xf numFmtId="1" fontId="7" fillId="0" borderId="35" xfId="125" applyNumberFormat="1" applyFont="1" applyFill="1" applyBorder="1" applyAlignment="1" applyProtection="1">
      <alignment horizontal="right"/>
    </xf>
    <xf numFmtId="1" fontId="7" fillId="15" borderId="71" xfId="125" applyNumberFormat="1" applyFont="1" applyFill="1" applyBorder="1" applyAlignment="1" applyProtection="1">
      <alignment horizontal="right"/>
      <protection locked="0"/>
    </xf>
    <xf numFmtId="1" fontId="7" fillId="15" borderId="72" xfId="125" applyNumberFormat="1" applyFont="1" applyFill="1" applyBorder="1" applyAlignment="1" applyProtection="1">
      <alignment horizontal="right"/>
      <protection locked="0"/>
    </xf>
    <xf numFmtId="1" fontId="7" fillId="15" borderId="110" xfId="125" applyNumberFormat="1" applyFont="1" applyFill="1" applyBorder="1" applyAlignment="1" applyProtection="1">
      <alignment horizontal="right"/>
      <protection locked="0"/>
    </xf>
    <xf numFmtId="1" fontId="7" fillId="15" borderId="36" xfId="125" applyNumberFormat="1" applyFont="1" applyFill="1" applyBorder="1" applyAlignment="1" applyProtection="1">
      <alignment horizontal="right"/>
      <protection locked="0"/>
    </xf>
    <xf numFmtId="1" fontId="7" fillId="15" borderId="98" xfId="125" applyNumberFormat="1" applyFont="1" applyFill="1" applyBorder="1" applyAlignment="1" applyProtection="1">
      <alignment horizontal="right"/>
      <protection locked="0"/>
    </xf>
    <xf numFmtId="1" fontId="7" fillId="15" borderId="37" xfId="125" applyNumberFormat="1" applyFont="1" applyFill="1" applyBorder="1" applyAlignment="1" applyProtection="1">
      <alignment horizontal="right"/>
      <protection locked="0"/>
    </xf>
    <xf numFmtId="1" fontId="7" fillId="0" borderId="92" xfId="125" applyNumberFormat="1" applyFont="1" applyFill="1" applyBorder="1" applyAlignment="1" applyProtection="1">
      <alignment horizontal="right"/>
    </xf>
    <xf numFmtId="1" fontId="7" fillId="15" borderId="73" xfId="125" applyNumberFormat="1" applyFont="1" applyFill="1" applyBorder="1" applyAlignment="1" applyProtection="1">
      <alignment horizontal="right"/>
      <protection locked="0"/>
    </xf>
    <xf numFmtId="1" fontId="7" fillId="15" borderId="93" xfId="125" applyNumberFormat="1" applyFont="1" applyFill="1" applyBorder="1" applyAlignment="1" applyProtection="1">
      <alignment horizontal="right"/>
      <protection locked="0"/>
    </xf>
    <xf numFmtId="1" fontId="7" fillId="15" borderId="40" xfId="125" applyNumberFormat="1" applyFont="1" applyFill="1" applyBorder="1" applyAlignment="1" applyProtection="1">
      <alignment horizontal="right"/>
      <protection locked="0"/>
    </xf>
    <xf numFmtId="1" fontId="7" fillId="15" borderId="134" xfId="125" applyNumberFormat="1" applyFont="1" applyFill="1" applyBorder="1" applyAlignment="1" applyProtection="1">
      <alignment horizontal="right"/>
      <protection locked="0"/>
    </xf>
    <xf numFmtId="1" fontId="7" fillId="15" borderId="144" xfId="125" applyNumberFormat="1" applyFont="1" applyFill="1" applyBorder="1" applyAlignment="1" applyProtection="1">
      <alignment horizontal="right"/>
      <protection locked="0"/>
    </xf>
    <xf numFmtId="1" fontId="7" fillId="15" borderId="91" xfId="125" applyNumberFormat="1" applyFont="1" applyFill="1" applyBorder="1" applyAlignment="1" applyProtection="1">
      <alignment horizontal="right"/>
      <protection locked="0"/>
    </xf>
    <xf numFmtId="1" fontId="7" fillId="15" borderId="99" xfId="125" applyNumberFormat="1" applyFont="1" applyFill="1" applyBorder="1" applyAlignment="1" applyProtection="1">
      <alignment horizontal="right"/>
      <protection locked="0"/>
    </xf>
    <xf numFmtId="1" fontId="7" fillId="0" borderId="1" xfId="125" applyNumberFormat="1" applyFont="1" applyFill="1" applyBorder="1" applyAlignment="1" applyProtection="1">
      <alignment horizontal="right" wrapText="1"/>
    </xf>
    <xf numFmtId="1" fontId="7" fillId="0" borderId="79" xfId="125" applyNumberFormat="1" applyFont="1" applyFill="1" applyBorder="1" applyAlignment="1" applyProtection="1">
      <alignment horizontal="right" wrapText="1"/>
    </xf>
    <xf numFmtId="1" fontId="7" fillId="0" borderId="96" xfId="125" applyNumberFormat="1" applyFont="1" applyFill="1" applyBorder="1" applyAlignment="1" applyProtection="1">
      <alignment horizontal="right"/>
    </xf>
    <xf numFmtId="1" fontId="7" fillId="0" borderId="65" xfId="125" applyNumberFormat="1" applyFont="1" applyFill="1" applyBorder="1" applyAlignment="1" applyProtection="1">
      <alignment horizontal="right"/>
    </xf>
    <xf numFmtId="1" fontId="7" fillId="0" borderId="85" xfId="125" applyNumberFormat="1" applyFont="1" applyFill="1" applyBorder="1" applyAlignment="1" applyProtection="1">
      <alignment horizontal="right" wrapText="1"/>
    </xf>
    <xf numFmtId="1" fontId="7" fillId="0" borderId="67" xfId="125" applyNumberFormat="1" applyFont="1" applyFill="1" applyBorder="1" applyAlignment="1" applyProtection="1">
      <alignment horizontal="right" wrapText="1"/>
    </xf>
    <xf numFmtId="1" fontId="7" fillId="0" borderId="70" xfId="125" applyNumberFormat="1" applyFont="1" applyFill="1" applyBorder="1" applyAlignment="1" applyProtection="1">
      <alignment horizontal="right"/>
    </xf>
    <xf numFmtId="1" fontId="7" fillId="0" borderId="27" xfId="125" applyNumberFormat="1" applyFont="1" applyFill="1" applyBorder="1" applyAlignment="1" applyProtection="1">
      <alignment horizontal="right"/>
    </xf>
    <xf numFmtId="1" fontId="7" fillId="0" borderId="71" xfId="125" applyNumberFormat="1" applyFont="1" applyFill="1" applyBorder="1" applyAlignment="1" applyProtection="1">
      <alignment horizontal="right"/>
    </xf>
    <xf numFmtId="1" fontId="7" fillId="0" borderId="39" xfId="125" applyNumberFormat="1" applyFont="1" applyFill="1" applyBorder="1" applyAlignment="1" applyProtection="1">
      <alignment horizontal="right"/>
    </xf>
    <xf numFmtId="1" fontId="7" fillId="0" borderId="73" xfId="125" applyNumberFormat="1" applyFont="1" applyFill="1" applyBorder="1" applyAlignment="1" applyProtection="1">
      <alignment horizontal="right"/>
    </xf>
    <xf numFmtId="1" fontId="7" fillId="0" borderId="44" xfId="125" applyNumberFormat="1" applyFont="1" applyFill="1" applyBorder="1" applyAlignment="1" applyProtection="1">
      <alignment horizontal="right"/>
    </xf>
    <xf numFmtId="1" fontId="7" fillId="0" borderId="94" xfId="125" applyNumberFormat="1" applyFont="1" applyFill="1" applyBorder="1" applyAlignment="1" applyProtection="1">
      <alignment horizontal="right"/>
    </xf>
    <xf numFmtId="1" fontId="7" fillId="0" borderId="34" xfId="125" applyNumberFormat="1" applyFont="1" applyFill="1" applyBorder="1" applyAlignment="1" applyProtection="1">
      <alignment horizontal="right"/>
    </xf>
    <xf numFmtId="1" fontId="31" fillId="22" borderId="7" xfId="125" applyNumberFormat="1" applyFont="1" applyFill="1" applyBorder="1" applyAlignment="1" applyProtection="1">
      <alignment horizontal="right"/>
    </xf>
    <xf numFmtId="1" fontId="31" fillId="22" borderId="5" xfId="125" applyNumberFormat="1" applyFont="1" applyFill="1" applyBorder="1" applyAlignment="1" applyProtection="1">
      <alignment horizontal="right"/>
    </xf>
    <xf numFmtId="1" fontId="7" fillId="0" borderId="85" xfId="125" applyNumberFormat="1" applyFont="1" applyFill="1" applyBorder="1" applyAlignment="1" applyProtection="1">
      <alignment horizontal="right"/>
    </xf>
    <xf numFmtId="1" fontId="7" fillId="0" borderId="29" xfId="125" applyNumberFormat="1" applyFont="1" applyFill="1" applyBorder="1" applyAlignment="1" applyProtection="1">
      <alignment horizontal="right"/>
    </xf>
    <xf numFmtId="1" fontId="7" fillId="0" borderId="7" xfId="125" applyNumberFormat="1" applyFont="1" applyFill="1" applyBorder="1" applyAlignment="1" applyProtection="1">
      <alignment horizontal="right" wrapText="1"/>
    </xf>
    <xf numFmtId="1" fontId="7" fillId="0" borderId="101" xfId="125" applyNumberFormat="1" applyFont="1" applyFill="1" applyBorder="1" applyAlignment="1" applyProtection="1">
      <alignment horizontal="right" wrapText="1"/>
    </xf>
    <xf numFmtId="1" fontId="7" fillId="0" borderId="100" xfId="125" applyNumberFormat="1" applyFont="1" applyFill="1" applyBorder="1" applyAlignment="1" applyProtection="1">
      <alignment horizontal="right"/>
    </xf>
    <xf numFmtId="1" fontId="7" fillId="0" borderId="69" xfId="0" applyNumberFormat="1" applyFont="1" applyFill="1" applyBorder="1" applyAlignment="1" applyProtection="1">
      <alignment horizontal="right"/>
    </xf>
    <xf numFmtId="1" fontId="7" fillId="15" borderId="73" xfId="0" applyNumberFormat="1" applyFont="1" applyFill="1" applyBorder="1" applyAlignment="1" applyProtection="1">
      <alignment horizontal="right"/>
      <protection locked="0"/>
    </xf>
    <xf numFmtId="1" fontId="7" fillId="15" borderId="93" xfId="0" applyNumberFormat="1" applyFont="1" applyFill="1" applyBorder="1" applyAlignment="1" applyProtection="1">
      <alignment horizontal="right"/>
      <protection locked="0"/>
    </xf>
    <xf numFmtId="1" fontId="7" fillId="15" borderId="25" xfId="125" applyNumberFormat="1" applyFont="1" applyFill="1" applyBorder="1" applyAlignment="1" applyProtection="1">
      <alignment horizontal="right"/>
      <protection locked="0"/>
    </xf>
    <xf numFmtId="1" fontId="7" fillId="15" borderId="21" xfId="125" applyNumberFormat="1" applyFont="1" applyFill="1" applyBorder="1" applyAlignment="1" applyProtection="1">
      <alignment horizontal="right"/>
      <protection locked="0"/>
    </xf>
    <xf numFmtId="1" fontId="7" fillId="15" borderId="59" xfId="125" applyNumberFormat="1" applyFont="1" applyFill="1" applyBorder="1" applyAlignment="1" applyProtection="1">
      <alignment horizontal="right"/>
      <protection locked="0"/>
    </xf>
    <xf numFmtId="1" fontId="7" fillId="0" borderId="69" xfId="125" applyNumberFormat="1" applyFont="1" applyFill="1" applyBorder="1" applyAlignment="1" applyProtection="1">
      <alignment horizontal="right"/>
    </xf>
    <xf numFmtId="1" fontId="7" fillId="15" borderId="126" xfId="125" applyNumberFormat="1" applyFont="1" applyFill="1" applyBorder="1" applyAlignment="1" applyProtection="1">
      <alignment horizontal="right"/>
      <protection locked="0"/>
    </xf>
    <xf numFmtId="1" fontId="7" fillId="15" borderId="104" xfId="125" applyNumberFormat="1" applyFont="1" applyFill="1" applyBorder="1" applyAlignment="1" applyProtection="1">
      <alignment horizontal="right"/>
      <protection locked="0"/>
    </xf>
    <xf numFmtId="1" fontId="7" fillId="0" borderId="8" xfId="125" applyNumberFormat="1" applyFont="1" applyFill="1" applyBorder="1" applyAlignment="1" applyProtection="1">
      <alignment horizontal="right"/>
    </xf>
    <xf numFmtId="1" fontId="7" fillId="0" borderId="64" xfId="125" applyNumberFormat="1" applyFont="1" applyFill="1" applyBorder="1" applyAlignment="1" applyProtection="1">
      <alignment horizontal="right"/>
    </xf>
    <xf numFmtId="1" fontId="7" fillId="15" borderId="30" xfId="125" applyNumberFormat="1" applyFont="1" applyFill="1" applyBorder="1" applyAlignment="1" applyProtection="1">
      <alignment horizontal="right"/>
      <protection locked="0"/>
    </xf>
    <xf numFmtId="1" fontId="7" fillId="15" borderId="69" xfId="125" applyNumberFormat="1" applyFont="1" applyFill="1" applyBorder="1" applyAlignment="1" applyProtection="1">
      <alignment horizontal="right"/>
      <protection locked="0"/>
    </xf>
    <xf numFmtId="1" fontId="7" fillId="0" borderId="70" xfId="126" applyNumberFormat="1" applyFont="1" applyFill="1" applyBorder="1" applyAlignment="1" applyProtection="1">
      <alignment horizontal="right"/>
    </xf>
    <xf numFmtId="1" fontId="7" fillId="0" borderId="25" xfId="126" applyNumberFormat="1" applyFont="1" applyFill="1" applyBorder="1" applyAlignment="1" applyProtection="1">
      <alignment horizontal="right"/>
    </xf>
    <xf numFmtId="1" fontId="7" fillId="0" borderId="71" xfId="126" applyNumberFormat="1" applyFont="1" applyFill="1" applyBorder="1" applyAlignment="1" applyProtection="1">
      <alignment horizontal="right"/>
    </xf>
    <xf numFmtId="1" fontId="7" fillId="0" borderId="21" xfId="126" applyNumberFormat="1" applyFont="1" applyFill="1" applyBorder="1" applyAlignment="1" applyProtection="1">
      <alignment horizontal="right"/>
    </xf>
    <xf numFmtId="1" fontId="7" fillId="0" borderId="72" xfId="126" applyNumberFormat="1" applyFont="1" applyFill="1" applyBorder="1" applyAlignment="1" applyProtection="1">
      <alignment horizontal="right"/>
    </xf>
    <xf numFmtId="1" fontId="7" fillId="0" borderId="109" xfId="126" applyNumberFormat="1" applyFont="1" applyFill="1" applyBorder="1" applyAlignment="1" applyProtection="1">
      <alignment horizontal="right"/>
    </xf>
    <xf numFmtId="1" fontId="7" fillId="0" borderId="126" xfId="126" applyNumberFormat="1" applyFont="1" applyFill="1" applyBorder="1" applyAlignment="1" applyProtection="1">
      <alignment horizontal="right"/>
    </xf>
    <xf numFmtId="1" fontId="7" fillId="0" borderId="108" xfId="126" applyNumberFormat="1" applyFont="1" applyFill="1" applyBorder="1" applyAlignment="1" applyProtection="1">
      <alignment horizontal="right"/>
    </xf>
    <xf numFmtId="1" fontId="7" fillId="0" borderId="94" xfId="126" applyNumberFormat="1" applyFont="1" applyFill="1" applyBorder="1" applyAlignment="1" applyProtection="1">
      <alignment horizontal="right"/>
    </xf>
    <xf numFmtId="1" fontId="7" fillId="0" borderId="31" xfId="126" applyNumberFormat="1" applyFont="1" applyFill="1" applyBorder="1" applyAlignment="1" applyProtection="1">
      <alignment horizontal="right"/>
    </xf>
    <xf numFmtId="1" fontId="7" fillId="0" borderId="95" xfId="126" applyNumberFormat="1" applyFont="1" applyFill="1" applyBorder="1" applyAlignment="1" applyProtection="1">
      <alignment horizontal="right"/>
    </xf>
    <xf numFmtId="1" fontId="7" fillId="0" borderId="101" xfId="126" applyNumberFormat="1" applyFont="1" applyFill="1" applyBorder="1" applyAlignment="1" applyProtection="1">
      <alignment horizontal="right"/>
    </xf>
    <xf numFmtId="1" fontId="7" fillId="0" borderId="120" xfId="126" applyNumberFormat="1" applyFont="1" applyFill="1" applyBorder="1" applyAlignment="1" applyProtection="1">
      <alignment horizontal="right"/>
    </xf>
    <xf numFmtId="1" fontId="7" fillId="0" borderId="99" xfId="126" applyNumberFormat="1" applyFont="1" applyFill="1" applyBorder="1" applyAlignment="1" applyProtection="1">
      <alignment horizontal="right"/>
    </xf>
    <xf numFmtId="1" fontId="7" fillId="0" borderId="107" xfId="126" applyNumberFormat="1" applyFont="1" applyFill="1" applyBorder="1" applyAlignment="1" applyProtection="1">
      <alignment horizontal="right"/>
    </xf>
    <xf numFmtId="1" fontId="7" fillId="0" borderId="24" xfId="126" applyNumberFormat="1" applyFont="1" applyFill="1" applyBorder="1" applyAlignment="1" applyProtection="1">
      <alignment horizontal="right"/>
    </xf>
    <xf numFmtId="1" fontId="7" fillId="0" borderId="89" xfId="126" applyNumberFormat="1" applyFont="1" applyFill="1" applyBorder="1" applyAlignment="1" applyProtection="1">
      <alignment horizontal="right"/>
    </xf>
    <xf numFmtId="1" fontId="7" fillId="24" borderId="70" xfId="126" applyNumberFormat="1" applyFont="1" applyFill="1" applyBorder="1" applyAlignment="1" applyProtection="1">
      <alignment horizontal="right"/>
      <protection locked="0"/>
    </xf>
    <xf numFmtId="1" fontId="7" fillId="24" borderId="89" xfId="126" applyNumberFormat="1" applyFont="1" applyFill="1" applyBorder="1" applyAlignment="1" applyProtection="1">
      <alignment horizontal="right"/>
      <protection locked="0"/>
    </xf>
    <xf numFmtId="1" fontId="7" fillId="24" borderId="26" xfId="126" applyNumberFormat="1" applyFont="1" applyFill="1" applyBorder="1" applyAlignment="1" applyProtection="1">
      <alignment horizontal="right"/>
      <protection locked="0"/>
    </xf>
    <xf numFmtId="1" fontId="7" fillId="0" borderId="36" xfId="126" applyNumberFormat="1" applyFont="1" applyFill="1" applyBorder="1" applyAlignment="1" applyProtection="1">
      <alignment horizontal="right"/>
    </xf>
    <xf numFmtId="1" fontId="7" fillId="24" borderId="71" xfId="126" applyNumberFormat="1" applyFont="1" applyFill="1" applyBorder="1" applyAlignment="1" applyProtection="1">
      <alignment horizontal="right"/>
      <protection locked="0"/>
    </xf>
    <xf numFmtId="1" fontId="7" fillId="24" borderId="72" xfId="126" applyNumberFormat="1" applyFont="1" applyFill="1" applyBorder="1" applyAlignment="1" applyProtection="1">
      <alignment horizontal="right"/>
      <protection locked="0"/>
    </xf>
    <xf numFmtId="1" fontId="7" fillId="24" borderId="38" xfId="126" applyNumberFormat="1" applyFont="1" applyFill="1" applyBorder="1" applyAlignment="1" applyProtection="1">
      <alignment horizontal="right"/>
      <protection locked="0"/>
    </xf>
    <xf numFmtId="1" fontId="7" fillId="0" borderId="40" xfId="126" applyNumberFormat="1" applyFont="1" applyFill="1" applyBorder="1" applyAlignment="1" applyProtection="1">
      <alignment horizontal="right"/>
    </xf>
    <xf numFmtId="1" fontId="7" fillId="0" borderId="93" xfId="126" applyNumberFormat="1" applyFont="1" applyFill="1" applyBorder="1" applyAlignment="1" applyProtection="1">
      <alignment horizontal="right"/>
    </xf>
    <xf numFmtId="1" fontId="7" fillId="24" borderId="109" xfId="126" applyNumberFormat="1" applyFont="1" applyFill="1" applyBorder="1" applyAlignment="1" applyProtection="1">
      <alignment horizontal="right"/>
      <protection locked="0"/>
    </xf>
    <xf numFmtId="1" fontId="7" fillId="24" borderId="108" xfId="126" applyNumberFormat="1" applyFont="1" applyFill="1" applyBorder="1" applyAlignment="1" applyProtection="1">
      <alignment horizontal="right"/>
      <protection locked="0"/>
    </xf>
    <xf numFmtId="1" fontId="7" fillId="24" borderId="43" xfId="126" applyNumberFormat="1" applyFont="1" applyFill="1" applyBorder="1" applyAlignment="1" applyProtection="1">
      <alignment horizontal="right"/>
      <protection locked="0"/>
    </xf>
    <xf numFmtId="1" fontId="7" fillId="24" borderId="90" xfId="126" applyNumberFormat="1" applyFont="1" applyFill="1" applyBorder="1" applyAlignment="1" applyProtection="1">
      <alignment horizontal="right"/>
      <protection locked="0"/>
    </xf>
    <xf numFmtId="1" fontId="7" fillId="24" borderId="37" xfId="126" applyNumberFormat="1" applyFont="1" applyFill="1" applyBorder="1" applyAlignment="1" applyProtection="1">
      <alignment horizontal="right"/>
      <protection locked="0"/>
    </xf>
    <xf numFmtId="1" fontId="7" fillId="0" borderId="85" xfId="126" applyNumberFormat="1" applyFont="1" applyFill="1" applyBorder="1" applyAlignment="1" applyProtection="1">
      <alignment horizontal="right"/>
    </xf>
    <xf numFmtId="1" fontId="7" fillId="24" borderId="73" xfId="126" applyNumberFormat="1" applyFont="1" applyFill="1" applyBorder="1" applyAlignment="1" applyProtection="1">
      <alignment horizontal="right"/>
      <protection locked="0"/>
    </xf>
    <xf numFmtId="1" fontId="7" fillId="24" borderId="93" xfId="126" applyNumberFormat="1" applyFont="1" applyFill="1" applyBorder="1" applyAlignment="1" applyProtection="1">
      <alignment horizontal="right"/>
      <protection locked="0"/>
    </xf>
    <xf numFmtId="1" fontId="7" fillId="24" borderId="42" xfId="126" applyNumberFormat="1" applyFont="1" applyFill="1" applyBorder="1" applyAlignment="1" applyProtection="1">
      <alignment horizontal="right"/>
      <protection locked="0"/>
    </xf>
    <xf numFmtId="1" fontId="7" fillId="24" borderId="153" xfId="126" applyNumberFormat="1" applyFont="1" applyFill="1" applyBorder="1" applyAlignment="1" applyProtection="1">
      <alignment horizontal="right"/>
      <protection locked="0"/>
    </xf>
    <xf numFmtId="1" fontId="7" fillId="24" borderId="106" xfId="126" applyNumberFormat="1" applyFont="1" applyFill="1" applyBorder="1" applyAlignment="1" applyProtection="1">
      <alignment horizontal="right"/>
      <protection locked="0"/>
    </xf>
    <xf numFmtId="1" fontId="7" fillId="24" borderId="85" xfId="126" applyNumberFormat="1" applyFont="1" applyFill="1" applyBorder="1" applyAlignment="1" applyProtection="1">
      <alignment horizontal="right"/>
      <protection locked="0"/>
    </xf>
    <xf numFmtId="1" fontId="7" fillId="24" borderId="86" xfId="126" applyNumberFormat="1" applyFont="1" applyFill="1" applyBorder="1" applyAlignment="1" applyProtection="1">
      <alignment horizontal="right"/>
      <protection locked="0"/>
    </xf>
    <xf numFmtId="1" fontId="7" fillId="24" borderId="151" xfId="126" applyNumberFormat="1" applyFont="1" applyFill="1" applyBorder="1" applyAlignment="1" applyProtection="1">
      <alignment horizontal="right"/>
      <protection locked="0"/>
    </xf>
    <xf numFmtId="1" fontId="7" fillId="24" borderId="136" xfId="126" applyNumberFormat="1" applyFont="1" applyFill="1" applyBorder="1" applyAlignment="1" applyProtection="1">
      <alignment horizontal="right"/>
      <protection locked="0"/>
    </xf>
    <xf numFmtId="1" fontId="7" fillId="24" borderId="94" xfId="126" applyNumberFormat="1" applyFont="1" applyFill="1" applyBorder="1" applyAlignment="1" applyProtection="1">
      <alignment horizontal="right"/>
      <protection locked="0"/>
    </xf>
    <xf numFmtId="1" fontId="7" fillId="24" borderId="95" xfId="126" applyNumberFormat="1" applyFont="1" applyFill="1" applyBorder="1" applyAlignment="1" applyProtection="1">
      <alignment horizontal="right"/>
      <protection locked="0"/>
    </xf>
    <xf numFmtId="1" fontId="7" fillId="24" borderId="146" xfId="126" applyNumberFormat="1" applyFont="1" applyFill="1" applyBorder="1" applyAlignment="1" applyProtection="1">
      <alignment horizontal="right"/>
      <protection locked="0"/>
    </xf>
    <xf numFmtId="1" fontId="7" fillId="20" borderId="33" xfId="126" applyNumberFormat="1" applyFont="1" applyFill="1" applyBorder="1" applyAlignment="1" applyProtection="1">
      <alignment horizontal="right"/>
    </xf>
    <xf numFmtId="1" fontId="7" fillId="20" borderId="38" xfId="126" applyNumberFormat="1" applyFont="1" applyFill="1" applyBorder="1" applyAlignment="1" applyProtection="1">
      <alignment horizontal="right"/>
    </xf>
    <xf numFmtId="1" fontId="7" fillId="0" borderId="112" xfId="126" applyNumberFormat="1" applyFont="1" applyFill="1" applyBorder="1" applyAlignment="1" applyProtection="1">
      <alignment horizontal="right"/>
    </xf>
    <xf numFmtId="1" fontId="7" fillId="0" borderId="113" xfId="126" applyNumberFormat="1" applyFont="1" applyFill="1" applyBorder="1" applyAlignment="1" applyProtection="1">
      <alignment horizontal="right"/>
    </xf>
    <xf numFmtId="1" fontId="7" fillId="0" borderId="114" xfId="126" applyNumberFormat="1" applyFont="1" applyFill="1" applyBorder="1" applyAlignment="1" applyProtection="1">
      <alignment horizontal="right"/>
    </xf>
    <xf numFmtId="1" fontId="7" fillId="20" borderId="158" xfId="126" applyNumberFormat="1" applyFont="1" applyFill="1" applyBorder="1" applyAlignment="1" applyProtection="1">
      <alignment horizontal="right"/>
    </xf>
    <xf numFmtId="1" fontId="7" fillId="0" borderId="116" xfId="126" applyNumberFormat="1" applyFont="1" applyFill="1" applyBorder="1" applyAlignment="1" applyProtection="1">
      <alignment horizontal="right"/>
    </xf>
    <xf numFmtId="1" fontId="7" fillId="0" borderId="117" xfId="126" applyNumberFormat="1" applyFont="1" applyFill="1" applyBorder="1" applyAlignment="1" applyProtection="1">
      <alignment horizontal="right"/>
    </xf>
    <xf numFmtId="1" fontId="7" fillId="0" borderId="115" xfId="126" applyNumberFormat="1" applyFont="1" applyFill="1" applyBorder="1" applyAlignment="1" applyProtection="1">
      <alignment horizontal="right"/>
    </xf>
    <xf numFmtId="1" fontId="7" fillId="24" borderId="116" xfId="126" applyNumberFormat="1" applyFont="1" applyFill="1" applyBorder="1" applyAlignment="1" applyProtection="1">
      <alignment horizontal="right"/>
      <protection locked="0"/>
    </xf>
    <xf numFmtId="1" fontId="7" fillId="24" borderId="115" xfId="126" applyNumberFormat="1" applyFont="1" applyFill="1" applyBorder="1" applyAlignment="1" applyProtection="1">
      <alignment horizontal="right"/>
      <protection locked="0"/>
    </xf>
    <xf numFmtId="1" fontId="7" fillId="24" borderId="159" xfId="126" applyNumberFormat="1" applyFont="1" applyFill="1" applyBorder="1" applyAlignment="1" applyProtection="1">
      <alignment horizontal="right"/>
      <protection locked="0"/>
    </xf>
    <xf numFmtId="1" fontId="7" fillId="20" borderId="118" xfId="126" applyNumberFormat="1" applyFont="1" applyFill="1" applyBorder="1" applyAlignment="1" applyProtection="1">
      <alignment horizontal="right"/>
    </xf>
    <xf numFmtId="1" fontId="7" fillId="24" borderId="141" xfId="126" applyNumberFormat="1" applyFont="1" applyFill="1" applyBorder="1" applyAlignment="1" applyProtection="1">
      <alignment horizontal="right"/>
      <protection locked="0"/>
    </xf>
    <xf numFmtId="1" fontId="31" fillId="15" borderId="122" xfId="14" applyNumberFormat="1" applyFont="1" applyFill="1" applyBorder="1" applyAlignment="1" applyProtection="1">
      <alignment horizontal="right"/>
      <protection locked="0"/>
    </xf>
    <xf numFmtId="1" fontId="31" fillId="15" borderId="84" xfId="14" applyNumberFormat="1" applyFont="1" applyFill="1" applyBorder="1" applyAlignment="1" applyProtection="1">
      <alignment horizontal="right"/>
      <protection locked="0"/>
    </xf>
    <xf numFmtId="1" fontId="31" fillId="15" borderId="8" xfId="14" applyNumberFormat="1" applyFont="1" applyFill="1" applyBorder="1" applyAlignment="1" applyProtection="1">
      <alignment horizontal="right"/>
      <protection locked="0"/>
    </xf>
    <xf numFmtId="1" fontId="31" fillId="15" borderId="5" xfId="14" applyNumberFormat="1" applyFont="1" applyFill="1" applyBorder="1" applyAlignment="1" applyProtection="1">
      <alignment horizontal="right"/>
      <protection locked="0"/>
    </xf>
    <xf numFmtId="1" fontId="7" fillId="0" borderId="7" xfId="126" applyNumberFormat="1" applyFont="1" applyFill="1" applyBorder="1" applyAlignment="1" applyProtection="1">
      <alignment horizontal="right"/>
    </xf>
    <xf numFmtId="1" fontId="7" fillId="0" borderId="81" xfId="126" applyNumberFormat="1" applyFont="1" applyFill="1" applyBorder="1" applyAlignment="1" applyProtection="1">
      <alignment horizontal="right"/>
    </xf>
    <xf numFmtId="1" fontId="7" fillId="0" borderId="5" xfId="126" applyNumberFormat="1" applyFont="1" applyFill="1" applyBorder="1" applyAlignment="1" applyProtection="1">
      <alignment horizontal="right"/>
    </xf>
    <xf numFmtId="1" fontId="7" fillId="24" borderId="34" xfId="126" applyNumberFormat="1" applyFont="1" applyFill="1" applyBorder="1" applyAlignment="1" applyProtection="1">
      <alignment horizontal="right"/>
      <protection locked="0"/>
    </xf>
    <xf numFmtId="1" fontId="7" fillId="20" borderId="70" xfId="126" applyNumberFormat="1" applyFont="1" applyFill="1" applyBorder="1" applyAlignment="1" applyProtection="1">
      <alignment horizontal="right"/>
    </xf>
    <xf numFmtId="1" fontId="7" fillId="20" borderId="89" xfId="126" applyNumberFormat="1" applyFont="1" applyFill="1" applyBorder="1" applyAlignment="1" applyProtection="1">
      <alignment horizontal="right"/>
    </xf>
    <xf numFmtId="1" fontId="7" fillId="20" borderId="27" xfId="126" applyNumberFormat="1" applyFont="1" applyFill="1" applyBorder="1" applyAlignment="1" applyProtection="1">
      <alignment horizontal="right"/>
    </xf>
    <xf numFmtId="1" fontId="7" fillId="20" borderId="71" xfId="126" applyNumberFormat="1" applyFont="1" applyFill="1" applyBorder="1" applyAlignment="1" applyProtection="1">
      <alignment horizontal="right"/>
    </xf>
    <xf numFmtId="1" fontId="7" fillId="20" borderId="72" xfId="126" applyNumberFormat="1" applyFont="1" applyFill="1" applyBorder="1" applyAlignment="1" applyProtection="1">
      <alignment horizontal="right"/>
    </xf>
    <xf numFmtId="1" fontId="7" fillId="20" borderId="39" xfId="126" applyNumberFormat="1" applyFont="1" applyFill="1" applyBorder="1" applyAlignment="1" applyProtection="1">
      <alignment horizontal="right"/>
    </xf>
    <xf numFmtId="1" fontId="7" fillId="20" borderId="109" xfId="126" applyNumberFormat="1" applyFont="1" applyFill="1" applyBorder="1" applyAlignment="1" applyProtection="1">
      <alignment horizontal="right"/>
    </xf>
    <xf numFmtId="1" fontId="7" fillId="20" borderId="108" xfId="126" applyNumberFormat="1" applyFont="1" applyFill="1" applyBorder="1" applyAlignment="1" applyProtection="1">
      <alignment horizontal="right"/>
    </xf>
    <xf numFmtId="1" fontId="7" fillId="20" borderId="127" xfId="126" applyNumberFormat="1" applyFont="1" applyFill="1" applyBorder="1" applyAlignment="1" applyProtection="1">
      <alignment horizontal="right"/>
    </xf>
    <xf numFmtId="1" fontId="7" fillId="24" borderId="127" xfId="126" applyNumberFormat="1" applyFont="1" applyFill="1" applyBorder="1" applyAlignment="1" applyProtection="1">
      <alignment horizontal="right"/>
      <protection locked="0"/>
    </xf>
    <xf numFmtId="1" fontId="7" fillId="0" borderId="8" xfId="126" applyNumberFormat="1" applyFont="1" applyFill="1" applyBorder="1" applyAlignment="1" applyProtection="1">
      <alignment horizontal="right"/>
    </xf>
    <xf numFmtId="1" fontId="7" fillId="0" borderId="67" xfId="126" applyNumberFormat="1" applyFont="1" applyFill="1" applyBorder="1" applyAlignment="1" applyProtection="1">
      <alignment horizontal="right"/>
    </xf>
    <xf numFmtId="1" fontId="7" fillId="0" borderId="96" xfId="126" applyNumberFormat="1" applyFont="1" applyFill="1" applyBorder="1" applyAlignment="1" applyProtection="1">
      <alignment horizontal="right"/>
    </xf>
    <xf numFmtId="1" fontId="7" fillId="0" borderId="32" xfId="126" applyNumberFormat="1" applyFont="1" applyFill="1" applyBorder="1" applyAlignment="1" applyProtection="1">
      <alignment horizontal="right"/>
    </xf>
    <xf numFmtId="1" fontId="7" fillId="0" borderId="34" xfId="126" applyNumberFormat="1" applyFont="1" applyFill="1" applyBorder="1" applyAlignment="1" applyProtection="1">
      <alignment horizontal="right"/>
    </xf>
    <xf numFmtId="1" fontId="7" fillId="0" borderId="39" xfId="126" applyNumberFormat="1" applyFont="1" applyFill="1" applyBorder="1" applyAlignment="1" applyProtection="1">
      <alignment horizontal="right"/>
    </xf>
    <xf numFmtId="1" fontId="7" fillId="24" borderId="98" xfId="126" applyNumberFormat="1" applyFont="1" applyFill="1" applyBorder="1" applyAlignment="1" applyProtection="1">
      <alignment horizontal="right"/>
      <protection locked="0"/>
    </xf>
    <xf numFmtId="1" fontId="7" fillId="0" borderId="127" xfId="126" applyNumberFormat="1" applyFont="1" applyFill="1" applyBorder="1" applyAlignment="1" applyProtection="1">
      <alignment horizontal="right"/>
    </xf>
    <xf numFmtId="1" fontId="7" fillId="0" borderId="123" xfId="126" applyNumberFormat="1" applyFont="1" applyFill="1" applyBorder="1" applyAlignment="1" applyProtection="1">
      <alignment horizontal="right"/>
    </xf>
    <xf numFmtId="1" fontId="7" fillId="0" borderId="128" xfId="126" applyNumberFormat="1" applyFont="1" applyFill="1" applyBorder="1" applyAlignment="1" applyProtection="1">
      <alignment horizontal="right"/>
    </xf>
    <xf numFmtId="1" fontId="7" fillId="24" borderId="144" xfId="126" applyNumberFormat="1" applyFont="1" applyFill="1" applyBorder="1" applyAlignment="1" applyProtection="1">
      <alignment horizontal="right"/>
      <protection locked="0"/>
    </xf>
    <xf numFmtId="1" fontId="7" fillId="24" borderId="101" xfId="126" applyNumberFormat="1" applyFont="1" applyFill="1" applyBorder="1" applyAlignment="1" applyProtection="1">
      <alignment horizontal="right"/>
      <protection locked="0"/>
    </xf>
    <xf numFmtId="1" fontId="7" fillId="24" borderId="99" xfId="126" applyNumberFormat="1" applyFont="1" applyFill="1" applyBorder="1" applyAlignment="1" applyProtection="1">
      <alignment horizontal="right"/>
      <protection locked="0"/>
    </xf>
    <xf numFmtId="1" fontId="7" fillId="24" borderId="147" xfId="126" applyNumberFormat="1" applyFont="1" applyFill="1" applyBorder="1" applyAlignment="1" applyProtection="1">
      <alignment horizontal="right"/>
      <protection locked="0"/>
    </xf>
    <xf numFmtId="1" fontId="7" fillId="20" borderId="127" xfId="0" applyNumberFormat="1" applyFont="1" applyFill="1" applyBorder="1" applyAlignment="1" applyProtection="1">
      <alignment horizontal="right"/>
    </xf>
    <xf numFmtId="1" fontId="7" fillId="0" borderId="124" xfId="126" applyNumberFormat="1" applyFont="1" applyFill="1" applyBorder="1" applyAlignment="1" applyProtection="1">
      <alignment horizontal="right"/>
    </xf>
    <xf numFmtId="1" fontId="7" fillId="24" borderId="143" xfId="126" applyNumberFormat="1" applyFont="1" applyFill="1" applyBorder="1" applyAlignment="1" applyProtection="1">
      <alignment horizontal="right"/>
      <protection locked="0"/>
    </xf>
    <xf numFmtId="1" fontId="7" fillId="24" borderId="148" xfId="126" applyNumberFormat="1" applyFont="1" applyFill="1" applyBorder="1" applyAlignment="1" applyProtection="1">
      <alignment horizontal="right"/>
      <protection locked="0"/>
    </xf>
    <xf numFmtId="1" fontId="7" fillId="24" borderId="59" xfId="126" applyNumberFormat="1" applyFont="1" applyFill="1" applyBorder="1" applyAlignment="1" applyProtection="1">
      <alignment horizontal="right"/>
      <protection locked="0"/>
    </xf>
    <xf numFmtId="1" fontId="7" fillId="0" borderId="129" xfId="126" applyNumberFormat="1" applyFont="1" applyFill="1" applyBorder="1" applyAlignment="1" applyProtection="1">
      <alignment horizontal="right"/>
    </xf>
    <xf numFmtId="1" fontId="7" fillId="24" borderId="62" xfId="126" applyNumberFormat="1" applyFont="1" applyFill="1" applyBorder="1" applyAlignment="1" applyProtection="1">
      <alignment horizontal="right"/>
      <protection locked="0"/>
    </xf>
    <xf numFmtId="1" fontId="7" fillId="0" borderId="23" xfId="126" applyNumberFormat="1" applyFont="1" applyFill="1" applyBorder="1" applyAlignment="1" applyProtection="1">
      <alignment horizontal="right"/>
    </xf>
    <xf numFmtId="1" fontId="7" fillId="0" borderId="64" xfId="126" applyNumberFormat="1" applyFont="1" applyFill="1" applyBorder="1" applyAlignment="1" applyProtection="1">
      <alignment horizontal="right"/>
    </xf>
    <xf numFmtId="1" fontId="7" fillId="0" borderId="27" xfId="126" applyNumberFormat="1" applyFont="1" applyFill="1" applyBorder="1" applyAlignment="1" applyProtection="1">
      <alignment horizontal="right"/>
    </xf>
    <xf numFmtId="1" fontId="7" fillId="24" borderId="27" xfId="126" applyNumberFormat="1" applyFont="1" applyFill="1" applyBorder="1" applyAlignment="1" applyProtection="1">
      <alignment horizontal="right"/>
      <protection locked="0"/>
    </xf>
    <xf numFmtId="1" fontId="7" fillId="24" borderId="24" xfId="126" applyNumberFormat="1" applyFont="1" applyFill="1" applyBorder="1" applyAlignment="1" applyProtection="1">
      <alignment horizontal="right"/>
      <protection locked="0"/>
    </xf>
    <xf numFmtId="1" fontId="7" fillId="0" borderId="130" xfId="126" applyNumberFormat="1" applyFont="1" applyFill="1" applyBorder="1" applyAlignment="1" applyProtection="1">
      <alignment horizontal="right"/>
    </xf>
    <xf numFmtId="1" fontId="7" fillId="0" borderId="29" xfId="126" applyNumberFormat="1" applyFont="1" applyFill="1" applyBorder="1" applyAlignment="1" applyProtection="1">
      <alignment horizontal="right"/>
    </xf>
    <xf numFmtId="1" fontId="7" fillId="24" borderId="88" xfId="126" applyNumberFormat="1" applyFont="1" applyFill="1" applyBorder="1" applyAlignment="1" applyProtection="1">
      <alignment horizontal="right"/>
      <protection locked="0"/>
    </xf>
    <xf numFmtId="1" fontId="7" fillId="24" borderId="107" xfId="126" applyNumberFormat="1" applyFont="1" applyFill="1" applyBorder="1" applyAlignment="1" applyProtection="1">
      <alignment horizontal="right"/>
      <protection locked="0"/>
    </xf>
    <xf numFmtId="1" fontId="7" fillId="0" borderId="131" xfId="126" applyNumberFormat="1" applyFont="1" applyFill="1" applyBorder="1" applyAlignment="1" applyProtection="1">
      <alignment horizontal="right"/>
    </xf>
    <xf numFmtId="1" fontId="7" fillId="0" borderId="0" xfId="126" applyNumberFormat="1" applyFont="1" applyFill="1" applyBorder="1" applyAlignment="1" applyProtection="1">
      <alignment horizontal="right"/>
    </xf>
    <xf numFmtId="1" fontId="7" fillId="24" borderId="36" xfId="126" applyNumberFormat="1" applyFont="1" applyFill="1" applyBorder="1" applyAlignment="1" applyProtection="1">
      <alignment horizontal="right"/>
      <protection locked="0"/>
    </xf>
    <xf numFmtId="1" fontId="7" fillId="24" borderId="110" xfId="126" applyNumberFormat="1" applyFont="1" applyFill="1" applyBorder="1" applyAlignment="1" applyProtection="1">
      <alignment horizontal="right"/>
      <protection locked="0"/>
    </xf>
    <xf numFmtId="1" fontId="7" fillId="0" borderId="6" xfId="126" applyNumberFormat="1" applyFont="1" applyFill="1" applyBorder="1" applyAlignment="1" applyProtection="1">
      <alignment horizontal="right"/>
    </xf>
    <xf numFmtId="1" fontId="7" fillId="24" borderId="87" xfId="126" applyNumberFormat="1" applyFont="1" applyFill="1" applyBorder="1" applyAlignment="1" applyProtection="1">
      <alignment horizontal="right"/>
      <protection locked="0"/>
    </xf>
    <xf numFmtId="1" fontId="7" fillId="24" borderId="31" xfId="126" applyNumberFormat="1" applyFont="1" applyFill="1" applyBorder="1" applyAlignment="1" applyProtection="1">
      <alignment horizontal="right"/>
      <protection locked="0"/>
    </xf>
    <xf numFmtId="1" fontId="7" fillId="24" borderId="133" xfId="126" applyNumberFormat="1" applyFont="1" applyFill="1" applyBorder="1" applyAlignment="1" applyProtection="1">
      <alignment horizontal="right"/>
      <protection locked="0"/>
    </xf>
    <xf numFmtId="1" fontId="7" fillId="24" borderId="121" xfId="126" applyNumberFormat="1" applyFont="1" applyFill="1" applyBorder="1" applyAlignment="1" applyProtection="1">
      <alignment horizontal="right"/>
      <protection locked="0"/>
    </xf>
    <xf numFmtId="1" fontId="7" fillId="24" borderId="7" xfId="126" applyNumberFormat="1" applyFont="1" applyFill="1" applyBorder="1" applyAlignment="1" applyProtection="1">
      <alignment horizontal="right"/>
      <protection locked="0"/>
    </xf>
    <xf numFmtId="1" fontId="7" fillId="24" borderId="67" xfId="126" applyNumberFormat="1" applyFont="1" applyFill="1" applyBorder="1" applyAlignment="1" applyProtection="1">
      <alignment horizontal="right"/>
      <protection locked="0"/>
    </xf>
    <xf numFmtId="1" fontId="7" fillId="24" borderId="81" xfId="126" applyNumberFormat="1" applyFont="1" applyFill="1" applyBorder="1" applyAlignment="1" applyProtection="1">
      <alignment horizontal="right"/>
      <protection locked="0"/>
    </xf>
    <xf numFmtId="1" fontId="7" fillId="0" borderId="70" xfId="127" applyNumberFormat="1" applyFont="1" applyFill="1" applyBorder="1" applyAlignment="1" applyProtection="1">
      <alignment horizontal="right"/>
    </xf>
    <xf numFmtId="1" fontId="7" fillId="0" borderId="24" xfId="127" applyNumberFormat="1" applyFont="1" applyFill="1" applyBorder="1" applyAlignment="1" applyProtection="1">
      <alignment horizontal="right"/>
    </xf>
    <xf numFmtId="1" fontId="7" fillId="0" borderId="89" xfId="127" applyNumberFormat="1" applyFont="1" applyFill="1" applyBorder="1" applyAlignment="1" applyProtection="1">
      <alignment horizontal="right"/>
    </xf>
    <xf numFmtId="1" fontId="7" fillId="15" borderId="70" xfId="127" applyNumberFormat="1" applyFont="1" applyFill="1" applyBorder="1" applyAlignment="1" applyProtection="1">
      <alignment horizontal="right"/>
      <protection locked="0"/>
    </xf>
    <xf numFmtId="1" fontId="7" fillId="15" borderId="89" xfId="127" applyNumberFormat="1" applyFont="1" applyFill="1" applyBorder="1" applyAlignment="1" applyProtection="1">
      <alignment horizontal="right"/>
      <protection locked="0"/>
    </xf>
    <xf numFmtId="1" fontId="7" fillId="15" borderId="132" xfId="127" applyNumberFormat="1" applyFont="1" applyFill="1" applyBorder="1" applyAlignment="1" applyProtection="1">
      <alignment horizontal="right"/>
      <protection locked="0"/>
    </xf>
    <xf numFmtId="1" fontId="7" fillId="15" borderId="106" xfId="127" applyNumberFormat="1" applyFont="1" applyFill="1" applyBorder="1" applyAlignment="1" applyProtection="1">
      <alignment horizontal="right"/>
      <protection locked="0"/>
    </xf>
    <xf numFmtId="1" fontId="7" fillId="15" borderId="24" xfId="127" applyNumberFormat="1" applyFont="1" applyFill="1" applyBorder="1" applyAlignment="1" applyProtection="1">
      <alignment horizontal="right"/>
      <protection locked="0"/>
    </xf>
    <xf numFmtId="1" fontId="7" fillId="0" borderId="71" xfId="127" applyNumberFormat="1" applyFont="1" applyFill="1" applyBorder="1" applyAlignment="1" applyProtection="1">
      <alignment horizontal="right"/>
    </xf>
    <xf numFmtId="1" fontId="7" fillId="0" borderId="36" xfId="127" applyNumberFormat="1" applyFont="1" applyFill="1" applyBorder="1" applyAlignment="1" applyProtection="1">
      <alignment horizontal="right"/>
    </xf>
    <xf numFmtId="1" fontId="7" fillId="0" borderId="72" xfId="127" applyNumberFormat="1" applyFont="1" applyFill="1" applyBorder="1" applyAlignment="1" applyProtection="1">
      <alignment horizontal="right"/>
    </xf>
    <xf numFmtId="1" fontId="7" fillId="15" borderId="71" xfId="127" applyNumberFormat="1" applyFont="1" applyFill="1" applyBorder="1" applyAlignment="1" applyProtection="1">
      <alignment horizontal="right"/>
      <protection locked="0"/>
    </xf>
    <xf numFmtId="1" fontId="7" fillId="15" borderId="72" xfId="127" applyNumberFormat="1" applyFont="1" applyFill="1" applyBorder="1" applyAlignment="1" applyProtection="1">
      <alignment horizontal="right"/>
      <protection locked="0"/>
    </xf>
    <xf numFmtId="1" fontId="7" fillId="15" borderId="110" xfId="127" applyNumberFormat="1" applyFont="1" applyFill="1" applyBorder="1" applyAlignment="1" applyProtection="1">
      <alignment horizontal="right"/>
      <protection locked="0"/>
    </xf>
    <xf numFmtId="1" fontId="7" fillId="15" borderId="98" xfId="127" applyNumberFormat="1" applyFont="1" applyFill="1" applyBorder="1" applyAlignment="1" applyProtection="1">
      <alignment horizontal="right"/>
      <protection locked="0"/>
    </xf>
    <xf numFmtId="1" fontId="7" fillId="15" borderId="36" xfId="127" applyNumberFormat="1" applyFont="1" applyFill="1" applyBorder="1" applyAlignment="1" applyProtection="1">
      <alignment horizontal="right"/>
      <protection locked="0"/>
    </xf>
    <xf numFmtId="1" fontId="7" fillId="15" borderId="109" xfId="127" applyNumberFormat="1" applyFont="1" applyFill="1" applyBorder="1" applyAlignment="1" applyProtection="1">
      <alignment horizontal="right"/>
      <protection locked="0"/>
    </xf>
    <xf numFmtId="1" fontId="7" fillId="15" borderId="108" xfId="127" applyNumberFormat="1" applyFont="1" applyFill="1" applyBorder="1" applyAlignment="1" applyProtection="1">
      <alignment horizontal="right"/>
      <protection locked="0"/>
    </xf>
    <xf numFmtId="1" fontId="7" fillId="15" borderId="121" xfId="127" applyNumberFormat="1" applyFont="1" applyFill="1" applyBorder="1" applyAlignment="1" applyProtection="1">
      <alignment horizontal="right"/>
      <protection locked="0"/>
    </xf>
    <xf numFmtId="1" fontId="7" fillId="15" borderId="136" xfId="127" applyNumberFormat="1" applyFont="1" applyFill="1" applyBorder="1" applyAlignment="1" applyProtection="1">
      <alignment horizontal="right"/>
      <protection locked="0"/>
    </xf>
    <xf numFmtId="1" fontId="7" fillId="15" borderId="107" xfId="127" applyNumberFormat="1" applyFont="1" applyFill="1" applyBorder="1" applyAlignment="1" applyProtection="1">
      <alignment horizontal="right"/>
      <protection locked="0"/>
    </xf>
    <xf numFmtId="1" fontId="7" fillId="0" borderId="7" xfId="127" applyNumberFormat="1" applyFont="1" applyFill="1" applyBorder="1" applyAlignment="1" applyProtection="1">
      <alignment horizontal="right"/>
    </xf>
    <xf numFmtId="1" fontId="7" fillId="0" borderId="81" xfId="127" applyNumberFormat="1" applyFont="1" applyFill="1" applyBorder="1" applyAlignment="1" applyProtection="1">
      <alignment horizontal="right"/>
    </xf>
    <xf numFmtId="1" fontId="7" fillId="0" borderId="5" xfId="127" applyNumberFormat="1" applyFont="1" applyFill="1" applyBorder="1" applyAlignment="1" applyProtection="1">
      <alignment horizontal="right"/>
    </xf>
    <xf numFmtId="1" fontId="7" fillId="0" borderId="23" xfId="127" applyNumberFormat="1" applyFont="1" applyFill="1" applyBorder="1" applyAlignment="1" applyProtection="1">
      <alignment horizontal="right"/>
    </xf>
    <xf numFmtId="1" fontId="7" fillId="0" borderId="84" xfId="127" applyNumberFormat="1" applyFont="1" applyFill="1" applyBorder="1" applyAlignment="1" applyProtection="1">
      <alignment horizontal="right"/>
    </xf>
    <xf numFmtId="1" fontId="7" fillId="0" borderId="72" xfId="14" applyNumberFormat="1" applyFont="1" applyFill="1" applyBorder="1" applyAlignment="1" applyProtection="1">
      <alignment horizontal="right"/>
    </xf>
    <xf numFmtId="1" fontId="7" fillId="0" borderId="101" xfId="127" applyNumberFormat="1" applyFont="1" applyFill="1" applyBorder="1" applyAlignment="1" applyProtection="1">
      <alignment horizontal="right"/>
    </xf>
    <xf numFmtId="1" fontId="7" fillId="0" borderId="120" xfId="127" applyNumberFormat="1" applyFont="1" applyFill="1" applyBorder="1" applyAlignment="1" applyProtection="1">
      <alignment horizontal="right"/>
    </xf>
    <xf numFmtId="1" fontId="7" fillId="0" borderId="99" xfId="14" applyNumberFormat="1" applyFont="1" applyFill="1" applyBorder="1" applyAlignment="1" applyProtection="1">
      <alignment horizontal="right"/>
    </xf>
    <xf numFmtId="1" fontId="7" fillId="15" borderId="109" xfId="14" applyNumberFormat="1" applyFont="1" applyFill="1" applyBorder="1" applyAlignment="1" applyProtection="1">
      <alignment horizontal="right"/>
      <protection locked="0"/>
    </xf>
    <xf numFmtId="1" fontId="7" fillId="15" borderId="108" xfId="14" applyNumberFormat="1" applyFont="1" applyFill="1" applyBorder="1" applyAlignment="1" applyProtection="1">
      <alignment horizontal="right"/>
      <protection locked="0"/>
    </xf>
    <xf numFmtId="1" fontId="7" fillId="15" borderId="121" xfId="14" applyNumberFormat="1" applyFont="1" applyFill="1" applyBorder="1" applyAlignment="1" applyProtection="1">
      <alignment horizontal="right"/>
      <protection locked="0"/>
    </xf>
    <xf numFmtId="1" fontId="7" fillId="15" borderId="136" xfId="14" applyNumberFormat="1" applyFont="1" applyFill="1" applyBorder="1" applyAlignment="1" applyProtection="1">
      <alignment horizontal="right"/>
      <protection locked="0"/>
    </xf>
    <xf numFmtId="1" fontId="7" fillId="15" borderId="141" xfId="14" applyNumberFormat="1" applyFont="1" applyFill="1" applyBorder="1" applyAlignment="1" applyProtection="1">
      <alignment horizontal="right"/>
      <protection locked="0"/>
    </xf>
    <xf numFmtId="1" fontId="7" fillId="15" borderId="107" xfId="14" applyNumberFormat="1" applyFont="1" applyFill="1" applyBorder="1" applyAlignment="1" applyProtection="1">
      <alignment horizontal="right"/>
      <protection locked="0"/>
    </xf>
    <xf numFmtId="1" fontId="7" fillId="0" borderId="67" xfId="127" applyNumberFormat="1" applyFont="1" applyFill="1" applyBorder="1" applyAlignment="1" applyProtection="1">
      <alignment horizontal="right"/>
    </xf>
    <xf numFmtId="1" fontId="7" fillId="0" borderId="7" xfId="14" applyNumberFormat="1" applyFont="1" applyFill="1" applyBorder="1" applyAlignment="1" applyProtection="1">
      <alignment horizontal="right"/>
    </xf>
    <xf numFmtId="1" fontId="7" fillId="0" borderId="67" xfId="14" applyNumberFormat="1" applyFont="1" applyFill="1" applyBorder="1" applyAlignment="1" applyProtection="1">
      <alignment horizontal="right"/>
    </xf>
    <xf numFmtId="1" fontId="7" fillId="0" borderId="85" xfId="14" applyNumberFormat="1" applyFont="1" applyFill="1" applyBorder="1" applyAlignment="1" applyProtection="1">
      <alignment horizontal="right"/>
    </xf>
    <xf numFmtId="1" fontId="7" fillId="0" borderId="23" xfId="14" applyNumberFormat="1" applyFont="1" applyFill="1" applyBorder="1" applyAlignment="1" applyProtection="1">
      <alignment horizontal="right"/>
    </xf>
    <xf numFmtId="1" fontId="7" fillId="0" borderId="84" xfId="14" applyNumberFormat="1" applyFont="1" applyFill="1" applyBorder="1" applyAlignment="1" applyProtection="1">
      <alignment horizontal="right"/>
    </xf>
    <xf numFmtId="1" fontId="7" fillId="0" borderId="83" xfId="14" applyNumberFormat="1" applyFont="1" applyFill="1" applyBorder="1" applyAlignment="1" applyProtection="1">
      <alignment horizontal="right"/>
    </xf>
    <xf numFmtId="1" fontId="7" fillId="0" borderId="81" xfId="14" applyNumberFormat="1" applyFont="1" applyFill="1" applyBorder="1" applyAlignment="1" applyProtection="1">
      <alignment horizontal="right"/>
    </xf>
    <xf numFmtId="1" fontId="7" fillId="0" borderId="5" xfId="14" applyNumberFormat="1" applyFont="1" applyFill="1" applyBorder="1" applyAlignment="1" applyProtection="1">
      <alignment horizontal="right"/>
    </xf>
    <xf numFmtId="1" fontId="7" fillId="0" borderId="25" xfId="127" applyNumberFormat="1" applyFont="1" applyFill="1" applyBorder="1" applyAlignment="1" applyProtection="1">
      <alignment horizontal="right"/>
    </xf>
    <xf numFmtId="1" fontId="7" fillId="0" borderId="27" xfId="127" applyNumberFormat="1" applyFont="1" applyFill="1" applyBorder="1" applyAlignment="1" applyProtection="1">
      <alignment horizontal="right"/>
    </xf>
    <xf numFmtId="1" fontId="7" fillId="15" borderId="70" xfId="14" applyNumberFormat="1" applyFont="1" applyFill="1" applyBorder="1" applyAlignment="1" applyProtection="1">
      <alignment horizontal="right"/>
      <protection locked="0"/>
    </xf>
    <xf numFmtId="1" fontId="7" fillId="15" borderId="89" xfId="14" applyNumberFormat="1" applyFont="1" applyFill="1" applyBorder="1" applyAlignment="1" applyProtection="1">
      <alignment horizontal="right"/>
      <protection locked="0"/>
    </xf>
    <xf numFmtId="1" fontId="7" fillId="15" borderId="132" xfId="14" applyNumberFormat="1" applyFont="1" applyFill="1" applyBorder="1" applyAlignment="1" applyProtection="1">
      <alignment horizontal="right"/>
      <protection locked="0"/>
    </xf>
    <xf numFmtId="1" fontId="7" fillId="15" borderId="106" xfId="14" applyNumberFormat="1" applyFont="1" applyFill="1" applyBorder="1" applyAlignment="1" applyProtection="1">
      <alignment horizontal="right"/>
      <protection locked="0"/>
    </xf>
    <xf numFmtId="1" fontId="7" fillId="15" borderId="90" xfId="14" applyNumberFormat="1" applyFont="1" applyFill="1" applyBorder="1" applyAlignment="1" applyProtection="1">
      <alignment horizontal="right"/>
      <protection locked="0"/>
    </xf>
    <xf numFmtId="1" fontId="7" fillId="0" borderId="94" xfId="127" applyNumberFormat="1" applyFont="1" applyFill="1" applyBorder="1" applyAlignment="1" applyProtection="1">
      <alignment horizontal="right"/>
    </xf>
    <xf numFmtId="1" fontId="7" fillId="0" borderId="32" xfId="127" applyNumberFormat="1" applyFont="1" applyFill="1" applyBorder="1" applyAlignment="1" applyProtection="1">
      <alignment horizontal="right"/>
    </xf>
    <xf numFmtId="1" fontId="7" fillId="0" borderId="34" xfId="127" applyNumberFormat="1" applyFont="1" applyFill="1" applyBorder="1" applyAlignment="1" applyProtection="1">
      <alignment horizontal="right"/>
    </xf>
    <xf numFmtId="1" fontId="7" fillId="15" borderId="71" xfId="14" applyNumberFormat="1" applyFont="1" applyFill="1" applyBorder="1" applyAlignment="1" applyProtection="1">
      <alignment horizontal="right"/>
      <protection locked="0"/>
    </xf>
    <xf numFmtId="1" fontId="7" fillId="15" borderId="72" xfId="14" applyNumberFormat="1" applyFont="1" applyFill="1" applyBorder="1" applyAlignment="1" applyProtection="1">
      <alignment horizontal="right"/>
      <protection locked="0"/>
    </xf>
    <xf numFmtId="1" fontId="7" fillId="15" borderId="110" xfId="14" applyNumberFormat="1" applyFont="1" applyFill="1" applyBorder="1" applyAlignment="1" applyProtection="1">
      <alignment horizontal="right"/>
      <protection locked="0"/>
    </xf>
    <xf numFmtId="1" fontId="7" fillId="15" borderId="98" xfId="14" applyNumberFormat="1" applyFont="1" applyFill="1" applyBorder="1" applyAlignment="1" applyProtection="1">
      <alignment horizontal="right"/>
      <protection locked="0"/>
    </xf>
    <xf numFmtId="1" fontId="7" fillId="15" borderId="37" xfId="14" applyNumberFormat="1" applyFont="1" applyFill="1" applyBorder="1" applyAlignment="1" applyProtection="1">
      <alignment horizontal="right"/>
      <protection locked="0"/>
    </xf>
    <xf numFmtId="1" fontId="7" fillId="0" borderId="85" xfId="127" applyNumberFormat="1" applyFont="1" applyFill="1" applyBorder="1" applyAlignment="1" applyProtection="1">
      <alignment horizontal="right"/>
    </xf>
    <xf numFmtId="1" fontId="7" fillId="0" borderId="8" xfId="127" applyNumberFormat="1" applyFont="1" applyFill="1" applyBorder="1" applyAlignment="1" applyProtection="1">
      <alignment horizontal="right"/>
    </xf>
    <xf numFmtId="1" fontId="7" fillId="0" borderId="25" xfId="14" applyNumberFormat="1" applyFont="1" applyFill="1" applyBorder="1" applyAlignment="1" applyProtection="1">
      <alignment horizontal="right"/>
    </xf>
    <xf numFmtId="1" fontId="7" fillId="0" borderId="89" xfId="14" applyNumberFormat="1" applyFont="1" applyFill="1" applyBorder="1" applyAlignment="1" applyProtection="1">
      <alignment horizontal="right"/>
    </xf>
    <xf numFmtId="1" fontId="7" fillId="15" borderId="24" xfId="14" applyNumberFormat="1" applyFont="1" applyFill="1" applyBorder="1" applyAlignment="1" applyProtection="1">
      <alignment horizontal="right"/>
      <protection locked="0"/>
    </xf>
    <xf numFmtId="1" fontId="7" fillId="0" borderId="21" xfId="14" applyNumberFormat="1" applyFont="1" applyFill="1" applyBorder="1" applyAlignment="1" applyProtection="1">
      <alignment horizontal="right"/>
    </xf>
    <xf numFmtId="1" fontId="7" fillId="15" borderId="36" xfId="14" applyNumberFormat="1" applyFont="1" applyFill="1" applyBorder="1" applyAlignment="1" applyProtection="1">
      <alignment horizontal="right"/>
      <protection locked="0"/>
    </xf>
    <xf numFmtId="1" fontId="7" fillId="0" borderId="73" xfId="127" applyNumberFormat="1" applyFont="1" applyFill="1" applyBorder="1" applyAlignment="1" applyProtection="1">
      <alignment horizontal="right"/>
    </xf>
    <xf numFmtId="1" fontId="7" fillId="0" borderId="41" xfId="14" applyNumberFormat="1" applyFont="1" applyFill="1" applyBorder="1" applyAlignment="1" applyProtection="1">
      <alignment horizontal="right"/>
    </xf>
    <xf numFmtId="1" fontId="7" fillId="0" borderId="93" xfId="14" applyNumberFormat="1" applyFont="1" applyFill="1" applyBorder="1" applyAlignment="1" applyProtection="1">
      <alignment horizontal="right"/>
    </xf>
    <xf numFmtId="1" fontId="7" fillId="0" borderId="8" xfId="14" applyNumberFormat="1" applyFont="1" applyFill="1" applyBorder="1" applyAlignment="1" applyProtection="1">
      <alignment horizontal="right"/>
    </xf>
    <xf numFmtId="1" fontId="7" fillId="15" borderId="7" xfId="14" applyNumberFormat="1" applyFont="1" applyFill="1" applyBorder="1" applyAlignment="1" applyProtection="1">
      <alignment horizontal="right"/>
      <protection locked="0"/>
    </xf>
    <xf numFmtId="1" fontId="7" fillId="15" borderId="5" xfId="14" applyNumberFormat="1" applyFont="1" applyFill="1" applyBorder="1" applyAlignment="1" applyProtection="1">
      <alignment horizontal="right"/>
      <protection locked="0"/>
    </xf>
    <xf numFmtId="1" fontId="7" fillId="15" borderId="81" xfId="14" applyNumberFormat="1" applyFont="1" applyFill="1" applyBorder="1" applyAlignment="1" applyProtection="1">
      <alignment horizontal="right"/>
      <protection locked="0"/>
    </xf>
    <xf numFmtId="1" fontId="7" fillId="0" borderId="102" xfId="127" applyNumberFormat="1" applyFont="1" applyFill="1" applyBorder="1" applyAlignment="1" applyProtection="1">
      <alignment horizontal="right"/>
    </xf>
    <xf numFmtId="1" fontId="7" fillId="0" borderId="46" xfId="15" applyNumberFormat="1" applyFont="1" applyFill="1" applyBorder="1" applyAlignment="1" applyProtection="1">
      <alignment horizontal="right"/>
    </xf>
    <xf numFmtId="1" fontId="7" fillId="0" borderId="105" xfId="15" applyNumberFormat="1" applyFont="1" applyFill="1" applyBorder="1" applyAlignment="1" applyProtection="1">
      <alignment horizontal="right"/>
    </xf>
    <xf numFmtId="1" fontId="7" fillId="0" borderId="36" xfId="15" applyNumberFormat="1" applyFont="1" applyFill="1" applyBorder="1" applyAlignment="1" applyProtection="1">
      <alignment horizontal="right"/>
    </xf>
    <xf numFmtId="1" fontId="7" fillId="0" borderId="72" xfId="15" applyNumberFormat="1" applyFont="1" applyFill="1" applyBorder="1" applyAlignment="1" applyProtection="1">
      <alignment horizontal="right"/>
    </xf>
    <xf numFmtId="1" fontId="7" fillId="0" borderId="88" xfId="15" applyNumberFormat="1" applyFont="1" applyFill="1" applyBorder="1" applyAlignment="1" applyProtection="1">
      <alignment horizontal="right"/>
    </xf>
    <xf numFmtId="1" fontId="7" fillId="0" borderId="86" xfId="15" applyNumberFormat="1" applyFont="1" applyFill="1" applyBorder="1" applyAlignment="1" applyProtection="1">
      <alignment horizontal="right"/>
    </xf>
    <xf numFmtId="1" fontId="7" fillId="0" borderId="70" xfId="127" applyNumberFormat="1" applyFont="1" applyFill="1" applyBorder="1" applyAlignment="1" applyProtection="1">
      <alignment horizontal="right"/>
      <protection hidden="1"/>
    </xf>
    <xf numFmtId="1" fontId="7" fillId="0" borderId="25" xfId="127" applyNumberFormat="1" applyFont="1" applyFill="1" applyBorder="1" applyAlignment="1" applyProtection="1">
      <alignment horizontal="right"/>
      <protection hidden="1"/>
    </xf>
    <xf numFmtId="1" fontId="7" fillId="0" borderId="27" xfId="127" applyNumberFormat="1" applyFont="1" applyFill="1" applyBorder="1" applyAlignment="1" applyProtection="1">
      <alignment horizontal="right"/>
      <protection hidden="1"/>
    </xf>
    <xf numFmtId="1" fontId="7" fillId="15" borderId="94" xfId="14" applyNumberFormat="1" applyFont="1" applyFill="1" applyBorder="1" applyAlignment="1" applyProtection="1">
      <alignment horizontal="right"/>
      <protection locked="0"/>
    </xf>
    <xf numFmtId="1" fontId="7" fillId="15" borderId="95" xfId="14" applyNumberFormat="1" applyFont="1" applyFill="1" applyBorder="1" applyAlignment="1" applyProtection="1">
      <alignment horizontal="right"/>
      <protection locked="0"/>
    </xf>
    <xf numFmtId="1" fontId="7" fillId="0" borderId="109" xfId="127" applyNumberFormat="1" applyFont="1" applyFill="1" applyBorder="1" applyAlignment="1" applyProtection="1">
      <alignment horizontal="right"/>
      <protection hidden="1"/>
    </xf>
    <xf numFmtId="1" fontId="7" fillId="0" borderId="126" xfId="127" applyNumberFormat="1" applyFont="1" applyFill="1" applyBorder="1" applyAlignment="1" applyProtection="1">
      <alignment horizontal="right"/>
      <protection hidden="1"/>
    </xf>
    <xf numFmtId="1" fontId="7" fillId="0" borderId="127" xfId="127" applyNumberFormat="1" applyFont="1" applyFill="1" applyBorder="1" applyAlignment="1" applyProtection="1">
      <alignment horizontal="right"/>
      <protection hidden="1"/>
    </xf>
    <xf numFmtId="1" fontId="7" fillId="24" borderId="23" xfId="126" applyNumberFormat="1" applyFont="1" applyFill="1" applyBorder="1" applyAlignment="1" applyProtection="1">
      <alignment horizontal="right"/>
      <protection locked="0"/>
    </xf>
    <xf numFmtId="1" fontId="7" fillId="24" borderId="5" xfId="126" applyNumberFormat="1" applyFont="1" applyFill="1" applyBorder="1" applyAlignment="1" applyProtection="1">
      <alignment horizontal="right"/>
      <protection locked="0"/>
    </xf>
    <xf numFmtId="1" fontId="7" fillId="24" borderId="83" xfId="126" applyNumberFormat="1" applyFont="1" applyFill="1" applyBorder="1" applyAlignment="1" applyProtection="1">
      <alignment horizontal="right"/>
      <protection locked="0"/>
    </xf>
    <xf numFmtId="1" fontId="7" fillId="0" borderId="133" xfId="126" applyNumberFormat="1" applyFont="1" applyFill="1" applyBorder="1" applyAlignment="1" applyProtection="1">
      <alignment horizontal="right"/>
    </xf>
    <xf numFmtId="1" fontId="7" fillId="0" borderId="121" xfId="126" applyNumberFormat="1" applyFont="1" applyFill="1" applyBorder="1" applyAlignment="1" applyProtection="1">
      <alignment horizontal="right"/>
    </xf>
    <xf numFmtId="1" fontId="7" fillId="24" borderId="39" xfId="126" applyNumberFormat="1" applyFont="1" applyFill="1" applyBorder="1" applyAlignment="1" applyProtection="1">
      <alignment horizontal="right"/>
      <protection locked="0"/>
    </xf>
    <xf numFmtId="1" fontId="7" fillId="20" borderId="36" xfId="126" applyNumberFormat="1" applyFont="1" applyFill="1" applyBorder="1" applyAlignment="1" applyProtection="1">
      <alignment horizontal="right"/>
    </xf>
    <xf numFmtId="1" fontId="7" fillId="0" borderId="110" xfId="126" applyNumberFormat="1" applyFont="1" applyFill="1" applyBorder="1" applyAlignment="1" applyProtection="1">
      <alignment horizontal="right"/>
    </xf>
    <xf numFmtId="1" fontId="7" fillId="20" borderId="37" xfId="126" applyNumberFormat="1" applyFont="1" applyFill="1" applyBorder="1" applyAlignment="1" applyProtection="1">
      <alignment horizontal="right"/>
    </xf>
    <xf numFmtId="1" fontId="7" fillId="0" borderId="73" xfId="126" applyNumberFormat="1" applyFont="1" applyFill="1" applyBorder="1" applyAlignment="1" applyProtection="1">
      <alignment horizontal="right"/>
    </xf>
    <xf numFmtId="1" fontId="7" fillId="0" borderId="134" xfId="126" applyNumberFormat="1" applyFont="1" applyFill="1" applyBorder="1" applyAlignment="1" applyProtection="1">
      <alignment horizontal="right"/>
    </xf>
    <xf numFmtId="1" fontId="7" fillId="24" borderId="44" xfId="126" applyNumberFormat="1" applyFont="1" applyFill="1" applyBorder="1" applyAlignment="1" applyProtection="1">
      <alignment horizontal="right"/>
      <protection locked="0"/>
    </xf>
    <xf numFmtId="1" fontId="7" fillId="0" borderId="132" xfId="126" applyNumberFormat="1" applyFont="1" applyFill="1" applyBorder="1" applyAlignment="1" applyProtection="1">
      <alignment horizontal="right"/>
    </xf>
    <xf numFmtId="1" fontId="7" fillId="20" borderId="141" xfId="126" applyNumberFormat="1" applyFont="1" applyFill="1" applyBorder="1" applyAlignment="1" applyProtection="1">
      <alignment horizontal="right"/>
    </xf>
    <xf numFmtId="1" fontId="7" fillId="0" borderId="88" xfId="126" applyNumberFormat="1" applyFont="1" applyFill="1" applyBorder="1" applyAlignment="1" applyProtection="1">
      <alignment horizontal="right"/>
    </xf>
    <xf numFmtId="1" fontId="7" fillId="0" borderId="135" xfId="126" applyNumberFormat="1" applyFont="1" applyFill="1" applyBorder="1" applyAlignment="1" applyProtection="1">
      <alignment horizontal="right"/>
    </xf>
    <xf numFmtId="1" fontId="7" fillId="24" borderId="29" xfId="126" applyNumberFormat="1" applyFont="1" applyFill="1" applyBorder="1" applyAlignment="1" applyProtection="1">
      <alignment horizontal="right"/>
      <protection locked="0"/>
    </xf>
    <xf numFmtId="1" fontId="7" fillId="24" borderId="7" xfId="46" applyNumberFormat="1" applyFont="1" applyFill="1" applyBorder="1" applyAlignment="1" applyProtection="1">
      <alignment horizontal="right"/>
      <protection locked="0"/>
    </xf>
    <xf numFmtId="1" fontId="7" fillId="24" borderId="81" xfId="46" applyNumberFormat="1" applyFont="1" applyFill="1" applyBorder="1" applyAlignment="1" applyProtection="1">
      <alignment horizontal="right"/>
      <protection locked="0"/>
    </xf>
    <xf numFmtId="1" fontId="7" fillId="0" borderId="1" xfId="0" applyNumberFormat="1" applyFont="1" applyBorder="1" applyAlignment="1" applyProtection="1">
      <alignment horizontal="right"/>
    </xf>
    <xf numFmtId="1" fontId="7" fillId="24" borderId="5" xfId="46" applyNumberFormat="1" applyFont="1" applyFill="1" applyBorder="1" applyAlignment="1" applyProtection="1">
      <alignment horizontal="right"/>
      <protection locked="0"/>
    </xf>
    <xf numFmtId="1" fontId="7" fillId="24" borderId="132" xfId="126" applyNumberFormat="1" applyFont="1" applyFill="1" applyBorder="1" applyAlignment="1" applyProtection="1">
      <alignment horizontal="right"/>
      <protection locked="0"/>
    </xf>
    <xf numFmtId="1" fontId="7" fillId="24" borderId="134" xfId="126" applyNumberFormat="1" applyFont="1" applyFill="1" applyBorder="1" applyAlignment="1" applyProtection="1">
      <alignment horizontal="right"/>
      <protection locked="0"/>
    </xf>
    <xf numFmtId="1" fontId="7" fillId="20" borderId="110" xfId="126" applyNumberFormat="1" applyFont="1" applyFill="1" applyBorder="1" applyAlignment="1" applyProtection="1">
      <alignment horizontal="right"/>
    </xf>
    <xf numFmtId="1" fontId="7" fillId="24" borderId="32" xfId="126" applyNumberFormat="1" applyFont="1" applyFill="1" applyBorder="1" applyAlignment="1" applyProtection="1">
      <alignment horizontal="right"/>
      <protection locked="0"/>
    </xf>
    <xf numFmtId="1" fontId="7" fillId="20" borderId="94" xfId="126" applyNumberFormat="1" applyFont="1" applyFill="1" applyBorder="1" applyAlignment="1" applyProtection="1">
      <alignment horizontal="right"/>
    </xf>
    <xf numFmtId="1" fontId="7" fillId="20" borderId="95" xfId="126" applyNumberFormat="1" applyFont="1" applyFill="1" applyBorder="1" applyAlignment="1" applyProtection="1">
      <alignment horizontal="right"/>
    </xf>
    <xf numFmtId="1" fontId="7" fillId="24" borderId="154" xfId="126" applyNumberFormat="1" applyFont="1" applyFill="1" applyBorder="1" applyAlignment="1" applyProtection="1">
      <alignment horizontal="right"/>
      <protection locked="0"/>
    </xf>
    <xf numFmtId="1" fontId="7" fillId="24" borderId="152" xfId="126" applyNumberFormat="1" applyFont="1" applyFill="1" applyBorder="1" applyAlignment="1" applyProtection="1">
      <alignment horizontal="right"/>
      <protection locked="0"/>
    </xf>
    <xf numFmtId="1" fontId="7" fillId="24" borderId="67" xfId="46" applyNumberFormat="1" applyFont="1" applyFill="1" applyBorder="1" applyAlignment="1" applyProtection="1">
      <alignment horizontal="right"/>
      <protection locked="0"/>
    </xf>
    <xf numFmtId="0" fontId="31" fillId="0" borderId="11" xfId="0" applyFont="1" applyBorder="1" applyAlignment="1" applyProtection="1">
      <alignment horizontal="right" wrapText="1"/>
    </xf>
    <xf numFmtId="0" fontId="31" fillId="0" borderId="35" xfId="0" applyFont="1" applyBorder="1" applyAlignment="1" applyProtection="1">
      <alignment horizontal="right" wrapText="1"/>
    </xf>
    <xf numFmtId="0" fontId="31" fillId="0" borderId="30" xfId="0" applyFont="1" applyBorder="1" applyAlignment="1" applyProtection="1">
      <alignment horizontal="right" wrapText="1"/>
    </xf>
    <xf numFmtId="1" fontId="7" fillId="0" borderId="30" xfId="0" applyNumberFormat="1" applyFont="1" applyFill="1" applyBorder="1" applyAlignment="1" applyProtection="1">
      <alignment horizontal="right" wrapText="1"/>
    </xf>
    <xf numFmtId="1" fontId="7" fillId="0" borderId="35" xfId="0" applyNumberFormat="1" applyFont="1" applyFill="1" applyBorder="1" applyAlignment="1" applyProtection="1">
      <alignment horizontal="right" wrapText="1"/>
    </xf>
    <xf numFmtId="0" fontId="31" fillId="26" borderId="88" xfId="0" applyFont="1" applyFill="1" applyBorder="1" applyAlignment="1" applyProtection="1">
      <alignment horizontal="right"/>
      <protection locked="0"/>
    </xf>
    <xf numFmtId="0" fontId="31" fillId="26" borderId="130" xfId="0" applyFont="1" applyFill="1" applyBorder="1" applyAlignment="1" applyProtection="1">
      <alignment horizontal="right"/>
      <protection locked="0"/>
    </xf>
    <xf numFmtId="0" fontId="31" fillId="26" borderId="29" xfId="0" applyFont="1" applyFill="1" applyBorder="1" applyAlignment="1" applyProtection="1">
      <alignment horizontal="right"/>
      <protection locked="0"/>
    </xf>
    <xf numFmtId="0" fontId="31" fillId="26" borderId="36" xfId="0" applyFont="1" applyFill="1" applyBorder="1" applyAlignment="1" applyProtection="1">
      <alignment horizontal="right"/>
      <protection locked="0"/>
    </xf>
    <xf numFmtId="0" fontId="31" fillId="26" borderId="21" xfId="0" applyFont="1" applyFill="1" applyBorder="1" applyAlignment="1" applyProtection="1">
      <alignment horizontal="right"/>
      <protection locked="0"/>
    </xf>
    <xf numFmtId="0" fontId="31" fillId="26" borderId="39" xfId="0" applyFont="1" applyFill="1" applyBorder="1" applyAlignment="1" applyProtection="1">
      <alignment horizontal="right"/>
      <protection locked="0"/>
    </xf>
    <xf numFmtId="0" fontId="31" fillId="26" borderId="24" xfId="0" applyFont="1" applyFill="1" applyBorder="1" applyAlignment="1" applyProtection="1">
      <alignment horizontal="right"/>
      <protection locked="0"/>
    </xf>
    <xf numFmtId="0" fontId="31" fillId="26" borderId="25" xfId="0" applyFont="1" applyFill="1" applyBorder="1" applyAlignment="1" applyProtection="1">
      <alignment horizontal="right"/>
      <protection locked="0"/>
    </xf>
    <xf numFmtId="0" fontId="31" fillId="26" borderId="89" xfId="0" applyFont="1" applyFill="1" applyBorder="1" applyAlignment="1" applyProtection="1">
      <alignment horizontal="right"/>
      <protection locked="0"/>
    </xf>
    <xf numFmtId="0" fontId="31" fillId="26" borderId="72" xfId="0" applyFont="1" applyFill="1" applyBorder="1" applyAlignment="1" applyProtection="1">
      <alignment horizontal="right"/>
      <protection locked="0"/>
    </xf>
    <xf numFmtId="0" fontId="31" fillId="26" borderId="86" xfId="0" applyFont="1" applyFill="1" applyBorder="1" applyAlignment="1" applyProtection="1">
      <alignment horizontal="right"/>
      <protection locked="0"/>
    </xf>
    <xf numFmtId="1" fontId="7" fillId="17" borderId="5" xfId="109" applyNumberFormat="1" applyFont="1" applyFill="1" applyBorder="1" applyAlignment="1" applyProtection="1">
      <alignment horizontal="right" wrapText="1"/>
    </xf>
    <xf numFmtId="1" fontId="7" fillId="17" borderId="7" xfId="109" applyNumberFormat="1" applyFont="1" applyFill="1" applyBorder="1" applyAlignment="1" applyProtection="1">
      <alignment horizontal="right" wrapText="1"/>
    </xf>
    <xf numFmtId="1" fontId="7" fillId="17" borderId="8" xfId="109" applyNumberFormat="1" applyFont="1" applyFill="1" applyBorder="1" applyAlignment="1" applyProtection="1">
      <alignment horizontal="right" wrapText="1"/>
    </xf>
    <xf numFmtId="1" fontId="7" fillId="15" borderId="81" xfId="73" applyNumberFormat="1" applyFont="1" applyFill="1" applyBorder="1" applyAlignment="1" applyProtection="1">
      <alignment horizontal="right"/>
      <protection locked="0"/>
    </xf>
    <xf numFmtId="1" fontId="7" fillId="15" borderId="84" xfId="73" applyNumberFormat="1" applyFont="1" applyFill="1" applyBorder="1" applyAlignment="1" applyProtection="1">
      <alignment horizontal="right"/>
      <protection locked="0"/>
    </xf>
    <xf numFmtId="1" fontId="7" fillId="15" borderId="34" xfId="14" applyNumberFormat="1" applyFont="1" applyFill="1" applyBorder="1" applyAlignment="1" applyProtection="1">
      <alignment horizontal="right"/>
      <protection locked="0"/>
    </xf>
    <xf numFmtId="1" fontId="7" fillId="0" borderId="78" xfId="130" applyNumberFormat="1" applyFont="1" applyFill="1" applyBorder="1" applyAlignment="1" applyProtection="1">
      <alignment horizontal="right"/>
    </xf>
    <xf numFmtId="1" fontId="7" fillId="15" borderId="78" xfId="14" applyNumberFormat="1" applyFont="1" applyFill="1" applyBorder="1" applyAlignment="1" applyProtection="1">
      <alignment horizontal="right"/>
      <protection locked="0"/>
    </xf>
    <xf numFmtId="1" fontId="7" fillId="0" borderId="69" xfId="130" applyNumberFormat="1" applyFont="1" applyFill="1" applyBorder="1" applyAlignment="1" applyProtection="1">
      <alignment horizontal="right"/>
    </xf>
    <xf numFmtId="1" fontId="7" fillId="15" borderId="127" xfId="14" applyNumberFormat="1" applyFont="1" applyFill="1" applyBorder="1" applyAlignment="1" applyProtection="1">
      <alignment horizontal="right"/>
      <protection locked="0"/>
    </xf>
    <xf numFmtId="1" fontId="7" fillId="15" borderId="69" xfId="14" applyNumberFormat="1" applyFont="1" applyFill="1" applyBorder="1" applyAlignment="1" applyProtection="1">
      <alignment horizontal="right"/>
      <protection locked="0"/>
    </xf>
    <xf numFmtId="1" fontId="7" fillId="0" borderId="11" xfId="130" applyNumberFormat="1" applyFont="1" applyFill="1" applyBorder="1" applyAlignment="1" applyProtection="1">
      <alignment horizontal="right"/>
    </xf>
    <xf numFmtId="1" fontId="7" fillId="0" borderId="29" xfId="130" applyNumberFormat="1" applyFont="1" applyFill="1" applyBorder="1" applyAlignment="1" applyProtection="1">
      <alignment horizontal="right"/>
    </xf>
    <xf numFmtId="1" fontId="7" fillId="15" borderId="30" xfId="14" applyNumberFormat="1" applyFont="1" applyFill="1" applyBorder="1" applyAlignment="1" applyProtection="1">
      <alignment horizontal="right"/>
      <protection locked="0"/>
    </xf>
    <xf numFmtId="1" fontId="7" fillId="0" borderId="35" xfId="130" applyNumberFormat="1" applyFont="1" applyFill="1" applyBorder="1" applyAlignment="1" applyProtection="1">
      <alignment horizontal="right"/>
    </xf>
    <xf numFmtId="1" fontId="7" fillId="0" borderId="1" xfId="26" applyNumberFormat="1" applyFont="1" applyFill="1" applyBorder="1" applyAlignment="1" applyProtection="1">
      <alignment horizontal="right"/>
    </xf>
    <xf numFmtId="1" fontId="31" fillId="0" borderId="85" xfId="0" applyNumberFormat="1" applyFont="1" applyFill="1" applyBorder="1" applyAlignment="1" applyProtection="1">
      <alignment horizontal="right"/>
    </xf>
    <xf numFmtId="1" fontId="31" fillId="0" borderId="88" xfId="0" applyNumberFormat="1" applyFont="1" applyBorder="1" applyAlignment="1" applyProtection="1">
      <alignment horizontal="right"/>
    </xf>
    <xf numFmtId="1" fontId="31" fillId="0" borderId="29" xfId="0" applyNumberFormat="1" applyFont="1" applyBorder="1" applyAlignment="1" applyProtection="1">
      <alignment horizontal="right"/>
    </xf>
    <xf numFmtId="1" fontId="31" fillId="0" borderId="70" xfId="0" applyNumberFormat="1" applyFont="1" applyBorder="1" applyAlignment="1" applyProtection="1">
      <alignment horizontal="right"/>
    </xf>
    <xf numFmtId="1" fontId="31" fillId="0" borderId="24" xfId="0" applyNumberFormat="1" applyFont="1" applyBorder="1" applyAlignment="1" applyProtection="1">
      <alignment horizontal="right"/>
    </xf>
    <xf numFmtId="1" fontId="31" fillId="0" borderId="27" xfId="0" applyNumberFormat="1" applyFont="1" applyBorder="1" applyAlignment="1" applyProtection="1">
      <alignment horizontal="right"/>
    </xf>
    <xf numFmtId="1" fontId="31" fillId="0" borderId="94" xfId="0" applyNumberFormat="1" applyFont="1" applyBorder="1" applyAlignment="1" applyProtection="1">
      <alignment horizontal="right"/>
    </xf>
    <xf numFmtId="1" fontId="31" fillId="0" borderId="31" xfId="0" applyNumberFormat="1" applyFont="1" applyBorder="1" applyAlignment="1" applyProtection="1">
      <alignment horizontal="right"/>
    </xf>
    <xf numFmtId="1" fontId="31" fillId="0" borderId="34" xfId="0" applyNumberFormat="1" applyFont="1" applyBorder="1" applyAlignment="1" applyProtection="1">
      <alignment horizontal="right"/>
    </xf>
    <xf numFmtId="1" fontId="31" fillId="15" borderId="94" xfId="0" applyNumberFormat="1" applyFont="1" applyFill="1" applyBorder="1" applyAlignment="1" applyProtection="1">
      <alignment horizontal="right"/>
      <protection locked="0"/>
    </xf>
    <xf numFmtId="1" fontId="31" fillId="0" borderId="109" xfId="0" applyNumberFormat="1" applyFont="1" applyBorder="1" applyAlignment="1" applyProtection="1">
      <alignment horizontal="right"/>
    </xf>
    <xf numFmtId="1" fontId="31" fillId="0" borderId="107" xfId="0" applyNumberFormat="1" applyFont="1" applyBorder="1" applyAlignment="1" applyProtection="1">
      <alignment horizontal="right"/>
    </xf>
    <xf numFmtId="1" fontId="31" fillId="0" borderId="127" xfId="0" applyNumberFormat="1" applyFont="1" applyBorder="1" applyAlignment="1" applyProtection="1">
      <alignment horizontal="right"/>
    </xf>
    <xf numFmtId="1" fontId="31" fillId="15" borderId="109" xfId="0" applyNumberFormat="1" applyFont="1" applyFill="1" applyBorder="1" applyAlignment="1" applyProtection="1">
      <alignment horizontal="right"/>
      <protection locked="0"/>
    </xf>
    <xf numFmtId="1" fontId="31" fillId="0" borderId="7" xfId="0" applyNumberFormat="1" applyFont="1" applyBorder="1" applyAlignment="1" applyProtection="1">
      <alignment horizontal="right" wrapText="1"/>
    </xf>
    <xf numFmtId="1" fontId="31" fillId="0" borderId="81" xfId="0" applyNumberFormat="1" applyFont="1" applyBorder="1" applyAlignment="1" applyProtection="1">
      <alignment horizontal="right" wrapText="1"/>
    </xf>
    <xf numFmtId="1" fontId="31" fillId="0" borderId="67" xfId="0" applyNumberFormat="1" applyFont="1" applyBorder="1" applyAlignment="1" applyProtection="1">
      <alignment horizontal="right" wrapText="1"/>
    </xf>
    <xf numFmtId="1" fontId="31" fillId="15" borderId="7" xfId="0" applyNumberFormat="1" applyFont="1" applyFill="1" applyBorder="1" applyAlignment="1" applyProtection="1">
      <alignment horizontal="right"/>
      <protection locked="0"/>
    </xf>
    <xf numFmtId="1" fontId="31" fillId="15" borderId="5" xfId="0" applyNumberFormat="1" applyFont="1" applyFill="1" applyBorder="1" applyAlignment="1" applyProtection="1">
      <alignment horizontal="right"/>
      <protection locked="0"/>
    </xf>
    <xf numFmtId="1" fontId="31" fillId="15" borderId="81" xfId="0" applyNumberFormat="1" applyFont="1" applyFill="1" applyBorder="1" applyAlignment="1" applyProtection="1">
      <alignment horizontal="right"/>
      <protection locked="0"/>
    </xf>
    <xf numFmtId="1" fontId="31" fillId="0" borderId="70" xfId="0" applyNumberFormat="1" applyFont="1" applyFill="1" applyBorder="1" applyAlignment="1" applyProtection="1">
      <alignment horizontal="right"/>
    </xf>
    <xf numFmtId="1" fontId="31" fillId="0" borderId="24" xfId="0" applyNumberFormat="1" applyFont="1" applyFill="1" applyBorder="1" applyAlignment="1" applyProtection="1">
      <alignment horizontal="right"/>
    </xf>
    <xf numFmtId="1" fontId="31" fillId="0" borderId="27" xfId="0" applyNumberFormat="1" applyFont="1" applyFill="1" applyBorder="1" applyAlignment="1" applyProtection="1">
      <alignment horizontal="right"/>
    </xf>
    <xf numFmtId="0" fontId="31" fillId="20" borderId="70" xfId="0" applyFont="1" applyFill="1" applyBorder="1" applyAlignment="1" applyProtection="1">
      <alignment horizontal="right"/>
    </xf>
    <xf numFmtId="0" fontId="31" fillId="20" borderId="27" xfId="0" applyFont="1" applyFill="1" applyBorder="1" applyAlignment="1" applyProtection="1">
      <alignment horizontal="right"/>
    </xf>
    <xf numFmtId="1" fontId="31" fillId="0" borderId="71" xfId="0" applyNumberFormat="1" applyFont="1" applyFill="1" applyBorder="1" applyAlignment="1" applyProtection="1">
      <alignment horizontal="right"/>
    </xf>
    <xf numFmtId="1" fontId="31" fillId="0" borderId="36" xfId="0" applyNumberFormat="1" applyFont="1" applyFill="1" applyBorder="1" applyAlignment="1" applyProtection="1">
      <alignment horizontal="right"/>
    </xf>
    <xf numFmtId="1" fontId="31" fillId="0" borderId="39" xfId="0" applyNumberFormat="1" applyFont="1" applyFill="1" applyBorder="1" applyAlignment="1" applyProtection="1">
      <alignment horizontal="right"/>
    </xf>
    <xf numFmtId="0" fontId="31" fillId="20" borderId="71" xfId="0" applyFont="1" applyFill="1" applyBorder="1" applyAlignment="1" applyProtection="1">
      <alignment horizontal="right"/>
    </xf>
    <xf numFmtId="0" fontId="31" fillId="20" borderId="39" xfId="0" applyFont="1" applyFill="1" applyBorder="1" applyAlignment="1" applyProtection="1">
      <alignment horizontal="right"/>
    </xf>
    <xf numFmtId="1" fontId="31" fillId="15" borderId="71" xfId="0" applyNumberFormat="1" applyFont="1" applyFill="1" applyBorder="1" applyAlignment="1" applyProtection="1">
      <alignment horizontal="right"/>
      <protection locked="0"/>
    </xf>
    <xf numFmtId="1" fontId="31" fillId="0" borderId="109" xfId="0" applyNumberFormat="1" applyFont="1" applyFill="1" applyBorder="1" applyAlignment="1" applyProtection="1">
      <alignment horizontal="right"/>
    </xf>
    <xf numFmtId="1" fontId="31" fillId="0" borderId="107" xfId="0" applyNumberFormat="1" applyFont="1" applyFill="1" applyBorder="1" applyAlignment="1" applyProtection="1">
      <alignment horizontal="right"/>
    </xf>
    <xf numFmtId="1" fontId="31" fillId="0" borderId="127" xfId="0" applyNumberFormat="1" applyFont="1" applyFill="1" applyBorder="1" applyAlignment="1" applyProtection="1">
      <alignment horizontal="right"/>
    </xf>
    <xf numFmtId="1" fontId="11" fillId="22" borderId="0" xfId="128" applyNumberFormat="1" applyFont="1" applyFill="1" applyBorder="1" applyAlignment="1" applyProtection="1">
      <alignment vertical="center" wrapText="1"/>
      <protection hidden="1"/>
    </xf>
    <xf numFmtId="1" fontId="7" fillId="21" borderId="0" xfId="0" applyNumberFormat="1" applyFont="1" applyFill="1" applyBorder="1" applyAlignment="1" applyProtection="1">
      <alignment horizontal="center" vertical="center" wrapText="1"/>
    </xf>
    <xf numFmtId="1" fontId="7" fillId="21" borderId="0" xfId="0" applyNumberFormat="1" applyFont="1" applyFill="1" applyBorder="1" applyAlignment="1" applyProtection="1">
      <alignment horizontal="center" vertical="center"/>
    </xf>
    <xf numFmtId="1" fontId="7" fillId="29" borderId="0" xfId="0" applyNumberFormat="1" applyFont="1" applyFill="1" applyBorder="1" applyAlignment="1" applyProtection="1">
      <alignment horizontal="center" vertical="center"/>
    </xf>
    <xf numFmtId="1" fontId="7" fillId="21" borderId="0" xfId="0" applyNumberFormat="1" applyFont="1" applyFill="1" applyBorder="1" applyAlignment="1" applyProtection="1">
      <alignment vertical="center"/>
    </xf>
    <xf numFmtId="1" fontId="7" fillId="21" borderId="0" xfId="0" applyNumberFormat="1" applyFont="1" applyFill="1" applyAlignment="1" applyProtection="1">
      <alignment horizontal="center" vertical="center" wrapText="1"/>
    </xf>
    <xf numFmtId="1" fontId="7" fillId="29" borderId="0" xfId="0" applyNumberFormat="1" applyFont="1" applyFill="1" applyBorder="1" applyAlignment="1" applyProtection="1">
      <alignment vertical="center"/>
    </xf>
    <xf numFmtId="0" fontId="0" fillId="21" borderId="0" xfId="0" applyFill="1"/>
    <xf numFmtId="0" fontId="0" fillId="29" borderId="0" xfId="0" applyFill="1"/>
    <xf numFmtId="1" fontId="7" fillId="21" borderId="1" xfId="0" applyNumberFormat="1" applyFont="1" applyFill="1" applyBorder="1" applyAlignment="1" applyProtection="1">
      <alignment horizontal="center" vertical="center" wrapText="1"/>
    </xf>
    <xf numFmtId="1" fontId="7" fillId="21" borderId="1" xfId="0" applyNumberFormat="1" applyFont="1" applyFill="1" applyBorder="1" applyAlignment="1" applyProtection="1">
      <alignment horizontal="center"/>
    </xf>
    <xf numFmtId="1" fontId="7" fillId="21" borderId="1" xfId="0" applyNumberFormat="1" applyFont="1" applyFill="1" applyBorder="1" applyAlignment="1" applyProtection="1">
      <alignment horizontal="center" vertical="center"/>
    </xf>
    <xf numFmtId="1" fontId="7" fillId="21" borderId="1" xfId="126" applyNumberFormat="1" applyFont="1" applyFill="1" applyBorder="1" applyAlignment="1" applyProtection="1">
      <alignment horizontal="center" vertical="center"/>
      <protection hidden="1"/>
    </xf>
    <xf numFmtId="1" fontId="7" fillId="29" borderId="1" xfId="0" applyNumberFormat="1" applyFont="1" applyFill="1" applyBorder="1" applyAlignment="1" applyProtection="1">
      <alignment horizontal="center" vertical="center" wrapText="1"/>
    </xf>
    <xf numFmtId="1" fontId="7" fillId="29" borderId="1" xfId="0" applyNumberFormat="1" applyFont="1" applyFill="1" applyBorder="1" applyAlignment="1" applyProtection="1">
      <alignment horizontal="center" vertical="center"/>
    </xf>
    <xf numFmtId="1" fontId="7" fillId="29" borderId="1" xfId="0" applyNumberFormat="1" applyFont="1" applyFill="1" applyBorder="1" applyAlignment="1" applyProtection="1">
      <alignment horizontal="center"/>
    </xf>
    <xf numFmtId="1" fontId="7" fillId="21" borderId="1" xfId="0" applyNumberFormat="1" applyFont="1" applyFill="1" applyBorder="1" applyAlignment="1" applyProtection="1">
      <alignment horizontal="center" vertical="center" wrapText="1"/>
    </xf>
    <xf numFmtId="1" fontId="7" fillId="29" borderId="1" xfId="0" applyNumberFormat="1" applyFont="1" applyFill="1" applyBorder="1" applyAlignment="1" applyProtection="1">
      <alignment horizontal="center" vertical="center" wrapText="1"/>
    </xf>
    <xf numFmtId="1" fontId="7" fillId="0" borderId="27" xfId="125" applyNumberFormat="1" applyFont="1" applyFill="1" applyBorder="1" applyAlignment="1" applyProtection="1">
      <alignment horizontal="left" vertical="center"/>
    </xf>
    <xf numFmtId="1" fontId="7" fillId="0" borderId="39" xfId="126" applyNumberFormat="1" applyFont="1" applyFill="1" applyBorder="1" applyAlignment="1" applyProtection="1">
      <alignment horizontal="left" vertical="center" wrapText="1"/>
    </xf>
    <xf numFmtId="1" fontId="7" fillId="20" borderId="85" xfId="126" applyNumberFormat="1" applyFont="1" applyFill="1" applyBorder="1" applyAlignment="1" applyProtection="1">
      <alignment horizontal="right"/>
    </xf>
    <xf numFmtId="1" fontId="7" fillId="20" borderId="86" xfId="126" applyNumberFormat="1" applyFont="1" applyFill="1" applyBorder="1" applyAlignment="1" applyProtection="1">
      <alignment horizontal="right"/>
    </xf>
    <xf numFmtId="1" fontId="7" fillId="20" borderId="90" xfId="126" applyNumberFormat="1" applyFont="1" applyFill="1" applyBorder="1" applyAlignment="1" applyProtection="1">
      <alignment horizontal="right"/>
    </xf>
    <xf numFmtId="1" fontId="7" fillId="20" borderId="146" xfId="126" applyNumberFormat="1" applyFont="1" applyFill="1" applyBorder="1" applyAlignment="1" applyProtection="1">
      <alignment horizontal="right"/>
    </xf>
    <xf numFmtId="1" fontId="7" fillId="20" borderId="101" xfId="126" applyNumberFormat="1" applyFont="1" applyFill="1" applyBorder="1" applyAlignment="1" applyProtection="1">
      <alignment horizontal="right"/>
    </xf>
    <xf numFmtId="1" fontId="7" fillId="20" borderId="99" xfId="126" applyNumberFormat="1" applyFont="1" applyFill="1" applyBorder="1" applyAlignment="1" applyProtection="1">
      <alignment horizontal="right"/>
    </xf>
    <xf numFmtId="1" fontId="7" fillId="20" borderId="147" xfId="126" applyNumberFormat="1" applyFont="1" applyFill="1" applyBorder="1" applyAlignment="1" applyProtection="1">
      <alignment horizontal="right"/>
    </xf>
    <xf numFmtId="1" fontId="7" fillId="24" borderId="119" xfId="126" applyNumberFormat="1" applyFont="1" applyFill="1" applyBorder="1" applyAlignment="1" applyProtection="1">
      <alignment horizontal="right"/>
      <protection locked="0"/>
    </xf>
    <xf numFmtId="1" fontId="7" fillId="0" borderId="29" xfId="0" applyNumberFormat="1" applyFont="1" applyFill="1" applyBorder="1" applyAlignment="1" applyProtection="1">
      <alignment horizontal="right"/>
    </xf>
    <xf numFmtId="1" fontId="7" fillId="0" borderId="27" xfId="0" applyNumberFormat="1" applyFont="1" applyFill="1" applyBorder="1" applyAlignment="1" applyProtection="1">
      <alignment horizontal="right"/>
    </xf>
    <xf numFmtId="1" fontId="7" fillId="15" borderId="90" xfId="0" applyNumberFormat="1" applyFont="1" applyFill="1" applyBorder="1" applyAlignment="1" applyProtection="1">
      <alignment horizontal="right"/>
      <protection locked="0"/>
    </xf>
    <xf numFmtId="1" fontId="7" fillId="15" borderId="147" xfId="0" applyNumberFormat="1" applyFont="1" applyFill="1" applyBorder="1" applyAlignment="1" applyProtection="1">
      <alignment horizontal="right"/>
      <protection locked="0"/>
    </xf>
    <xf numFmtId="1" fontId="7" fillId="15" borderId="151" xfId="0" applyNumberFormat="1" applyFont="1" applyFill="1" applyBorder="1" applyAlignment="1" applyProtection="1">
      <alignment horizontal="right"/>
      <protection locked="0"/>
    </xf>
    <xf numFmtId="1" fontId="7" fillId="24" borderId="149" xfId="126" applyNumberFormat="1" applyFont="1" applyFill="1" applyBorder="1" applyAlignment="1" applyProtection="1">
      <alignment horizontal="right"/>
      <protection locked="0"/>
    </xf>
    <xf numFmtId="1" fontId="7" fillId="0" borderId="149" xfId="126" applyNumberFormat="1" applyFont="1" applyFill="1" applyBorder="1" applyAlignment="1" applyProtection="1">
      <alignment horizontal="right"/>
    </xf>
    <xf numFmtId="1" fontId="7" fillId="0" borderId="94" xfId="0" applyNumberFormat="1" applyFont="1" applyBorder="1" applyAlignment="1" applyProtection="1">
      <alignment wrapText="1"/>
    </xf>
    <xf numFmtId="1" fontId="7" fillId="0" borderId="32" xfId="0" applyNumberFormat="1" applyFont="1" applyBorder="1" applyAlignment="1" applyProtection="1">
      <alignment wrapText="1"/>
    </xf>
    <xf numFmtId="1" fontId="7" fillId="0" borderId="34" xfId="0" applyNumberFormat="1" applyFont="1" applyBorder="1" applyAlignment="1" applyProtection="1">
      <alignment wrapText="1"/>
    </xf>
    <xf numFmtId="1" fontId="7" fillId="0" borderId="71" xfId="0" applyNumberFormat="1" applyFont="1" applyBorder="1" applyAlignment="1" applyProtection="1">
      <alignment wrapText="1"/>
    </xf>
    <xf numFmtId="1" fontId="7" fillId="0" borderId="21" xfId="0" applyNumberFormat="1" applyFont="1" applyBorder="1" applyAlignment="1" applyProtection="1">
      <alignment wrapText="1"/>
    </xf>
    <xf numFmtId="1" fontId="7" fillId="0" borderId="39" xfId="0" applyNumberFormat="1" applyFont="1" applyBorder="1" applyAlignment="1" applyProtection="1">
      <alignment wrapText="1"/>
    </xf>
    <xf numFmtId="1" fontId="7" fillId="0" borderId="101" xfId="0" applyNumberFormat="1" applyFont="1" applyBorder="1" applyAlignment="1" applyProtection="1">
      <alignment wrapText="1"/>
    </xf>
    <xf numFmtId="1" fontId="7" fillId="0" borderId="131" xfId="0" applyNumberFormat="1" applyFont="1" applyBorder="1" applyAlignment="1" applyProtection="1">
      <alignment wrapText="1"/>
    </xf>
    <xf numFmtId="1" fontId="7" fillId="0" borderId="100" xfId="0" applyNumberFormat="1" applyFont="1" applyBorder="1" applyAlignment="1" applyProtection="1">
      <alignment wrapText="1"/>
    </xf>
    <xf numFmtId="1" fontId="7" fillId="0" borderId="69" xfId="0" applyNumberFormat="1" applyFont="1" applyBorder="1" applyAlignment="1" applyProtection="1">
      <alignment vertical="center" wrapText="1"/>
    </xf>
    <xf numFmtId="1" fontId="7" fillId="0" borderId="44" xfId="0" applyNumberFormat="1" applyFont="1" applyFill="1" applyBorder="1" applyAlignment="1" applyProtection="1">
      <alignment horizontal="left" vertical="center" wrapText="1"/>
    </xf>
    <xf numFmtId="1" fontId="15" fillId="0" borderId="0" xfId="126" applyNumberFormat="1" applyFont="1" applyFill="1" applyAlignment="1" applyProtection="1">
      <protection hidden="1"/>
    </xf>
    <xf numFmtId="1" fontId="7" fillId="0" borderId="186" xfId="126" applyNumberFormat="1" applyFont="1" applyFill="1" applyBorder="1" applyAlignment="1" applyProtection="1">
      <alignment vertical="center" wrapText="1"/>
    </xf>
    <xf numFmtId="1" fontId="7" fillId="0" borderId="86" xfId="126" applyNumberFormat="1" applyFont="1" applyFill="1" applyBorder="1" applyAlignment="1" applyProtection="1">
      <alignment horizontal="right"/>
    </xf>
    <xf numFmtId="1" fontId="7" fillId="20" borderId="28" xfId="126" applyNumberFormat="1" applyFont="1" applyFill="1" applyBorder="1" applyAlignment="1" applyProtection="1">
      <alignment horizontal="right"/>
    </xf>
    <xf numFmtId="1" fontId="7" fillId="0" borderId="110" xfId="126" applyNumberFormat="1" applyFont="1" applyFill="1" applyBorder="1" applyAlignment="1" applyProtection="1">
      <alignment vertical="center" wrapText="1"/>
    </xf>
    <xf numFmtId="1" fontId="7" fillId="15" borderId="34" xfId="73" applyNumberFormat="1" applyFont="1" applyFill="1" applyBorder="1" applyAlignment="1" applyProtection="1">
      <alignment horizontal="right"/>
      <protection locked="0"/>
    </xf>
    <xf numFmtId="1" fontId="7" fillId="15" borderId="88" xfId="73" applyNumberFormat="1" applyFont="1" applyFill="1" applyBorder="1" applyAlignment="1" applyProtection="1">
      <alignment horizontal="right"/>
      <protection locked="0"/>
    </xf>
    <xf numFmtId="1" fontId="7" fillId="15" borderId="29" xfId="73" applyNumberFormat="1" applyFont="1" applyFill="1" applyBorder="1" applyAlignment="1" applyProtection="1">
      <alignment horizontal="right"/>
      <protection locked="0"/>
    </xf>
    <xf numFmtId="1" fontId="7" fillId="15" borderId="24" xfId="73" applyNumberFormat="1" applyFont="1" applyFill="1" applyBorder="1" applyAlignment="1" applyProtection="1">
      <alignment horizontal="right"/>
      <protection locked="0"/>
    </xf>
    <xf numFmtId="1" fontId="7" fillId="15" borderId="27" xfId="73" applyNumberFormat="1" applyFont="1" applyFill="1" applyBorder="1" applyAlignment="1" applyProtection="1">
      <alignment horizontal="right"/>
      <protection locked="0"/>
    </xf>
    <xf numFmtId="1" fontId="11" fillId="0" borderId="1" xfId="130" applyNumberFormat="1" applyFont="1" applyFill="1" applyBorder="1" applyAlignment="1" applyProtection="1">
      <alignment horizontal="center" vertical="center" wrapText="1"/>
      <protection hidden="1"/>
    </xf>
    <xf numFmtId="1" fontId="7" fillId="15" borderId="27" xfId="14" applyNumberFormat="1" applyFont="1" applyFill="1" applyBorder="1" applyAlignment="1" applyProtection="1">
      <alignment horizontal="right"/>
      <protection locked="0"/>
    </xf>
    <xf numFmtId="1" fontId="11" fillId="0" borderId="122" xfId="130" applyNumberFormat="1" applyFont="1" applyFill="1" applyBorder="1" applyAlignment="1" applyProtection="1">
      <alignment horizontal="center" vertical="center" wrapText="1"/>
      <protection hidden="1"/>
    </xf>
    <xf numFmtId="1" fontId="7" fillId="15" borderId="55" xfId="14" applyNumberFormat="1" applyFont="1" applyFill="1" applyBorder="1" applyAlignment="1" applyProtection="1">
      <alignment horizontal="right"/>
      <protection locked="0"/>
    </xf>
    <xf numFmtId="1" fontId="7" fillId="15" borderId="187" xfId="14" applyNumberFormat="1" applyFont="1" applyFill="1" applyBorder="1" applyAlignment="1" applyProtection="1">
      <alignment horizontal="right"/>
      <protection locked="0"/>
    </xf>
    <xf numFmtId="1" fontId="7" fillId="15" borderId="188" xfId="14" applyNumberFormat="1" applyFont="1" applyFill="1" applyBorder="1" applyAlignment="1" applyProtection="1">
      <alignment horizontal="right"/>
      <protection locked="0"/>
    </xf>
    <xf numFmtId="1" fontId="7" fillId="0" borderId="169" xfId="130" applyNumberFormat="1" applyFont="1" applyFill="1" applyBorder="1" applyAlignment="1" applyProtection="1">
      <alignment horizontal="right"/>
    </xf>
    <xf numFmtId="0" fontId="31" fillId="0" borderId="65" xfId="0" applyFont="1" applyBorder="1" applyAlignment="1" applyProtection="1">
      <alignment horizontal="center" vertical="center"/>
    </xf>
    <xf numFmtId="1" fontId="31" fillId="15" borderId="57" xfId="0" applyNumberFormat="1" applyFont="1" applyFill="1" applyBorder="1" applyAlignment="1" applyProtection="1">
      <alignment horizontal="right"/>
      <protection locked="0"/>
    </xf>
    <xf numFmtId="1" fontId="31" fillId="15" borderId="60" xfId="0" applyNumberFormat="1" applyFont="1" applyFill="1" applyBorder="1" applyAlignment="1" applyProtection="1">
      <alignment horizontal="right"/>
      <protection locked="0"/>
    </xf>
    <xf numFmtId="0" fontId="31" fillId="20" borderId="60" xfId="0" applyFont="1" applyFill="1" applyBorder="1" applyAlignment="1" applyProtection="1">
      <alignment horizontal="right"/>
    </xf>
    <xf numFmtId="1" fontId="31" fillId="15" borderId="142" xfId="0" applyNumberFormat="1" applyFont="1" applyFill="1" applyBorder="1" applyAlignment="1" applyProtection="1">
      <alignment horizontal="right"/>
      <protection locked="0"/>
    </xf>
    <xf numFmtId="1" fontId="31" fillId="0" borderId="85" xfId="0" applyNumberFormat="1" applyFont="1" applyBorder="1" applyAlignment="1" applyProtection="1">
      <alignment horizontal="right"/>
    </xf>
    <xf numFmtId="1" fontId="31" fillId="0" borderId="145" xfId="0" applyNumberFormat="1" applyFont="1" applyBorder="1" applyAlignment="1" applyProtection="1">
      <alignment horizontal="right"/>
    </xf>
    <xf numFmtId="1" fontId="31" fillId="15" borderId="156" xfId="0" applyNumberFormat="1" applyFont="1" applyFill="1" applyBorder="1" applyAlignment="1" applyProtection="1">
      <alignment horizontal="right"/>
      <protection locked="0"/>
    </xf>
    <xf numFmtId="1" fontId="31" fillId="15" borderId="67" xfId="0" applyNumberFormat="1" applyFont="1" applyFill="1" applyBorder="1" applyAlignment="1" applyProtection="1">
      <alignment horizontal="right"/>
      <protection locked="0"/>
    </xf>
    <xf numFmtId="1" fontId="31" fillId="15" borderId="83" xfId="0" applyNumberFormat="1" applyFont="1" applyFill="1" applyBorder="1" applyAlignment="1" applyProtection="1">
      <alignment horizontal="right"/>
      <protection locked="0"/>
    </xf>
    <xf numFmtId="1" fontId="7" fillId="15" borderId="56" xfId="14" applyNumberFormat="1" applyFont="1" applyFill="1" applyBorder="1" applyAlignment="1" applyProtection="1">
      <alignment horizontal="right"/>
      <protection locked="0"/>
    </xf>
    <xf numFmtId="1" fontId="7" fillId="15" borderId="6" xfId="125" applyNumberFormat="1" applyFont="1" applyFill="1" applyBorder="1" applyAlignment="1" applyProtection="1">
      <alignment horizontal="right"/>
      <protection locked="0"/>
    </xf>
    <xf numFmtId="1" fontId="7" fillId="0" borderId="67" xfId="125" applyNumberFormat="1" applyFont="1" applyFill="1" applyBorder="1" applyAlignment="1" applyProtection="1">
      <alignment horizontal="center" vertical="center" wrapText="1"/>
    </xf>
    <xf numFmtId="1" fontId="7" fillId="0" borderId="88" xfId="125" applyNumberFormat="1" applyFont="1" applyFill="1" applyBorder="1" applyAlignment="1" applyProtection="1">
      <alignment horizontal="right" wrapText="1"/>
    </xf>
    <xf numFmtId="1" fontId="7" fillId="0" borderId="101" xfId="125" applyNumberFormat="1" applyFont="1" applyFill="1" applyBorder="1" applyAlignment="1" applyProtection="1">
      <alignment horizontal="right"/>
    </xf>
    <xf numFmtId="1" fontId="31" fillId="0" borderId="67" xfId="0" applyNumberFormat="1" applyFont="1" applyBorder="1" applyAlignment="1" applyProtection="1">
      <alignment horizontal="right"/>
    </xf>
    <xf numFmtId="1" fontId="31" fillId="0" borderId="7" xfId="0" applyNumberFormat="1" applyFont="1" applyBorder="1" applyAlignment="1" applyProtection="1">
      <alignment horizontal="right"/>
    </xf>
    <xf numFmtId="1" fontId="7" fillId="20" borderId="121" xfId="126" applyNumberFormat="1" applyFont="1" applyFill="1" applyBorder="1" applyAlignment="1" applyProtection="1">
      <alignment horizontal="right"/>
    </xf>
    <xf numFmtId="1" fontId="7" fillId="0" borderId="109" xfId="0" applyNumberFormat="1" applyFont="1" applyBorder="1" applyAlignment="1" applyProtection="1">
      <alignment wrapText="1"/>
    </xf>
    <xf numFmtId="1" fontId="7" fillId="0" borderId="126" xfId="0" applyNumberFormat="1" applyFont="1" applyBorder="1" applyAlignment="1" applyProtection="1">
      <alignment wrapText="1"/>
    </xf>
    <xf numFmtId="1" fontId="7" fillId="0" borderId="127" xfId="0" applyNumberFormat="1" applyFont="1" applyBorder="1" applyAlignment="1" applyProtection="1">
      <alignment wrapText="1"/>
    </xf>
    <xf numFmtId="1" fontId="7" fillId="21" borderId="1" xfId="0" applyNumberFormat="1" applyFont="1" applyFill="1" applyBorder="1" applyAlignment="1" applyProtection="1">
      <alignment horizontal="center" vertical="center" wrapText="1"/>
    </xf>
    <xf numFmtId="1" fontId="11" fillId="27" borderId="0" xfId="0" applyNumberFormat="1" applyFont="1" applyFill="1" applyBorder="1" applyProtection="1"/>
    <xf numFmtId="1" fontId="7" fillId="27" borderId="0" xfId="0" applyNumberFormat="1" applyFont="1" applyFill="1" applyProtection="1">
      <protection hidden="1"/>
    </xf>
    <xf numFmtId="1" fontId="11" fillId="28" borderId="0" xfId="0" applyNumberFormat="1" applyFont="1" applyFill="1" applyProtection="1"/>
    <xf numFmtId="1" fontId="7" fillId="28" borderId="0" xfId="0" applyNumberFormat="1" applyFont="1" applyFill="1" applyProtection="1">
      <protection hidden="1"/>
    </xf>
    <xf numFmtId="1" fontId="7" fillId="27" borderId="189" xfId="0" applyNumberFormat="1" applyFont="1" applyFill="1" applyBorder="1" applyProtection="1"/>
    <xf numFmtId="1" fontId="7" fillId="21" borderId="189" xfId="0" applyNumberFormat="1" applyFont="1" applyFill="1" applyBorder="1" applyProtection="1"/>
    <xf numFmtId="1" fontId="7" fillId="30" borderId="1" xfId="0" applyNumberFormat="1" applyFont="1" applyFill="1" applyBorder="1" applyProtection="1"/>
    <xf numFmtId="1" fontId="7" fillId="30" borderId="0" xfId="0" applyNumberFormat="1" applyFont="1" applyFill="1" applyProtection="1"/>
    <xf numFmtId="1" fontId="7" fillId="0" borderId="83" xfId="0" applyNumberFormat="1" applyFont="1" applyFill="1" applyBorder="1" applyAlignment="1" applyProtection="1">
      <alignment horizontal="center" vertical="center"/>
    </xf>
    <xf numFmtId="1" fontId="7" fillId="24" borderId="83" xfId="46" applyNumberFormat="1" applyFont="1" applyFill="1" applyBorder="1" applyAlignment="1" applyProtection="1">
      <alignment horizontal="right"/>
      <protection locked="0"/>
    </xf>
    <xf numFmtId="1" fontId="7" fillId="15" borderId="128" xfId="125" applyNumberFormat="1" applyFont="1" applyFill="1" applyBorder="1" applyAlignment="1" applyProtection="1">
      <alignment horizontal="right"/>
      <protection locked="0"/>
    </xf>
    <xf numFmtId="1" fontId="7" fillId="0" borderId="67" xfId="125" applyNumberFormat="1" applyFont="1" applyFill="1" applyBorder="1" applyAlignment="1" applyProtection="1">
      <alignment horizontal="center" vertical="center" wrapText="1"/>
    </xf>
    <xf numFmtId="1" fontId="7" fillId="0" borderId="34" xfId="0" applyNumberFormat="1" applyFont="1" applyFill="1" applyBorder="1" applyAlignment="1" applyProtection="1">
      <alignment horizontal="left" vertical="center" wrapText="1"/>
    </xf>
    <xf numFmtId="1" fontId="7" fillId="0" borderId="127" xfId="0" applyNumberFormat="1" applyFont="1" applyFill="1" applyBorder="1" applyAlignment="1" applyProtection="1">
      <alignment horizontal="left" vertical="center" wrapText="1"/>
    </xf>
    <xf numFmtId="1" fontId="7" fillId="22" borderId="49" xfId="0" applyNumberFormat="1" applyFont="1" applyFill="1" applyBorder="1" applyAlignment="1" applyProtection="1">
      <alignment horizontal="center" vertical="center"/>
    </xf>
    <xf numFmtId="1" fontId="7" fillId="17" borderId="7" xfId="109" applyNumberFormat="1" applyFont="1" applyFill="1" applyBorder="1" applyAlignment="1" applyProtection="1">
      <alignment horizontal="center" vertical="center" wrapText="1"/>
    </xf>
    <xf numFmtId="1" fontId="7" fillId="17" borderId="75" xfId="123" applyNumberFormat="1" applyFont="1" applyFill="1" applyBorder="1" applyAlignment="1" applyProtection="1">
      <alignment horizontal="left" wrapText="1"/>
    </xf>
    <xf numFmtId="1" fontId="7" fillId="17" borderId="94" xfId="123" applyNumberFormat="1" applyFont="1" applyFill="1" applyBorder="1" applyAlignment="1" applyProtection="1">
      <alignment horizontal="right"/>
    </xf>
    <xf numFmtId="1" fontId="7" fillId="20" borderId="25" xfId="123" applyNumberFormat="1" applyFont="1" applyFill="1" applyBorder="1" applyAlignment="1" applyProtection="1">
      <alignment horizontal="right"/>
    </xf>
    <xf numFmtId="1" fontId="7" fillId="17" borderId="89" xfId="109" applyNumberFormat="1" applyFont="1" applyFill="1" applyBorder="1" applyAlignment="1" applyProtection="1">
      <alignment horizontal="right" wrapText="1"/>
    </xf>
    <xf numFmtId="1" fontId="7" fillId="17" borderId="97" xfId="123" applyNumberFormat="1" applyFont="1" applyFill="1" applyBorder="1" applyAlignment="1" applyProtection="1">
      <alignment horizontal="left"/>
    </xf>
    <xf numFmtId="1" fontId="7" fillId="17" borderId="109" xfId="123" applyNumberFormat="1" applyFont="1" applyFill="1" applyBorder="1" applyAlignment="1" applyProtection="1">
      <alignment horizontal="right"/>
    </xf>
    <xf numFmtId="1" fontId="7" fillId="20" borderId="130" xfId="123" applyNumberFormat="1" applyFont="1" applyFill="1" applyBorder="1" applyAlignment="1" applyProtection="1">
      <alignment horizontal="right"/>
    </xf>
    <xf numFmtId="1" fontId="7" fillId="17" borderId="86" xfId="109" applyNumberFormat="1" applyFont="1" applyFill="1" applyBorder="1" applyAlignment="1" applyProtection="1">
      <alignment horizontal="right" wrapText="1"/>
    </xf>
    <xf numFmtId="1" fontId="7" fillId="17" borderId="77" xfId="123" applyNumberFormat="1" applyFont="1" applyFill="1" applyBorder="1" applyAlignment="1" applyProtection="1">
      <alignment horizontal="left"/>
    </xf>
    <xf numFmtId="1" fontId="7" fillId="17" borderId="32" xfId="123" applyNumberFormat="1" applyFont="1" applyFill="1" applyBorder="1" applyAlignment="1" applyProtection="1">
      <alignment horizontal="right"/>
    </xf>
    <xf numFmtId="1" fontId="7" fillId="17" borderId="95" xfId="109" applyNumberFormat="1" applyFont="1" applyFill="1" applyBorder="1" applyAlignment="1" applyProtection="1">
      <alignment horizontal="right" wrapText="1"/>
    </xf>
    <xf numFmtId="1" fontId="7" fillId="17" borderId="85" xfId="123" applyNumberFormat="1" applyFont="1" applyFill="1" applyBorder="1" applyAlignment="1" applyProtection="1">
      <alignment horizontal="right"/>
    </xf>
    <xf numFmtId="1" fontId="7" fillId="17" borderId="130" xfId="123" applyNumberFormat="1" applyFont="1" applyFill="1" applyBorder="1" applyAlignment="1" applyProtection="1">
      <alignment horizontal="right"/>
    </xf>
    <xf numFmtId="1" fontId="7" fillId="0" borderId="27" xfId="0" applyNumberFormat="1" applyFont="1" applyFill="1" applyBorder="1" applyAlignment="1" applyProtection="1">
      <alignment horizontal="left" vertical="center" wrapText="1"/>
    </xf>
    <xf numFmtId="1" fontId="7" fillId="0" borderId="34" xfId="0" applyNumberFormat="1" applyFont="1" applyFill="1" applyBorder="1" applyAlignment="1" applyProtection="1">
      <alignment vertical="center" wrapText="1"/>
    </xf>
    <xf numFmtId="1" fontId="7" fillId="0" borderId="69" xfId="0" applyNumberFormat="1" applyFont="1" applyFill="1" applyBorder="1" applyAlignment="1" applyProtection="1">
      <alignment vertical="center" wrapText="1"/>
    </xf>
    <xf numFmtId="1" fontId="15" fillId="0" borderId="0" xfId="0" applyNumberFormat="1" applyFont="1" applyProtection="1"/>
    <xf numFmtId="1" fontId="7" fillId="22" borderId="81" xfId="0" applyNumberFormat="1" applyFont="1" applyFill="1" applyBorder="1" applyAlignment="1" applyProtection="1">
      <alignment horizontal="center" vertical="center"/>
    </xf>
    <xf numFmtId="1" fontId="7" fillId="0" borderId="6" xfId="126" applyNumberFormat="1" applyFont="1" applyFill="1" applyBorder="1" applyAlignment="1" applyProtection="1">
      <alignment vertical="center" wrapText="1"/>
    </xf>
    <xf numFmtId="1" fontId="7" fillId="0" borderId="88" xfId="125" applyNumberFormat="1" applyFont="1" applyFill="1" applyBorder="1" applyAlignment="1" applyProtection="1">
      <alignment horizontal="center" vertical="center" wrapText="1"/>
    </xf>
    <xf numFmtId="1" fontId="7" fillId="0" borderId="81" xfId="125" applyNumberFormat="1" applyFont="1" applyFill="1" applyBorder="1" applyAlignment="1" applyProtection="1">
      <alignment horizontal="center" vertical="center" wrapText="1"/>
    </xf>
    <xf numFmtId="1" fontId="7" fillId="0" borderId="45" xfId="0" applyNumberFormat="1" applyFont="1" applyFill="1" applyBorder="1" applyAlignment="1" applyProtection="1">
      <alignment horizontal="left" wrapText="1"/>
      <protection hidden="1"/>
    </xf>
    <xf numFmtId="1" fontId="7" fillId="0" borderId="11" xfId="0" applyNumberFormat="1" applyFont="1" applyFill="1" applyBorder="1" applyAlignment="1" applyProtection="1">
      <alignment horizontal="left" wrapText="1"/>
      <protection hidden="1"/>
    </xf>
    <xf numFmtId="1" fontId="7" fillId="20" borderId="67" xfId="126" applyNumberFormat="1" applyFont="1" applyFill="1" applyBorder="1" applyAlignment="1" applyProtection="1"/>
    <xf numFmtId="0" fontId="40" fillId="0" borderId="0" xfId="0" applyFont="1"/>
    <xf numFmtId="1" fontId="11" fillId="0" borderId="189" xfId="130" applyNumberFormat="1" applyFont="1" applyFill="1" applyBorder="1" applyAlignment="1" applyProtection="1">
      <alignment horizontal="center" vertical="center" wrapText="1"/>
    </xf>
    <xf numFmtId="1" fontId="7" fillId="15" borderId="34" xfId="138" applyNumberFormat="1" applyFont="1" applyFill="1" applyBorder="1" applyAlignment="1" applyProtection="1">
      <alignment horizontal="right"/>
      <protection locked="0"/>
    </xf>
    <xf numFmtId="1" fontId="7" fillId="15" borderId="100" xfId="138" applyNumberFormat="1" applyFont="1" applyFill="1" applyBorder="1" applyAlignment="1" applyProtection="1">
      <alignment horizontal="right"/>
      <protection locked="0"/>
    </xf>
    <xf numFmtId="1" fontId="11" fillId="0" borderId="191" xfId="130" applyNumberFormat="1" applyFont="1" applyFill="1" applyBorder="1" applyAlignment="1" applyProtection="1"/>
    <xf numFmtId="1" fontId="7" fillId="0" borderId="189" xfId="130" applyNumberFormat="1" applyFont="1" applyFill="1" applyBorder="1" applyAlignment="1" applyProtection="1">
      <alignment horizontal="right"/>
    </xf>
    <xf numFmtId="1" fontId="40" fillId="0" borderId="189" xfId="0" applyNumberFormat="1" applyFont="1" applyBorder="1"/>
    <xf numFmtId="1" fontId="7" fillId="15" borderId="34" xfId="139" applyNumberFormat="1" applyFont="1" applyFill="1" applyBorder="1" applyAlignment="1" applyProtection="1">
      <alignment horizontal="right"/>
      <protection locked="0"/>
    </xf>
    <xf numFmtId="1" fontId="7" fillId="15" borderId="78" xfId="139" applyNumberFormat="1" applyFont="1" applyFill="1" applyBorder="1" applyAlignment="1" applyProtection="1">
      <alignment horizontal="right"/>
      <protection locked="0"/>
    </xf>
    <xf numFmtId="1" fontId="7" fillId="15" borderId="187" xfId="139" applyNumberFormat="1" applyFont="1" applyFill="1" applyBorder="1" applyAlignment="1" applyProtection="1">
      <alignment horizontal="right"/>
      <protection locked="0"/>
    </xf>
    <xf numFmtId="1" fontId="7" fillId="15" borderId="127" xfId="139" applyNumberFormat="1" applyFont="1" applyFill="1" applyBorder="1" applyAlignment="1" applyProtection="1">
      <alignment horizontal="right"/>
      <protection locked="0"/>
    </xf>
    <xf numFmtId="1" fontId="7" fillId="15" borderId="69" xfId="139" applyNumberFormat="1" applyFont="1" applyFill="1" applyBorder="1" applyAlignment="1" applyProtection="1">
      <alignment horizontal="right"/>
      <protection locked="0"/>
    </xf>
    <xf numFmtId="1" fontId="7" fillId="15" borderId="188" xfId="139" applyNumberFormat="1" applyFont="1" applyFill="1" applyBorder="1" applyAlignment="1" applyProtection="1">
      <alignment horizontal="right"/>
      <protection locked="0"/>
    </xf>
    <xf numFmtId="1" fontId="15" fillId="0" borderId="0" xfId="126" applyNumberFormat="1" applyFont="1" applyFill="1" applyBorder="1" applyAlignment="1" applyProtection="1">
      <alignment horizontal="left"/>
      <protection hidden="1"/>
    </xf>
    <xf numFmtId="1" fontId="19" fillId="0" borderId="0" xfId="126" applyNumberFormat="1" applyFont="1" applyFill="1" applyBorder="1" applyAlignment="1" applyProtection="1">
      <alignment vertical="center" wrapText="1"/>
      <protection hidden="1"/>
    </xf>
    <xf numFmtId="1" fontId="7" fillId="0" borderId="0" xfId="126" applyNumberFormat="1" applyFont="1" applyFill="1" applyBorder="1" applyAlignment="1" applyProtection="1">
      <alignment horizontal="right"/>
      <protection hidden="1"/>
    </xf>
    <xf numFmtId="1" fontId="7" fillId="0" borderId="30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78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35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69" xfId="126" applyNumberFormat="1" applyFont="1" applyFill="1" applyBorder="1" applyAlignment="1" applyProtection="1">
      <alignment horizontal="left" vertical="center" wrapText="1"/>
      <protection hidden="1"/>
    </xf>
    <xf numFmtId="0" fontId="41" fillId="22" borderId="39" xfId="126" applyNumberFormat="1" applyFont="1" applyFill="1" applyBorder="1" applyAlignment="1" applyProtection="1"/>
    <xf numFmtId="0" fontId="41" fillId="22" borderId="127" xfId="126" applyNumberFormat="1" applyFont="1" applyFill="1" applyBorder="1" applyAlignment="1" applyProtection="1"/>
    <xf numFmtId="1" fontId="7" fillId="0" borderId="0" xfId="0" applyNumberFormat="1" applyFont="1" applyBorder="1" applyAlignment="1" applyProtection="1">
      <alignment horizontal="left"/>
    </xf>
    <xf numFmtId="1" fontId="7" fillId="0" borderId="6" xfId="0" applyNumberFormat="1" applyFont="1" applyBorder="1" applyAlignment="1" applyProtection="1">
      <alignment horizontal="left"/>
      <protection hidden="1"/>
    </xf>
    <xf numFmtId="1" fontId="7" fillId="0" borderId="6" xfId="0" applyNumberFormat="1" applyFont="1" applyBorder="1" applyAlignment="1" applyProtection="1">
      <alignment horizontal="left"/>
    </xf>
    <xf numFmtId="1" fontId="7" fillId="0" borderId="29" xfId="0" applyNumberFormat="1" applyFont="1" applyBorder="1" applyAlignment="1" applyProtection="1">
      <alignment horizontal="left"/>
    </xf>
    <xf numFmtId="1" fontId="15" fillId="0" borderId="4" xfId="0" applyNumberFormat="1" applyFont="1" applyFill="1" applyBorder="1" applyAlignment="1" applyProtection="1">
      <protection hidden="1"/>
    </xf>
    <xf numFmtId="1" fontId="15" fillId="0" borderId="0" xfId="0" applyNumberFormat="1" applyFont="1" applyFill="1" applyBorder="1" applyAlignment="1" applyProtection="1">
      <protection hidden="1"/>
    </xf>
    <xf numFmtId="1" fontId="7" fillId="0" borderId="192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8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5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30" xfId="0" applyFont="1" applyBorder="1"/>
    <xf numFmtId="0" fontId="7" fillId="31" borderId="30" xfId="0" applyFont="1" applyFill="1" applyBorder="1" applyAlignment="1">
      <alignment horizontal="right"/>
    </xf>
    <xf numFmtId="0" fontId="7" fillId="0" borderId="35" xfId="0" applyFont="1" applyBorder="1"/>
    <xf numFmtId="0" fontId="7" fillId="31" borderId="35" xfId="0" applyFont="1" applyFill="1" applyBorder="1" applyAlignment="1">
      <alignment horizontal="right"/>
    </xf>
    <xf numFmtId="0" fontId="7" fillId="0" borderId="69" xfId="0" applyFont="1" applyBorder="1"/>
    <xf numFmtId="0" fontId="7" fillId="31" borderId="69" xfId="0" applyFont="1" applyFill="1" applyBorder="1" applyAlignment="1">
      <alignment horizontal="right"/>
    </xf>
    <xf numFmtId="0" fontId="7" fillId="0" borderId="189" xfId="0" applyFont="1" applyBorder="1" applyAlignment="1">
      <alignment horizontal="center"/>
    </xf>
    <xf numFmtId="0" fontId="7" fillId="0" borderId="189" xfId="0" applyFont="1" applyBorder="1" applyAlignment="1">
      <alignment horizontal="right"/>
    </xf>
    <xf numFmtId="0" fontId="7" fillId="0" borderId="192" xfId="0" applyFont="1" applyBorder="1" applyAlignment="1">
      <alignment horizontal="right"/>
    </xf>
    <xf numFmtId="0" fontId="7" fillId="0" borderId="8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1" fontId="7" fillId="29" borderId="1" xfId="0" applyNumberFormat="1" applyFont="1" applyFill="1" applyBorder="1" applyAlignment="1" applyProtection="1">
      <alignment horizontal="center" vertical="center" wrapText="1"/>
    </xf>
    <xf numFmtId="1" fontId="7" fillId="29" borderId="139" xfId="0" applyNumberFormat="1" applyFont="1" applyFill="1" applyBorder="1" applyAlignment="1" applyProtection="1">
      <alignment horizontal="center" vertical="center" wrapText="1"/>
    </xf>
    <xf numFmtId="1" fontId="7" fillId="29" borderId="11" xfId="0" applyNumberFormat="1" applyFont="1" applyFill="1" applyBorder="1" applyAlignment="1" applyProtection="1">
      <alignment horizontal="center" vertical="center" wrapText="1"/>
    </xf>
    <xf numFmtId="1" fontId="7" fillId="20" borderId="154" xfId="126" applyNumberFormat="1" applyFont="1" applyFill="1" applyBorder="1" applyAlignment="1" applyProtection="1">
      <alignment horizontal="right"/>
    </xf>
    <xf numFmtId="1" fontId="7" fillId="20" borderId="152" xfId="126" applyNumberFormat="1" applyFont="1" applyFill="1" applyBorder="1" applyAlignment="1" applyProtection="1">
      <alignment horizontal="right"/>
    </xf>
    <xf numFmtId="1" fontId="7" fillId="20" borderId="70" xfId="73" applyNumberFormat="1" applyFont="1" applyFill="1" applyBorder="1" applyAlignment="1" applyProtection="1">
      <alignment horizontal="right"/>
    </xf>
    <xf numFmtId="1" fontId="7" fillId="20" borderId="89" xfId="73" applyNumberFormat="1" applyFont="1" applyFill="1" applyBorder="1" applyAlignment="1" applyProtection="1">
      <alignment horizontal="right"/>
    </xf>
    <xf numFmtId="1" fontId="7" fillId="20" borderId="85" xfId="73" applyNumberFormat="1" applyFont="1" applyFill="1" applyBorder="1" applyAlignment="1" applyProtection="1">
      <alignment horizontal="right"/>
    </xf>
    <xf numFmtId="1" fontId="7" fillId="20" borderId="86" xfId="73" applyNumberFormat="1" applyFont="1" applyFill="1" applyBorder="1" applyAlignment="1" applyProtection="1">
      <alignment horizontal="right"/>
    </xf>
    <xf numFmtId="1" fontId="7" fillId="20" borderId="90" xfId="73" applyNumberFormat="1" applyFont="1" applyFill="1" applyBorder="1" applyAlignment="1" applyProtection="1">
      <alignment horizontal="right"/>
    </xf>
    <xf numFmtId="1" fontId="7" fillId="20" borderId="151" xfId="73" applyNumberFormat="1" applyFont="1" applyFill="1" applyBorder="1" applyAlignment="1" applyProtection="1">
      <alignment horizontal="right"/>
    </xf>
    <xf numFmtId="1" fontId="7" fillId="0" borderId="190" xfId="125" applyNumberFormat="1" applyFont="1" applyFill="1" applyBorder="1" applyAlignment="1" applyProtection="1">
      <alignment horizontal="right"/>
    </xf>
    <xf numFmtId="1" fontId="7" fillId="20" borderId="64" xfId="126" applyNumberFormat="1" applyFont="1" applyFill="1" applyBorder="1" applyAlignment="1" applyProtection="1"/>
    <xf numFmtId="1" fontId="7" fillId="20" borderId="7" xfId="126" applyNumberFormat="1" applyFont="1" applyFill="1" applyBorder="1" applyAlignment="1" applyProtection="1"/>
    <xf numFmtId="1" fontId="7" fillId="20" borderId="5" xfId="126" applyNumberFormat="1" applyFont="1" applyFill="1" applyBorder="1" applyAlignment="1" applyProtection="1"/>
    <xf numFmtId="1" fontId="7" fillId="20" borderId="23" xfId="126" applyNumberFormat="1" applyFont="1" applyFill="1" applyBorder="1" applyAlignment="1" applyProtection="1"/>
    <xf numFmtId="1" fontId="7" fillId="20" borderId="199" xfId="126" applyNumberFormat="1" applyFont="1" applyFill="1" applyBorder="1" applyAlignment="1" applyProtection="1"/>
    <xf numFmtId="1" fontId="7" fillId="20" borderId="8" xfId="126" applyNumberFormat="1" applyFont="1" applyFill="1" applyBorder="1" applyAlignment="1" applyProtection="1"/>
    <xf numFmtId="1" fontId="7" fillId="20" borderId="1" xfId="126" applyNumberFormat="1" applyFont="1" applyFill="1" applyBorder="1" applyAlignment="1" applyProtection="1"/>
    <xf numFmtId="1" fontId="7" fillId="0" borderId="0" xfId="0" applyNumberFormat="1" applyFont="1" applyProtection="1">
      <protection locked="0"/>
    </xf>
    <xf numFmtId="0" fontId="7" fillId="26" borderId="70" xfId="0" applyFont="1" applyFill="1" applyBorder="1" applyAlignment="1" applyProtection="1">
      <alignment horizontal="right"/>
      <protection locked="0"/>
    </xf>
    <xf numFmtId="0" fontId="7" fillId="26" borderId="25" xfId="0" applyFont="1" applyFill="1" applyBorder="1" applyAlignment="1" applyProtection="1">
      <alignment horizontal="right"/>
      <protection locked="0"/>
    </xf>
    <xf numFmtId="0" fontId="7" fillId="26" borderId="89" xfId="0" applyFont="1" applyFill="1" applyBorder="1" applyAlignment="1" applyProtection="1">
      <alignment horizontal="right"/>
      <protection locked="0"/>
    </xf>
    <xf numFmtId="0" fontId="7" fillId="26" borderId="71" xfId="0" applyFont="1" applyFill="1" applyBorder="1" applyAlignment="1" applyProtection="1">
      <alignment horizontal="right"/>
      <protection locked="0"/>
    </xf>
    <xf numFmtId="0" fontId="7" fillId="26" borderId="21" xfId="0" applyFont="1" applyFill="1" applyBorder="1" applyAlignment="1" applyProtection="1">
      <alignment horizontal="right"/>
      <protection locked="0"/>
    </xf>
    <xf numFmtId="0" fontId="7" fillId="26" borderId="72" xfId="0" applyFont="1" applyFill="1" applyBorder="1" applyAlignment="1" applyProtection="1">
      <alignment horizontal="right"/>
      <protection locked="0"/>
    </xf>
    <xf numFmtId="0" fontId="7" fillId="26" borderId="109" xfId="0" applyFont="1" applyFill="1" applyBorder="1" applyAlignment="1" applyProtection="1">
      <alignment horizontal="right"/>
      <protection locked="0"/>
    </xf>
    <xf numFmtId="0" fontId="7" fillId="26" borderId="126" xfId="0" applyFont="1" applyFill="1" applyBorder="1" applyAlignment="1" applyProtection="1">
      <alignment horizontal="right"/>
      <protection locked="0"/>
    </xf>
    <xf numFmtId="0" fontId="7" fillId="26" borderId="108" xfId="0" applyFont="1" applyFill="1" applyBorder="1" applyAlignment="1" applyProtection="1">
      <alignment horizontal="right"/>
      <protection locked="0"/>
    </xf>
    <xf numFmtId="1" fontId="7" fillId="0" borderId="200" xfId="0" applyNumberFormat="1" applyFont="1" applyFill="1" applyBorder="1" applyAlignment="1" applyProtection="1">
      <alignment horizontal="right"/>
    </xf>
    <xf numFmtId="1" fontId="7" fillId="20" borderId="25" xfId="0" applyNumberFormat="1" applyFont="1" applyFill="1" applyBorder="1" applyAlignment="1" applyProtection="1">
      <alignment horizontal="right"/>
    </xf>
    <xf numFmtId="1" fontId="7" fillId="20" borderId="130" xfId="0" applyNumberFormat="1" applyFont="1" applyFill="1" applyBorder="1" applyAlignment="1" applyProtection="1">
      <alignment horizontal="right"/>
    </xf>
    <xf numFmtId="1" fontId="7" fillId="20" borderId="32" xfId="0" applyNumberFormat="1" applyFont="1" applyFill="1" applyBorder="1" applyAlignment="1" applyProtection="1">
      <alignment horizontal="right"/>
    </xf>
    <xf numFmtId="1" fontId="7" fillId="20" borderId="21" xfId="0" applyNumberFormat="1" applyFont="1" applyFill="1" applyBorder="1" applyAlignment="1" applyProtection="1">
      <alignment horizontal="right"/>
    </xf>
    <xf numFmtId="1" fontId="7" fillId="20" borderId="41" xfId="0" applyNumberFormat="1" applyFont="1" applyFill="1" applyBorder="1" applyAlignment="1" applyProtection="1">
      <alignment horizontal="right"/>
    </xf>
    <xf numFmtId="1" fontId="7" fillId="20" borderId="126" xfId="0" applyNumberFormat="1" applyFont="1" applyFill="1" applyBorder="1" applyAlignment="1" applyProtection="1">
      <alignment horizontal="right"/>
    </xf>
    <xf numFmtId="1" fontId="7" fillId="0" borderId="201" xfId="0" applyNumberFormat="1" applyFont="1" applyFill="1" applyBorder="1" applyAlignment="1" applyProtection="1">
      <alignment horizontal="right"/>
    </xf>
    <xf numFmtId="1" fontId="30" fillId="0" borderId="120" xfId="0" applyNumberFormat="1" applyFont="1" applyBorder="1" applyAlignment="1" applyProtection="1">
      <alignment horizontal="center" vertical="center" wrapText="1"/>
    </xf>
    <xf numFmtId="1" fontId="30" fillId="0" borderId="8" xfId="0" applyNumberFormat="1" applyFont="1" applyFill="1" applyBorder="1" applyAlignment="1" applyProtection="1">
      <alignment horizontal="center" vertical="center"/>
    </xf>
    <xf numFmtId="1" fontId="30" fillId="0" borderId="199" xfId="0" applyNumberFormat="1" applyFont="1" applyFill="1" applyBorder="1" applyAlignment="1" applyProtection="1">
      <alignment horizontal="center" vertical="center"/>
    </xf>
    <xf numFmtId="1" fontId="30" fillId="0" borderId="0" xfId="0" applyNumberFormat="1" applyFont="1" applyAlignment="1" applyProtection="1">
      <alignment horizontal="center" vertical="center" wrapText="1"/>
    </xf>
    <xf numFmtId="1" fontId="42" fillId="0" borderId="22" xfId="0" applyNumberFormat="1" applyFont="1" applyFill="1" applyBorder="1" applyAlignment="1" applyProtection="1">
      <protection hidden="1"/>
    </xf>
    <xf numFmtId="1" fontId="7" fillId="0" borderId="1" xfId="0" applyNumberFormat="1" applyFont="1" applyBorder="1" applyAlignment="1" applyProtection="1">
      <alignment horizontal="center" vertical="center" wrapText="1"/>
      <protection hidden="1"/>
    </xf>
    <xf numFmtId="1" fontId="30" fillId="0" borderId="35" xfId="0" applyNumberFormat="1" applyFont="1" applyBorder="1" applyAlignment="1">
      <alignment wrapText="1"/>
    </xf>
    <xf numFmtId="1" fontId="30" fillId="0" borderId="69" xfId="0" applyNumberFormat="1" applyFont="1" applyBorder="1" applyAlignment="1">
      <alignment wrapText="1"/>
    </xf>
    <xf numFmtId="1" fontId="30" fillId="0" borderId="78" xfId="0" applyNumberFormat="1" applyFont="1" applyBorder="1" applyAlignment="1">
      <alignment wrapText="1"/>
    </xf>
    <xf numFmtId="1" fontId="7" fillId="0" borderId="190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100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190" xfId="0" applyNumberFormat="1" applyFont="1" applyFill="1" applyBorder="1" applyAlignment="1" applyProtection="1">
      <alignment horizontal="left" vertical="center" wrapText="1"/>
    </xf>
    <xf numFmtId="1" fontId="30" fillId="17" borderId="11" xfId="123" applyNumberFormat="1" applyFont="1" applyFill="1" applyBorder="1" applyAlignment="1" applyProtection="1">
      <alignment horizontal="center" vertical="center"/>
    </xf>
    <xf numFmtId="1" fontId="30" fillId="17" borderId="30" xfId="123" applyNumberFormat="1" applyFont="1" applyFill="1" applyBorder="1" applyAlignment="1" applyProtection="1">
      <alignment horizontal="center" vertical="center"/>
    </xf>
    <xf numFmtId="1" fontId="30" fillId="17" borderId="30" xfId="123" applyNumberFormat="1" applyFont="1" applyFill="1" applyBorder="1" applyAlignment="1" applyProtection="1">
      <alignment horizontal="left" vertical="center" wrapText="1"/>
    </xf>
    <xf numFmtId="1" fontId="7" fillId="17" borderId="70" xfId="123" applyNumberFormat="1" applyFont="1" applyFill="1" applyBorder="1" applyAlignment="1" applyProtection="1">
      <alignment horizontal="right"/>
    </xf>
    <xf numFmtId="1" fontId="7" fillId="15" borderId="106" xfId="73" applyNumberFormat="1" applyFont="1" applyFill="1" applyBorder="1" applyAlignment="1" applyProtection="1">
      <alignment horizontal="right"/>
      <protection locked="0"/>
    </xf>
    <xf numFmtId="1" fontId="7" fillId="15" borderId="25" xfId="73" applyNumberFormat="1" applyFont="1" applyFill="1" applyBorder="1" applyAlignment="1" applyProtection="1">
      <alignment horizontal="right"/>
      <protection locked="0"/>
    </xf>
    <xf numFmtId="1" fontId="7" fillId="15" borderId="87" xfId="73" applyNumberFormat="1" applyFont="1" applyFill="1" applyBorder="1" applyAlignment="1" applyProtection="1">
      <alignment horizontal="right"/>
      <protection locked="0"/>
    </xf>
    <xf numFmtId="1" fontId="7" fillId="15" borderId="130" xfId="73" applyNumberFormat="1" applyFont="1" applyFill="1" applyBorder="1" applyAlignment="1" applyProtection="1">
      <alignment horizontal="right"/>
      <protection locked="0"/>
    </xf>
    <xf numFmtId="1" fontId="7" fillId="15" borderId="143" xfId="73" applyNumberFormat="1" applyFont="1" applyFill="1" applyBorder="1" applyAlignment="1" applyProtection="1">
      <alignment horizontal="right"/>
      <protection locked="0"/>
    </xf>
    <xf numFmtId="1" fontId="7" fillId="15" borderId="32" xfId="73" applyNumberFormat="1" applyFont="1" applyFill="1" applyBorder="1" applyAlignment="1" applyProtection="1">
      <alignment horizontal="right"/>
      <protection locked="0"/>
    </xf>
    <xf numFmtId="1" fontId="7" fillId="15" borderId="195" xfId="73" applyNumberFormat="1" applyFont="1" applyFill="1" applyBorder="1" applyAlignment="1" applyProtection="1">
      <alignment horizontal="right"/>
      <protection locked="0"/>
    </xf>
    <xf numFmtId="1" fontId="7" fillId="15" borderId="199" xfId="73" applyNumberFormat="1" applyFont="1" applyFill="1" applyBorder="1" applyAlignment="1" applyProtection="1">
      <alignment horizontal="right"/>
      <protection locked="0"/>
    </xf>
    <xf numFmtId="1" fontId="31" fillId="22" borderId="195" xfId="0" applyNumberFormat="1" applyFont="1" applyFill="1" applyBorder="1" applyAlignment="1" applyProtection="1">
      <alignment horizontal="right"/>
    </xf>
    <xf numFmtId="1" fontId="31" fillId="15" borderId="56" xfId="0" applyNumberFormat="1" applyFont="1" applyFill="1" applyBorder="1" applyAlignment="1" applyProtection="1">
      <alignment horizontal="right"/>
      <protection locked="0"/>
    </xf>
    <xf numFmtId="1" fontId="31" fillId="15" borderId="59" xfId="0" applyNumberFormat="1" applyFont="1" applyFill="1" applyBorder="1" applyAlignment="1" applyProtection="1">
      <alignment horizontal="right"/>
      <protection locked="0"/>
    </xf>
    <xf numFmtId="1" fontId="31" fillId="15" borderId="148" xfId="0" applyNumberFormat="1" applyFont="1" applyFill="1" applyBorder="1" applyAlignment="1" applyProtection="1">
      <alignment horizontal="right"/>
      <protection locked="0"/>
    </xf>
    <xf numFmtId="1" fontId="31" fillId="15" borderId="104" xfId="0" applyNumberFormat="1" applyFont="1" applyFill="1" applyBorder="1" applyAlignment="1" applyProtection="1">
      <alignment horizontal="right"/>
      <protection locked="0"/>
    </xf>
    <xf numFmtId="1" fontId="7" fillId="15" borderId="106" xfId="0" applyNumberFormat="1" applyFont="1" applyFill="1" applyBorder="1" applyAlignment="1" applyProtection="1">
      <alignment horizontal="right"/>
      <protection locked="0"/>
    </xf>
    <xf numFmtId="1" fontId="7" fillId="15" borderId="87" xfId="0" applyNumberFormat="1" applyFont="1" applyFill="1" applyBorder="1" applyAlignment="1" applyProtection="1">
      <alignment horizontal="right"/>
      <protection locked="0"/>
    </xf>
    <xf numFmtId="1" fontId="7" fillId="15" borderId="143" xfId="0" applyNumberFormat="1" applyFont="1" applyFill="1" applyBorder="1" applyAlignment="1" applyProtection="1">
      <alignment horizontal="right"/>
      <protection locked="0"/>
    </xf>
    <xf numFmtId="1" fontId="7" fillId="15" borderId="98" xfId="0" applyNumberFormat="1" applyFont="1" applyFill="1" applyBorder="1" applyAlignment="1" applyProtection="1">
      <alignment horizontal="right"/>
      <protection locked="0"/>
    </xf>
    <xf numFmtId="1" fontId="7" fillId="15" borderId="144" xfId="0" applyNumberFormat="1" applyFont="1" applyFill="1" applyBorder="1" applyAlignment="1" applyProtection="1">
      <alignment horizontal="right"/>
      <protection locked="0"/>
    </xf>
    <xf numFmtId="1" fontId="7" fillId="15" borderId="136" xfId="0" applyNumberFormat="1" applyFont="1" applyFill="1" applyBorder="1" applyAlignment="1" applyProtection="1">
      <alignment horizontal="right"/>
      <protection locked="0"/>
    </xf>
    <xf numFmtId="1" fontId="7" fillId="15" borderId="205" xfId="0" applyNumberFormat="1" applyFont="1" applyFill="1" applyBorder="1" applyAlignment="1" applyProtection="1">
      <alignment horizontal="right"/>
      <protection locked="0"/>
    </xf>
    <xf numFmtId="1" fontId="7" fillId="15" borderId="206" xfId="0" applyNumberFormat="1" applyFont="1" applyFill="1" applyBorder="1" applyAlignment="1" applyProtection="1">
      <alignment horizontal="right"/>
      <protection locked="0"/>
    </xf>
    <xf numFmtId="1" fontId="7" fillId="15" borderId="91" xfId="0" applyNumberFormat="1" applyFont="1" applyFill="1" applyBorder="1" applyAlignment="1" applyProtection="1">
      <alignment horizontal="right"/>
      <protection locked="0"/>
    </xf>
    <xf numFmtId="1" fontId="7" fillId="15" borderId="206" xfId="0" quotePrefix="1" applyNumberFormat="1" applyFont="1" applyFill="1" applyBorder="1" applyAlignment="1" applyProtection="1">
      <alignment horizontal="right"/>
      <protection locked="0"/>
    </xf>
    <xf numFmtId="1" fontId="7" fillId="15" borderId="207" xfId="0" applyNumberFormat="1" applyFont="1" applyFill="1" applyBorder="1" applyAlignment="1" applyProtection="1">
      <alignment horizontal="right"/>
      <protection locked="0"/>
    </xf>
    <xf numFmtId="1" fontId="7" fillId="15" borderId="208" xfId="0" applyNumberFormat="1" applyFont="1" applyFill="1" applyBorder="1" applyAlignment="1" applyProtection="1">
      <alignment horizontal="right"/>
      <protection locked="0"/>
    </xf>
    <xf numFmtId="1" fontId="7" fillId="15" borderId="209" xfId="0" applyNumberFormat="1" applyFont="1" applyFill="1" applyBorder="1" applyAlignment="1" applyProtection="1">
      <alignment horizontal="right"/>
      <protection locked="0"/>
    </xf>
    <xf numFmtId="1" fontId="7" fillId="20" borderId="207" xfId="0" applyNumberFormat="1" applyFont="1" applyFill="1" applyBorder="1" applyAlignment="1" applyProtection="1">
      <alignment horizontal="right"/>
    </xf>
    <xf numFmtId="1" fontId="7" fillId="20" borderId="209" xfId="0" applyNumberFormat="1" applyFont="1" applyFill="1" applyBorder="1" applyAlignment="1" applyProtection="1">
      <alignment horizontal="right"/>
    </xf>
    <xf numFmtId="1" fontId="7" fillId="0" borderId="195" xfId="0" applyNumberFormat="1" applyFont="1" applyFill="1" applyBorder="1" applyAlignment="1" applyProtection="1">
      <alignment horizontal="right"/>
    </xf>
    <xf numFmtId="1" fontId="7" fillId="17" borderId="195" xfId="0" applyNumberFormat="1" applyFont="1" applyFill="1" applyBorder="1" applyAlignment="1" applyProtection="1">
      <alignment horizontal="right"/>
    </xf>
    <xf numFmtId="1" fontId="7" fillId="0" borderId="7" xfId="0" applyNumberFormat="1" applyFont="1" applyFill="1" applyBorder="1" applyAlignment="1" applyProtection="1">
      <alignment horizontal="right"/>
    </xf>
    <xf numFmtId="1" fontId="7" fillId="0" borderId="8" xfId="0" applyNumberFormat="1" applyFont="1" applyFill="1" applyBorder="1" applyAlignment="1" applyProtection="1">
      <alignment horizontal="right"/>
    </xf>
    <xf numFmtId="1" fontId="7" fillId="17" borderId="7" xfId="0" applyNumberFormat="1" applyFont="1" applyFill="1" applyBorder="1" applyAlignment="1" applyProtection="1">
      <alignment horizontal="right"/>
    </xf>
    <xf numFmtId="1" fontId="7" fillId="17" borderId="8" xfId="0" applyNumberFormat="1" applyFont="1" applyFill="1" applyBorder="1" applyAlignment="1" applyProtection="1">
      <alignment horizontal="right"/>
    </xf>
    <xf numFmtId="1" fontId="7" fillId="0" borderId="195" xfId="0" applyNumberFormat="1" applyFont="1" applyFill="1" applyBorder="1" applyAlignment="1" applyProtection="1">
      <alignment horizontal="center" vertical="center"/>
    </xf>
    <xf numFmtId="1" fontId="7" fillId="0" borderId="7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30" xfId="125" applyNumberFormat="1" applyFont="1" applyFill="1" applyBorder="1" applyAlignment="1" applyProtection="1">
      <alignment horizontal="center" vertical="center" wrapText="1"/>
    </xf>
    <xf numFmtId="1" fontId="7" fillId="15" borderId="32" xfId="125" applyNumberFormat="1" applyFont="1" applyFill="1" applyBorder="1" applyAlignment="1" applyProtection="1">
      <alignment horizontal="right"/>
      <protection locked="0"/>
    </xf>
    <xf numFmtId="1" fontId="7" fillId="0" borderId="199" xfId="125" applyNumberFormat="1" applyFont="1" applyFill="1" applyBorder="1" applyAlignment="1" applyProtection="1">
      <alignment horizontal="right"/>
    </xf>
    <xf numFmtId="1" fontId="7" fillId="0" borderId="199" xfId="125" applyNumberFormat="1" applyFont="1" applyFill="1" applyBorder="1" applyAlignment="1" applyProtection="1">
      <alignment horizontal="center" vertical="center" wrapText="1"/>
    </xf>
    <xf numFmtId="1" fontId="7" fillId="22" borderId="199" xfId="125" applyNumberFormat="1" applyFont="1" applyFill="1" applyBorder="1" applyAlignment="1" applyProtection="1">
      <alignment horizontal="right"/>
    </xf>
    <xf numFmtId="1" fontId="7" fillId="22" borderId="8" xfId="125" applyNumberFormat="1" applyFont="1" applyFill="1" applyBorder="1" applyAlignment="1" applyProtection="1">
      <alignment horizontal="right"/>
    </xf>
    <xf numFmtId="1" fontId="7" fillId="0" borderId="199" xfId="0" applyNumberFormat="1" applyFont="1" applyFill="1" applyBorder="1" applyAlignment="1" applyProtection="1">
      <alignment horizontal="center" vertical="center"/>
    </xf>
    <xf numFmtId="1" fontId="7" fillId="15" borderId="199" xfId="125" applyNumberFormat="1" applyFont="1" applyFill="1" applyBorder="1" applyAlignment="1" applyProtection="1">
      <alignment horizontal="right"/>
      <protection locked="0"/>
    </xf>
    <xf numFmtId="1" fontId="7" fillId="15" borderId="120" xfId="125" applyNumberFormat="1" applyFont="1" applyFill="1" applyBorder="1" applyAlignment="1" applyProtection="1">
      <alignment horizontal="right"/>
      <protection locked="0"/>
    </xf>
    <xf numFmtId="1" fontId="7" fillId="15" borderId="8" xfId="125" applyNumberFormat="1" applyFont="1" applyFill="1" applyBorder="1" applyAlignment="1" applyProtection="1">
      <alignment horizontal="right"/>
      <protection locked="0"/>
    </xf>
    <xf numFmtId="1" fontId="7" fillId="15" borderId="130" xfId="125" applyNumberFormat="1" applyFont="1" applyFill="1" applyBorder="1" applyAlignment="1" applyProtection="1">
      <alignment horizontal="right"/>
      <protection locked="0"/>
    </xf>
    <xf numFmtId="1" fontId="7" fillId="15" borderId="41" xfId="125" applyNumberFormat="1" applyFont="1" applyFill="1" applyBorder="1" applyAlignment="1" applyProtection="1">
      <alignment horizontal="right"/>
      <protection locked="0"/>
    </xf>
    <xf numFmtId="1" fontId="7" fillId="24" borderId="199" xfId="126" applyNumberFormat="1" applyFont="1" applyFill="1" applyBorder="1" applyAlignment="1" applyProtection="1">
      <alignment horizontal="right"/>
      <protection locked="0"/>
    </xf>
    <xf numFmtId="1" fontId="7" fillId="24" borderId="195" xfId="126" applyNumberFormat="1" applyFont="1" applyFill="1" applyBorder="1" applyAlignment="1" applyProtection="1">
      <alignment horizontal="right"/>
      <protection locked="0"/>
    </xf>
    <xf numFmtId="1" fontId="7" fillId="20" borderId="195" xfId="0" applyNumberFormat="1" applyFont="1" applyFill="1" applyBorder="1" applyAlignment="1" applyProtection="1">
      <alignment horizontal="right"/>
    </xf>
    <xf numFmtId="1" fontId="7" fillId="20" borderId="34" xfId="0" applyNumberFormat="1" applyFont="1" applyFill="1" applyBorder="1" applyAlignment="1" applyProtection="1">
      <alignment horizontal="right"/>
    </xf>
    <xf numFmtId="1" fontId="7" fillId="20" borderId="39" xfId="0" applyNumberFormat="1" applyFont="1" applyFill="1" applyBorder="1" applyAlignment="1" applyProtection="1">
      <alignment horizontal="right"/>
    </xf>
    <xf numFmtId="1" fontId="7" fillId="20" borderId="44" xfId="0" applyNumberFormat="1" applyFont="1" applyFill="1" applyBorder="1" applyAlignment="1" applyProtection="1">
      <alignment horizontal="right"/>
    </xf>
    <xf numFmtId="1" fontId="7" fillId="20" borderId="27" xfId="0" applyNumberFormat="1" applyFont="1" applyFill="1" applyBorder="1" applyAlignment="1" applyProtection="1">
      <alignment horizontal="right"/>
    </xf>
    <xf numFmtId="1" fontId="7" fillId="0" borderId="195" xfId="126" applyNumberFormat="1" applyFont="1" applyFill="1" applyBorder="1" applyAlignment="1" applyProtection="1">
      <alignment horizontal="right"/>
    </xf>
    <xf numFmtId="1" fontId="7" fillId="0" borderId="64" xfId="126" applyNumberFormat="1" applyFont="1" applyFill="1" applyBorder="1" applyAlignment="1" applyProtection="1">
      <alignment horizontal="center" vertical="center"/>
      <protection hidden="1"/>
    </xf>
    <xf numFmtId="1" fontId="7" fillId="0" borderId="1" xfId="126" applyNumberFormat="1" applyFont="1" applyFill="1" applyBorder="1" applyAlignment="1" applyProtection="1">
      <alignment horizontal="center" vertical="center"/>
      <protection hidden="1"/>
    </xf>
    <xf numFmtId="1" fontId="7" fillId="0" borderId="1" xfId="126" applyNumberFormat="1" applyFont="1" applyFill="1" applyBorder="1" applyAlignment="1" applyProtection="1">
      <alignment horizontal="right"/>
    </xf>
    <xf numFmtId="1" fontId="7" fillId="24" borderId="56" xfId="126" applyNumberFormat="1" applyFont="1" applyFill="1" applyBorder="1" applyAlignment="1" applyProtection="1">
      <alignment horizontal="right"/>
      <protection locked="0"/>
    </xf>
    <xf numFmtId="1" fontId="7" fillId="24" borderId="30" xfId="126" applyNumberFormat="1" applyFont="1" applyFill="1" applyBorder="1" applyAlignment="1" applyProtection="1">
      <alignment horizontal="right"/>
      <protection locked="0"/>
    </xf>
    <xf numFmtId="1" fontId="7" fillId="24" borderId="35" xfId="126" applyNumberFormat="1" applyFont="1" applyFill="1" applyBorder="1" applyAlignment="1" applyProtection="1">
      <alignment horizontal="right"/>
      <protection locked="0"/>
    </xf>
    <xf numFmtId="1" fontId="7" fillId="24" borderId="104" xfId="126" applyNumberFormat="1" applyFont="1" applyFill="1" applyBorder="1" applyAlignment="1" applyProtection="1">
      <alignment horizontal="right"/>
      <protection locked="0"/>
    </xf>
    <xf numFmtId="1" fontId="7" fillId="24" borderId="69" xfId="126" applyNumberFormat="1" applyFont="1" applyFill="1" applyBorder="1" applyAlignment="1" applyProtection="1">
      <alignment horizontal="right"/>
      <protection locked="0"/>
    </xf>
    <xf numFmtId="1" fontId="7" fillId="24" borderId="45" xfId="126" applyNumberFormat="1" applyFont="1" applyFill="1" applyBorder="1" applyAlignment="1" applyProtection="1">
      <alignment horizontal="right"/>
      <protection locked="0"/>
    </xf>
    <xf numFmtId="1" fontId="7" fillId="24" borderId="160" xfId="126" applyNumberFormat="1" applyFont="1" applyFill="1" applyBorder="1" applyAlignment="1" applyProtection="1">
      <alignment horizontal="right"/>
      <protection locked="0"/>
    </xf>
    <xf numFmtId="1" fontId="7" fillId="24" borderId="79" xfId="126" applyNumberFormat="1" applyFont="1" applyFill="1" applyBorder="1" applyAlignment="1" applyProtection="1">
      <alignment horizontal="right"/>
      <protection locked="0"/>
    </xf>
    <xf numFmtId="1" fontId="7" fillId="24" borderId="78" xfId="126" applyNumberFormat="1" applyFont="1" applyFill="1" applyBorder="1" applyAlignment="1" applyProtection="1">
      <alignment horizontal="right"/>
      <protection locked="0"/>
    </xf>
    <xf numFmtId="1" fontId="7" fillId="0" borderId="199" xfId="127" applyNumberFormat="1" applyFont="1" applyFill="1" applyBorder="1" applyAlignment="1" applyProtection="1">
      <alignment horizontal="right"/>
    </xf>
    <xf numFmtId="1" fontId="7" fillId="0" borderId="199" xfId="14" applyNumberFormat="1" applyFont="1" applyFill="1" applyBorder="1" applyAlignment="1" applyProtection="1">
      <alignment horizontal="right"/>
    </xf>
    <xf numFmtId="1" fontId="7" fillId="0" borderId="195" xfId="14" applyNumberFormat="1" applyFont="1" applyFill="1" applyBorder="1" applyAlignment="1" applyProtection="1">
      <alignment horizontal="right"/>
    </xf>
    <xf numFmtId="1" fontId="7" fillId="15" borderId="89" xfId="14" quotePrefix="1" applyNumberFormat="1" applyFont="1" applyFill="1" applyBorder="1" applyAlignment="1" applyProtection="1">
      <alignment horizontal="right"/>
      <protection locked="0"/>
    </xf>
    <xf numFmtId="1" fontId="7" fillId="15" borderId="72" xfId="14" quotePrefix="1" applyNumberFormat="1" applyFont="1" applyFill="1" applyBorder="1" applyAlignment="1" applyProtection="1">
      <alignment horizontal="right"/>
      <protection locked="0"/>
    </xf>
    <xf numFmtId="1" fontId="7" fillId="15" borderId="108" xfId="14" quotePrefix="1" applyNumberFormat="1" applyFont="1" applyFill="1" applyBorder="1" applyAlignment="1" applyProtection="1">
      <alignment horizontal="right"/>
      <protection locked="0"/>
    </xf>
    <xf numFmtId="1" fontId="7" fillId="20" borderId="195" xfId="126" applyNumberFormat="1" applyFont="1" applyFill="1" applyBorder="1" applyAlignment="1" applyProtection="1"/>
    <xf numFmtId="1" fontId="7" fillId="24" borderId="40" xfId="126" applyNumberFormat="1" applyFont="1" applyFill="1" applyBorder="1" applyAlignment="1" applyProtection="1">
      <alignment horizontal="right"/>
      <protection locked="0"/>
    </xf>
    <xf numFmtId="1" fontId="7" fillId="24" borderId="125" xfId="126" applyNumberFormat="1" applyFont="1" applyFill="1" applyBorder="1" applyAlignment="1" applyProtection="1">
      <alignment horizontal="right"/>
      <protection locked="0"/>
    </xf>
    <xf numFmtId="1" fontId="7" fillId="20" borderId="125" xfId="126" applyNumberFormat="1" applyFont="1" applyFill="1" applyBorder="1" applyAlignment="1" applyProtection="1"/>
    <xf numFmtId="1" fontId="7" fillId="24" borderId="211" xfId="126" applyNumberFormat="1" applyFont="1" applyFill="1" applyBorder="1" applyAlignment="1" applyProtection="1">
      <alignment horizontal="right"/>
      <protection locked="0"/>
    </xf>
    <xf numFmtId="1" fontId="7" fillId="24" borderId="155" xfId="126" applyNumberFormat="1" applyFont="1" applyFill="1" applyBorder="1" applyAlignment="1" applyProtection="1">
      <alignment horizontal="right"/>
      <protection locked="0"/>
    </xf>
    <xf numFmtId="1" fontId="7" fillId="24" borderId="172" xfId="126" applyNumberFormat="1" applyFont="1" applyFill="1" applyBorder="1" applyAlignment="1" applyProtection="1">
      <alignment horizontal="right"/>
      <protection locked="0"/>
    </xf>
    <xf numFmtId="1" fontId="7" fillId="24" borderId="212" xfId="126" applyNumberFormat="1" applyFont="1" applyFill="1" applyBorder="1" applyAlignment="1" applyProtection="1">
      <alignment horizontal="right"/>
      <protection locked="0"/>
    </xf>
    <xf numFmtId="1" fontId="7" fillId="20" borderId="211" xfId="126" applyNumberFormat="1" applyFont="1" applyFill="1" applyBorder="1" applyAlignment="1" applyProtection="1">
      <alignment horizontal="right"/>
    </xf>
    <xf numFmtId="1" fontId="7" fillId="20" borderId="172" xfId="126" applyNumberFormat="1" applyFont="1" applyFill="1" applyBorder="1" applyAlignment="1" applyProtection="1">
      <alignment horizontal="right"/>
    </xf>
    <xf numFmtId="1" fontId="7" fillId="24" borderId="1" xfId="126" applyNumberFormat="1" applyFont="1" applyFill="1" applyBorder="1" applyAlignment="1" applyProtection="1">
      <alignment horizontal="right"/>
      <protection locked="0"/>
    </xf>
    <xf numFmtId="1" fontId="7" fillId="24" borderId="11" xfId="126" applyNumberFormat="1" applyFont="1" applyFill="1" applyBorder="1" applyAlignment="1" applyProtection="1">
      <alignment horizontal="right"/>
      <protection locked="0"/>
    </xf>
    <xf numFmtId="1" fontId="7" fillId="20" borderId="30" xfId="0" applyNumberFormat="1" applyFont="1" applyFill="1" applyBorder="1" applyAlignment="1" applyProtection="1">
      <alignment horizontal="right"/>
    </xf>
    <xf numFmtId="1" fontId="7" fillId="20" borderId="35" xfId="0" applyNumberFormat="1" applyFont="1" applyFill="1" applyBorder="1" applyAlignment="1" applyProtection="1">
      <alignment horizontal="right"/>
    </xf>
    <xf numFmtId="1" fontId="7" fillId="20" borderId="69" xfId="0" applyNumberFormat="1" applyFont="1" applyFill="1" applyBorder="1" applyAlignment="1" applyProtection="1">
      <alignment horizontal="right"/>
    </xf>
    <xf numFmtId="1" fontId="7" fillId="20" borderId="30" xfId="126" applyNumberFormat="1" applyFont="1" applyFill="1" applyBorder="1" applyAlignment="1" applyProtection="1">
      <alignment horizontal="right"/>
    </xf>
    <xf numFmtId="1" fontId="7" fillId="20" borderId="78" xfId="126" applyNumberFormat="1" applyFont="1" applyFill="1" applyBorder="1" applyAlignment="1" applyProtection="1">
      <alignment horizontal="right"/>
    </xf>
    <xf numFmtId="1" fontId="7" fillId="20" borderId="11" xfId="126" applyNumberFormat="1" applyFont="1" applyFill="1" applyBorder="1" applyAlignment="1" applyProtection="1">
      <alignment horizontal="right"/>
    </xf>
    <xf numFmtId="1" fontId="7" fillId="22" borderId="199" xfId="0" applyNumberFormat="1" applyFont="1" applyFill="1" applyBorder="1" applyAlignment="1" applyProtection="1">
      <alignment horizontal="center" vertical="center"/>
    </xf>
    <xf numFmtId="1" fontId="7" fillId="24" borderId="120" xfId="126" applyNumberFormat="1" applyFont="1" applyFill="1" applyBorder="1" applyAlignment="1" applyProtection="1">
      <alignment horizontal="right"/>
      <protection locked="0"/>
    </xf>
    <xf numFmtId="1" fontId="7" fillId="22" borderId="1" xfId="0" applyNumberFormat="1" applyFont="1" applyFill="1" applyBorder="1" applyAlignment="1" applyProtection="1">
      <alignment horizontal="center" vertical="center"/>
    </xf>
    <xf numFmtId="1" fontId="7" fillId="22" borderId="196" xfId="0" applyNumberFormat="1" applyFont="1" applyFill="1" applyBorder="1" applyAlignment="1" applyProtection="1">
      <alignment horizontal="center" vertical="center"/>
    </xf>
    <xf numFmtId="1" fontId="7" fillId="24" borderId="64" xfId="126" applyNumberFormat="1" applyFont="1" applyFill="1" applyBorder="1" applyAlignment="1" applyProtection="1">
      <alignment horizontal="right"/>
      <protection locked="0"/>
    </xf>
    <xf numFmtId="1" fontId="7" fillId="20" borderId="59" xfId="126" applyNumberFormat="1" applyFont="1" applyFill="1" applyBorder="1" applyAlignment="1" applyProtection="1">
      <alignment horizontal="right"/>
    </xf>
    <xf numFmtId="1" fontId="7" fillId="20" borderId="35" xfId="126" applyNumberFormat="1" applyFont="1" applyFill="1" applyBorder="1" applyAlignment="1" applyProtection="1">
      <alignment horizontal="right"/>
    </xf>
    <xf numFmtId="1" fontId="7" fillId="18" borderId="78" xfId="0" applyNumberFormat="1" applyFont="1" applyFill="1" applyBorder="1" applyAlignment="1" applyProtection="1">
      <alignment horizontal="right"/>
    </xf>
    <xf numFmtId="1" fontId="7" fillId="20" borderId="148" xfId="126" applyNumberFormat="1" applyFont="1" applyFill="1" applyBorder="1" applyAlignment="1" applyProtection="1">
      <alignment horizontal="right"/>
    </xf>
    <xf numFmtId="1" fontId="7" fillId="20" borderId="104" xfId="126" applyNumberFormat="1" applyFont="1" applyFill="1" applyBorder="1" applyAlignment="1" applyProtection="1">
      <alignment horizontal="right"/>
    </xf>
    <xf numFmtId="1" fontId="7" fillId="20" borderId="69" xfId="126" applyNumberFormat="1" applyFont="1" applyFill="1" applyBorder="1" applyAlignment="1" applyProtection="1">
      <alignment horizontal="right"/>
    </xf>
    <xf numFmtId="1" fontId="7" fillId="0" borderId="199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95" xfId="126" applyNumberFormat="1" applyFont="1" applyFill="1" applyBorder="1" applyAlignment="1" applyProtection="1">
      <alignment horizontal="right" wrapText="1"/>
      <protection hidden="1"/>
    </xf>
    <xf numFmtId="1" fontId="7" fillId="0" borderId="195" xfId="126" applyNumberFormat="1" applyFont="1" applyFill="1" applyBorder="1" applyAlignment="1" applyProtection="1">
      <alignment horizontal="center" vertical="center" wrapText="1"/>
      <protection hidden="1"/>
    </xf>
    <xf numFmtId="1" fontId="7" fillId="22" borderId="195" xfId="0" applyNumberFormat="1" applyFont="1" applyFill="1" applyBorder="1" applyAlignment="1" applyProtection="1">
      <alignment horizontal="center" wrapText="1"/>
    </xf>
    <xf numFmtId="1" fontId="42" fillId="0" borderId="0" xfId="0" applyNumberFormat="1" applyFont="1" applyFill="1" applyBorder="1" applyAlignment="1" applyProtection="1"/>
    <xf numFmtId="1" fontId="7" fillId="24" borderId="100" xfId="126" applyNumberFormat="1" applyFont="1" applyFill="1" applyBorder="1" applyAlignment="1" applyProtection="1">
      <alignment horizontal="right"/>
      <protection locked="0"/>
    </xf>
    <xf numFmtId="1" fontId="42" fillId="22" borderId="6" xfId="0" applyNumberFormat="1" applyFont="1" applyFill="1" applyBorder="1" applyAlignment="1" applyProtection="1"/>
    <xf numFmtId="1" fontId="32" fillId="22" borderId="6" xfId="0" applyNumberFormat="1" applyFont="1" applyFill="1" applyBorder="1" applyAlignment="1" applyProtection="1"/>
    <xf numFmtId="1" fontId="30" fillId="22" borderId="0" xfId="0" applyNumberFormat="1" applyFont="1" applyFill="1" applyBorder="1" applyAlignment="1" applyProtection="1"/>
    <xf numFmtId="0" fontId="42" fillId="22" borderId="6" xfId="0" applyNumberFormat="1" applyFont="1" applyFill="1" applyBorder="1" applyAlignment="1" applyProtection="1"/>
    <xf numFmtId="0" fontId="30" fillId="0" borderId="7" xfId="0" applyFont="1" applyBorder="1" applyAlignment="1" applyProtection="1">
      <alignment horizontal="center" vertical="center" wrapText="1"/>
    </xf>
    <xf numFmtId="0" fontId="30" fillId="0" borderId="199" xfId="0" applyFont="1" applyBorder="1" applyAlignment="1" applyProtection="1">
      <alignment horizontal="center" vertical="center"/>
    </xf>
    <xf numFmtId="0" fontId="30" fillId="0" borderId="5" xfId="0" applyFont="1" applyBorder="1" applyAlignment="1" applyProtection="1">
      <alignment horizontal="center" vertical="center"/>
    </xf>
    <xf numFmtId="0" fontId="30" fillId="0" borderId="7" xfId="0" applyFont="1" applyBorder="1" applyAlignment="1" applyProtection="1">
      <alignment horizontal="center" vertical="center"/>
    </xf>
    <xf numFmtId="0" fontId="30" fillId="0" borderId="195" xfId="0" applyFont="1" applyBorder="1" applyAlignment="1" applyProtection="1">
      <alignment horizontal="center" vertical="center"/>
    </xf>
    <xf numFmtId="0" fontId="30" fillId="0" borderId="198" xfId="0" applyFont="1" applyBorder="1" applyAlignment="1" applyProtection="1">
      <alignment horizontal="center" vertical="center"/>
    </xf>
    <xf numFmtId="0" fontId="30" fillId="0" borderId="11" xfId="0" applyFont="1" applyFill="1" applyBorder="1" applyProtection="1"/>
    <xf numFmtId="1" fontId="30" fillId="0" borderId="85" xfId="0" applyNumberFormat="1" applyFont="1" applyFill="1" applyBorder="1" applyAlignment="1" applyProtection="1">
      <alignment horizontal="right"/>
    </xf>
    <xf numFmtId="1" fontId="30" fillId="0" borderId="88" xfId="0" applyNumberFormat="1" applyFont="1" applyBorder="1" applyAlignment="1" applyProtection="1">
      <alignment horizontal="right"/>
    </xf>
    <xf numFmtId="1" fontId="30" fillId="0" borderId="29" xfId="0" applyNumberFormat="1" applyFont="1" applyBorder="1" applyAlignment="1" applyProtection="1">
      <alignment horizontal="right"/>
    </xf>
    <xf numFmtId="1" fontId="30" fillId="0" borderId="85" xfId="0" applyNumberFormat="1" applyFont="1" applyBorder="1" applyAlignment="1" applyProtection="1">
      <alignment horizontal="right"/>
    </xf>
    <xf numFmtId="1" fontId="30" fillId="0" borderId="145" xfId="0" applyNumberFormat="1" applyFont="1" applyBorder="1" applyAlignment="1" applyProtection="1">
      <alignment horizontal="right"/>
    </xf>
    <xf numFmtId="0" fontId="30" fillId="0" borderId="30" xfId="0" applyFont="1" applyBorder="1" applyProtection="1"/>
    <xf numFmtId="1" fontId="30" fillId="0" borderId="70" xfId="0" applyNumberFormat="1" applyFont="1" applyBorder="1" applyAlignment="1" applyProtection="1">
      <alignment horizontal="right"/>
    </xf>
    <xf numFmtId="1" fontId="30" fillId="0" borderId="24" xfId="0" applyNumberFormat="1" applyFont="1" applyBorder="1" applyAlignment="1" applyProtection="1">
      <alignment horizontal="right"/>
    </xf>
    <xf numFmtId="1" fontId="30" fillId="0" borderId="27" xfId="0" applyNumberFormat="1" applyFont="1" applyBorder="1" applyAlignment="1" applyProtection="1">
      <alignment horizontal="right"/>
    </xf>
    <xf numFmtId="1" fontId="30" fillId="15" borderId="70" xfId="0" applyNumberFormat="1" applyFont="1" applyFill="1" applyBorder="1" applyAlignment="1" applyProtection="1">
      <alignment horizontal="right"/>
      <protection locked="0"/>
    </xf>
    <xf numFmtId="1" fontId="30" fillId="15" borderId="24" xfId="0" applyNumberFormat="1" applyFont="1" applyFill="1" applyBorder="1" applyAlignment="1" applyProtection="1">
      <alignment horizontal="right"/>
      <protection locked="0"/>
    </xf>
    <xf numFmtId="1" fontId="30" fillId="15" borderId="57" xfId="0" applyNumberFormat="1" applyFont="1" applyFill="1" applyBorder="1" applyAlignment="1" applyProtection="1">
      <alignment horizontal="right"/>
      <protection locked="0"/>
    </xf>
    <xf numFmtId="1" fontId="30" fillId="15" borderId="27" xfId="0" applyNumberFormat="1" applyFont="1" applyFill="1" applyBorder="1" applyAlignment="1" applyProtection="1">
      <alignment horizontal="right"/>
      <protection locked="0"/>
    </xf>
    <xf numFmtId="0" fontId="30" fillId="0" borderId="78" xfId="0" applyFont="1" applyBorder="1" applyProtection="1"/>
    <xf numFmtId="1" fontId="30" fillId="0" borderId="94" xfId="0" applyNumberFormat="1" applyFont="1" applyBorder="1" applyAlignment="1" applyProtection="1">
      <alignment horizontal="right"/>
    </xf>
    <xf numFmtId="1" fontId="30" fillId="0" borderId="31" xfId="0" applyNumberFormat="1" applyFont="1" applyBorder="1" applyAlignment="1" applyProtection="1">
      <alignment horizontal="right"/>
    </xf>
    <xf numFmtId="1" fontId="30" fillId="0" borderId="34" xfId="0" applyNumberFormat="1" applyFont="1" applyBorder="1" applyAlignment="1" applyProtection="1">
      <alignment horizontal="right"/>
    </xf>
    <xf numFmtId="1" fontId="30" fillId="15" borderId="94" xfId="0" applyNumberFormat="1" applyFont="1" applyFill="1" applyBorder="1" applyAlignment="1" applyProtection="1">
      <alignment horizontal="right"/>
      <protection locked="0"/>
    </xf>
    <xf numFmtId="1" fontId="30" fillId="15" borderId="31" xfId="0" applyNumberFormat="1" applyFont="1" applyFill="1" applyBorder="1" applyAlignment="1" applyProtection="1">
      <alignment horizontal="right"/>
      <protection locked="0"/>
    </xf>
    <xf numFmtId="1" fontId="30" fillId="15" borderId="156" xfId="0" applyNumberFormat="1" applyFont="1" applyFill="1" applyBorder="1" applyAlignment="1" applyProtection="1">
      <alignment horizontal="right"/>
      <protection locked="0"/>
    </xf>
    <xf numFmtId="1" fontId="30" fillId="15" borderId="34" xfId="0" applyNumberFormat="1" applyFont="1" applyFill="1" applyBorder="1" applyAlignment="1" applyProtection="1">
      <alignment horizontal="right"/>
      <protection locked="0"/>
    </xf>
    <xf numFmtId="0" fontId="30" fillId="0" borderId="69" xfId="0" applyFont="1" applyBorder="1" applyProtection="1"/>
    <xf numFmtId="1" fontId="30" fillId="0" borderId="109" xfId="0" applyNumberFormat="1" applyFont="1" applyBorder="1" applyAlignment="1" applyProtection="1">
      <alignment horizontal="right"/>
    </xf>
    <xf numFmtId="1" fontId="30" fillId="0" borderId="107" xfId="0" applyNumberFormat="1" applyFont="1" applyBorder="1" applyAlignment="1" applyProtection="1">
      <alignment horizontal="right"/>
    </xf>
    <xf numFmtId="1" fontId="30" fillId="0" borderId="127" xfId="0" applyNumberFormat="1" applyFont="1" applyBorder="1" applyAlignment="1" applyProtection="1">
      <alignment horizontal="right"/>
    </xf>
    <xf numFmtId="1" fontId="30" fillId="15" borderId="109" xfId="0" applyNumberFormat="1" applyFont="1" applyFill="1" applyBorder="1" applyAlignment="1" applyProtection="1">
      <alignment horizontal="right"/>
      <protection locked="0"/>
    </xf>
    <xf numFmtId="1" fontId="30" fillId="15" borderId="107" xfId="0" applyNumberFormat="1" applyFont="1" applyFill="1" applyBorder="1" applyAlignment="1" applyProtection="1">
      <alignment horizontal="right"/>
      <protection locked="0"/>
    </xf>
    <xf numFmtId="1" fontId="30" fillId="15" borderId="142" xfId="0" applyNumberFormat="1" applyFont="1" applyFill="1" applyBorder="1" applyAlignment="1" applyProtection="1">
      <alignment horizontal="right"/>
      <protection locked="0"/>
    </xf>
    <xf numFmtId="1" fontId="30" fillId="15" borderId="127" xfId="0" applyNumberFormat="1" applyFont="1" applyFill="1" applyBorder="1" applyAlignment="1" applyProtection="1">
      <alignment horizontal="right"/>
      <protection locked="0"/>
    </xf>
    <xf numFmtId="1" fontId="42" fillId="17" borderId="6" xfId="125" quotePrefix="1" applyNumberFormat="1" applyFont="1" applyFill="1" applyBorder="1" applyAlignment="1" applyProtection="1"/>
    <xf numFmtId="1" fontId="32" fillId="17" borderId="6" xfId="125" quotePrefix="1" applyNumberFormat="1" applyFont="1" applyFill="1" applyBorder="1" applyAlignment="1" applyProtection="1"/>
    <xf numFmtId="1" fontId="30" fillId="0" borderId="199" xfId="125" applyNumberFormat="1" applyFont="1" applyFill="1" applyBorder="1" applyAlignment="1" applyProtection="1">
      <alignment horizontal="center" vertical="center" wrapText="1"/>
    </xf>
    <xf numFmtId="1" fontId="30" fillId="0" borderId="8" xfId="125" applyNumberFormat="1" applyFont="1" applyFill="1" applyBorder="1" applyAlignment="1" applyProtection="1">
      <alignment horizontal="center" vertical="center" wrapText="1"/>
    </xf>
    <xf numFmtId="1" fontId="30" fillId="0" borderId="195" xfId="125" applyNumberFormat="1" applyFont="1" applyFill="1" applyBorder="1" applyAlignment="1" applyProtection="1">
      <alignment horizontal="center" vertical="center" wrapText="1"/>
    </xf>
    <xf numFmtId="1" fontId="30" fillId="15" borderId="70" xfId="125" applyNumberFormat="1" applyFont="1" applyFill="1" applyBorder="1" applyAlignment="1" applyProtection="1">
      <alignment horizontal="right"/>
      <protection locked="0"/>
    </xf>
    <xf numFmtId="1" fontId="30" fillId="15" borderId="24" xfId="125" applyNumberFormat="1" applyFont="1" applyFill="1" applyBorder="1" applyAlignment="1" applyProtection="1">
      <alignment horizontal="right"/>
      <protection locked="0"/>
    </xf>
    <xf numFmtId="1" fontId="30" fillId="15" borderId="25" xfId="125" applyNumberFormat="1" applyFont="1" applyFill="1" applyBorder="1" applyAlignment="1" applyProtection="1">
      <alignment horizontal="right"/>
      <protection locked="0"/>
    </xf>
    <xf numFmtId="1" fontId="30" fillId="15" borderId="27" xfId="125" applyNumberFormat="1" applyFont="1" applyFill="1" applyBorder="1" applyAlignment="1" applyProtection="1">
      <alignment horizontal="right"/>
      <protection locked="0"/>
    </xf>
    <xf numFmtId="1" fontId="30" fillId="15" borderId="71" xfId="125" applyNumberFormat="1" applyFont="1" applyFill="1" applyBorder="1" applyAlignment="1" applyProtection="1">
      <alignment horizontal="right"/>
      <protection locked="0"/>
    </xf>
    <xf numFmtId="1" fontId="30" fillId="15" borderId="36" xfId="125" applyNumberFormat="1" applyFont="1" applyFill="1" applyBorder="1" applyAlignment="1" applyProtection="1">
      <alignment horizontal="right"/>
      <protection locked="0"/>
    </xf>
    <xf numFmtId="1" fontId="30" fillId="15" borderId="21" xfId="125" applyNumberFormat="1" applyFont="1" applyFill="1" applyBorder="1" applyAlignment="1" applyProtection="1">
      <alignment horizontal="right"/>
      <protection locked="0"/>
    </xf>
    <xf numFmtId="1" fontId="30" fillId="15" borderId="39" xfId="125" applyNumberFormat="1" applyFont="1" applyFill="1" applyBorder="1" applyAlignment="1" applyProtection="1">
      <alignment horizontal="right"/>
      <protection locked="0"/>
    </xf>
    <xf numFmtId="1" fontId="30" fillId="15" borderId="109" xfId="125" applyNumberFormat="1" applyFont="1" applyFill="1" applyBorder="1" applyAlignment="1" applyProtection="1">
      <alignment horizontal="right"/>
      <protection locked="0"/>
    </xf>
    <xf numFmtId="1" fontId="30" fillId="15" borderId="107" xfId="125" applyNumberFormat="1" applyFont="1" applyFill="1" applyBorder="1" applyAlignment="1" applyProtection="1">
      <alignment horizontal="right"/>
      <protection locked="0"/>
    </xf>
    <xf numFmtId="1" fontId="30" fillId="15" borderId="126" xfId="125" applyNumberFormat="1" applyFont="1" applyFill="1" applyBorder="1" applyAlignment="1" applyProtection="1">
      <alignment horizontal="right"/>
      <protection locked="0"/>
    </xf>
    <xf numFmtId="1" fontId="30" fillId="15" borderId="127" xfId="125" applyNumberFormat="1" applyFont="1" applyFill="1" applyBorder="1" applyAlignment="1" applyProtection="1">
      <alignment horizontal="right"/>
      <protection locked="0"/>
    </xf>
    <xf numFmtId="1" fontId="30" fillId="0" borderId="7" xfId="125" applyNumberFormat="1" applyFont="1" applyFill="1" applyBorder="1" applyAlignment="1" applyProtection="1">
      <alignment horizontal="right"/>
    </xf>
    <xf numFmtId="1" fontId="30" fillId="0" borderId="199" xfId="125" applyNumberFormat="1" applyFont="1" applyFill="1" applyBorder="1" applyAlignment="1" applyProtection="1">
      <alignment horizontal="right"/>
    </xf>
    <xf numFmtId="1" fontId="30" fillId="0" borderId="8" xfId="125" applyNumberFormat="1" applyFont="1" applyFill="1" applyBorder="1" applyAlignment="1" applyProtection="1">
      <alignment horizontal="right"/>
    </xf>
    <xf numFmtId="1" fontId="30" fillId="0" borderId="195" xfId="125" applyNumberFormat="1" applyFont="1" applyFill="1" applyBorder="1" applyAlignment="1" applyProtection="1">
      <alignment horizontal="right"/>
    </xf>
    <xf numFmtId="1" fontId="42" fillId="0" borderId="6" xfId="125" quotePrefix="1" applyNumberFormat="1" applyFont="1" applyFill="1" applyBorder="1" applyAlignment="1" applyProtection="1"/>
    <xf numFmtId="1" fontId="30" fillId="17" borderId="35" xfId="126" applyNumberFormat="1" applyFont="1" applyFill="1" applyBorder="1" applyAlignment="1" applyProtection="1">
      <alignment horizontal="left" vertical="center" wrapText="1"/>
      <protection hidden="1"/>
    </xf>
    <xf numFmtId="1" fontId="7" fillId="17" borderId="69" xfId="126" applyNumberFormat="1" applyFont="1" applyFill="1" applyBorder="1" applyAlignment="1" applyProtection="1">
      <alignment horizontal="left" vertical="center" wrapText="1"/>
      <protection hidden="1"/>
    </xf>
    <xf numFmtId="1" fontId="30" fillId="22" borderId="1" xfId="126" applyNumberFormat="1" applyFont="1" applyFill="1" applyBorder="1" applyAlignment="1" applyProtection="1">
      <alignment horizontal="center" vertical="center" wrapText="1"/>
      <protection hidden="1"/>
    </xf>
    <xf numFmtId="0" fontId="30" fillId="22" borderId="76" xfId="126" applyNumberFormat="1" applyFont="1" applyFill="1" applyBorder="1" applyAlignment="1" applyProtection="1"/>
    <xf numFmtId="0" fontId="30" fillId="22" borderId="80" xfId="126" applyNumberFormat="1" applyFont="1" applyFill="1" applyBorder="1" applyAlignment="1" applyProtection="1"/>
    <xf numFmtId="1" fontId="32" fillId="0" borderId="9" xfId="126" applyNumberFormat="1" applyFont="1" applyFill="1" applyBorder="1" applyAlignment="1" applyProtection="1">
      <alignment horizontal="left" vertical="center"/>
      <protection hidden="1"/>
    </xf>
    <xf numFmtId="1" fontId="32" fillId="0" borderId="10" xfId="126" applyNumberFormat="1" applyFont="1" applyFill="1" applyBorder="1" applyAlignment="1" applyProtection="1">
      <alignment vertical="center"/>
      <protection hidden="1"/>
    </xf>
    <xf numFmtId="1" fontId="7" fillId="0" borderId="195" xfId="126" applyNumberFormat="1" applyFont="1" applyFill="1" applyBorder="1" applyAlignment="1" applyProtection="1">
      <alignment horizontal="center" vertical="center"/>
      <protection hidden="1"/>
    </xf>
    <xf numFmtId="1" fontId="32" fillId="0" borderId="4" xfId="126" applyNumberFormat="1" applyFont="1" applyFill="1" applyBorder="1" applyAlignment="1" applyProtection="1">
      <alignment vertical="center"/>
      <protection hidden="1"/>
    </xf>
    <xf numFmtId="1" fontId="7" fillId="0" borderId="210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10" xfId="126" applyNumberFormat="1" applyFont="1" applyFill="1" applyBorder="1" applyAlignment="1" applyProtection="1">
      <protection hidden="1"/>
    </xf>
    <xf numFmtId="1" fontId="7" fillId="0" borderId="194" xfId="126" applyNumberFormat="1" applyFont="1" applyFill="1" applyBorder="1" applyAlignment="1" applyProtection="1">
      <protection hidden="1"/>
    </xf>
    <xf numFmtId="1" fontId="7" fillId="0" borderId="194" xfId="0" applyNumberFormat="1" applyFont="1" applyBorder="1" applyProtection="1"/>
    <xf numFmtId="1" fontId="7" fillId="0" borderId="194" xfId="0" applyNumberFormat="1" applyFont="1" applyFill="1" applyBorder="1" applyProtection="1"/>
    <xf numFmtId="1" fontId="7" fillId="0" borderId="195" xfId="0" applyNumberFormat="1" applyFont="1" applyFill="1" applyBorder="1" applyProtection="1"/>
    <xf numFmtId="1" fontId="7" fillId="0" borderId="194" xfId="126" applyNumberFormat="1" applyFont="1" applyFill="1" applyBorder="1" applyAlignment="1" applyProtection="1">
      <alignment horizontal="center" vertical="center"/>
      <protection hidden="1"/>
    </xf>
    <xf numFmtId="1" fontId="7" fillId="0" borderId="194" xfId="109" applyNumberFormat="1" applyFont="1" applyFill="1" applyBorder="1" applyAlignment="1" applyProtection="1">
      <alignment horizontal="center" vertical="center" wrapText="1"/>
    </xf>
    <xf numFmtId="1" fontId="30" fillId="0" borderId="29" xfId="125" applyNumberFormat="1" applyFont="1" applyFill="1" applyBorder="1" applyAlignment="1" applyProtection="1">
      <alignment horizontal="center" vertical="center"/>
    </xf>
    <xf numFmtId="1" fontId="30" fillId="0" borderId="27" xfId="125" applyNumberFormat="1" applyFont="1" applyFill="1" applyBorder="1" applyAlignment="1" applyProtection="1">
      <alignment horizontal="right"/>
    </xf>
    <xf numFmtId="1" fontId="30" fillId="0" borderId="39" xfId="125" applyNumberFormat="1" applyFont="1" applyFill="1" applyBorder="1" applyAlignment="1" applyProtection="1">
      <alignment horizontal="right"/>
    </xf>
    <xf numFmtId="1" fontId="30" fillId="0" borderId="127" xfId="125" applyNumberFormat="1" applyFont="1" applyFill="1" applyBorder="1" applyAlignment="1" applyProtection="1">
      <alignment horizontal="right"/>
    </xf>
    <xf numFmtId="1" fontId="30" fillId="0" borderId="7" xfId="125" applyNumberFormat="1" applyFont="1" applyFill="1" applyBorder="1" applyAlignment="1" applyProtection="1">
      <alignment horizontal="center" vertical="center" wrapText="1"/>
    </xf>
    <xf numFmtId="1" fontId="30" fillId="0" borderId="7" xfId="0" applyNumberFormat="1" applyFont="1" applyBorder="1" applyAlignment="1" applyProtection="1"/>
    <xf numFmtId="1" fontId="7" fillId="22" borderId="76" xfId="125" applyNumberFormat="1" applyFont="1" applyFill="1" applyBorder="1" applyAlignment="1" applyProtection="1"/>
    <xf numFmtId="1" fontId="7" fillId="22" borderId="77" xfId="125" applyNumberFormat="1" applyFont="1" applyFill="1" applyBorder="1" applyAlignment="1" applyProtection="1">
      <alignment horizontal="right"/>
    </xf>
    <xf numFmtId="1" fontId="7" fillId="22" borderId="94" xfId="125" applyNumberFormat="1" applyFont="1" applyFill="1" applyBorder="1" applyAlignment="1" applyProtection="1">
      <alignment horizontal="right"/>
    </xf>
    <xf numFmtId="1" fontId="7" fillId="22" borderId="34" xfId="125" applyNumberFormat="1" applyFont="1" applyFill="1" applyBorder="1" applyAlignment="1" applyProtection="1">
      <alignment horizontal="right"/>
    </xf>
    <xf numFmtId="1" fontId="7" fillId="22" borderId="92" xfId="125" applyNumberFormat="1" applyFont="1" applyFill="1" applyBorder="1" applyAlignment="1" applyProtection="1"/>
    <xf numFmtId="1" fontId="7" fillId="22" borderId="92" xfId="125" applyNumberFormat="1" applyFont="1" applyFill="1" applyBorder="1" applyAlignment="1" applyProtection="1">
      <alignment horizontal="right"/>
    </xf>
    <xf numFmtId="1" fontId="7" fillId="22" borderId="73" xfId="125" applyNumberFormat="1" applyFont="1" applyFill="1" applyBorder="1" applyAlignment="1" applyProtection="1">
      <alignment horizontal="right"/>
    </xf>
    <xf numFmtId="1" fontId="7" fillId="22" borderId="44" xfId="125" applyNumberFormat="1" applyFont="1" applyFill="1" applyBorder="1" applyAlignment="1" applyProtection="1">
      <alignment horizontal="right"/>
    </xf>
    <xf numFmtId="1" fontId="7" fillId="22" borderId="10" xfId="125" applyNumberFormat="1" applyFont="1" applyFill="1" applyBorder="1" applyAlignment="1" applyProtection="1"/>
    <xf numFmtId="1" fontId="7" fillId="22" borderId="10" xfId="125" applyNumberFormat="1" applyFont="1" applyFill="1" applyBorder="1" applyAlignment="1" applyProtection="1">
      <alignment horizontal="right"/>
    </xf>
    <xf numFmtId="1" fontId="7" fillId="22" borderId="77" xfId="125" applyNumberFormat="1" applyFont="1" applyFill="1" applyBorder="1" applyAlignment="1" applyProtection="1"/>
    <xf numFmtId="1" fontId="7" fillId="22" borderId="11" xfId="125" applyNumberFormat="1" applyFont="1" applyFill="1" applyBorder="1" applyAlignment="1" applyProtection="1"/>
    <xf numFmtId="1" fontId="7" fillId="22" borderId="97" xfId="125" applyNumberFormat="1" applyFont="1" applyFill="1" applyBorder="1" applyAlignment="1" applyProtection="1">
      <alignment horizontal="right"/>
    </xf>
    <xf numFmtId="1" fontId="7" fillId="22" borderId="85" xfId="125" applyNumberFormat="1" applyFont="1" applyFill="1" applyBorder="1" applyAlignment="1" applyProtection="1">
      <alignment horizontal="right"/>
    </xf>
    <xf numFmtId="1" fontId="7" fillId="22" borderId="29" xfId="125" applyNumberFormat="1" applyFont="1" applyFill="1" applyBorder="1" applyAlignment="1" applyProtection="1">
      <alignment horizontal="right"/>
    </xf>
    <xf numFmtId="1" fontId="7" fillId="15" borderId="83" xfId="125" applyNumberFormat="1" applyFont="1" applyFill="1" applyBorder="1" applyAlignment="1" applyProtection="1">
      <alignment horizontal="right"/>
      <protection locked="0"/>
    </xf>
    <xf numFmtId="1" fontId="7" fillId="15" borderId="151" xfId="125" applyNumberFormat="1" applyFont="1" applyFill="1" applyBorder="1" applyAlignment="1" applyProtection="1">
      <alignment horizontal="right"/>
      <protection locked="0"/>
    </xf>
    <xf numFmtId="1" fontId="7" fillId="22" borderId="7" xfId="125" applyNumberFormat="1" applyFont="1" applyFill="1" applyBorder="1" applyAlignment="1" applyProtection="1">
      <alignment horizontal="right"/>
      <protection locked="0"/>
    </xf>
    <xf numFmtId="1" fontId="7" fillId="22" borderId="199" xfId="125" applyNumberFormat="1" applyFont="1" applyFill="1" applyBorder="1" applyAlignment="1" applyProtection="1">
      <alignment horizontal="right"/>
      <protection locked="0"/>
    </xf>
    <xf numFmtId="1" fontId="7" fillId="22" borderId="83" xfId="125" applyNumberFormat="1" applyFont="1" applyFill="1" applyBorder="1" applyAlignment="1" applyProtection="1">
      <alignment horizontal="right"/>
      <protection locked="0"/>
    </xf>
    <xf numFmtId="1" fontId="7" fillId="22" borderId="84" xfId="125" applyNumberFormat="1" applyFont="1" applyFill="1" applyBorder="1" applyAlignment="1" applyProtection="1">
      <alignment horizontal="right"/>
      <protection locked="0"/>
    </xf>
    <xf numFmtId="1" fontId="7" fillId="22" borderId="8" xfId="125" applyNumberFormat="1" applyFont="1" applyFill="1" applyBorder="1" applyAlignment="1" applyProtection="1">
      <alignment horizontal="right"/>
      <protection locked="0"/>
    </xf>
    <xf numFmtId="1" fontId="7" fillId="22" borderId="5" xfId="125" applyNumberFormat="1" applyFont="1" applyFill="1" applyBorder="1" applyAlignment="1" applyProtection="1">
      <alignment horizontal="right"/>
      <protection locked="0"/>
    </xf>
    <xf numFmtId="1" fontId="7" fillId="15" borderId="35" xfId="125" applyNumberFormat="1" applyFont="1" applyFill="1" applyBorder="1" applyAlignment="1" applyProtection="1">
      <alignment horizontal="right"/>
      <protection locked="0"/>
    </xf>
    <xf numFmtId="1" fontId="15" fillId="22" borderId="0" xfId="125" quotePrefix="1" applyNumberFormat="1" applyFont="1" applyFill="1" applyBorder="1" applyAlignment="1" applyProtection="1"/>
    <xf numFmtId="1" fontId="11" fillId="22" borderId="0" xfId="125" quotePrefix="1" applyNumberFormat="1" applyFont="1" applyFill="1" applyBorder="1" applyAlignment="1" applyProtection="1"/>
    <xf numFmtId="1" fontId="7" fillId="22" borderId="11" xfId="125" applyNumberFormat="1" applyFont="1" applyFill="1" applyBorder="1" applyAlignment="1" applyProtection="1">
      <alignment horizontal="right"/>
    </xf>
    <xf numFmtId="1" fontId="30" fillId="17" borderId="35" xfId="0" applyNumberFormat="1" applyFont="1" applyFill="1" applyBorder="1" applyAlignment="1" applyProtection="1">
      <alignment vertical="center" wrapText="1"/>
      <protection hidden="1"/>
    </xf>
    <xf numFmtId="1" fontId="7" fillId="15" borderId="86" xfId="0" applyNumberFormat="1" applyFont="1" applyFill="1" applyBorder="1" applyAlignment="1" applyProtection="1">
      <alignment horizontal="right"/>
      <protection locked="0"/>
    </xf>
    <xf numFmtId="1" fontId="7" fillId="15" borderId="95" xfId="0" applyNumberFormat="1" applyFont="1" applyFill="1" applyBorder="1" applyAlignment="1" applyProtection="1">
      <alignment horizontal="right"/>
      <protection locked="0"/>
    </xf>
    <xf numFmtId="1" fontId="7" fillId="0" borderId="213" xfId="0" applyNumberFormat="1" applyFont="1" applyFill="1" applyBorder="1" applyAlignment="1" applyProtection="1">
      <alignment horizontal="right"/>
    </xf>
    <xf numFmtId="1" fontId="7" fillId="15" borderId="214" xfId="0" applyNumberFormat="1" applyFont="1" applyFill="1" applyBorder="1" applyAlignment="1" applyProtection="1">
      <alignment horizontal="right"/>
      <protection locked="0"/>
    </xf>
    <xf numFmtId="1" fontId="7" fillId="15" borderId="215" xfId="0" applyNumberFormat="1" applyFont="1" applyFill="1" applyBorder="1" applyAlignment="1" applyProtection="1">
      <alignment horizontal="right"/>
      <protection locked="0"/>
    </xf>
    <xf numFmtId="1" fontId="7" fillId="15" borderId="99" xfId="0" applyNumberFormat="1" applyFont="1" applyFill="1" applyBorder="1" applyAlignment="1" applyProtection="1">
      <alignment horizontal="right"/>
      <protection locked="0"/>
    </xf>
    <xf numFmtId="1" fontId="7" fillId="0" borderId="216" xfId="0" applyNumberFormat="1" applyFont="1" applyFill="1" applyBorder="1" applyAlignment="1" applyProtection="1">
      <alignment horizontal="right"/>
    </xf>
    <xf numFmtId="1" fontId="7" fillId="20" borderId="94" xfId="126" applyNumberFormat="1" applyFont="1" applyFill="1" applyBorder="1" applyAlignment="1" applyProtection="1">
      <alignment horizontal="right"/>
      <protection locked="0"/>
    </xf>
    <xf numFmtId="1" fontId="7" fillId="20" borderId="95" xfId="126" applyNumberFormat="1" applyFont="1" applyFill="1" applyBorder="1" applyAlignment="1" applyProtection="1">
      <alignment horizontal="right"/>
      <protection locked="0"/>
    </xf>
    <xf numFmtId="1" fontId="7" fillId="20" borderId="70" xfId="126" applyNumberFormat="1" applyFont="1" applyFill="1" applyBorder="1" applyAlignment="1" applyProtection="1">
      <alignment horizontal="right"/>
      <protection locked="0"/>
    </xf>
    <xf numFmtId="1" fontId="7" fillId="20" borderId="89" xfId="126" applyNumberFormat="1" applyFont="1" applyFill="1" applyBorder="1" applyAlignment="1" applyProtection="1">
      <alignment horizontal="right"/>
      <protection locked="0"/>
    </xf>
    <xf numFmtId="1" fontId="7" fillId="20" borderId="24" xfId="126" applyNumberFormat="1" applyFont="1" applyFill="1" applyBorder="1" applyAlignment="1" applyProtection="1">
      <alignment horizontal="right"/>
      <protection locked="0"/>
    </xf>
    <xf numFmtId="1" fontId="7" fillId="20" borderId="85" xfId="126" applyNumberFormat="1" applyFont="1" applyFill="1" applyBorder="1" applyAlignment="1" applyProtection="1">
      <alignment horizontal="right"/>
      <protection locked="0"/>
    </xf>
    <xf numFmtId="1" fontId="7" fillId="20" borderId="86" xfId="126" applyNumberFormat="1" applyFont="1" applyFill="1" applyBorder="1" applyAlignment="1" applyProtection="1">
      <alignment horizontal="right"/>
      <protection locked="0"/>
    </xf>
    <xf numFmtId="1" fontId="7" fillId="20" borderId="71" xfId="126" applyNumberFormat="1" applyFont="1" applyFill="1" applyBorder="1" applyAlignment="1" applyProtection="1">
      <alignment horizontal="right"/>
      <protection locked="0"/>
    </xf>
    <xf numFmtId="1" fontId="7" fillId="20" borderId="72" xfId="126" applyNumberFormat="1" applyFont="1" applyFill="1" applyBorder="1" applyAlignment="1" applyProtection="1">
      <alignment horizontal="right"/>
      <protection locked="0"/>
    </xf>
    <xf numFmtId="1" fontId="7" fillId="20" borderId="36" xfId="126" applyNumberFormat="1" applyFont="1" applyFill="1" applyBorder="1" applyAlignment="1" applyProtection="1">
      <alignment horizontal="right"/>
      <protection locked="0"/>
    </xf>
    <xf numFmtId="1" fontId="30" fillId="0" borderId="194" xfId="0" applyNumberFormat="1" applyFont="1" applyFill="1" applyBorder="1" applyProtection="1"/>
    <xf numFmtId="1" fontId="31" fillId="0" borderId="194" xfId="0" applyNumberFormat="1" applyFont="1" applyFill="1" applyBorder="1" applyProtection="1"/>
    <xf numFmtId="1" fontId="7" fillId="0" borderId="198" xfId="0" applyNumberFormat="1" applyFont="1" applyFill="1" applyBorder="1" applyProtection="1"/>
    <xf numFmtId="1" fontId="7" fillId="0" borderId="163" xfId="0" applyNumberFormat="1" applyFont="1" applyFill="1" applyBorder="1" applyProtection="1"/>
    <xf numFmtId="1" fontId="7" fillId="20" borderId="90" xfId="126" applyNumberFormat="1" applyFont="1" applyFill="1" applyBorder="1" applyAlignment="1" applyProtection="1">
      <alignment horizontal="right"/>
      <protection locked="0"/>
    </xf>
    <xf numFmtId="1" fontId="7" fillId="20" borderId="37" xfId="126" applyNumberFormat="1" applyFont="1" applyFill="1" applyBorder="1" applyAlignment="1" applyProtection="1">
      <alignment horizontal="right"/>
      <protection locked="0"/>
    </xf>
    <xf numFmtId="1" fontId="30" fillId="0" borderId="125" xfId="126" applyNumberFormat="1" applyFont="1" applyFill="1" applyBorder="1" applyAlignment="1" applyProtection="1">
      <alignment horizontal="center" vertical="center"/>
      <protection hidden="1"/>
    </xf>
    <xf numFmtId="1" fontId="30" fillId="0" borderId="5" xfId="126" applyNumberFormat="1" applyFont="1" applyFill="1" applyBorder="1" applyAlignment="1" applyProtection="1">
      <alignment horizontal="center" vertical="center"/>
      <protection hidden="1"/>
    </xf>
    <xf numFmtId="1" fontId="30" fillId="0" borderId="96" xfId="126" applyNumberFormat="1" applyFont="1" applyFill="1" applyBorder="1" applyAlignment="1" applyProtection="1">
      <alignment horizontal="center" vertical="center"/>
      <protection hidden="1"/>
    </xf>
    <xf numFmtId="1" fontId="30" fillId="0" borderId="11" xfId="125" applyNumberFormat="1" applyFont="1" applyFill="1" applyBorder="1" applyAlignment="1" applyProtection="1">
      <alignment horizontal="center" vertical="center" wrapText="1"/>
    </xf>
    <xf numFmtId="1" fontId="30" fillId="17" borderId="69" xfId="123" applyNumberFormat="1" applyFont="1" applyFill="1" applyBorder="1" applyAlignment="1" applyProtection="1">
      <alignment horizontal="left" vertical="center" wrapText="1"/>
    </xf>
    <xf numFmtId="1" fontId="7" fillId="15" borderId="70" xfId="126" applyNumberFormat="1" applyFont="1" applyFill="1" applyBorder="1" applyAlignment="1" applyProtection="1">
      <alignment horizontal="right"/>
      <protection locked="0"/>
    </xf>
    <xf numFmtId="1" fontId="7" fillId="15" borderId="89" xfId="126" applyNumberFormat="1" applyFont="1" applyFill="1" applyBorder="1" applyAlignment="1" applyProtection="1">
      <alignment horizontal="right"/>
      <protection locked="0"/>
    </xf>
    <xf numFmtId="1" fontId="7" fillId="15" borderId="24" xfId="126" applyNumberFormat="1" applyFont="1" applyFill="1" applyBorder="1" applyAlignment="1" applyProtection="1">
      <alignment horizontal="right"/>
      <protection locked="0"/>
    </xf>
    <xf numFmtId="1" fontId="7" fillId="15" borderId="71" xfId="126" applyNumberFormat="1" applyFont="1" applyFill="1" applyBorder="1" applyAlignment="1" applyProtection="1">
      <alignment horizontal="right"/>
      <protection locked="0"/>
    </xf>
    <xf numFmtId="1" fontId="7" fillId="15" borderId="88" xfId="126" applyNumberFormat="1" applyFont="1" applyFill="1" applyBorder="1" applyAlignment="1" applyProtection="1">
      <alignment horizontal="right"/>
      <protection locked="0"/>
    </xf>
    <xf numFmtId="1" fontId="7" fillId="15" borderId="36" xfId="126" applyNumberFormat="1" applyFont="1" applyFill="1" applyBorder="1" applyAlignment="1" applyProtection="1">
      <alignment horizontal="right"/>
      <protection locked="0"/>
    </xf>
    <xf numFmtId="1" fontId="7" fillId="15" borderId="72" xfId="126" applyNumberFormat="1" applyFont="1" applyFill="1" applyBorder="1" applyAlignment="1" applyProtection="1">
      <alignment horizontal="right"/>
      <protection locked="0"/>
    </xf>
    <xf numFmtId="1" fontId="7" fillId="15" borderId="86" xfId="126" applyNumberFormat="1" applyFont="1" applyFill="1" applyBorder="1" applyAlignment="1" applyProtection="1">
      <alignment horizontal="right"/>
      <protection locked="0"/>
    </xf>
    <xf numFmtId="1" fontId="30" fillId="0" borderId="30" xfId="125" applyNumberFormat="1" applyFont="1" applyFill="1" applyBorder="1" applyAlignment="1" applyProtection="1">
      <alignment horizontal="center" vertical="center" wrapText="1"/>
    </xf>
    <xf numFmtId="1" fontId="30" fillId="0" borderId="35" xfId="125" applyNumberFormat="1" applyFont="1" applyFill="1" applyBorder="1" applyAlignment="1" applyProtection="1">
      <alignment horizontal="center" vertical="center" wrapText="1"/>
    </xf>
    <xf numFmtId="1" fontId="44" fillId="22" borderId="0" xfId="0" applyNumberFormat="1" applyFont="1" applyFill="1" applyAlignment="1">
      <alignment horizontal="left"/>
    </xf>
    <xf numFmtId="1" fontId="45" fillId="22" borderId="0" xfId="0" applyNumberFormat="1" applyFont="1" applyFill="1" applyAlignment="1">
      <alignment horizontal="left"/>
    </xf>
    <xf numFmtId="0" fontId="43" fillId="0" borderId="0" xfId="0" applyFont="1"/>
    <xf numFmtId="1" fontId="30" fillId="17" borderId="199" xfId="0" applyNumberFormat="1" applyFont="1" applyFill="1" applyBorder="1" applyAlignment="1">
      <alignment horizontal="center" vertical="center"/>
    </xf>
    <xf numFmtId="1" fontId="30" fillId="17" borderId="5" xfId="0" applyNumberFormat="1" applyFont="1" applyFill="1" applyBorder="1" applyAlignment="1">
      <alignment horizontal="center" vertical="center"/>
    </xf>
    <xf numFmtId="1" fontId="30" fillId="0" borderId="199" xfId="0" applyNumberFormat="1" applyFont="1" applyBorder="1" applyAlignment="1">
      <alignment horizontal="center" vertical="center"/>
    </xf>
    <xf numFmtId="1" fontId="30" fillId="0" borderId="5" xfId="0" applyNumberFormat="1" applyFont="1" applyBorder="1" applyAlignment="1">
      <alignment horizontal="center" vertical="center"/>
    </xf>
    <xf numFmtId="1" fontId="30" fillId="0" borderId="195" xfId="0" applyNumberFormat="1" applyFont="1" applyBorder="1" applyAlignment="1">
      <alignment horizontal="center" vertical="center"/>
    </xf>
    <xf numFmtId="0" fontId="43" fillId="0" borderId="30" xfId="0" applyFont="1" applyBorder="1" applyAlignment="1">
      <alignment horizontal="center" vertical="center" wrapText="1"/>
    </xf>
    <xf numFmtId="1" fontId="30" fillId="15" borderId="95" xfId="0" applyNumberFormat="1" applyFont="1" applyFill="1" applyBorder="1" applyAlignment="1" applyProtection="1">
      <alignment horizontal="right"/>
      <protection locked="0"/>
    </xf>
    <xf numFmtId="1" fontId="30" fillId="15" borderId="36" xfId="0" applyNumberFormat="1" applyFont="1" applyFill="1" applyBorder="1" applyAlignment="1" applyProtection="1">
      <alignment horizontal="right"/>
      <protection locked="0"/>
    </xf>
    <xf numFmtId="1" fontId="30" fillId="15" borderId="72" xfId="0" applyNumberFormat="1" applyFont="1" applyFill="1" applyBorder="1" applyAlignment="1" applyProtection="1">
      <alignment horizontal="right"/>
      <protection locked="0"/>
    </xf>
    <xf numFmtId="1" fontId="30" fillId="15" borderId="88" xfId="0" applyNumberFormat="1" applyFont="1" applyFill="1" applyBorder="1" applyAlignment="1" applyProtection="1">
      <alignment horizontal="right"/>
      <protection locked="0"/>
    </xf>
    <xf numFmtId="1" fontId="30" fillId="15" borderId="86" xfId="0" applyNumberFormat="1" applyFont="1" applyFill="1" applyBorder="1" applyAlignment="1" applyProtection="1">
      <alignment horizontal="right"/>
      <protection locked="0"/>
    </xf>
    <xf numFmtId="1" fontId="30" fillId="15" borderId="89" xfId="0" applyNumberFormat="1" applyFont="1" applyFill="1" applyBorder="1" applyAlignment="1" applyProtection="1">
      <alignment horizontal="right"/>
      <protection locked="0"/>
    </xf>
    <xf numFmtId="1" fontId="30" fillId="15" borderId="40" xfId="0" applyNumberFormat="1" applyFont="1" applyFill="1" applyBorder="1" applyAlignment="1" applyProtection="1">
      <alignment horizontal="right"/>
      <protection locked="0"/>
    </xf>
    <xf numFmtId="1" fontId="30" fillId="15" borderId="93" xfId="0" applyNumberFormat="1" applyFont="1" applyFill="1" applyBorder="1" applyAlignment="1" applyProtection="1">
      <alignment horizontal="right"/>
      <protection locked="0"/>
    </xf>
    <xf numFmtId="1" fontId="30" fillId="15" borderId="108" xfId="0" applyNumberFormat="1" applyFont="1" applyFill="1" applyBorder="1" applyAlignment="1" applyProtection="1">
      <alignment horizontal="right"/>
      <protection locked="0"/>
    </xf>
    <xf numFmtId="1" fontId="30" fillId="20" borderId="24" xfId="0" applyNumberFormat="1" applyFont="1" applyFill="1" applyBorder="1" applyAlignment="1" applyProtection="1">
      <alignment horizontal="right"/>
      <protection locked="0"/>
    </xf>
    <xf numFmtId="1" fontId="30" fillId="20" borderId="95" xfId="0" applyNumberFormat="1" applyFont="1" applyFill="1" applyBorder="1" applyAlignment="1" applyProtection="1">
      <alignment horizontal="right"/>
      <protection locked="0"/>
    </xf>
    <xf numFmtId="1" fontId="30" fillId="20" borderId="36" xfId="0" applyNumberFormat="1" applyFont="1" applyFill="1" applyBorder="1" applyAlignment="1" applyProtection="1">
      <alignment horizontal="right"/>
      <protection locked="0"/>
    </xf>
    <xf numFmtId="1" fontId="30" fillId="20" borderId="72" xfId="0" applyNumberFormat="1" applyFont="1" applyFill="1" applyBorder="1" applyAlignment="1" applyProtection="1">
      <alignment horizontal="right"/>
      <protection locked="0"/>
    </xf>
    <xf numFmtId="1" fontId="30" fillId="20" borderId="88" xfId="0" applyNumberFormat="1" applyFont="1" applyFill="1" applyBorder="1" applyAlignment="1" applyProtection="1">
      <alignment horizontal="right"/>
      <protection locked="0"/>
    </xf>
    <xf numFmtId="1" fontId="30" fillId="20" borderId="86" xfId="0" applyNumberFormat="1" applyFont="1" applyFill="1" applyBorder="1" applyAlignment="1" applyProtection="1">
      <alignment horizontal="right"/>
      <protection locked="0"/>
    </xf>
    <xf numFmtId="1" fontId="30" fillId="22" borderId="27" xfId="0" applyNumberFormat="1" applyFont="1" applyFill="1" applyBorder="1" applyAlignment="1" applyProtection="1">
      <alignment horizontal="center" vertical="center"/>
      <protection locked="0"/>
    </xf>
    <xf numFmtId="1" fontId="30" fillId="22" borderId="39" xfId="0" applyNumberFormat="1" applyFont="1" applyFill="1" applyBorder="1" applyAlignment="1" applyProtection="1">
      <alignment horizontal="center" vertical="center"/>
      <protection locked="0"/>
    </xf>
    <xf numFmtId="1" fontId="30" fillId="22" borderId="29" xfId="0" applyNumberFormat="1" applyFont="1" applyFill="1" applyBorder="1" applyAlignment="1" applyProtection="1">
      <alignment horizontal="center" vertical="center"/>
      <protection locked="0"/>
    </xf>
    <xf numFmtId="1" fontId="30" fillId="22" borderId="34" xfId="0" applyNumberFormat="1" applyFont="1" applyFill="1" applyBorder="1" applyAlignment="1" applyProtection="1">
      <alignment horizontal="center" vertical="center"/>
      <protection locked="0"/>
    </xf>
    <xf numFmtId="1" fontId="30" fillId="17" borderId="70" xfId="0" applyNumberFormat="1" applyFont="1" applyFill="1" applyBorder="1" applyAlignment="1">
      <alignment horizontal="center" vertical="center" wrapText="1"/>
    </xf>
    <xf numFmtId="1" fontId="30" fillId="17" borderId="71" xfId="0" applyNumberFormat="1" applyFont="1" applyFill="1" applyBorder="1" applyAlignment="1">
      <alignment horizontal="center" vertical="center" wrapText="1"/>
    </xf>
    <xf numFmtId="1" fontId="30" fillId="17" borderId="85" xfId="0" applyNumberFormat="1" applyFont="1" applyFill="1" applyBorder="1" applyAlignment="1">
      <alignment horizontal="center" vertical="center" wrapText="1"/>
    </xf>
    <xf numFmtId="1" fontId="30" fillId="17" borderId="94" xfId="0" applyNumberFormat="1" applyFont="1" applyFill="1" applyBorder="1" applyAlignment="1">
      <alignment horizontal="center" vertical="center" wrapText="1"/>
    </xf>
    <xf numFmtId="1" fontId="30" fillId="17" borderId="7" xfId="0" applyNumberFormat="1" applyFont="1" applyFill="1" applyBorder="1" applyAlignment="1">
      <alignment horizontal="center" vertical="center"/>
    </xf>
    <xf numFmtId="1" fontId="30" fillId="22" borderId="25" xfId="0" applyNumberFormat="1" applyFont="1" applyFill="1" applyBorder="1" applyAlignment="1" applyProtection="1">
      <alignment horizontal="center" vertical="center"/>
      <protection locked="0"/>
    </xf>
    <xf numFmtId="1" fontId="30" fillId="22" borderId="21" xfId="0" applyNumberFormat="1" applyFont="1" applyFill="1" applyBorder="1" applyAlignment="1" applyProtection="1">
      <alignment horizontal="center" vertical="center"/>
      <protection locked="0"/>
    </xf>
    <xf numFmtId="1" fontId="30" fillId="22" borderId="130" xfId="0" applyNumberFormat="1" applyFont="1" applyFill="1" applyBorder="1" applyAlignment="1" applyProtection="1">
      <alignment horizontal="center" vertical="center"/>
      <protection locked="0"/>
    </xf>
    <xf numFmtId="1" fontId="30" fillId="22" borderId="32" xfId="0" applyNumberFormat="1" applyFont="1" applyFill="1" applyBorder="1" applyAlignment="1" applyProtection="1">
      <alignment horizontal="center" vertical="center"/>
      <protection locked="0"/>
    </xf>
    <xf numFmtId="1" fontId="46" fillId="17" borderId="35" xfId="0" applyNumberFormat="1" applyFont="1" applyFill="1" applyBorder="1" applyAlignment="1">
      <alignment horizontal="center" vertical="center" wrapText="1"/>
    </xf>
    <xf numFmtId="1" fontId="46" fillId="17" borderId="11" xfId="0" applyNumberFormat="1" applyFont="1" applyFill="1" applyBorder="1" applyAlignment="1">
      <alignment horizontal="center" vertical="center" wrapText="1"/>
    </xf>
    <xf numFmtId="1" fontId="30" fillId="0" borderId="70" xfId="125" applyNumberFormat="1" applyFont="1" applyFill="1" applyBorder="1" applyAlignment="1" applyProtection="1">
      <alignment horizontal="right" vertical="center"/>
    </xf>
    <xf numFmtId="1" fontId="30" fillId="0" borderId="71" xfId="125" applyNumberFormat="1" applyFont="1" applyFill="1" applyBorder="1" applyAlignment="1" applyProtection="1">
      <alignment horizontal="right" vertical="center"/>
    </xf>
    <xf numFmtId="1" fontId="30" fillId="0" borderId="109" xfId="125" applyNumberFormat="1" applyFont="1" applyFill="1" applyBorder="1" applyAlignment="1" applyProtection="1">
      <alignment horizontal="right" vertical="center"/>
    </xf>
    <xf numFmtId="1" fontId="30" fillId="0" borderId="88" xfId="125" applyNumberFormat="1" applyFont="1" applyFill="1" applyBorder="1" applyAlignment="1" applyProtection="1">
      <alignment horizontal="center" vertical="center" wrapText="1"/>
    </xf>
    <xf numFmtId="1" fontId="30" fillId="0" borderId="24" xfId="125" applyNumberFormat="1" applyFont="1" applyFill="1" applyBorder="1" applyAlignment="1" applyProtection="1">
      <alignment horizontal="right" vertical="center"/>
    </xf>
    <xf numFmtId="1" fontId="30" fillId="0" borderId="36" xfId="125" applyNumberFormat="1" applyFont="1" applyFill="1" applyBorder="1" applyAlignment="1" applyProtection="1">
      <alignment horizontal="right" vertical="center"/>
    </xf>
    <xf numFmtId="1" fontId="30" fillId="0" borderId="107" xfId="125" applyNumberFormat="1" applyFont="1" applyFill="1" applyBorder="1" applyAlignment="1" applyProtection="1">
      <alignment horizontal="right" vertical="center"/>
    </xf>
    <xf numFmtId="1" fontId="30" fillId="0" borderId="199" xfId="0" applyNumberFormat="1" applyFont="1" applyBorder="1" applyAlignment="1" applyProtection="1"/>
    <xf numFmtId="0" fontId="48" fillId="0" borderId="0" xfId="140" applyNumberFormat="1" applyFont="1" applyFill="1" applyBorder="1" applyAlignment="1" applyProtection="1">
      <alignment horizontal="center"/>
    </xf>
    <xf numFmtId="1" fontId="7" fillId="23" borderId="0" xfId="0" applyNumberFormat="1" applyFont="1" applyFill="1" applyProtection="1"/>
    <xf numFmtId="0" fontId="48" fillId="0" borderId="100" xfId="140" applyNumberFormat="1" applyFont="1" applyFill="1" applyBorder="1" applyAlignment="1" applyProtection="1">
      <alignment horizontal="center"/>
    </xf>
    <xf numFmtId="1" fontId="13" fillId="23" borderId="0" xfId="0" applyNumberFormat="1" applyFont="1" applyFill="1"/>
    <xf numFmtId="1" fontId="13" fillId="0" borderId="0" xfId="0" applyNumberFormat="1" applyFont="1"/>
    <xf numFmtId="0" fontId="13" fillId="23" borderId="0" xfId="0" applyFont="1" applyFill="1"/>
    <xf numFmtId="1" fontId="13" fillId="23" borderId="0" xfId="0" applyNumberFormat="1" applyFont="1" applyFill="1" applyProtection="1">
      <protection hidden="1"/>
    </xf>
    <xf numFmtId="0" fontId="49" fillId="0" borderId="100" xfId="140" applyNumberFormat="1" applyFont="1" applyFill="1" applyBorder="1" applyAlignment="1" applyProtection="1">
      <alignment horizontal="center"/>
    </xf>
    <xf numFmtId="0" fontId="49" fillId="23" borderId="100" xfId="140" applyNumberFormat="1" applyFont="1" applyFill="1" applyBorder="1" applyAlignment="1" applyProtection="1">
      <alignment horizontal="center"/>
    </xf>
    <xf numFmtId="0" fontId="49" fillId="0" borderId="0" xfId="140" applyNumberFormat="1" applyFont="1" applyFill="1" applyBorder="1" applyAlignment="1" applyProtection="1">
      <alignment horizontal="center"/>
    </xf>
    <xf numFmtId="0" fontId="49" fillId="23" borderId="0" xfId="140" applyNumberFormat="1" applyFont="1" applyFill="1" applyBorder="1" applyAlignment="1" applyProtection="1">
      <alignment horizontal="center"/>
    </xf>
    <xf numFmtId="0" fontId="50" fillId="0" borderId="0" xfId="0" applyFont="1" applyFill="1"/>
    <xf numFmtId="0" fontId="50" fillId="23" borderId="0" xfId="0" applyFont="1" applyFill="1"/>
    <xf numFmtId="1" fontId="50" fillId="23" borderId="0" xfId="0" applyNumberFormat="1" applyFont="1" applyFill="1" applyProtection="1"/>
    <xf numFmtId="0" fontId="50" fillId="23" borderId="0" xfId="0" applyFont="1" applyFill="1" applyBorder="1"/>
    <xf numFmtId="1" fontId="7" fillId="0" borderId="35" xfId="125" applyNumberFormat="1" applyFont="1" applyFill="1" applyBorder="1" applyAlignment="1" applyProtection="1"/>
    <xf numFmtId="1" fontId="7" fillId="0" borderId="78" xfId="125" applyNumberFormat="1" applyFont="1" applyFill="1" applyBorder="1" applyAlignment="1" applyProtection="1"/>
    <xf numFmtId="1" fontId="7" fillId="0" borderId="11" xfId="125" applyNumberFormat="1" applyFont="1" applyFill="1" applyBorder="1" applyAlignment="1" applyProtection="1"/>
    <xf numFmtId="1" fontId="7" fillId="0" borderId="79" xfId="125" applyNumberFormat="1" applyFont="1" applyFill="1" applyBorder="1" applyAlignment="1" applyProtection="1"/>
    <xf numFmtId="0" fontId="50" fillId="0" borderId="0" xfId="0" applyFont="1" applyBorder="1"/>
    <xf numFmtId="0" fontId="50" fillId="0" borderId="0" xfId="0" applyFont="1"/>
    <xf numFmtId="0" fontId="51" fillId="22" borderId="0" xfId="0" applyFont="1" applyFill="1" applyAlignment="1">
      <alignment horizontal="center"/>
    </xf>
    <xf numFmtId="0" fontId="51" fillId="23" borderId="0" xfId="0" applyFont="1" applyFill="1"/>
    <xf numFmtId="1" fontId="52" fillId="23" borderId="0" xfId="0" applyNumberFormat="1" applyFont="1" applyFill="1" applyProtection="1"/>
    <xf numFmtId="1" fontId="52" fillId="22" borderId="0" xfId="0" applyNumberFormat="1" applyFont="1" applyFill="1" applyProtection="1"/>
    <xf numFmtId="1" fontId="50" fillId="23" borderId="0" xfId="130" applyNumberFormat="1" applyFont="1" applyFill="1" applyAlignment="1" applyProtection="1">
      <protection hidden="1"/>
    </xf>
    <xf numFmtId="1" fontId="50" fillId="0" borderId="0" xfId="130" applyNumberFormat="1" applyFont="1" applyFill="1" applyAlignment="1" applyProtection="1">
      <protection hidden="1"/>
    </xf>
    <xf numFmtId="1" fontId="50" fillId="0" borderId="0" xfId="130" applyNumberFormat="1" applyFont="1" applyFill="1" applyBorder="1" applyAlignment="1" applyProtection="1">
      <protection hidden="1"/>
    </xf>
    <xf numFmtId="0" fontId="53" fillId="0" borderId="100" xfId="140" applyNumberFormat="1" applyFont="1" applyFill="1" applyBorder="1" applyAlignment="1" applyProtection="1">
      <alignment horizontal="center"/>
    </xf>
    <xf numFmtId="1" fontId="31" fillId="0" borderId="100" xfId="0" applyNumberFormat="1" applyFont="1" applyBorder="1" applyProtection="1"/>
    <xf numFmtId="1" fontId="31" fillId="23" borderId="0" xfId="0" applyNumberFormat="1" applyFont="1" applyFill="1" applyProtection="1"/>
    <xf numFmtId="0" fontId="49" fillId="0" borderId="100" xfId="140" applyNumberFormat="1" applyFont="1" applyFill="1" applyBorder="1" applyAlignment="1" applyProtection="1">
      <alignment horizontal="center" vertical="center"/>
    </xf>
    <xf numFmtId="0" fontId="44" fillId="0" borderId="100" xfId="140" applyNumberFormat="1" applyFont="1" applyFill="1" applyBorder="1" applyAlignment="1" applyProtection="1">
      <alignment horizontal="center" vertical="center"/>
    </xf>
    <xf numFmtId="0" fontId="44" fillId="0" borderId="0" xfId="140" applyNumberFormat="1" applyFont="1" applyFill="1" applyBorder="1" applyAlignment="1" applyProtection="1">
      <alignment horizontal="center" vertical="center"/>
    </xf>
    <xf numFmtId="1" fontId="7" fillId="0" borderId="100" xfId="0" applyNumberFormat="1" applyFont="1" applyBorder="1" applyProtection="1"/>
    <xf numFmtId="0" fontId="49" fillId="0" borderId="79" xfId="140" applyNumberFormat="1" applyFont="1" applyFill="1" applyBorder="1" applyAlignment="1" applyProtection="1">
      <alignment horizontal="center"/>
    </xf>
    <xf numFmtId="1" fontId="50" fillId="0" borderId="0" xfId="126" applyNumberFormat="1" applyFont="1" applyFill="1" applyBorder="1" applyAlignment="1" applyProtection="1">
      <protection hidden="1"/>
    </xf>
    <xf numFmtId="1" fontId="50" fillId="0" borderId="100" xfId="126" applyNumberFormat="1" applyFont="1" applyFill="1" applyBorder="1" applyAlignment="1" applyProtection="1">
      <protection hidden="1"/>
    </xf>
    <xf numFmtId="1" fontId="50" fillId="0" borderId="100" xfId="0" applyNumberFormat="1" applyFont="1" applyFill="1" applyBorder="1" applyAlignment="1" applyProtection="1">
      <protection hidden="1"/>
    </xf>
    <xf numFmtId="1" fontId="7" fillId="27" borderId="195" xfId="0" applyNumberFormat="1" applyFont="1" applyFill="1" applyBorder="1" applyProtection="1"/>
    <xf numFmtId="1" fontId="13" fillId="0" borderId="0" xfId="0" applyNumberFormat="1" applyFont="1" applyProtection="1"/>
    <xf numFmtId="0" fontId="53" fillId="0" borderId="0" xfId="140" applyNumberFormat="1" applyFont="1" applyFill="1" applyBorder="1" applyAlignment="1" applyProtection="1">
      <alignment horizontal="center"/>
    </xf>
    <xf numFmtId="1" fontId="7" fillId="21" borderId="195" xfId="0" applyNumberFormat="1" applyFont="1" applyFill="1" applyBorder="1" applyProtection="1"/>
    <xf numFmtId="0" fontId="13" fillId="0" borderId="0" xfId="0" applyFont="1"/>
    <xf numFmtId="1" fontId="31" fillId="20" borderId="70" xfId="125" applyNumberFormat="1" applyFont="1" applyFill="1" applyBorder="1" applyAlignment="1" applyProtection="1">
      <alignment horizontal="right"/>
    </xf>
    <xf numFmtId="1" fontId="31" fillId="20" borderId="89" xfId="125" applyNumberFormat="1" applyFont="1" applyFill="1" applyBorder="1" applyAlignment="1" applyProtection="1">
      <alignment horizontal="right"/>
    </xf>
    <xf numFmtId="1" fontId="31" fillId="20" borderId="109" xfId="125" applyNumberFormat="1" applyFont="1" applyFill="1" applyBorder="1" applyAlignment="1" applyProtection="1">
      <alignment horizontal="right"/>
    </xf>
    <xf numFmtId="1" fontId="31" fillId="20" borderId="108" xfId="125" applyNumberFormat="1" applyFont="1" applyFill="1" applyBorder="1" applyAlignment="1" applyProtection="1">
      <alignment horizontal="right"/>
    </xf>
    <xf numFmtId="1" fontId="31" fillId="20" borderId="7" xfId="125" applyNumberFormat="1" applyFont="1" applyFill="1" applyBorder="1" applyAlignment="1" applyProtection="1">
      <alignment horizontal="right"/>
    </xf>
    <xf numFmtId="1" fontId="31" fillId="20" borderId="5" xfId="125" applyNumberFormat="1" applyFont="1" applyFill="1" applyBorder="1" applyAlignment="1" applyProtection="1">
      <alignment horizontal="right"/>
    </xf>
    <xf numFmtId="1" fontId="31" fillId="20" borderId="71" xfId="125" applyNumberFormat="1" applyFont="1" applyFill="1" applyBorder="1" applyAlignment="1" applyProtection="1">
      <alignment horizontal="right"/>
    </xf>
    <xf numFmtId="1" fontId="31" fillId="20" borderId="72" xfId="125" applyNumberFormat="1" applyFont="1" applyFill="1" applyBorder="1" applyAlignment="1" applyProtection="1">
      <alignment horizontal="right"/>
    </xf>
    <xf numFmtId="1" fontId="31" fillId="20" borderId="24" xfId="126" applyNumberFormat="1" applyFont="1" applyFill="1" applyBorder="1" applyAlignment="1" applyProtection="1">
      <alignment horizontal="right"/>
    </xf>
    <xf numFmtId="1" fontId="31" fillId="20" borderId="57" xfId="126" applyNumberFormat="1" applyFont="1" applyFill="1" applyBorder="1" applyAlignment="1" applyProtection="1">
      <alignment horizontal="right"/>
    </xf>
    <xf numFmtId="1" fontId="31" fillId="20" borderId="109" xfId="126" applyNumberFormat="1" applyFont="1" applyFill="1" applyBorder="1" applyAlignment="1" applyProtection="1">
      <alignment horizontal="right"/>
    </xf>
    <xf numFmtId="1" fontId="31" fillId="20" borderId="107" xfId="126" applyNumberFormat="1" applyFont="1" applyFill="1" applyBorder="1" applyAlignment="1" applyProtection="1">
      <alignment horizontal="right"/>
    </xf>
    <xf numFmtId="1" fontId="31" fillId="20" borderId="127" xfId="126" applyNumberFormat="1" applyFont="1" applyFill="1" applyBorder="1" applyAlignment="1" applyProtection="1">
      <alignment horizontal="right"/>
    </xf>
    <xf numFmtId="1" fontId="31" fillId="20" borderId="108" xfId="126" applyNumberFormat="1" applyFont="1" applyFill="1" applyBorder="1" applyAlignment="1" applyProtection="1">
      <alignment horizontal="right"/>
    </xf>
    <xf numFmtId="1" fontId="31" fillId="20" borderId="71" xfId="126" applyNumberFormat="1" applyFont="1" applyFill="1" applyBorder="1" applyAlignment="1" applyProtection="1">
      <alignment horizontal="right"/>
    </xf>
    <xf numFmtId="1" fontId="31" fillId="20" borderId="36" xfId="126" applyNumberFormat="1" applyFont="1" applyFill="1" applyBorder="1" applyAlignment="1" applyProtection="1">
      <alignment horizontal="right"/>
    </xf>
    <xf numFmtId="1" fontId="31" fillId="20" borderId="39" xfId="126" applyNumberFormat="1" applyFont="1" applyFill="1" applyBorder="1" applyAlignment="1" applyProtection="1">
      <alignment horizontal="right"/>
    </xf>
    <xf numFmtId="1" fontId="31" fillId="20" borderId="72" xfId="126" applyNumberFormat="1" applyFont="1" applyFill="1" applyBorder="1" applyAlignment="1" applyProtection="1">
      <alignment horizontal="right"/>
    </xf>
    <xf numFmtId="1" fontId="31" fillId="20" borderId="95" xfId="126" applyNumberFormat="1" applyFont="1" applyFill="1" applyBorder="1" applyAlignment="1" applyProtection="1">
      <alignment horizontal="right"/>
    </xf>
    <xf numFmtId="1" fontId="31" fillId="20" borderId="56" xfId="125" applyNumberFormat="1" applyFont="1" applyFill="1" applyBorder="1" applyAlignment="1" applyProtection="1">
      <alignment horizontal="right"/>
    </xf>
    <xf numFmtId="1" fontId="7" fillId="0" borderId="85" xfId="125" applyNumberFormat="1" applyFont="1" applyFill="1" applyBorder="1" applyAlignment="1" applyProtection="1">
      <alignment horizontal="center" vertical="center" wrapText="1"/>
    </xf>
    <xf numFmtId="1" fontId="7" fillId="15" borderId="57" xfId="125" applyNumberFormat="1" applyFont="1" applyFill="1" applyBorder="1" applyAlignment="1" applyProtection="1">
      <alignment horizontal="right"/>
      <protection locked="0"/>
    </xf>
    <xf numFmtId="1" fontId="7" fillId="15" borderId="60" xfId="125" applyNumberFormat="1" applyFont="1" applyFill="1" applyBorder="1" applyAlignment="1" applyProtection="1">
      <alignment horizontal="right"/>
      <protection locked="0"/>
    </xf>
    <xf numFmtId="1" fontId="7" fillId="15" borderId="142" xfId="125" applyNumberFormat="1" applyFont="1" applyFill="1" applyBorder="1" applyAlignment="1" applyProtection="1">
      <alignment horizontal="right"/>
      <protection locked="0"/>
    </xf>
    <xf numFmtId="1" fontId="7" fillId="0" borderId="198" xfId="125" applyNumberFormat="1" applyFont="1" applyFill="1" applyBorder="1" applyAlignment="1" applyProtection="1">
      <alignment horizontal="right"/>
    </xf>
    <xf numFmtId="1" fontId="7" fillId="0" borderId="195" xfId="125" applyNumberFormat="1" applyFont="1" applyFill="1" applyBorder="1" applyAlignment="1" applyProtection="1">
      <alignment horizontal="right"/>
    </xf>
    <xf numFmtId="0" fontId="14" fillId="14" borderId="139" xfId="124" applyNumberFormat="1" applyFont="1" applyFill="1" applyBorder="1" applyAlignment="1" applyProtection="1">
      <alignment horizontal="center" vertical="center" wrapText="1"/>
    </xf>
    <xf numFmtId="0" fontId="9" fillId="0" borderId="79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3" fillId="19" borderId="10" xfId="124" applyNumberFormat="1" applyFont="1" applyFill="1" applyBorder="1" applyAlignment="1" applyProtection="1">
      <alignment horizontal="center" vertical="center" wrapText="1"/>
    </xf>
    <xf numFmtId="0" fontId="4" fillId="0" borderId="67" xfId="0" applyFont="1" applyBorder="1" applyAlignment="1">
      <alignment horizontal="center" vertical="center" wrapText="1"/>
    </xf>
    <xf numFmtId="0" fontId="5" fillId="19" borderId="1" xfId="124" applyNumberFormat="1" applyFont="1" applyFill="1" applyBorder="1" applyAlignment="1" applyProtection="1">
      <alignment horizontal="center" vertical="center" wrapText="1"/>
    </xf>
    <xf numFmtId="0" fontId="12" fillId="14" borderId="10" xfId="124" applyNumberFormat="1" applyFont="1" applyFill="1" applyBorder="1" applyAlignment="1" applyProtection="1">
      <alignment horizontal="center" vertical="center"/>
    </xf>
    <xf numFmtId="0" fontId="12" fillId="14" borderId="67" xfId="124" applyNumberFormat="1" applyFont="1" applyFill="1" applyBorder="1" applyAlignment="1" applyProtection="1">
      <alignment horizontal="center" vertical="center"/>
    </xf>
    <xf numFmtId="0" fontId="8" fillId="19" borderId="10" xfId="124" applyNumberFormat="1" applyFont="1" applyFill="1" applyBorder="1" applyAlignment="1" applyProtection="1">
      <alignment horizontal="center" vertical="center"/>
    </xf>
    <xf numFmtId="0" fontId="8" fillId="19" borderId="67" xfId="124" applyNumberFormat="1" applyFont="1" applyFill="1" applyBorder="1" applyAlignment="1" applyProtection="1">
      <alignment horizontal="center" vertical="center"/>
    </xf>
    <xf numFmtId="1" fontId="7" fillId="0" borderId="139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1" xfId="0" applyNumberFormat="1" applyFont="1" applyFill="1" applyBorder="1" applyAlignment="1" applyProtection="1">
      <alignment horizontal="center" vertical="center" wrapText="1"/>
      <protection hidden="1"/>
    </xf>
    <xf numFmtId="0" fontId="7" fillId="0" borderId="189" xfId="0" applyFont="1" applyBorder="1" applyAlignment="1">
      <alignment horizontal="center" wrapText="1"/>
    </xf>
    <xf numFmtId="0" fontId="7" fillId="0" borderId="139" xfId="0" applyFont="1" applyBorder="1" applyAlignment="1">
      <alignment horizontal="center" vertical="center" wrapText="1"/>
    </xf>
    <xf numFmtId="0" fontId="7" fillId="0" borderId="79" xfId="0" applyFont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1" fontId="31" fillId="0" borderId="80" xfId="0" applyNumberFormat="1" applyFont="1" applyFill="1" applyBorder="1" applyAlignment="1" applyProtection="1">
      <alignment horizontal="left" vertical="center" wrapText="1"/>
      <protection hidden="1"/>
    </xf>
    <xf numFmtId="1" fontId="31" fillId="0" borderId="127" xfId="0" applyNumberFormat="1" applyFont="1" applyFill="1" applyBorder="1" applyAlignment="1" applyProtection="1">
      <alignment horizontal="left" vertical="center" wrapText="1"/>
      <protection hidden="1"/>
    </xf>
    <xf numFmtId="1" fontId="7" fillId="0" borderId="213" xfId="0" applyNumberFormat="1" applyFont="1" applyBorder="1" applyAlignment="1" applyProtection="1">
      <alignment horizontal="center" vertical="center" wrapText="1"/>
    </xf>
    <xf numFmtId="1" fontId="7" fillId="0" borderId="86" xfId="0" applyNumberFormat="1" applyFont="1" applyBorder="1" applyAlignment="1" applyProtection="1">
      <alignment horizontal="center" vertical="center" wrapText="1"/>
    </xf>
    <xf numFmtId="1" fontId="7" fillId="0" borderId="30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35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45" xfId="0" applyNumberFormat="1" applyFont="1" applyFill="1" applyBorder="1" applyAlignment="1" applyProtection="1">
      <alignment horizontal="center" vertical="center" wrapText="1"/>
      <protection hidden="1"/>
    </xf>
    <xf numFmtId="1" fontId="31" fillId="0" borderId="30" xfId="0" applyNumberFormat="1" applyFont="1" applyFill="1" applyBorder="1" applyAlignment="1" applyProtection="1">
      <alignment horizontal="center" vertical="center" wrapText="1"/>
      <protection hidden="1"/>
    </xf>
    <xf numFmtId="1" fontId="31" fillId="0" borderId="69" xfId="0" applyNumberFormat="1" applyFont="1" applyBorder="1" applyAlignment="1" applyProtection="1">
      <alignment horizontal="center" vertical="center" wrapText="1"/>
      <protection hidden="1"/>
    </xf>
    <xf numFmtId="1" fontId="7" fillId="0" borderId="164" xfId="0" quotePrefix="1" applyNumberFormat="1" applyFont="1" applyFill="1" applyBorder="1" applyAlignment="1" applyProtection="1">
      <alignment horizontal="center" vertical="center"/>
      <protection hidden="1"/>
    </xf>
    <xf numFmtId="1" fontId="7" fillId="0" borderId="165" xfId="0" quotePrefix="1" applyNumberFormat="1" applyFont="1" applyFill="1" applyBorder="1" applyAlignment="1" applyProtection="1">
      <alignment horizontal="center" vertical="center"/>
      <protection hidden="1"/>
    </xf>
    <xf numFmtId="1" fontId="31" fillId="0" borderId="166" xfId="0" applyNumberFormat="1" applyFont="1" applyFill="1" applyBorder="1" applyAlignment="1" applyProtection="1">
      <alignment horizontal="left" vertical="center"/>
    </xf>
    <xf numFmtId="1" fontId="31" fillId="0" borderId="54" xfId="0" applyNumberFormat="1" applyFont="1" applyFill="1" applyBorder="1" applyAlignment="1" applyProtection="1">
      <alignment horizontal="left" vertical="center"/>
    </xf>
    <xf numFmtId="1" fontId="30" fillId="0" borderId="217" xfId="0" applyNumberFormat="1" applyFont="1" applyBorder="1" applyAlignment="1" applyProtection="1">
      <alignment horizontal="left" vertical="center" wrapText="1"/>
      <protection hidden="1"/>
    </xf>
    <xf numFmtId="1" fontId="30" fillId="0" borderId="218" xfId="0" applyNumberFormat="1" applyFont="1" applyBorder="1" applyAlignment="1" applyProtection="1">
      <alignment horizontal="left" vertical="center" wrapText="1"/>
      <protection hidden="1"/>
    </xf>
    <xf numFmtId="1" fontId="7" fillId="0" borderId="167" xfId="0" applyNumberFormat="1" applyFont="1" applyBorder="1" applyAlignment="1" applyProtection="1">
      <alignment horizontal="left" vertical="center" wrapText="1"/>
      <protection hidden="1"/>
    </xf>
    <xf numFmtId="1" fontId="7" fillId="0" borderId="51" xfId="0" applyNumberFormat="1" applyFont="1" applyBorder="1" applyAlignment="1" applyProtection="1">
      <alignment horizontal="left" vertical="center" wrapText="1"/>
      <protection hidden="1"/>
    </xf>
    <xf numFmtId="1" fontId="31" fillId="0" borderId="75" xfId="0" applyNumberFormat="1" applyFont="1" applyFill="1" applyBorder="1" applyAlignment="1" applyProtection="1">
      <alignment horizontal="center" vertical="center" wrapText="1"/>
      <protection hidden="1"/>
    </xf>
    <xf numFmtId="1" fontId="31" fillId="0" borderId="200" xfId="0" applyNumberFormat="1" applyFont="1" applyBorder="1" applyAlignment="1" applyProtection="1">
      <alignment horizontal="center" vertical="center" wrapText="1"/>
    </xf>
    <xf numFmtId="1" fontId="31" fillId="0" borderId="88" xfId="0" applyNumberFormat="1" applyFont="1" applyBorder="1" applyAlignment="1" applyProtection="1">
      <alignment horizontal="center" vertical="center" wrapText="1"/>
    </xf>
    <xf numFmtId="1" fontId="7" fillId="0" borderId="140" xfId="0" applyNumberFormat="1" applyFont="1" applyFill="1" applyBorder="1" applyAlignment="1" applyProtection="1">
      <alignment horizontal="center" vertical="center"/>
      <protection hidden="1"/>
    </xf>
    <xf numFmtId="1" fontId="7" fillId="0" borderId="97" xfId="0" applyNumberFormat="1" applyFont="1" applyFill="1" applyBorder="1" applyAlignment="1" applyProtection="1">
      <alignment horizontal="center" vertical="center"/>
      <protection hidden="1"/>
    </xf>
    <xf numFmtId="1" fontId="7" fillId="0" borderId="203" xfId="0" applyNumberFormat="1" applyFont="1" applyBorder="1" applyAlignment="1" applyProtection="1">
      <alignment horizontal="center" vertical="center" wrapText="1"/>
    </xf>
    <xf numFmtId="1" fontId="7" fillId="0" borderId="87" xfId="0" applyNumberFormat="1" applyFont="1" applyBorder="1" applyAlignment="1" applyProtection="1">
      <alignment horizontal="center" vertical="center" wrapText="1"/>
    </xf>
    <xf numFmtId="1" fontId="7" fillId="0" borderId="1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0" applyNumberFormat="1" applyFont="1" applyBorder="1" applyAlignment="1" applyProtection="1">
      <alignment horizontal="center" vertical="center" wrapText="1"/>
      <protection hidden="1"/>
    </xf>
    <xf numFmtId="1" fontId="7" fillId="0" borderId="64" xfId="0" applyNumberFormat="1" applyFont="1" applyFill="1" applyBorder="1" applyAlignment="1" applyProtection="1">
      <alignment horizontal="center" vertical="center" wrapText="1"/>
      <protection hidden="1"/>
    </xf>
    <xf numFmtId="1" fontId="15" fillId="0" borderId="0" xfId="0" applyNumberFormat="1" applyFont="1" applyFill="1" applyBorder="1" applyAlignment="1" applyProtection="1">
      <alignment horizontal="center" vertical="center" wrapText="1"/>
      <protection hidden="1"/>
    </xf>
    <xf numFmtId="1" fontId="42" fillId="0" borderId="68" xfId="0" applyNumberFormat="1" applyFont="1" applyFill="1" applyBorder="1" applyAlignment="1" applyProtection="1">
      <alignment horizontal="left"/>
      <protection hidden="1"/>
    </xf>
    <xf numFmtId="1" fontId="42" fillId="0" borderId="0" xfId="0" applyNumberFormat="1" applyFont="1" applyFill="1" applyBorder="1" applyAlignment="1" applyProtection="1">
      <alignment horizontal="left"/>
      <protection hidden="1"/>
    </xf>
    <xf numFmtId="1" fontId="15" fillId="0" borderId="168" xfId="0" applyNumberFormat="1" applyFont="1" applyFill="1" applyBorder="1" applyAlignment="1" applyProtection="1">
      <alignment horizontal="left"/>
      <protection hidden="1"/>
    </xf>
    <xf numFmtId="1" fontId="15" fillId="0" borderId="96" xfId="0" applyNumberFormat="1" applyFont="1" applyFill="1" applyBorder="1" applyAlignment="1" applyProtection="1">
      <alignment horizontal="left"/>
      <protection hidden="1"/>
    </xf>
    <xf numFmtId="1" fontId="15" fillId="0" borderId="6" xfId="0" applyNumberFormat="1" applyFont="1" applyFill="1" applyBorder="1" applyAlignment="1" applyProtection="1">
      <alignment horizontal="left"/>
      <protection hidden="1"/>
    </xf>
    <xf numFmtId="1" fontId="15" fillId="0" borderId="68" xfId="0" applyNumberFormat="1" applyFont="1" applyFill="1" applyBorder="1" applyAlignment="1" applyProtection="1">
      <alignment horizontal="left"/>
      <protection hidden="1"/>
    </xf>
    <xf numFmtId="1" fontId="15" fillId="0" borderId="0" xfId="0" applyNumberFormat="1" applyFont="1" applyFill="1" applyBorder="1" applyAlignment="1" applyProtection="1">
      <alignment horizontal="left"/>
      <protection hidden="1"/>
    </xf>
    <xf numFmtId="1" fontId="7" fillId="0" borderId="4" xfId="0" applyNumberFormat="1" applyFont="1" applyFill="1" applyBorder="1" applyAlignment="1" applyProtection="1">
      <alignment horizontal="left" vertical="center" wrapText="1"/>
      <protection hidden="1"/>
    </xf>
    <xf numFmtId="1" fontId="7" fillId="0" borderId="139" xfId="0" applyNumberFormat="1" applyFont="1" applyFill="1" applyBorder="1" applyAlignment="1" applyProtection="1">
      <alignment horizontal="center" vertical="center"/>
      <protection hidden="1"/>
    </xf>
    <xf numFmtId="1" fontId="7" fillId="0" borderId="11" xfId="0" applyNumberFormat="1" applyFont="1" applyFill="1" applyBorder="1" applyAlignment="1" applyProtection="1">
      <alignment horizontal="center" vertical="center"/>
      <protection hidden="1"/>
    </xf>
    <xf numFmtId="1" fontId="7" fillId="0" borderId="139" xfId="0" applyNumberFormat="1" applyFont="1" applyBorder="1" applyAlignment="1" applyProtection="1">
      <alignment horizontal="center" vertical="center" wrapText="1"/>
      <protection hidden="1"/>
    </xf>
    <xf numFmtId="1" fontId="7" fillId="0" borderId="11" xfId="0" applyNumberFormat="1" applyFont="1" applyBorder="1" applyAlignment="1" applyProtection="1">
      <alignment horizontal="center" vertical="center" wrapText="1"/>
      <protection hidden="1"/>
    </xf>
    <xf numFmtId="1" fontId="7" fillId="0" borderId="79" xfId="0" applyNumberFormat="1" applyFont="1" applyFill="1" applyBorder="1" applyAlignment="1" applyProtection="1">
      <alignment horizontal="center" vertical="center" wrapText="1"/>
      <protection hidden="1"/>
    </xf>
    <xf numFmtId="1" fontId="15" fillId="0" borderId="22" xfId="0" applyNumberFormat="1" applyFont="1" applyFill="1" applyBorder="1" applyAlignment="1" applyProtection="1">
      <alignment horizontal="left"/>
      <protection hidden="1"/>
    </xf>
    <xf numFmtId="1" fontId="7" fillId="0" borderId="49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29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0" xfId="0" applyNumberFormat="1" applyFont="1" applyBorder="1" applyAlignment="1" applyProtection="1">
      <alignment horizontal="center" vertical="center" wrapText="1"/>
      <protection hidden="1"/>
    </xf>
    <xf numFmtId="1" fontId="7" fillId="0" borderId="96" xfId="0" applyNumberFormat="1" applyFont="1" applyBorder="1" applyAlignment="1" applyProtection="1">
      <alignment horizontal="center" vertical="center" wrapText="1"/>
      <protection hidden="1"/>
    </xf>
    <xf numFmtId="1" fontId="7" fillId="0" borderId="67" xfId="0" applyNumberFormat="1" applyFont="1" applyBorder="1" applyAlignment="1" applyProtection="1">
      <alignment horizontal="center" vertical="center" wrapText="1"/>
      <protection hidden="1"/>
    </xf>
    <xf numFmtId="1" fontId="7" fillId="0" borderId="140" xfId="0" quotePrefix="1" applyNumberFormat="1" applyFont="1" applyFill="1" applyBorder="1" applyAlignment="1" applyProtection="1">
      <alignment horizontal="center" vertical="center"/>
      <protection hidden="1"/>
    </xf>
    <xf numFmtId="1" fontId="7" fillId="0" borderId="49" xfId="0" quotePrefix="1" applyNumberFormat="1" applyFont="1" applyFill="1" applyBorder="1" applyAlignment="1" applyProtection="1">
      <alignment horizontal="center" vertical="center"/>
      <protection hidden="1"/>
    </xf>
    <xf numFmtId="1" fontId="7" fillId="0" borderId="97" xfId="0" quotePrefix="1" applyNumberFormat="1" applyFont="1" applyFill="1" applyBorder="1" applyAlignment="1" applyProtection="1">
      <alignment horizontal="center" vertical="center"/>
      <protection hidden="1"/>
    </xf>
    <xf numFmtId="1" fontId="7" fillId="0" borderId="29" xfId="0" quotePrefix="1" applyNumberFormat="1" applyFont="1" applyFill="1" applyBorder="1" applyAlignment="1" applyProtection="1">
      <alignment horizontal="center" vertical="center"/>
      <protection hidden="1"/>
    </xf>
    <xf numFmtId="1" fontId="7" fillId="0" borderId="48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28" xfId="0" applyNumberFormat="1" applyFont="1" applyFill="1" applyBorder="1" applyAlignment="1" applyProtection="1">
      <alignment horizontal="center" vertical="center" wrapText="1"/>
      <protection hidden="1"/>
    </xf>
    <xf numFmtId="1" fontId="31" fillId="0" borderId="167" xfId="0" applyNumberFormat="1" applyFont="1" applyBorder="1" applyAlignment="1" applyProtection="1">
      <alignment horizontal="left" vertical="center" wrapText="1"/>
      <protection hidden="1"/>
    </xf>
    <xf numFmtId="1" fontId="31" fillId="0" borderId="51" xfId="0" applyNumberFormat="1" applyFont="1" applyBorder="1" applyAlignment="1" applyProtection="1">
      <alignment horizontal="left" vertical="center" wrapText="1"/>
      <protection hidden="1"/>
    </xf>
    <xf numFmtId="1" fontId="31" fillId="0" borderId="70" xfId="0" applyNumberFormat="1" applyFont="1" applyFill="1" applyBorder="1" applyAlignment="1" applyProtection="1">
      <alignment horizontal="left"/>
      <protection hidden="1"/>
    </xf>
    <xf numFmtId="1" fontId="31" fillId="0" borderId="89" xfId="0" quotePrefix="1" applyNumberFormat="1" applyFont="1" applyFill="1" applyBorder="1" applyAlignment="1" applyProtection="1">
      <alignment horizontal="left"/>
      <protection hidden="1"/>
    </xf>
    <xf numFmtId="1" fontId="7" fillId="0" borderId="10" xfId="0" applyNumberFormat="1" applyFont="1" applyBorder="1" applyAlignment="1" applyProtection="1">
      <alignment horizontal="center" vertical="center"/>
      <protection hidden="1"/>
    </xf>
    <xf numFmtId="1" fontId="7" fillId="0" borderId="194" xfId="0" applyNumberFormat="1" applyFont="1" applyBorder="1" applyAlignment="1" applyProtection="1">
      <alignment horizontal="center" vertical="center"/>
      <protection hidden="1"/>
    </xf>
    <xf numFmtId="1" fontId="7" fillId="0" borderId="198" xfId="0" applyNumberFormat="1" applyFont="1" applyBorder="1" applyAlignment="1" applyProtection="1">
      <alignment horizontal="center" vertical="center"/>
      <protection hidden="1"/>
    </xf>
    <xf numFmtId="1" fontId="31" fillId="0" borderId="10" xfId="0" applyNumberFormat="1" applyFont="1" applyBorder="1" applyAlignment="1" applyProtection="1">
      <alignment horizontal="center" vertical="center"/>
      <protection hidden="1"/>
    </xf>
    <xf numFmtId="1" fontId="31" fillId="0" borderId="96" xfId="0" applyNumberFormat="1" applyFont="1" applyBorder="1" applyAlignment="1" applyProtection="1">
      <alignment horizontal="center" vertical="center"/>
      <protection hidden="1"/>
    </xf>
    <xf numFmtId="1" fontId="31" fillId="0" borderId="65" xfId="0" applyNumberFormat="1" applyFont="1" applyBorder="1" applyAlignment="1" applyProtection="1">
      <alignment horizontal="center" vertical="center"/>
      <protection hidden="1"/>
    </xf>
    <xf numFmtId="1" fontId="31" fillId="0" borderId="140" xfId="0" quotePrefix="1" applyNumberFormat="1" applyFont="1" applyFill="1" applyBorder="1" applyAlignment="1" applyProtection="1">
      <alignment horizontal="center" vertical="center"/>
      <protection hidden="1"/>
    </xf>
    <xf numFmtId="1" fontId="31" fillId="0" borderId="49" xfId="0" quotePrefix="1" applyNumberFormat="1" applyFont="1" applyFill="1" applyBorder="1" applyAlignment="1" applyProtection="1">
      <alignment horizontal="center" vertical="center"/>
      <protection hidden="1"/>
    </xf>
    <xf numFmtId="1" fontId="31" fillId="0" borderId="97" xfId="0" quotePrefix="1" applyNumberFormat="1" applyFont="1" applyFill="1" applyBorder="1" applyAlignment="1" applyProtection="1">
      <alignment horizontal="center" vertical="center"/>
      <protection hidden="1"/>
    </xf>
    <xf numFmtId="1" fontId="31" fillId="0" borderId="29" xfId="0" quotePrefix="1" applyNumberFormat="1" applyFont="1" applyFill="1" applyBorder="1" applyAlignment="1" applyProtection="1">
      <alignment horizontal="center" vertical="center"/>
      <protection hidden="1"/>
    </xf>
    <xf numFmtId="1" fontId="31" fillId="0" borderId="140" xfId="0" applyNumberFormat="1" applyFont="1" applyFill="1" applyBorder="1" applyAlignment="1" applyProtection="1">
      <alignment horizontal="center" vertical="center"/>
      <protection hidden="1"/>
    </xf>
    <xf numFmtId="1" fontId="31" fillId="0" borderId="97" xfId="0" applyNumberFormat="1" applyFont="1" applyFill="1" applyBorder="1" applyAlignment="1" applyProtection="1">
      <alignment horizontal="center" vertical="center"/>
      <protection hidden="1"/>
    </xf>
    <xf numFmtId="1" fontId="31" fillId="0" borderId="204" xfId="0" applyNumberFormat="1" applyFont="1" applyBorder="1" applyAlignment="1" applyProtection="1">
      <alignment horizontal="center" vertical="center" wrapText="1"/>
    </xf>
    <xf numFmtId="1" fontId="31" fillId="0" borderId="150" xfId="0" applyNumberFormat="1" applyFont="1" applyBorder="1" applyAlignment="1" applyProtection="1">
      <alignment horizontal="center" vertical="center" wrapText="1"/>
    </xf>
    <xf numFmtId="1" fontId="31" fillId="0" borderId="197" xfId="0" applyNumberFormat="1" applyFont="1" applyBorder="1" applyAlignment="1" applyProtection="1">
      <alignment horizontal="center" vertical="center" wrapText="1"/>
    </xf>
    <xf numFmtId="1" fontId="31" fillId="0" borderId="29" xfId="0" applyNumberFormat="1" applyFont="1" applyBorder="1" applyAlignment="1" applyProtection="1">
      <alignment horizontal="center" vertical="center" wrapText="1"/>
    </xf>
    <xf numFmtId="1" fontId="7" fillId="0" borderId="138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69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22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122" xfId="0" applyNumberFormat="1" applyFont="1" applyBorder="1" applyAlignment="1" applyProtection="1">
      <alignment horizontal="center" vertical="center" wrapText="1"/>
      <protection hidden="1"/>
    </xf>
    <xf numFmtId="1" fontId="7" fillId="0" borderId="96" xfId="0" applyNumberFormat="1" applyFont="1" applyFill="1" applyBorder="1" applyAlignment="1" applyProtection="1">
      <alignment horizontal="left" vertical="center" wrapText="1"/>
      <protection hidden="1"/>
    </xf>
    <xf numFmtId="1" fontId="7" fillId="0" borderId="67" xfId="0" applyNumberFormat="1" applyFont="1" applyFill="1" applyBorder="1" applyAlignment="1" applyProtection="1">
      <alignment horizontal="left" vertical="center" wrapText="1"/>
      <protection hidden="1"/>
    </xf>
    <xf numFmtId="1" fontId="31" fillId="0" borderId="77" xfId="0" applyNumberFormat="1" applyFont="1" applyFill="1" applyBorder="1" applyAlignment="1" applyProtection="1">
      <alignment horizontal="left" vertical="center" wrapText="1"/>
      <protection hidden="1"/>
    </xf>
    <xf numFmtId="1" fontId="31" fillId="0" borderId="34" xfId="0" applyNumberFormat="1" applyFont="1" applyFill="1" applyBorder="1" applyAlignment="1" applyProtection="1">
      <alignment horizontal="left" vertical="center" wrapText="1"/>
      <protection hidden="1"/>
    </xf>
    <xf numFmtId="1" fontId="31" fillId="0" borderId="76" xfId="0" applyNumberFormat="1" applyFont="1" applyFill="1" applyBorder="1" applyAlignment="1" applyProtection="1">
      <alignment horizontal="left" vertical="center" wrapText="1"/>
      <protection hidden="1"/>
    </xf>
    <xf numFmtId="1" fontId="31" fillId="0" borderId="39" xfId="0" applyNumberFormat="1" applyFont="1" applyFill="1" applyBorder="1" applyAlignment="1" applyProtection="1">
      <alignment horizontal="left" vertical="center" wrapText="1"/>
      <protection hidden="1"/>
    </xf>
    <xf numFmtId="1" fontId="30" fillId="0" borderId="23" xfId="125" applyNumberFormat="1" applyFont="1" applyFill="1" applyBorder="1" applyAlignment="1" applyProtection="1">
      <alignment horizontal="center" vertical="center" wrapText="1"/>
    </xf>
    <xf numFmtId="1" fontId="30" fillId="0" borderId="195" xfId="125" applyNumberFormat="1" applyFont="1" applyFill="1" applyBorder="1" applyAlignment="1" applyProtection="1">
      <alignment horizontal="center" vertical="center" wrapText="1"/>
    </xf>
    <xf numFmtId="1" fontId="30" fillId="0" borderId="10" xfId="125" applyNumberFormat="1" applyFont="1" applyFill="1" applyBorder="1" applyAlignment="1" applyProtection="1">
      <alignment horizontal="center" vertical="center"/>
    </xf>
    <xf numFmtId="1" fontId="30" fillId="0" borderId="194" xfId="125" applyNumberFormat="1" applyFont="1" applyFill="1" applyBorder="1" applyAlignment="1" applyProtection="1">
      <alignment horizontal="center" vertical="center"/>
    </xf>
    <xf numFmtId="1" fontId="30" fillId="0" borderId="195" xfId="125" applyNumberFormat="1" applyFont="1" applyFill="1" applyBorder="1" applyAlignment="1" applyProtection="1">
      <alignment horizontal="center" vertical="center"/>
    </xf>
    <xf numFmtId="1" fontId="7" fillId="22" borderId="76" xfId="110" applyNumberFormat="1" applyFont="1" applyFill="1" applyBorder="1" applyAlignment="1" applyProtection="1">
      <alignment horizontal="left"/>
    </xf>
    <xf numFmtId="1" fontId="7" fillId="22" borderId="39" xfId="110" applyNumberFormat="1" applyFont="1" applyFill="1" applyBorder="1" applyAlignment="1" applyProtection="1">
      <alignment horizontal="left"/>
    </xf>
    <xf numFmtId="1" fontId="30" fillId="0" borderId="76" xfId="125" applyNumberFormat="1" applyFont="1" applyFill="1" applyBorder="1" applyAlignment="1" applyProtection="1">
      <alignment horizontal="left" vertical="center"/>
    </xf>
    <xf numFmtId="1" fontId="30" fillId="0" borderId="39" xfId="125" applyNumberFormat="1" applyFont="1" applyFill="1" applyBorder="1" applyAlignment="1" applyProtection="1">
      <alignment horizontal="left" vertical="center"/>
    </xf>
    <xf numFmtId="1" fontId="7" fillId="22" borderId="80" xfId="0" applyNumberFormat="1" applyFont="1" applyFill="1" applyBorder="1" applyAlignment="1" applyProtection="1">
      <alignment horizontal="left"/>
    </xf>
    <xf numFmtId="1" fontId="7" fillId="22" borderId="127" xfId="0" applyNumberFormat="1" applyFont="1" applyFill="1" applyBorder="1" applyAlignment="1" applyProtection="1">
      <alignment horizontal="left"/>
    </xf>
    <xf numFmtId="1" fontId="7" fillId="0" borderId="139" xfId="125" applyNumberFormat="1" applyFont="1" applyFill="1" applyBorder="1" applyAlignment="1" applyProtection="1">
      <alignment horizontal="center" vertical="center"/>
    </xf>
    <xf numFmtId="1" fontId="7" fillId="0" borderId="11" xfId="125" applyNumberFormat="1" applyFont="1" applyFill="1" applyBorder="1" applyAlignment="1" applyProtection="1">
      <alignment horizontal="center" vertical="center"/>
    </xf>
    <xf numFmtId="1" fontId="7" fillId="22" borderId="75" xfId="0" applyNumberFormat="1" applyFont="1" applyFill="1" applyBorder="1" applyAlignment="1" applyProtection="1">
      <alignment horizontal="left"/>
    </xf>
    <xf numFmtId="1" fontId="7" fillId="22" borderId="27" xfId="0" applyNumberFormat="1" applyFont="1" applyFill="1" applyBorder="1" applyAlignment="1" applyProtection="1">
      <alignment horizontal="left"/>
    </xf>
    <xf numFmtId="1" fontId="7" fillId="22" borderId="139" xfId="125" applyNumberFormat="1" applyFont="1" applyFill="1" applyBorder="1" applyAlignment="1" applyProtection="1">
      <alignment horizontal="center" vertical="center"/>
    </xf>
    <xf numFmtId="1" fontId="7" fillId="22" borderId="11" xfId="125" applyNumberFormat="1" applyFont="1" applyFill="1" applyBorder="1" applyAlignment="1" applyProtection="1">
      <alignment horizontal="center" vertical="center"/>
    </xf>
    <xf numFmtId="1" fontId="7" fillId="22" borderId="140" xfId="125" applyNumberFormat="1" applyFont="1" applyFill="1" applyBorder="1" applyAlignment="1" applyProtection="1">
      <alignment horizontal="center" vertical="center" wrapText="1"/>
    </xf>
    <xf numFmtId="1" fontId="7" fillId="22" borderId="49" xfId="125" applyNumberFormat="1" applyFont="1" applyFill="1" applyBorder="1" applyAlignment="1" applyProtection="1">
      <alignment horizontal="center" vertical="center" wrapText="1"/>
    </xf>
    <xf numFmtId="1" fontId="7" fillId="22" borderId="97" xfId="125" applyNumberFormat="1" applyFont="1" applyFill="1" applyBorder="1" applyAlignment="1" applyProtection="1">
      <alignment horizontal="center" vertical="center" wrapText="1"/>
    </xf>
    <xf numFmtId="1" fontId="7" fillId="22" borderId="29" xfId="125" applyNumberFormat="1" applyFont="1" applyFill="1" applyBorder="1" applyAlignment="1" applyProtection="1">
      <alignment horizontal="center" vertical="center" wrapText="1"/>
    </xf>
    <xf numFmtId="1" fontId="7" fillId="0" borderId="80" xfId="0" applyNumberFormat="1" applyFont="1" applyBorder="1" applyAlignment="1" applyProtection="1">
      <alignment horizontal="left"/>
    </xf>
    <xf numFmtId="1" fontId="7" fillId="0" borderId="127" xfId="0" applyNumberFormat="1" applyFont="1" applyBorder="1" applyAlignment="1" applyProtection="1">
      <alignment horizontal="left"/>
    </xf>
    <xf numFmtId="1" fontId="30" fillId="0" borderId="210" xfId="125" applyNumberFormat="1" applyFont="1" applyFill="1" applyBorder="1" applyAlignment="1" applyProtection="1">
      <alignment horizontal="center" vertical="center" wrapText="1"/>
    </xf>
    <xf numFmtId="1" fontId="30" fillId="0" borderId="4" xfId="125" applyNumberFormat="1" applyFont="1" applyFill="1" applyBorder="1" applyAlignment="1" applyProtection="1">
      <alignment horizontal="center" vertical="center" wrapText="1"/>
    </xf>
    <xf numFmtId="1" fontId="30" fillId="0" borderId="197" xfId="125" applyNumberFormat="1" applyFont="1" applyFill="1" applyBorder="1" applyAlignment="1" applyProtection="1">
      <alignment horizontal="center" vertical="center" wrapText="1"/>
    </xf>
    <xf numFmtId="1" fontId="30" fillId="0" borderId="97" xfId="125" applyNumberFormat="1" applyFont="1" applyFill="1" applyBorder="1" applyAlignment="1" applyProtection="1">
      <alignment horizontal="center" vertical="center" wrapText="1"/>
    </xf>
    <xf numFmtId="1" fontId="30" fillId="0" borderId="6" xfId="125" applyNumberFormat="1" applyFont="1" applyFill="1" applyBorder="1" applyAlignment="1" applyProtection="1">
      <alignment horizontal="center" vertical="center" wrapText="1"/>
    </xf>
    <xf numFmtId="1" fontId="30" fillId="0" borderId="29" xfId="125" applyNumberFormat="1" applyFont="1" applyFill="1" applyBorder="1" applyAlignment="1" applyProtection="1">
      <alignment horizontal="center" vertical="center" wrapText="1"/>
    </xf>
    <xf numFmtId="1" fontId="31" fillId="0" borderId="173" xfId="125" applyNumberFormat="1" applyFont="1" applyFill="1" applyBorder="1" applyAlignment="1" applyProtection="1">
      <alignment horizontal="center" vertical="center" wrapText="1"/>
    </xf>
    <xf numFmtId="1" fontId="31" fillId="0" borderId="150" xfId="125" applyNumberFormat="1" applyFont="1" applyFill="1" applyBorder="1" applyAlignment="1" applyProtection="1">
      <alignment horizontal="center" vertical="center" wrapText="1"/>
    </xf>
    <xf numFmtId="1" fontId="7" fillId="0" borderId="196" xfId="125" applyNumberFormat="1" applyFont="1" applyFill="1" applyBorder="1" applyAlignment="1" applyProtection="1">
      <alignment horizontal="center" vertical="center" wrapText="1"/>
    </xf>
    <xf numFmtId="1" fontId="7" fillId="0" borderId="79" xfId="125" applyNumberFormat="1" applyFont="1" applyFill="1" applyBorder="1" applyAlignment="1" applyProtection="1">
      <alignment horizontal="center" vertical="center" wrapText="1"/>
    </xf>
    <xf numFmtId="1" fontId="7" fillId="0" borderId="11" xfId="125" applyNumberFormat="1" applyFont="1" applyFill="1" applyBorder="1" applyAlignment="1" applyProtection="1">
      <alignment horizontal="center" vertical="center" wrapText="1"/>
    </xf>
    <xf numFmtId="1" fontId="7" fillId="0" borderId="103" xfId="125" applyNumberFormat="1" applyFont="1" applyFill="1" applyBorder="1" applyAlignment="1" applyProtection="1">
      <alignment horizontal="center" vertical="center" wrapText="1"/>
    </xf>
    <xf numFmtId="1" fontId="7" fillId="0" borderId="130" xfId="0" applyNumberFormat="1" applyFont="1" applyBorder="1" applyAlignment="1" applyProtection="1">
      <alignment horizontal="center" vertical="center" wrapText="1"/>
    </xf>
    <xf numFmtId="1" fontId="7" fillId="0" borderId="102" xfId="125" applyNumberFormat="1" applyFont="1" applyFill="1" applyBorder="1" applyAlignment="1" applyProtection="1">
      <alignment horizontal="center" vertical="center" wrapText="1"/>
    </xf>
    <xf numFmtId="1" fontId="7" fillId="0" borderId="85" xfId="125" applyNumberFormat="1" applyFont="1" applyFill="1" applyBorder="1" applyAlignment="1" applyProtection="1">
      <alignment horizontal="center" vertical="center" wrapText="1"/>
    </xf>
    <xf numFmtId="1" fontId="7" fillId="0" borderId="140" xfId="125" applyNumberFormat="1" applyFont="1" applyFill="1" applyBorder="1" applyAlignment="1" applyProtection="1">
      <alignment horizontal="center" vertical="center" wrapText="1"/>
    </xf>
    <xf numFmtId="1" fontId="7" fillId="0" borderId="49" xfId="125" applyNumberFormat="1" applyFont="1" applyFill="1" applyBorder="1" applyAlignment="1" applyProtection="1">
      <alignment horizontal="center" vertical="center" wrapText="1"/>
    </xf>
    <xf numFmtId="1" fontId="7" fillId="0" borderId="97" xfId="125" applyNumberFormat="1" applyFont="1" applyFill="1" applyBorder="1" applyAlignment="1" applyProtection="1">
      <alignment horizontal="center" vertical="center" wrapText="1"/>
    </xf>
    <xf numFmtId="1" fontId="7" fillId="0" borderId="29" xfId="125" applyNumberFormat="1" applyFont="1" applyFill="1" applyBorder="1" applyAlignment="1" applyProtection="1">
      <alignment horizontal="center" vertical="center" wrapText="1"/>
    </xf>
    <xf numFmtId="1" fontId="7" fillId="0" borderId="213" xfId="125" applyNumberFormat="1" applyFont="1" applyFill="1" applyBorder="1" applyAlignment="1" applyProtection="1">
      <alignment horizontal="center" vertical="center" wrapText="1"/>
    </xf>
    <xf numFmtId="1" fontId="30" fillId="0" borderId="171" xfId="125" applyNumberFormat="1" applyFont="1" applyFill="1" applyBorder="1" applyAlignment="1" applyProtection="1">
      <alignment horizontal="center" vertical="center" wrapText="1"/>
    </xf>
    <xf numFmtId="1" fontId="30" fillId="0" borderId="145" xfId="0" applyNumberFormat="1" applyFont="1" applyBorder="1" applyAlignment="1" applyProtection="1">
      <alignment horizontal="center" vertical="center" wrapText="1"/>
    </xf>
    <xf numFmtId="1" fontId="11" fillId="0" borderId="10" xfId="125" applyNumberFormat="1" applyFont="1" applyFill="1" applyBorder="1" applyAlignment="1" applyProtection="1">
      <alignment horizontal="center" vertical="center" wrapText="1"/>
    </xf>
    <xf numFmtId="1" fontId="11" fillId="0" borderId="67" xfId="125" applyNumberFormat="1" applyFont="1" applyFill="1" applyBorder="1" applyAlignment="1" applyProtection="1">
      <alignment horizontal="center" vertical="center" wrapText="1"/>
    </xf>
    <xf numFmtId="1" fontId="7" fillId="0" borderId="139" xfId="125" applyNumberFormat="1" applyFont="1" applyFill="1" applyBorder="1" applyAlignment="1" applyProtection="1">
      <alignment horizontal="center" vertical="center" wrapText="1"/>
    </xf>
    <xf numFmtId="1" fontId="30" fillId="0" borderId="0" xfId="0" applyNumberFormat="1" applyFont="1" applyBorder="1" applyAlignment="1" applyProtection="1">
      <alignment horizontal="left" vertical="top" wrapText="1"/>
    </xf>
    <xf numFmtId="1" fontId="7" fillId="0" borderId="0" xfId="126" applyNumberFormat="1" applyFont="1" applyFill="1" applyBorder="1" applyAlignment="1" applyProtection="1">
      <alignment horizontal="center" vertical="center"/>
    </xf>
    <xf numFmtId="1" fontId="7" fillId="0" borderId="100" xfId="126" applyNumberFormat="1" applyFont="1" applyFill="1" applyBorder="1" applyAlignment="1" applyProtection="1">
      <alignment horizontal="center" vertical="center"/>
    </xf>
    <xf numFmtId="1" fontId="7" fillId="0" borderId="6" xfId="126" applyNumberFormat="1" applyFont="1" applyFill="1" applyBorder="1" applyAlignment="1" applyProtection="1">
      <alignment horizontal="center" vertical="center"/>
    </xf>
    <xf numFmtId="1" fontId="7" fillId="0" borderId="29" xfId="126" applyNumberFormat="1" applyFont="1" applyFill="1" applyBorder="1" applyAlignment="1" applyProtection="1">
      <alignment horizontal="center" vertical="center"/>
    </xf>
    <xf numFmtId="1" fontId="7" fillId="0" borderId="10" xfId="125" applyNumberFormat="1" applyFont="1" applyFill="1" applyBorder="1" applyAlignment="1" applyProtection="1">
      <alignment horizontal="center" vertical="center" wrapText="1"/>
    </xf>
    <xf numFmtId="1" fontId="7" fillId="0" borderId="67" xfId="125" applyNumberFormat="1" applyFont="1" applyFill="1" applyBorder="1" applyAlignment="1" applyProtection="1">
      <alignment horizontal="center" vertical="center" wrapText="1"/>
    </xf>
    <xf numFmtId="1" fontId="31" fillId="22" borderId="196" xfId="0" applyNumberFormat="1" applyFont="1" applyFill="1" applyBorder="1" applyAlignment="1" applyProtection="1">
      <alignment horizontal="center" vertical="center" wrapText="1"/>
    </xf>
    <xf numFmtId="1" fontId="31" fillId="22" borderId="79" xfId="0" applyNumberFormat="1" applyFont="1" applyFill="1" applyBorder="1" applyAlignment="1" applyProtection="1">
      <alignment horizontal="center" vertical="center" wrapText="1"/>
    </xf>
    <xf numFmtId="1" fontId="31" fillId="22" borderId="11" xfId="0" applyNumberFormat="1" applyFont="1" applyFill="1" applyBorder="1" applyAlignment="1" applyProtection="1">
      <alignment horizontal="center" vertical="center" wrapText="1"/>
    </xf>
    <xf numFmtId="1" fontId="31" fillId="0" borderId="196" xfId="0" applyNumberFormat="1" applyFont="1" applyBorder="1" applyAlignment="1" applyProtection="1">
      <alignment horizontal="center" vertical="center" wrapText="1"/>
    </xf>
    <xf numFmtId="1" fontId="31" fillId="0" borderId="79" xfId="0" applyNumberFormat="1" applyFont="1" applyBorder="1" applyAlignment="1" applyProtection="1">
      <alignment horizontal="center" vertical="center" wrapText="1"/>
    </xf>
    <xf numFmtId="1" fontId="31" fillId="0" borderId="11" xfId="0" applyNumberFormat="1" applyFont="1" applyBorder="1" applyAlignment="1" applyProtection="1">
      <alignment horizontal="center" vertical="center" wrapText="1"/>
    </xf>
    <xf numFmtId="1" fontId="7" fillId="0" borderId="6" xfId="125" quotePrefix="1" applyNumberFormat="1" applyFont="1" applyFill="1" applyBorder="1" applyAlignment="1" applyProtection="1">
      <alignment horizontal="center" vertical="center" wrapText="1"/>
    </xf>
    <xf numFmtId="1" fontId="7" fillId="0" borderId="29" xfId="125" quotePrefix="1" applyNumberFormat="1" applyFont="1" applyFill="1" applyBorder="1" applyAlignment="1" applyProtection="1">
      <alignment horizontal="center" vertical="center" wrapText="1"/>
    </xf>
    <xf numFmtId="1" fontId="31" fillId="0" borderId="195" xfId="0" applyNumberFormat="1" applyFont="1" applyBorder="1" applyAlignment="1" applyProtection="1">
      <alignment horizontal="center" vertical="center" wrapText="1"/>
    </xf>
    <xf numFmtId="1" fontId="31" fillId="0" borderId="1" xfId="0" applyNumberFormat="1" applyFont="1" applyBorder="1" applyAlignment="1" applyProtection="1">
      <alignment horizontal="center" vertical="center" wrapText="1"/>
    </xf>
    <xf numFmtId="1" fontId="7" fillId="0" borderId="49" xfId="125" applyNumberFormat="1" applyFont="1" applyFill="1" applyBorder="1" applyAlignment="1" applyProtection="1">
      <alignment horizontal="center" vertical="center"/>
    </xf>
    <xf numFmtId="1" fontId="7" fillId="0" borderId="9" xfId="125" applyNumberFormat="1" applyFont="1" applyFill="1" applyBorder="1" applyAlignment="1" applyProtection="1">
      <alignment horizontal="center" vertical="center"/>
    </xf>
    <xf numFmtId="1" fontId="7" fillId="0" borderId="100" xfId="125" applyNumberFormat="1" applyFont="1" applyFill="1" applyBorder="1" applyAlignment="1" applyProtection="1">
      <alignment horizontal="center" vertical="center"/>
    </xf>
    <xf numFmtId="1" fontId="7" fillId="0" borderId="97" xfId="125" applyNumberFormat="1" applyFont="1" applyFill="1" applyBorder="1" applyAlignment="1" applyProtection="1">
      <alignment horizontal="center" vertical="center"/>
    </xf>
    <xf numFmtId="1" fontId="7" fillId="0" borderId="29" xfId="125" applyNumberFormat="1" applyFont="1" applyFill="1" applyBorder="1" applyAlignment="1" applyProtection="1">
      <alignment horizontal="center" vertical="center"/>
    </xf>
    <xf numFmtId="1" fontId="7" fillId="0" borderId="64" xfId="0" applyNumberFormat="1" applyFont="1" applyBorder="1" applyAlignment="1" applyProtection="1">
      <alignment horizontal="center" vertical="center" wrapText="1"/>
    </xf>
    <xf numFmtId="1" fontId="7" fillId="0" borderId="7" xfId="0" applyNumberFormat="1" applyFont="1" applyBorder="1" applyAlignment="1" applyProtection="1">
      <alignment horizontal="center" vertical="center" wrapText="1"/>
    </xf>
    <xf numFmtId="1" fontId="7" fillId="0" borderId="10" xfId="0" applyNumberFormat="1" applyFont="1" applyBorder="1" applyAlignment="1" applyProtection="1"/>
    <xf numFmtId="1" fontId="7" fillId="0" borderId="67" xfId="0" applyNumberFormat="1" applyFont="1" applyBorder="1" applyAlignment="1" applyProtection="1"/>
    <xf numFmtId="1" fontId="7" fillId="0" borderId="80" xfId="125" applyNumberFormat="1" applyFont="1" applyFill="1" applyBorder="1" applyAlignment="1" applyProtection="1">
      <alignment horizontal="left" vertical="center"/>
    </xf>
    <xf numFmtId="1" fontId="7" fillId="0" borderId="127" xfId="125" applyNumberFormat="1" applyFont="1" applyFill="1" applyBorder="1" applyAlignment="1" applyProtection="1">
      <alignment horizontal="left" vertical="center"/>
    </xf>
    <xf numFmtId="1" fontId="7" fillId="0" borderId="75" xfId="125" applyNumberFormat="1" applyFont="1" applyFill="1" applyBorder="1" applyAlignment="1" applyProtection="1">
      <alignment horizontal="left" vertical="center"/>
    </xf>
    <xf numFmtId="1" fontId="7" fillId="0" borderId="27" xfId="125" applyNumberFormat="1" applyFont="1" applyFill="1" applyBorder="1" applyAlignment="1" applyProtection="1">
      <alignment horizontal="left" vertical="center"/>
    </xf>
    <xf numFmtId="1" fontId="30" fillId="0" borderId="80" xfId="125" applyNumberFormat="1" applyFont="1" applyFill="1" applyBorder="1" applyAlignment="1" applyProtection="1">
      <alignment horizontal="left" vertical="center"/>
    </xf>
    <xf numFmtId="1" fontId="30" fillId="0" borderId="127" xfId="125" applyNumberFormat="1" applyFont="1" applyFill="1" applyBorder="1" applyAlignment="1" applyProtection="1">
      <alignment horizontal="left" vertical="center"/>
    </xf>
    <xf numFmtId="1" fontId="7" fillId="0" borderId="30" xfId="125" applyNumberFormat="1" applyFont="1" applyFill="1" applyBorder="1" applyAlignment="1" applyProtection="1">
      <alignment horizontal="center" vertical="center" wrapText="1"/>
    </xf>
    <xf numFmtId="1" fontId="7" fillId="0" borderId="35" xfId="125" applyNumberFormat="1" applyFont="1" applyFill="1" applyBorder="1" applyAlignment="1" applyProtection="1">
      <alignment horizontal="center" vertical="center" wrapText="1"/>
    </xf>
    <xf numFmtId="1" fontId="7" fillId="0" borderId="69" xfId="125" applyNumberFormat="1" applyFont="1" applyFill="1" applyBorder="1" applyAlignment="1" applyProtection="1">
      <alignment horizontal="center" vertical="center" wrapText="1"/>
    </xf>
    <xf numFmtId="1" fontId="7" fillId="0" borderId="10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67" xfId="0" applyNumberFormat="1" applyFont="1" applyFill="1" applyBorder="1" applyAlignment="1" applyProtection="1">
      <alignment horizontal="center" vertical="center" wrapText="1"/>
      <protection hidden="1"/>
    </xf>
    <xf numFmtId="1" fontId="7" fillId="0" borderId="30" xfId="0" applyNumberFormat="1" applyFont="1" applyBorder="1" applyAlignment="1" applyProtection="1">
      <alignment horizontal="center" vertical="center" wrapText="1"/>
      <protection hidden="1"/>
    </xf>
    <xf numFmtId="1" fontId="7" fillId="0" borderId="35" xfId="0" applyNumberFormat="1" applyFont="1" applyBorder="1" applyAlignment="1" applyProtection="1">
      <alignment horizontal="center" vertical="center" wrapText="1"/>
      <protection hidden="1"/>
    </xf>
    <xf numFmtId="1" fontId="7" fillId="0" borderId="45" xfId="0" applyNumberFormat="1" applyFont="1" applyBorder="1" applyAlignment="1" applyProtection="1">
      <alignment horizontal="center" vertical="center" wrapText="1"/>
      <protection hidden="1"/>
    </xf>
    <xf numFmtId="1" fontId="7" fillId="0" borderId="69" xfId="0" applyNumberFormat="1" applyFont="1" applyBorder="1" applyAlignment="1" applyProtection="1">
      <alignment horizontal="center" vertical="center" wrapText="1"/>
      <protection hidden="1"/>
    </xf>
    <xf numFmtId="1" fontId="7" fillId="0" borderId="10" xfId="125" applyNumberFormat="1" applyFont="1" applyFill="1" applyBorder="1" applyAlignment="1" applyProtection="1">
      <alignment horizontal="center" vertical="center"/>
    </xf>
    <xf numFmtId="1" fontId="7" fillId="0" borderId="96" xfId="125" applyNumberFormat="1" applyFont="1" applyFill="1" applyBorder="1" applyAlignment="1" applyProtection="1">
      <alignment horizontal="center" vertical="center"/>
    </xf>
    <xf numFmtId="1" fontId="7" fillId="0" borderId="67" xfId="125" applyNumberFormat="1" applyFont="1" applyFill="1" applyBorder="1" applyAlignment="1" applyProtection="1">
      <alignment horizontal="center" vertical="center"/>
    </xf>
    <xf numFmtId="1" fontId="7" fillId="0" borderId="75" xfId="0" applyNumberFormat="1" applyFont="1" applyBorder="1" applyAlignment="1" applyProtection="1">
      <alignment horizontal="left"/>
    </xf>
    <xf numFmtId="1" fontId="7" fillId="0" borderId="27" xfId="0" applyNumberFormat="1" applyFont="1" applyBorder="1" applyAlignment="1" applyProtection="1">
      <alignment horizontal="left"/>
    </xf>
    <xf numFmtId="1" fontId="7" fillId="22" borderId="10" xfId="0" applyNumberFormat="1" applyFont="1" applyFill="1" applyBorder="1" applyAlignment="1" applyProtection="1"/>
    <xf numFmtId="1" fontId="7" fillId="22" borderId="67" xfId="0" applyNumberFormat="1" applyFont="1" applyFill="1" applyBorder="1" applyAlignment="1" applyProtection="1"/>
    <xf numFmtId="1" fontId="30" fillId="0" borderId="10" xfId="0" applyNumberFormat="1" applyFont="1" applyBorder="1" applyAlignment="1" applyProtection="1"/>
    <xf numFmtId="1" fontId="30" fillId="0" borderId="67" xfId="0" applyNumberFormat="1" applyFont="1" applyBorder="1" applyAlignment="1" applyProtection="1"/>
    <xf numFmtId="1" fontId="7" fillId="22" borderId="76" xfId="0" applyNumberFormat="1" applyFont="1" applyFill="1" applyBorder="1" applyAlignment="1" applyProtection="1">
      <alignment horizontal="left"/>
    </xf>
    <xf numFmtId="1" fontId="7" fillId="22" borderId="39" xfId="0" applyNumberFormat="1" applyFont="1" applyFill="1" applyBorder="1" applyAlignment="1" applyProtection="1">
      <alignment horizontal="left"/>
    </xf>
    <xf numFmtId="1" fontId="30" fillId="0" borderId="140" xfId="125" applyNumberFormat="1" applyFont="1" applyFill="1" applyBorder="1" applyAlignment="1" applyProtection="1">
      <alignment horizontal="center" vertical="center" wrapText="1"/>
    </xf>
    <xf numFmtId="1" fontId="30" fillId="0" borderId="49" xfId="125" applyNumberFormat="1" applyFont="1" applyFill="1" applyBorder="1" applyAlignment="1" applyProtection="1">
      <alignment horizontal="center" vertical="center" wrapText="1"/>
    </xf>
    <xf numFmtId="1" fontId="30" fillId="0" borderId="190" xfId="125" applyNumberFormat="1" applyFont="1" applyFill="1" applyBorder="1" applyAlignment="1" applyProtection="1">
      <alignment horizontal="center" vertical="center" wrapText="1"/>
    </xf>
    <xf numFmtId="1" fontId="30" fillId="0" borderId="100" xfId="125" applyNumberFormat="1" applyFont="1" applyFill="1" applyBorder="1" applyAlignment="1" applyProtection="1">
      <alignment horizontal="center" vertical="center" wrapText="1"/>
    </xf>
    <xf numFmtId="1" fontId="30" fillId="0" borderId="75" xfId="125" applyNumberFormat="1" applyFont="1" applyFill="1" applyBorder="1" applyAlignment="1" applyProtection="1">
      <alignment horizontal="left" vertical="center"/>
    </xf>
    <xf numFmtId="1" fontId="30" fillId="0" borderId="27" xfId="125" applyNumberFormat="1" applyFont="1" applyFill="1" applyBorder="1" applyAlignment="1" applyProtection="1">
      <alignment horizontal="left" vertical="center"/>
    </xf>
    <xf numFmtId="1" fontId="30" fillId="0" borderId="10" xfId="125" applyNumberFormat="1" applyFont="1" applyFill="1" applyBorder="1" applyAlignment="1" applyProtection="1">
      <alignment horizontal="center" vertical="center" wrapText="1"/>
    </xf>
    <xf numFmtId="1" fontId="30" fillId="0" borderId="194" xfId="125" applyNumberFormat="1" applyFont="1" applyFill="1" applyBorder="1" applyAlignment="1" applyProtection="1">
      <alignment horizontal="center" vertical="center" wrapText="1"/>
    </xf>
    <xf numFmtId="1" fontId="15" fillId="17" borderId="6" xfId="125" quotePrefix="1" applyNumberFormat="1" applyFont="1" applyFill="1" applyBorder="1" applyAlignment="1" applyProtection="1">
      <alignment horizontal="left"/>
    </xf>
    <xf numFmtId="1" fontId="11" fillId="0" borderId="195" xfId="125" applyNumberFormat="1" applyFont="1" applyFill="1" applyBorder="1" applyAlignment="1" applyProtection="1">
      <alignment horizontal="center" vertical="center" wrapText="1"/>
    </xf>
    <xf numFmtId="1" fontId="7" fillId="0" borderId="10" xfId="125" quotePrefix="1" applyNumberFormat="1" applyFont="1" applyFill="1" applyBorder="1" applyAlignment="1" applyProtection="1">
      <alignment horizontal="center" vertical="center" wrapText="1"/>
    </xf>
    <xf numFmtId="1" fontId="7" fillId="0" borderId="96" xfId="125" quotePrefix="1" applyNumberFormat="1" applyFont="1" applyFill="1" applyBorder="1" applyAlignment="1" applyProtection="1">
      <alignment horizontal="center" vertical="center" wrapText="1"/>
    </xf>
    <xf numFmtId="1" fontId="7" fillId="0" borderId="65" xfId="125" quotePrefix="1" applyNumberFormat="1" applyFont="1" applyFill="1" applyBorder="1" applyAlignment="1" applyProtection="1">
      <alignment horizontal="center" vertical="center" wrapText="1"/>
    </xf>
    <xf numFmtId="1" fontId="42" fillId="17" borderId="0" xfId="125" applyNumberFormat="1" applyFont="1" applyFill="1" applyBorder="1" applyAlignment="1" applyProtection="1">
      <alignment horizontal="center" vertical="center" wrapText="1"/>
    </xf>
    <xf numFmtId="1" fontId="7" fillId="0" borderId="202" xfId="0" applyNumberFormat="1" applyFont="1" applyBorder="1" applyAlignment="1" applyProtection="1">
      <alignment horizontal="center" vertical="center" wrapText="1"/>
    </xf>
    <xf numFmtId="1" fontId="7" fillId="0" borderId="200" xfId="0" applyNumberFormat="1" applyFont="1" applyBorder="1" applyAlignment="1" applyProtection="1">
      <alignment horizontal="center" vertical="center" wrapText="1"/>
    </xf>
    <xf numFmtId="1" fontId="7" fillId="0" borderId="172" xfId="0" applyNumberFormat="1" applyFont="1" applyBorder="1" applyAlignment="1" applyProtection="1">
      <alignment horizontal="center" vertical="center" wrapText="1"/>
    </xf>
    <xf numFmtId="1" fontId="7" fillId="0" borderId="88" xfId="0" applyNumberFormat="1" applyFont="1" applyBorder="1" applyAlignment="1" applyProtection="1">
      <alignment horizontal="center" vertical="center" wrapText="1"/>
    </xf>
    <xf numFmtId="1" fontId="31" fillId="0" borderId="4" xfId="0" applyNumberFormat="1" applyFont="1" applyBorder="1" applyAlignment="1" applyProtection="1">
      <alignment horizontal="center" vertical="center" wrapText="1"/>
    </xf>
    <xf numFmtId="1" fontId="31" fillId="0" borderId="49" xfId="0" applyNumberFormat="1" applyFont="1" applyBorder="1" applyAlignment="1" applyProtection="1">
      <alignment horizontal="center" vertical="center" wrapText="1"/>
    </xf>
    <xf numFmtId="1" fontId="31" fillId="0" borderId="6" xfId="0" applyNumberFormat="1" applyFont="1" applyBorder="1" applyAlignment="1" applyProtection="1">
      <alignment horizontal="center" vertical="center" wrapText="1"/>
    </xf>
    <xf numFmtId="1" fontId="7" fillId="0" borderId="65" xfId="125" applyNumberFormat="1" applyFont="1" applyFill="1" applyBorder="1" applyAlignment="1" applyProtection="1">
      <alignment horizontal="center" vertical="center" wrapText="1"/>
    </xf>
    <xf numFmtId="1" fontId="7" fillId="0" borderId="140" xfId="126" applyNumberFormat="1" applyFont="1" applyFill="1" applyBorder="1" applyAlignment="1" applyProtection="1">
      <alignment horizontal="center" vertical="center"/>
    </xf>
    <xf numFmtId="1" fontId="7" fillId="0" borderId="4" xfId="126" applyNumberFormat="1" applyFont="1" applyFill="1" applyBorder="1" applyAlignment="1" applyProtection="1">
      <alignment horizontal="center" vertical="center"/>
    </xf>
    <xf numFmtId="1" fontId="7" fillId="0" borderId="49" xfId="126" applyNumberFormat="1" applyFont="1" applyFill="1" applyBorder="1" applyAlignment="1" applyProtection="1">
      <alignment horizontal="center" vertical="center"/>
    </xf>
    <xf numFmtId="1" fontId="7" fillId="0" borderId="97" xfId="126" applyNumberFormat="1" applyFont="1" applyFill="1" applyBorder="1" applyAlignment="1" applyProtection="1">
      <alignment horizontal="center" vertical="center"/>
    </xf>
    <xf numFmtId="1" fontId="7" fillId="0" borderId="76" xfId="125" applyNumberFormat="1" applyFont="1" applyFill="1" applyBorder="1" applyAlignment="1" applyProtection="1">
      <alignment horizontal="left" vertical="center"/>
    </xf>
    <xf numFmtId="1" fontId="7" fillId="0" borderId="39" xfId="125" applyNumberFormat="1" applyFont="1" applyFill="1" applyBorder="1" applyAlignment="1" applyProtection="1">
      <alignment horizontal="left" vertical="center"/>
    </xf>
    <xf numFmtId="1" fontId="7" fillId="0" borderId="191" xfId="125" applyNumberFormat="1" applyFont="1" applyFill="1" applyBorder="1" applyAlignment="1" applyProtection="1">
      <alignment horizontal="center" vertical="center" wrapText="1"/>
    </xf>
    <xf numFmtId="1" fontId="7" fillId="0" borderId="190" xfId="125" applyNumberFormat="1" applyFont="1" applyFill="1" applyBorder="1" applyAlignment="1" applyProtection="1">
      <alignment horizontal="center" vertical="center" wrapText="1"/>
    </xf>
    <xf numFmtId="1" fontId="7" fillId="0" borderId="100" xfId="125" applyNumberFormat="1" applyFont="1" applyFill="1" applyBorder="1" applyAlignment="1" applyProtection="1">
      <alignment horizontal="center" vertical="center" wrapText="1"/>
    </xf>
    <xf numFmtId="1" fontId="7" fillId="0" borderId="195" xfId="125" applyNumberFormat="1" applyFont="1" applyFill="1" applyBorder="1" applyAlignment="1" applyProtection="1">
      <alignment horizontal="center" vertical="center" wrapText="1"/>
    </xf>
    <xf numFmtId="1" fontId="7" fillId="0" borderId="194" xfId="125" quotePrefix="1" applyNumberFormat="1" applyFont="1" applyFill="1" applyBorder="1" applyAlignment="1" applyProtection="1">
      <alignment horizontal="center" vertical="center" wrapText="1"/>
    </xf>
    <xf numFmtId="1" fontId="7" fillId="0" borderId="198" xfId="125" quotePrefix="1" applyNumberFormat="1" applyFont="1" applyFill="1" applyBorder="1" applyAlignment="1" applyProtection="1">
      <alignment horizontal="center" vertical="center" wrapText="1"/>
    </xf>
    <xf numFmtId="1" fontId="30" fillId="0" borderId="196" xfId="125" applyNumberFormat="1" applyFont="1" applyFill="1" applyBorder="1" applyAlignment="1" applyProtection="1">
      <alignment horizontal="center" vertical="center" wrapText="1"/>
    </xf>
    <xf numFmtId="1" fontId="30" fillId="0" borderId="79" xfId="125" applyNumberFormat="1" applyFont="1" applyFill="1" applyBorder="1" applyAlignment="1" applyProtection="1">
      <alignment horizontal="center" vertical="center" wrapText="1"/>
    </xf>
    <xf numFmtId="1" fontId="30" fillId="0" borderId="11" xfId="125" applyNumberFormat="1" applyFont="1" applyFill="1" applyBorder="1" applyAlignment="1" applyProtection="1">
      <alignment horizontal="center" vertical="center" wrapText="1"/>
    </xf>
    <xf numFmtId="1" fontId="7" fillId="0" borderId="4" xfId="0" applyNumberFormat="1" applyFont="1" applyBorder="1" applyAlignment="1" applyProtection="1">
      <alignment horizontal="center" vertical="center" wrapText="1"/>
    </xf>
    <xf numFmtId="1" fontId="7" fillId="0" borderId="49" xfId="0" applyNumberFormat="1" applyFont="1" applyBorder="1" applyAlignment="1" applyProtection="1">
      <alignment horizontal="center" vertical="center" wrapText="1"/>
    </xf>
    <xf numFmtId="1" fontId="7" fillId="0" borderId="6" xfId="0" applyNumberFormat="1" applyFont="1" applyBorder="1" applyAlignment="1" applyProtection="1">
      <alignment horizontal="center" vertical="center" wrapText="1"/>
    </xf>
    <xf numFmtId="1" fontId="7" fillId="0" borderId="29" xfId="0" applyNumberFormat="1" applyFont="1" applyBorder="1" applyAlignment="1" applyProtection="1">
      <alignment horizontal="center" vertical="center" wrapText="1"/>
    </xf>
    <xf numFmtId="1" fontId="7" fillId="0" borderId="191" xfId="125" applyNumberFormat="1" applyFont="1" applyFill="1" applyBorder="1" applyAlignment="1" applyProtection="1">
      <alignment horizontal="left" vertical="center"/>
    </xf>
    <xf numFmtId="1" fontId="7" fillId="0" borderId="67" xfId="125" applyNumberFormat="1" applyFont="1" applyFill="1" applyBorder="1" applyAlignment="1" applyProtection="1">
      <alignment horizontal="left" vertical="center"/>
    </xf>
    <xf numFmtId="1" fontId="7" fillId="0" borderId="96" xfId="125" applyNumberFormat="1" applyFont="1" applyFill="1" applyBorder="1" applyAlignment="1" applyProtection="1">
      <alignment horizontal="center" vertical="center" wrapText="1"/>
    </xf>
    <xf numFmtId="1" fontId="30" fillId="0" borderId="198" xfId="125" applyNumberFormat="1" applyFont="1" applyFill="1" applyBorder="1" applyAlignment="1" applyProtection="1">
      <alignment horizontal="center" vertical="center" wrapText="1"/>
    </xf>
    <xf numFmtId="1" fontId="7" fillId="0" borderId="76" xfId="125" applyNumberFormat="1" applyFont="1" applyFill="1" applyBorder="1" applyAlignment="1" applyProtection="1">
      <alignment horizontal="left" vertical="center" wrapText="1"/>
    </xf>
    <xf numFmtId="1" fontId="7" fillId="0" borderId="39" xfId="125" applyNumberFormat="1" applyFont="1" applyFill="1" applyBorder="1" applyAlignment="1" applyProtection="1">
      <alignment horizontal="left" vertical="center" wrapText="1"/>
    </xf>
    <xf numFmtId="1" fontId="7" fillId="0" borderId="10" xfId="0" applyNumberFormat="1" applyFont="1" applyFill="1" applyBorder="1" applyAlignment="1" applyProtection="1">
      <alignment horizontal="center"/>
    </xf>
    <xf numFmtId="1" fontId="7" fillId="0" borderId="67" xfId="0" applyNumberFormat="1" applyFont="1" applyFill="1" applyBorder="1" applyAlignment="1" applyProtection="1">
      <alignment horizontal="center"/>
    </xf>
    <xf numFmtId="1" fontId="7" fillId="0" borderId="1" xfId="126" quotePrefix="1" applyNumberFormat="1" applyFont="1" applyFill="1" applyBorder="1" applyAlignment="1" applyProtection="1">
      <alignment horizontal="center" vertical="center"/>
      <protection hidden="1"/>
    </xf>
    <xf numFmtId="1" fontId="7" fillId="0" borderId="10" xfId="0" applyNumberFormat="1" applyFont="1" applyFill="1" applyBorder="1" applyAlignment="1" applyProtection="1">
      <alignment horizontal="center" vertical="center" wrapText="1"/>
    </xf>
    <xf numFmtId="1" fontId="7" fillId="0" borderId="67" xfId="0" applyNumberFormat="1" applyFont="1" applyFill="1" applyBorder="1" applyAlignment="1" applyProtection="1">
      <alignment horizontal="center" vertical="center" wrapText="1"/>
    </xf>
    <xf numFmtId="1" fontId="7" fillId="0" borderId="10" xfId="109" applyNumberFormat="1" applyFont="1" applyFill="1" applyBorder="1" applyAlignment="1" applyProtection="1">
      <alignment horizontal="center" vertical="center" wrapText="1"/>
    </xf>
    <xf numFmtId="1" fontId="7" fillId="0" borderId="67" xfId="109" applyNumberFormat="1" applyFont="1" applyFill="1" applyBorder="1" applyAlignment="1" applyProtection="1">
      <alignment horizontal="center" vertical="center" wrapText="1"/>
    </xf>
    <xf numFmtId="1" fontId="31" fillId="0" borderId="10" xfId="127" applyNumberFormat="1" applyFont="1" applyFill="1" applyBorder="1" applyAlignment="1" applyProtection="1">
      <protection hidden="1"/>
    </xf>
    <xf numFmtId="1" fontId="31" fillId="0" borderId="67" xfId="127" applyNumberFormat="1" applyFont="1" applyFill="1" applyBorder="1" applyAlignment="1" applyProtection="1">
      <protection hidden="1"/>
    </xf>
    <xf numFmtId="1" fontId="15" fillId="22" borderId="96" xfId="126" applyNumberFormat="1" applyFont="1" applyFill="1" applyBorder="1" applyAlignment="1" applyProtection="1">
      <alignment horizontal="left"/>
    </xf>
    <xf numFmtId="1" fontId="7" fillId="0" borderId="196" xfId="127" applyNumberFormat="1" applyFont="1" applyFill="1" applyBorder="1" applyAlignment="1" applyProtection="1">
      <alignment horizontal="center" vertical="center" wrapText="1"/>
    </xf>
    <xf numFmtId="1" fontId="7" fillId="0" borderId="79" xfId="127" applyNumberFormat="1" applyFont="1" applyFill="1" applyBorder="1" applyAlignment="1" applyProtection="1">
      <alignment horizontal="center" vertical="center" wrapText="1"/>
    </xf>
    <xf numFmtId="1" fontId="7" fillId="0" borderId="11" xfId="0" applyNumberFormat="1" applyFont="1" applyBorder="1" applyAlignment="1" applyProtection="1">
      <alignment horizontal="center" vertical="center" wrapText="1"/>
    </xf>
    <xf numFmtId="1" fontId="7" fillId="0" borderId="79" xfId="0" applyNumberFormat="1" applyFont="1" applyBorder="1" applyAlignment="1" applyProtection="1">
      <alignment horizontal="center" vertical="center" wrapText="1"/>
    </xf>
    <xf numFmtId="1" fontId="7" fillId="0" borderId="1" xfId="126" applyNumberFormat="1" applyFont="1" applyFill="1" applyBorder="1" applyAlignment="1" applyProtection="1">
      <alignment horizontal="center" vertical="center" wrapText="1"/>
    </xf>
    <xf numFmtId="1" fontId="7" fillId="0" borderId="139" xfId="0" applyNumberFormat="1" applyFont="1" applyBorder="1" applyAlignment="1" applyProtection="1">
      <alignment horizontal="center"/>
    </xf>
    <xf numFmtId="1" fontId="7" fillId="0" borderId="1" xfId="126" applyNumberFormat="1" applyFont="1" applyFill="1" applyBorder="1" applyAlignment="1" applyProtection="1">
      <alignment horizontal="center" vertical="center"/>
    </xf>
    <xf numFmtId="1" fontId="7" fillId="0" borderId="48" xfId="109" applyNumberFormat="1" applyFont="1" applyFill="1" applyBorder="1" applyAlignment="1" applyProtection="1">
      <alignment horizontal="center" vertical="center" wrapText="1"/>
    </xf>
    <xf numFmtId="1" fontId="7" fillId="0" borderId="157" xfId="109" applyNumberFormat="1" applyFont="1" applyFill="1" applyBorder="1" applyAlignment="1" applyProtection="1">
      <alignment horizontal="center" vertical="center" wrapText="1"/>
    </xf>
    <xf numFmtId="1" fontId="7" fillId="0" borderId="28" xfId="109" applyNumberFormat="1" applyFont="1" applyFill="1" applyBorder="1" applyAlignment="1" applyProtection="1">
      <alignment horizontal="center" vertical="center" wrapText="1"/>
    </xf>
    <xf numFmtId="1" fontId="7" fillId="0" borderId="1" xfId="0" applyNumberFormat="1" applyFont="1" applyBorder="1" applyAlignment="1" applyProtection="1">
      <alignment horizontal="center"/>
    </xf>
    <xf numFmtId="1" fontId="7" fillId="0" borderId="10" xfId="0" applyNumberFormat="1" applyFont="1" applyBorder="1" applyAlignment="1" applyProtection="1">
      <alignment horizontal="center"/>
    </xf>
    <xf numFmtId="1" fontId="7" fillId="0" borderId="96" xfId="109" applyNumberFormat="1" applyFont="1" applyFill="1" applyBorder="1" applyAlignment="1" applyProtection="1">
      <alignment horizontal="center" vertical="center" wrapText="1"/>
    </xf>
    <xf numFmtId="1" fontId="7" fillId="0" borderId="78" xfId="125" applyNumberFormat="1" applyFont="1" applyFill="1" applyBorder="1" applyAlignment="1" applyProtection="1">
      <alignment horizontal="left" vertical="center" wrapText="1"/>
    </xf>
    <xf numFmtId="1" fontId="7" fillId="0" borderId="139" xfId="125" applyNumberFormat="1" applyFont="1" applyFill="1" applyBorder="1" applyAlignment="1" applyProtection="1">
      <alignment horizontal="left" vertical="center" wrapText="1"/>
    </xf>
    <xf numFmtId="1" fontId="7" fillId="0" borderId="79" xfId="0" applyNumberFormat="1" applyFont="1" applyBorder="1" applyAlignment="1" applyProtection="1">
      <alignment horizontal="left" vertical="center" wrapText="1"/>
    </xf>
    <xf numFmtId="1" fontId="7" fillId="0" borderId="11" xfId="0" applyNumberFormat="1" applyFont="1" applyBorder="1" applyAlignment="1" applyProtection="1">
      <alignment horizontal="left" vertical="center" wrapText="1"/>
    </xf>
    <xf numFmtId="1" fontId="7" fillId="0" borderId="49" xfId="127" applyNumberFormat="1" applyFont="1" applyFill="1" applyBorder="1" applyAlignment="1" applyProtection="1">
      <alignment horizontal="left" vertical="center" wrapText="1"/>
    </xf>
    <xf numFmtId="1" fontId="7" fillId="0" borderId="100" xfId="0" applyNumberFormat="1" applyFont="1" applyBorder="1" applyAlignment="1" applyProtection="1">
      <alignment horizontal="left" vertical="center" wrapText="1"/>
    </xf>
    <xf numFmtId="1" fontId="7" fillId="0" borderId="29" xfId="0" applyNumberFormat="1" applyFont="1" applyBorder="1" applyAlignment="1" applyProtection="1">
      <alignment horizontal="left" vertical="center" wrapText="1"/>
    </xf>
    <xf numFmtId="1" fontId="7" fillId="0" borderId="139" xfId="127" applyNumberFormat="1" applyFont="1" applyFill="1" applyBorder="1" applyAlignment="1" applyProtection="1">
      <alignment horizontal="left" vertical="center" wrapText="1"/>
    </xf>
    <xf numFmtId="1" fontId="35" fillId="0" borderId="140" xfId="126" applyNumberFormat="1" applyFont="1" applyFill="1" applyBorder="1" applyAlignment="1" applyProtection="1">
      <alignment horizontal="center" vertical="center" wrapText="1"/>
    </xf>
    <xf numFmtId="1" fontId="35" fillId="0" borderId="49" xfId="126" applyNumberFormat="1" applyFont="1" applyFill="1" applyBorder="1" applyAlignment="1" applyProtection="1">
      <alignment horizontal="center" vertical="center" wrapText="1"/>
    </xf>
    <xf numFmtId="1" fontId="35" fillId="0" borderId="97" xfId="126" applyNumberFormat="1" applyFont="1" applyFill="1" applyBorder="1" applyAlignment="1" applyProtection="1">
      <alignment horizontal="center" vertical="center" wrapText="1"/>
    </xf>
    <xf numFmtId="1" fontId="35" fillId="0" borderId="29" xfId="126" applyNumberFormat="1" applyFont="1" applyFill="1" applyBorder="1" applyAlignment="1" applyProtection="1">
      <alignment horizontal="center" vertical="center" wrapText="1"/>
    </xf>
    <xf numFmtId="1" fontId="7" fillId="0" borderId="76" xfId="126" applyNumberFormat="1" applyFont="1" applyFill="1" applyBorder="1" applyAlignment="1" applyProtection="1">
      <alignment horizontal="left" vertical="center" wrapText="1"/>
    </xf>
    <xf numFmtId="1" fontId="7" fillId="0" borderId="39" xfId="126" applyNumberFormat="1" applyFont="1" applyFill="1" applyBorder="1" applyAlignment="1" applyProtection="1">
      <alignment horizontal="left" vertical="center" wrapText="1"/>
    </xf>
    <xf numFmtId="1" fontId="7" fillId="0" borderId="35" xfId="126" applyNumberFormat="1" applyFont="1" applyFill="1" applyBorder="1" applyAlignment="1" applyProtection="1">
      <alignment horizontal="left" vertical="center" wrapText="1"/>
    </xf>
    <xf numFmtId="1" fontId="7" fillId="0" borderId="50" xfId="126" applyNumberFormat="1" applyFont="1" applyFill="1" applyBorder="1" applyAlignment="1" applyProtection="1">
      <alignment horizontal="center" vertical="center" wrapText="1"/>
    </xf>
    <xf numFmtId="1" fontId="7" fillId="0" borderId="120" xfId="126" applyNumberFormat="1" applyFont="1" applyFill="1" applyBorder="1" applyAlignment="1" applyProtection="1">
      <alignment horizontal="center" vertical="center" wrapText="1"/>
    </xf>
    <xf numFmtId="1" fontId="7" fillId="0" borderId="88" xfId="126" applyNumberFormat="1" applyFont="1" applyFill="1" applyBorder="1" applyAlignment="1" applyProtection="1">
      <alignment horizontal="center" vertical="center" wrapText="1"/>
    </xf>
    <xf numFmtId="1" fontId="31" fillId="0" borderId="122" xfId="0" applyNumberFormat="1" applyFont="1" applyBorder="1" applyAlignment="1" applyProtection="1">
      <alignment horizontal="center" vertical="center" wrapText="1"/>
    </xf>
    <xf numFmtId="1" fontId="7" fillId="0" borderId="76" xfId="127" applyNumberFormat="1" applyFont="1" applyFill="1" applyBorder="1" applyAlignment="1" applyProtection="1">
      <alignment horizontal="left" vertical="center" wrapText="1"/>
    </xf>
    <xf numFmtId="1" fontId="7" fillId="0" borderId="39" xfId="127" applyNumberFormat="1" applyFont="1" applyFill="1" applyBorder="1" applyAlignment="1" applyProtection="1">
      <alignment horizontal="left" vertical="center" wrapText="1"/>
    </xf>
    <xf numFmtId="1" fontId="7" fillId="0" borderId="128" xfId="0" applyNumberFormat="1" applyFont="1" applyBorder="1" applyAlignment="1" applyProtection="1">
      <alignment horizontal="left" vertical="center"/>
    </xf>
    <xf numFmtId="1" fontId="7" fillId="0" borderId="39" xfId="0" applyNumberFormat="1" applyFont="1" applyBorder="1" applyAlignment="1" applyProtection="1">
      <alignment horizontal="left" vertical="center"/>
    </xf>
    <xf numFmtId="1" fontId="7" fillId="0" borderId="76" xfId="125" applyNumberFormat="1" applyFont="1" applyFill="1" applyBorder="1" applyAlignment="1" applyProtection="1">
      <alignment vertical="center" wrapText="1"/>
    </xf>
    <xf numFmtId="1" fontId="7" fillId="0" borderId="39" xfId="125" applyNumberFormat="1" applyFont="1" applyFill="1" applyBorder="1" applyAlignment="1" applyProtection="1">
      <alignment vertical="center" wrapText="1"/>
    </xf>
    <xf numFmtId="1" fontId="7" fillId="0" borderId="41" xfId="126" applyNumberFormat="1" applyFont="1" applyFill="1" applyBorder="1" applyAlignment="1" applyProtection="1">
      <alignment horizontal="center" vertical="center" wrapText="1"/>
    </xf>
    <xf numFmtId="1" fontId="7" fillId="0" borderId="131" xfId="126" applyNumberFormat="1" applyFont="1" applyFill="1" applyBorder="1" applyAlignment="1" applyProtection="1">
      <alignment horizontal="center" vertical="center" wrapText="1"/>
    </xf>
    <xf numFmtId="1" fontId="7" fillId="0" borderId="175" xfId="126" applyNumberFormat="1" applyFont="1" applyFill="1" applyBorder="1" applyAlignment="1" applyProtection="1">
      <alignment horizontal="center" vertical="center" wrapText="1"/>
    </xf>
    <xf numFmtId="1" fontId="7" fillId="0" borderId="128" xfId="126" applyNumberFormat="1" applyFont="1" applyFill="1" applyBorder="1" applyAlignment="1" applyProtection="1">
      <alignment horizontal="left" vertical="center" wrapText="1"/>
    </xf>
    <xf numFmtId="1" fontId="7" fillId="0" borderId="128" xfId="127" applyNumberFormat="1" applyFont="1" applyFill="1" applyBorder="1" applyAlignment="1" applyProtection="1">
      <alignment horizontal="left" vertical="center" wrapText="1"/>
    </xf>
    <xf numFmtId="1" fontId="15" fillId="0" borderId="0" xfId="126" applyNumberFormat="1" applyFont="1" applyFill="1" applyBorder="1" applyAlignment="1" applyProtection="1">
      <alignment horizontal="left"/>
    </xf>
    <xf numFmtId="1" fontId="31" fillId="0" borderId="125" xfId="0" applyNumberFormat="1" applyFont="1" applyBorder="1" applyAlignment="1" applyProtection="1">
      <alignment horizontal="center" vertical="center" wrapText="1"/>
    </xf>
    <xf numFmtId="1" fontId="31" fillId="0" borderId="96" xfId="0" applyNumberFormat="1" applyFont="1" applyBorder="1" applyAlignment="1" applyProtection="1">
      <alignment horizontal="center" vertical="center" wrapText="1"/>
    </xf>
    <xf numFmtId="1" fontId="31" fillId="0" borderId="67" xfId="0" applyNumberFormat="1" applyFont="1" applyBorder="1" applyAlignment="1" applyProtection="1">
      <alignment horizontal="center" vertical="center" wrapText="1"/>
    </xf>
    <xf numFmtId="1" fontId="7" fillId="0" borderId="4" xfId="109" applyNumberFormat="1" applyFont="1" applyFill="1" applyBorder="1" applyAlignment="1" applyProtection="1">
      <alignment horizontal="center" vertical="center" wrapText="1"/>
    </xf>
    <xf numFmtId="1" fontId="7" fillId="0" borderId="49" xfId="109" applyNumberFormat="1" applyFont="1" applyFill="1" applyBorder="1" applyAlignment="1" applyProtection="1">
      <alignment horizontal="center" vertical="center" wrapText="1"/>
    </xf>
    <xf numFmtId="1" fontId="7" fillId="0" borderId="6" xfId="109" applyNumberFormat="1" applyFont="1" applyFill="1" applyBorder="1" applyAlignment="1" applyProtection="1">
      <alignment horizontal="center" vertical="center" wrapText="1"/>
    </xf>
    <xf numFmtId="1" fontId="7" fillId="0" borderId="29" xfId="109" applyNumberFormat="1" applyFont="1" applyFill="1" applyBorder="1" applyAlignment="1" applyProtection="1">
      <alignment horizontal="center" vertical="center" wrapText="1"/>
    </xf>
    <xf numFmtId="165" fontId="30" fillId="0" borderId="4" xfId="125" applyNumberFormat="1" applyFont="1" applyFill="1" applyBorder="1" applyAlignment="1" applyProtection="1">
      <alignment horizontal="center" vertical="center"/>
    </xf>
    <xf numFmtId="165" fontId="30" fillId="0" borderId="197" xfId="125" applyNumberFormat="1" applyFont="1" applyFill="1" applyBorder="1" applyAlignment="1" applyProtection="1">
      <alignment horizontal="center" vertical="center"/>
    </xf>
    <xf numFmtId="165" fontId="30" fillId="0" borderId="0" xfId="125" applyNumberFormat="1" applyFont="1" applyFill="1" applyBorder="1" applyAlignment="1" applyProtection="1">
      <alignment horizontal="center" vertical="center"/>
    </xf>
    <xf numFmtId="165" fontId="30" fillId="0" borderId="100" xfId="125" applyNumberFormat="1" applyFont="1" applyFill="1" applyBorder="1" applyAlignment="1" applyProtection="1">
      <alignment horizontal="center" vertical="center"/>
    </xf>
    <xf numFmtId="165" fontId="30" fillId="0" borderId="6" xfId="125" applyNumberFormat="1" applyFont="1" applyFill="1" applyBorder="1" applyAlignment="1" applyProtection="1">
      <alignment horizontal="center" vertical="center"/>
    </xf>
    <xf numFmtId="165" fontId="30" fillId="0" borderId="29" xfId="125" applyNumberFormat="1" applyFont="1" applyFill="1" applyBorder="1" applyAlignment="1" applyProtection="1">
      <alignment horizontal="center" vertical="center"/>
    </xf>
    <xf numFmtId="1" fontId="30" fillId="0" borderId="210" xfId="126" applyNumberFormat="1" applyFont="1" applyFill="1" applyBorder="1" applyAlignment="1" applyProtection="1">
      <alignment horizontal="center" vertical="center" wrapText="1"/>
    </xf>
    <xf numFmtId="1" fontId="30" fillId="0" borderId="4" xfId="126" applyNumberFormat="1" applyFont="1" applyFill="1" applyBorder="1" applyAlignment="1" applyProtection="1">
      <alignment horizontal="center" vertical="center" wrapText="1"/>
    </xf>
    <xf numFmtId="1" fontId="30" fillId="0" borderId="197" xfId="126" applyNumberFormat="1" applyFont="1" applyFill="1" applyBorder="1" applyAlignment="1" applyProtection="1">
      <alignment horizontal="center" vertical="center" wrapText="1"/>
    </xf>
    <xf numFmtId="1" fontId="30" fillId="0" borderId="190" xfId="126" applyNumberFormat="1" applyFont="1" applyFill="1" applyBorder="1" applyAlignment="1" applyProtection="1">
      <alignment horizontal="center" vertical="center" wrapText="1"/>
    </xf>
    <xf numFmtId="1" fontId="30" fillId="0" borderId="0" xfId="126" applyNumberFormat="1" applyFont="1" applyFill="1" applyBorder="1" applyAlignment="1" applyProtection="1">
      <alignment horizontal="center" vertical="center" wrapText="1"/>
    </xf>
    <xf numFmtId="1" fontId="30" fillId="0" borderId="100" xfId="126" applyNumberFormat="1" applyFont="1" applyFill="1" applyBorder="1" applyAlignment="1" applyProtection="1">
      <alignment horizontal="center" vertical="center" wrapText="1"/>
    </xf>
    <xf numFmtId="1" fontId="30" fillId="0" borderId="97" xfId="126" applyNumberFormat="1" applyFont="1" applyFill="1" applyBorder="1" applyAlignment="1" applyProtection="1">
      <alignment horizontal="center" vertical="center" wrapText="1"/>
    </xf>
    <xf numFmtId="1" fontId="30" fillId="0" borderId="6" xfId="126" applyNumberFormat="1" applyFont="1" applyFill="1" applyBorder="1" applyAlignment="1" applyProtection="1">
      <alignment horizontal="center" vertical="center" wrapText="1"/>
    </xf>
    <xf numFmtId="1" fontId="30" fillId="0" borderId="29" xfId="126" applyNumberFormat="1" applyFont="1" applyFill="1" applyBorder="1" applyAlignment="1" applyProtection="1">
      <alignment horizontal="center" vertical="center" wrapText="1"/>
    </xf>
    <xf numFmtId="1" fontId="30" fillId="0" borderId="1" xfId="0" applyNumberFormat="1" applyFont="1" applyBorder="1" applyAlignment="1">
      <alignment horizontal="center" vertical="center"/>
    </xf>
    <xf numFmtId="0" fontId="43" fillId="0" borderId="1" xfId="0" applyFont="1" applyBorder="1" applyAlignment="1">
      <alignment horizontal="center" vertical="center"/>
    </xf>
    <xf numFmtId="1" fontId="30" fillId="17" borderId="1" xfId="0" applyNumberFormat="1" applyFont="1" applyFill="1" applyBorder="1" applyAlignment="1">
      <alignment horizontal="center" vertical="center"/>
    </xf>
    <xf numFmtId="1" fontId="15" fillId="0" borderId="0" xfId="126" applyNumberFormat="1" applyFont="1" applyFill="1" applyBorder="1" applyAlignment="1" applyProtection="1">
      <alignment horizontal="center" vertical="center" wrapText="1"/>
    </xf>
    <xf numFmtId="1" fontId="11" fillId="0" borderId="139" xfId="126" applyNumberFormat="1" applyFont="1" applyFill="1" applyBorder="1" applyAlignment="1" applyProtection="1">
      <alignment horizontal="center" vertical="center" wrapText="1"/>
    </xf>
    <xf numFmtId="1" fontId="11" fillId="0" borderId="79" xfId="126" applyNumberFormat="1" applyFont="1" applyFill="1" applyBorder="1" applyAlignment="1" applyProtection="1">
      <alignment horizontal="center" vertical="center" wrapText="1"/>
    </xf>
    <xf numFmtId="1" fontId="42" fillId="0" borderId="6" xfId="126" applyNumberFormat="1" applyFont="1" applyFill="1" applyBorder="1" applyAlignment="1" applyProtection="1">
      <alignment horizontal="left"/>
    </xf>
    <xf numFmtId="1" fontId="30" fillId="17" borderId="10" xfId="0" applyNumberFormat="1" applyFont="1" applyFill="1" applyBorder="1" applyAlignment="1">
      <alignment horizontal="center" vertical="center"/>
    </xf>
    <xf numFmtId="1" fontId="30" fillId="17" borderId="194" xfId="0" applyNumberFormat="1" applyFont="1" applyFill="1" applyBorder="1" applyAlignment="1">
      <alignment horizontal="center" vertical="center"/>
    </xf>
    <xf numFmtId="1" fontId="30" fillId="17" borderId="195" xfId="0" applyNumberFormat="1" applyFont="1" applyFill="1" applyBorder="1" applyAlignment="1">
      <alignment horizontal="center" vertical="center"/>
    </xf>
    <xf numFmtId="1" fontId="30" fillId="0" borderId="210" xfId="0" applyNumberFormat="1" applyFont="1" applyBorder="1" applyAlignment="1">
      <alignment horizontal="center" vertical="center"/>
    </xf>
    <xf numFmtId="1" fontId="30" fillId="0" borderId="197" xfId="0" applyNumberFormat="1" applyFont="1" applyBorder="1" applyAlignment="1">
      <alignment horizontal="center" vertical="center"/>
    </xf>
    <xf numFmtId="1" fontId="30" fillId="0" borderId="1" xfId="0" applyNumberFormat="1" applyFont="1" applyBorder="1" applyAlignment="1">
      <alignment horizontal="center" vertical="center" wrapText="1"/>
    </xf>
    <xf numFmtId="1" fontId="30" fillId="0" borderId="4" xfId="0" applyNumberFormat="1" applyFont="1" applyBorder="1" applyAlignment="1">
      <alignment horizontal="center" vertical="center"/>
    </xf>
    <xf numFmtId="1" fontId="30" fillId="0" borderId="10" xfId="0" applyNumberFormat="1" applyFont="1" applyBorder="1" applyAlignment="1">
      <alignment horizontal="center" vertical="center"/>
    </xf>
    <xf numFmtId="1" fontId="30" fillId="0" borderId="195" xfId="0" applyNumberFormat="1" applyFont="1" applyBorder="1" applyAlignment="1">
      <alignment horizontal="center" vertical="center"/>
    </xf>
    <xf numFmtId="1" fontId="30" fillId="0" borderId="194" xfId="0" applyNumberFormat="1" applyFont="1" applyBorder="1" applyAlignment="1">
      <alignment horizontal="center" vertical="center"/>
    </xf>
    <xf numFmtId="1" fontId="7" fillId="0" borderId="100" xfId="0" applyNumberFormat="1" applyFont="1" applyBorder="1" applyAlignment="1" applyProtection="1">
      <alignment horizontal="center" vertical="center" wrapText="1"/>
    </xf>
    <xf numFmtId="1" fontId="31" fillId="0" borderId="196" xfId="126" applyNumberFormat="1" applyFont="1" applyFill="1" applyBorder="1" applyAlignment="1" applyProtection="1">
      <alignment horizontal="center" vertical="center" wrapText="1"/>
      <protection hidden="1"/>
    </xf>
    <xf numFmtId="1" fontId="31" fillId="0" borderId="79" xfId="126" applyNumberFormat="1" applyFont="1" applyFill="1" applyBorder="1" applyAlignment="1" applyProtection="1">
      <alignment horizontal="center" vertical="center" wrapText="1"/>
      <protection hidden="1"/>
    </xf>
    <xf numFmtId="1" fontId="31" fillId="0" borderId="11" xfId="126" applyNumberFormat="1" applyFont="1" applyFill="1" applyBorder="1" applyAlignment="1" applyProtection="1">
      <alignment horizontal="center" vertical="center" wrapText="1"/>
      <protection hidden="1"/>
    </xf>
    <xf numFmtId="1" fontId="7" fillId="22" borderId="76" xfId="126" applyNumberFormat="1" applyFont="1" applyFill="1" applyBorder="1" applyAlignment="1" applyProtection="1">
      <alignment horizontal="left" vertical="center" wrapText="1"/>
      <protection hidden="1"/>
    </xf>
    <xf numFmtId="1" fontId="7" fillId="22" borderId="39" xfId="126" applyNumberFormat="1" applyFont="1" applyFill="1" applyBorder="1" applyAlignment="1" applyProtection="1">
      <alignment horizontal="left" vertical="center" wrapText="1"/>
      <protection hidden="1"/>
    </xf>
    <xf numFmtId="1" fontId="7" fillId="22" borderId="97" xfId="126" applyNumberFormat="1" applyFont="1" applyFill="1" applyBorder="1" applyAlignment="1" applyProtection="1">
      <alignment horizontal="left" vertical="center" wrapText="1"/>
      <protection hidden="1"/>
    </xf>
    <xf numFmtId="1" fontId="7" fillId="22" borderId="29" xfId="126" applyNumberFormat="1" applyFont="1" applyFill="1" applyBorder="1" applyAlignment="1" applyProtection="1">
      <alignment horizontal="left" vertical="center" wrapText="1"/>
      <protection hidden="1"/>
    </xf>
    <xf numFmtId="0" fontId="7" fillId="22" borderId="75" xfId="126" applyNumberFormat="1" applyFont="1" applyFill="1" applyBorder="1" applyAlignment="1" applyProtection="1">
      <alignment horizontal="left"/>
    </xf>
    <xf numFmtId="0" fontId="7" fillId="22" borderId="27" xfId="126" applyNumberFormat="1" applyFont="1" applyFill="1" applyBorder="1" applyAlignment="1" applyProtection="1">
      <alignment horizontal="left"/>
    </xf>
    <xf numFmtId="1" fontId="7" fillId="0" borderId="9" xfId="126" applyNumberFormat="1" applyFont="1" applyFill="1" applyBorder="1" applyAlignment="1" applyProtection="1">
      <alignment horizontal="left" wrapText="1"/>
      <protection hidden="1"/>
    </xf>
    <xf numFmtId="1" fontId="7" fillId="0" borderId="100" xfId="126" applyNumberFormat="1" applyFont="1" applyFill="1" applyBorder="1" applyAlignment="1" applyProtection="1">
      <alignment horizontal="left" wrapText="1"/>
      <protection hidden="1"/>
    </xf>
    <xf numFmtId="1" fontId="7" fillId="22" borderId="77" xfId="126" applyNumberFormat="1" applyFont="1" applyFill="1" applyBorder="1" applyAlignment="1" applyProtection="1">
      <alignment horizontal="left" vertical="center" wrapText="1"/>
      <protection hidden="1"/>
    </xf>
    <xf numFmtId="1" fontId="7" fillId="22" borderId="34" xfId="126" applyNumberFormat="1" applyFont="1" applyFill="1" applyBorder="1" applyAlignment="1" applyProtection="1">
      <alignment horizontal="left" vertical="center" wrapText="1"/>
      <protection hidden="1"/>
    </xf>
    <xf numFmtId="1" fontId="11" fillId="0" borderId="210" xfId="126" applyNumberFormat="1" applyFont="1" applyFill="1" applyBorder="1" applyAlignment="1" applyProtection="1">
      <alignment horizontal="center" vertical="center"/>
      <protection hidden="1"/>
    </xf>
    <xf numFmtId="1" fontId="11" fillId="0" borderId="197" xfId="126" applyNumberFormat="1" applyFont="1" applyFill="1" applyBorder="1" applyAlignment="1" applyProtection="1">
      <alignment horizontal="center" vertical="center"/>
      <protection hidden="1"/>
    </xf>
    <xf numFmtId="1" fontId="11" fillId="0" borderId="190" xfId="126" applyNumberFormat="1" applyFont="1" applyFill="1" applyBorder="1" applyAlignment="1" applyProtection="1">
      <alignment horizontal="center" vertical="center"/>
      <protection hidden="1"/>
    </xf>
    <xf numFmtId="1" fontId="11" fillId="0" borderId="100" xfId="126" applyNumberFormat="1" applyFont="1" applyFill="1" applyBorder="1" applyAlignment="1" applyProtection="1">
      <alignment horizontal="center" vertical="center"/>
      <protection hidden="1"/>
    </xf>
    <xf numFmtId="1" fontId="11" fillId="0" borderId="97" xfId="126" applyNumberFormat="1" applyFont="1" applyFill="1" applyBorder="1" applyAlignment="1" applyProtection="1">
      <alignment horizontal="center" vertical="center"/>
      <protection hidden="1"/>
    </xf>
    <xf numFmtId="1" fontId="11" fillId="0" borderId="29" xfId="126" applyNumberFormat="1" applyFont="1" applyFill="1" applyBorder="1" applyAlignment="1" applyProtection="1">
      <alignment horizontal="center" vertical="center"/>
      <protection hidden="1"/>
    </xf>
    <xf numFmtId="0" fontId="43" fillId="22" borderId="11" xfId="0" applyFont="1" applyFill="1" applyBorder="1" applyAlignment="1">
      <alignment horizontal="left"/>
    </xf>
    <xf numFmtId="1" fontId="30" fillId="0" borderId="202" xfId="0" applyNumberFormat="1" applyFont="1" applyBorder="1" applyAlignment="1" applyProtection="1">
      <alignment horizontal="center" vertical="center" wrapText="1"/>
    </xf>
    <xf numFmtId="1" fontId="30" fillId="0" borderId="49" xfId="0" applyNumberFormat="1" applyFont="1" applyBorder="1" applyAlignment="1" applyProtection="1">
      <alignment horizontal="center" vertical="center" wrapText="1"/>
    </xf>
    <xf numFmtId="1" fontId="30" fillId="0" borderId="172" xfId="0" applyNumberFormat="1" applyFont="1" applyBorder="1" applyAlignment="1" applyProtection="1">
      <alignment horizontal="center" vertical="center" wrapText="1"/>
    </xf>
    <xf numFmtId="1" fontId="30" fillId="0" borderId="29" xfId="0" applyNumberFormat="1" applyFont="1" applyBorder="1" applyAlignment="1" applyProtection="1">
      <alignment horizontal="center" vertical="center" wrapText="1"/>
    </xf>
    <xf numFmtId="1" fontId="30" fillId="0" borderId="4" xfId="0" applyNumberFormat="1" applyFont="1" applyBorder="1" applyAlignment="1" applyProtection="1">
      <alignment horizontal="center" vertical="center" wrapText="1"/>
    </xf>
    <xf numFmtId="1" fontId="30" fillId="0" borderId="6" xfId="0" applyNumberFormat="1" applyFont="1" applyBorder="1" applyAlignment="1" applyProtection="1">
      <alignment horizontal="center" vertical="center" wrapText="1"/>
    </xf>
    <xf numFmtId="1" fontId="7" fillId="0" borderId="96" xfId="0" applyNumberFormat="1" applyFont="1" applyBorder="1" applyAlignment="1" applyProtection="1">
      <alignment horizontal="center"/>
    </xf>
    <xf numFmtId="1" fontId="7" fillId="0" borderId="65" xfId="0" applyNumberFormat="1" applyFont="1" applyBorder="1" applyAlignment="1" applyProtection="1">
      <alignment horizontal="center"/>
    </xf>
    <xf numFmtId="1" fontId="7" fillId="0" borderId="75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27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65" xfId="109" applyNumberFormat="1" applyFont="1" applyFill="1" applyBorder="1" applyAlignment="1" applyProtection="1">
      <alignment horizontal="center" vertical="center" wrapText="1"/>
    </xf>
    <xf numFmtId="1" fontId="7" fillId="0" borderId="10" xfId="126" quotePrefix="1" applyNumberFormat="1" applyFont="1" applyFill="1" applyBorder="1" applyAlignment="1" applyProtection="1">
      <alignment horizontal="center" vertical="center"/>
    </xf>
    <xf numFmtId="1" fontId="7" fillId="0" borderId="67" xfId="126" quotePrefix="1" applyNumberFormat="1" applyFont="1" applyFill="1" applyBorder="1" applyAlignment="1" applyProtection="1">
      <alignment horizontal="center" vertical="center"/>
    </xf>
    <xf numFmtId="1" fontId="7" fillId="0" borderId="210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4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97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97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29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94" xfId="0" applyNumberFormat="1" applyFont="1" applyBorder="1" applyAlignment="1" applyProtection="1">
      <alignment horizontal="center"/>
    </xf>
    <xf numFmtId="1" fontId="7" fillId="0" borderId="195" xfId="0" applyNumberFormat="1" applyFont="1" applyBorder="1" applyAlignment="1" applyProtection="1">
      <alignment horizontal="center"/>
    </xf>
    <xf numFmtId="1" fontId="7" fillId="0" borderId="10" xfId="126" quotePrefix="1" applyNumberFormat="1" applyFont="1" applyFill="1" applyBorder="1" applyAlignment="1" applyProtection="1">
      <alignment horizontal="center" vertical="center"/>
      <protection hidden="1"/>
    </xf>
    <xf numFmtId="1" fontId="7" fillId="0" borderId="195" xfId="126" quotePrefix="1" applyNumberFormat="1" applyFont="1" applyFill="1" applyBorder="1" applyAlignment="1" applyProtection="1">
      <alignment horizontal="center" vertical="center"/>
      <protection hidden="1"/>
    </xf>
    <xf numFmtId="1" fontId="7" fillId="0" borderId="195" xfId="126" quotePrefix="1" applyNumberFormat="1" applyFont="1" applyFill="1" applyBorder="1" applyAlignment="1" applyProtection="1">
      <alignment horizontal="center" vertical="center"/>
    </xf>
    <xf numFmtId="1" fontId="7" fillId="0" borderId="195" xfId="0" applyNumberFormat="1" applyFont="1" applyFill="1" applyBorder="1" applyAlignment="1" applyProtection="1">
      <alignment horizontal="center" vertical="center" wrapText="1"/>
    </xf>
    <xf numFmtId="1" fontId="7" fillId="0" borderId="195" xfId="109" applyNumberFormat="1" applyFont="1" applyFill="1" applyBorder="1" applyAlignment="1" applyProtection="1">
      <alignment horizontal="center" vertical="center" wrapText="1"/>
    </xf>
    <xf numFmtId="1" fontId="7" fillId="21" borderId="1" xfId="0" applyNumberFormat="1" applyFont="1" applyFill="1" applyBorder="1" applyAlignment="1" applyProtection="1">
      <alignment horizontal="center" vertical="center" wrapText="1"/>
    </xf>
    <xf numFmtId="1" fontId="7" fillId="17" borderId="196" xfId="126" applyNumberFormat="1" applyFont="1" applyFill="1" applyBorder="1" applyAlignment="1" applyProtection="1">
      <alignment horizontal="center" vertical="center" wrapText="1"/>
      <protection hidden="1"/>
    </xf>
    <xf numFmtId="1" fontId="7" fillId="17" borderId="11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76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39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139" xfId="0" applyNumberFormat="1" applyFont="1" applyBorder="1" applyAlignment="1" applyProtection="1">
      <alignment horizontal="center" vertical="center" wrapText="1"/>
    </xf>
    <xf numFmtId="1" fontId="7" fillId="0" borderId="1" xfId="126" applyNumberFormat="1" applyFont="1" applyFill="1" applyBorder="1" applyAlignment="1" applyProtection="1">
      <alignment horizontal="center" vertical="center" wrapText="1"/>
      <protection hidden="1"/>
    </xf>
    <xf numFmtId="1" fontId="15" fillId="0" borderId="6" xfId="126" applyNumberFormat="1" applyFont="1" applyFill="1" applyBorder="1" applyAlignment="1" applyProtection="1">
      <alignment horizontal="left" wrapText="1"/>
      <protection hidden="1"/>
    </xf>
    <xf numFmtId="1" fontId="7" fillId="0" borderId="139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79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1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7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5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204" xfId="0" applyNumberFormat="1" applyFont="1" applyBorder="1" applyAlignment="1" applyProtection="1">
      <alignment horizontal="center" vertical="center" wrapText="1"/>
    </xf>
    <xf numFmtId="1" fontId="7" fillId="0" borderId="196" xfId="0" applyNumberFormat="1" applyFont="1" applyBorder="1" applyAlignment="1" applyProtection="1">
      <alignment horizontal="center" vertical="center" wrapText="1"/>
    </xf>
    <xf numFmtId="1" fontId="7" fillId="0" borderId="150" xfId="0" applyNumberFormat="1" applyFont="1" applyBorder="1" applyAlignment="1" applyProtection="1">
      <alignment horizontal="center" vertical="center" wrapText="1"/>
    </xf>
    <xf numFmtId="1" fontId="11" fillId="0" borderId="10" xfId="126" applyNumberFormat="1" applyFont="1" applyFill="1" applyBorder="1" applyAlignment="1" applyProtection="1">
      <alignment horizontal="left" vertical="center" wrapText="1"/>
      <protection hidden="1"/>
    </xf>
    <xf numFmtId="1" fontId="11" fillId="0" borderId="96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140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97" xfId="126" applyNumberFormat="1" applyFont="1" applyFill="1" applyBorder="1" applyAlignment="1" applyProtection="1">
      <alignment horizontal="left" vertical="center" wrapText="1"/>
      <protection hidden="1"/>
    </xf>
    <xf numFmtId="1" fontId="30" fillId="22" borderId="76" xfId="126" applyNumberFormat="1" applyFont="1" applyFill="1" applyBorder="1" applyAlignment="1" applyProtection="1">
      <alignment horizontal="left" vertical="center"/>
      <protection hidden="1"/>
    </xf>
    <xf numFmtId="1" fontId="30" fillId="22" borderId="39" xfId="126" applyNumberFormat="1" applyFont="1" applyFill="1" applyBorder="1" applyAlignment="1" applyProtection="1">
      <alignment horizontal="left" vertical="center"/>
      <protection hidden="1"/>
    </xf>
    <xf numFmtId="1" fontId="7" fillId="0" borderId="80" xfId="126" applyNumberFormat="1" applyFont="1" applyFill="1" applyBorder="1" applyAlignment="1" applyProtection="1">
      <alignment horizontal="left" vertical="center"/>
      <protection hidden="1"/>
    </xf>
    <xf numFmtId="1" fontId="7" fillId="0" borderId="127" xfId="126" applyNumberFormat="1" applyFont="1" applyFill="1" applyBorder="1" applyAlignment="1" applyProtection="1">
      <alignment horizontal="left" vertical="center"/>
      <protection hidden="1"/>
    </xf>
    <xf numFmtId="1" fontId="7" fillId="0" borderId="77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34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76" xfId="126" applyNumberFormat="1" applyFont="1" applyFill="1" applyBorder="1" applyAlignment="1" applyProtection="1">
      <alignment horizontal="left" vertical="center"/>
      <protection hidden="1"/>
    </xf>
    <xf numFmtId="1" fontId="7" fillId="0" borderId="39" xfId="126" applyNumberFormat="1" applyFont="1" applyFill="1" applyBorder="1" applyAlignment="1" applyProtection="1">
      <alignment horizontal="left" vertical="center"/>
      <protection hidden="1"/>
    </xf>
    <xf numFmtId="1" fontId="7" fillId="0" borderId="1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140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49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7" xfId="126" quotePrefix="1" applyNumberFormat="1" applyFont="1" applyFill="1" applyBorder="1" applyAlignment="1" applyProtection="1">
      <alignment horizontal="center" vertical="center"/>
      <protection hidden="1"/>
    </xf>
    <xf numFmtId="1" fontId="31" fillId="21" borderId="1" xfId="0" applyNumberFormat="1" applyFont="1" applyFill="1" applyBorder="1" applyAlignment="1" applyProtection="1">
      <alignment horizontal="center" vertical="center" wrapText="1"/>
    </xf>
    <xf numFmtId="1" fontId="15" fillId="0" borderId="0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90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00" xfId="126" applyNumberFormat="1" applyFont="1" applyFill="1" applyBorder="1" applyAlignment="1" applyProtection="1">
      <alignment horizontal="center" vertical="center" wrapText="1"/>
      <protection hidden="1"/>
    </xf>
    <xf numFmtId="1" fontId="7" fillId="29" borderId="1" xfId="0" applyNumberFormat="1" applyFont="1" applyFill="1" applyBorder="1" applyAlignment="1" applyProtection="1">
      <alignment horizontal="center" vertical="center" wrapText="1"/>
    </xf>
    <xf numFmtId="1" fontId="15" fillId="0" borderId="0" xfId="127" applyNumberFormat="1" applyFont="1" applyFill="1" applyBorder="1" applyAlignment="1" applyProtection="1">
      <alignment horizontal="left" vertical="center" wrapText="1"/>
      <protection hidden="1"/>
    </xf>
    <xf numFmtId="1" fontId="31" fillId="0" borderId="139" xfId="0" applyNumberFormat="1" applyFont="1" applyBorder="1" applyAlignment="1" applyProtection="1">
      <alignment horizontal="center" vertical="center" wrapText="1"/>
    </xf>
    <xf numFmtId="1" fontId="7" fillId="0" borderId="1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10" xfId="127" applyNumberFormat="1" applyFont="1" applyFill="1" applyBorder="1" applyAlignment="1" applyProtection="1">
      <alignment horizontal="center" vertical="center"/>
      <protection hidden="1"/>
    </xf>
    <xf numFmtId="1" fontId="7" fillId="0" borderId="67" xfId="127" applyNumberFormat="1" applyFont="1" applyFill="1" applyBorder="1" applyAlignment="1" applyProtection="1">
      <alignment horizontal="center" vertical="center"/>
      <protection hidden="1"/>
    </xf>
    <xf numFmtId="1" fontId="7" fillId="0" borderId="1" xfId="127" applyNumberFormat="1" applyFont="1" applyFill="1" applyBorder="1" applyAlignment="1" applyProtection="1">
      <alignment horizontal="center" vertical="center"/>
      <protection hidden="1"/>
    </xf>
    <xf numFmtId="1" fontId="7" fillId="0" borderId="10" xfId="127" quotePrefix="1" applyNumberFormat="1" applyFont="1" applyFill="1" applyBorder="1" applyAlignment="1" applyProtection="1">
      <alignment horizontal="center" vertical="center"/>
      <protection hidden="1"/>
    </xf>
    <xf numFmtId="1" fontId="7" fillId="0" borderId="194" xfId="127" quotePrefix="1" applyNumberFormat="1" applyFont="1" applyFill="1" applyBorder="1" applyAlignment="1" applyProtection="1">
      <alignment horizontal="center" vertical="center"/>
      <protection hidden="1"/>
    </xf>
    <xf numFmtId="1" fontId="7" fillId="0" borderId="195" xfId="127" quotePrefix="1" applyNumberFormat="1" applyFont="1" applyFill="1" applyBorder="1" applyAlignment="1" applyProtection="1">
      <alignment horizontal="center" vertical="center"/>
      <protection hidden="1"/>
    </xf>
    <xf numFmtId="1" fontId="7" fillId="0" borderId="198" xfId="127" quotePrefix="1" applyNumberFormat="1" applyFont="1" applyFill="1" applyBorder="1" applyAlignment="1" applyProtection="1">
      <alignment horizontal="center" vertical="center"/>
      <protection hidden="1"/>
    </xf>
    <xf numFmtId="1" fontId="7" fillId="0" borderId="30" xfId="127" applyNumberFormat="1" applyFont="1" applyFill="1" applyBorder="1" applyAlignment="1" applyProtection="1">
      <alignment horizontal="left" vertical="center" wrapText="1"/>
      <protection hidden="1"/>
    </xf>
    <xf numFmtId="1" fontId="7" fillId="0" borderId="35" xfId="127" applyNumberFormat="1" applyFont="1" applyFill="1" applyBorder="1" applyAlignment="1" applyProtection="1">
      <alignment horizontal="left" vertical="center" wrapText="1"/>
      <protection hidden="1"/>
    </xf>
    <xf numFmtId="1" fontId="7" fillId="0" borderId="45" xfId="127" applyNumberFormat="1" applyFont="1" applyFill="1" applyBorder="1" applyAlignment="1" applyProtection="1">
      <alignment horizontal="left" vertical="center" wrapText="1"/>
      <protection hidden="1"/>
    </xf>
    <xf numFmtId="1" fontId="11" fillId="0" borderId="10" xfId="127" applyNumberFormat="1" applyFont="1" applyFill="1" applyBorder="1" applyAlignment="1" applyProtection="1">
      <alignment horizontal="center" vertical="center" wrapText="1"/>
      <protection hidden="1"/>
    </xf>
    <xf numFmtId="1" fontId="11" fillId="0" borderId="96" xfId="127" applyNumberFormat="1" applyFont="1" applyFill="1" applyBorder="1" applyAlignment="1" applyProtection="1">
      <alignment horizontal="center" vertical="center" wrapText="1"/>
      <protection hidden="1"/>
    </xf>
    <xf numFmtId="1" fontId="11" fillId="0" borderId="67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80" xfId="127" applyNumberFormat="1" applyFont="1" applyFill="1" applyBorder="1" applyAlignment="1" applyProtection="1">
      <alignment vertical="center" wrapText="1"/>
      <protection hidden="1"/>
    </xf>
    <xf numFmtId="1" fontId="7" fillId="0" borderId="127" xfId="127" applyNumberFormat="1" applyFont="1" applyFill="1" applyBorder="1" applyAlignment="1" applyProtection="1">
      <alignment vertical="center" wrapText="1"/>
      <protection hidden="1"/>
    </xf>
    <xf numFmtId="1" fontId="15" fillId="0" borderId="96" xfId="127" applyNumberFormat="1" applyFont="1" applyFill="1" applyBorder="1" applyAlignment="1" applyProtection="1">
      <alignment horizontal="left"/>
      <protection hidden="1"/>
    </xf>
    <xf numFmtId="1" fontId="7" fillId="0" borderId="10" xfId="127" applyNumberFormat="1" applyFont="1" applyFill="1" applyBorder="1" applyAlignment="1" applyProtection="1">
      <alignment horizontal="left"/>
      <protection hidden="1"/>
    </xf>
    <xf numFmtId="1" fontId="7" fillId="0" borderId="67" xfId="127" applyNumberFormat="1" applyFont="1" applyFill="1" applyBorder="1" applyAlignment="1" applyProtection="1">
      <alignment horizontal="left"/>
      <protection hidden="1"/>
    </xf>
    <xf numFmtId="1" fontId="7" fillId="0" borderId="10" xfId="127" applyNumberFormat="1" applyFont="1" applyFill="1" applyBorder="1" applyAlignment="1" applyProtection="1">
      <alignment horizontal="left" vertical="center" wrapText="1"/>
      <protection hidden="1"/>
    </xf>
    <xf numFmtId="1" fontId="7" fillId="0" borderId="67" xfId="127" applyNumberFormat="1" applyFont="1" applyFill="1" applyBorder="1" applyAlignment="1" applyProtection="1">
      <alignment horizontal="left" vertical="center" wrapText="1"/>
      <protection hidden="1"/>
    </xf>
    <xf numFmtId="1" fontId="7" fillId="0" borderId="75" xfId="127" applyNumberFormat="1" applyFont="1" applyFill="1" applyBorder="1" applyAlignment="1" applyProtection="1">
      <alignment vertical="center" wrapText="1"/>
      <protection hidden="1"/>
    </xf>
    <xf numFmtId="1" fontId="7" fillId="0" borderId="27" xfId="127" applyNumberFormat="1" applyFont="1" applyFill="1" applyBorder="1" applyAlignment="1" applyProtection="1">
      <alignment vertical="center" wrapText="1"/>
      <protection hidden="1"/>
    </xf>
    <xf numFmtId="1" fontId="7" fillId="0" borderId="76" xfId="127" applyNumberFormat="1" applyFont="1" applyFill="1" applyBorder="1" applyAlignment="1" applyProtection="1">
      <alignment vertical="center" wrapText="1"/>
      <protection hidden="1"/>
    </xf>
    <xf numFmtId="1" fontId="7" fillId="0" borderId="39" xfId="127" applyNumberFormat="1" applyFont="1" applyFill="1" applyBorder="1" applyAlignment="1" applyProtection="1">
      <alignment vertical="center" wrapText="1"/>
      <protection hidden="1"/>
    </xf>
    <xf numFmtId="1" fontId="15" fillId="0" borderId="96" xfId="0" applyNumberFormat="1" applyFont="1" applyFill="1" applyBorder="1" applyAlignment="1" applyProtection="1">
      <alignment horizontal="left"/>
    </xf>
    <xf numFmtId="1" fontId="7" fillId="0" borderId="195" xfId="0" applyNumberFormat="1" applyFont="1" applyBorder="1" applyAlignment="1" applyProtection="1">
      <alignment horizontal="center" vertical="center" wrapText="1"/>
    </xf>
    <xf numFmtId="1" fontId="7" fillId="0" borderId="1" xfId="0" applyNumberFormat="1" applyFont="1" applyBorder="1" applyAlignment="1" applyProtection="1">
      <alignment horizontal="center" vertical="center" wrapText="1"/>
    </xf>
    <xf numFmtId="1" fontId="15" fillId="0" borderId="96" xfId="127" quotePrefix="1" applyNumberFormat="1" applyFont="1" applyFill="1" applyBorder="1" applyAlignment="1" applyProtection="1">
      <alignment horizontal="left"/>
      <protection hidden="1"/>
    </xf>
    <xf numFmtId="1" fontId="7" fillId="0" borderId="70" xfId="127" applyNumberFormat="1" applyFont="1" applyFill="1" applyBorder="1" applyAlignment="1" applyProtection="1">
      <alignment horizontal="left"/>
      <protection hidden="1"/>
    </xf>
    <xf numFmtId="1" fontId="7" fillId="0" borderId="132" xfId="127" applyNumberFormat="1" applyFont="1" applyFill="1" applyBorder="1" applyAlignment="1" applyProtection="1">
      <alignment horizontal="left"/>
      <protection hidden="1"/>
    </xf>
    <xf numFmtId="1" fontId="7" fillId="0" borderId="71" xfId="127" applyNumberFormat="1" applyFont="1" applyFill="1" applyBorder="1" applyAlignment="1" applyProtection="1">
      <alignment horizontal="left"/>
      <protection hidden="1"/>
    </xf>
    <xf numFmtId="1" fontId="7" fillId="0" borderId="110" xfId="127" applyNumberFormat="1" applyFont="1" applyFill="1" applyBorder="1" applyAlignment="1" applyProtection="1">
      <alignment horizontal="left"/>
      <protection hidden="1"/>
    </xf>
    <xf numFmtId="1" fontId="7" fillId="0" borderId="73" xfId="127" applyNumberFormat="1" applyFont="1" applyFill="1" applyBorder="1" applyAlignment="1" applyProtection="1">
      <alignment horizontal="left"/>
      <protection hidden="1"/>
    </xf>
    <xf numFmtId="1" fontId="7" fillId="0" borderId="134" xfId="127" applyNumberFormat="1" applyFont="1" applyFill="1" applyBorder="1" applyAlignment="1" applyProtection="1">
      <alignment horizontal="left"/>
      <protection hidden="1"/>
    </xf>
    <xf numFmtId="1" fontId="7" fillId="0" borderId="10" xfId="127" applyNumberFormat="1" applyFont="1" applyFill="1" applyBorder="1" applyAlignment="1" applyProtection="1">
      <alignment horizontal="center"/>
      <protection hidden="1"/>
    </xf>
    <xf numFmtId="1" fontId="7" fillId="0" borderId="67" xfId="127" applyNumberFormat="1" applyFont="1" applyFill="1" applyBorder="1" applyAlignment="1" applyProtection="1">
      <alignment horizontal="center"/>
      <protection hidden="1"/>
    </xf>
    <xf numFmtId="1" fontId="7" fillId="0" borderId="65" xfId="127" applyNumberFormat="1" applyFont="1" applyFill="1" applyBorder="1" applyAlignment="1" applyProtection="1">
      <alignment horizontal="center" vertical="center"/>
      <protection hidden="1"/>
    </xf>
    <xf numFmtId="1" fontId="11" fillId="0" borderId="1" xfId="127" applyNumberFormat="1" applyFont="1" applyFill="1" applyBorder="1" applyAlignment="1" applyProtection="1">
      <alignment horizontal="center" vertical="center" wrapText="1"/>
      <protection hidden="1"/>
    </xf>
    <xf numFmtId="1" fontId="7" fillId="0" borderId="35" xfId="127" applyNumberFormat="1" applyFont="1" applyFill="1" applyBorder="1" applyAlignment="1" applyProtection="1">
      <alignment horizontal="left"/>
      <protection hidden="1"/>
    </xf>
    <xf numFmtId="1" fontId="11" fillId="0" borderId="10" xfId="127" quotePrefix="1" applyNumberFormat="1" applyFont="1" applyFill="1" applyBorder="1" applyAlignment="1" applyProtection="1">
      <alignment horizontal="center" vertical="center" wrapText="1"/>
      <protection hidden="1"/>
    </xf>
    <xf numFmtId="1" fontId="11" fillId="0" borderId="96" xfId="127" quotePrefix="1" applyNumberFormat="1" applyFont="1" applyFill="1" applyBorder="1" applyAlignment="1" applyProtection="1">
      <alignment horizontal="center" vertical="center" wrapText="1"/>
      <protection hidden="1"/>
    </xf>
    <xf numFmtId="1" fontId="11" fillId="0" borderId="67" xfId="127" quotePrefix="1" applyNumberFormat="1" applyFont="1" applyFill="1" applyBorder="1" applyAlignment="1" applyProtection="1">
      <alignment horizontal="center" vertical="center" wrapText="1"/>
      <protection hidden="1"/>
    </xf>
    <xf numFmtId="1" fontId="7" fillId="22" borderId="202" xfId="0" applyNumberFormat="1" applyFont="1" applyFill="1" applyBorder="1" applyAlignment="1" applyProtection="1">
      <alignment horizontal="center" vertical="center" wrapText="1"/>
    </xf>
    <xf numFmtId="1" fontId="7" fillId="22" borderId="176" xfId="0" applyNumberFormat="1" applyFont="1" applyFill="1" applyBorder="1" applyAlignment="1" applyProtection="1">
      <alignment horizontal="center" vertical="center" wrapText="1"/>
    </xf>
    <xf numFmtId="1" fontId="7" fillId="22" borderId="172" xfId="0" applyNumberFormat="1" applyFont="1" applyFill="1" applyBorder="1" applyAlignment="1" applyProtection="1">
      <alignment horizontal="center" vertical="center" wrapText="1"/>
    </xf>
    <xf numFmtId="1" fontId="31" fillId="22" borderId="49" xfId="0" applyNumberFormat="1" applyFont="1" applyFill="1" applyBorder="1" applyAlignment="1" applyProtection="1">
      <alignment horizontal="center" vertical="center" wrapText="1"/>
    </xf>
    <xf numFmtId="1" fontId="31" fillId="22" borderId="100" xfId="0" applyNumberFormat="1" applyFont="1" applyFill="1" applyBorder="1" applyAlignment="1" applyProtection="1">
      <alignment horizontal="center" vertical="center" wrapText="1"/>
    </xf>
    <xf numFmtId="1" fontId="31" fillId="22" borderId="29" xfId="0" applyNumberFormat="1" applyFont="1" applyFill="1" applyBorder="1" applyAlignment="1" applyProtection="1">
      <alignment horizontal="center" vertical="center" wrapText="1"/>
    </xf>
    <xf numFmtId="1" fontId="7" fillId="22" borderId="49" xfId="0" applyNumberFormat="1" applyFont="1" applyFill="1" applyBorder="1" applyAlignment="1" applyProtection="1">
      <alignment horizontal="center" vertical="center" wrapText="1"/>
    </xf>
    <xf numFmtId="1" fontId="7" fillId="22" borderId="100" xfId="0" applyNumberFormat="1" applyFont="1" applyFill="1" applyBorder="1" applyAlignment="1" applyProtection="1">
      <alignment horizontal="center" vertical="center" wrapText="1"/>
    </xf>
    <xf numFmtId="1" fontId="7" fillId="22" borderId="29" xfId="0" applyNumberFormat="1" applyFont="1" applyFill="1" applyBorder="1" applyAlignment="1" applyProtection="1">
      <alignment horizontal="center" vertical="center" wrapText="1"/>
    </xf>
    <xf numFmtId="1" fontId="7" fillId="0" borderId="1" xfId="129" applyNumberFormat="1" applyFont="1" applyFill="1" applyBorder="1" applyAlignment="1" applyProtection="1">
      <alignment vertical="center" wrapText="1"/>
      <protection hidden="1"/>
    </xf>
    <xf numFmtId="1" fontId="7" fillId="0" borderId="11" xfId="129" applyNumberFormat="1" applyFont="1" applyFill="1" applyBorder="1" applyAlignment="1" applyProtection="1">
      <alignment vertical="center" wrapText="1"/>
      <protection hidden="1"/>
    </xf>
    <xf numFmtId="1" fontId="7" fillId="0" borderId="75" xfId="129" quotePrefix="1" applyNumberFormat="1" applyFont="1" applyFill="1" applyBorder="1" applyAlignment="1" applyProtection="1">
      <alignment horizontal="left" vertical="center" wrapText="1"/>
      <protection hidden="1"/>
    </xf>
    <xf numFmtId="1" fontId="7" fillId="0" borderId="80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96" xfId="0" applyNumberFormat="1" applyFont="1" applyBorder="1" applyAlignment="1" applyProtection="1">
      <alignment horizontal="left" wrapText="1"/>
    </xf>
    <xf numFmtId="1" fontId="35" fillId="0" borderId="4" xfId="0" applyNumberFormat="1" applyFont="1" applyBorder="1" applyAlignment="1" applyProtection="1">
      <alignment horizontal="center" vertical="center" wrapText="1"/>
    </xf>
    <xf numFmtId="1" fontId="35" fillId="0" borderId="49" xfId="0" applyNumberFormat="1" applyFont="1" applyBorder="1" applyAlignment="1" applyProtection="1">
      <alignment horizontal="center" vertical="center" wrapText="1"/>
    </xf>
    <xf numFmtId="1" fontId="35" fillId="0" borderId="0" xfId="0" applyNumberFormat="1" applyFont="1" applyBorder="1" applyAlignment="1" applyProtection="1">
      <alignment horizontal="center" vertical="center" wrapText="1"/>
    </xf>
    <xf numFmtId="1" fontId="35" fillId="0" borderId="100" xfId="0" applyNumberFormat="1" applyFont="1" applyBorder="1" applyAlignment="1" applyProtection="1">
      <alignment horizontal="center" vertical="center" wrapText="1"/>
    </xf>
    <xf numFmtId="1" fontId="35" fillId="0" borderId="6" xfId="0" applyNumberFormat="1" applyFont="1" applyBorder="1" applyAlignment="1" applyProtection="1">
      <alignment horizontal="center" vertical="center" wrapText="1"/>
    </xf>
    <xf numFmtId="1" fontId="35" fillId="0" borderId="29" xfId="0" applyNumberFormat="1" applyFont="1" applyBorder="1" applyAlignment="1" applyProtection="1">
      <alignment horizontal="center" vertical="center" wrapText="1"/>
    </xf>
    <xf numFmtId="1" fontId="7" fillId="0" borderId="1" xfId="0" applyNumberFormat="1" applyFont="1" applyFill="1" applyBorder="1" applyAlignment="1" applyProtection="1">
      <alignment horizontal="center" vertical="center"/>
    </xf>
    <xf numFmtId="1" fontId="7" fillId="0" borderId="78" xfId="129" applyNumberFormat="1" applyFont="1" applyFill="1" applyBorder="1" applyAlignment="1" applyProtection="1">
      <alignment vertical="center" wrapText="1"/>
      <protection hidden="1"/>
    </xf>
    <xf numFmtId="1" fontId="7" fillId="0" borderId="67" xfId="0" applyNumberFormat="1" applyFont="1" applyBorder="1" applyAlignment="1" applyProtection="1">
      <alignment horizontal="left" wrapText="1"/>
    </xf>
    <xf numFmtId="1" fontId="7" fillId="0" borderId="139" xfId="0" applyNumberFormat="1" applyFont="1" applyFill="1" applyBorder="1" applyAlignment="1" applyProtection="1">
      <alignment horizontal="center" vertical="center" wrapText="1"/>
    </xf>
    <xf numFmtId="1" fontId="7" fillId="0" borderId="11" xfId="0" applyNumberFormat="1" applyFont="1" applyFill="1" applyBorder="1" applyAlignment="1" applyProtection="1">
      <alignment horizontal="center" vertical="center" wrapText="1"/>
    </xf>
    <xf numFmtId="1" fontId="7" fillId="0" borderId="35" xfId="129" applyNumberFormat="1" applyFont="1" applyFill="1" applyBorder="1" applyAlignment="1" applyProtection="1">
      <alignment vertical="center" wrapText="1"/>
      <protection hidden="1"/>
    </xf>
    <xf numFmtId="1" fontId="7" fillId="0" borderId="69" xfId="129" applyNumberFormat="1" applyFont="1" applyFill="1" applyBorder="1" applyAlignment="1" applyProtection="1">
      <alignment vertical="center" wrapText="1"/>
      <protection hidden="1"/>
    </xf>
    <xf numFmtId="1" fontId="30" fillId="0" borderId="197" xfId="129" applyNumberFormat="1" applyFont="1" applyFill="1" applyBorder="1" applyAlignment="1" applyProtection="1">
      <alignment horizontal="center" vertical="center" wrapText="1"/>
      <protection hidden="1"/>
    </xf>
    <xf numFmtId="1" fontId="30" fillId="0" borderId="100" xfId="129" applyNumberFormat="1" applyFont="1" applyFill="1" applyBorder="1" applyAlignment="1" applyProtection="1">
      <alignment horizontal="center" vertical="center" wrapText="1"/>
      <protection hidden="1"/>
    </xf>
    <xf numFmtId="1" fontId="30" fillId="0" borderId="29" xfId="129" applyNumberFormat="1" applyFont="1" applyFill="1" applyBorder="1" applyAlignment="1" applyProtection="1">
      <alignment horizontal="center" vertical="center" wrapText="1"/>
      <protection hidden="1"/>
    </xf>
    <xf numFmtId="1" fontId="7" fillId="0" borderId="1" xfId="113" applyNumberFormat="1" applyFont="1" applyFill="1" applyBorder="1" applyAlignment="1" applyProtection="1">
      <alignment horizontal="center" vertical="center"/>
      <protection hidden="1"/>
    </xf>
    <xf numFmtId="1" fontId="7" fillId="0" borderId="127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1" xfId="0" applyNumberFormat="1" applyFont="1" applyFill="1" applyBorder="1" applyAlignment="1" applyProtection="1">
      <alignment horizontal="center" vertical="center" wrapText="1"/>
    </xf>
    <xf numFmtId="1" fontId="31" fillId="0" borderId="10" xfId="0" applyNumberFormat="1" applyFont="1" applyBorder="1" applyAlignment="1" applyProtection="1">
      <alignment horizontal="center" vertical="center" wrapText="1"/>
    </xf>
    <xf numFmtId="1" fontId="31" fillId="0" borderId="194" xfId="0" applyNumberFormat="1" applyFont="1" applyBorder="1" applyAlignment="1" applyProtection="1">
      <alignment horizontal="center" vertical="center" wrapText="1"/>
    </xf>
    <xf numFmtId="1" fontId="31" fillId="0" borderId="198" xfId="0" applyNumberFormat="1" applyFont="1" applyBorder="1" applyAlignment="1" applyProtection="1">
      <alignment horizontal="center" vertical="center" wrapText="1"/>
    </xf>
    <xf numFmtId="1" fontId="7" fillId="22" borderId="140" xfId="0" applyNumberFormat="1" applyFont="1" applyFill="1" applyBorder="1" applyAlignment="1" applyProtection="1">
      <alignment horizontal="center" vertical="center"/>
    </xf>
    <xf numFmtId="1" fontId="7" fillId="22" borderId="4" xfId="0" applyNumberFormat="1" applyFont="1" applyFill="1" applyBorder="1" applyAlignment="1" applyProtection="1">
      <alignment horizontal="center" vertical="center"/>
    </xf>
    <xf numFmtId="1" fontId="7" fillId="22" borderId="49" xfId="0" applyNumberFormat="1" applyFont="1" applyFill="1" applyBorder="1" applyAlignment="1" applyProtection="1">
      <alignment horizontal="center" vertical="center"/>
    </xf>
    <xf numFmtId="1" fontId="7" fillId="22" borderId="97" xfId="0" applyNumberFormat="1" applyFont="1" applyFill="1" applyBorder="1" applyAlignment="1" applyProtection="1">
      <alignment horizontal="center" vertical="center"/>
    </xf>
    <xf numFmtId="1" fontId="7" fillId="22" borderId="6" xfId="0" applyNumberFormat="1" applyFont="1" applyFill="1" applyBorder="1" applyAlignment="1" applyProtection="1">
      <alignment horizontal="center" vertical="center"/>
    </xf>
    <xf numFmtId="1" fontId="7" fillId="22" borderId="29" xfId="0" applyNumberFormat="1" applyFont="1" applyFill="1" applyBorder="1" applyAlignment="1" applyProtection="1">
      <alignment horizontal="center" vertical="center"/>
    </xf>
    <xf numFmtId="1" fontId="31" fillId="0" borderId="10" xfId="0" applyNumberFormat="1" applyFont="1" applyBorder="1" applyAlignment="1" applyProtection="1">
      <alignment horizontal="left" vertical="center" wrapText="1"/>
    </xf>
    <xf numFmtId="1" fontId="31" fillId="0" borderId="67" xfId="0" applyNumberFormat="1" applyFont="1" applyBorder="1" applyAlignment="1" applyProtection="1">
      <alignment horizontal="left" vertical="center" wrapText="1"/>
    </xf>
    <xf numFmtId="1" fontId="15" fillId="0" borderId="0" xfId="126" applyNumberFormat="1" applyFont="1" applyFill="1" applyAlignment="1" applyProtection="1">
      <alignment horizontal="left" wrapText="1"/>
      <protection hidden="1"/>
    </xf>
    <xf numFmtId="1" fontId="15" fillId="0" borderId="0" xfId="126" applyNumberFormat="1" applyFont="1" applyFill="1" applyAlignment="1" applyProtection="1">
      <alignment horizontal="left"/>
      <protection hidden="1"/>
    </xf>
    <xf numFmtId="1" fontId="11" fillId="0" borderId="67" xfId="126" applyNumberFormat="1" applyFont="1" applyFill="1" applyBorder="1" applyAlignment="1" applyProtection="1">
      <alignment horizontal="left" vertical="center" wrapText="1"/>
      <protection hidden="1"/>
    </xf>
    <xf numFmtId="1" fontId="7" fillId="0" borderId="30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78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35" xfId="129" quotePrefix="1" applyNumberFormat="1" applyFont="1" applyFill="1" applyBorder="1" applyAlignment="1" applyProtection="1">
      <alignment horizontal="left" vertical="center" wrapText="1"/>
      <protection hidden="1"/>
    </xf>
    <xf numFmtId="1" fontId="7" fillId="0" borderId="69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35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140" xfId="129" applyNumberFormat="1" applyFont="1" applyFill="1" applyBorder="1" applyAlignment="1" applyProtection="1">
      <alignment horizontal="left" vertical="center" wrapText="1"/>
      <protection hidden="1"/>
    </xf>
    <xf numFmtId="1" fontId="7" fillId="0" borderId="9" xfId="0" applyNumberFormat="1" applyFont="1" applyBorder="1" applyAlignment="1" applyProtection="1">
      <alignment horizontal="left" vertical="center" wrapText="1"/>
    </xf>
    <xf numFmtId="1" fontId="7" fillId="0" borderId="97" xfId="0" applyNumberFormat="1" applyFont="1" applyBorder="1" applyAlignment="1" applyProtection="1">
      <alignment horizontal="left" vertical="center" wrapText="1"/>
    </xf>
    <xf numFmtId="1" fontId="7" fillId="0" borderId="79" xfId="0" applyNumberFormat="1" applyFont="1" applyFill="1" applyBorder="1" applyAlignment="1" applyProtection="1">
      <alignment horizontal="center" vertical="center" wrapText="1"/>
    </xf>
    <xf numFmtId="1" fontId="7" fillId="0" borderId="77" xfId="0" applyNumberFormat="1" applyFont="1" applyFill="1" applyBorder="1" applyAlignment="1" applyProtection="1">
      <alignment horizontal="left" vertical="center" wrapText="1"/>
    </xf>
    <xf numFmtId="1" fontId="7" fillId="0" borderId="34" xfId="0" applyNumberFormat="1" applyFont="1" applyFill="1" applyBorder="1" applyAlignment="1" applyProtection="1">
      <alignment horizontal="left" vertical="center" wrapText="1"/>
    </xf>
    <xf numFmtId="1" fontId="7" fillId="0" borderId="76" xfId="0" applyNumberFormat="1" applyFont="1" applyFill="1" applyBorder="1" applyAlignment="1" applyProtection="1">
      <alignment horizontal="left" vertical="center" wrapText="1"/>
    </xf>
    <xf numFmtId="1" fontId="7" fillId="0" borderId="39" xfId="0" applyNumberFormat="1" applyFont="1" applyFill="1" applyBorder="1" applyAlignment="1" applyProtection="1">
      <alignment horizontal="left" vertical="center" wrapText="1"/>
    </xf>
    <xf numFmtId="1" fontId="7" fillId="0" borderId="80" xfId="0" applyNumberFormat="1" applyFont="1" applyFill="1" applyBorder="1" applyAlignment="1" applyProtection="1">
      <alignment horizontal="left" vertical="center" wrapText="1"/>
    </xf>
    <xf numFmtId="1" fontId="7" fillId="0" borderId="127" xfId="0" applyNumberFormat="1" applyFont="1" applyFill="1" applyBorder="1" applyAlignment="1" applyProtection="1">
      <alignment horizontal="left" vertical="center" wrapText="1"/>
    </xf>
    <xf numFmtId="1" fontId="7" fillId="0" borderId="139" xfId="129" applyNumberFormat="1" applyFont="1" applyFill="1" applyBorder="1" applyAlignment="1" applyProtection="1">
      <alignment horizontal="center" vertical="center" wrapText="1"/>
      <protection hidden="1"/>
    </xf>
    <xf numFmtId="1" fontId="7" fillId="0" borderId="79" xfId="129" applyNumberFormat="1" applyFont="1" applyFill="1" applyBorder="1" applyAlignment="1" applyProtection="1">
      <alignment horizontal="center" vertical="center" wrapText="1"/>
      <protection hidden="1"/>
    </xf>
    <xf numFmtId="1" fontId="7" fillId="0" borderId="11" xfId="129" applyNumberFormat="1" applyFont="1" applyFill="1" applyBorder="1" applyAlignment="1" applyProtection="1">
      <alignment horizontal="center" vertical="center" wrapText="1"/>
      <protection hidden="1"/>
    </xf>
    <xf numFmtId="1" fontId="30" fillId="0" borderId="197" xfId="0" applyNumberFormat="1" applyFont="1" applyFill="1" applyBorder="1" applyAlignment="1" applyProtection="1">
      <alignment horizontal="center" vertical="center" wrapText="1"/>
    </xf>
    <xf numFmtId="1" fontId="30" fillId="0" borderId="100" xfId="0" applyNumberFormat="1" applyFont="1" applyFill="1" applyBorder="1" applyAlignment="1" applyProtection="1">
      <alignment horizontal="center" vertical="center" wrapText="1"/>
    </xf>
    <xf numFmtId="1" fontId="30" fillId="0" borderId="29" xfId="0" applyNumberFormat="1" applyFont="1" applyFill="1" applyBorder="1" applyAlignment="1" applyProtection="1">
      <alignment horizontal="center" vertical="center" wrapText="1"/>
    </xf>
    <xf numFmtId="1" fontId="15" fillId="0" borderId="0" xfId="126" applyNumberFormat="1" applyFont="1" applyFill="1" applyBorder="1" applyAlignment="1" applyProtection="1">
      <alignment horizontal="center" vertical="center"/>
      <protection hidden="1"/>
    </xf>
    <xf numFmtId="1" fontId="7" fillId="0" borderId="6" xfId="0" applyNumberFormat="1" applyFont="1" applyFill="1" applyBorder="1" applyAlignment="1" applyProtection="1">
      <alignment horizontal="center" vertical="center"/>
    </xf>
    <xf numFmtId="1" fontId="7" fillId="0" borderId="140" xfId="0" applyNumberFormat="1" applyFont="1" applyFill="1" applyBorder="1" applyAlignment="1" applyProtection="1">
      <alignment horizontal="center" vertical="center"/>
    </xf>
    <xf numFmtId="1" fontId="7" fillId="0" borderId="49" xfId="0" applyNumberFormat="1" applyFont="1" applyFill="1" applyBorder="1" applyAlignment="1" applyProtection="1">
      <alignment horizontal="center" vertical="center"/>
    </xf>
    <xf numFmtId="1" fontId="7" fillId="0" borderId="9" xfId="0" applyNumberFormat="1" applyFont="1" applyFill="1" applyBorder="1" applyAlignment="1" applyProtection="1">
      <alignment horizontal="center" vertical="center"/>
    </xf>
    <xf numFmtId="1" fontId="7" fillId="0" borderId="100" xfId="0" applyNumberFormat="1" applyFont="1" applyFill="1" applyBorder="1" applyAlignment="1" applyProtection="1">
      <alignment horizontal="center" vertical="center"/>
    </xf>
    <xf numFmtId="1" fontId="7" fillId="0" borderId="97" xfId="0" applyNumberFormat="1" applyFont="1" applyFill="1" applyBorder="1" applyAlignment="1" applyProtection="1">
      <alignment horizontal="center" vertical="center"/>
    </xf>
    <xf numFmtId="1" fontId="7" fillId="0" borderId="29" xfId="0" applyNumberFormat="1" applyFont="1" applyFill="1" applyBorder="1" applyAlignment="1" applyProtection="1">
      <alignment horizontal="center" vertical="center"/>
    </xf>
    <xf numFmtId="1" fontId="15" fillId="0" borderId="6" xfId="126" applyNumberFormat="1" applyFont="1" applyFill="1" applyBorder="1" applyAlignment="1" applyProtection="1">
      <alignment horizontal="left"/>
      <protection hidden="1"/>
    </xf>
    <xf numFmtId="1" fontId="7" fillId="0" borderId="6" xfId="0" applyNumberFormat="1" applyFont="1" applyFill="1" applyBorder="1" applyAlignment="1" applyProtection="1">
      <alignment horizontal="center" vertical="center" wrapText="1"/>
    </xf>
    <xf numFmtId="1" fontId="7" fillId="0" borderId="10" xfId="0" applyNumberFormat="1" applyFont="1" applyFill="1" applyBorder="1" applyAlignment="1" applyProtection="1">
      <alignment horizontal="center" vertical="center"/>
    </xf>
    <xf numFmtId="1" fontId="7" fillId="0" borderId="96" xfId="127" applyNumberFormat="1" applyFont="1" applyFill="1" applyBorder="1" applyAlignment="1" applyProtection="1">
      <alignment horizontal="center" vertical="center"/>
      <protection hidden="1"/>
    </xf>
    <xf numFmtId="1" fontId="7" fillId="22" borderId="170" xfId="0" applyNumberFormat="1" applyFont="1" applyFill="1" applyBorder="1" applyAlignment="1" applyProtection="1">
      <alignment horizontal="center" vertical="center" wrapText="1"/>
    </xf>
    <xf numFmtId="1" fontId="7" fillId="0" borderId="1" xfId="109" applyNumberFormat="1" applyFont="1" applyFill="1" applyBorder="1" applyAlignment="1" applyProtection="1">
      <alignment horizontal="center" vertical="center" wrapText="1"/>
    </xf>
    <xf numFmtId="1" fontId="7" fillId="0" borderId="67" xfId="0" applyNumberFormat="1" applyFont="1" applyFill="1" applyBorder="1" applyAlignment="1" applyProtection="1">
      <alignment horizontal="center" vertical="center"/>
    </xf>
    <xf numFmtId="1" fontId="7" fillId="21" borderId="0" xfId="126" applyNumberFormat="1" applyFont="1" applyFill="1" applyBorder="1" applyAlignment="1" applyProtection="1">
      <alignment horizontal="center" vertical="center" wrapText="1"/>
      <protection hidden="1"/>
    </xf>
    <xf numFmtId="1" fontId="7" fillId="22" borderId="4" xfId="0" applyNumberFormat="1" applyFont="1" applyFill="1" applyBorder="1" applyAlignment="1" applyProtection="1">
      <alignment horizontal="center" vertical="center" wrapText="1"/>
    </xf>
    <xf numFmtId="1" fontId="7" fillId="22" borderId="6" xfId="0" applyNumberFormat="1" applyFont="1" applyFill="1" applyBorder="1" applyAlignment="1" applyProtection="1">
      <alignment horizontal="center" vertical="center" wrapText="1"/>
    </xf>
    <xf numFmtId="1" fontId="7" fillId="22" borderId="204" xfId="0" applyNumberFormat="1" applyFont="1" applyFill="1" applyBorder="1" applyAlignment="1" applyProtection="1">
      <alignment horizontal="center" vertical="center" wrapText="1"/>
    </xf>
    <xf numFmtId="1" fontId="7" fillId="22" borderId="160" xfId="0" applyNumberFormat="1" applyFont="1" applyFill="1" applyBorder="1" applyAlignment="1" applyProtection="1">
      <alignment horizontal="center" vertical="center" wrapText="1"/>
    </xf>
    <xf numFmtId="1" fontId="7" fillId="22" borderId="196" xfId="0" applyNumberFormat="1" applyFont="1" applyFill="1" applyBorder="1" applyAlignment="1" applyProtection="1">
      <alignment horizontal="center" vertical="center" wrapText="1"/>
    </xf>
    <xf numFmtId="1" fontId="7" fillId="22" borderId="79" xfId="0" applyNumberFormat="1" applyFont="1" applyFill="1" applyBorder="1" applyAlignment="1" applyProtection="1">
      <alignment horizontal="center" vertical="center" wrapText="1"/>
    </xf>
    <xf numFmtId="1" fontId="7" fillId="22" borderId="11" xfId="0" applyNumberFormat="1" applyFont="1" applyFill="1" applyBorder="1" applyAlignment="1" applyProtection="1">
      <alignment horizontal="center" vertical="center" wrapText="1"/>
    </xf>
    <xf numFmtId="1" fontId="7" fillId="21" borderId="0" xfId="0" applyNumberFormat="1" applyFont="1" applyFill="1" applyAlignment="1" applyProtection="1">
      <alignment horizontal="center" vertical="center" wrapText="1"/>
    </xf>
    <xf numFmtId="1" fontId="7" fillId="21" borderId="139" xfId="0" applyNumberFormat="1" applyFont="1" applyFill="1" applyBorder="1" applyAlignment="1" applyProtection="1">
      <alignment horizontal="center" vertical="center" wrapText="1"/>
    </xf>
    <xf numFmtId="1" fontId="7" fillId="21" borderId="11" xfId="0" applyNumberFormat="1" applyFont="1" applyFill="1" applyBorder="1" applyAlignment="1" applyProtection="1">
      <alignment horizontal="center" vertical="center" wrapText="1"/>
    </xf>
    <xf numFmtId="1" fontId="7" fillId="21" borderId="10" xfId="0" applyNumberFormat="1" applyFont="1" applyFill="1" applyBorder="1" applyAlignment="1" applyProtection="1">
      <alignment horizontal="center" vertical="center" wrapText="1"/>
    </xf>
    <xf numFmtId="1" fontId="7" fillId="21" borderId="67" xfId="0" applyNumberFormat="1" applyFont="1" applyFill="1" applyBorder="1" applyAlignment="1" applyProtection="1">
      <alignment horizontal="center" vertical="center" wrapText="1"/>
    </xf>
    <xf numFmtId="0" fontId="35" fillId="0" borderId="194" xfId="0" applyFont="1" applyBorder="1" applyAlignment="1" applyProtection="1">
      <alignment horizontal="center" vertical="center"/>
    </xf>
    <xf numFmtId="0" fontId="35" fillId="0" borderId="96" xfId="0" applyFont="1" applyBorder="1" applyAlignment="1" applyProtection="1">
      <alignment horizontal="center" vertical="center"/>
    </xf>
    <xf numFmtId="0" fontId="35" fillId="0" borderId="67" xfId="0" applyFont="1" applyBorder="1" applyAlignment="1" applyProtection="1">
      <alignment horizontal="center" vertical="center"/>
    </xf>
    <xf numFmtId="1" fontId="15" fillId="0" borderId="0" xfId="128" applyNumberFormat="1" applyFont="1" applyFill="1" applyBorder="1" applyAlignment="1" applyProtection="1">
      <alignment horizontal="center" vertical="center" wrapText="1"/>
      <protection hidden="1"/>
    </xf>
    <xf numFmtId="0" fontId="31" fillId="0" borderId="36" xfId="0" applyFont="1" applyBorder="1" applyAlignment="1" applyProtection="1">
      <alignment vertical="center" wrapText="1"/>
    </xf>
    <xf numFmtId="0" fontId="31" fillId="0" borderId="72" xfId="0" applyFont="1" applyBorder="1" applyAlignment="1" applyProtection="1">
      <alignment vertical="center" wrapText="1"/>
    </xf>
    <xf numFmtId="0" fontId="31" fillId="0" borderId="24" xfId="0" applyFont="1" applyBorder="1" applyAlignment="1" applyProtection="1">
      <alignment vertical="center" wrapText="1"/>
    </xf>
    <xf numFmtId="0" fontId="31" fillId="0" borderId="89" xfId="0" applyFont="1" applyBorder="1" applyAlignment="1" applyProtection="1">
      <alignment vertical="center" wrapText="1"/>
    </xf>
    <xf numFmtId="0" fontId="31" fillId="0" borderId="6" xfId="0" applyFont="1" applyBorder="1" applyAlignment="1" applyProtection="1">
      <alignment vertical="center" wrapText="1"/>
    </xf>
    <xf numFmtId="0" fontId="31" fillId="0" borderId="29" xfId="0" applyFont="1" applyBorder="1" applyAlignment="1" applyProtection="1">
      <alignment vertical="center" wrapText="1"/>
    </xf>
    <xf numFmtId="0" fontId="31" fillId="0" borderId="128" xfId="0" applyFont="1" applyBorder="1" applyAlignment="1" applyProtection="1">
      <alignment vertical="center" wrapText="1"/>
    </xf>
    <xf numFmtId="0" fontId="31" fillId="0" borderId="39" xfId="0" applyFont="1" applyBorder="1" applyAlignment="1" applyProtection="1">
      <alignment vertical="center" wrapText="1"/>
    </xf>
    <xf numFmtId="0" fontId="31" fillId="0" borderId="6" xfId="0" applyFont="1" applyBorder="1" applyAlignment="1" applyProtection="1">
      <alignment horizontal="center" vertical="center" wrapText="1"/>
    </xf>
    <xf numFmtId="0" fontId="31" fillId="0" borderId="29" xfId="0" applyFont="1" applyBorder="1" applyAlignment="1" applyProtection="1">
      <alignment horizontal="center" vertical="center" wrapText="1"/>
    </xf>
    <xf numFmtId="0" fontId="31" fillId="0" borderId="49" xfId="0" applyFont="1" applyBorder="1" applyAlignment="1" applyProtection="1">
      <alignment horizontal="center" vertical="center" wrapText="1"/>
    </xf>
    <xf numFmtId="0" fontId="31" fillId="0" borderId="100" xfId="0" applyFont="1" applyBorder="1" applyAlignment="1" applyProtection="1">
      <alignment horizontal="center" vertical="center" wrapText="1"/>
    </xf>
    <xf numFmtId="0" fontId="31" fillId="0" borderId="88" xfId="0" applyFont="1" applyBorder="1" applyAlignment="1" applyProtection="1">
      <alignment vertical="center" wrapText="1"/>
    </xf>
    <xf numFmtId="0" fontId="31" fillId="0" borderId="86" xfId="0" applyFont="1" applyBorder="1" applyAlignment="1" applyProtection="1">
      <alignment vertical="center" wrapText="1"/>
    </xf>
    <xf numFmtId="0" fontId="31" fillId="0" borderId="197" xfId="0" applyFont="1" applyBorder="1" applyAlignment="1" applyProtection="1">
      <alignment horizontal="center" vertical="center" wrapText="1"/>
    </xf>
    <xf numFmtId="1" fontId="36" fillId="22" borderId="0" xfId="0" applyNumberFormat="1" applyFont="1" applyFill="1" applyAlignment="1" applyProtection="1">
      <alignment horizontal="center"/>
    </xf>
    <xf numFmtId="1" fontId="7" fillId="0" borderId="9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0" xfId="126" applyNumberFormat="1" applyFont="1" applyFill="1" applyBorder="1" applyAlignment="1" applyProtection="1">
      <alignment horizontal="center" vertical="center" wrapText="1"/>
      <protection hidden="1"/>
    </xf>
    <xf numFmtId="1" fontId="7" fillId="22" borderId="0" xfId="0" applyNumberFormat="1" applyFont="1" applyFill="1" applyBorder="1" applyAlignment="1" applyProtection="1">
      <alignment horizontal="center" vertical="center" wrapText="1"/>
    </xf>
    <xf numFmtId="1" fontId="7" fillId="22" borderId="67" xfId="0" applyNumberFormat="1" applyFont="1" applyFill="1" applyBorder="1" applyAlignment="1" applyProtection="1">
      <alignment horizontal="center" vertical="center" wrapText="1"/>
    </xf>
    <xf numFmtId="1" fontId="31" fillId="22" borderId="1" xfId="0" applyNumberFormat="1" applyFont="1" applyFill="1" applyBorder="1" applyAlignment="1" applyProtection="1">
      <alignment horizontal="center" vertical="center" wrapText="1"/>
    </xf>
    <xf numFmtId="1" fontId="31" fillId="22" borderId="67" xfId="0" applyNumberFormat="1" applyFont="1" applyFill="1" applyBorder="1" applyAlignment="1" applyProtection="1">
      <alignment horizontal="center" vertical="center" wrapText="1"/>
    </xf>
    <xf numFmtId="1" fontId="7" fillId="0" borderId="194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96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67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25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95" xfId="126" applyNumberFormat="1" applyFont="1" applyFill="1" applyBorder="1" applyAlignment="1" applyProtection="1">
      <alignment horizontal="center" vertical="center" wrapText="1"/>
      <protection hidden="1"/>
    </xf>
    <xf numFmtId="1" fontId="7" fillId="0" borderId="10" xfId="126" applyNumberFormat="1" applyFont="1" applyFill="1" applyBorder="1" applyAlignment="1" applyProtection="1">
      <alignment horizontal="center" vertical="center" wrapText="1"/>
      <protection hidden="1"/>
    </xf>
    <xf numFmtId="1" fontId="7" fillId="22" borderId="140" xfId="0" applyNumberFormat="1" applyFont="1" applyFill="1" applyBorder="1" applyAlignment="1" applyProtection="1">
      <alignment horizontal="center" vertical="center" wrapText="1"/>
    </xf>
    <xf numFmtId="1" fontId="7" fillId="22" borderId="171" xfId="0" applyNumberFormat="1" applyFont="1" applyFill="1" applyBorder="1" applyAlignment="1" applyProtection="1">
      <alignment horizontal="center" vertical="center" wrapText="1"/>
    </xf>
    <xf numFmtId="1" fontId="7" fillId="22" borderId="9" xfId="0" applyNumberFormat="1" applyFont="1" applyFill="1" applyBorder="1" applyAlignment="1" applyProtection="1">
      <alignment horizontal="center" vertical="center" wrapText="1"/>
    </xf>
    <xf numFmtId="1" fontId="7" fillId="22" borderId="163" xfId="0" applyNumberFormat="1" applyFont="1" applyFill="1" applyBorder="1" applyAlignment="1" applyProtection="1">
      <alignment horizontal="center" vertical="center" wrapText="1"/>
    </xf>
    <xf numFmtId="1" fontId="7" fillId="22" borderId="97" xfId="0" applyNumberFormat="1" applyFont="1" applyFill="1" applyBorder="1" applyAlignment="1" applyProtection="1">
      <alignment horizontal="center" vertical="center" wrapText="1"/>
    </xf>
    <xf numFmtId="1" fontId="7" fillId="22" borderId="145" xfId="0" applyNumberFormat="1" applyFont="1" applyFill="1" applyBorder="1" applyAlignment="1" applyProtection="1">
      <alignment horizontal="center" vertical="center" wrapText="1"/>
    </xf>
    <xf numFmtId="1" fontId="11" fillId="22" borderId="140" xfId="0" applyNumberFormat="1" applyFont="1" applyFill="1" applyBorder="1" applyAlignment="1" applyProtection="1">
      <alignment horizontal="center" vertical="center" wrapText="1"/>
    </xf>
    <xf numFmtId="1" fontId="11" fillId="22" borderId="49" xfId="0" applyNumberFormat="1" applyFont="1" applyFill="1" applyBorder="1" applyAlignment="1" applyProtection="1">
      <alignment horizontal="center" vertical="center" wrapText="1"/>
    </xf>
    <xf numFmtId="1" fontId="11" fillId="22" borderId="9" xfId="0" applyNumberFormat="1" applyFont="1" applyFill="1" applyBorder="1" applyAlignment="1" applyProtection="1">
      <alignment horizontal="center" vertical="center" wrapText="1"/>
    </xf>
    <xf numFmtId="1" fontId="11" fillId="22" borderId="100" xfId="0" applyNumberFormat="1" applyFont="1" applyFill="1" applyBorder="1" applyAlignment="1" applyProtection="1">
      <alignment horizontal="center" vertical="center" wrapText="1"/>
    </xf>
    <xf numFmtId="1" fontId="11" fillId="22" borderId="97" xfId="0" applyNumberFormat="1" applyFont="1" applyFill="1" applyBorder="1" applyAlignment="1" applyProtection="1">
      <alignment horizontal="center" vertical="center" wrapText="1"/>
    </xf>
    <xf numFmtId="1" fontId="11" fillId="22" borderId="29" xfId="0" applyNumberFormat="1" applyFont="1" applyFill="1" applyBorder="1" applyAlignment="1" applyProtection="1">
      <alignment horizontal="center" vertical="center" wrapText="1"/>
    </xf>
    <xf numFmtId="1" fontId="7" fillId="22" borderId="64" xfId="0" applyNumberFormat="1" applyFont="1" applyFill="1" applyBorder="1" applyAlignment="1" applyProtection="1">
      <alignment horizontal="center" vertical="center" wrapText="1"/>
    </xf>
    <xf numFmtId="1" fontId="31" fillId="22" borderId="64" xfId="0" applyNumberFormat="1" applyFont="1" applyFill="1" applyBorder="1" applyAlignment="1" applyProtection="1">
      <alignment horizontal="center" vertical="center" wrapText="1"/>
    </xf>
    <xf numFmtId="1" fontId="31" fillId="22" borderId="4" xfId="0" applyNumberFormat="1" applyFont="1" applyFill="1" applyBorder="1" applyAlignment="1" applyProtection="1">
      <alignment horizontal="center" vertical="center" wrapText="1"/>
    </xf>
    <xf numFmtId="1" fontId="31" fillId="22" borderId="176" xfId="0" applyNumberFormat="1" applyFont="1" applyFill="1" applyBorder="1" applyAlignment="1" applyProtection="1">
      <alignment horizontal="center" vertical="center" wrapText="1"/>
    </xf>
    <xf numFmtId="1" fontId="31" fillId="22" borderId="0" xfId="0" applyNumberFormat="1" applyFont="1" applyFill="1" applyBorder="1" applyAlignment="1" applyProtection="1">
      <alignment horizontal="center" vertical="center" wrapText="1"/>
    </xf>
    <xf numFmtId="1" fontId="31" fillId="22" borderId="172" xfId="0" applyNumberFormat="1" applyFont="1" applyFill="1" applyBorder="1" applyAlignment="1" applyProtection="1">
      <alignment horizontal="center" vertical="center" wrapText="1"/>
    </xf>
    <xf numFmtId="1" fontId="31" fillId="22" borderId="6" xfId="0" applyNumberFormat="1" applyFont="1" applyFill="1" applyBorder="1" applyAlignment="1" applyProtection="1">
      <alignment horizontal="center" vertical="center" wrapText="1"/>
    </xf>
    <xf numFmtId="1" fontId="7" fillId="22" borderId="30" xfId="0" applyNumberFormat="1" applyFont="1" applyFill="1" applyBorder="1" applyAlignment="1" applyProtection="1">
      <alignment horizontal="left" wrapText="1"/>
    </xf>
    <xf numFmtId="1" fontId="7" fillId="22" borderId="35" xfId="0" applyNumberFormat="1" applyFont="1" applyFill="1" applyBorder="1" applyAlignment="1" applyProtection="1">
      <alignment horizontal="left"/>
    </xf>
    <xf numFmtId="1" fontId="31" fillId="22" borderId="76" xfId="0" applyNumberFormat="1" applyFont="1" applyFill="1" applyBorder="1" applyAlignment="1" applyProtection="1">
      <alignment horizontal="left"/>
    </xf>
    <xf numFmtId="1" fontId="31" fillId="22" borderId="39" xfId="0" applyNumberFormat="1" applyFont="1" applyFill="1" applyBorder="1" applyAlignment="1" applyProtection="1">
      <alignment horizontal="left"/>
    </xf>
    <xf numFmtId="1" fontId="31" fillId="22" borderId="9" xfId="0" applyNumberFormat="1" applyFont="1" applyFill="1" applyBorder="1" applyAlignment="1" applyProtection="1">
      <alignment horizontal="center" vertical="center" wrapText="1"/>
    </xf>
    <xf numFmtId="1" fontId="31" fillId="22" borderId="0" xfId="0" applyNumberFormat="1" applyFont="1" applyFill="1" applyAlignment="1" applyProtection="1">
      <alignment horizontal="center" vertical="center" wrapText="1"/>
    </xf>
    <xf numFmtId="1" fontId="31" fillId="22" borderId="97" xfId="0" applyNumberFormat="1" applyFont="1" applyFill="1" applyBorder="1" applyAlignment="1" applyProtection="1">
      <alignment horizontal="center" vertical="center" wrapText="1"/>
    </xf>
    <xf numFmtId="1" fontId="7" fillId="22" borderId="1" xfId="0" applyNumberFormat="1" applyFont="1" applyFill="1" applyBorder="1" applyAlignment="1" applyProtection="1">
      <alignment horizontal="center" vertical="center" wrapText="1"/>
    </xf>
    <xf numFmtId="1" fontId="7" fillId="22" borderId="10" xfId="0" applyNumberFormat="1" applyFont="1" applyFill="1" applyBorder="1" applyAlignment="1" applyProtection="1">
      <alignment horizontal="center" vertical="center" wrapText="1"/>
    </xf>
    <xf numFmtId="1" fontId="7" fillId="22" borderId="35" xfId="0" applyNumberFormat="1" applyFont="1" applyFill="1" applyBorder="1" applyAlignment="1" applyProtection="1">
      <alignment horizontal="left" wrapText="1"/>
    </xf>
    <xf numFmtId="1" fontId="7" fillId="22" borderId="11" xfId="0" applyNumberFormat="1" applyFont="1" applyFill="1" applyBorder="1" applyAlignment="1" applyProtection="1">
      <alignment horizontal="left" wrapText="1"/>
    </xf>
    <xf numFmtId="1" fontId="7" fillId="22" borderId="139" xfId="0" applyNumberFormat="1" applyFont="1" applyFill="1" applyBorder="1" applyAlignment="1" applyProtection="1">
      <alignment vertical="center" wrapText="1"/>
    </xf>
    <xf numFmtId="1" fontId="7" fillId="22" borderId="11" xfId="0" applyNumberFormat="1" applyFont="1" applyFill="1" applyBorder="1" applyAlignment="1" applyProtection="1">
      <alignment vertical="center" wrapText="1"/>
    </xf>
    <xf numFmtId="1" fontId="7" fillId="22" borderId="79" xfId="0" applyNumberFormat="1" applyFont="1" applyFill="1" applyBorder="1" applyAlignment="1" applyProtection="1">
      <alignment vertical="center" wrapText="1"/>
    </xf>
    <xf numFmtId="1" fontId="7" fillId="22" borderId="76" xfId="0" applyNumberFormat="1" applyFont="1" applyFill="1" applyBorder="1" applyAlignment="1" applyProtection="1">
      <alignment horizontal="left" wrapText="1"/>
    </xf>
    <xf numFmtId="1" fontId="7" fillId="22" borderId="39" xfId="0" applyNumberFormat="1" applyFont="1" applyFill="1" applyBorder="1" applyAlignment="1" applyProtection="1">
      <alignment horizontal="left" wrapText="1"/>
    </xf>
    <xf numFmtId="1" fontId="7" fillId="22" borderId="80" xfId="0" applyNumberFormat="1" applyFont="1" applyFill="1" applyBorder="1" applyAlignment="1" applyProtection="1">
      <alignment horizontal="left" vertical="center" wrapText="1"/>
    </xf>
    <xf numFmtId="1" fontId="7" fillId="22" borderId="127" xfId="0" applyNumberFormat="1" applyFont="1" applyFill="1" applyBorder="1" applyAlignment="1" applyProtection="1">
      <alignment horizontal="left" vertical="center" wrapText="1"/>
    </xf>
    <xf numFmtId="1" fontId="7" fillId="22" borderId="139" xfId="0" applyNumberFormat="1" applyFont="1" applyFill="1" applyBorder="1" applyAlignment="1" applyProtection="1">
      <alignment horizontal="center" vertical="center" wrapText="1"/>
    </xf>
    <xf numFmtId="1" fontId="7" fillId="22" borderId="139" xfId="0" applyNumberFormat="1" applyFont="1" applyFill="1" applyBorder="1" applyAlignment="1" applyProtection="1">
      <alignment vertical="center"/>
    </xf>
    <xf numFmtId="1" fontId="7" fillId="22" borderId="11" xfId="0" applyNumberFormat="1" applyFont="1" applyFill="1" applyBorder="1" applyAlignment="1" applyProtection="1">
      <alignment vertical="center"/>
    </xf>
    <xf numFmtId="1" fontId="7" fillId="22" borderId="139" xfId="0" applyNumberFormat="1" applyFont="1" applyFill="1" applyBorder="1" applyAlignment="1" applyProtection="1">
      <alignment horizontal="left" vertical="center" wrapText="1"/>
    </xf>
    <xf numFmtId="1" fontId="7" fillId="22" borderId="79" xfId="0" applyNumberFormat="1" applyFont="1" applyFill="1" applyBorder="1" applyAlignment="1" applyProtection="1">
      <alignment horizontal="left" vertical="center" wrapText="1"/>
    </xf>
    <xf numFmtId="1" fontId="7" fillId="22" borderId="80" xfId="0" applyNumberFormat="1" applyFont="1" applyFill="1" applyBorder="1" applyAlignment="1" applyProtection="1">
      <alignment horizontal="left" wrapText="1"/>
    </xf>
    <xf numFmtId="1" fontId="7" fillId="22" borderId="127" xfId="0" applyNumberFormat="1" applyFont="1" applyFill="1" applyBorder="1" applyAlignment="1" applyProtection="1">
      <alignment horizontal="left" wrapText="1"/>
    </xf>
    <xf numFmtId="1" fontId="7" fillId="22" borderId="77" xfId="0" applyNumberFormat="1" applyFont="1" applyFill="1" applyBorder="1" applyAlignment="1" applyProtection="1">
      <alignment horizontal="left" wrapText="1"/>
    </xf>
    <xf numFmtId="1" fontId="7" fillId="22" borderId="34" xfId="0" applyNumberFormat="1" applyFont="1" applyFill="1" applyBorder="1" applyAlignment="1" applyProtection="1">
      <alignment horizontal="left" wrapText="1"/>
    </xf>
    <xf numFmtId="1" fontId="7" fillId="22" borderId="210" xfId="0" applyNumberFormat="1" applyFont="1" applyFill="1" applyBorder="1" applyAlignment="1" applyProtection="1">
      <alignment horizontal="center" vertical="center" wrapText="1"/>
    </xf>
    <xf numFmtId="1" fontId="11" fillId="22" borderId="1" xfId="0" applyNumberFormat="1" applyFont="1" applyFill="1" applyBorder="1" applyAlignment="1" applyProtection="1">
      <alignment horizontal="center" vertical="center" wrapText="1"/>
    </xf>
    <xf numFmtId="1" fontId="7" fillId="22" borderId="75" xfId="0" applyNumberFormat="1" applyFont="1" applyFill="1" applyBorder="1" applyAlignment="1" applyProtection="1">
      <alignment horizontal="left" wrapText="1"/>
    </xf>
    <xf numFmtId="1" fontId="7" fillId="22" borderId="27" xfId="0" applyNumberFormat="1" applyFont="1" applyFill="1" applyBorder="1" applyAlignment="1" applyProtection="1">
      <alignment horizontal="left" wrapText="1"/>
    </xf>
    <xf numFmtId="1" fontId="11" fillId="0" borderId="10" xfId="126" applyNumberFormat="1" applyFont="1" applyFill="1" applyBorder="1" applyAlignment="1" applyProtection="1">
      <alignment horizontal="center" vertical="center" wrapText="1"/>
      <protection hidden="1"/>
    </xf>
    <xf numFmtId="1" fontId="11" fillId="0" borderId="67" xfId="126" applyNumberFormat="1" applyFont="1" applyFill="1" applyBorder="1" applyAlignment="1" applyProtection="1">
      <alignment horizontal="center" vertical="center" wrapText="1"/>
      <protection hidden="1"/>
    </xf>
    <xf numFmtId="1" fontId="7" fillId="29" borderId="139" xfId="0" applyNumberFormat="1" applyFont="1" applyFill="1" applyBorder="1" applyAlignment="1" applyProtection="1">
      <alignment horizontal="center" vertical="center" wrapText="1"/>
    </xf>
    <xf numFmtId="1" fontId="7" fillId="29" borderId="11" xfId="0" applyNumberFormat="1" applyFont="1" applyFill="1" applyBorder="1" applyAlignment="1" applyProtection="1">
      <alignment horizontal="center" vertical="center" wrapText="1"/>
    </xf>
    <xf numFmtId="1" fontId="7" fillId="21" borderId="79" xfId="0" applyNumberFormat="1" applyFont="1" applyFill="1" applyBorder="1" applyAlignment="1" applyProtection="1">
      <alignment horizontal="center" vertical="center" wrapText="1"/>
    </xf>
    <xf numFmtId="1" fontId="7" fillId="0" borderId="49" xfId="0" applyNumberFormat="1" applyFont="1" applyFill="1" applyBorder="1" applyAlignment="1" applyProtection="1">
      <alignment horizontal="center" vertical="center" wrapText="1"/>
    </xf>
    <xf numFmtId="1" fontId="7" fillId="0" borderId="100" xfId="0" applyNumberFormat="1" applyFont="1" applyFill="1" applyBorder="1" applyAlignment="1" applyProtection="1">
      <alignment horizontal="center" vertical="center" wrapText="1"/>
    </xf>
    <xf numFmtId="1" fontId="7" fillId="0" borderId="29" xfId="0" applyNumberFormat="1" applyFont="1" applyFill="1" applyBorder="1" applyAlignment="1" applyProtection="1">
      <alignment horizontal="center" vertical="center" wrapText="1"/>
    </xf>
    <xf numFmtId="1" fontId="7" fillId="17" borderId="1" xfId="109" applyNumberFormat="1" applyFont="1" applyFill="1" applyBorder="1" applyAlignment="1" applyProtection="1">
      <alignment horizontal="center" vertical="center" wrapText="1"/>
    </xf>
    <xf numFmtId="1" fontId="7" fillId="17" borderId="140" xfId="109" applyNumberFormat="1" applyFont="1" applyFill="1" applyBorder="1" applyAlignment="1" applyProtection="1">
      <alignment horizontal="center" vertical="center" wrapText="1"/>
    </xf>
    <xf numFmtId="1" fontId="7" fillId="17" borderId="4" xfId="109" applyNumberFormat="1" applyFont="1" applyFill="1" applyBorder="1" applyAlignment="1" applyProtection="1">
      <alignment horizontal="center" vertical="center" wrapText="1"/>
    </xf>
    <xf numFmtId="1" fontId="7" fillId="17" borderId="49" xfId="109" applyNumberFormat="1" applyFont="1" applyFill="1" applyBorder="1" applyAlignment="1" applyProtection="1">
      <alignment horizontal="center" vertical="center" wrapText="1"/>
    </xf>
    <xf numFmtId="1" fontId="7" fillId="17" borderId="97" xfId="109" applyNumberFormat="1" applyFont="1" applyFill="1" applyBorder="1" applyAlignment="1" applyProtection="1">
      <alignment horizontal="center" vertical="center" wrapText="1"/>
    </xf>
    <xf numFmtId="1" fontId="7" fillId="17" borderId="6" xfId="109" applyNumberFormat="1" applyFont="1" applyFill="1" applyBorder="1" applyAlignment="1" applyProtection="1">
      <alignment horizontal="center" vertical="center" wrapText="1"/>
    </xf>
    <xf numFmtId="1" fontId="7" fillId="17" borderId="29" xfId="109" applyNumberFormat="1" applyFont="1" applyFill="1" applyBorder="1" applyAlignment="1" applyProtection="1">
      <alignment horizontal="center" vertical="center" wrapText="1"/>
    </xf>
    <xf numFmtId="1" fontId="7" fillId="0" borderId="96" xfId="0" applyNumberFormat="1" applyFont="1" applyFill="1" applyBorder="1" applyAlignment="1" applyProtection="1">
      <alignment horizontal="center" vertical="center"/>
    </xf>
    <xf numFmtId="1" fontId="7" fillId="0" borderId="65" xfId="0" applyNumberFormat="1" applyFont="1" applyFill="1" applyBorder="1" applyAlignment="1" applyProtection="1">
      <alignment horizontal="center" vertical="center"/>
    </xf>
    <xf numFmtId="1" fontId="7" fillId="17" borderId="10" xfId="109" applyNumberFormat="1" applyFont="1" applyFill="1" applyBorder="1" applyAlignment="1" applyProtection="1">
      <alignment horizontal="center" vertical="center" wrapText="1"/>
    </xf>
    <xf numFmtId="1" fontId="7" fillId="17" borderId="96" xfId="109" applyNumberFormat="1" applyFont="1" applyFill="1" applyBorder="1" applyAlignment="1" applyProtection="1">
      <alignment horizontal="center" vertical="center" wrapText="1"/>
    </xf>
    <xf numFmtId="1" fontId="7" fillId="0" borderId="65" xfId="0" applyNumberFormat="1" applyFont="1" applyFill="1" applyBorder="1" applyAlignment="1" applyProtection="1">
      <alignment horizontal="center" vertical="center" wrapText="1"/>
    </xf>
    <xf numFmtId="1" fontId="7" fillId="0" borderId="96" xfId="0" applyNumberFormat="1" applyFont="1" applyFill="1" applyBorder="1" applyAlignment="1" applyProtection="1">
      <alignment horizontal="center" vertical="center" wrapText="1"/>
    </xf>
    <xf numFmtId="1" fontId="7" fillId="17" borderId="67" xfId="109" applyNumberFormat="1" applyFont="1" applyFill="1" applyBorder="1" applyAlignment="1" applyProtection="1">
      <alignment horizontal="center" vertical="center" wrapText="1"/>
    </xf>
    <xf numFmtId="1" fontId="15" fillId="17" borderId="0" xfId="127" applyNumberFormat="1" applyFont="1" applyFill="1" applyBorder="1" applyAlignment="1" applyProtection="1">
      <alignment horizontal="center" vertical="center" wrapText="1"/>
      <protection hidden="1"/>
    </xf>
    <xf numFmtId="1" fontId="7" fillId="17" borderId="139" xfId="123" applyNumberFormat="1" applyFont="1" applyFill="1" applyBorder="1" applyAlignment="1" applyProtection="1">
      <alignment horizontal="center" vertical="center"/>
    </xf>
    <xf numFmtId="1" fontId="7" fillId="17" borderId="11" xfId="123" applyNumberFormat="1" applyFont="1" applyFill="1" applyBorder="1" applyAlignment="1" applyProtection="1">
      <alignment horizontal="center" vertical="center"/>
    </xf>
    <xf numFmtId="1" fontId="7" fillId="17" borderId="0" xfId="109" applyNumberFormat="1" applyFont="1" applyFill="1" applyBorder="1" applyAlignment="1" applyProtection="1">
      <alignment horizontal="center" vertical="center" wrapText="1"/>
    </xf>
    <xf numFmtId="1" fontId="7" fillId="17" borderId="100" xfId="109" applyNumberFormat="1" applyFont="1" applyFill="1" applyBorder="1" applyAlignment="1" applyProtection="1">
      <alignment horizontal="center" vertical="center" wrapText="1"/>
    </xf>
    <xf numFmtId="1" fontId="7" fillId="17" borderId="79" xfId="123" applyNumberFormat="1" applyFont="1" applyFill="1" applyBorder="1" applyAlignment="1" applyProtection="1">
      <alignment horizontal="center" vertical="center"/>
    </xf>
    <xf numFmtId="1" fontId="7" fillId="0" borderId="201" xfId="0" applyNumberFormat="1" applyFont="1" applyFill="1" applyBorder="1" applyAlignment="1" applyProtection="1">
      <alignment horizontal="center" vertical="center" wrapText="1"/>
    </xf>
    <xf numFmtId="1" fontId="7" fillId="0" borderId="131" xfId="0" applyNumberFormat="1" applyFont="1" applyFill="1" applyBorder="1" applyAlignment="1" applyProtection="1">
      <alignment horizontal="center" vertical="center" wrapText="1"/>
    </xf>
    <xf numFmtId="1" fontId="7" fillId="0" borderId="130" xfId="0" applyNumberFormat="1" applyFont="1" applyFill="1" applyBorder="1" applyAlignment="1" applyProtection="1">
      <alignment horizontal="center" vertical="center" wrapText="1"/>
    </xf>
    <xf numFmtId="1" fontId="7" fillId="0" borderId="197" xfId="0" applyNumberFormat="1" applyFont="1" applyFill="1" applyBorder="1" applyAlignment="1" applyProtection="1">
      <alignment horizontal="center" vertical="center" wrapText="1"/>
    </xf>
    <xf numFmtId="1" fontId="7" fillId="0" borderId="200" xfId="0" applyNumberFormat="1" applyFont="1" applyFill="1" applyBorder="1" applyAlignment="1" applyProtection="1">
      <alignment horizontal="center" vertical="center" wrapText="1"/>
    </xf>
    <xf numFmtId="1" fontId="7" fillId="0" borderId="120" xfId="0" applyNumberFormat="1" applyFont="1" applyFill="1" applyBorder="1" applyAlignment="1" applyProtection="1">
      <alignment horizontal="center" vertical="center" wrapText="1"/>
    </xf>
    <xf numFmtId="1" fontId="7" fillId="0" borderId="88" xfId="0" applyNumberFormat="1" applyFont="1" applyFill="1" applyBorder="1" applyAlignment="1" applyProtection="1">
      <alignment horizontal="center" vertical="center" wrapText="1"/>
    </xf>
    <xf numFmtId="1" fontId="7" fillId="0" borderId="202" xfId="0" applyNumberFormat="1" applyFont="1" applyFill="1" applyBorder="1" applyAlignment="1" applyProtection="1">
      <alignment horizontal="center" vertical="center" wrapText="1"/>
    </xf>
    <xf numFmtId="1" fontId="7" fillId="0" borderId="172" xfId="0" applyNumberFormat="1" applyFont="1" applyFill="1" applyBorder="1" applyAlignment="1" applyProtection="1">
      <alignment horizontal="center" vertical="center" wrapText="1"/>
    </xf>
    <xf numFmtId="1" fontId="7" fillId="0" borderId="10" xfId="0" quotePrefix="1" applyNumberFormat="1" applyFont="1" applyFill="1" applyBorder="1" applyAlignment="1" applyProtection="1">
      <alignment horizontal="center" vertical="center" wrapText="1"/>
    </xf>
    <xf numFmtId="1" fontId="7" fillId="0" borderId="67" xfId="0" quotePrefix="1" applyNumberFormat="1" applyFont="1" applyFill="1" applyBorder="1" applyAlignment="1" applyProtection="1">
      <alignment horizontal="center" vertical="center" wrapText="1"/>
    </xf>
    <xf numFmtId="1" fontId="30" fillId="0" borderId="197" xfId="0" applyNumberFormat="1" applyFont="1" applyBorder="1" applyAlignment="1" applyProtection="1">
      <alignment horizontal="center" vertical="center" wrapText="1"/>
    </xf>
    <xf numFmtId="1" fontId="7" fillId="21" borderId="140" xfId="0" applyNumberFormat="1" applyFont="1" applyFill="1" applyBorder="1" applyAlignment="1" applyProtection="1">
      <alignment horizontal="center" vertical="center" wrapText="1"/>
    </xf>
    <xf numFmtId="1" fontId="7" fillId="21" borderId="49" xfId="0" applyNumberFormat="1" applyFont="1" applyFill="1" applyBorder="1" applyAlignment="1" applyProtection="1">
      <alignment horizontal="center" vertical="center" wrapText="1"/>
    </xf>
    <xf numFmtId="1" fontId="7" fillId="21" borderId="97" xfId="0" applyNumberFormat="1" applyFont="1" applyFill="1" applyBorder="1" applyAlignment="1" applyProtection="1">
      <alignment horizontal="center" vertical="center" wrapText="1"/>
    </xf>
    <xf numFmtId="1" fontId="7" fillId="21" borderId="29" xfId="0" applyNumberFormat="1" applyFont="1" applyFill="1" applyBorder="1" applyAlignment="1" applyProtection="1">
      <alignment horizontal="center" vertical="center" wrapText="1"/>
    </xf>
    <xf numFmtId="1" fontId="11" fillId="0" borderId="1" xfId="130" applyNumberFormat="1" applyFont="1" applyFill="1" applyBorder="1" applyAlignment="1" applyProtection="1">
      <alignment horizontal="center" vertical="center" wrapText="1"/>
    </xf>
    <xf numFmtId="1" fontId="11" fillId="0" borderId="1" xfId="0" applyNumberFormat="1" applyFont="1" applyBorder="1" applyAlignment="1" applyProtection="1">
      <alignment horizontal="center" vertical="center" wrapText="1"/>
    </xf>
    <xf numFmtId="1" fontId="11" fillId="0" borderId="10" xfId="130" applyNumberFormat="1" applyFont="1" applyFill="1" applyBorder="1" applyAlignment="1" applyProtection="1">
      <alignment horizontal="center" vertical="center" wrapText="1"/>
      <protection hidden="1"/>
    </xf>
    <xf numFmtId="1" fontId="11" fillId="0" borderId="194" xfId="130" applyNumberFormat="1" applyFont="1" applyFill="1" applyBorder="1" applyAlignment="1" applyProtection="1">
      <alignment horizontal="center" vertical="center" wrapText="1"/>
      <protection hidden="1"/>
    </xf>
    <xf numFmtId="1" fontId="11" fillId="0" borderId="195" xfId="130" applyNumberFormat="1" applyFont="1" applyFill="1" applyBorder="1" applyAlignment="1" applyProtection="1">
      <alignment horizontal="center" vertical="center" wrapText="1"/>
      <protection hidden="1"/>
    </xf>
    <xf numFmtId="1" fontId="11" fillId="0" borderId="196" xfId="130" applyNumberFormat="1" applyFont="1" applyFill="1" applyBorder="1" applyAlignment="1" applyProtection="1">
      <alignment horizontal="center" vertical="center" wrapText="1"/>
    </xf>
    <xf numFmtId="1" fontId="11" fillId="0" borderId="11" xfId="130" applyNumberFormat="1" applyFont="1" applyFill="1" applyBorder="1" applyAlignment="1" applyProtection="1">
      <alignment horizontal="center" vertical="center" wrapText="1"/>
    </xf>
    <xf numFmtId="1" fontId="11" fillId="0" borderId="197" xfId="130" applyNumberFormat="1" applyFont="1" applyFill="1" applyBorder="1" applyAlignment="1" applyProtection="1">
      <alignment horizontal="center" vertical="center" wrapText="1"/>
    </xf>
    <xf numFmtId="1" fontId="11" fillId="0" borderId="29" xfId="130" applyNumberFormat="1" applyFont="1" applyFill="1" applyBorder="1" applyAlignment="1" applyProtection="1">
      <alignment horizontal="center" vertical="center" wrapText="1"/>
    </xf>
    <xf numFmtId="1" fontId="11" fillId="0" borderId="198" xfId="130" applyNumberFormat="1" applyFont="1" applyFill="1" applyBorder="1" applyAlignment="1" applyProtection="1">
      <alignment horizontal="center" vertical="center" wrapText="1"/>
      <protection hidden="1"/>
    </xf>
    <xf numFmtId="0" fontId="11" fillId="0" borderId="197" xfId="130" applyNumberFormat="1" applyFont="1" applyFill="1" applyBorder="1" applyAlignment="1" applyProtection="1">
      <alignment horizontal="center" vertical="center" wrapText="1"/>
    </xf>
    <xf numFmtId="0" fontId="11" fillId="0" borderId="29" xfId="130" applyNumberFormat="1" applyFont="1" applyFill="1" applyBorder="1" applyAlignment="1" applyProtection="1">
      <alignment horizontal="center" vertical="center" wrapText="1"/>
    </xf>
    <xf numFmtId="1" fontId="42" fillId="0" borderId="0" xfId="130" applyNumberFormat="1" applyFont="1" applyFill="1" applyBorder="1" applyAlignment="1" applyProtection="1">
      <alignment horizontal="left" wrapText="1"/>
    </xf>
    <xf numFmtId="1" fontId="11" fillId="0" borderId="189" xfId="130" applyNumberFormat="1" applyFont="1" applyFill="1" applyBorder="1" applyAlignment="1" applyProtection="1">
      <alignment horizontal="center" vertical="center" wrapText="1"/>
    </xf>
    <xf numFmtId="1" fontId="11" fillId="0" borderId="189" xfId="0" applyNumberFormat="1" applyFont="1" applyBorder="1" applyAlignment="1" applyProtection="1">
      <alignment horizontal="center" vertical="center" wrapText="1"/>
    </xf>
    <xf numFmtId="1" fontId="11" fillId="0" borderId="191" xfId="130" applyNumberFormat="1" applyFont="1" applyFill="1" applyBorder="1" applyAlignment="1" applyProtection="1">
      <alignment horizontal="center" vertical="center" wrapText="1"/>
      <protection hidden="1"/>
    </xf>
    <xf numFmtId="1" fontId="11" fillId="0" borderId="96" xfId="130" applyNumberFormat="1" applyFont="1" applyFill="1" applyBorder="1" applyAlignment="1" applyProtection="1">
      <alignment horizontal="center" vertical="center" wrapText="1"/>
      <protection hidden="1"/>
    </xf>
    <xf numFmtId="1" fontId="11" fillId="0" borderId="67" xfId="130" applyNumberFormat="1" applyFont="1" applyFill="1" applyBorder="1" applyAlignment="1" applyProtection="1">
      <alignment horizontal="center" vertical="center" wrapText="1"/>
      <protection hidden="1"/>
    </xf>
    <xf numFmtId="1" fontId="11" fillId="0" borderId="139" xfId="130" applyNumberFormat="1" applyFont="1" applyFill="1" applyBorder="1" applyAlignment="1" applyProtection="1">
      <alignment horizontal="center" vertical="center" wrapText="1"/>
    </xf>
    <xf numFmtId="1" fontId="11" fillId="0" borderId="49" xfId="130" applyNumberFormat="1" applyFont="1" applyFill="1" applyBorder="1" applyAlignment="1" applyProtection="1">
      <alignment horizontal="center" vertical="center" wrapText="1"/>
    </xf>
    <xf numFmtId="1" fontId="11" fillId="0" borderId="4" xfId="130" applyNumberFormat="1" applyFont="1" applyFill="1" applyBorder="1" applyAlignment="1" applyProtection="1">
      <alignment horizontal="left"/>
    </xf>
    <xf numFmtId="1" fontId="7" fillId="22" borderId="0" xfId="109" applyNumberFormat="1" applyFont="1" applyFill="1" applyBorder="1" applyAlignment="1" applyProtection="1">
      <alignment horizontal="center" vertical="center" wrapText="1"/>
    </xf>
    <xf numFmtId="1" fontId="15" fillId="0" borderId="0" xfId="130" applyNumberFormat="1" applyFont="1" applyFill="1" applyBorder="1" applyAlignment="1" applyProtection="1">
      <alignment horizontal="center" vertical="center"/>
      <protection hidden="1"/>
    </xf>
    <xf numFmtId="1" fontId="15" fillId="0" borderId="6" xfId="130" applyNumberFormat="1" applyFont="1" applyFill="1" applyBorder="1" applyAlignment="1" applyProtection="1">
      <alignment wrapText="1"/>
    </xf>
    <xf numFmtId="1" fontId="11" fillId="0" borderId="65" xfId="130" applyNumberFormat="1" applyFont="1" applyFill="1" applyBorder="1" applyAlignment="1" applyProtection="1">
      <alignment horizontal="center" vertical="center" wrapText="1"/>
      <protection hidden="1"/>
    </xf>
    <xf numFmtId="0" fontId="11" fillId="0" borderId="173" xfId="130" applyNumberFormat="1" applyFont="1" applyFill="1" applyBorder="1" applyAlignment="1" applyProtection="1">
      <alignment horizontal="center" vertical="center" wrapText="1"/>
    </xf>
    <xf numFmtId="0" fontId="11" fillId="0" borderId="150" xfId="130" applyNumberFormat="1" applyFont="1" applyFill="1" applyBorder="1" applyAlignment="1" applyProtection="1">
      <alignment horizontal="center" vertical="center" wrapText="1"/>
    </xf>
    <xf numFmtId="0" fontId="30" fillId="0" borderId="197" xfId="0" applyFont="1" applyBorder="1" applyAlignment="1" applyProtection="1">
      <alignment horizontal="center" vertical="center"/>
    </xf>
    <xf numFmtId="0" fontId="30" fillId="0" borderId="100" xfId="0" applyFont="1" applyBorder="1" applyAlignment="1" applyProtection="1">
      <alignment horizontal="center" vertical="center"/>
    </xf>
    <xf numFmtId="0" fontId="30" fillId="0" borderId="29" xfId="0" applyFont="1" applyBorder="1" applyAlignment="1" applyProtection="1">
      <alignment horizontal="center" vertical="center"/>
    </xf>
    <xf numFmtId="0" fontId="30" fillId="0" borderId="196" xfId="0" applyFont="1" applyBorder="1" applyAlignment="1" applyProtection="1">
      <alignment horizontal="center" vertical="center" wrapText="1"/>
    </xf>
    <xf numFmtId="0" fontId="30" fillId="0" borderId="79" xfId="0" applyFont="1" applyBorder="1" applyAlignment="1" applyProtection="1">
      <alignment horizontal="center" vertical="center" wrapText="1"/>
    </xf>
    <xf numFmtId="0" fontId="30" fillId="0" borderId="11" xfId="0" applyFont="1" applyBorder="1" applyAlignment="1" applyProtection="1">
      <alignment horizontal="center" vertical="center" wrapText="1"/>
    </xf>
    <xf numFmtId="0" fontId="7" fillId="0" borderId="49" xfId="0" applyFont="1" applyBorder="1" applyAlignment="1" applyProtection="1">
      <alignment horizontal="center" vertical="center"/>
    </xf>
    <xf numFmtId="0" fontId="7" fillId="0" borderId="100" xfId="0" applyFont="1" applyBorder="1" applyAlignment="1" applyProtection="1">
      <alignment horizontal="center" vertical="center"/>
    </xf>
    <xf numFmtId="0" fontId="7" fillId="0" borderId="29" xfId="0" applyFont="1" applyBorder="1" applyAlignment="1" applyProtection="1">
      <alignment horizontal="center" vertical="center"/>
    </xf>
    <xf numFmtId="0" fontId="31" fillId="0" borderId="10" xfId="0" applyFont="1" applyBorder="1" applyAlignment="1" applyProtection="1">
      <alignment horizontal="center"/>
    </xf>
    <xf numFmtId="0" fontId="31" fillId="0" borderId="67" xfId="0" applyFont="1" applyBorder="1" applyAlignment="1" applyProtection="1">
      <alignment horizontal="center"/>
    </xf>
    <xf numFmtId="0" fontId="31" fillId="0" borderId="65" xfId="0" applyFont="1" applyBorder="1" applyAlignment="1" applyProtection="1">
      <alignment horizontal="center"/>
    </xf>
    <xf numFmtId="1" fontId="42" fillId="0" borderId="6" xfId="0" applyNumberFormat="1" applyFont="1" applyFill="1" applyBorder="1" applyAlignment="1" applyProtection="1">
      <alignment horizontal="left"/>
    </xf>
    <xf numFmtId="0" fontId="31" fillId="0" borderId="10" xfId="0" applyFont="1" applyBorder="1" applyAlignment="1" applyProtection="1">
      <alignment horizontal="center" vertical="center" wrapText="1"/>
    </xf>
    <xf numFmtId="0" fontId="31" fillId="0" borderId="96" xfId="0" applyFont="1" applyBorder="1" applyAlignment="1" applyProtection="1">
      <alignment horizontal="center" vertical="center" wrapText="1"/>
    </xf>
    <xf numFmtId="0" fontId="31" fillId="0" borderId="65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140" xfId="0" applyFont="1" applyBorder="1" applyAlignment="1" applyProtection="1">
      <alignment horizontal="center" vertical="center"/>
    </xf>
    <xf numFmtId="0" fontId="31" fillId="0" borderId="4" xfId="0" applyFont="1" applyBorder="1" applyAlignment="1" applyProtection="1">
      <alignment horizontal="center" vertical="center"/>
    </xf>
    <xf numFmtId="0" fontId="31" fillId="0" borderId="49" xfId="0" applyFont="1" applyBorder="1" applyAlignment="1" applyProtection="1">
      <alignment horizontal="center" vertical="center"/>
    </xf>
    <xf numFmtId="0" fontId="31" fillId="0" borderId="97" xfId="0" applyFont="1" applyBorder="1" applyAlignment="1" applyProtection="1">
      <alignment horizontal="center" vertical="center"/>
    </xf>
    <xf numFmtId="0" fontId="31" fillId="0" borderId="6" xfId="0" applyFont="1" applyBorder="1" applyAlignment="1" applyProtection="1">
      <alignment horizontal="center" vertical="center"/>
    </xf>
    <xf numFmtId="0" fontId="31" fillId="0" borderId="29" xfId="0" applyFont="1" applyBorder="1" applyAlignment="1" applyProtection="1">
      <alignment horizontal="center" vertical="center"/>
    </xf>
    <xf numFmtId="0" fontId="31" fillId="0" borderId="96" xfId="0" applyFont="1" applyBorder="1" applyAlignment="1" applyProtection="1">
      <alignment horizontal="center"/>
    </xf>
    <xf numFmtId="0" fontId="31" fillId="0" borderId="67" xfId="0" applyFont="1" applyFill="1" applyBorder="1" applyAlignment="1" applyProtection="1">
      <alignment horizontal="center" vertical="center" wrapText="1"/>
    </xf>
    <xf numFmtId="0" fontId="31" fillId="0" borderId="1" xfId="0" applyFont="1" applyFill="1" applyBorder="1" applyAlignment="1" applyProtection="1">
      <alignment horizontal="center" vertical="center" wrapText="1"/>
    </xf>
    <xf numFmtId="0" fontId="30" fillId="0" borderId="1" xfId="0" applyFont="1" applyBorder="1" applyAlignment="1" applyProtection="1">
      <alignment horizontal="center" vertical="center" wrapText="1"/>
    </xf>
    <xf numFmtId="0" fontId="30" fillId="0" borderId="210" xfId="0" applyFont="1" applyBorder="1" applyAlignment="1" applyProtection="1">
      <alignment horizontal="center" vertical="center"/>
    </xf>
    <xf numFmtId="0" fontId="30" fillId="0" borderId="4" xfId="0" applyFont="1" applyBorder="1" applyAlignment="1" applyProtection="1">
      <alignment horizontal="center" vertical="center"/>
    </xf>
    <xf numFmtId="0" fontId="30" fillId="0" borderId="97" xfId="0" applyFont="1" applyBorder="1" applyAlignment="1" applyProtection="1">
      <alignment horizontal="center" vertical="center"/>
    </xf>
    <xf numFmtId="0" fontId="30" fillId="0" borderId="6" xfId="0" applyFont="1" applyBorder="1" applyAlignment="1" applyProtection="1">
      <alignment horizontal="center" vertical="center"/>
    </xf>
    <xf numFmtId="0" fontId="30" fillId="0" borderId="10" xfId="0" applyFont="1" applyBorder="1" applyAlignment="1" applyProtection="1">
      <alignment horizontal="center"/>
    </xf>
    <xf numFmtId="0" fontId="30" fillId="0" borderId="194" xfId="0" applyFont="1" applyBorder="1" applyAlignment="1" applyProtection="1">
      <alignment horizontal="center"/>
    </xf>
    <xf numFmtId="0" fontId="30" fillId="0" borderId="198" xfId="0" applyFont="1" applyBorder="1" applyAlignment="1" applyProtection="1">
      <alignment horizontal="center"/>
    </xf>
    <xf numFmtId="0" fontId="30" fillId="0" borderId="195" xfId="0" applyFont="1" applyBorder="1" applyAlignment="1" applyProtection="1">
      <alignment horizontal="center"/>
    </xf>
    <xf numFmtId="0" fontId="25" fillId="16" borderId="177" xfId="0" applyFont="1" applyFill="1" applyBorder="1" applyAlignment="1">
      <alignment horizontal="center" vertical="center" wrapText="1"/>
    </xf>
    <xf numFmtId="0" fontId="25" fillId="16" borderId="178" xfId="0" applyFont="1" applyFill="1" applyBorder="1" applyAlignment="1">
      <alignment horizontal="center" vertical="center" wrapText="1"/>
    </xf>
    <xf numFmtId="0" fontId="25" fillId="16" borderId="179" xfId="0" applyFont="1" applyFill="1" applyBorder="1" applyAlignment="1">
      <alignment horizontal="center" vertical="center" wrapText="1"/>
    </xf>
    <xf numFmtId="0" fontId="26" fillId="16" borderId="180" xfId="0" applyFont="1" applyFill="1" applyBorder="1" applyAlignment="1">
      <alignment horizontal="center" vertical="center" wrapText="1"/>
    </xf>
    <xf numFmtId="0" fontId="26" fillId="16" borderId="181" xfId="0" applyFont="1" applyFill="1" applyBorder="1" applyAlignment="1">
      <alignment horizontal="center" vertical="center" wrapText="1"/>
    </xf>
    <xf numFmtId="0" fontId="26" fillId="16" borderId="182" xfId="0" applyFont="1" applyFill="1" applyBorder="1" applyAlignment="1">
      <alignment horizontal="center" vertical="center" wrapText="1"/>
    </xf>
    <xf numFmtId="0" fontId="26" fillId="16" borderId="183" xfId="0" applyFont="1" applyFill="1" applyBorder="1" applyAlignment="1">
      <alignment horizontal="center" vertical="center" wrapText="1"/>
    </xf>
    <xf numFmtId="0" fontId="26" fillId="16" borderId="184" xfId="0" applyFont="1" applyFill="1" applyBorder="1" applyAlignment="1">
      <alignment horizontal="center" vertical="center" wrapText="1"/>
    </xf>
    <xf numFmtId="0" fontId="26" fillId="16" borderId="185" xfId="0" applyFont="1" applyFill="1" applyBorder="1" applyAlignment="1">
      <alignment horizontal="center" vertical="center" wrapText="1"/>
    </xf>
  </cellXfs>
  <cellStyles count="141">
    <cellStyle name="20% - Énfasis1 2" xfId="1"/>
    <cellStyle name="20% - Énfasis2 2" xfId="2"/>
    <cellStyle name="20% - Énfasis3 2" xfId="3"/>
    <cellStyle name="20% - Énfasis4 2" xfId="4"/>
    <cellStyle name="20% - Énfasis5 2" xfId="5"/>
    <cellStyle name="20% - Énfasis6 2" xfId="6"/>
    <cellStyle name="40% - Énfasis1 2" xfId="7"/>
    <cellStyle name="40% - Énfasis2 2" xfId="8"/>
    <cellStyle name="40% - Énfasis3 2" xfId="9"/>
    <cellStyle name="40% - Énfasis4 2" xfId="10"/>
    <cellStyle name="40% - Énfasis5 2" xfId="11"/>
    <cellStyle name="40% - Énfasis6 2" xfId="12"/>
    <cellStyle name="Escribir" xfId="13"/>
    <cellStyle name="Escribir 2" xfId="14"/>
    <cellStyle name="Escribir 2 11" xfId="139"/>
    <cellStyle name="Escribir 2 2" xfId="15"/>
    <cellStyle name="Escribir 2 3" xfId="16"/>
    <cellStyle name="Escribir 2 4" xfId="17"/>
    <cellStyle name="Escribir 2 5" xfId="18"/>
    <cellStyle name="Escribir 2 6" xfId="138"/>
    <cellStyle name="Escribir 2_NOMBRE" xfId="19"/>
    <cellStyle name="Escribir 3" xfId="20"/>
    <cellStyle name="Escribir 3 2" xfId="21"/>
    <cellStyle name="Escribir 4" xfId="22"/>
    <cellStyle name="Escribir 5" xfId="23"/>
    <cellStyle name="Escribir 5 2" xfId="24"/>
    <cellStyle name="Escribir_NOMBRE" xfId="25"/>
    <cellStyle name="Escribir_P12" xfId="26"/>
    <cellStyle name="Estilo 1" xfId="27"/>
    <cellStyle name="Estilo 2" xfId="28"/>
    <cellStyle name="Estilo 3" xfId="29"/>
    <cellStyle name="Euro" xfId="30"/>
    <cellStyle name="Euro 2" xfId="31"/>
    <cellStyle name="Euro 2 2" xfId="32"/>
    <cellStyle name="Euro 3" xfId="33"/>
    <cellStyle name="Millares [0] 2" xfId="34"/>
    <cellStyle name="Millares [0] 2 2" xfId="35"/>
    <cellStyle name="Millares [0] 2 2 2" xfId="36"/>
    <cellStyle name="Millares [0] 2 3" xfId="37"/>
    <cellStyle name="Millares [0] 3" xfId="38"/>
    <cellStyle name="Millares [0] 3 2" xfId="39"/>
    <cellStyle name="Millares [0] 3 2 2" xfId="40"/>
    <cellStyle name="Millares [0] 3 2 2 2" xfId="41"/>
    <cellStyle name="Millares [0] 3 2 3" xfId="42"/>
    <cellStyle name="Millares [0] 3 3" xfId="43"/>
    <cellStyle name="Millares [0] 3 3 2" xfId="44"/>
    <cellStyle name="Millares [0] 3 4" xfId="45"/>
    <cellStyle name="Millares [0] 4" xfId="46"/>
    <cellStyle name="Millares [0] 4 2" xfId="47"/>
    <cellStyle name="Millares [0] 4 3" xfId="48"/>
    <cellStyle name="Millares 10" xfId="49"/>
    <cellStyle name="Millares 10 2" xfId="50"/>
    <cellStyle name="Millares 10 3" xfId="51"/>
    <cellStyle name="Millares 11" xfId="52"/>
    <cellStyle name="Millares 11 2" xfId="53"/>
    <cellStyle name="Millares 11 3" xfId="54"/>
    <cellStyle name="Millares 12" xfId="55"/>
    <cellStyle name="Millares 12 2" xfId="56"/>
    <cellStyle name="Millares 12 3" xfId="57"/>
    <cellStyle name="Millares 13" xfId="58"/>
    <cellStyle name="Millares 13 2" xfId="59"/>
    <cellStyle name="Millares 13 3" xfId="60"/>
    <cellStyle name="Millares 14" xfId="61"/>
    <cellStyle name="Millares 14 2" xfId="62"/>
    <cellStyle name="Millares 14 3" xfId="63"/>
    <cellStyle name="Millares 15" xfId="64"/>
    <cellStyle name="Millares 15 2" xfId="65"/>
    <cellStyle name="Millares 15 3" xfId="66"/>
    <cellStyle name="Millares 16" xfId="67"/>
    <cellStyle name="Millares 16 2" xfId="68"/>
    <cellStyle name="Millares 17" xfId="69"/>
    <cellStyle name="Millares 17 2" xfId="70"/>
    <cellStyle name="Millares 18" xfId="71"/>
    <cellStyle name="Millares 19" xfId="72"/>
    <cellStyle name="Millares 2" xfId="73"/>
    <cellStyle name="Millares 2 2" xfId="74"/>
    <cellStyle name="Millares 2 2 2" xfId="75"/>
    <cellStyle name="Millares 2 2 2 2" xfId="76"/>
    <cellStyle name="Millares 2 2 3" xfId="77"/>
    <cellStyle name="Millares 2 2 4" xfId="78"/>
    <cellStyle name="Millares 2 3" xfId="79"/>
    <cellStyle name="Millares 2 3 2" xfId="80"/>
    <cellStyle name="Millares 2 4" xfId="81"/>
    <cellStyle name="Millares 2 4 2" xfId="82"/>
    <cellStyle name="Millares 2 5" xfId="83"/>
    <cellStyle name="Millares 2 6" xfId="84"/>
    <cellStyle name="Millares 2_NOMBRE" xfId="85"/>
    <cellStyle name="Millares 20" xfId="86"/>
    <cellStyle name="Millares 3" xfId="87"/>
    <cellStyle name="Millares 3 2" xfId="88"/>
    <cellStyle name="Millares 4" xfId="89"/>
    <cellStyle name="Millares 4 2" xfId="90"/>
    <cellStyle name="Millares 5" xfId="91"/>
    <cellStyle name="Millares 5 2" xfId="92"/>
    <cellStyle name="Millares 6" xfId="93"/>
    <cellStyle name="Millares 7" xfId="94"/>
    <cellStyle name="Millares 7 2" xfId="95"/>
    <cellStyle name="Millares 7 3" xfId="96"/>
    <cellStyle name="Millares 7 3 2" xfId="97"/>
    <cellStyle name="Millares 7 4" xfId="98"/>
    <cellStyle name="Millares 7 5" xfId="99"/>
    <cellStyle name="Millares 7 5 2" xfId="100"/>
    <cellStyle name="Millares 8" xfId="101"/>
    <cellStyle name="Millares 8 2" xfId="102"/>
    <cellStyle name="Millares 8 3" xfId="103"/>
    <cellStyle name="Millares 9" xfId="104"/>
    <cellStyle name="Millares 9 2" xfId="105"/>
    <cellStyle name="Millares 9 3" xfId="106"/>
    <cellStyle name="Moneda 2" xfId="107"/>
    <cellStyle name="Moneda 2 2" xfId="108"/>
    <cellStyle name="Normal" xfId="0" builtinId="0"/>
    <cellStyle name="Normal 2" xfId="109"/>
    <cellStyle name="Normal 2 2" xfId="110"/>
    <cellStyle name="Normal 2 3" xfId="111"/>
    <cellStyle name="Normal 2_NOMBRE" xfId="112"/>
    <cellStyle name="Normal 3" xfId="113"/>
    <cellStyle name="Normal 4" xfId="114"/>
    <cellStyle name="Normal 4 2" xfId="115"/>
    <cellStyle name="Normal 4 2 2" xfId="116"/>
    <cellStyle name="Normal 4 3" xfId="117"/>
    <cellStyle name="Normal 4_A01" xfId="118"/>
    <cellStyle name="Normal 5" xfId="119"/>
    <cellStyle name="Normal 6" xfId="120"/>
    <cellStyle name="Normal 6 2" xfId="121"/>
    <cellStyle name="Normal 7" xfId="122"/>
    <cellStyle name="Normal_APS 2" xfId="123"/>
    <cellStyle name="Normal_nombre" xfId="124"/>
    <cellStyle name="Normal_REM 02-2002" xfId="125"/>
    <cellStyle name="Normal_REM 04-2002" xfId="126"/>
    <cellStyle name="Normal_REM 05-2002" xfId="127"/>
    <cellStyle name="Normal_REM 05-2002 2" xfId="128"/>
    <cellStyle name="Normal_REM 06-2002" xfId="129"/>
    <cellStyle name="Normal_REM 12-2002" xfId="130"/>
    <cellStyle name="Normal_REM 15-2002" xfId="140"/>
    <cellStyle name="Normal_RMC_0" xfId="131"/>
    <cellStyle name="Normal_RMC_0 2" xfId="132"/>
    <cellStyle name="Normal_RMC_0 3" xfId="133"/>
    <cellStyle name="Notas 2" xfId="134"/>
    <cellStyle name="Notas 2 2" xfId="135"/>
    <cellStyle name="Porcentual 2" xfId="136"/>
    <cellStyle name="Porcentual 2 2" xfId="137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BA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3</xdr:row>
      <xdr:rowOff>133351</xdr:rowOff>
    </xdr:from>
    <xdr:to>
      <xdr:col>4</xdr:col>
      <xdr:colOff>1209675</xdr:colOff>
      <xdr:row>3</xdr:row>
      <xdr:rowOff>428625</xdr:rowOff>
    </xdr:to>
    <xdr:sp macro="[0]!DESPROTEGER" textlink="">
      <xdr:nvSpPr>
        <xdr:cNvPr id="2" name="1 Rectángulo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SpPr/>
      </xdr:nvSpPr>
      <xdr:spPr>
        <a:xfrm>
          <a:off x="4629150" y="1257301"/>
          <a:ext cx="923925" cy="295274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304800</xdr:colOff>
      <xdr:row>5</xdr:row>
      <xdr:rowOff>114300</xdr:rowOff>
    </xdr:from>
    <xdr:to>
      <xdr:col>4</xdr:col>
      <xdr:colOff>1228725</xdr:colOff>
      <xdr:row>5</xdr:row>
      <xdr:rowOff>409575</xdr:rowOff>
    </xdr:to>
    <xdr:sp macro="[0]!PROTEGER" textlink="">
      <xdr:nvSpPr>
        <xdr:cNvPr id="3" name="2 Rectángulo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SpPr/>
      </xdr:nvSpPr>
      <xdr:spPr>
        <a:xfrm>
          <a:off x="4648200" y="1781175"/>
          <a:ext cx="923925" cy="295275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ACEPTAR</a:t>
          </a:r>
        </a:p>
      </xdr:txBody>
    </xdr:sp>
    <xdr:clientData/>
  </xdr:twoCellAnchor>
  <xdr:twoCellAnchor>
    <xdr:from>
      <xdr:col>4</xdr:col>
      <xdr:colOff>276225</xdr:colOff>
      <xdr:row>7</xdr:row>
      <xdr:rowOff>142875</xdr:rowOff>
    </xdr:from>
    <xdr:to>
      <xdr:col>4</xdr:col>
      <xdr:colOff>1200150</xdr:colOff>
      <xdr:row>7</xdr:row>
      <xdr:rowOff>447675</xdr:rowOff>
    </xdr:to>
    <xdr:sp macro="[0]!RESPALDAARCHIVO" textlink="">
      <xdr:nvSpPr>
        <xdr:cNvPr id="4" name="3 Rectángulo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SpPr/>
      </xdr:nvSpPr>
      <xdr:spPr>
        <a:xfrm>
          <a:off x="4619625" y="2609850"/>
          <a:ext cx="923925" cy="304800"/>
        </a:xfrm>
        <a:prstGeom prst="rect">
          <a:avLst/>
        </a:prstGeom>
        <a:solidFill>
          <a:srgbClr val="6699FF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ysClr val="windowText" lastClr="000000"/>
              </a:solidFill>
            </a:rPr>
            <a:t>ACEPTAR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G42"/>
  <sheetViews>
    <sheetView showGridLines="0" tabSelected="1" zoomScaleNormal="100" workbookViewId="0">
      <selection sqref="A1:B1"/>
    </sheetView>
  </sheetViews>
  <sheetFormatPr baseColWidth="10" defaultColWidth="11.42578125" defaultRowHeight="12" customHeight="1" x14ac:dyDescent="0.15"/>
  <cols>
    <col min="1" max="1" width="59" style="35" customWidth="1"/>
    <col min="2" max="2" width="61" style="2" customWidth="1"/>
    <col min="3" max="6" width="3.7109375" style="2" customWidth="1"/>
    <col min="7" max="8" width="3.42578125" style="2" customWidth="1"/>
    <col min="9" max="9" width="22.85546875" style="1" customWidth="1"/>
    <col min="10" max="26" width="11.85546875" style="2" customWidth="1"/>
    <col min="27" max="27" width="17.42578125" style="2" customWidth="1"/>
    <col min="28" max="28" width="56.7109375" style="2" customWidth="1"/>
    <col min="29" max="29" width="21.5703125" style="2" customWidth="1"/>
    <col min="30" max="32" width="11.85546875" style="2" customWidth="1"/>
    <col min="33" max="33" width="28.42578125" style="2" customWidth="1"/>
    <col min="34" max="37" width="11.85546875" style="2" customWidth="1"/>
    <col min="38" max="16384" width="11.42578125" style="2"/>
  </cols>
  <sheetData>
    <row r="1" spans="1:33" ht="51" customHeight="1" x14ac:dyDescent="0.15">
      <c r="A1" s="1839" t="s">
        <v>0</v>
      </c>
      <c r="B1" s="1840"/>
      <c r="C1" s="1841" t="s">
        <v>1</v>
      </c>
      <c r="D1" s="1841"/>
      <c r="E1" s="1841"/>
      <c r="F1" s="1841"/>
      <c r="G1" s="1841"/>
      <c r="H1" s="1841"/>
    </row>
    <row r="2" spans="1:33" ht="18" customHeight="1" x14ac:dyDescent="0.2">
      <c r="A2" s="3" t="s">
        <v>2</v>
      </c>
      <c r="B2" s="67"/>
      <c r="C2" s="10"/>
      <c r="D2" s="11"/>
      <c r="E2" s="11"/>
      <c r="F2" s="11"/>
      <c r="G2" s="4"/>
      <c r="H2" s="5"/>
      <c r="I2" s="6" t="str">
        <f>IF(OR(NOMBRE!C2="",NOMBRE!D2="",NOMBRE!E2="",NOMBRE!F2="",NOMBRE!G2=""),"Falta Cód. Com.","")</f>
        <v>Falta Cód. Com.</v>
      </c>
      <c r="J2" s="6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D2" s="8"/>
      <c r="AG2" s="9">
        <f>IF(I2&gt;"",1,0)</f>
        <v>1</v>
      </c>
    </row>
    <row r="3" spans="1:33" ht="18" customHeight="1" x14ac:dyDescent="0.2">
      <c r="A3" s="3" t="str">
        <f>CONCATENATE("ESTABLECIMIENTO/ESTRATEGIA: ",NOMBRE!$B$3," - ","( ",NOMBRE!$C$3,NOMBRE!$D$3,NOMBRE!$E$3,NOMBRE!$F$3,NOMBRE!$G$3,NOMBRE!$H$3," )")</f>
        <v>ESTABLECIMIENTO/ESTRATEGIA:  - (  )</v>
      </c>
      <c r="B3" s="68"/>
      <c r="C3" s="10"/>
      <c r="D3" s="11"/>
      <c r="E3" s="11"/>
      <c r="F3" s="11"/>
      <c r="G3" s="11"/>
      <c r="H3" s="4"/>
      <c r="I3" s="12" t="str">
        <f>IF(OR(NOMBRE!C3="",NOMBRE!D3="",NOMBRE!E3="",NOMBRE!F3="",NOMBRE!G3="",NOMBRE!H3=""),"Falta Cód. Est.","")</f>
        <v>Falta Cód. Est.</v>
      </c>
      <c r="J3" s="6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D3" s="8"/>
      <c r="AG3" s="9">
        <f>IF(I3&gt;"",1,0)</f>
        <v>1</v>
      </c>
    </row>
    <row r="4" spans="1:33" ht="18" customHeight="1" x14ac:dyDescent="0.2">
      <c r="A4" s="3" t="s">
        <v>329</v>
      </c>
      <c r="B4" s="68"/>
      <c r="C4" s="13"/>
      <c r="D4" s="14"/>
      <c r="E4" s="14"/>
      <c r="F4" s="14"/>
      <c r="G4" s="14"/>
      <c r="H4" s="14"/>
      <c r="I4" s="6" t="str">
        <f>IF(OR(NOMBRE!B4=""),"Falta Tipo. Est.","")</f>
        <v>Falta Tipo. Est.</v>
      </c>
      <c r="J4" s="15"/>
      <c r="K4" s="16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7"/>
      <c r="AB4" s="17"/>
      <c r="AD4" s="8"/>
      <c r="AG4" s="9">
        <f>IF(I4&gt;"",1,0)</f>
        <v>1</v>
      </c>
    </row>
    <row r="5" spans="1:33" ht="18" customHeight="1" x14ac:dyDescent="0.2">
      <c r="A5" s="3" t="s">
        <v>3</v>
      </c>
      <c r="B5" s="68"/>
      <c r="C5" s="13"/>
      <c r="D5" s="14"/>
      <c r="E5" s="14"/>
      <c r="F5" s="14"/>
      <c r="G5" s="14"/>
      <c r="H5" s="14"/>
      <c r="I5" s="6" t="str">
        <f>IF(OR(NOMBRE!B5=""),"Falta Dependencia. Est.","")</f>
        <v>Falta Dependencia. Est.</v>
      </c>
      <c r="J5" s="15"/>
      <c r="K5" s="16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7"/>
      <c r="AB5" s="17"/>
      <c r="AD5" s="8"/>
      <c r="AG5" s="9">
        <f>IF(I5&gt;"",1,0)</f>
        <v>1</v>
      </c>
    </row>
    <row r="6" spans="1:33" ht="18" customHeight="1" x14ac:dyDescent="0.2">
      <c r="A6" s="3" t="s">
        <v>4</v>
      </c>
      <c r="B6" s="68"/>
      <c r="C6" s="18"/>
      <c r="D6" s="4"/>
      <c r="E6" s="19"/>
      <c r="F6" s="19"/>
      <c r="G6" s="19"/>
      <c r="H6" s="19"/>
      <c r="I6" s="6" t="str">
        <f>IF(OR(NOMBRE!C6="",NOMBRE!D6=""),"Falta Cód. Mes.","")</f>
        <v>Falta Cód. Mes.</v>
      </c>
      <c r="J6" s="15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D6" s="8"/>
      <c r="AG6" s="9">
        <f>IF(I6&gt;"",1,0)</f>
        <v>1</v>
      </c>
    </row>
    <row r="7" spans="1:33" ht="18" customHeight="1" x14ac:dyDescent="0.2">
      <c r="A7" s="3" t="s">
        <v>5</v>
      </c>
      <c r="B7" s="21">
        <v>2021</v>
      </c>
      <c r="AG7" s="22">
        <f>SUM(AG2:AG6)</f>
        <v>5</v>
      </c>
    </row>
    <row r="8" spans="1:33" ht="24" customHeight="1" x14ac:dyDescent="0.15">
      <c r="A8" s="23"/>
      <c r="B8" s="24"/>
    </row>
    <row r="9" spans="1:33" ht="20.100000000000001" customHeight="1" x14ac:dyDescent="0.15">
      <c r="A9" s="1842" t="s">
        <v>1433</v>
      </c>
      <c r="B9" s="1843"/>
    </row>
    <row r="10" spans="1:33" ht="12" customHeight="1" x14ac:dyDescent="0.2">
      <c r="A10" s="25"/>
      <c r="B10" s="26"/>
    </row>
    <row r="11" spans="1:33" ht="21" customHeight="1" x14ac:dyDescent="0.2">
      <c r="A11" s="27" t="s">
        <v>6</v>
      </c>
      <c r="B11" s="28"/>
      <c r="L11" s="29"/>
      <c r="M11" s="30"/>
      <c r="N11" s="30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1" t="s">
        <v>7</v>
      </c>
      <c r="AB11" s="38" t="s">
        <v>331</v>
      </c>
      <c r="AC11" s="38" t="s">
        <v>8</v>
      </c>
    </row>
    <row r="12" spans="1:33" ht="21" customHeight="1" x14ac:dyDescent="0.2">
      <c r="A12" s="32" t="s">
        <v>9</v>
      </c>
      <c r="B12" s="28"/>
      <c r="L12" s="29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1" t="s">
        <v>10</v>
      </c>
      <c r="AB12" s="38" t="s">
        <v>332</v>
      </c>
      <c r="AC12" s="38" t="s">
        <v>11</v>
      </c>
    </row>
    <row r="13" spans="1:33" ht="21" customHeight="1" x14ac:dyDescent="0.2">
      <c r="A13" s="33"/>
      <c r="B13" s="34"/>
      <c r="L13" s="29"/>
      <c r="M13" s="30"/>
      <c r="N13" s="30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B13" s="38" t="s">
        <v>333</v>
      </c>
      <c r="AC13" s="38" t="s">
        <v>330</v>
      </c>
    </row>
    <row r="14" spans="1:33" ht="21" customHeight="1" x14ac:dyDescent="0.15">
      <c r="L14" s="29"/>
      <c r="M14" s="30"/>
      <c r="N14" s="30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B14" s="38" t="s">
        <v>334</v>
      </c>
    </row>
    <row r="15" spans="1:33" ht="21" customHeight="1" x14ac:dyDescent="0.15">
      <c r="A15" s="1844" t="s">
        <v>12</v>
      </c>
      <c r="B15" s="1845"/>
      <c r="L15" s="29"/>
      <c r="M15" s="30"/>
      <c r="N15" s="30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B15" s="38" t="s">
        <v>335</v>
      </c>
    </row>
    <row r="16" spans="1:33" ht="21" customHeight="1" x14ac:dyDescent="0.15">
      <c r="L16" s="29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B16" s="38" t="s">
        <v>577</v>
      </c>
    </row>
    <row r="17" spans="2:28" ht="21" customHeight="1" x14ac:dyDescent="0.15">
      <c r="B17" s="1836" t="s">
        <v>393</v>
      </c>
      <c r="L17" s="29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B17" s="38" t="s">
        <v>337</v>
      </c>
    </row>
    <row r="18" spans="2:28" ht="21" customHeight="1" x14ac:dyDescent="0.15">
      <c r="B18" s="1837"/>
      <c r="I18" s="36"/>
      <c r="J18" s="37"/>
      <c r="L18" s="29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B18" s="38" t="s">
        <v>342</v>
      </c>
    </row>
    <row r="19" spans="2:28" ht="21" customHeight="1" x14ac:dyDescent="0.15">
      <c r="B19" s="1838"/>
      <c r="I19" s="36"/>
      <c r="J19" s="37"/>
      <c r="L19" s="29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B19" s="38" t="s">
        <v>696</v>
      </c>
    </row>
    <row r="20" spans="2:28" ht="21" customHeight="1" x14ac:dyDescent="0.15">
      <c r="I20" s="36"/>
      <c r="J20" s="37"/>
      <c r="L20" s="29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B20" s="38" t="s">
        <v>697</v>
      </c>
    </row>
    <row r="21" spans="2:28" ht="21" customHeight="1" x14ac:dyDescent="0.15">
      <c r="I21" s="36"/>
      <c r="J21" s="37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38" t="s">
        <v>338</v>
      </c>
    </row>
    <row r="22" spans="2:28" ht="21" customHeight="1" x14ac:dyDescent="0.15">
      <c r="I22" s="36"/>
      <c r="J22" s="37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B22" s="38" t="s">
        <v>343</v>
      </c>
    </row>
    <row r="23" spans="2:28" ht="17.25" customHeight="1" x14ac:dyDescent="0.15">
      <c r="I23" s="36"/>
      <c r="J23" s="37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 t="s">
        <v>785</v>
      </c>
      <c r="AB23" s="38" t="s">
        <v>698</v>
      </c>
    </row>
    <row r="24" spans="2:28" ht="18.75" customHeight="1" x14ac:dyDescent="0.15">
      <c r="I24" s="36"/>
      <c r="J24" s="37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B24" s="38" t="s">
        <v>699</v>
      </c>
    </row>
    <row r="25" spans="2:28" ht="18" customHeight="1" x14ac:dyDescent="0.15">
      <c r="I25" s="36"/>
      <c r="J25" s="37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B25" s="38" t="s">
        <v>336</v>
      </c>
    </row>
    <row r="26" spans="2:28" ht="19.5" customHeight="1" x14ac:dyDescent="0.15"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B26" s="38" t="s">
        <v>339</v>
      </c>
    </row>
    <row r="27" spans="2:28" ht="19.5" customHeight="1" x14ac:dyDescent="0.15"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B27" s="38" t="s">
        <v>340</v>
      </c>
    </row>
    <row r="28" spans="2:28" ht="21" customHeight="1" x14ac:dyDescent="0.15"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B28" s="38" t="s">
        <v>341</v>
      </c>
    </row>
    <row r="29" spans="2:28" ht="18" customHeight="1" x14ac:dyDescent="0.15"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B29" s="38" t="s">
        <v>345</v>
      </c>
    </row>
    <row r="30" spans="2:28" ht="18.75" customHeight="1" x14ac:dyDescent="0.15"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B30" s="38" t="s">
        <v>777</v>
      </c>
    </row>
    <row r="31" spans="2:28" ht="18" customHeight="1" x14ac:dyDescent="0.15"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B31" s="38" t="s">
        <v>786</v>
      </c>
    </row>
    <row r="32" spans="2:28" ht="14.25" customHeight="1" x14ac:dyDescent="0.15"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B32" s="38" t="s">
        <v>576</v>
      </c>
    </row>
    <row r="33" spans="13:28" ht="15" customHeight="1" x14ac:dyDescent="0.15"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B33" s="38" t="s">
        <v>344</v>
      </c>
    </row>
    <row r="34" spans="13:28" ht="10.5" x14ac:dyDescent="0.15"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B34" s="38" t="s">
        <v>778</v>
      </c>
    </row>
    <row r="35" spans="13:28" ht="12" customHeight="1" x14ac:dyDescent="0.15">
      <c r="AB35" s="38" t="s">
        <v>779</v>
      </c>
    </row>
    <row r="36" spans="13:28" ht="12" customHeight="1" x14ac:dyDescent="0.15">
      <c r="AB36" s="38" t="s">
        <v>780</v>
      </c>
    </row>
    <row r="37" spans="13:28" ht="12" customHeight="1" x14ac:dyDescent="0.15">
      <c r="AB37" s="38" t="s">
        <v>787</v>
      </c>
    </row>
    <row r="38" spans="13:28" ht="12" customHeight="1" x14ac:dyDescent="0.15">
      <c r="AB38" s="38" t="s">
        <v>781</v>
      </c>
    </row>
    <row r="39" spans="13:28" ht="12" customHeight="1" x14ac:dyDescent="0.15">
      <c r="AB39" s="38" t="s">
        <v>695</v>
      </c>
    </row>
    <row r="40" spans="13:28" ht="12" customHeight="1" x14ac:dyDescent="0.15">
      <c r="AB40" s="38" t="s">
        <v>782</v>
      </c>
    </row>
    <row r="41" spans="13:28" ht="12" customHeight="1" x14ac:dyDescent="0.15">
      <c r="AB41" s="38" t="s">
        <v>783</v>
      </c>
    </row>
    <row r="42" spans="13:28" ht="12" customHeight="1" x14ac:dyDescent="0.15">
      <c r="AB42" s="38" t="s">
        <v>784</v>
      </c>
    </row>
  </sheetData>
  <mergeCells count="5">
    <mergeCell ref="B17:B19"/>
    <mergeCell ref="A1:B1"/>
    <mergeCell ref="C1:H1"/>
    <mergeCell ref="A9:B9"/>
    <mergeCell ref="A15:B15"/>
  </mergeCells>
  <phoneticPr fontId="27" type="noConversion"/>
  <dataValidations xWindow="654" yWindow="356" count="16">
    <dataValidation type="whole" allowBlank="1" showInputMessage="1" showErrorMessage="1" promptTitle="CÓDIGO MES:" prompt="Primer: Entre 0 y 1" sqref="C6">
      <formula1>0</formula1>
      <formula2>1</formula2>
    </dataValidation>
    <dataValidation type="whole" allowBlank="1" showInputMessage="1" showErrorMessage="1" promptTitle="CÓDIGO MES:" prompt="Segundo: Entre 0 y 9" sqref="D6">
      <formula1>0</formula1>
      <formula2>9</formula2>
    </dataValidation>
    <dataValidation type="whole" allowBlank="1" showInputMessage="1" showErrorMessage="1" promptTitle="DÍGITO REGIÓN:" prompt="Primer: Entre 0 y 1" sqref="C2">
      <formula1>0</formula1>
      <formula2>1</formula2>
    </dataValidation>
    <dataValidation type="whole" allowBlank="1" showInputMessage="1" showErrorMessage="1" promptTitle="DÍGITO COMUNA:" prompt="Primer: Entre 1 y 7" sqref="E2">
      <formula1>1</formula1>
      <formula2>7</formula2>
    </dataValidation>
    <dataValidation type="whole" allowBlank="1" showInputMessage="1" showErrorMessage="1" promptTitle="DÍGITO REGIÓN:" prompt="Segundo: Entre 0 y 9" sqref="D2">
      <formula1>0</formula1>
      <formula2>9</formula2>
    </dataValidation>
    <dataValidation type="whole" allowBlank="1" showInputMessage="1" showErrorMessage="1" promptTitle="DÍGITO COMUNA:" prompt="Segundo: Entre 0 y 9" sqref="F2">
      <formula1>0</formula1>
      <formula2>9</formula2>
    </dataValidation>
    <dataValidation type="whole" allowBlank="1" showInputMessage="1" showErrorMessage="1" promptTitle="DÍGITO COMUNA:" prompt="Tercer: Entre 0 y 9" sqref="G2">
      <formula1>0</formula1>
      <formula2>9</formula2>
    </dataValidation>
    <dataValidation type="whole" allowBlank="1" showInputMessage="1" showErrorMessage="1" promptTitle="CÓDIGO ESTABLECIMIENTO/ESTRATEGI" prompt="Primer: Entre 1 y 9" sqref="C3">
      <formula1>1</formula1>
      <formula2>9</formula2>
    </dataValidation>
    <dataValidation type="whole" allowBlank="1" showInputMessage="1" showErrorMessage="1" promptTitle="CÓDIGO ESTABLECIMIENTO/ESTRATEGI" prompt="Segundo: Entre 0 y 9" sqref="D3">
      <formula1>0</formula1>
      <formula2>9</formula2>
    </dataValidation>
    <dataValidation type="whole" allowBlank="1" showInputMessage="1" showErrorMessage="1" promptTitle="CÓDIGO ESTABLECIMIENTO/ESTRATEGI" prompt="Tercer: Entre 0 y 9" sqref="E3">
      <formula1>0</formula1>
      <formula2>9</formula2>
    </dataValidation>
    <dataValidation type="whole" allowBlank="1" showInputMessage="1" showErrorMessage="1" promptTitle="CÓDIGO ESTABLECIMIENTO/ESTRATEGI" prompt="Cuarto: Entre 0 y 9" sqref="F3">
      <formula1>0</formula1>
      <formula2>9</formula2>
    </dataValidation>
    <dataValidation type="whole" allowBlank="1" showInputMessage="1" showErrorMessage="1" promptTitle="CÓDIGO ESTABLECIMIENTO/ESTRATEGI" prompt="Quinto: Entre 0 y 9" sqref="G3">
      <formula1>0</formula1>
      <formula2>9</formula2>
    </dataValidation>
    <dataValidation type="whole" allowBlank="1" showInputMessage="1" showErrorMessage="1" promptTitle="CÓDIGO ESTABLECIMIENTO/ESTRATEGI" prompt="Sexto: Entre 0 y 9" sqref="H3">
      <formula1>0</formula1>
      <formula2>9</formula2>
    </dataValidation>
    <dataValidation type="list" allowBlank="1" showInputMessage="1" showErrorMessage="1" error="Por favor, seleccione el MES a partir del listado._x000a__x000a_EQUIPO REM-DEIS" promptTitle="MES:" prompt="CORRESPONDIENTE A LA INFORMACIÓN PROCESADA" sqref="B6">
      <formula1>$AA$11:$AA$12</formula1>
    </dataValidation>
    <dataValidation type="list" allowBlank="1" showInputMessage="1" showErrorMessage="1" error="Por favor, seleccione la DEPENDENCIA  a partir del listado._x000a__x000a_EQUIPO REM-DEIS" promptTitle="DEPENDENCIA:" prompt="UBIQUE EN LISTADO DEPENDENCIA DEL ESTABLECIMIENTO O ESTRATEGIA" sqref="B5">
      <formula1>$AC$11:$AC$13</formula1>
    </dataValidation>
    <dataValidation type="list" allowBlank="1" showInputMessage="1" showErrorMessage="1" error="Por favor, seleccione el TIPO ESTABLECIMIENTO o ESTRATEGIA a partir del listado._x000a__x000a_EQUIPO REM-DEIS" promptTitle="TIPO:" prompt="UBIQUE EN EL LISTADO TIPO ESTABLECIMIENTO O ESTRATEGIA_x000a_ " sqref="B4">
      <formula1>$AB$11:$AB$34</formula1>
    </dataValidation>
  </dataValidations>
  <pageMargins left="0.70866141732283472" right="0.70866141732283472" top="0.74803149606299213" bottom="0.74803149606299213" header="0.31496062992125984" footer="0.31496062992125984"/>
  <pageSetup scale="6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0" tint="-0.14999847407452621"/>
  </sheetPr>
  <dimension ref="A1:EB148"/>
  <sheetViews>
    <sheetView showGridLines="0" zoomScaleNormal="100" workbookViewId="0"/>
  </sheetViews>
  <sheetFormatPr baseColWidth="10" defaultColWidth="11.42578125" defaultRowHeight="10.5" x14ac:dyDescent="0.15"/>
  <cols>
    <col min="1" max="1" width="22.28515625" style="215" customWidth="1"/>
    <col min="2" max="2" width="34.28515625" style="215" customWidth="1"/>
    <col min="3" max="3" width="33" style="215" customWidth="1"/>
    <col min="4" max="4" width="14" style="215" customWidth="1"/>
    <col min="5" max="5" width="13.28515625" style="215" customWidth="1"/>
    <col min="6" max="8" width="11.85546875" style="215" customWidth="1"/>
    <col min="9" max="9" width="11.5703125" style="215" customWidth="1"/>
    <col min="10" max="11" width="12" style="215" customWidth="1"/>
    <col min="12" max="13" width="11.85546875" style="215" customWidth="1"/>
    <col min="14" max="14" width="12.85546875" style="215" customWidth="1"/>
    <col min="15" max="15" width="12.5703125" style="215" customWidth="1"/>
    <col min="16" max="16" width="10.7109375" style="215" customWidth="1"/>
    <col min="17" max="17" width="11.42578125" style="215"/>
    <col min="18" max="18" width="11.28515625" style="215" customWidth="1"/>
    <col min="19" max="19" width="11.42578125" style="215"/>
    <col min="20" max="20" width="9.7109375" style="215" customWidth="1"/>
    <col min="21" max="21" width="12.5703125" style="215" customWidth="1"/>
    <col min="22" max="23" width="11.42578125" style="215"/>
    <col min="24" max="24" width="11.85546875" style="215" customWidth="1"/>
    <col min="25" max="25" width="11.85546875" style="356" customWidth="1"/>
    <col min="26" max="62" width="11.85546875" style="392" customWidth="1"/>
    <col min="63" max="64" width="11.85546875" style="356" customWidth="1"/>
    <col min="65" max="79" width="11.42578125" style="356" customWidth="1"/>
    <col min="80" max="105" width="11.42578125" style="465" customWidth="1"/>
    <col min="106" max="131" width="11.42578125" style="486" customWidth="1"/>
    <col min="132" max="16384" width="11.42578125" style="215"/>
  </cols>
  <sheetData>
    <row r="1" spans="1:132" s="481" customFormat="1" ht="13.5" customHeight="1" x14ac:dyDescent="0.15">
      <c r="B1" s="69" t="s">
        <v>0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392"/>
      <c r="Z1" s="392"/>
      <c r="AA1" s="392"/>
      <c r="AB1" s="392"/>
      <c r="AC1" s="392"/>
      <c r="AD1" s="392"/>
      <c r="AE1" s="392"/>
      <c r="AF1" s="392"/>
      <c r="AG1" s="392"/>
      <c r="AH1" s="392"/>
      <c r="AI1" s="392"/>
      <c r="AJ1" s="392"/>
      <c r="AK1" s="392"/>
      <c r="AL1" s="392"/>
      <c r="AM1" s="392"/>
      <c r="AN1" s="392"/>
      <c r="AO1" s="392"/>
      <c r="AP1" s="392"/>
      <c r="AQ1" s="392"/>
      <c r="AR1" s="392"/>
      <c r="AS1" s="392"/>
      <c r="AT1" s="392"/>
      <c r="AU1" s="392"/>
      <c r="AV1" s="392"/>
      <c r="AW1" s="392"/>
      <c r="AX1" s="392"/>
      <c r="AY1" s="392"/>
      <c r="AZ1" s="392"/>
      <c r="BA1" s="392"/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X1" s="392"/>
      <c r="BY1" s="392"/>
      <c r="BZ1" s="392"/>
      <c r="CA1" s="392"/>
      <c r="CB1" s="1324"/>
      <c r="CC1" s="1324"/>
      <c r="CD1" s="1324"/>
      <c r="CE1" s="1324"/>
      <c r="CF1" s="1324"/>
      <c r="CG1" s="1324"/>
      <c r="CH1" s="1324"/>
      <c r="CI1" s="1324"/>
      <c r="CJ1" s="1324"/>
      <c r="CK1" s="1324"/>
      <c r="CL1" s="1324"/>
      <c r="CM1" s="1324"/>
      <c r="CN1" s="1324"/>
      <c r="CO1" s="1324"/>
      <c r="CP1" s="1324"/>
      <c r="CQ1" s="1324"/>
      <c r="CR1" s="1324"/>
      <c r="CS1" s="1324"/>
      <c r="CT1" s="1324"/>
      <c r="CU1" s="1324"/>
      <c r="CV1" s="1324"/>
      <c r="CW1" s="1324"/>
      <c r="CX1" s="1324"/>
      <c r="CY1" s="1324"/>
      <c r="CZ1" s="1324"/>
      <c r="DA1" s="1324"/>
      <c r="DB1" s="1326"/>
      <c r="DC1" s="1326"/>
      <c r="DD1" s="1326"/>
      <c r="DE1" s="1326"/>
      <c r="DF1" s="1326"/>
      <c r="DG1" s="1326"/>
      <c r="DH1" s="1326"/>
      <c r="DI1" s="1326"/>
      <c r="DJ1" s="1326"/>
      <c r="DK1" s="1326"/>
      <c r="DL1" s="1326"/>
      <c r="DM1" s="1326"/>
      <c r="DN1" s="1326"/>
      <c r="DO1" s="1326"/>
      <c r="DP1" s="1326"/>
      <c r="DQ1" s="1326"/>
      <c r="DR1" s="1326"/>
      <c r="DS1" s="1326"/>
      <c r="DT1" s="1326"/>
      <c r="DU1" s="1326"/>
      <c r="DV1" s="1326"/>
      <c r="DW1" s="1326"/>
      <c r="DX1" s="1326"/>
      <c r="DY1" s="1326"/>
      <c r="DZ1" s="1326"/>
      <c r="EA1" s="1326"/>
    </row>
    <row r="2" spans="1:132" s="481" customFormat="1" ht="13.5" customHeight="1" x14ac:dyDescent="0.15">
      <c r="B2" s="69" t="str">
        <f>CONCATENATE("COMUNA: ",NOMBRE!$B$2," - ","( ",NOMBRE!$C$2,NOMBRE!$D$2,NOMBRE!$E$2,NOMBRE!$F$2,NOMBRE!$G$2," )")</f>
        <v>COMUNA:  - (  )</v>
      </c>
      <c r="C2" s="69"/>
      <c r="D2" s="69"/>
      <c r="E2" s="71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392"/>
      <c r="Z2" s="392"/>
      <c r="AA2" s="392"/>
      <c r="AB2" s="392"/>
      <c r="AC2" s="392"/>
      <c r="AD2" s="392"/>
      <c r="AE2" s="392"/>
      <c r="AF2" s="392"/>
      <c r="AG2" s="392"/>
      <c r="AH2" s="392"/>
      <c r="AI2" s="392"/>
      <c r="AJ2" s="392"/>
      <c r="AK2" s="392"/>
      <c r="AL2" s="392"/>
      <c r="AM2" s="392"/>
      <c r="AN2" s="392"/>
      <c r="AO2" s="392"/>
      <c r="AP2" s="392"/>
      <c r="AQ2" s="392"/>
      <c r="AR2" s="392"/>
      <c r="AS2" s="392"/>
      <c r="AT2" s="392"/>
      <c r="AU2" s="392"/>
      <c r="AV2" s="392"/>
      <c r="AW2" s="392"/>
      <c r="AX2" s="392"/>
      <c r="AY2" s="392"/>
      <c r="AZ2" s="392"/>
      <c r="BA2" s="392"/>
      <c r="BB2" s="392"/>
      <c r="BC2" s="392"/>
      <c r="BD2" s="392"/>
      <c r="BE2" s="392"/>
      <c r="BF2" s="392"/>
      <c r="BG2" s="392"/>
      <c r="BH2" s="392"/>
      <c r="BI2" s="392"/>
      <c r="BJ2" s="392"/>
      <c r="BK2" s="392"/>
      <c r="BL2" s="392"/>
      <c r="BM2" s="392"/>
      <c r="BN2" s="392"/>
      <c r="BO2" s="392"/>
      <c r="BP2" s="392"/>
      <c r="BQ2" s="392"/>
      <c r="BR2" s="392"/>
      <c r="BS2" s="392"/>
      <c r="BT2" s="392"/>
      <c r="BU2" s="392"/>
      <c r="BV2" s="392"/>
      <c r="BW2" s="392"/>
      <c r="BX2" s="392"/>
      <c r="BY2" s="392"/>
      <c r="BZ2" s="392"/>
      <c r="CA2" s="392"/>
      <c r="CB2" s="1324"/>
      <c r="CC2" s="1324"/>
      <c r="CD2" s="1324"/>
      <c r="CE2" s="1324"/>
      <c r="CF2" s="1324"/>
      <c r="CG2" s="1324"/>
      <c r="CH2" s="1324"/>
      <c r="CI2" s="1324"/>
      <c r="CJ2" s="1324"/>
      <c r="CK2" s="1324"/>
      <c r="CL2" s="1324"/>
      <c r="CM2" s="1324"/>
      <c r="CN2" s="1324"/>
      <c r="CO2" s="1324"/>
      <c r="CP2" s="1324"/>
      <c r="CQ2" s="1324"/>
      <c r="CR2" s="1324"/>
      <c r="CS2" s="1324"/>
      <c r="CT2" s="1324"/>
      <c r="CU2" s="1324"/>
      <c r="CV2" s="1324"/>
      <c r="CW2" s="1324"/>
      <c r="CX2" s="1324"/>
      <c r="CY2" s="1324"/>
      <c r="CZ2" s="1324"/>
      <c r="DA2" s="1324"/>
      <c r="DB2" s="1326"/>
      <c r="DC2" s="1326"/>
      <c r="DD2" s="1326"/>
      <c r="DE2" s="1326"/>
      <c r="DF2" s="1326"/>
      <c r="DG2" s="1326"/>
      <c r="DH2" s="1326"/>
      <c r="DI2" s="1326"/>
      <c r="DJ2" s="1326"/>
      <c r="DK2" s="1326"/>
      <c r="DL2" s="1326"/>
      <c r="DM2" s="1326"/>
      <c r="DN2" s="1326"/>
      <c r="DO2" s="1326"/>
      <c r="DP2" s="1326"/>
      <c r="DQ2" s="1326"/>
      <c r="DR2" s="1326"/>
      <c r="DS2" s="1326"/>
      <c r="DT2" s="1326"/>
      <c r="DU2" s="1326"/>
      <c r="DV2" s="1326"/>
      <c r="DW2" s="1326"/>
      <c r="DX2" s="1326"/>
      <c r="DY2" s="1326"/>
      <c r="DZ2" s="1326"/>
      <c r="EA2" s="1326"/>
    </row>
    <row r="3" spans="1:132" s="481" customFormat="1" ht="13.5" customHeight="1" x14ac:dyDescent="0.15">
      <c r="B3" s="69" t="str">
        <f>CONCATENATE("ESTABLECIMIENTO/ESTRATEGIA: ",NOMBRE!$B$3," - ","( ",NOMBRE!$C$3,NOMBRE!$D$3,NOMBRE!$E$3,NOMBRE!$F$3,NOMBRE!$G$3,NOMBRE!$H$3," )")</f>
        <v>ESTABLECIMIENTO/ESTRATEGIA:  - (  )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AQ3" s="392"/>
      <c r="AR3" s="392"/>
      <c r="AS3" s="392"/>
      <c r="AT3" s="392"/>
      <c r="AU3" s="392"/>
      <c r="AV3" s="392"/>
      <c r="AW3" s="392"/>
      <c r="AX3" s="392"/>
      <c r="AY3" s="392"/>
      <c r="AZ3" s="392"/>
      <c r="BA3" s="392"/>
      <c r="BB3" s="392"/>
      <c r="BC3" s="392"/>
      <c r="BD3" s="392"/>
      <c r="BE3" s="392"/>
      <c r="BF3" s="392"/>
      <c r="BG3" s="392"/>
      <c r="BH3" s="392"/>
      <c r="BI3" s="392"/>
      <c r="BJ3" s="392"/>
      <c r="BK3" s="392"/>
      <c r="BL3" s="392"/>
      <c r="BM3" s="392"/>
      <c r="BN3" s="392"/>
      <c r="BO3" s="392"/>
      <c r="BP3" s="392"/>
      <c r="BQ3" s="392"/>
      <c r="BR3" s="392"/>
      <c r="BS3" s="392"/>
      <c r="BT3" s="392"/>
      <c r="BU3" s="392"/>
      <c r="BV3" s="392"/>
      <c r="BW3" s="392"/>
      <c r="BX3" s="392"/>
      <c r="BY3" s="392"/>
      <c r="BZ3" s="392"/>
      <c r="CA3" s="392"/>
      <c r="CB3" s="1324"/>
      <c r="CC3" s="1324"/>
      <c r="CD3" s="1324"/>
      <c r="CE3" s="1324"/>
      <c r="CF3" s="1324"/>
      <c r="CG3" s="1324"/>
      <c r="CH3" s="1324"/>
      <c r="CI3" s="1324"/>
      <c r="CJ3" s="1324"/>
      <c r="CK3" s="1324"/>
      <c r="CL3" s="1324"/>
      <c r="CM3" s="1324"/>
      <c r="CN3" s="1324"/>
      <c r="CO3" s="1324"/>
      <c r="CP3" s="1324"/>
      <c r="CQ3" s="1324"/>
      <c r="CR3" s="1324"/>
      <c r="CS3" s="1324"/>
      <c r="CT3" s="1324"/>
      <c r="CU3" s="1324"/>
      <c r="CV3" s="1324"/>
      <c r="CW3" s="1324"/>
      <c r="CX3" s="1324"/>
      <c r="CY3" s="1324"/>
      <c r="CZ3" s="1324"/>
      <c r="DA3" s="1324"/>
      <c r="DB3" s="1326"/>
      <c r="DC3" s="1326"/>
      <c r="DD3" s="1326"/>
      <c r="DE3" s="1326"/>
      <c r="DF3" s="1326"/>
      <c r="DG3" s="1326"/>
      <c r="DH3" s="1326"/>
      <c r="DI3" s="1326"/>
      <c r="DJ3" s="1326"/>
      <c r="DK3" s="1326"/>
      <c r="DL3" s="1326"/>
      <c r="DM3" s="1326"/>
      <c r="DN3" s="1326"/>
      <c r="DO3" s="1326"/>
      <c r="DP3" s="1326"/>
      <c r="DQ3" s="1326"/>
      <c r="DR3" s="1326"/>
      <c r="DS3" s="1326"/>
      <c r="DT3" s="1326"/>
      <c r="DU3" s="1326"/>
      <c r="DV3" s="1326"/>
      <c r="DW3" s="1326"/>
      <c r="DX3" s="1326"/>
      <c r="DY3" s="1326"/>
      <c r="DZ3" s="1326"/>
      <c r="EA3" s="1326"/>
    </row>
    <row r="4" spans="1:132" s="481" customFormat="1" ht="13.5" customHeight="1" x14ac:dyDescent="0.15">
      <c r="B4" s="69" t="str">
        <f>CONCATENATE("MES: ",NOMBRE!$B$6," - ","( ",NOMBRE!$C$6,NOMBRE!$D$6," )")</f>
        <v>MES:  - (  )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AQ4" s="392"/>
      <c r="AR4" s="392"/>
      <c r="AS4" s="392"/>
      <c r="AT4" s="392"/>
      <c r="AU4" s="392"/>
      <c r="AV4" s="392"/>
      <c r="AW4" s="392"/>
      <c r="AX4" s="392"/>
      <c r="AY4" s="392"/>
      <c r="AZ4" s="392"/>
      <c r="BA4" s="392"/>
      <c r="BB4" s="392"/>
      <c r="BC4" s="392"/>
      <c r="BD4" s="392"/>
      <c r="BE4" s="392"/>
      <c r="BF4" s="392"/>
      <c r="BG4" s="392"/>
      <c r="BH4" s="392"/>
      <c r="BI4" s="392"/>
      <c r="BJ4" s="392"/>
      <c r="BK4" s="392"/>
      <c r="BL4" s="392"/>
      <c r="BM4" s="392"/>
      <c r="BN4" s="392"/>
      <c r="BO4" s="392"/>
      <c r="BP4" s="392"/>
      <c r="BQ4" s="392"/>
      <c r="BR4" s="392"/>
      <c r="BS4" s="392"/>
      <c r="BT4" s="392"/>
      <c r="BU4" s="392"/>
      <c r="BV4" s="392"/>
      <c r="BW4" s="392"/>
      <c r="BX4" s="392"/>
      <c r="BY4" s="392"/>
      <c r="BZ4" s="392"/>
      <c r="CA4" s="392"/>
      <c r="CB4" s="1324"/>
      <c r="CC4" s="1324"/>
      <c r="CD4" s="1324"/>
      <c r="CE4" s="1324"/>
      <c r="CF4" s="1324"/>
      <c r="CG4" s="1324"/>
      <c r="CH4" s="1324"/>
      <c r="CI4" s="1324"/>
      <c r="CJ4" s="1324"/>
      <c r="CK4" s="1324"/>
      <c r="CL4" s="1324"/>
      <c r="CM4" s="1324"/>
      <c r="CN4" s="1324"/>
      <c r="CO4" s="1324"/>
      <c r="CP4" s="1324"/>
      <c r="CQ4" s="1324"/>
      <c r="CR4" s="1324"/>
      <c r="CS4" s="1324"/>
      <c r="CT4" s="1324"/>
      <c r="CU4" s="1324"/>
      <c r="CV4" s="1324"/>
      <c r="CW4" s="1324"/>
      <c r="CX4" s="1324"/>
      <c r="CY4" s="1324"/>
      <c r="CZ4" s="1324"/>
      <c r="DA4" s="1324"/>
      <c r="DB4" s="1326"/>
      <c r="DC4" s="1326"/>
      <c r="DD4" s="1326"/>
      <c r="DE4" s="1326"/>
      <c r="DF4" s="1326"/>
      <c r="DG4" s="1326"/>
      <c r="DH4" s="1326"/>
      <c r="DI4" s="1326"/>
      <c r="DJ4" s="1326"/>
      <c r="DK4" s="1326"/>
      <c r="DL4" s="1326"/>
      <c r="DM4" s="1326"/>
      <c r="DN4" s="1326"/>
      <c r="DO4" s="1326"/>
      <c r="DP4" s="1326"/>
      <c r="DQ4" s="1326"/>
      <c r="DR4" s="1326"/>
      <c r="DS4" s="1326"/>
      <c r="DT4" s="1326"/>
      <c r="DU4" s="1326"/>
      <c r="DV4" s="1326"/>
      <c r="DW4" s="1326"/>
      <c r="DX4" s="1326"/>
      <c r="DY4" s="1326"/>
      <c r="DZ4" s="1326"/>
      <c r="EA4" s="1326"/>
    </row>
    <row r="5" spans="1:132" s="481" customFormat="1" ht="13.5" customHeight="1" x14ac:dyDescent="0.15">
      <c r="B5" s="69" t="str">
        <f>CONCATENATE("AÑO: ",NOMBRE!$B$7)</f>
        <v>AÑO: 2021</v>
      </c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AQ5" s="392"/>
      <c r="AR5" s="392"/>
      <c r="AS5" s="392"/>
      <c r="AT5" s="392"/>
      <c r="AU5" s="392"/>
      <c r="AV5" s="392"/>
      <c r="AW5" s="392"/>
      <c r="AX5" s="392"/>
      <c r="AY5" s="392"/>
      <c r="AZ5" s="392"/>
      <c r="BA5" s="392"/>
      <c r="BB5" s="392"/>
      <c r="BC5" s="392"/>
      <c r="BD5" s="392"/>
      <c r="BE5" s="392"/>
      <c r="BF5" s="392"/>
      <c r="BG5" s="392"/>
      <c r="BH5" s="392"/>
      <c r="BI5" s="392"/>
      <c r="BJ5" s="392"/>
      <c r="BK5" s="392"/>
      <c r="BL5" s="392"/>
      <c r="BM5" s="392"/>
      <c r="BN5" s="392"/>
      <c r="BO5" s="392"/>
      <c r="BP5" s="392"/>
      <c r="BQ5" s="392"/>
      <c r="BR5" s="392"/>
      <c r="BS5" s="392"/>
      <c r="BT5" s="392"/>
      <c r="BU5" s="392"/>
      <c r="BV5" s="392"/>
      <c r="BW5" s="392"/>
      <c r="BX5" s="392"/>
      <c r="BY5" s="392"/>
      <c r="BZ5" s="392"/>
      <c r="CA5" s="392"/>
      <c r="CB5" s="1324"/>
      <c r="CC5" s="1324"/>
      <c r="CD5" s="1324"/>
      <c r="CE5" s="1324"/>
      <c r="CF5" s="1324"/>
      <c r="CG5" s="1324"/>
      <c r="CH5" s="1324"/>
      <c r="CI5" s="1324"/>
      <c r="CJ5" s="1324"/>
      <c r="CK5" s="1324"/>
      <c r="CL5" s="1324"/>
      <c r="CM5" s="1324"/>
      <c r="CN5" s="1324"/>
      <c r="CO5" s="1324"/>
      <c r="CP5" s="1324"/>
      <c r="CQ5" s="1324"/>
      <c r="CR5" s="1324"/>
      <c r="CS5" s="1324"/>
      <c r="CT5" s="1324"/>
      <c r="CU5" s="1324"/>
      <c r="CV5" s="1324"/>
      <c r="CW5" s="1324"/>
      <c r="CX5" s="1324"/>
      <c r="CY5" s="1324"/>
      <c r="CZ5" s="1324"/>
      <c r="DA5" s="1324"/>
      <c r="DB5" s="1326"/>
      <c r="DC5" s="1326"/>
      <c r="DD5" s="1326"/>
      <c r="DE5" s="1326"/>
      <c r="DF5" s="1326"/>
      <c r="DG5" s="1326"/>
      <c r="DH5" s="1326"/>
      <c r="DI5" s="1326"/>
      <c r="DJ5" s="1326"/>
      <c r="DK5" s="1326"/>
      <c r="DL5" s="1326"/>
      <c r="DM5" s="1326"/>
      <c r="DN5" s="1326"/>
      <c r="DO5" s="1326"/>
      <c r="DP5" s="1326"/>
      <c r="DQ5" s="1326"/>
      <c r="DR5" s="1326"/>
      <c r="DS5" s="1326"/>
      <c r="DT5" s="1326"/>
      <c r="DU5" s="1326"/>
      <c r="DV5" s="1326"/>
      <c r="DW5" s="1326"/>
      <c r="DX5" s="1326"/>
      <c r="DY5" s="1326"/>
      <c r="DZ5" s="1326"/>
      <c r="EA5" s="1326"/>
    </row>
    <row r="6" spans="1:132" ht="33" customHeight="1" x14ac:dyDescent="0.15">
      <c r="C6" s="602"/>
      <c r="D6" s="1879" t="s">
        <v>579</v>
      </c>
      <c r="E6" s="1879"/>
      <c r="F6" s="1879"/>
      <c r="G6" s="1879"/>
      <c r="H6" s="1879"/>
      <c r="I6" s="1879"/>
      <c r="J6" s="1879"/>
      <c r="K6" s="1879"/>
      <c r="L6" s="1879"/>
      <c r="M6" s="1879"/>
      <c r="N6" s="1879"/>
      <c r="O6" s="1879"/>
      <c r="P6" s="1879"/>
      <c r="Q6" s="1879"/>
    </row>
    <row r="7" spans="1:132" ht="44.1" customHeight="1" x14ac:dyDescent="0.2">
      <c r="B7" s="1885" t="s">
        <v>13</v>
      </c>
      <c r="C7" s="1886"/>
      <c r="D7" s="1886"/>
      <c r="E7" s="1886"/>
      <c r="F7" s="1886"/>
      <c r="G7" s="1886"/>
      <c r="H7" s="1886"/>
      <c r="I7" s="72"/>
    </row>
    <row r="8" spans="1:132" ht="27" customHeight="1" x14ac:dyDescent="0.2">
      <c r="B8" s="1447" t="s">
        <v>620</v>
      </c>
      <c r="C8" s="603"/>
      <c r="D8" s="603"/>
      <c r="E8" s="603"/>
      <c r="F8" s="603"/>
      <c r="G8" s="603"/>
      <c r="H8" s="603"/>
      <c r="I8" s="603"/>
      <c r="J8" s="603"/>
      <c r="K8" s="604"/>
      <c r="L8" s="604"/>
      <c r="M8" s="604"/>
      <c r="N8" s="604"/>
      <c r="O8" s="604"/>
    </row>
    <row r="9" spans="1:132" ht="15.75" customHeight="1" x14ac:dyDescent="0.15">
      <c r="B9" s="1899" t="s">
        <v>14</v>
      </c>
      <c r="C9" s="1900"/>
      <c r="D9" s="1872" t="s">
        <v>15</v>
      </c>
      <c r="E9" s="1909" t="s">
        <v>16</v>
      </c>
      <c r="F9" s="1910"/>
      <c r="G9" s="1910"/>
      <c r="H9" s="1910"/>
      <c r="I9" s="1910"/>
      <c r="J9" s="1910"/>
      <c r="K9" s="1910"/>
      <c r="L9" s="1910"/>
      <c r="M9" s="1910"/>
      <c r="N9" s="1910"/>
      <c r="O9" s="1910"/>
      <c r="P9" s="1910"/>
      <c r="Q9" s="1911"/>
      <c r="R9" s="1874" t="s">
        <v>17</v>
      </c>
      <c r="S9" s="1870" t="s">
        <v>527</v>
      </c>
      <c r="T9" s="1854" t="s">
        <v>631</v>
      </c>
      <c r="CB9" s="356"/>
      <c r="DB9" s="465"/>
      <c r="EB9" s="486"/>
    </row>
    <row r="10" spans="1:132" ht="35.25" customHeight="1" x14ac:dyDescent="0.15">
      <c r="B10" s="1901"/>
      <c r="C10" s="1902"/>
      <c r="D10" s="1873"/>
      <c r="E10" s="74" t="s">
        <v>18</v>
      </c>
      <c r="F10" s="75" t="s">
        <v>19</v>
      </c>
      <c r="G10" s="75" t="s">
        <v>20</v>
      </c>
      <c r="H10" s="76" t="s">
        <v>21</v>
      </c>
      <c r="I10" s="76" t="s">
        <v>22</v>
      </c>
      <c r="J10" s="76" t="s">
        <v>23</v>
      </c>
      <c r="K10" s="76" t="s">
        <v>24</v>
      </c>
      <c r="L10" s="76" t="s">
        <v>25</v>
      </c>
      <c r="M10" s="76" t="s">
        <v>26</v>
      </c>
      <c r="N10" s="1443" t="s">
        <v>234</v>
      </c>
      <c r="O10" s="1444" t="s">
        <v>235</v>
      </c>
      <c r="P10" s="1445" t="s">
        <v>207</v>
      </c>
      <c r="Q10" s="1446" t="s">
        <v>722</v>
      </c>
      <c r="R10" s="1875"/>
      <c r="S10" s="1871"/>
      <c r="T10" s="1855"/>
      <c r="U10" s="77"/>
      <c r="V10" s="77"/>
      <c r="W10" s="77"/>
      <c r="X10" s="77"/>
      <c r="Y10" s="393"/>
      <c r="CB10" s="356"/>
      <c r="DB10" s="465"/>
      <c r="EB10" s="486"/>
    </row>
    <row r="11" spans="1:132" ht="15.75" customHeight="1" x14ac:dyDescent="0.2">
      <c r="A11" s="1766" t="s">
        <v>788</v>
      </c>
      <c r="B11" s="1907" t="s">
        <v>590</v>
      </c>
      <c r="C11" s="1908"/>
      <c r="D11" s="730" t="s">
        <v>1384</v>
      </c>
      <c r="E11" s="731" t="s">
        <v>1385</v>
      </c>
      <c r="F11" s="732" t="s">
        <v>1386</v>
      </c>
      <c r="G11" s="732" t="s">
        <v>1387</v>
      </c>
      <c r="H11" s="732" t="s">
        <v>1388</v>
      </c>
      <c r="I11" s="732" t="s">
        <v>1389</v>
      </c>
      <c r="J11" s="732" t="s">
        <v>1390</v>
      </c>
      <c r="K11" s="732" t="s">
        <v>1391</v>
      </c>
      <c r="L11" s="732" t="s">
        <v>1392</v>
      </c>
      <c r="M11" s="733" t="s">
        <v>1393</v>
      </c>
      <c r="N11" s="733" t="s">
        <v>1394</v>
      </c>
      <c r="O11" s="1436" t="s">
        <v>1395</v>
      </c>
      <c r="P11" s="1436" t="s">
        <v>1396</v>
      </c>
      <c r="Q11" s="734" t="s">
        <v>1397</v>
      </c>
      <c r="R11" s="1472" t="s">
        <v>1398</v>
      </c>
      <c r="S11" s="732" t="s">
        <v>1399</v>
      </c>
      <c r="T11" s="827" t="s">
        <v>1400</v>
      </c>
      <c r="CB11" s="356"/>
      <c r="CC11" s="1328" t="str">
        <f t="shared" ref="CC11:CC22" si="0">IF($R11&gt;$D11,"* La celda 'Pueblos Originarios' debe ser menor o igual al Total en control. ","")</f>
        <v xml:space="preserve">* La celda 'Pueblos Originarios' debe ser menor o igual al Total en control. </v>
      </c>
      <c r="CD11" s="1328" t="str">
        <f t="shared" ref="CD11:CD22" si="1">IF($S11&gt;$D11,"* La celda 'Población Migrantes' debe ser menor o igual al Total en control. ","")</f>
        <v xml:space="preserve">* La celda 'Población Migrantes' debe ser menor o igual al Total en control. </v>
      </c>
      <c r="CE11" s="1328" t="str">
        <f t="shared" ref="CE11:CE22" si="2">IF($T11&gt;$D11,"* La celda 'Personas Viviendo con VIH' debe ser menor o igual al Total en control. ","")</f>
        <v xml:space="preserve">* La celda 'Personas Viviendo con VIH' debe ser menor o igual al Total en control. </v>
      </c>
      <c r="CF11" s="1328" t="str">
        <f t="shared" ref="CF11:CF22" si="3">IF(AND($D11&lt;&gt;0,$R11=""),"* No olvide escribir en la celda de 'Pueblos Originarios' (Digite CERO si no tiene). ","")</f>
        <v/>
      </c>
      <c r="CG11" s="1328" t="str">
        <f t="shared" ref="CG11:CG22" si="4">IF(AND($D11&lt;&gt;0,$S11=""),"* No olvide escribir en la celda de 'Población Migrantes' (Digite CERO si no tiene). ","")</f>
        <v/>
      </c>
      <c r="CH11" s="1328" t="str">
        <f t="shared" ref="CH11:CH22" si="5">IF(AND($D11&lt;&gt;0,$T11=""),"* No olvide escribir en la celda de 'PV-VIH' (Digite CERO si no tiene). ","")</f>
        <v/>
      </c>
      <c r="DB11" s="465"/>
      <c r="DC11" s="486">
        <f t="shared" ref="DC11:DC22" si="6">IF($R11&gt;$D11,1,0)</f>
        <v>1</v>
      </c>
      <c r="DD11" s="486">
        <f t="shared" ref="DD11:DD22" si="7">IF($S11&gt;$D11,1,0)</f>
        <v>1</v>
      </c>
      <c r="DE11" s="486">
        <f t="shared" ref="DE11:DE22" si="8">IF($T11&gt;$D11,1,0)</f>
        <v>1</v>
      </c>
      <c r="DF11" s="486">
        <f t="shared" ref="DF11:DF22" si="9">IF(AND($D11&lt;&gt;0,$R11=""),1,0)</f>
        <v>0</v>
      </c>
      <c r="DG11" s="486">
        <f t="shared" ref="DG11:DG22" si="10">IF(AND($D11&lt;&gt;0,$S11=""),1,0)</f>
        <v>0</v>
      </c>
      <c r="DH11" s="486">
        <f t="shared" ref="DH11:DH22" si="11">IF(AND($D11&lt;&gt;0,$T11=""),1,0)</f>
        <v>0</v>
      </c>
      <c r="EB11" s="486"/>
    </row>
    <row r="12" spans="1:132" ht="15.75" customHeight="1" x14ac:dyDescent="0.2">
      <c r="A12" s="1766" t="s">
        <v>789</v>
      </c>
      <c r="B12" s="368" t="s">
        <v>580</v>
      </c>
      <c r="C12" s="369"/>
      <c r="D12" s="738" t="s">
        <v>1384</v>
      </c>
      <c r="E12" s="739" t="s">
        <v>1385</v>
      </c>
      <c r="F12" s="740" t="s">
        <v>1386</v>
      </c>
      <c r="G12" s="741" t="s">
        <v>1387</v>
      </c>
      <c r="H12" s="741" t="s">
        <v>1388</v>
      </c>
      <c r="I12" s="741" t="s">
        <v>1389</v>
      </c>
      <c r="J12" s="741" t="s">
        <v>1390</v>
      </c>
      <c r="K12" s="741" t="s">
        <v>1391</v>
      </c>
      <c r="L12" s="741" t="s">
        <v>1392</v>
      </c>
      <c r="M12" s="742" t="s">
        <v>1393</v>
      </c>
      <c r="N12" s="742" t="s">
        <v>1394</v>
      </c>
      <c r="O12" s="1437" t="s">
        <v>1395</v>
      </c>
      <c r="P12" s="1437" t="s">
        <v>1396</v>
      </c>
      <c r="Q12" s="743" t="s">
        <v>1397</v>
      </c>
      <c r="R12" s="1473" t="s">
        <v>1398</v>
      </c>
      <c r="S12" s="739" t="s">
        <v>1399</v>
      </c>
      <c r="T12" s="1681" t="s">
        <v>1400</v>
      </c>
      <c r="CB12" s="356"/>
      <c r="CC12" s="1328" t="str">
        <f t="shared" si="0"/>
        <v xml:space="preserve">* La celda 'Pueblos Originarios' debe ser menor o igual al Total en control. </v>
      </c>
      <c r="CD12" s="1328" t="str">
        <f t="shared" si="1"/>
        <v xml:space="preserve">* La celda 'Población Migrantes' debe ser menor o igual al Total en control. </v>
      </c>
      <c r="CE12" s="1328" t="str">
        <f t="shared" si="2"/>
        <v xml:space="preserve">* La celda 'Personas Viviendo con VIH' debe ser menor o igual al Total en control. </v>
      </c>
      <c r="CF12" s="1328" t="str">
        <f t="shared" si="3"/>
        <v/>
      </c>
      <c r="CG12" s="1328" t="str">
        <f t="shared" si="4"/>
        <v/>
      </c>
      <c r="CH12" s="1328" t="str">
        <f t="shared" si="5"/>
        <v/>
      </c>
      <c r="DB12" s="465"/>
      <c r="DC12" s="486">
        <f t="shared" si="6"/>
        <v>1</v>
      </c>
      <c r="DD12" s="486">
        <f t="shared" si="7"/>
        <v>1</v>
      </c>
      <c r="DE12" s="486">
        <f t="shared" si="8"/>
        <v>1</v>
      </c>
      <c r="DF12" s="486">
        <f t="shared" si="9"/>
        <v>0</v>
      </c>
      <c r="DG12" s="486">
        <f t="shared" si="10"/>
        <v>0</v>
      </c>
      <c r="DH12" s="486">
        <f t="shared" si="11"/>
        <v>0</v>
      </c>
      <c r="EB12" s="486"/>
    </row>
    <row r="13" spans="1:132" ht="15.75" customHeight="1" x14ac:dyDescent="0.2">
      <c r="A13" s="1766" t="s">
        <v>790</v>
      </c>
      <c r="B13" s="1856" t="s">
        <v>27</v>
      </c>
      <c r="C13" s="78" t="s">
        <v>28</v>
      </c>
      <c r="D13" s="746" t="s">
        <v>1384</v>
      </c>
      <c r="E13" s="747" t="s">
        <v>1385</v>
      </c>
      <c r="F13" s="747" t="s">
        <v>1386</v>
      </c>
      <c r="G13" s="747" t="s">
        <v>1387</v>
      </c>
      <c r="H13" s="747" t="s">
        <v>1388</v>
      </c>
      <c r="I13" s="747" t="s">
        <v>1389</v>
      </c>
      <c r="J13" s="747" t="s">
        <v>1390</v>
      </c>
      <c r="K13" s="748" t="s">
        <v>1391</v>
      </c>
      <c r="L13" s="748" t="s">
        <v>1392</v>
      </c>
      <c r="M13" s="748" t="s">
        <v>1393</v>
      </c>
      <c r="N13" s="748" t="s">
        <v>1394</v>
      </c>
      <c r="O13" s="1438" t="s">
        <v>1395</v>
      </c>
      <c r="P13" s="1438" t="s">
        <v>1396</v>
      </c>
      <c r="Q13" s="749" t="s">
        <v>1397</v>
      </c>
      <c r="R13" s="1474" t="s">
        <v>1398</v>
      </c>
      <c r="S13" s="747" t="s">
        <v>1399</v>
      </c>
      <c r="T13" s="1682" t="s">
        <v>1400</v>
      </c>
      <c r="CB13" s="356"/>
      <c r="CC13" s="1328" t="str">
        <f t="shared" si="0"/>
        <v xml:space="preserve">* La celda 'Pueblos Originarios' debe ser menor o igual al Total en control. </v>
      </c>
      <c r="CD13" s="1328" t="str">
        <f t="shared" si="1"/>
        <v xml:space="preserve">* La celda 'Población Migrantes' debe ser menor o igual al Total en control. </v>
      </c>
      <c r="CE13" s="1328" t="str">
        <f t="shared" si="2"/>
        <v xml:space="preserve">* La celda 'Personas Viviendo con VIH' debe ser menor o igual al Total en control. </v>
      </c>
      <c r="CF13" s="1328" t="str">
        <f t="shared" si="3"/>
        <v/>
      </c>
      <c r="CG13" s="1328" t="str">
        <f t="shared" si="4"/>
        <v/>
      </c>
      <c r="CH13" s="1328" t="str">
        <f t="shared" si="5"/>
        <v/>
      </c>
      <c r="DB13" s="465"/>
      <c r="DC13" s="486">
        <f t="shared" si="6"/>
        <v>1</v>
      </c>
      <c r="DD13" s="486">
        <f t="shared" si="7"/>
        <v>1</v>
      </c>
      <c r="DE13" s="486">
        <f t="shared" si="8"/>
        <v>1</v>
      </c>
      <c r="DF13" s="486">
        <f t="shared" si="9"/>
        <v>0</v>
      </c>
      <c r="DG13" s="486">
        <f t="shared" si="10"/>
        <v>0</v>
      </c>
      <c r="DH13" s="486">
        <f t="shared" si="11"/>
        <v>0</v>
      </c>
      <c r="EB13" s="486"/>
    </row>
    <row r="14" spans="1:132" ht="15.75" customHeight="1" x14ac:dyDescent="0.2">
      <c r="A14" s="1766" t="s">
        <v>791</v>
      </c>
      <c r="B14" s="1857"/>
      <c r="C14" s="79" t="s">
        <v>29</v>
      </c>
      <c r="D14" s="746" t="s">
        <v>1384</v>
      </c>
      <c r="E14" s="751" t="s">
        <v>1385</v>
      </c>
      <c r="F14" s="751" t="s">
        <v>1386</v>
      </c>
      <c r="G14" s="751" t="s">
        <v>1387</v>
      </c>
      <c r="H14" s="751" t="s">
        <v>1388</v>
      </c>
      <c r="I14" s="751" t="s">
        <v>1389</v>
      </c>
      <c r="J14" s="751" t="s">
        <v>1390</v>
      </c>
      <c r="K14" s="752" t="s">
        <v>1391</v>
      </c>
      <c r="L14" s="752" t="s">
        <v>1392</v>
      </c>
      <c r="M14" s="752" t="s">
        <v>1393</v>
      </c>
      <c r="N14" s="752" t="s">
        <v>1394</v>
      </c>
      <c r="O14" s="1439" t="s">
        <v>1395</v>
      </c>
      <c r="P14" s="1439" t="s">
        <v>1396</v>
      </c>
      <c r="Q14" s="753" t="s">
        <v>1397</v>
      </c>
      <c r="R14" s="1474" t="s">
        <v>1398</v>
      </c>
      <c r="S14" s="751" t="s">
        <v>1399</v>
      </c>
      <c r="T14" s="829" t="s">
        <v>1400</v>
      </c>
      <c r="CB14" s="356"/>
      <c r="CC14" s="1328" t="str">
        <f t="shared" si="0"/>
        <v xml:space="preserve">* La celda 'Pueblos Originarios' debe ser menor o igual al Total en control. </v>
      </c>
      <c r="CD14" s="1328" t="str">
        <f t="shared" si="1"/>
        <v xml:space="preserve">* La celda 'Población Migrantes' debe ser menor o igual al Total en control. </v>
      </c>
      <c r="CE14" s="1328" t="str">
        <f t="shared" si="2"/>
        <v xml:space="preserve">* La celda 'Personas Viviendo con VIH' debe ser menor o igual al Total en control. </v>
      </c>
      <c r="CF14" s="1328" t="str">
        <f t="shared" si="3"/>
        <v/>
      </c>
      <c r="CG14" s="1328" t="str">
        <f t="shared" si="4"/>
        <v/>
      </c>
      <c r="CH14" s="1328" t="str">
        <f t="shared" si="5"/>
        <v/>
      </c>
      <c r="DB14" s="465"/>
      <c r="DC14" s="486">
        <f t="shared" si="6"/>
        <v>1</v>
      </c>
      <c r="DD14" s="486">
        <f t="shared" si="7"/>
        <v>1</v>
      </c>
      <c r="DE14" s="486">
        <f t="shared" si="8"/>
        <v>1</v>
      </c>
      <c r="DF14" s="486">
        <f t="shared" si="9"/>
        <v>0</v>
      </c>
      <c r="DG14" s="486">
        <f t="shared" si="10"/>
        <v>0</v>
      </c>
      <c r="DH14" s="486">
        <f t="shared" si="11"/>
        <v>0</v>
      </c>
      <c r="EB14" s="486"/>
    </row>
    <row r="15" spans="1:132" ht="15.75" customHeight="1" x14ac:dyDescent="0.2">
      <c r="A15" s="1766" t="s">
        <v>792</v>
      </c>
      <c r="B15" s="1857"/>
      <c r="C15" s="79" t="s">
        <v>30</v>
      </c>
      <c r="D15" s="746" t="s">
        <v>1384</v>
      </c>
      <c r="E15" s="751" t="s">
        <v>1385</v>
      </c>
      <c r="F15" s="751" t="s">
        <v>1386</v>
      </c>
      <c r="G15" s="751" t="s">
        <v>1387</v>
      </c>
      <c r="H15" s="751" t="s">
        <v>1388</v>
      </c>
      <c r="I15" s="751" t="s">
        <v>1389</v>
      </c>
      <c r="J15" s="751" t="s">
        <v>1390</v>
      </c>
      <c r="K15" s="752" t="s">
        <v>1391</v>
      </c>
      <c r="L15" s="752" t="s">
        <v>1392</v>
      </c>
      <c r="M15" s="752" t="s">
        <v>1393</v>
      </c>
      <c r="N15" s="752" t="s">
        <v>1394</v>
      </c>
      <c r="O15" s="1439" t="s">
        <v>1395</v>
      </c>
      <c r="P15" s="1439" t="s">
        <v>1396</v>
      </c>
      <c r="Q15" s="753" t="s">
        <v>1397</v>
      </c>
      <c r="R15" s="1474" t="s">
        <v>1398</v>
      </c>
      <c r="S15" s="751" t="s">
        <v>1399</v>
      </c>
      <c r="T15" s="829" t="s">
        <v>1400</v>
      </c>
      <c r="CB15" s="356"/>
      <c r="CC15" s="1328" t="str">
        <f t="shared" si="0"/>
        <v xml:space="preserve">* La celda 'Pueblos Originarios' debe ser menor o igual al Total en control. </v>
      </c>
      <c r="CD15" s="1328" t="str">
        <f t="shared" si="1"/>
        <v xml:space="preserve">* La celda 'Población Migrantes' debe ser menor o igual al Total en control. </v>
      </c>
      <c r="CE15" s="1328" t="str">
        <f t="shared" si="2"/>
        <v xml:space="preserve">* La celda 'Personas Viviendo con VIH' debe ser menor o igual al Total en control. </v>
      </c>
      <c r="CF15" s="1328" t="str">
        <f t="shared" si="3"/>
        <v/>
      </c>
      <c r="CG15" s="1328" t="str">
        <f t="shared" si="4"/>
        <v/>
      </c>
      <c r="CH15" s="1328" t="str">
        <f t="shared" si="5"/>
        <v/>
      </c>
      <c r="DB15" s="465"/>
      <c r="DC15" s="486">
        <f t="shared" si="6"/>
        <v>1</v>
      </c>
      <c r="DD15" s="486">
        <f t="shared" si="7"/>
        <v>1</v>
      </c>
      <c r="DE15" s="486">
        <f t="shared" si="8"/>
        <v>1</v>
      </c>
      <c r="DF15" s="486">
        <f t="shared" si="9"/>
        <v>0</v>
      </c>
      <c r="DG15" s="486">
        <f t="shared" si="10"/>
        <v>0</v>
      </c>
      <c r="DH15" s="486">
        <f t="shared" si="11"/>
        <v>0</v>
      </c>
      <c r="EB15" s="486"/>
    </row>
    <row r="16" spans="1:132" ht="18" customHeight="1" x14ac:dyDescent="0.2">
      <c r="A16" s="1766" t="s">
        <v>793</v>
      </c>
      <c r="B16" s="1858"/>
      <c r="C16" s="79" t="s">
        <v>31</v>
      </c>
      <c r="D16" s="746" t="s">
        <v>1384</v>
      </c>
      <c r="E16" s="756" t="s">
        <v>1385</v>
      </c>
      <c r="F16" s="756" t="s">
        <v>1386</v>
      </c>
      <c r="G16" s="756" t="s">
        <v>1387</v>
      </c>
      <c r="H16" s="756" t="s">
        <v>1388</v>
      </c>
      <c r="I16" s="756" t="s">
        <v>1389</v>
      </c>
      <c r="J16" s="756" t="s">
        <v>1390</v>
      </c>
      <c r="K16" s="757" t="s">
        <v>1391</v>
      </c>
      <c r="L16" s="757" t="s">
        <v>1392</v>
      </c>
      <c r="M16" s="757" t="s">
        <v>1393</v>
      </c>
      <c r="N16" s="757" t="s">
        <v>1394</v>
      </c>
      <c r="O16" s="1440" t="s">
        <v>1395</v>
      </c>
      <c r="P16" s="1440" t="s">
        <v>1396</v>
      </c>
      <c r="Q16" s="758" t="s">
        <v>1397</v>
      </c>
      <c r="R16" s="1474" t="s">
        <v>1398</v>
      </c>
      <c r="S16" s="756" t="s">
        <v>1399</v>
      </c>
      <c r="T16" s="925" t="s">
        <v>1400</v>
      </c>
      <c r="CB16" s="356"/>
      <c r="CC16" s="1328" t="str">
        <f t="shared" si="0"/>
        <v xml:space="preserve">* La celda 'Pueblos Originarios' debe ser menor o igual al Total en control. </v>
      </c>
      <c r="CD16" s="1328" t="str">
        <f t="shared" si="1"/>
        <v xml:space="preserve">* La celda 'Población Migrantes' debe ser menor o igual al Total en control. </v>
      </c>
      <c r="CE16" s="1328" t="str">
        <f t="shared" si="2"/>
        <v xml:space="preserve">* La celda 'Personas Viviendo con VIH' debe ser menor o igual al Total en control. </v>
      </c>
      <c r="CF16" s="1328" t="str">
        <f t="shared" si="3"/>
        <v/>
      </c>
      <c r="CG16" s="1328" t="str">
        <f t="shared" si="4"/>
        <v/>
      </c>
      <c r="CH16" s="1328" t="str">
        <f t="shared" si="5"/>
        <v/>
      </c>
      <c r="DB16" s="465"/>
      <c r="DC16" s="486">
        <f t="shared" si="6"/>
        <v>1</v>
      </c>
      <c r="DD16" s="486">
        <f t="shared" si="7"/>
        <v>1</v>
      </c>
      <c r="DE16" s="486">
        <f t="shared" si="8"/>
        <v>1</v>
      </c>
      <c r="DF16" s="486">
        <f t="shared" si="9"/>
        <v>0</v>
      </c>
      <c r="DG16" s="486">
        <f t="shared" si="10"/>
        <v>0</v>
      </c>
      <c r="DH16" s="486">
        <f t="shared" si="11"/>
        <v>0</v>
      </c>
      <c r="EB16" s="486"/>
    </row>
    <row r="17" spans="1:132" ht="18.75" customHeight="1" x14ac:dyDescent="0.2">
      <c r="A17" s="1766" t="s">
        <v>794</v>
      </c>
      <c r="B17" s="1858"/>
      <c r="C17" s="370" t="s">
        <v>578</v>
      </c>
      <c r="D17" s="746" t="s">
        <v>1384</v>
      </c>
      <c r="E17" s="751" t="s">
        <v>1385</v>
      </c>
      <c r="F17" s="751" t="s">
        <v>1386</v>
      </c>
      <c r="G17" s="751" t="s">
        <v>1387</v>
      </c>
      <c r="H17" s="751" t="s">
        <v>1388</v>
      </c>
      <c r="I17" s="751" t="s">
        <v>1389</v>
      </c>
      <c r="J17" s="751" t="s">
        <v>1390</v>
      </c>
      <c r="K17" s="752" t="s">
        <v>1391</v>
      </c>
      <c r="L17" s="752" t="s">
        <v>1392</v>
      </c>
      <c r="M17" s="752" t="s">
        <v>1393</v>
      </c>
      <c r="N17" s="752" t="s">
        <v>1394</v>
      </c>
      <c r="O17" s="1439" t="s">
        <v>1395</v>
      </c>
      <c r="P17" s="1439" t="s">
        <v>1396</v>
      </c>
      <c r="Q17" s="753" t="s">
        <v>1397</v>
      </c>
      <c r="R17" s="1475" t="s">
        <v>1398</v>
      </c>
      <c r="S17" s="751" t="s">
        <v>1399</v>
      </c>
      <c r="T17" s="829" t="s">
        <v>1400</v>
      </c>
      <c r="CB17" s="356"/>
      <c r="CC17" s="1328" t="str">
        <f t="shared" si="0"/>
        <v xml:space="preserve">* La celda 'Pueblos Originarios' debe ser menor o igual al Total en control. </v>
      </c>
      <c r="CD17" s="1328" t="str">
        <f t="shared" si="1"/>
        <v xml:space="preserve">* La celda 'Población Migrantes' debe ser menor o igual al Total en control. </v>
      </c>
      <c r="CE17" s="1328" t="str">
        <f t="shared" si="2"/>
        <v xml:space="preserve">* La celda 'Personas Viviendo con VIH' debe ser menor o igual al Total en control. </v>
      </c>
      <c r="CF17" s="1328" t="str">
        <f t="shared" si="3"/>
        <v/>
      </c>
      <c r="CG17" s="1328" t="str">
        <f t="shared" si="4"/>
        <v/>
      </c>
      <c r="CH17" s="1328" t="str">
        <f t="shared" si="5"/>
        <v/>
      </c>
      <c r="DB17" s="465"/>
      <c r="DC17" s="486">
        <f t="shared" si="6"/>
        <v>1</v>
      </c>
      <c r="DD17" s="486">
        <f t="shared" si="7"/>
        <v>1</v>
      </c>
      <c r="DE17" s="486">
        <f t="shared" si="8"/>
        <v>1</v>
      </c>
      <c r="DF17" s="486">
        <f t="shared" si="9"/>
        <v>0</v>
      </c>
      <c r="DG17" s="486">
        <f t="shared" si="10"/>
        <v>0</v>
      </c>
      <c r="DH17" s="486">
        <f t="shared" si="11"/>
        <v>0</v>
      </c>
      <c r="EB17" s="486"/>
    </row>
    <row r="18" spans="1:132" ht="21" customHeight="1" x14ac:dyDescent="0.2">
      <c r="A18" s="1766" t="s">
        <v>795</v>
      </c>
      <c r="B18" s="430"/>
      <c r="C18" s="371" t="s">
        <v>568</v>
      </c>
      <c r="D18" s="746" t="s">
        <v>1384</v>
      </c>
      <c r="E18" s="740" t="s">
        <v>1385</v>
      </c>
      <c r="F18" s="740" t="s">
        <v>1386</v>
      </c>
      <c r="G18" s="740" t="s">
        <v>1387</v>
      </c>
      <c r="H18" s="740" t="s">
        <v>1388</v>
      </c>
      <c r="I18" s="740" t="s">
        <v>1389</v>
      </c>
      <c r="J18" s="740" t="s">
        <v>1390</v>
      </c>
      <c r="K18" s="740" t="s">
        <v>1391</v>
      </c>
      <c r="L18" s="741" t="s">
        <v>1392</v>
      </c>
      <c r="M18" s="741" t="s">
        <v>1393</v>
      </c>
      <c r="N18" s="741" t="s">
        <v>1394</v>
      </c>
      <c r="O18" s="1441" t="s">
        <v>1395</v>
      </c>
      <c r="P18" s="1441" t="s">
        <v>1396</v>
      </c>
      <c r="Q18" s="762" t="s">
        <v>1397</v>
      </c>
      <c r="R18" s="1477" t="s">
        <v>1398</v>
      </c>
      <c r="S18" s="740" t="s">
        <v>1399</v>
      </c>
      <c r="T18" s="830" t="s">
        <v>1400</v>
      </c>
      <c r="CB18" s="356"/>
      <c r="CC18" s="1328" t="str">
        <f t="shared" si="0"/>
        <v xml:space="preserve">* La celda 'Pueblos Originarios' debe ser menor o igual al Total en control. </v>
      </c>
      <c r="CD18" s="1328" t="str">
        <f t="shared" si="1"/>
        <v xml:space="preserve">* La celda 'Población Migrantes' debe ser menor o igual al Total en control. </v>
      </c>
      <c r="CE18" s="1328" t="str">
        <f t="shared" si="2"/>
        <v xml:space="preserve">* La celda 'Personas Viviendo con VIH' debe ser menor o igual al Total en control. </v>
      </c>
      <c r="CF18" s="1328" t="str">
        <f t="shared" si="3"/>
        <v/>
      </c>
      <c r="CG18" s="1328" t="str">
        <f t="shared" si="4"/>
        <v/>
      </c>
      <c r="CH18" s="1328" t="str">
        <f t="shared" si="5"/>
        <v/>
      </c>
      <c r="DB18" s="465"/>
      <c r="DC18" s="486">
        <f t="shared" si="6"/>
        <v>1</v>
      </c>
      <c r="DD18" s="486">
        <f t="shared" si="7"/>
        <v>1</v>
      </c>
      <c r="DE18" s="486">
        <f t="shared" si="8"/>
        <v>1</v>
      </c>
      <c r="DF18" s="486">
        <f t="shared" si="9"/>
        <v>0</v>
      </c>
      <c r="DG18" s="486">
        <f t="shared" si="10"/>
        <v>0</v>
      </c>
      <c r="DH18" s="486">
        <f t="shared" si="11"/>
        <v>0</v>
      </c>
      <c r="EB18" s="486"/>
    </row>
    <row r="19" spans="1:132" ht="24.75" customHeight="1" x14ac:dyDescent="0.2">
      <c r="A19" s="1766" t="s">
        <v>796</v>
      </c>
      <c r="B19" s="1859" t="s">
        <v>570</v>
      </c>
      <c r="C19" s="372" t="s">
        <v>32</v>
      </c>
      <c r="D19" s="730" t="s">
        <v>1384</v>
      </c>
      <c r="E19" s="732" t="s">
        <v>1385</v>
      </c>
      <c r="F19" s="732" t="s">
        <v>1386</v>
      </c>
      <c r="G19" s="732" t="s">
        <v>1387</v>
      </c>
      <c r="H19" s="732" t="s">
        <v>1388</v>
      </c>
      <c r="I19" s="732" t="s">
        <v>1389</v>
      </c>
      <c r="J19" s="732" t="s">
        <v>1390</v>
      </c>
      <c r="K19" s="732" t="s">
        <v>1391</v>
      </c>
      <c r="L19" s="733" t="s">
        <v>1392</v>
      </c>
      <c r="M19" s="733" t="s">
        <v>1393</v>
      </c>
      <c r="N19" s="733" t="s">
        <v>1394</v>
      </c>
      <c r="O19" s="733" t="s">
        <v>1395</v>
      </c>
      <c r="P19" s="733" t="s">
        <v>1396</v>
      </c>
      <c r="Q19" s="736" t="s">
        <v>1397</v>
      </c>
      <c r="R19" s="1472" t="s">
        <v>1398</v>
      </c>
      <c r="S19" s="732" t="s">
        <v>1399</v>
      </c>
      <c r="T19" s="827" t="s">
        <v>1400</v>
      </c>
      <c r="CB19" s="356"/>
      <c r="CC19" s="1328" t="str">
        <f t="shared" si="0"/>
        <v xml:space="preserve">* La celda 'Pueblos Originarios' debe ser menor o igual al Total en control. </v>
      </c>
      <c r="CD19" s="1328" t="str">
        <f t="shared" si="1"/>
        <v xml:space="preserve">* La celda 'Población Migrantes' debe ser menor o igual al Total en control. </v>
      </c>
      <c r="CE19" s="1328" t="str">
        <f t="shared" si="2"/>
        <v xml:space="preserve">* La celda 'Personas Viviendo con VIH' debe ser menor o igual al Total en control. </v>
      </c>
      <c r="CF19" s="1328" t="str">
        <f t="shared" si="3"/>
        <v/>
      </c>
      <c r="CG19" s="1328" t="str">
        <f t="shared" si="4"/>
        <v/>
      </c>
      <c r="CH19" s="1328" t="str">
        <f t="shared" si="5"/>
        <v/>
      </c>
      <c r="DB19" s="465"/>
      <c r="DC19" s="486">
        <f t="shared" si="6"/>
        <v>1</v>
      </c>
      <c r="DD19" s="486">
        <f t="shared" si="7"/>
        <v>1</v>
      </c>
      <c r="DE19" s="486">
        <f t="shared" si="8"/>
        <v>1</v>
      </c>
      <c r="DF19" s="486">
        <f t="shared" si="9"/>
        <v>0</v>
      </c>
      <c r="DG19" s="486">
        <f t="shared" si="10"/>
        <v>0</v>
      </c>
      <c r="DH19" s="486">
        <f t="shared" si="11"/>
        <v>0</v>
      </c>
      <c r="EB19" s="486"/>
    </row>
    <row r="20" spans="1:132" ht="20.25" customHeight="1" x14ac:dyDescent="0.2">
      <c r="A20" s="1766" t="s">
        <v>797</v>
      </c>
      <c r="B20" s="1860"/>
      <c r="C20" s="373" t="s">
        <v>33</v>
      </c>
      <c r="D20" s="738" t="s">
        <v>1384</v>
      </c>
      <c r="E20" s="739" t="s">
        <v>1385</v>
      </c>
      <c r="F20" s="739" t="s">
        <v>1386</v>
      </c>
      <c r="G20" s="739" t="s">
        <v>1387</v>
      </c>
      <c r="H20" s="739" t="s">
        <v>1388</v>
      </c>
      <c r="I20" s="739" t="s">
        <v>1389</v>
      </c>
      <c r="J20" s="739" t="s">
        <v>1390</v>
      </c>
      <c r="K20" s="739" t="s">
        <v>1391</v>
      </c>
      <c r="L20" s="742" t="s">
        <v>1392</v>
      </c>
      <c r="M20" s="742" t="s">
        <v>1393</v>
      </c>
      <c r="N20" s="742" t="s">
        <v>1394</v>
      </c>
      <c r="O20" s="742" t="s">
        <v>1395</v>
      </c>
      <c r="P20" s="742" t="s">
        <v>1396</v>
      </c>
      <c r="Q20" s="744" t="s">
        <v>1397</v>
      </c>
      <c r="R20" s="1473" t="s">
        <v>1398</v>
      </c>
      <c r="S20" s="739" t="s">
        <v>1399</v>
      </c>
      <c r="T20" s="1681" t="s">
        <v>1400</v>
      </c>
      <c r="CB20" s="356"/>
      <c r="CC20" s="1328" t="str">
        <f t="shared" si="0"/>
        <v xml:space="preserve">* La celda 'Pueblos Originarios' debe ser menor o igual al Total en control. </v>
      </c>
      <c r="CD20" s="1328" t="str">
        <f t="shared" si="1"/>
        <v xml:space="preserve">* La celda 'Población Migrantes' debe ser menor o igual al Total en control. </v>
      </c>
      <c r="CE20" s="1328" t="str">
        <f t="shared" si="2"/>
        <v xml:space="preserve">* La celda 'Personas Viviendo con VIH' debe ser menor o igual al Total en control. </v>
      </c>
      <c r="CF20" s="1328" t="str">
        <f t="shared" si="3"/>
        <v/>
      </c>
      <c r="CG20" s="1328" t="str">
        <f t="shared" si="4"/>
        <v/>
      </c>
      <c r="CH20" s="1328" t="str">
        <f t="shared" si="5"/>
        <v/>
      </c>
      <c r="DB20" s="465"/>
      <c r="DC20" s="486">
        <f t="shared" si="6"/>
        <v>1</v>
      </c>
      <c r="DD20" s="486">
        <f t="shared" si="7"/>
        <v>1</v>
      </c>
      <c r="DE20" s="486">
        <f t="shared" si="8"/>
        <v>1</v>
      </c>
      <c r="DF20" s="486">
        <f t="shared" si="9"/>
        <v>0</v>
      </c>
      <c r="DG20" s="486">
        <f t="shared" si="10"/>
        <v>0</v>
      </c>
      <c r="DH20" s="486">
        <f t="shared" si="11"/>
        <v>0</v>
      </c>
      <c r="EB20" s="486"/>
    </row>
    <row r="21" spans="1:132" ht="20.25" customHeight="1" x14ac:dyDescent="0.2">
      <c r="A21" s="1766" t="s">
        <v>798</v>
      </c>
      <c r="B21" s="1869" t="s">
        <v>532</v>
      </c>
      <c r="C21" s="374" t="s">
        <v>32</v>
      </c>
      <c r="D21" s="746" t="s">
        <v>1384</v>
      </c>
      <c r="E21" s="768" t="s">
        <v>1385</v>
      </c>
      <c r="F21" s="748" t="s">
        <v>1386</v>
      </c>
      <c r="G21" s="747" t="s">
        <v>1387</v>
      </c>
      <c r="H21" s="748" t="s">
        <v>1388</v>
      </c>
      <c r="I21" s="747" t="s">
        <v>1389</v>
      </c>
      <c r="J21" s="748" t="s">
        <v>1390</v>
      </c>
      <c r="K21" s="747" t="s">
        <v>1391</v>
      </c>
      <c r="L21" s="748" t="s">
        <v>1392</v>
      </c>
      <c r="M21" s="748" t="s">
        <v>1393</v>
      </c>
      <c r="N21" s="748" t="s">
        <v>1394</v>
      </c>
      <c r="O21" s="1438" t="s">
        <v>1395</v>
      </c>
      <c r="P21" s="1438" t="s">
        <v>1396</v>
      </c>
      <c r="Q21" s="769" t="s">
        <v>1397</v>
      </c>
      <c r="R21" s="1474" t="s">
        <v>1398</v>
      </c>
      <c r="S21" s="747" t="s">
        <v>1399</v>
      </c>
      <c r="T21" s="1682" t="s">
        <v>1400</v>
      </c>
      <c r="CB21" s="356"/>
      <c r="CC21" s="1328" t="str">
        <f t="shared" si="0"/>
        <v xml:space="preserve">* La celda 'Pueblos Originarios' debe ser menor o igual al Total en control. </v>
      </c>
      <c r="CD21" s="1328" t="str">
        <f t="shared" si="1"/>
        <v xml:space="preserve">* La celda 'Población Migrantes' debe ser menor o igual al Total en control. </v>
      </c>
      <c r="CE21" s="1328" t="str">
        <f t="shared" si="2"/>
        <v xml:space="preserve">* La celda 'Personas Viviendo con VIH' debe ser menor o igual al Total en control. </v>
      </c>
      <c r="CF21" s="1328" t="str">
        <f t="shared" si="3"/>
        <v/>
      </c>
      <c r="CG21" s="1328" t="str">
        <f t="shared" si="4"/>
        <v/>
      </c>
      <c r="CH21" s="1328" t="str">
        <f t="shared" si="5"/>
        <v/>
      </c>
      <c r="DB21" s="465"/>
      <c r="DC21" s="486">
        <f t="shared" si="6"/>
        <v>1</v>
      </c>
      <c r="DD21" s="486">
        <f t="shared" si="7"/>
        <v>1</v>
      </c>
      <c r="DE21" s="486">
        <f t="shared" si="8"/>
        <v>1</v>
      </c>
      <c r="DF21" s="486">
        <f t="shared" si="9"/>
        <v>0</v>
      </c>
      <c r="DG21" s="486">
        <f t="shared" si="10"/>
        <v>0</v>
      </c>
      <c r="DH21" s="486">
        <f t="shared" si="11"/>
        <v>0</v>
      </c>
      <c r="EB21" s="486"/>
    </row>
    <row r="22" spans="1:132" ht="16.5" customHeight="1" x14ac:dyDescent="0.2">
      <c r="A22" s="1766" t="s">
        <v>799</v>
      </c>
      <c r="B22" s="1860"/>
      <c r="C22" s="373" t="s">
        <v>33</v>
      </c>
      <c r="D22" s="770" t="s">
        <v>1384</v>
      </c>
      <c r="E22" s="771" t="s">
        <v>1385</v>
      </c>
      <c r="F22" s="741" t="s">
        <v>1386</v>
      </c>
      <c r="G22" s="740" t="s">
        <v>1387</v>
      </c>
      <c r="H22" s="741" t="s">
        <v>1388</v>
      </c>
      <c r="I22" s="740" t="s">
        <v>1389</v>
      </c>
      <c r="J22" s="741" t="s">
        <v>1390</v>
      </c>
      <c r="K22" s="740" t="s">
        <v>1391</v>
      </c>
      <c r="L22" s="741" t="s">
        <v>1392</v>
      </c>
      <c r="M22" s="741" t="s">
        <v>1393</v>
      </c>
      <c r="N22" s="741" t="s">
        <v>1394</v>
      </c>
      <c r="O22" s="1441" t="s">
        <v>1395</v>
      </c>
      <c r="P22" s="1441" t="s">
        <v>1396</v>
      </c>
      <c r="Q22" s="762" t="s">
        <v>1397</v>
      </c>
      <c r="R22" s="1476" t="s">
        <v>1398</v>
      </c>
      <c r="S22" s="756" t="s">
        <v>1399</v>
      </c>
      <c r="T22" s="925" t="s">
        <v>1400</v>
      </c>
      <c r="CB22" s="356"/>
      <c r="CC22" s="1328" t="str">
        <f t="shared" si="0"/>
        <v xml:space="preserve">* La celda 'Pueblos Originarios' debe ser menor o igual al Total en control. </v>
      </c>
      <c r="CD22" s="1328" t="str">
        <f t="shared" si="1"/>
        <v xml:space="preserve">* La celda 'Población Migrantes' debe ser menor o igual al Total en control. </v>
      </c>
      <c r="CE22" s="1328" t="str">
        <f t="shared" si="2"/>
        <v xml:space="preserve">* La celda 'Personas Viviendo con VIH' debe ser menor o igual al Total en control. </v>
      </c>
      <c r="CF22" s="1328" t="str">
        <f t="shared" si="3"/>
        <v/>
      </c>
      <c r="CG22" s="1328" t="str">
        <f t="shared" si="4"/>
        <v/>
      </c>
      <c r="CH22" s="1328" t="str">
        <f t="shared" si="5"/>
        <v/>
      </c>
      <c r="DB22" s="465"/>
      <c r="DC22" s="486">
        <f t="shared" si="6"/>
        <v>1</v>
      </c>
      <c r="DD22" s="486">
        <f t="shared" si="7"/>
        <v>1</v>
      </c>
      <c r="DE22" s="486">
        <f t="shared" si="8"/>
        <v>1</v>
      </c>
      <c r="DF22" s="486">
        <f t="shared" si="9"/>
        <v>0</v>
      </c>
      <c r="DG22" s="486">
        <f t="shared" si="10"/>
        <v>0</v>
      </c>
      <c r="DH22" s="486">
        <f t="shared" si="11"/>
        <v>0</v>
      </c>
      <c r="EB22" s="486"/>
    </row>
    <row r="23" spans="1:132" ht="26.25" customHeight="1" thickBot="1" x14ac:dyDescent="0.2">
      <c r="A23" s="1767"/>
      <c r="B23" s="1861" t="s">
        <v>591</v>
      </c>
      <c r="C23" s="1862"/>
      <c r="D23" s="773">
        <f>SUM(E23:Q23)</f>
        <v>0</v>
      </c>
      <c r="E23" s="774">
        <f>SUM(E11:E22,E29:E30,E33)</f>
        <v>0</v>
      </c>
      <c r="F23" s="774">
        <f t="shared" ref="F23:S23" si="12">SUM(F11:F22,F29:F30,F33)</f>
        <v>0</v>
      </c>
      <c r="G23" s="774">
        <f t="shared" si="12"/>
        <v>0</v>
      </c>
      <c r="H23" s="774">
        <f t="shared" si="12"/>
        <v>0</v>
      </c>
      <c r="I23" s="774">
        <f t="shared" si="12"/>
        <v>0</v>
      </c>
      <c r="J23" s="774">
        <f t="shared" si="12"/>
        <v>0</v>
      </c>
      <c r="K23" s="774">
        <f t="shared" si="12"/>
        <v>0</v>
      </c>
      <c r="L23" s="774">
        <f>SUM(L11:L22,L29:L30,L33)</f>
        <v>0</v>
      </c>
      <c r="M23" s="775">
        <f>SUM(M11:M22,M29:M30,M33)</f>
        <v>0</v>
      </c>
      <c r="N23" s="1435">
        <f>SUM(N19:N20)</f>
        <v>0</v>
      </c>
      <c r="O23" s="1442">
        <f>SUM(O19:O20)</f>
        <v>0</v>
      </c>
      <c r="P23" s="1435">
        <f>SUM(P19:P20)</f>
        <v>0</v>
      </c>
      <c r="Q23" s="1687">
        <f>SUM(Q19:Q20)</f>
        <v>0</v>
      </c>
      <c r="R23" s="1435">
        <f>SUM(R11:R22,R29:R30,R33)</f>
        <v>0</v>
      </c>
      <c r="S23" s="1435">
        <f t="shared" si="12"/>
        <v>0</v>
      </c>
      <c r="T23" s="1683">
        <f>SUM(T11:T22,T29:T30,T33)</f>
        <v>0</v>
      </c>
      <c r="CB23" s="356"/>
      <c r="CC23" s="1328"/>
      <c r="CD23" s="1328"/>
      <c r="CE23" s="1328"/>
      <c r="CF23" s="1328"/>
      <c r="CG23" s="1328"/>
      <c r="CH23" s="1328"/>
      <c r="DB23" s="465"/>
      <c r="EB23" s="486"/>
    </row>
    <row r="24" spans="1:132" ht="26.25" customHeight="1" thickTop="1" thickBot="1" x14ac:dyDescent="0.25">
      <c r="A24" s="1766" t="s">
        <v>800</v>
      </c>
      <c r="B24" s="1865" t="s">
        <v>747</v>
      </c>
      <c r="C24" s="1866"/>
      <c r="D24" s="776" t="s">
        <v>1384</v>
      </c>
      <c r="E24" s="777" t="s">
        <v>1385</v>
      </c>
      <c r="F24" s="777" t="s">
        <v>1386</v>
      </c>
      <c r="G24" s="777" t="s">
        <v>1387</v>
      </c>
      <c r="H24" s="777" t="s">
        <v>1388</v>
      </c>
      <c r="I24" s="777" t="s">
        <v>1389</v>
      </c>
      <c r="J24" s="777" t="s">
        <v>1390</v>
      </c>
      <c r="K24" s="777" t="s">
        <v>1391</v>
      </c>
      <c r="L24" s="777" t="s">
        <v>1392</v>
      </c>
      <c r="M24" s="778" t="s">
        <v>1393</v>
      </c>
      <c r="N24" s="1482" t="s">
        <v>1394</v>
      </c>
      <c r="O24" s="1482" t="s">
        <v>1395</v>
      </c>
      <c r="P24" s="1483" t="s">
        <v>1396</v>
      </c>
      <c r="Q24" s="1484" t="s">
        <v>1397</v>
      </c>
      <c r="R24" s="1478" t="s">
        <v>1398</v>
      </c>
      <c r="S24" s="777" t="s">
        <v>1399</v>
      </c>
      <c r="T24" s="1684" t="s">
        <v>1400</v>
      </c>
      <c r="CB24" s="356"/>
      <c r="CC24" s="1328" t="str">
        <f t="shared" ref="CC24:CC33" si="13">IF($R24&gt;$D24,"* La celda 'Pueblos Originarios' debe ser menor o igual al Total en control. ","")</f>
        <v xml:space="preserve">* La celda 'Pueblos Originarios' debe ser menor o igual al Total en control. </v>
      </c>
      <c r="CD24" s="1328" t="str">
        <f t="shared" ref="CD24:CD33" si="14">IF($S24&gt;$D24,"* La celda 'Población Migrantes' debe ser menor o igual al Total en control. ","")</f>
        <v xml:space="preserve">* La celda 'Población Migrantes' debe ser menor o igual al Total en control. </v>
      </c>
      <c r="CE24" s="1328" t="str">
        <f t="shared" ref="CE24:CE33" si="15">IF($T24&gt;$D24,"* La celda 'Personas Viviendo con VIH' debe ser menor o igual al Total en control. ","")</f>
        <v xml:space="preserve">* La celda 'Personas Viviendo con VIH' debe ser menor o igual al Total en control. </v>
      </c>
      <c r="CF24" s="1328" t="str">
        <f t="shared" ref="CF24:CF33" si="16">IF(AND($D24&lt;&gt;0,$R24=""),"* No olvide escribir en la celda de 'Pueblos Originarios' (Digite CERO si no tiene). ","")</f>
        <v/>
      </c>
      <c r="CG24" s="1328" t="str">
        <f t="shared" ref="CG24:CG33" si="17">IF(AND($D24&lt;&gt;0,$S24=""),"* No olvide escribir en la celda de 'Población Migrantes' (Digite CERO si no tiene). ","")</f>
        <v/>
      </c>
      <c r="CH24" s="1328" t="str">
        <f t="shared" ref="CH24:CH33" si="18">IF(AND($D24&lt;&gt;0,$T24=""),"* No olvide escribir en la celda de 'PV-VIH' (Digite CERO si no tiene). ","")</f>
        <v/>
      </c>
      <c r="CI24" s="1328"/>
      <c r="CJ24" s="1328"/>
      <c r="CK24" s="1328"/>
      <c r="CL24" s="1328"/>
      <c r="CM24" s="1328"/>
      <c r="CN24" s="1328"/>
      <c r="CO24" s="1328"/>
      <c r="CP24" s="1328"/>
      <c r="CQ24" s="1328"/>
      <c r="CR24" s="1328"/>
      <c r="CS24" s="1328"/>
      <c r="DB24" s="465"/>
      <c r="DC24" s="486">
        <f t="shared" ref="DC24:DC33" si="19">IF($R24&gt;$D24,1,0)</f>
        <v>1</v>
      </c>
      <c r="DD24" s="486">
        <f t="shared" ref="DD24:DD33" si="20">IF($S24&gt;$D24,1,0)</f>
        <v>1</v>
      </c>
      <c r="DE24" s="486">
        <f t="shared" ref="DE24:DE33" si="21">IF($T24&gt;$D24,1,0)</f>
        <v>1</v>
      </c>
      <c r="DF24" s="486">
        <f t="shared" ref="DF24:DF33" si="22">IF(AND($D24&lt;&gt;0,$R24=""),1,0)</f>
        <v>0</v>
      </c>
      <c r="DG24" s="486">
        <f t="shared" ref="DG24:DG33" si="23">IF(AND($D24&lt;&gt;0,$S24=""),1,0)</f>
        <v>0</v>
      </c>
      <c r="DH24" s="486">
        <f t="shared" ref="DH24:DH33" si="24">IF(AND($D24&lt;&gt;0,$T24=""),1,0)</f>
        <v>0</v>
      </c>
      <c r="DI24" s="608"/>
      <c r="DJ24" s="608"/>
      <c r="DK24" s="608"/>
      <c r="DL24" s="608"/>
      <c r="DM24" s="608"/>
      <c r="DN24" s="608"/>
      <c r="DO24" s="608"/>
      <c r="DP24" s="608"/>
      <c r="DQ24" s="608"/>
      <c r="DR24" s="608"/>
      <c r="DS24" s="609"/>
      <c r="EB24" s="486"/>
    </row>
    <row r="25" spans="1:132" ht="33.75" customHeight="1" thickTop="1" thickBot="1" x14ac:dyDescent="0.25">
      <c r="A25" s="1766" t="s">
        <v>801</v>
      </c>
      <c r="B25" s="1867" t="s">
        <v>34</v>
      </c>
      <c r="C25" s="1868"/>
      <c r="D25" s="779" t="s">
        <v>1384</v>
      </c>
      <c r="E25" s="780" t="s">
        <v>1385</v>
      </c>
      <c r="F25" s="781" t="s">
        <v>1386</v>
      </c>
      <c r="G25" s="781" t="s">
        <v>1387</v>
      </c>
      <c r="H25" s="781" t="s">
        <v>1388</v>
      </c>
      <c r="I25" s="781" t="s">
        <v>1389</v>
      </c>
      <c r="J25" s="781" t="s">
        <v>1390</v>
      </c>
      <c r="K25" s="781" t="s">
        <v>1391</v>
      </c>
      <c r="L25" s="781" t="s">
        <v>1392</v>
      </c>
      <c r="M25" s="781" t="s">
        <v>1393</v>
      </c>
      <c r="N25" s="781" t="s">
        <v>1394</v>
      </c>
      <c r="O25" s="1485" t="s">
        <v>1395</v>
      </c>
      <c r="P25" s="1485" t="s">
        <v>1396</v>
      </c>
      <c r="Q25" s="1486" t="s">
        <v>1397</v>
      </c>
      <c r="R25" s="1479" t="s">
        <v>1398</v>
      </c>
      <c r="S25" s="780" t="s">
        <v>1399</v>
      </c>
      <c r="T25" s="1685" t="s">
        <v>1400</v>
      </c>
      <c r="CB25" s="356"/>
      <c r="CC25" s="1328" t="str">
        <f t="shared" si="13"/>
        <v xml:space="preserve">* La celda 'Pueblos Originarios' debe ser menor o igual al Total en control. </v>
      </c>
      <c r="CD25" s="1328" t="str">
        <f t="shared" si="14"/>
        <v xml:space="preserve">* La celda 'Población Migrantes' debe ser menor o igual al Total en control. </v>
      </c>
      <c r="CE25" s="1328" t="str">
        <f t="shared" si="15"/>
        <v xml:space="preserve">* La celda 'Personas Viviendo con VIH' debe ser menor o igual al Total en control. </v>
      </c>
      <c r="CF25" s="1328" t="str">
        <f t="shared" si="16"/>
        <v/>
      </c>
      <c r="CG25" s="1328" t="str">
        <f t="shared" si="17"/>
        <v/>
      </c>
      <c r="CH25" s="1328" t="str">
        <f t="shared" si="18"/>
        <v/>
      </c>
      <c r="CI25" s="1328"/>
      <c r="CJ25" s="1328"/>
      <c r="CK25" s="1328"/>
      <c r="CL25" s="1328"/>
      <c r="CM25" s="1328"/>
      <c r="CN25" s="1328"/>
      <c r="CO25" s="1328"/>
      <c r="CP25" s="1328"/>
      <c r="CQ25" s="1328"/>
      <c r="CR25" s="1328"/>
      <c r="CS25" s="1328"/>
      <c r="DB25" s="465"/>
      <c r="DC25" s="486">
        <f t="shared" si="19"/>
        <v>1</v>
      </c>
      <c r="DD25" s="486">
        <f t="shared" si="20"/>
        <v>1</v>
      </c>
      <c r="DE25" s="486">
        <f t="shared" si="21"/>
        <v>1</v>
      </c>
      <c r="DF25" s="486">
        <f t="shared" si="22"/>
        <v>0</v>
      </c>
      <c r="DG25" s="486">
        <f t="shared" si="23"/>
        <v>0</v>
      </c>
      <c r="DH25" s="486">
        <f t="shared" si="24"/>
        <v>0</v>
      </c>
      <c r="DI25" s="480"/>
      <c r="DJ25" s="480"/>
      <c r="DK25" s="480"/>
      <c r="DL25" s="480"/>
      <c r="DM25" s="480"/>
      <c r="DN25" s="480"/>
      <c r="DO25" s="480"/>
      <c r="DP25" s="480"/>
      <c r="DQ25" s="480"/>
      <c r="DR25" s="480"/>
      <c r="DS25" s="610"/>
      <c r="EB25" s="486"/>
    </row>
    <row r="26" spans="1:132" ht="36" customHeight="1" thickTop="1" thickBot="1" x14ac:dyDescent="0.25">
      <c r="A26" s="1766" t="s">
        <v>802</v>
      </c>
      <c r="B26" s="1905" t="s">
        <v>533</v>
      </c>
      <c r="C26" s="1906"/>
      <c r="D26" s="779" t="s">
        <v>1384</v>
      </c>
      <c r="E26" s="780" t="s">
        <v>1385</v>
      </c>
      <c r="F26" s="781" t="s">
        <v>1386</v>
      </c>
      <c r="G26" s="781" t="s">
        <v>1387</v>
      </c>
      <c r="H26" s="781" t="s">
        <v>1388</v>
      </c>
      <c r="I26" s="781" t="s">
        <v>1389</v>
      </c>
      <c r="J26" s="781" t="s">
        <v>1390</v>
      </c>
      <c r="K26" s="781" t="s">
        <v>1391</v>
      </c>
      <c r="L26" s="781" t="s">
        <v>1392</v>
      </c>
      <c r="M26" s="781" t="s">
        <v>1393</v>
      </c>
      <c r="N26" s="781" t="s">
        <v>1394</v>
      </c>
      <c r="O26" s="1437" t="s">
        <v>1395</v>
      </c>
      <c r="P26" s="1437" t="s">
        <v>1396</v>
      </c>
      <c r="Q26" s="743" t="s">
        <v>1397</v>
      </c>
      <c r="R26" s="1479" t="s">
        <v>1398</v>
      </c>
      <c r="S26" s="780" t="s">
        <v>1399</v>
      </c>
      <c r="T26" s="1685" t="s">
        <v>1400</v>
      </c>
      <c r="CB26" s="356"/>
      <c r="CC26" s="1328" t="str">
        <f t="shared" si="13"/>
        <v xml:space="preserve">* La celda 'Pueblos Originarios' debe ser menor o igual al Total en control. </v>
      </c>
      <c r="CD26" s="1328" t="str">
        <f t="shared" si="14"/>
        <v xml:space="preserve">* La celda 'Población Migrantes' debe ser menor o igual al Total en control. </v>
      </c>
      <c r="CE26" s="1328" t="str">
        <f t="shared" si="15"/>
        <v xml:space="preserve">* La celda 'Personas Viviendo con VIH' debe ser menor o igual al Total en control. </v>
      </c>
      <c r="CF26" s="1328" t="str">
        <f t="shared" si="16"/>
        <v/>
      </c>
      <c r="CG26" s="1328" t="str">
        <f t="shared" si="17"/>
        <v/>
      </c>
      <c r="CH26" s="1328" t="str">
        <f t="shared" si="18"/>
        <v/>
      </c>
      <c r="CI26" s="1328"/>
      <c r="CJ26" s="1328"/>
      <c r="CK26" s="1328"/>
      <c r="CL26" s="1328"/>
      <c r="CM26" s="1328"/>
      <c r="CN26" s="1328"/>
      <c r="CO26" s="1328"/>
      <c r="CP26" s="1328"/>
      <c r="CQ26" s="1328"/>
      <c r="CR26" s="1328"/>
      <c r="CS26" s="1328"/>
      <c r="DB26" s="465"/>
      <c r="DC26" s="486">
        <f t="shared" si="19"/>
        <v>1</v>
      </c>
      <c r="DD26" s="486">
        <f t="shared" si="20"/>
        <v>1</v>
      </c>
      <c r="DE26" s="486">
        <f t="shared" si="21"/>
        <v>1</v>
      </c>
      <c r="DF26" s="486">
        <f t="shared" si="22"/>
        <v>0</v>
      </c>
      <c r="DG26" s="486">
        <f t="shared" si="23"/>
        <v>0</v>
      </c>
      <c r="DH26" s="486">
        <f t="shared" si="24"/>
        <v>0</v>
      </c>
      <c r="DI26" s="480"/>
      <c r="DJ26" s="480"/>
      <c r="DK26" s="480"/>
      <c r="DL26" s="480"/>
      <c r="DM26" s="480"/>
      <c r="DN26" s="480"/>
      <c r="DO26" s="480"/>
      <c r="DP26" s="480"/>
      <c r="DQ26" s="480"/>
      <c r="DR26" s="480"/>
      <c r="DS26" s="610"/>
      <c r="EB26" s="486"/>
    </row>
    <row r="27" spans="1:132" ht="27.75" customHeight="1" thickTop="1" thickBot="1" x14ac:dyDescent="0.25">
      <c r="A27" s="1766" t="s">
        <v>803</v>
      </c>
      <c r="B27" s="1863" t="s">
        <v>581</v>
      </c>
      <c r="C27" s="1864"/>
      <c r="D27" s="779" t="s">
        <v>1384</v>
      </c>
      <c r="E27" s="780" t="s">
        <v>1385</v>
      </c>
      <c r="F27" s="781" t="s">
        <v>1386</v>
      </c>
      <c r="G27" s="781" t="s">
        <v>1387</v>
      </c>
      <c r="H27" s="781" t="s">
        <v>1388</v>
      </c>
      <c r="I27" s="781" t="s">
        <v>1389</v>
      </c>
      <c r="J27" s="781" t="s">
        <v>1390</v>
      </c>
      <c r="K27" s="781" t="s">
        <v>1391</v>
      </c>
      <c r="L27" s="781" t="s">
        <v>1392</v>
      </c>
      <c r="M27" s="781" t="s">
        <v>1393</v>
      </c>
      <c r="N27" s="781" t="s">
        <v>1394</v>
      </c>
      <c r="O27" s="1482" t="s">
        <v>1395</v>
      </c>
      <c r="P27" s="1483" t="s">
        <v>1396</v>
      </c>
      <c r="Q27" s="1484" t="s">
        <v>1397</v>
      </c>
      <c r="R27" s="1481" t="s">
        <v>1398</v>
      </c>
      <c r="S27" s="780" t="s">
        <v>1399</v>
      </c>
      <c r="T27" s="1685" t="s">
        <v>1400</v>
      </c>
      <c r="CB27" s="356"/>
      <c r="CC27" s="1328" t="str">
        <f t="shared" si="13"/>
        <v xml:space="preserve">* La celda 'Pueblos Originarios' debe ser menor o igual al Total en control. </v>
      </c>
      <c r="CD27" s="1328" t="str">
        <f t="shared" si="14"/>
        <v xml:space="preserve">* La celda 'Población Migrantes' debe ser menor o igual al Total en control. </v>
      </c>
      <c r="CE27" s="1328" t="str">
        <f t="shared" si="15"/>
        <v xml:space="preserve">* La celda 'Personas Viviendo con VIH' debe ser menor o igual al Total en control. </v>
      </c>
      <c r="CF27" s="1328" t="str">
        <f t="shared" si="16"/>
        <v/>
      </c>
      <c r="CG27" s="1328" t="str">
        <f t="shared" si="17"/>
        <v/>
      </c>
      <c r="CH27" s="1328" t="str">
        <f t="shared" si="18"/>
        <v/>
      </c>
      <c r="CI27" s="1328"/>
      <c r="CJ27" s="1328"/>
      <c r="CK27" s="1328"/>
      <c r="CL27" s="1328"/>
      <c r="CM27" s="1328"/>
      <c r="CN27" s="1328"/>
      <c r="CO27" s="1328"/>
      <c r="CP27" s="1328"/>
      <c r="CQ27" s="1328"/>
      <c r="CR27" s="1328"/>
      <c r="CS27" s="1328"/>
      <c r="DB27" s="465"/>
      <c r="DC27" s="486">
        <f t="shared" si="19"/>
        <v>1</v>
      </c>
      <c r="DD27" s="486">
        <f t="shared" si="20"/>
        <v>1</v>
      </c>
      <c r="DE27" s="486">
        <f t="shared" si="21"/>
        <v>1</v>
      </c>
      <c r="DF27" s="486">
        <f t="shared" si="22"/>
        <v>0</v>
      </c>
      <c r="DG27" s="486">
        <f t="shared" si="23"/>
        <v>0</v>
      </c>
      <c r="DH27" s="486">
        <f t="shared" si="24"/>
        <v>0</v>
      </c>
      <c r="DI27" s="611"/>
      <c r="DJ27" s="611"/>
      <c r="DK27" s="611"/>
      <c r="DL27" s="611"/>
      <c r="DM27" s="611"/>
      <c r="DN27" s="611"/>
      <c r="DO27" s="611"/>
      <c r="DP27" s="611"/>
      <c r="DQ27" s="611"/>
      <c r="DR27" s="611"/>
      <c r="DS27" s="612"/>
      <c r="EB27" s="486"/>
    </row>
    <row r="28" spans="1:132" ht="26.25" customHeight="1" thickTop="1" x14ac:dyDescent="0.2">
      <c r="A28" s="1766" t="s">
        <v>804</v>
      </c>
      <c r="B28" s="1863" t="s">
        <v>534</v>
      </c>
      <c r="C28" s="1864"/>
      <c r="D28" s="779" t="s">
        <v>1384</v>
      </c>
      <c r="E28" s="780" t="s">
        <v>1385</v>
      </c>
      <c r="F28" s="781" t="s">
        <v>1386</v>
      </c>
      <c r="G28" s="781" t="s">
        <v>1387</v>
      </c>
      <c r="H28" s="781" t="s">
        <v>1388</v>
      </c>
      <c r="I28" s="781" t="s">
        <v>1389</v>
      </c>
      <c r="J28" s="781" t="s">
        <v>1390</v>
      </c>
      <c r="K28" s="781" t="s">
        <v>1391</v>
      </c>
      <c r="L28" s="781" t="s">
        <v>1392</v>
      </c>
      <c r="M28" s="781" t="s">
        <v>1393</v>
      </c>
      <c r="N28" s="781" t="s">
        <v>1394</v>
      </c>
      <c r="O28" s="1437" t="s">
        <v>1395</v>
      </c>
      <c r="P28" s="1437" t="s">
        <v>1396</v>
      </c>
      <c r="Q28" s="743" t="s">
        <v>1397</v>
      </c>
      <c r="R28" s="1481" t="s">
        <v>1398</v>
      </c>
      <c r="S28" s="780" t="s">
        <v>1399</v>
      </c>
      <c r="T28" s="1685" t="s">
        <v>1400</v>
      </c>
      <c r="CB28" s="356"/>
      <c r="CC28" s="1328" t="str">
        <f t="shared" si="13"/>
        <v xml:space="preserve">* La celda 'Pueblos Originarios' debe ser menor o igual al Total en control. </v>
      </c>
      <c r="CD28" s="1328" t="str">
        <f t="shared" si="14"/>
        <v xml:space="preserve">* La celda 'Población Migrantes' debe ser menor o igual al Total en control. </v>
      </c>
      <c r="CE28" s="1328" t="str">
        <f t="shared" si="15"/>
        <v xml:space="preserve">* La celda 'Personas Viviendo con VIH' debe ser menor o igual al Total en control. </v>
      </c>
      <c r="CF28" s="1328" t="str">
        <f t="shared" si="16"/>
        <v/>
      </c>
      <c r="CG28" s="1328" t="str">
        <f t="shared" si="17"/>
        <v/>
      </c>
      <c r="CH28" s="1328" t="str">
        <f t="shared" si="18"/>
        <v/>
      </c>
      <c r="DB28" s="465"/>
      <c r="DC28" s="486">
        <f t="shared" si="19"/>
        <v>1</v>
      </c>
      <c r="DD28" s="486">
        <f t="shared" si="20"/>
        <v>1</v>
      </c>
      <c r="DE28" s="486">
        <f t="shared" si="21"/>
        <v>1</v>
      </c>
      <c r="DF28" s="486">
        <f t="shared" si="22"/>
        <v>0</v>
      </c>
      <c r="DG28" s="486">
        <f t="shared" si="23"/>
        <v>0</v>
      </c>
      <c r="DH28" s="486">
        <f t="shared" si="24"/>
        <v>0</v>
      </c>
      <c r="DI28" s="470"/>
      <c r="DJ28" s="470"/>
      <c r="DK28" s="470"/>
      <c r="DL28" s="470"/>
      <c r="DM28" s="470"/>
      <c r="DN28" s="470"/>
      <c r="DO28" s="581"/>
      <c r="DP28" s="470"/>
      <c r="DQ28" s="470"/>
      <c r="DR28" s="470"/>
      <c r="DS28" s="470"/>
      <c r="EB28" s="486"/>
    </row>
    <row r="29" spans="1:132" ht="21.75" customHeight="1" x14ac:dyDescent="0.2">
      <c r="A29" s="1766" t="s">
        <v>805</v>
      </c>
      <c r="B29" s="1846" t="s">
        <v>571</v>
      </c>
      <c r="C29" s="78" t="s">
        <v>32</v>
      </c>
      <c r="D29" s="730" t="s">
        <v>1384</v>
      </c>
      <c r="E29" s="732" t="s">
        <v>1385</v>
      </c>
      <c r="F29" s="732" t="s">
        <v>1386</v>
      </c>
      <c r="G29" s="732" t="s">
        <v>1387</v>
      </c>
      <c r="H29" s="732" t="s">
        <v>1388</v>
      </c>
      <c r="I29" s="732" t="s">
        <v>1389</v>
      </c>
      <c r="J29" s="732" t="s">
        <v>1390</v>
      </c>
      <c r="K29" s="732" t="s">
        <v>1391</v>
      </c>
      <c r="L29" s="733" t="s">
        <v>1392</v>
      </c>
      <c r="M29" s="733" t="s">
        <v>1393</v>
      </c>
      <c r="N29" s="733" t="s">
        <v>1394</v>
      </c>
      <c r="O29" s="733" t="s">
        <v>1395</v>
      </c>
      <c r="P29" s="732" t="s">
        <v>1396</v>
      </c>
      <c r="Q29" s="1269" t="s">
        <v>1397</v>
      </c>
      <c r="R29" s="1472" t="s">
        <v>1398</v>
      </c>
      <c r="S29" s="732" t="s">
        <v>1399</v>
      </c>
      <c r="T29" s="827" t="s">
        <v>1400</v>
      </c>
      <c r="CB29" s="356"/>
      <c r="CC29" s="1328" t="str">
        <f t="shared" si="13"/>
        <v xml:space="preserve">* La celda 'Pueblos Originarios' debe ser menor o igual al Total en control. </v>
      </c>
      <c r="CD29" s="1328" t="str">
        <f t="shared" si="14"/>
        <v xml:space="preserve">* La celda 'Población Migrantes' debe ser menor o igual al Total en control. </v>
      </c>
      <c r="CE29" s="1328" t="str">
        <f t="shared" si="15"/>
        <v xml:space="preserve">* La celda 'Personas Viviendo con VIH' debe ser menor o igual al Total en control. </v>
      </c>
      <c r="CF29" s="1328" t="str">
        <f t="shared" si="16"/>
        <v/>
      </c>
      <c r="CG29" s="1328" t="str">
        <f t="shared" si="17"/>
        <v/>
      </c>
      <c r="CH29" s="1328" t="str">
        <f t="shared" si="18"/>
        <v/>
      </c>
      <c r="DB29" s="465"/>
      <c r="DC29" s="486">
        <f t="shared" si="19"/>
        <v>1</v>
      </c>
      <c r="DD29" s="486">
        <f t="shared" si="20"/>
        <v>1</v>
      </c>
      <c r="DE29" s="486">
        <f t="shared" si="21"/>
        <v>1</v>
      </c>
      <c r="DF29" s="486">
        <f t="shared" si="22"/>
        <v>0</v>
      </c>
      <c r="DG29" s="486">
        <f t="shared" si="23"/>
        <v>0</v>
      </c>
      <c r="DH29" s="486">
        <f t="shared" si="24"/>
        <v>0</v>
      </c>
      <c r="EB29" s="486"/>
    </row>
    <row r="30" spans="1:132" ht="22.5" customHeight="1" x14ac:dyDescent="0.2">
      <c r="A30" s="1766" t="s">
        <v>806</v>
      </c>
      <c r="B30" s="1847"/>
      <c r="C30" s="1361" t="s">
        <v>33</v>
      </c>
      <c r="D30" s="764" t="s">
        <v>1384</v>
      </c>
      <c r="E30" s="765" t="s">
        <v>1385</v>
      </c>
      <c r="F30" s="765" t="s">
        <v>1386</v>
      </c>
      <c r="G30" s="765" t="s">
        <v>1387</v>
      </c>
      <c r="H30" s="765" t="s">
        <v>1388</v>
      </c>
      <c r="I30" s="765" t="s">
        <v>1389</v>
      </c>
      <c r="J30" s="765" t="s">
        <v>1390</v>
      </c>
      <c r="K30" s="765" t="s">
        <v>1391</v>
      </c>
      <c r="L30" s="766" t="s">
        <v>1392</v>
      </c>
      <c r="M30" s="766" t="s">
        <v>1393</v>
      </c>
      <c r="N30" s="766" t="s">
        <v>1394</v>
      </c>
      <c r="O30" s="766" t="s">
        <v>1395</v>
      </c>
      <c r="P30" s="765" t="s">
        <v>1396</v>
      </c>
      <c r="Q30" s="1270" t="s">
        <v>1397</v>
      </c>
      <c r="R30" s="1480" t="s">
        <v>1398</v>
      </c>
      <c r="S30" s="765" t="s">
        <v>1399</v>
      </c>
      <c r="T30" s="1686" t="s">
        <v>1400</v>
      </c>
      <c r="CB30" s="356"/>
      <c r="CC30" s="1328" t="str">
        <f t="shared" si="13"/>
        <v xml:space="preserve">* La celda 'Pueblos Originarios' debe ser menor o igual al Total en control. </v>
      </c>
      <c r="CD30" s="1328" t="str">
        <f t="shared" si="14"/>
        <v xml:space="preserve">* La celda 'Población Migrantes' debe ser menor o igual al Total en control. </v>
      </c>
      <c r="CE30" s="1328" t="str">
        <f t="shared" si="15"/>
        <v xml:space="preserve">* La celda 'Personas Viviendo con VIH' debe ser menor o igual al Total en control. </v>
      </c>
      <c r="CF30" s="1328" t="str">
        <f t="shared" si="16"/>
        <v/>
      </c>
      <c r="CG30" s="1328" t="str">
        <f t="shared" si="17"/>
        <v/>
      </c>
      <c r="CH30" s="1328" t="str">
        <f t="shared" si="18"/>
        <v/>
      </c>
      <c r="DB30" s="465"/>
      <c r="DC30" s="486">
        <f t="shared" si="19"/>
        <v>1</v>
      </c>
      <c r="DD30" s="486">
        <f t="shared" si="20"/>
        <v>1</v>
      </c>
      <c r="DE30" s="486">
        <f t="shared" si="21"/>
        <v>1</v>
      </c>
      <c r="DF30" s="486">
        <f t="shared" si="22"/>
        <v>0</v>
      </c>
      <c r="DG30" s="486">
        <f t="shared" si="23"/>
        <v>0</v>
      </c>
      <c r="DH30" s="486">
        <f t="shared" si="24"/>
        <v>0</v>
      </c>
      <c r="EB30" s="486"/>
    </row>
    <row r="31" spans="1:132" ht="18.75" customHeight="1" x14ac:dyDescent="0.2">
      <c r="A31" s="1766" t="s">
        <v>807</v>
      </c>
      <c r="B31" s="1846" t="s">
        <v>531</v>
      </c>
      <c r="C31" s="78" t="s">
        <v>32</v>
      </c>
      <c r="D31" s="1268" t="s">
        <v>1384</v>
      </c>
      <c r="E31" s="732" t="s">
        <v>1385</v>
      </c>
      <c r="F31" s="733" t="s">
        <v>1386</v>
      </c>
      <c r="G31" s="733" t="s">
        <v>1387</v>
      </c>
      <c r="H31" s="733" t="s">
        <v>1388</v>
      </c>
      <c r="I31" s="733" t="s">
        <v>1389</v>
      </c>
      <c r="J31" s="733" t="s">
        <v>1390</v>
      </c>
      <c r="K31" s="733" t="s">
        <v>1391</v>
      </c>
      <c r="L31" s="733" t="s">
        <v>1392</v>
      </c>
      <c r="M31" s="733" t="s">
        <v>1393</v>
      </c>
      <c r="N31" s="733" t="s">
        <v>1394</v>
      </c>
      <c r="O31" s="733" t="s">
        <v>1395</v>
      </c>
      <c r="P31" s="732" t="s">
        <v>1396</v>
      </c>
      <c r="Q31" s="1269" t="s">
        <v>1397</v>
      </c>
      <c r="R31" s="1472" t="s">
        <v>1398</v>
      </c>
      <c r="S31" s="732" t="s">
        <v>1399</v>
      </c>
      <c r="T31" s="827" t="s">
        <v>1400</v>
      </c>
      <c r="CB31" s="356"/>
      <c r="CC31" s="1328" t="str">
        <f t="shared" si="13"/>
        <v xml:space="preserve">* La celda 'Pueblos Originarios' debe ser menor o igual al Total en control. </v>
      </c>
      <c r="CD31" s="1328" t="str">
        <f t="shared" si="14"/>
        <v xml:space="preserve">* La celda 'Población Migrantes' debe ser menor o igual al Total en control. </v>
      </c>
      <c r="CE31" s="1328" t="str">
        <f t="shared" si="15"/>
        <v xml:space="preserve">* La celda 'Personas Viviendo con VIH' debe ser menor o igual al Total en control. </v>
      </c>
      <c r="CF31" s="1328" t="str">
        <f t="shared" si="16"/>
        <v/>
      </c>
      <c r="CG31" s="1328" t="str">
        <f t="shared" si="17"/>
        <v/>
      </c>
      <c r="CH31" s="1328" t="str">
        <f t="shared" si="18"/>
        <v/>
      </c>
      <c r="DB31" s="465"/>
      <c r="DC31" s="486">
        <f t="shared" si="19"/>
        <v>1</v>
      </c>
      <c r="DD31" s="486">
        <f t="shared" si="20"/>
        <v>1</v>
      </c>
      <c r="DE31" s="486">
        <f t="shared" si="21"/>
        <v>1</v>
      </c>
      <c r="DF31" s="486">
        <f t="shared" si="22"/>
        <v>0</v>
      </c>
      <c r="DG31" s="486">
        <f t="shared" si="23"/>
        <v>0</v>
      </c>
      <c r="DH31" s="486">
        <f t="shared" si="24"/>
        <v>0</v>
      </c>
      <c r="EB31" s="486"/>
    </row>
    <row r="32" spans="1:132" ht="24" customHeight="1" x14ac:dyDescent="0.2">
      <c r="A32" s="1766" t="s">
        <v>808</v>
      </c>
      <c r="B32" s="1847"/>
      <c r="C32" s="1362" t="s">
        <v>33</v>
      </c>
      <c r="D32" s="1267" t="s">
        <v>1384</v>
      </c>
      <c r="E32" s="739" t="s">
        <v>1385</v>
      </c>
      <c r="F32" s="742" t="s">
        <v>1386</v>
      </c>
      <c r="G32" s="742" t="s">
        <v>1387</v>
      </c>
      <c r="H32" s="742" t="s">
        <v>1388</v>
      </c>
      <c r="I32" s="742" t="s">
        <v>1389</v>
      </c>
      <c r="J32" s="742" t="s">
        <v>1390</v>
      </c>
      <c r="K32" s="742" t="s">
        <v>1391</v>
      </c>
      <c r="L32" s="742" t="s">
        <v>1392</v>
      </c>
      <c r="M32" s="742" t="s">
        <v>1393</v>
      </c>
      <c r="N32" s="742" t="s">
        <v>1394</v>
      </c>
      <c r="O32" s="742" t="s">
        <v>1395</v>
      </c>
      <c r="P32" s="739" t="s">
        <v>1396</v>
      </c>
      <c r="Q32" s="1271" t="s">
        <v>1397</v>
      </c>
      <c r="R32" s="1473" t="s">
        <v>1398</v>
      </c>
      <c r="S32" s="739" t="s">
        <v>1399</v>
      </c>
      <c r="T32" s="1681" t="s">
        <v>1400</v>
      </c>
      <c r="CB32" s="356"/>
      <c r="CC32" s="1328" t="str">
        <f t="shared" si="13"/>
        <v xml:space="preserve">* La celda 'Pueblos Originarios' debe ser menor o igual al Total en control. </v>
      </c>
      <c r="CD32" s="1328" t="str">
        <f t="shared" si="14"/>
        <v xml:space="preserve">* La celda 'Población Migrantes' debe ser menor o igual al Total en control. </v>
      </c>
      <c r="CE32" s="1328" t="str">
        <f t="shared" si="15"/>
        <v xml:space="preserve">* La celda 'Personas Viviendo con VIH' debe ser menor o igual al Total en control. </v>
      </c>
      <c r="CF32" s="1328" t="str">
        <f t="shared" si="16"/>
        <v/>
      </c>
      <c r="CG32" s="1328" t="str">
        <f t="shared" si="17"/>
        <v/>
      </c>
      <c r="CH32" s="1328" t="str">
        <f t="shared" si="18"/>
        <v/>
      </c>
      <c r="DB32" s="465"/>
      <c r="DC32" s="486">
        <f t="shared" si="19"/>
        <v>1</v>
      </c>
      <c r="DD32" s="486">
        <f t="shared" si="20"/>
        <v>1</v>
      </c>
      <c r="DE32" s="486">
        <f t="shared" si="21"/>
        <v>1</v>
      </c>
      <c r="DF32" s="486">
        <f t="shared" si="22"/>
        <v>0</v>
      </c>
      <c r="DG32" s="486">
        <f t="shared" si="23"/>
        <v>0</v>
      </c>
      <c r="DH32" s="486">
        <f t="shared" si="24"/>
        <v>0</v>
      </c>
      <c r="EB32" s="486"/>
    </row>
    <row r="33" spans="1:132" ht="24" customHeight="1" x14ac:dyDescent="0.2">
      <c r="A33" s="1768" t="s">
        <v>809</v>
      </c>
      <c r="B33" s="1929" t="s">
        <v>630</v>
      </c>
      <c r="C33" s="1930"/>
      <c r="D33" s="1267" t="s">
        <v>1384</v>
      </c>
      <c r="E33" s="739" t="s">
        <v>1385</v>
      </c>
      <c r="F33" s="742" t="s">
        <v>1386</v>
      </c>
      <c r="G33" s="742" t="s">
        <v>1387</v>
      </c>
      <c r="H33" s="742" t="s">
        <v>1388</v>
      </c>
      <c r="I33" s="742" t="s">
        <v>1389</v>
      </c>
      <c r="J33" s="742" t="s">
        <v>1390</v>
      </c>
      <c r="K33" s="742" t="s">
        <v>1391</v>
      </c>
      <c r="L33" s="742" t="s">
        <v>1392</v>
      </c>
      <c r="M33" s="742" t="s">
        <v>1393</v>
      </c>
      <c r="N33" s="742" t="s">
        <v>1394</v>
      </c>
      <c r="O33" s="742" t="s">
        <v>1395</v>
      </c>
      <c r="P33" s="739" t="s">
        <v>1396</v>
      </c>
      <c r="Q33" s="1271" t="s">
        <v>1397</v>
      </c>
      <c r="R33" s="1473" t="s">
        <v>1398</v>
      </c>
      <c r="S33" s="739" t="s">
        <v>1399</v>
      </c>
      <c r="T33" s="1681" t="s">
        <v>1400</v>
      </c>
      <c r="CB33" s="356"/>
      <c r="CC33" s="1328" t="str">
        <f t="shared" si="13"/>
        <v xml:space="preserve">* La celda 'Pueblos Originarios' debe ser menor o igual al Total en control. </v>
      </c>
      <c r="CD33" s="1328" t="str">
        <f t="shared" si="14"/>
        <v xml:space="preserve">* La celda 'Población Migrantes' debe ser menor o igual al Total en control. </v>
      </c>
      <c r="CE33" s="1328" t="str">
        <f t="shared" si="15"/>
        <v xml:space="preserve">* La celda 'Personas Viviendo con VIH' debe ser menor o igual al Total en control. </v>
      </c>
      <c r="CF33" s="1328" t="str">
        <f t="shared" si="16"/>
        <v/>
      </c>
      <c r="CG33" s="1328" t="str">
        <f t="shared" si="17"/>
        <v/>
      </c>
      <c r="CH33" s="1328" t="str">
        <f t="shared" si="18"/>
        <v/>
      </c>
      <c r="DB33" s="465"/>
      <c r="DC33" s="486">
        <f t="shared" si="19"/>
        <v>1</v>
      </c>
      <c r="DD33" s="486">
        <f t="shared" si="20"/>
        <v>1</v>
      </c>
      <c r="DE33" s="486">
        <f t="shared" si="21"/>
        <v>1</v>
      </c>
      <c r="DF33" s="486">
        <f t="shared" si="22"/>
        <v>0</v>
      </c>
      <c r="DG33" s="486">
        <f t="shared" si="23"/>
        <v>0</v>
      </c>
      <c r="DH33" s="486">
        <f t="shared" si="24"/>
        <v>0</v>
      </c>
      <c r="EB33" s="486"/>
    </row>
    <row r="34" spans="1:132" ht="21" customHeight="1" x14ac:dyDescent="0.2">
      <c r="B34" s="1882" t="s">
        <v>1432</v>
      </c>
      <c r="C34" s="1883"/>
      <c r="D34" s="1883"/>
      <c r="E34" s="1884"/>
      <c r="F34" s="1884"/>
      <c r="G34" s="1884"/>
      <c r="H34" s="90"/>
      <c r="I34" s="72"/>
    </row>
    <row r="35" spans="1:132" ht="15.75" customHeight="1" x14ac:dyDescent="0.15">
      <c r="B35" s="1876" t="s">
        <v>35</v>
      </c>
      <c r="C35" s="1927" t="s">
        <v>36</v>
      </c>
      <c r="D35" s="1878" t="s">
        <v>37</v>
      </c>
      <c r="E35" s="1925" t="s">
        <v>38</v>
      </c>
      <c r="F35" s="1903" t="s">
        <v>385</v>
      </c>
      <c r="G35" s="1894" t="s">
        <v>529</v>
      </c>
      <c r="H35" s="458"/>
    </row>
    <row r="36" spans="1:132" ht="32.25" customHeight="1" x14ac:dyDescent="0.15">
      <c r="B36" s="1877"/>
      <c r="C36" s="1928"/>
      <c r="D36" s="1878"/>
      <c r="E36" s="1926"/>
      <c r="F36" s="1904"/>
      <c r="G36" s="1895"/>
    </row>
    <row r="37" spans="1:132" ht="15.75" customHeight="1" x14ac:dyDescent="0.2">
      <c r="A37" s="1766" t="s">
        <v>810</v>
      </c>
      <c r="B37" s="80" t="s">
        <v>39</v>
      </c>
      <c r="C37" s="782" t="s">
        <v>1384</v>
      </c>
      <c r="D37" s="783" t="s">
        <v>1385</v>
      </c>
      <c r="E37" s="736" t="s">
        <v>1386</v>
      </c>
      <c r="F37" s="735" t="s">
        <v>1387</v>
      </c>
      <c r="G37" s="737" t="s">
        <v>1388</v>
      </c>
      <c r="H37" s="457" t="str">
        <f t="shared" ref="H37:H45" si="25">($CB37&amp;$CC37&amp;$CD37&amp;$CE37&amp;$CF37&amp;$CG37&amp;$CH37&amp;$CI37&amp;$CJ37&amp;$CK37&amp;$CM37&amp;$CN37&amp;$CO37&amp;$CP37&amp;$CQ37&amp;$CR37&amp;$CS37&amp;$CT37&amp;$CU37&amp;$CV37&amp;$CW37&amp;$CX37&amp;$CY37&amp;$CZ37&amp;$DA37)</f>
        <v xml:space="preserve">* Las Gestantes Menores de 15 años con violencia de género deben estar incluidas en las Gestantes con riesgo psicosocial. * Las Gestantes Menores de 15 años con Riesgo Psicosocial deben estar incluidas en el Total de Gestantes en Control misma edad. * Las Gestantes Menores de 15 años que presentan ARO deben estar incluidas en el Total de Gestantes en Control misma edad. * Las Gestantes Menores de 15 años que pertenecen a 'Población Migrantes' deben estar incluidas en el Total de Gestantes en Control misma edad. </v>
      </c>
      <c r="CB37" s="1328" t="str">
        <f>IF($D37&lt;$E37,"* Las Gestantes Menores de 15 años con violencia de género deben estar incluidas en las Gestantes con riesgo psicosocial. ","")</f>
        <v xml:space="preserve">* Las Gestantes Menores de 15 años con violencia de género deben estar incluidas en las Gestantes con riesgo psicosocial. </v>
      </c>
      <c r="CC37" s="1328" t="str">
        <f>IF($C37&lt;$D37,"* Las Gestantes Menores de 15 años con Riesgo Psicosocial deben estar incluidas en el Total de Gestantes en Control misma edad. ","")</f>
        <v xml:space="preserve">* Las Gestantes Menores de 15 años con Riesgo Psicosocial deben estar incluidas en el Total de Gestantes en Control misma edad. </v>
      </c>
      <c r="CD37" s="1328" t="str">
        <f>IF($C37&lt;$F37,"* Las Gestantes Menores de 15 años que presentan ARO deben estar incluidas en el Total de Gestantes en Control misma edad. ","")</f>
        <v xml:space="preserve">* Las Gestantes Menores de 15 años que presentan ARO deben estar incluidas en el Total de Gestantes en Control misma edad. </v>
      </c>
      <c r="CE37" s="1328" t="str">
        <f>IF($C37&lt;$G37,"* Las Gestantes Menores de 15 años que pertenecen a 'Población Migrantes' deben estar incluidas en el Total de Gestantes en Control misma edad. ","")</f>
        <v xml:space="preserve">* Las Gestantes Menores de 15 años que pertenecen a 'Población Migrantes' deben estar incluidas en el Total de Gestantes en Control misma edad. </v>
      </c>
      <c r="CF37" s="1329"/>
      <c r="CG37" s="1328" t="str">
        <f t="shared" ref="CG37:CG45" si="26">IF(AND(C37&lt;&gt;0,G37=""),"* No olvide escribir en la celda de 'Población Migrantes' (Digite CERO si no tiene). ","")</f>
        <v/>
      </c>
      <c r="DB37" s="486">
        <f t="shared" ref="DB37:DB45" si="27">IF($D37&lt;$E37,1,0)</f>
        <v>1</v>
      </c>
      <c r="DC37" s="486">
        <f t="shared" ref="DC37:DC45" si="28">IF($C37&lt;$D37,1,0)</f>
        <v>1</v>
      </c>
      <c r="DD37" s="486">
        <f t="shared" ref="DD37:DD45" si="29">IF($C37&lt;$F37,1,0)</f>
        <v>1</v>
      </c>
      <c r="DE37" s="486">
        <f t="shared" ref="DE37:DE45" si="30">IF($C37&lt;$G37,1,0)</f>
        <v>1</v>
      </c>
      <c r="DF37" s="470"/>
      <c r="DG37" s="613">
        <f t="shared" ref="DG37:DG45" si="31">IF(AND(C37&lt;&gt;0,G37=""),1,0)</f>
        <v>0</v>
      </c>
    </row>
    <row r="38" spans="1:132" ht="15.75" customHeight="1" x14ac:dyDescent="0.2">
      <c r="A38" s="1766" t="s">
        <v>811</v>
      </c>
      <c r="B38" s="82" t="s">
        <v>19</v>
      </c>
      <c r="C38" s="784" t="s">
        <v>1384</v>
      </c>
      <c r="D38" s="785" t="s">
        <v>1385</v>
      </c>
      <c r="E38" s="754" t="s">
        <v>1386</v>
      </c>
      <c r="F38" s="761" t="s">
        <v>1387</v>
      </c>
      <c r="G38" s="755" t="s">
        <v>1388</v>
      </c>
      <c r="H38" s="457" t="str">
        <f t="shared" si="25"/>
        <v xml:space="preserve">* Las Gestantes de 15 a 19 años con violencia de género deben estar incluidas en las Gestantes con riesgo psicosocial. * Las Gestantes de 15 a 19 años con Riesgo Psicosocial deben estar incluidas en el Total de Gestantes en Control misma edad. * Las Gestantes de 15 a 19 años que presentan ARO deben estar incluidas en el Total de Gestantes en Control misma edad. * Las Gestantes de 15 a 19 años que pertenecen a 'Población Migrantes' deben estar incluidas en el Total de Gestantes en Control misma edad. </v>
      </c>
      <c r="CB38" s="1328" t="str">
        <f>IF($D38&lt;$E38,"* Las Gestantes de 15 a 19 años con violencia de género deben estar incluidas en las Gestantes con riesgo psicosocial. ","")</f>
        <v xml:space="preserve">* Las Gestantes de 15 a 19 años con violencia de género deben estar incluidas en las Gestantes con riesgo psicosocial. </v>
      </c>
      <c r="CC38" s="1328" t="str">
        <f>IF($C38&lt;$D38,"* Las Gestantes de 15 a 19 años con Riesgo Psicosocial deben estar incluidas en el Total de Gestantes en Control misma edad. ","")</f>
        <v xml:space="preserve">* Las Gestantes de 15 a 19 años con Riesgo Psicosocial deben estar incluidas en el Total de Gestantes en Control misma edad. </v>
      </c>
      <c r="CD38" s="1328" t="str">
        <f>IF($C38&lt;$F38,"* Las Gestantes de 15 a 19 años que presentan ARO deben estar incluidas en el Total de Gestantes en Control misma edad. ","")</f>
        <v xml:space="preserve">* Las Gestantes de 15 a 19 años que presentan ARO deben estar incluidas en el Total de Gestantes en Control misma edad. </v>
      </c>
      <c r="CE38" s="1328" t="str">
        <f>IF($C38&lt;$G38,"* Las Gestantes de 15 a 19 años que pertenecen a 'Población Migrantes' deben estar incluidas en el Total de Gestantes en Control misma edad. ","")</f>
        <v xml:space="preserve">* Las Gestantes de 15 a 19 años que pertenecen a 'Población Migrantes' deben estar incluidas en el Total de Gestantes en Control misma edad. </v>
      </c>
      <c r="CF38" s="1329"/>
      <c r="CG38" s="1328" t="str">
        <f t="shared" si="26"/>
        <v/>
      </c>
      <c r="DB38" s="486">
        <f t="shared" si="27"/>
        <v>1</v>
      </c>
      <c r="DC38" s="486">
        <f t="shared" si="28"/>
        <v>1</v>
      </c>
      <c r="DD38" s="486">
        <f t="shared" si="29"/>
        <v>1</v>
      </c>
      <c r="DE38" s="486">
        <f t="shared" si="30"/>
        <v>1</v>
      </c>
      <c r="DF38" s="470"/>
      <c r="DG38" s="613">
        <f t="shared" si="31"/>
        <v>0</v>
      </c>
    </row>
    <row r="39" spans="1:132" ht="15.75" customHeight="1" x14ac:dyDescent="0.2">
      <c r="A39" s="1766" t="s">
        <v>812</v>
      </c>
      <c r="B39" s="82" t="s">
        <v>20</v>
      </c>
      <c r="C39" s="784" t="s">
        <v>1384</v>
      </c>
      <c r="D39" s="785" t="s">
        <v>1385</v>
      </c>
      <c r="E39" s="754" t="s">
        <v>1386</v>
      </c>
      <c r="F39" s="761" t="s">
        <v>1387</v>
      </c>
      <c r="G39" s="755" t="s">
        <v>1388</v>
      </c>
      <c r="H39" s="457" t="str">
        <f t="shared" si="25"/>
        <v xml:space="preserve">* Las Gestantes de 20 a 24 años con violencia de género deben estar incluidas en las Gestantes con riesgo psicosocial. * Las Gestantes de 20 a 24 años con Riesgo Psicosocial deben estar incluidas en el Total de Gestantes en Control misma edad. * Las Gestantes de 20 a 24 años que presentan ARO deben estar incluidas en el Total de Gestantes en Control misma edad. * Las Gestantes de 20 a 24 años que pertenecen a 'Población Migrantes' deben estar incluidas en el Total de Gestantes en Control misma edad. </v>
      </c>
      <c r="CB39" s="1328" t="str">
        <f>IF($D39&lt;$E39,"* Las Gestantes de 20 a 24 años con violencia de género deben estar incluidas en las Gestantes con riesgo psicosocial. ","")</f>
        <v xml:space="preserve">* Las Gestantes de 20 a 24 años con violencia de género deben estar incluidas en las Gestantes con riesgo psicosocial. </v>
      </c>
      <c r="CC39" s="1328" t="str">
        <f>IF($C39&lt;$D39,"* Las Gestantes de 20 a 24 años con Riesgo Psicosocial deben estar incluidas en el Total de Gestantes en Control misma edad. ","")</f>
        <v xml:space="preserve">* Las Gestantes de 20 a 24 años con Riesgo Psicosocial deben estar incluidas en el Total de Gestantes en Control misma edad. </v>
      </c>
      <c r="CD39" s="1328" t="str">
        <f>IF($C39&lt;$F39,"* Las Gestantes de 20 a 24 años que presentan ARO deben estar incluidas en el Total de Gestantes en Control misma edad. ","")</f>
        <v xml:space="preserve">* Las Gestantes de 20 a 24 años que presentan ARO deben estar incluidas en el Total de Gestantes en Control misma edad. </v>
      </c>
      <c r="CE39" s="1328" t="str">
        <f>IF($C39&lt;$G39,"* Las Gestantes de 20 a 24 años que pertenecen a 'Población Migrantes' deben estar incluidas en el Total de Gestantes en Control misma edad. ","")</f>
        <v xml:space="preserve">* Las Gestantes de 20 a 24 años que pertenecen a 'Población Migrantes' deben estar incluidas en el Total de Gestantes en Control misma edad. </v>
      </c>
      <c r="CF39" s="1329"/>
      <c r="CG39" s="1328" t="str">
        <f t="shared" si="26"/>
        <v/>
      </c>
      <c r="DB39" s="486">
        <f t="shared" si="27"/>
        <v>1</v>
      </c>
      <c r="DC39" s="486">
        <f t="shared" si="28"/>
        <v>1</v>
      </c>
      <c r="DD39" s="486">
        <f t="shared" si="29"/>
        <v>1</v>
      </c>
      <c r="DE39" s="486">
        <f t="shared" si="30"/>
        <v>1</v>
      </c>
      <c r="DF39" s="470"/>
      <c r="DG39" s="613">
        <f t="shared" si="31"/>
        <v>0</v>
      </c>
    </row>
    <row r="40" spans="1:132" ht="15.75" customHeight="1" x14ac:dyDescent="0.2">
      <c r="A40" s="1766" t="s">
        <v>813</v>
      </c>
      <c r="B40" s="82" t="s">
        <v>21</v>
      </c>
      <c r="C40" s="786" t="s">
        <v>1384</v>
      </c>
      <c r="D40" s="787" t="s">
        <v>1385</v>
      </c>
      <c r="E40" s="759" t="s">
        <v>1386</v>
      </c>
      <c r="F40" s="772" t="s">
        <v>1387</v>
      </c>
      <c r="G40" s="760" t="s">
        <v>1388</v>
      </c>
      <c r="H40" s="457" t="str">
        <f t="shared" si="25"/>
        <v xml:space="preserve">* Las Gestantes de 25 a 29 años con violencia de género deben estar incluidas en las Gestantes con riesgo psicosocial. * Las Gestantes de 25 a 29 años con Riesgo Psicosocial deben estar incluidas en el Total de Gestantes en Control misma edad. * Las Gestantes de 25 a 29 años que presentan ARO deben estar incluidas en el Total de Gestantes en Control misma edad. * Las Gestantes de 25 a 29 años que pertenecen a 'Población Migrantes' deben estar incluidas en el Total de Gestantes en Control misma edad. </v>
      </c>
      <c r="CB40" s="1328" t="str">
        <f>IF($D40&lt;$E40,"* Las Gestantes de 25 a 29 años con violencia de género deben estar incluidas en las Gestantes con riesgo psicosocial. ","")</f>
        <v xml:space="preserve">* Las Gestantes de 25 a 29 años con violencia de género deben estar incluidas en las Gestantes con riesgo psicosocial. </v>
      </c>
      <c r="CC40" s="1328" t="str">
        <f>IF($C40&lt;$D40,"* Las Gestantes de 25 a 29 años con Riesgo Psicosocial deben estar incluidas en el Total de Gestantes en Control misma edad. ","")</f>
        <v xml:space="preserve">* Las Gestantes de 25 a 29 años con Riesgo Psicosocial deben estar incluidas en el Total de Gestantes en Control misma edad. </v>
      </c>
      <c r="CD40" s="1328" t="str">
        <f>IF($C40&lt;$F40,"* Las Gestantes de 25 a 29 años que presentan ARO deben estar incluidas en el Total de Gestantes en Control misma edad. ","")</f>
        <v xml:space="preserve">* Las Gestantes de 25 a 29 años que presentan ARO deben estar incluidas en el Total de Gestantes en Control misma edad. </v>
      </c>
      <c r="CE40" s="1328" t="str">
        <f>IF($C40&lt;$G40,"* Las Gestantes de 25 a 29 años que pertenecen a 'Población Migrantes' deben estar incluidas en el Total de Gestantes en Control misma edad. ","")</f>
        <v xml:space="preserve">* Las Gestantes de 25 a 29 años que pertenecen a 'Población Migrantes' deben estar incluidas en el Total de Gestantes en Control misma edad. </v>
      </c>
      <c r="CF40" s="1329"/>
      <c r="CG40" s="1328" t="str">
        <f t="shared" si="26"/>
        <v/>
      </c>
      <c r="DB40" s="486">
        <f t="shared" si="27"/>
        <v>1</v>
      </c>
      <c r="DC40" s="486">
        <f t="shared" si="28"/>
        <v>1</v>
      </c>
      <c r="DD40" s="486">
        <f t="shared" si="29"/>
        <v>1</v>
      </c>
      <c r="DE40" s="486">
        <f t="shared" si="30"/>
        <v>1</v>
      </c>
      <c r="DF40" s="470"/>
      <c r="DG40" s="613">
        <f t="shared" si="31"/>
        <v>0</v>
      </c>
    </row>
    <row r="41" spans="1:132" ht="15.75" customHeight="1" x14ac:dyDescent="0.2">
      <c r="A41" s="1766" t="s">
        <v>814</v>
      </c>
      <c r="B41" s="82" t="s">
        <v>22</v>
      </c>
      <c r="C41" s="786" t="s">
        <v>1384</v>
      </c>
      <c r="D41" s="787" t="s">
        <v>1385</v>
      </c>
      <c r="E41" s="759" t="s">
        <v>1386</v>
      </c>
      <c r="F41" s="772" t="s">
        <v>1387</v>
      </c>
      <c r="G41" s="760" t="s">
        <v>1388</v>
      </c>
      <c r="H41" s="457" t="str">
        <f t="shared" si="25"/>
        <v xml:space="preserve">* Las Gestantes de 30 a 34 años con violencia de género deben estar incluidas en las Gestantes con riesgo psicosocial. * Las Gestantes de 30 a 34 años con Riesgo Psicosocial deben estar incluidas en el Total de Gestantes en Control misma edad. * Las Gestantes de 30 a 34 años que presentan ARO deben estar incluidas en el Total de Gestantes en Control misma edad. * Las Gestantes de 30 a 34 años que pertenecen a 'Población Migrantes' deben estar incluidas en el Total de Gestantes en Control misma edad. </v>
      </c>
      <c r="CB41" s="1328" t="str">
        <f>IF($D41&lt;$E41,"* Las Gestantes de 30 a 34 años con violencia de género deben estar incluidas en las Gestantes con riesgo psicosocial. ","")</f>
        <v xml:space="preserve">* Las Gestantes de 30 a 34 años con violencia de género deben estar incluidas en las Gestantes con riesgo psicosocial. </v>
      </c>
      <c r="CC41" s="1328" t="str">
        <f>IF($C41&lt;$D41,"* Las Gestantes de 30 a 34 años con Riesgo Psicosocial deben estar incluidas en el Total de Gestantes en Control misma edad. ","")</f>
        <v xml:space="preserve">* Las Gestantes de 30 a 34 años con Riesgo Psicosocial deben estar incluidas en el Total de Gestantes en Control misma edad. </v>
      </c>
      <c r="CD41" s="1328" t="str">
        <f>IF($C41&lt;$F41,"* Las Gestantes de 30 a 34 años que presentan ARO deben estar incluidas en el Total de Gestantes en Control misma edad. ","")</f>
        <v xml:space="preserve">* Las Gestantes de 30 a 34 años que presentan ARO deben estar incluidas en el Total de Gestantes en Control misma edad. </v>
      </c>
      <c r="CE41" s="1328" t="str">
        <f>IF($C41&lt;$G41,"* Las Gestantes de 30 a 34 años que pertenecen a 'Población Migrantes' deben estar incluidas en el Total de Gestantes en Control misma edad. ","")</f>
        <v xml:space="preserve">* Las Gestantes de 30 a 34 años que pertenecen a 'Población Migrantes' deben estar incluidas en el Total de Gestantes en Control misma edad. </v>
      </c>
      <c r="CF41" s="1329"/>
      <c r="CG41" s="1328" t="str">
        <f t="shared" si="26"/>
        <v/>
      </c>
      <c r="DB41" s="486">
        <f t="shared" si="27"/>
        <v>1</v>
      </c>
      <c r="DC41" s="486">
        <f t="shared" si="28"/>
        <v>1</v>
      </c>
      <c r="DD41" s="486">
        <f t="shared" si="29"/>
        <v>1</v>
      </c>
      <c r="DE41" s="486">
        <f t="shared" si="30"/>
        <v>1</v>
      </c>
      <c r="DF41" s="470"/>
      <c r="DG41" s="613">
        <f t="shared" si="31"/>
        <v>0</v>
      </c>
    </row>
    <row r="42" spans="1:132" ht="15.75" customHeight="1" x14ac:dyDescent="0.2">
      <c r="A42" s="1766" t="s">
        <v>815</v>
      </c>
      <c r="B42" s="82" t="s">
        <v>23</v>
      </c>
      <c r="C42" s="786" t="s">
        <v>1384</v>
      </c>
      <c r="D42" s="787" t="s">
        <v>1385</v>
      </c>
      <c r="E42" s="759" t="s">
        <v>1386</v>
      </c>
      <c r="F42" s="772" t="s">
        <v>1387</v>
      </c>
      <c r="G42" s="760" t="s">
        <v>1388</v>
      </c>
      <c r="H42" s="457" t="str">
        <f t="shared" si="25"/>
        <v xml:space="preserve">* Las Gestantes de 35 a 39 años con violencia de género deben estar incluidas en las Gestantes con riesgo psicosocial. * Las Gestantes de 35 a 39 años con Riesgo Psicosocial deben estar incluidas en el Total de Gestantes en Control misma edad. * Las Gestantes de 35 a 39 años que presentan ARO deben estar incluidas en el Total de Gestantes en Control misma edad. * Las Gestantes de 35 a 39 años que pertenecen a 'Población Migrantes' deben estar incluidas en el Total de Gestantes en Control misma edad. </v>
      </c>
      <c r="CB42" s="1328" t="str">
        <f>IF($D42&lt;$E42,"* Las Gestantes de 35 a 39 años con violencia de género deben estar incluidas en las Gestantes con riesgo psicosocial. ","")</f>
        <v xml:space="preserve">* Las Gestantes de 35 a 39 años con violencia de género deben estar incluidas en las Gestantes con riesgo psicosocial. </v>
      </c>
      <c r="CC42" s="1328" t="str">
        <f>IF($C42&lt;$D42,"* Las Gestantes de 35 a 39 años con Riesgo Psicosocial deben estar incluidas en el Total de Gestantes en Control misma edad. ","")</f>
        <v xml:space="preserve">* Las Gestantes de 35 a 39 años con Riesgo Psicosocial deben estar incluidas en el Total de Gestantes en Control misma edad. </v>
      </c>
      <c r="CD42" s="1328" t="str">
        <f>IF($C42&lt;$F42,"* Las Gestantes de 35 a 39 años que presentan ARO deben estar incluidas en el Total de Gestantes en Control misma edad. ","")</f>
        <v xml:space="preserve">* Las Gestantes de 35 a 39 años que presentan ARO deben estar incluidas en el Total de Gestantes en Control misma edad. </v>
      </c>
      <c r="CE42" s="1328" t="str">
        <f>IF($C42&lt;$G42,"* Las Gestantes de 35 a 39 años que pertenecen a 'Población Migrantes' deben estar incluidas en el Total de Gestantes en Control misma edad. ","")</f>
        <v xml:space="preserve">* Las Gestantes de 35 a 39 años que pertenecen a 'Población Migrantes' deben estar incluidas en el Total de Gestantes en Control misma edad. </v>
      </c>
      <c r="CF42" s="1329"/>
      <c r="CG42" s="1328" t="str">
        <f t="shared" si="26"/>
        <v/>
      </c>
      <c r="DB42" s="486">
        <f t="shared" si="27"/>
        <v>1</v>
      </c>
      <c r="DC42" s="486">
        <f t="shared" si="28"/>
        <v>1</v>
      </c>
      <c r="DD42" s="486">
        <f t="shared" si="29"/>
        <v>1</v>
      </c>
      <c r="DE42" s="486">
        <f t="shared" si="30"/>
        <v>1</v>
      </c>
      <c r="DF42" s="470"/>
      <c r="DG42" s="613">
        <f t="shared" si="31"/>
        <v>0</v>
      </c>
    </row>
    <row r="43" spans="1:132" ht="18" customHeight="1" x14ac:dyDescent="0.2">
      <c r="A43" s="1766" t="s">
        <v>816</v>
      </c>
      <c r="B43" s="82" t="s">
        <v>24</v>
      </c>
      <c r="C43" s="786" t="s">
        <v>1384</v>
      </c>
      <c r="D43" s="787" t="s">
        <v>1385</v>
      </c>
      <c r="E43" s="759" t="s">
        <v>1386</v>
      </c>
      <c r="F43" s="772" t="s">
        <v>1387</v>
      </c>
      <c r="G43" s="760" t="s">
        <v>1388</v>
      </c>
      <c r="H43" s="457" t="str">
        <f t="shared" si="25"/>
        <v xml:space="preserve">* Las Gestantes de 40 a 44 años con violencia de género deben estar incluidas en las Gestantes con riesgo psicosocial. * Las Gestantes de 40 a 44 años con Riesgo Psicosocial deben estar incluidas en el Total de Gestantes en Control misma edad. * Las Gestantes de 40 a 44 años que presentan ARO deben estar incluidas en el Total de Gestantes en Control misma edad. * Las Gestantes de 40 a 44 años que pertenecen a 'Población Migrantes' deben estar incluidas en el Total de Gestantes en Control misma edad. </v>
      </c>
      <c r="CB43" s="1328" t="str">
        <f>IF($D43&lt;$E43,"* Las Gestantes de 40 a 44 años con violencia de género deben estar incluidas en las Gestantes con riesgo psicosocial. ","")</f>
        <v xml:space="preserve">* Las Gestantes de 40 a 44 años con violencia de género deben estar incluidas en las Gestantes con riesgo psicosocial. </v>
      </c>
      <c r="CC43" s="1328" t="str">
        <f>IF($C43&lt;$D43,"* Las Gestantes de 40 a 44 años con Riesgo Psicosocial deben estar incluidas en el Total de Gestantes en Control misma edad. ","")</f>
        <v xml:space="preserve">* Las Gestantes de 40 a 44 años con Riesgo Psicosocial deben estar incluidas en el Total de Gestantes en Control misma edad. </v>
      </c>
      <c r="CD43" s="1328" t="str">
        <f>IF($C43&lt;$F43,"* Las Gestantes de 40 a 44 años que presentan ARO deben estar incluidas en el Total de Gestantes en Control misma edad. ","")</f>
        <v xml:space="preserve">* Las Gestantes de 40 a 44 años que presentan ARO deben estar incluidas en el Total de Gestantes en Control misma edad. </v>
      </c>
      <c r="CE43" s="1328" t="str">
        <f>IF($C43&lt;$G43,"* Las Gestantes de 40 a 44 años que pertenecen a 'Población Migrantes' deben estar incluidas en el Total de Gestantes en Control misma edad. ","")</f>
        <v xml:space="preserve">* Las Gestantes de 40 a 44 años que pertenecen a 'Población Migrantes' deben estar incluidas en el Total de Gestantes en Control misma edad. </v>
      </c>
      <c r="CF43" s="1329"/>
      <c r="CG43" s="1328" t="str">
        <f t="shared" si="26"/>
        <v/>
      </c>
      <c r="DB43" s="486">
        <f t="shared" si="27"/>
        <v>1</v>
      </c>
      <c r="DC43" s="486">
        <f t="shared" si="28"/>
        <v>1</v>
      </c>
      <c r="DD43" s="486">
        <f t="shared" si="29"/>
        <v>1</v>
      </c>
      <c r="DE43" s="486">
        <f t="shared" si="30"/>
        <v>1</v>
      </c>
      <c r="DF43" s="470"/>
      <c r="DG43" s="613">
        <f t="shared" si="31"/>
        <v>0</v>
      </c>
    </row>
    <row r="44" spans="1:132" ht="15.75" customHeight="1" x14ac:dyDescent="0.2">
      <c r="A44" s="1766" t="s">
        <v>817</v>
      </c>
      <c r="B44" s="82" t="s">
        <v>25</v>
      </c>
      <c r="C44" s="786" t="s">
        <v>1384</v>
      </c>
      <c r="D44" s="787" t="s">
        <v>1385</v>
      </c>
      <c r="E44" s="759" t="s">
        <v>1386</v>
      </c>
      <c r="F44" s="772" t="s">
        <v>1387</v>
      </c>
      <c r="G44" s="760" t="s">
        <v>1388</v>
      </c>
      <c r="H44" s="457" t="str">
        <f t="shared" si="25"/>
        <v xml:space="preserve">* Las Gestantes de 45 a 49 años con violencia de género deben estar incluidas en las Gestantes con riesgo psicosocial. * Las Gestantes de 45 a 49 años con Riesgo Psicosocial deben estar incluidas en el Total de Gestantes en Control misma edad. * Las Gestantes de 45 a 49 años que presentan ARO deben estar incluidas en el Total de Gestantes en Control misma edad. * Las Gestantes de 45 a 49 años que pertenecen a 'Población Migrantes' deben estar incluidas en el Total de Gestantes en Control misma edad. </v>
      </c>
      <c r="CB44" s="1328" t="str">
        <f>IF($D44&lt;$E44,"* Las Gestantes de 45 a 49 años con violencia de género deben estar incluidas en las Gestantes con riesgo psicosocial. ","")</f>
        <v xml:space="preserve">* Las Gestantes de 45 a 49 años con violencia de género deben estar incluidas en las Gestantes con riesgo psicosocial. </v>
      </c>
      <c r="CC44" s="1328" t="str">
        <f>IF($C44&lt;$D44,"* Las Gestantes de 45 a 49 años con Riesgo Psicosocial deben estar incluidas en el Total de Gestantes en Control misma edad. ","")</f>
        <v xml:space="preserve">* Las Gestantes de 45 a 49 años con Riesgo Psicosocial deben estar incluidas en el Total de Gestantes en Control misma edad. </v>
      </c>
      <c r="CD44" s="1328" t="str">
        <f>IF($C44&lt;$F44,"* Las Gestantes de 45 a 49 años que presentan ARO deben estar incluidas en el Total de Gestantes en Control misma edad. ","")</f>
        <v xml:space="preserve">* Las Gestantes de 45 a 49 años que presentan ARO deben estar incluidas en el Total de Gestantes en Control misma edad. </v>
      </c>
      <c r="CE44" s="1328" t="str">
        <f>IF($C44&lt;$G44,"* Las Gestantes de 45 a 49 años que pertenecen a 'Población Migrantes' deben estar incluidas en el Total de Gestantes en Control misma edad. ","")</f>
        <v xml:space="preserve">* Las Gestantes de 45 a 49 años que pertenecen a 'Población Migrantes' deben estar incluidas en el Total de Gestantes en Control misma edad. </v>
      </c>
      <c r="CF44" s="1329"/>
      <c r="CG44" s="1328" t="str">
        <f t="shared" si="26"/>
        <v/>
      </c>
      <c r="DB44" s="486">
        <f t="shared" si="27"/>
        <v>1</v>
      </c>
      <c r="DC44" s="486">
        <f t="shared" si="28"/>
        <v>1</v>
      </c>
      <c r="DD44" s="486">
        <f t="shared" si="29"/>
        <v>1</v>
      </c>
      <c r="DE44" s="486">
        <f t="shared" si="30"/>
        <v>1</v>
      </c>
      <c r="DF44" s="470"/>
      <c r="DG44" s="613">
        <f t="shared" si="31"/>
        <v>0</v>
      </c>
    </row>
    <row r="45" spans="1:132" ht="15.75" customHeight="1" x14ac:dyDescent="0.2">
      <c r="A45" s="1766" t="s">
        <v>818</v>
      </c>
      <c r="B45" s="82" t="s">
        <v>26</v>
      </c>
      <c r="C45" s="786" t="s">
        <v>1384</v>
      </c>
      <c r="D45" s="787" t="s">
        <v>1385</v>
      </c>
      <c r="E45" s="759" t="s">
        <v>1386</v>
      </c>
      <c r="F45" s="772" t="s">
        <v>1387</v>
      </c>
      <c r="G45" s="760" t="s">
        <v>1388</v>
      </c>
      <c r="H45" s="457" t="str">
        <f t="shared" si="25"/>
        <v xml:space="preserve">* Las Gestantes de 50 a 54 años con violencia de género deben estar incluidas en las Gestantes con riesgo psicosocial. * Las Gestantes de 50 a 54 años con Riesgo Psicosocial deben estar incluidas en el Total de Gestantes en Control misma edad. * Las Gestantes de 50 a 54 años que presentan ARO deben estar incluidas en el Total de Gestantes en Control misma edad. * Las Gestantes de 50 a 54 años que pertenecen a 'Población Migrantes' deben estar incluidas en el Total de Gestantes en Control misma edad. </v>
      </c>
      <c r="CB45" s="1328" t="str">
        <f>IF($D45&lt;$E45,"* Las Gestantes de 50 a 54 años con violencia de género deben estar incluidas en las Gestantes con riesgo psicosocial. ","")</f>
        <v xml:space="preserve">* Las Gestantes de 50 a 54 años con violencia de género deben estar incluidas en las Gestantes con riesgo psicosocial. </v>
      </c>
      <c r="CC45" s="1328" t="str">
        <f>IF($C45&lt;$D45,"* Las Gestantes de 50 a 54 años con Riesgo Psicosocial deben estar incluidas en el Total de Gestantes en Control misma edad. ","")</f>
        <v xml:space="preserve">* Las Gestantes de 50 a 54 años con Riesgo Psicosocial deben estar incluidas en el Total de Gestantes en Control misma edad. </v>
      </c>
      <c r="CD45" s="1328" t="str">
        <f>IF($C45&lt;$F45,"* Las Gestantes de 50 a 54 años que presentan ARO deben estar incluidas en el Total de Gestantes en Control misma edad. ","")</f>
        <v xml:space="preserve">* Las Gestantes de 50 a 54 años que presentan ARO deben estar incluidas en el Total de Gestantes en Control misma edad. </v>
      </c>
      <c r="CE45" s="1328" t="str">
        <f>IF($C45&lt;$G45,"* Las Gestantes de 50 a 54 años que pertenecen a 'Población Migrantes' deben estar incluidas en el Total de Gestantes en Control misma edad. ","")</f>
        <v xml:space="preserve">* Las Gestantes de 50 a 54 años que pertenecen a 'Población Migrantes' deben estar incluidas en el Total de Gestantes en Control misma edad. </v>
      </c>
      <c r="CF45" s="1329"/>
      <c r="CG45" s="1328" t="str">
        <f t="shared" si="26"/>
        <v/>
      </c>
      <c r="DB45" s="486">
        <f t="shared" si="27"/>
        <v>1</v>
      </c>
      <c r="DC45" s="486">
        <f t="shared" si="28"/>
        <v>1</v>
      </c>
      <c r="DD45" s="486">
        <f t="shared" si="29"/>
        <v>1</v>
      </c>
      <c r="DE45" s="486">
        <f t="shared" si="30"/>
        <v>1</v>
      </c>
      <c r="DF45" s="470"/>
      <c r="DG45" s="613">
        <f t="shared" si="31"/>
        <v>0</v>
      </c>
    </row>
    <row r="46" spans="1:132" ht="15.75" customHeight="1" x14ac:dyDescent="0.2">
      <c r="A46" s="1769"/>
      <c r="B46" s="83" t="s">
        <v>15</v>
      </c>
      <c r="C46" s="791">
        <f>SUM(C37:C45)</f>
        <v>0</v>
      </c>
      <c r="D46" s="788">
        <f>SUM(D37:D45)</f>
        <v>0</v>
      </c>
      <c r="E46" s="789">
        <f>SUM(E37:E45)</f>
        <v>0</v>
      </c>
      <c r="F46" s="790">
        <f>SUM(F37:F45)</f>
        <v>0</v>
      </c>
      <c r="G46" s="791">
        <f>SUM(G37:G45)</f>
        <v>0</v>
      </c>
      <c r="H46" s="81"/>
    </row>
    <row r="47" spans="1:132" ht="15.75" customHeight="1" x14ac:dyDescent="0.2">
      <c r="A47" s="1770"/>
      <c r="B47" s="617" t="s">
        <v>705</v>
      </c>
      <c r="C47" s="614"/>
      <c r="D47" s="614"/>
      <c r="E47" s="614"/>
      <c r="F47" s="614"/>
      <c r="G47" s="614"/>
      <c r="H47" s="614"/>
      <c r="I47" s="614"/>
      <c r="J47" s="614"/>
      <c r="K47" s="614"/>
      <c r="L47" s="614"/>
    </row>
    <row r="48" spans="1:132" ht="15.75" customHeight="1" x14ac:dyDescent="0.2">
      <c r="A48" s="1770"/>
      <c r="B48" s="1876" t="s">
        <v>40</v>
      </c>
      <c r="C48" s="1876" t="s">
        <v>41</v>
      </c>
      <c r="D48" s="1876" t="s">
        <v>42</v>
      </c>
      <c r="E48" s="84"/>
      <c r="F48" s="459"/>
    </row>
    <row r="49" spans="1:114" ht="15.75" customHeight="1" x14ac:dyDescent="0.2">
      <c r="A49" s="1770"/>
      <c r="B49" s="1877"/>
      <c r="C49" s="1877"/>
      <c r="D49" s="1877"/>
      <c r="E49" s="84"/>
      <c r="F49" s="459"/>
    </row>
    <row r="50" spans="1:114" ht="20.25" customHeight="1" x14ac:dyDescent="0.2">
      <c r="A50" s="1766" t="s">
        <v>819</v>
      </c>
      <c r="B50" s="80" t="s">
        <v>43</v>
      </c>
      <c r="C50" s="792" t="s">
        <v>1384</v>
      </c>
      <c r="D50" s="730" t="s">
        <v>1385</v>
      </c>
      <c r="E50" s="457" t="e">
        <f>($CB50&amp;$CC50&amp;$CD50&amp;$CE50&amp;$CF50&amp;$CG50&amp;$CH50&amp;$CI50&amp;$CJ50&amp;$CK50&amp;$CM50&amp;$CN50&amp;$CO50&amp;$CP50&amp;$CQ50&amp;$CR50&amp;$CS50&amp;$CT50&amp;$CU50&amp;$CV50&amp;$CW50&amp;$CX50&amp;$CY50&amp;$CZ50&amp;$DA50)</f>
        <v>#VALUE!</v>
      </c>
      <c r="F50" s="459"/>
      <c r="CB50" s="1328" t="e">
        <f>IF($D$50&lt;&gt;$C$50*1,"* NO ALTERE LAS FÓRMULAS, el Total de Visitas equivale a 1 visita por gestante. ","")</f>
        <v>#VALUE!</v>
      </c>
      <c r="DB50" s="486" t="e">
        <f>IF($D$50&lt;&gt;$C$50*1,1,0)</f>
        <v>#VALUE!</v>
      </c>
    </row>
    <row r="51" spans="1:114" ht="20.25" customHeight="1" x14ac:dyDescent="0.2">
      <c r="A51" s="1766" t="s">
        <v>820</v>
      </c>
      <c r="B51" s="82" t="s">
        <v>44</v>
      </c>
      <c r="C51" s="793" t="s">
        <v>1384</v>
      </c>
      <c r="D51" s="794" t="s">
        <v>1385</v>
      </c>
      <c r="E51" s="457" t="e">
        <f>($CB51&amp;$CC51&amp;$CD51&amp;$CE51&amp;$CF51&amp;$CG51&amp;$CH51&amp;$CI51&amp;$CJ51&amp;$CK51&amp;$CM51&amp;$CN51&amp;$CO51&amp;$CP51&amp;$CQ51&amp;$CR51&amp;$CS51&amp;$CT51&amp;$CU51&amp;$CV51&amp;$CW51&amp;$CX51&amp;$CY51&amp;$CZ51&amp;$DA51)</f>
        <v>#VALUE!</v>
      </c>
      <c r="F51" s="459"/>
      <c r="BS51" s="568"/>
      <c r="BT51" s="568"/>
      <c r="BU51" s="568"/>
      <c r="BV51" s="568"/>
      <c r="BW51" s="568"/>
      <c r="BX51" s="568"/>
      <c r="BY51" s="568"/>
      <c r="BZ51" s="568"/>
      <c r="CA51" s="568"/>
      <c r="CB51" s="1328" t="e">
        <f>IF($D$51&lt;&gt;$C$51*2,"* NO ALTERE LAS FÓRMULAS, el Total de Visitas equivale a 2 visitas por gestante. ","")</f>
        <v>#VALUE!</v>
      </c>
      <c r="CC51" s="489"/>
      <c r="CD51" s="489"/>
      <c r="CE51" s="489"/>
      <c r="CF51" s="489"/>
      <c r="CG51" s="489"/>
      <c r="CH51" s="489"/>
      <c r="CI51" s="489"/>
      <c r="CJ51" s="489"/>
      <c r="CK51" s="489"/>
      <c r="CL51" s="489"/>
      <c r="CM51" s="489"/>
      <c r="CN51" s="489"/>
      <c r="CO51" s="489"/>
      <c r="DB51" s="486" t="e">
        <f>IF($D$51&lt;&gt;$C$51*2,1,0)</f>
        <v>#VALUE!</v>
      </c>
    </row>
    <row r="52" spans="1:114" ht="20.25" customHeight="1" x14ac:dyDescent="0.2">
      <c r="A52" s="1766" t="s">
        <v>821</v>
      </c>
      <c r="B52" s="82" t="s">
        <v>45</v>
      </c>
      <c r="C52" s="793" t="s">
        <v>1384</v>
      </c>
      <c r="D52" s="794" t="s">
        <v>1385</v>
      </c>
      <c r="E52" s="457" t="e">
        <f>($CB52&amp;$CC52&amp;$CD52&amp;$CE52&amp;$CF52&amp;$CG52&amp;$CH52&amp;$CI52&amp;$CJ52&amp;$CK52&amp;$CM52&amp;$CN52&amp;$CO52&amp;$CP52&amp;$CQ52&amp;$CR52&amp;$CS52&amp;$CT52&amp;$CU52&amp;$CV52&amp;$CW52&amp;$CX52&amp;$CY52&amp;$CZ52&amp;$DA52)</f>
        <v>#VALUE!</v>
      </c>
      <c r="F52" s="459"/>
      <c r="BS52" s="568"/>
      <c r="BT52" s="568"/>
      <c r="BU52" s="568"/>
      <c r="BV52" s="568"/>
      <c r="BW52" s="568"/>
      <c r="BX52" s="568"/>
      <c r="BY52" s="568"/>
      <c r="BZ52" s="568"/>
      <c r="CA52" s="568"/>
      <c r="CB52" s="1328" t="e">
        <f>IF($D$52&lt;&gt;$C$52*3,"* NO ALTERE LAS FÓRMULAS, el Total de Visitas equivale a 3 visitas por gestante. ","")</f>
        <v>#VALUE!</v>
      </c>
      <c r="CC52" s="489"/>
      <c r="CD52" s="489"/>
      <c r="CE52" s="489"/>
      <c r="CF52" s="489"/>
      <c r="CG52" s="489"/>
      <c r="CH52" s="489"/>
      <c r="CI52" s="489"/>
      <c r="CJ52" s="489"/>
      <c r="CK52" s="489"/>
      <c r="CL52" s="489"/>
      <c r="CM52" s="489"/>
      <c r="CN52" s="489"/>
      <c r="CO52" s="489"/>
      <c r="DB52" s="486" t="e">
        <f>IF($D$52&lt;&gt;$C$52*3,1,0)</f>
        <v>#VALUE!</v>
      </c>
    </row>
    <row r="53" spans="1:114" ht="20.25" customHeight="1" x14ac:dyDescent="0.2">
      <c r="A53" s="1766" t="s">
        <v>822</v>
      </c>
      <c r="B53" s="85" t="s">
        <v>46</v>
      </c>
      <c r="C53" s="795" t="s">
        <v>1384</v>
      </c>
      <c r="D53" s="795" t="s">
        <v>1385</v>
      </c>
      <c r="E53" s="457" t="str">
        <f>($CB53&amp;$CC53&amp;$CD53&amp;$CE53&amp;$CF53&amp;$CG53&amp;$CH53&amp;$CI53&amp;$CJ53&amp;$CK53&amp;$CM53&amp;$CN53&amp;$CO53&amp;$CP53&amp;$CQ53&amp;$CR53&amp;$CS53&amp;$CT53&amp;$CU53&amp;$CV53&amp;$CW53&amp;$CX53&amp;$CY53&amp;$CZ53&amp;$DA53)</f>
        <v/>
      </c>
      <c r="F53" s="459"/>
      <c r="BK53" s="568"/>
      <c r="BL53" s="568"/>
      <c r="BM53" s="568"/>
      <c r="BN53" s="568"/>
      <c r="BO53" s="568"/>
      <c r="BP53" s="568"/>
      <c r="BQ53" s="568"/>
      <c r="BR53" s="568"/>
      <c r="BS53" s="568"/>
      <c r="BT53" s="568"/>
      <c r="BU53" s="568"/>
      <c r="BV53" s="568"/>
      <c r="BW53" s="568"/>
      <c r="BX53" s="568"/>
      <c r="BY53" s="568"/>
      <c r="BZ53" s="568"/>
      <c r="CA53" s="568"/>
      <c r="CB53" s="489"/>
      <c r="CC53" s="489"/>
      <c r="CD53" s="489"/>
      <c r="CE53" s="489"/>
      <c r="CF53" s="489"/>
      <c r="CG53" s="489"/>
      <c r="CH53" s="489"/>
      <c r="CI53" s="489"/>
      <c r="CJ53" s="489"/>
      <c r="CK53" s="489"/>
      <c r="CL53" s="489"/>
      <c r="CM53" s="489"/>
      <c r="CN53" s="489"/>
      <c r="CO53" s="489"/>
    </row>
    <row r="54" spans="1:114" ht="15.75" customHeight="1" x14ac:dyDescent="0.15">
      <c r="A54" s="1767"/>
      <c r="B54" s="83" t="s">
        <v>15</v>
      </c>
      <c r="C54" s="796">
        <f>SUM(C50:C53)</f>
        <v>0</v>
      </c>
      <c r="D54" s="796">
        <f>SUM(D50:D53)</f>
        <v>0</v>
      </c>
      <c r="E54" s="81"/>
      <c r="F54" s="459"/>
      <c r="BK54" s="568"/>
      <c r="BL54" s="568"/>
      <c r="BM54" s="568"/>
      <c r="BN54" s="568"/>
      <c r="BO54" s="568"/>
      <c r="BP54" s="568"/>
      <c r="BQ54" s="568"/>
      <c r="BR54" s="568"/>
      <c r="BS54" s="568"/>
      <c r="BT54" s="568"/>
      <c r="BU54" s="568"/>
      <c r="BV54" s="568"/>
      <c r="BW54" s="568"/>
      <c r="BX54" s="568"/>
      <c r="BY54" s="568"/>
      <c r="BZ54" s="568"/>
      <c r="CA54" s="568"/>
      <c r="CB54" s="489"/>
      <c r="CC54" s="489"/>
      <c r="CD54" s="489"/>
      <c r="CE54" s="489"/>
      <c r="CF54" s="489"/>
      <c r="CG54" s="489"/>
      <c r="CH54" s="489"/>
      <c r="CI54" s="489"/>
      <c r="CJ54" s="489"/>
      <c r="CK54" s="489"/>
      <c r="CL54" s="489"/>
      <c r="CM54" s="489"/>
      <c r="CN54" s="489"/>
      <c r="CO54" s="489"/>
    </row>
    <row r="55" spans="1:114" ht="21" customHeight="1" x14ac:dyDescent="0.2">
      <c r="B55" s="1893" t="s">
        <v>582</v>
      </c>
      <c r="C55" s="1884"/>
      <c r="D55" s="1884"/>
      <c r="E55" s="1884"/>
      <c r="F55" s="1884"/>
      <c r="G55" s="1884"/>
      <c r="H55" s="1884"/>
      <c r="I55" s="1884"/>
      <c r="J55" s="1884"/>
      <c r="K55" s="1884"/>
      <c r="L55" s="1884"/>
      <c r="M55" s="1884"/>
      <c r="BK55" s="568"/>
      <c r="BL55" s="568"/>
      <c r="BM55" s="568"/>
      <c r="BN55" s="568"/>
      <c r="BO55" s="568"/>
      <c r="BP55" s="568"/>
      <c r="BQ55" s="568"/>
      <c r="BR55" s="568"/>
      <c r="BS55" s="568"/>
      <c r="BT55" s="568"/>
      <c r="BU55" s="568"/>
      <c r="BV55" s="568"/>
      <c r="BW55" s="568"/>
      <c r="BX55" s="568"/>
      <c r="BY55" s="568"/>
      <c r="BZ55" s="568"/>
      <c r="CA55" s="568"/>
      <c r="CB55" s="489"/>
      <c r="CC55" s="489"/>
      <c r="CD55" s="489"/>
      <c r="CE55" s="489"/>
      <c r="CF55" s="489"/>
      <c r="CG55" s="489"/>
      <c r="CH55" s="489"/>
      <c r="CI55" s="489"/>
      <c r="CJ55" s="489"/>
      <c r="CK55" s="489"/>
      <c r="CL55" s="489"/>
      <c r="CM55" s="489"/>
      <c r="CN55" s="489"/>
      <c r="CO55" s="489"/>
    </row>
    <row r="56" spans="1:114" ht="23.25" customHeight="1" x14ac:dyDescent="0.15">
      <c r="B56" s="1888" t="s">
        <v>47</v>
      </c>
      <c r="C56" s="1846" t="s">
        <v>48</v>
      </c>
      <c r="D56" s="1890" t="s">
        <v>15</v>
      </c>
      <c r="E56" s="1896" t="s">
        <v>49</v>
      </c>
      <c r="F56" s="1897"/>
      <c r="G56" s="1897"/>
      <c r="H56" s="1897"/>
      <c r="I56" s="1897"/>
      <c r="J56" s="1897"/>
      <c r="K56" s="1897"/>
      <c r="L56" s="1897"/>
      <c r="M56" s="1898"/>
      <c r="BK56" s="568"/>
      <c r="BL56" s="568"/>
      <c r="BM56" s="568"/>
      <c r="BN56" s="568"/>
      <c r="BO56" s="568"/>
      <c r="BP56" s="568"/>
      <c r="BQ56" s="568"/>
      <c r="BR56" s="568"/>
      <c r="BS56" s="568"/>
      <c r="BT56" s="568"/>
      <c r="BU56" s="568"/>
      <c r="BV56" s="568"/>
      <c r="BW56" s="568"/>
      <c r="BX56" s="568"/>
      <c r="BY56" s="568"/>
      <c r="BZ56" s="568"/>
      <c r="CA56" s="568"/>
      <c r="CB56" s="489"/>
      <c r="CC56" s="489"/>
      <c r="CD56" s="489"/>
      <c r="CE56" s="489"/>
      <c r="CF56" s="489"/>
      <c r="CG56" s="489"/>
      <c r="CH56" s="489"/>
      <c r="CI56" s="489"/>
      <c r="CJ56" s="489"/>
      <c r="CK56" s="489"/>
      <c r="CL56" s="489"/>
      <c r="CM56" s="489"/>
      <c r="CN56" s="489"/>
      <c r="CO56" s="489"/>
    </row>
    <row r="57" spans="1:114" ht="22.5" customHeight="1" x14ac:dyDescent="0.15">
      <c r="B57" s="1889"/>
      <c r="C57" s="1847"/>
      <c r="D57" s="1891"/>
      <c r="E57" s="1494" t="s">
        <v>50</v>
      </c>
      <c r="F57" s="1393" t="s">
        <v>19</v>
      </c>
      <c r="G57" s="1393" t="s">
        <v>20</v>
      </c>
      <c r="H57" s="76" t="s">
        <v>21</v>
      </c>
      <c r="I57" s="76" t="s">
        <v>22</v>
      </c>
      <c r="J57" s="76" t="s">
        <v>23</v>
      </c>
      <c r="K57" s="76" t="s">
        <v>24</v>
      </c>
      <c r="L57" s="76" t="s">
        <v>25</v>
      </c>
      <c r="M57" s="1493" t="s">
        <v>26</v>
      </c>
      <c r="N57" s="460"/>
      <c r="BK57" s="568"/>
      <c r="BL57" s="568"/>
      <c r="BM57" s="568"/>
      <c r="BN57" s="568"/>
      <c r="BO57" s="568"/>
      <c r="BP57" s="568"/>
      <c r="BQ57" s="568"/>
      <c r="BR57" s="568"/>
      <c r="BS57" s="568"/>
      <c r="BT57" s="568"/>
      <c r="BU57" s="568"/>
      <c r="BV57" s="568"/>
      <c r="BW57" s="568"/>
      <c r="BX57" s="568"/>
      <c r="BY57" s="568"/>
      <c r="BZ57" s="568"/>
      <c r="CA57" s="568"/>
      <c r="CB57" s="489"/>
      <c r="CC57" s="489"/>
      <c r="CD57" s="489"/>
      <c r="CE57" s="489"/>
      <c r="CF57" s="489"/>
      <c r="CG57" s="489"/>
      <c r="CH57" s="489"/>
      <c r="CI57" s="489"/>
      <c r="CJ57" s="489"/>
      <c r="CK57" s="489"/>
      <c r="CL57" s="489"/>
      <c r="CM57" s="489"/>
      <c r="CN57" s="489"/>
      <c r="CO57" s="489"/>
    </row>
    <row r="58" spans="1:114" ht="18.75" customHeight="1" x14ac:dyDescent="0.2">
      <c r="A58" s="1766" t="s">
        <v>823</v>
      </c>
      <c r="B58" s="1846" t="s">
        <v>51</v>
      </c>
      <c r="C58" s="86" t="s">
        <v>52</v>
      </c>
      <c r="D58" s="797" t="s">
        <v>1384</v>
      </c>
      <c r="E58" s="731" t="s">
        <v>1385</v>
      </c>
      <c r="F58" s="733" t="s">
        <v>1386</v>
      </c>
      <c r="G58" s="733" t="s">
        <v>1387</v>
      </c>
      <c r="H58" s="733" t="s">
        <v>1388</v>
      </c>
      <c r="I58" s="733" t="s">
        <v>1389</v>
      </c>
      <c r="J58" s="733" t="s">
        <v>1390</v>
      </c>
      <c r="K58" s="733" t="s">
        <v>1391</v>
      </c>
      <c r="L58" s="733" t="s">
        <v>1392</v>
      </c>
      <c r="M58" s="737" t="s">
        <v>1393</v>
      </c>
      <c r="N58" s="457" t="str">
        <f t="shared" ref="N58:N66" si="32">($CB58&amp;$CC58&amp;$CD58&amp;$CE58&amp;$CF58&amp;$CG58&amp;$CH58&amp;$CI58&amp;$CJ58&amp;$CK58&amp;$CM58&amp;$CN58&amp;$CO58&amp;$CP58&amp;$CQ58&amp;$CR58&amp;$CS58&amp;$CT58&amp;$CU58&amp;$CV58&amp;$CW58&amp;$CX58&amp;$CY58&amp;$CZ58&amp;$DA58)</f>
        <v/>
      </c>
      <c r="BK58" s="568"/>
      <c r="BL58" s="568"/>
      <c r="BM58" s="568"/>
      <c r="BN58" s="568"/>
      <c r="BO58" s="568"/>
      <c r="BP58" s="568"/>
      <c r="BQ58" s="568"/>
      <c r="BR58" s="568"/>
      <c r="BS58" s="568"/>
      <c r="BT58" s="568"/>
      <c r="BU58" s="568"/>
      <c r="BV58" s="568"/>
      <c r="BW58" s="568"/>
      <c r="BX58" s="568"/>
      <c r="BY58" s="568"/>
      <c r="BZ58" s="568"/>
      <c r="CA58" s="568"/>
      <c r="CB58" s="489"/>
      <c r="CC58" s="489"/>
      <c r="CD58" s="489"/>
      <c r="CE58" s="489"/>
      <c r="CF58" s="489"/>
      <c r="CG58" s="489"/>
      <c r="CH58" s="489"/>
      <c r="CI58" s="489"/>
      <c r="CJ58" s="489"/>
      <c r="CK58" s="489"/>
      <c r="CL58" s="489"/>
      <c r="CM58" s="489"/>
    </row>
    <row r="59" spans="1:114" ht="18.75" customHeight="1" x14ac:dyDescent="0.2">
      <c r="A59" s="1766" t="s">
        <v>824</v>
      </c>
      <c r="B59" s="1892"/>
      <c r="C59" s="87" t="s">
        <v>53</v>
      </c>
      <c r="D59" s="798" t="s">
        <v>1384</v>
      </c>
      <c r="E59" s="828" t="s">
        <v>1385</v>
      </c>
      <c r="F59" s="752" t="s">
        <v>1386</v>
      </c>
      <c r="G59" s="752" t="s">
        <v>1387</v>
      </c>
      <c r="H59" s="752" t="s">
        <v>1388</v>
      </c>
      <c r="I59" s="752" t="s">
        <v>1389</v>
      </c>
      <c r="J59" s="752" t="s">
        <v>1390</v>
      </c>
      <c r="K59" s="752" t="s">
        <v>1391</v>
      </c>
      <c r="L59" s="752" t="s">
        <v>1392</v>
      </c>
      <c r="M59" s="755" t="s">
        <v>1393</v>
      </c>
      <c r="N59" s="457" t="str">
        <f t="shared" si="32"/>
        <v/>
      </c>
      <c r="BK59" s="568"/>
      <c r="BL59" s="568"/>
      <c r="BM59" s="568"/>
      <c r="BN59" s="568"/>
      <c r="BO59" s="568"/>
      <c r="BP59" s="568"/>
      <c r="BQ59" s="568"/>
      <c r="BR59" s="568"/>
    </row>
    <row r="60" spans="1:114" ht="18.75" customHeight="1" x14ac:dyDescent="0.2">
      <c r="A60" s="1766" t="s">
        <v>825</v>
      </c>
      <c r="B60" s="1892"/>
      <c r="C60" s="87" t="s">
        <v>54</v>
      </c>
      <c r="D60" s="798" t="s">
        <v>1384</v>
      </c>
      <c r="E60" s="828" t="s">
        <v>1385</v>
      </c>
      <c r="F60" s="752" t="s">
        <v>1386</v>
      </c>
      <c r="G60" s="752" t="s">
        <v>1387</v>
      </c>
      <c r="H60" s="752" t="s">
        <v>1388</v>
      </c>
      <c r="I60" s="752" t="s">
        <v>1389</v>
      </c>
      <c r="J60" s="752" t="s">
        <v>1390</v>
      </c>
      <c r="K60" s="752" t="s">
        <v>1391</v>
      </c>
      <c r="L60" s="752" t="s">
        <v>1392</v>
      </c>
      <c r="M60" s="755" t="s">
        <v>1393</v>
      </c>
      <c r="N60" s="457" t="str">
        <f t="shared" si="32"/>
        <v/>
      </c>
      <c r="BK60" s="568"/>
      <c r="BL60" s="568"/>
      <c r="BM60" s="568"/>
      <c r="BN60" s="568"/>
      <c r="BO60" s="568"/>
      <c r="BP60" s="568"/>
      <c r="BQ60" s="568"/>
      <c r="BR60" s="568"/>
    </row>
    <row r="61" spans="1:114" ht="18.75" customHeight="1" x14ac:dyDescent="0.2">
      <c r="A61" s="1766" t="s">
        <v>826</v>
      </c>
      <c r="B61" s="1892"/>
      <c r="C61" s="88" t="s">
        <v>55</v>
      </c>
      <c r="D61" s="799" t="s">
        <v>1384</v>
      </c>
      <c r="E61" s="924" t="s">
        <v>1385</v>
      </c>
      <c r="F61" s="757" t="s">
        <v>1386</v>
      </c>
      <c r="G61" s="757" t="s">
        <v>1387</v>
      </c>
      <c r="H61" s="757" t="s">
        <v>1388</v>
      </c>
      <c r="I61" s="757" t="s">
        <v>1389</v>
      </c>
      <c r="J61" s="757" t="s">
        <v>1390</v>
      </c>
      <c r="K61" s="757" t="s">
        <v>1391</v>
      </c>
      <c r="L61" s="757" t="s">
        <v>1392</v>
      </c>
      <c r="M61" s="760" t="s">
        <v>1393</v>
      </c>
      <c r="N61" s="457" t="str">
        <f t="shared" si="32"/>
        <v/>
      </c>
    </row>
    <row r="62" spans="1:114" ht="18.75" customHeight="1" x14ac:dyDescent="0.2">
      <c r="A62" s="1771"/>
      <c r="B62" s="1847"/>
      <c r="C62" s="83" t="s">
        <v>15</v>
      </c>
      <c r="D62" s="796">
        <f>SUM(E62:M62)</f>
        <v>0</v>
      </c>
      <c r="E62" s="1489">
        <f>SUM(E58:E61)</f>
        <v>0</v>
      </c>
      <c r="F62" s="1490">
        <f t="shared" ref="F62:M62" si="33">SUM(F58:F61)</f>
        <v>0</v>
      </c>
      <c r="G62" s="1490">
        <f t="shared" si="33"/>
        <v>0</v>
      </c>
      <c r="H62" s="1490">
        <f t="shared" si="33"/>
        <v>0</v>
      </c>
      <c r="I62" s="1490">
        <f t="shared" si="33"/>
        <v>0</v>
      </c>
      <c r="J62" s="1490">
        <f t="shared" si="33"/>
        <v>0</v>
      </c>
      <c r="K62" s="1490">
        <f t="shared" si="33"/>
        <v>0</v>
      </c>
      <c r="L62" s="1490">
        <f t="shared" si="33"/>
        <v>0</v>
      </c>
      <c r="M62" s="1487">
        <f t="shared" si="33"/>
        <v>0</v>
      </c>
      <c r="N62" s="457" t="str">
        <f xml:space="preserve"> CB62 &amp; CC62 &amp; CD62 &amp; CE62 &amp; CF62 &amp; CG62 &amp; CH62 &amp; CI62 &amp; CJ62</f>
        <v xml:space="preserve">* Las Gestantes Menores de 15 años, según Estado Nutricional debe ser igual al Total de gestantes en Control de esa edad en Sección B. * Las gestantes 15-19 años, según Estado Nutricional debe ser igual al Total de gestantes en Control de esa edad en Sección B. * Las gestantes20-24 años, según Estado Nutricional debe ser igual al Total de gestantes en Control de esa edad en Sección B. * Las gestantes 25-29 años, según Estado Nutricional debe ser igual al Total de gestantes en Control de esa edad en Sección B. * Las gestantes30-34 años, según Estado Nutricional debe ser igual al Total de gestantes en Control de esa edad en Sección B. * Las gestantes 35-39 años, según Estado Nutricional debe ser igual al Total de gestantes en Control de esa edad en Sección B. * Las gestantes 40-44 años, según Estado Nutricional debe ser igual al Total de gestantes en Control de esa edad en Sección B. * Las gestantes 45-49 años, según Estado Nutricional debe ser igual al Total de gestantes en Control de esa edad en Sección B. * Las gestantes 50-54 años, según Estado Nutricional debe ser igual al Total de gestantes en Control de esa edad en Sección B. </v>
      </c>
      <c r="CB62" s="1328" t="str">
        <f>IF($C$37&lt;&gt;$E62,"* Las Gestantes Menores de 15 años, según Estado Nutricional debe ser igual al Total de gestantes en Control de esa edad en Sección B. ","")</f>
        <v xml:space="preserve">* Las Gestantes Menores de 15 años, según Estado Nutricional debe ser igual al Total de gestantes en Control de esa edad en Sección B. </v>
      </c>
      <c r="CC62" s="1328" t="str">
        <f>IF($C$38&lt;&gt;$F62,"* Las gestantes 15-19 años, según Estado Nutricional debe ser igual al Total de gestantes en Control de esa edad en Sección B. ","")</f>
        <v xml:space="preserve">* Las gestantes 15-19 años, según Estado Nutricional debe ser igual al Total de gestantes en Control de esa edad en Sección B. </v>
      </c>
      <c r="CD62" s="1328" t="str">
        <f>IF($C$39&lt;&gt;$G62,"* Las gestantes20-24 años, según Estado Nutricional debe ser igual al Total de gestantes en Control de esa edad en Sección B. ","")</f>
        <v xml:space="preserve">* Las gestantes20-24 años, según Estado Nutricional debe ser igual al Total de gestantes en Control de esa edad en Sección B. </v>
      </c>
      <c r="CE62" s="1328" t="str">
        <f>IF($C$40&lt;&gt;$H62,"* Las gestantes 25-29 años, según Estado Nutricional debe ser igual al Total de gestantes en Control de esa edad en Sección B. ","")</f>
        <v xml:space="preserve">* Las gestantes 25-29 años, según Estado Nutricional debe ser igual al Total de gestantes en Control de esa edad en Sección B. </v>
      </c>
      <c r="CF62" s="1328" t="str">
        <f>IF($C$41&lt;&gt;$I62,"* Las gestantes30-34 años, según Estado Nutricional debe ser igual al Total de gestantes en Control de esa edad en Sección B. ","")</f>
        <v xml:space="preserve">* Las gestantes30-34 años, según Estado Nutricional debe ser igual al Total de gestantes en Control de esa edad en Sección B. </v>
      </c>
      <c r="CG62" s="1328" t="str">
        <f>IF($C$42&lt;&gt;$J62,"* Las gestantes 35-39 años, según Estado Nutricional debe ser igual al Total de gestantes en Control de esa edad en Sección B. ","")</f>
        <v xml:space="preserve">* Las gestantes 35-39 años, según Estado Nutricional debe ser igual al Total de gestantes en Control de esa edad en Sección B. </v>
      </c>
      <c r="CH62" s="1328" t="str">
        <f>IF($C$43&lt;&gt;$K62,"* Las gestantes 40-44 años, según Estado Nutricional debe ser igual al Total de gestantes en Control de esa edad en Sección B. ","")</f>
        <v xml:space="preserve">* Las gestantes 40-44 años, según Estado Nutricional debe ser igual al Total de gestantes en Control de esa edad en Sección B. </v>
      </c>
      <c r="CI62" s="1328" t="str">
        <f>IF($C$44&lt;&gt;$L62,"* Las gestantes 45-49 años, según Estado Nutricional debe ser igual al Total de gestantes en Control de esa edad en Sección B. ","")</f>
        <v xml:space="preserve">* Las gestantes 45-49 años, según Estado Nutricional debe ser igual al Total de gestantes en Control de esa edad en Sección B. </v>
      </c>
      <c r="CJ62" s="1328" t="str">
        <f>IF($C$45&lt;&gt;$M62,"* Las gestantes 50-54 años, según Estado Nutricional debe ser igual al Total de gestantes en Control de esa edad en Sección B. ","")</f>
        <v xml:space="preserve">* Las gestantes 50-54 años, según Estado Nutricional debe ser igual al Total de gestantes en Control de esa edad en Sección B. </v>
      </c>
      <c r="DB62" s="486">
        <f>IF($C$37&lt;&gt;$E62,1,0)</f>
        <v>1</v>
      </c>
      <c r="DC62" s="486">
        <f>IF($C$38&lt;&gt;$F62,1,0)</f>
        <v>1</v>
      </c>
      <c r="DD62" s="486">
        <f>IF($C$39&lt;&gt;$G62,1,0)</f>
        <v>1</v>
      </c>
      <c r="DE62" s="486">
        <f>IF($C$40&lt;&gt;$H62,1,0)</f>
        <v>1</v>
      </c>
      <c r="DF62" s="486">
        <f>IF($C$41&lt;&gt;$I62,1,0)</f>
        <v>1</v>
      </c>
      <c r="DG62" s="486">
        <f>IF($C$42&lt;&gt;$J62,1,0)</f>
        <v>1</v>
      </c>
      <c r="DH62" s="486">
        <f>IF($C$43&lt;&gt;$K62,1,0)</f>
        <v>1</v>
      </c>
      <c r="DI62" s="486">
        <f>IF($C$44&lt;&gt;$L62,1,0)</f>
        <v>1</v>
      </c>
      <c r="DJ62" s="486">
        <f>IF($C$45&lt;&gt;$M62,1,0)</f>
        <v>1</v>
      </c>
    </row>
    <row r="63" spans="1:114" ht="18.75" customHeight="1" x14ac:dyDescent="0.2">
      <c r="A63" s="1766" t="s">
        <v>827</v>
      </c>
      <c r="B63" s="1846" t="s">
        <v>56</v>
      </c>
      <c r="C63" s="86" t="s">
        <v>52</v>
      </c>
      <c r="D63" s="797" t="s">
        <v>1384</v>
      </c>
      <c r="E63" s="731" t="s">
        <v>1385</v>
      </c>
      <c r="F63" s="733" t="s">
        <v>1386</v>
      </c>
      <c r="G63" s="733" t="s">
        <v>1387</v>
      </c>
      <c r="H63" s="733" t="s">
        <v>1388</v>
      </c>
      <c r="I63" s="733" t="s">
        <v>1389</v>
      </c>
      <c r="J63" s="733" t="s">
        <v>1390</v>
      </c>
      <c r="K63" s="733" t="s">
        <v>1391</v>
      </c>
      <c r="L63" s="733" t="s">
        <v>1392</v>
      </c>
      <c r="M63" s="737" t="s">
        <v>1393</v>
      </c>
      <c r="N63" s="457" t="str">
        <f t="shared" si="32"/>
        <v/>
      </c>
    </row>
    <row r="64" spans="1:114" ht="18.75" customHeight="1" x14ac:dyDescent="0.2">
      <c r="A64" s="1766" t="s">
        <v>828</v>
      </c>
      <c r="B64" s="1892"/>
      <c r="C64" s="87" t="s">
        <v>53</v>
      </c>
      <c r="D64" s="798" t="s">
        <v>1384</v>
      </c>
      <c r="E64" s="828" t="s">
        <v>1385</v>
      </c>
      <c r="F64" s="752" t="s">
        <v>1386</v>
      </c>
      <c r="G64" s="752" t="s">
        <v>1387</v>
      </c>
      <c r="H64" s="752" t="s">
        <v>1388</v>
      </c>
      <c r="I64" s="752" t="s">
        <v>1389</v>
      </c>
      <c r="J64" s="752" t="s">
        <v>1390</v>
      </c>
      <c r="K64" s="752" t="s">
        <v>1391</v>
      </c>
      <c r="L64" s="752" t="s">
        <v>1392</v>
      </c>
      <c r="M64" s="755" t="s">
        <v>1393</v>
      </c>
      <c r="N64" s="457" t="str">
        <f t="shared" si="32"/>
        <v/>
      </c>
    </row>
    <row r="65" spans="1:106" ht="18.75" customHeight="1" x14ac:dyDescent="0.2">
      <c r="A65" s="1766" t="s">
        <v>829</v>
      </c>
      <c r="B65" s="1892"/>
      <c r="C65" s="87" t="s">
        <v>54</v>
      </c>
      <c r="D65" s="798" t="s">
        <v>1384</v>
      </c>
      <c r="E65" s="828" t="s">
        <v>1385</v>
      </c>
      <c r="F65" s="752" t="s">
        <v>1386</v>
      </c>
      <c r="G65" s="752" t="s">
        <v>1387</v>
      </c>
      <c r="H65" s="752" t="s">
        <v>1388</v>
      </c>
      <c r="I65" s="752" t="s">
        <v>1389</v>
      </c>
      <c r="J65" s="752" t="s">
        <v>1390</v>
      </c>
      <c r="K65" s="752" t="s">
        <v>1391</v>
      </c>
      <c r="L65" s="752" t="s">
        <v>1392</v>
      </c>
      <c r="M65" s="755" t="s">
        <v>1393</v>
      </c>
      <c r="N65" s="457" t="str">
        <f t="shared" si="32"/>
        <v/>
      </c>
    </row>
    <row r="66" spans="1:106" ht="18.75" customHeight="1" x14ac:dyDescent="0.2">
      <c r="A66" s="1766" t="s">
        <v>830</v>
      </c>
      <c r="B66" s="1892"/>
      <c r="C66" s="88" t="s">
        <v>55</v>
      </c>
      <c r="D66" s="799" t="s">
        <v>1384</v>
      </c>
      <c r="E66" s="771" t="s">
        <v>1385</v>
      </c>
      <c r="F66" s="741" t="s">
        <v>1386</v>
      </c>
      <c r="G66" s="741" t="s">
        <v>1387</v>
      </c>
      <c r="H66" s="741" t="s">
        <v>1388</v>
      </c>
      <c r="I66" s="741" t="s">
        <v>1389</v>
      </c>
      <c r="J66" s="741" t="s">
        <v>1390</v>
      </c>
      <c r="K66" s="741" t="s">
        <v>1391</v>
      </c>
      <c r="L66" s="741" t="s">
        <v>1392</v>
      </c>
      <c r="M66" s="763" t="s">
        <v>1393</v>
      </c>
      <c r="N66" s="457" t="str">
        <f t="shared" si="32"/>
        <v/>
      </c>
    </row>
    <row r="67" spans="1:106" ht="24.75" customHeight="1" x14ac:dyDescent="0.15">
      <c r="A67" s="1767"/>
      <c r="B67" s="1847"/>
      <c r="C67" s="83" t="s">
        <v>15</v>
      </c>
      <c r="D67" s="801">
        <f>SUM(E67:M67)</f>
        <v>0</v>
      </c>
      <c r="E67" s="1491">
        <f>SUM(E63:E66)</f>
        <v>0</v>
      </c>
      <c r="F67" s="1492">
        <f>SUM(F63:F66)</f>
        <v>0</v>
      </c>
      <c r="G67" s="1492">
        <f t="shared" ref="G67:M67" si="34">SUM(G63:G66)</f>
        <v>0</v>
      </c>
      <c r="H67" s="1492">
        <f>SUM(H63:H66)</f>
        <v>0</v>
      </c>
      <c r="I67" s="1492">
        <f t="shared" si="34"/>
        <v>0</v>
      </c>
      <c r="J67" s="1492">
        <f t="shared" si="34"/>
        <v>0</v>
      </c>
      <c r="K67" s="1492">
        <f>SUM(K63:K66)</f>
        <v>0</v>
      </c>
      <c r="L67" s="1492">
        <f t="shared" si="34"/>
        <v>0</v>
      </c>
      <c r="M67" s="1488">
        <f t="shared" si="34"/>
        <v>0</v>
      </c>
      <c r="N67" s="457"/>
    </row>
    <row r="68" spans="1:106" ht="24.75" customHeight="1" x14ac:dyDescent="0.2">
      <c r="B68" s="618" t="s">
        <v>57</v>
      </c>
      <c r="C68" s="615"/>
      <c r="D68" s="615"/>
      <c r="E68" s="615"/>
      <c r="F68" s="615"/>
      <c r="G68" s="615"/>
      <c r="H68" s="615"/>
      <c r="I68" s="615"/>
      <c r="J68" s="615"/>
      <c r="K68" s="615"/>
      <c r="L68" s="615"/>
      <c r="M68" s="615"/>
    </row>
    <row r="69" spans="1:106" ht="24" customHeight="1" x14ac:dyDescent="0.15">
      <c r="B69" s="437" t="s">
        <v>58</v>
      </c>
      <c r="C69" s="432" t="s">
        <v>15</v>
      </c>
      <c r="D69" s="461"/>
      <c r="E69" s="73"/>
      <c r="F69" s="73"/>
      <c r="G69" s="73"/>
      <c r="H69" s="90"/>
      <c r="I69" s="90"/>
    </row>
    <row r="70" spans="1:106" ht="24.75" customHeight="1" x14ac:dyDescent="0.2">
      <c r="A70" s="1766" t="s">
        <v>831</v>
      </c>
      <c r="B70" s="91" t="s">
        <v>59</v>
      </c>
      <c r="C70" s="792" t="s">
        <v>1384</v>
      </c>
      <c r="D70" s="457" t="str">
        <f>($CB70&amp;$CC70&amp;$CD70&amp;$CE70&amp;$CF70&amp;$CG70&amp;$CH70&amp;$CI70&amp;$CJ70&amp;$CK70&amp;$CM70&amp;$CN70&amp;$CO70&amp;$CP70&amp;$CQ70&amp;$CR70&amp;$CS70&amp;$CT70&amp;$CU70&amp;$CV70&amp;$CW70&amp;$CX70&amp;$CY70&amp;$CZ70&amp;$DA70)</f>
        <v/>
      </c>
      <c r="E70" s="90"/>
      <c r="F70" s="90"/>
      <c r="G70" s="90"/>
      <c r="H70" s="90"/>
      <c r="I70" s="90"/>
      <c r="CB70" s="1328" t="str">
        <f>IF($C$70&lt;=$D$61,"","* Gestantes malnutricion no debe ser mayor que Gestantes en Control Bajo Peso (Seccion D). ")</f>
        <v/>
      </c>
      <c r="DB70" s="486">
        <f>IF($C$70&lt;=$D$61,0,1)</f>
        <v>0</v>
      </c>
    </row>
    <row r="71" spans="1:106" ht="24.75" customHeight="1" x14ac:dyDescent="0.2">
      <c r="A71" s="1766" t="s">
        <v>832</v>
      </c>
      <c r="B71" s="93" t="s">
        <v>60</v>
      </c>
      <c r="C71" s="793" t="s">
        <v>1384</v>
      </c>
      <c r="D71" s="457" t="str">
        <f>($CB71&amp;$CC71&amp;$CD71&amp;$CE71&amp;$CF71&amp;$CG71&amp;$CH71&amp;$CI71&amp;$CJ71&amp;$CK71&amp;$CM71&amp;$CN71&amp;$CO71&amp;$CP71&amp;$CQ71&amp;$CR71&amp;$CS71&amp;$CT71&amp;$CU71&amp;$CV71&amp;$CW71&amp;$CX71&amp;$CY71&amp;$CZ71&amp;$DA71)</f>
        <v/>
      </c>
      <c r="E71" s="90"/>
      <c r="F71" s="90"/>
      <c r="G71" s="90"/>
      <c r="H71" s="90"/>
      <c r="I71" s="90"/>
      <c r="CB71" s="1328" t="str">
        <f>IF($C$71&lt;=$D$58,"","* Gestantes malnutricion no debe ser mayor que Gestantes en Control Obesa (Seccion D). ")</f>
        <v/>
      </c>
      <c r="DB71" s="486">
        <f>IF($C$71&lt;=$D$58,0,1)</f>
        <v>0</v>
      </c>
    </row>
    <row r="72" spans="1:106" ht="24.75" customHeight="1" x14ac:dyDescent="0.2">
      <c r="A72" s="1766" t="s">
        <v>833</v>
      </c>
      <c r="B72" s="93" t="s">
        <v>61</v>
      </c>
      <c r="C72" s="793" t="s">
        <v>1384</v>
      </c>
      <c r="D72" s="457" t="str">
        <f>($CB72&amp;$CC72&amp;$CD72&amp;$CE72&amp;$CF72&amp;$CG72&amp;$CH72&amp;$CI72&amp;$CJ72&amp;$CK72&amp;$CM72&amp;$CN72&amp;$CO72&amp;$CP72&amp;$CQ72&amp;$CR72&amp;$CS72&amp;$CT72&amp;$CU72&amp;$CV72&amp;$CW72&amp;$CX72&amp;$CY72&amp;$CZ72&amp;$DA72)</f>
        <v/>
      </c>
      <c r="E72" s="90"/>
      <c r="F72" s="90"/>
      <c r="G72" s="90"/>
      <c r="H72" s="90"/>
      <c r="I72" s="90"/>
      <c r="CB72" s="1328" t="str">
        <f>IF($C$72&lt;=$D$59,"","* Gestantes malnutricion no debe ser mayor que Gestantes en Control Sobrepeso (Seccion D). ")</f>
        <v/>
      </c>
      <c r="DB72" s="486">
        <f>IF($C$72&lt;=$D$59,0,1)</f>
        <v>0</v>
      </c>
    </row>
    <row r="73" spans="1:106" ht="24.75" customHeight="1" x14ac:dyDescent="0.2">
      <c r="A73" s="1766" t="s">
        <v>834</v>
      </c>
      <c r="B73" s="93" t="s">
        <v>62</v>
      </c>
      <c r="C73" s="793" t="s">
        <v>1384</v>
      </c>
      <c r="D73" s="457" t="str">
        <f>($CB73&amp;$CC73&amp;$CD73&amp;$CE73&amp;$CF73&amp;$CG73&amp;$CH73&amp;$CI73&amp;$CJ73&amp;$CK73&amp;$CM73&amp;$CN73&amp;$CO73&amp;$CP73&amp;$CQ73&amp;$CR73&amp;$CS73&amp;$CT73&amp;$CU73&amp;$CV73&amp;$CW73&amp;$CX73&amp;$CY73&amp;$CZ73&amp;$DA73)</f>
        <v/>
      </c>
      <c r="E73" s="90"/>
      <c r="F73" s="90"/>
      <c r="G73" s="90"/>
      <c r="H73" s="90"/>
      <c r="I73" s="90"/>
    </row>
    <row r="74" spans="1:106" ht="24.75" customHeight="1" x14ac:dyDescent="0.2">
      <c r="A74" s="1766" t="s">
        <v>835</v>
      </c>
      <c r="B74" s="94" t="s">
        <v>63</v>
      </c>
      <c r="C74" s="795" t="s">
        <v>1384</v>
      </c>
      <c r="D74" s="457" t="str">
        <f>($CB74&amp;$CC74&amp;$CD74&amp;$CE74&amp;$CF74&amp;$CG74&amp;$CH74&amp;$CI74&amp;$CJ74&amp;$CK74&amp;$CM74&amp;$CN74&amp;$CO74&amp;$CP74&amp;$CQ74&amp;$CR74&amp;$CS74&amp;$CT74&amp;$CU74&amp;$CV74&amp;$CW74&amp;$CX74&amp;$CY74&amp;$CZ74&amp;$DA74)</f>
        <v/>
      </c>
      <c r="E74" s="90"/>
      <c r="F74" s="90"/>
      <c r="G74" s="90"/>
      <c r="H74" s="90"/>
      <c r="I74" s="90"/>
    </row>
    <row r="75" spans="1:106" ht="28.5" customHeight="1" x14ac:dyDescent="0.2">
      <c r="A75" s="1786"/>
      <c r="B75" s="1880" t="s">
        <v>64</v>
      </c>
      <c r="C75" s="1881"/>
      <c r="D75" s="1881"/>
      <c r="E75" s="1881"/>
      <c r="F75" s="1881"/>
      <c r="G75" s="90"/>
      <c r="H75" s="90"/>
      <c r="I75" s="72"/>
    </row>
    <row r="76" spans="1:106" ht="33.75" customHeight="1" x14ac:dyDescent="0.2">
      <c r="A76" s="1809"/>
      <c r="B76" s="431" t="s">
        <v>65</v>
      </c>
      <c r="C76" s="432" t="s">
        <v>66</v>
      </c>
      <c r="D76" s="73"/>
      <c r="E76" s="95"/>
      <c r="F76" s="73"/>
      <c r="G76" s="73"/>
      <c r="H76" s="90"/>
      <c r="I76" s="90"/>
    </row>
    <row r="77" spans="1:106" ht="21" customHeight="1" x14ac:dyDescent="0.2">
      <c r="A77" s="1766" t="s">
        <v>836</v>
      </c>
      <c r="B77" s="96" t="s">
        <v>67</v>
      </c>
      <c r="C77" s="802" t="s">
        <v>1384</v>
      </c>
      <c r="D77" s="457" t="str">
        <f>($CB77&amp;$CC77&amp;$CD77&amp;$CE77&amp;$CF77&amp;$CG77&amp;$CH77&amp;$CI77&amp;$CJ77&amp;$CK77&amp;$CM77&amp;$CN77&amp;$CO77&amp;$CP77&amp;$CQ77&amp;$CR77&amp;$CS77&amp;$CT77&amp;$CU77&amp;$CV77&amp;$CW77&amp;$CX77&amp;$CY77&amp;$CZ77&amp;$DA77)</f>
        <v/>
      </c>
      <c r="E77" s="90"/>
      <c r="F77" s="90"/>
      <c r="G77" s="90"/>
      <c r="H77" s="90"/>
      <c r="I77" s="90"/>
    </row>
    <row r="78" spans="1:106" ht="24.75" customHeight="1" x14ac:dyDescent="0.2">
      <c r="A78" s="1766" t="s">
        <v>837</v>
      </c>
      <c r="B78" s="366" t="s">
        <v>68</v>
      </c>
      <c r="C78" s="750" t="s">
        <v>1384</v>
      </c>
      <c r="D78" s="457" t="str">
        <f>($CB78&amp;$CC78&amp;$CD78&amp;$CE78&amp;$CF78&amp;$CG78&amp;$CH78&amp;$CI78&amp;$CJ78&amp;$CK78&amp;$CM78&amp;$CN78&amp;$CO78&amp;$CP78&amp;$CQ78&amp;$CR78&amp;$CS78&amp;$CT78&amp;$CU78&amp;$CV78&amp;$CW78&amp;$CX78&amp;$CY78&amp;$CZ78&amp;$DA78)</f>
        <v/>
      </c>
      <c r="E78" s="90"/>
      <c r="F78" s="90"/>
      <c r="G78" s="90"/>
      <c r="H78" s="90"/>
      <c r="I78" s="90"/>
      <c r="CB78" s="1328" t="str">
        <f>IF($C78&gt;$C77,"* El Nº de mujeres con pauta aplicada MRS no debe ser mayor a la población de mujeres en control por climaterio. ","")</f>
        <v/>
      </c>
      <c r="DB78" s="486">
        <f>IF($C78&gt;$C77,1,0)</f>
        <v>0</v>
      </c>
    </row>
    <row r="79" spans="1:106" ht="22.5" customHeight="1" x14ac:dyDescent="0.2">
      <c r="A79" s="1766" t="s">
        <v>838</v>
      </c>
      <c r="B79" s="1680" t="s">
        <v>748</v>
      </c>
      <c r="C79" s="767" t="s">
        <v>1384</v>
      </c>
      <c r="D79" s="457" t="str">
        <f>($CB79&amp;$CC79&amp;$CD79&amp;$CE79&amp;$CF79&amp;$CG79&amp;$CH79&amp;$CI79&amp;$CJ79&amp;$CK79&amp;$CM79&amp;$CN79&amp;$CO79&amp;$CP79&amp;$CQ79&amp;$CR79&amp;$CS79&amp;$CT79&amp;$CU79&amp;$CV79&amp;$CW79&amp;$CX79&amp;$CY79&amp;$CZ79&amp;$DA79)</f>
        <v/>
      </c>
      <c r="E79" s="90"/>
      <c r="F79" s="90"/>
      <c r="G79" s="90"/>
      <c r="H79" s="90"/>
      <c r="I79" s="90"/>
      <c r="CB79" s="1328" t="str">
        <f>IF($C79&gt;$C78,"* El Nº de mujeres con puntaje elevado de MRS no debe ser mayor al Nº de mujeres con pauta aplicada MRS. ","")</f>
        <v/>
      </c>
      <c r="DB79" s="486">
        <f>IF($C79&gt;$C78,1,0)</f>
        <v>0</v>
      </c>
    </row>
    <row r="80" spans="1:106" ht="32.25" customHeight="1" x14ac:dyDescent="0.2">
      <c r="A80" s="1766" t="s">
        <v>839</v>
      </c>
      <c r="B80" s="367" t="s">
        <v>69</v>
      </c>
      <c r="C80" s="755" t="s">
        <v>1384</v>
      </c>
      <c r="D80" s="457" t="str">
        <f>($CB80&amp;$CC80&amp;$CD80&amp;$CE80&amp;$CF80&amp;$CG80&amp;$CH80&amp;$CI80&amp;$CJ80&amp;$CK80&amp;$CM80&amp;$CN80&amp;$CO80&amp;$CP80&amp;$CQ80&amp;$CR80&amp;$CS80&amp;$CT80&amp;$CU80&amp;$CV80&amp;$CW80&amp;$CX80&amp;$CY80&amp;$CZ80&amp;$DA80)</f>
        <v/>
      </c>
      <c r="E80" s="90"/>
      <c r="F80" s="90"/>
      <c r="G80" s="90"/>
      <c r="H80" s="90"/>
      <c r="I80" s="90"/>
      <c r="CB80" s="1328" t="str">
        <f>IF($C80&gt;$C79,"* El Nº de mujeres con aplicación de terapia hormonal de reemplazo según MRS no debe ser mayor que el numero de mujeres con puntaje elevado de MRS. ","")</f>
        <v/>
      </c>
      <c r="DB80" s="486">
        <f>IF($C80&gt;$C79,1,0)</f>
        <v>0</v>
      </c>
    </row>
    <row r="81" spans="1:131" ht="21.75" customHeight="1" x14ac:dyDescent="0.2">
      <c r="A81" s="1768" t="s">
        <v>840</v>
      </c>
      <c r="B81" s="375" t="s">
        <v>569</v>
      </c>
      <c r="C81" s="745" t="s">
        <v>1384</v>
      </c>
      <c r="D81" s="457" t="str">
        <f>($CB81&amp;$CC81&amp;$CD81&amp;$CE81&amp;$CF81&amp;$CG81&amp;$CH81&amp;$CI81&amp;$CJ81&amp;$CK81&amp;$CM81&amp;$CN81&amp;$CO81&amp;$CP81&amp;$CQ81&amp;$CR81&amp;$CS81&amp;$CT81&amp;$CU81&amp;$CV81&amp;$CW81&amp;$CX81&amp;$CY81&amp;$CZ81&amp;$DA81)</f>
        <v/>
      </c>
      <c r="E81" s="90"/>
      <c r="F81" s="90"/>
      <c r="G81" s="90"/>
      <c r="H81" s="90"/>
      <c r="I81" s="90"/>
    </row>
    <row r="82" spans="1:131" ht="24.75" customHeight="1" x14ac:dyDescent="0.15">
      <c r="B82" s="1887" t="s">
        <v>70</v>
      </c>
      <c r="C82" s="1887"/>
      <c r="D82" s="97"/>
      <c r="E82" s="90"/>
      <c r="F82" s="90"/>
      <c r="G82" s="90"/>
      <c r="H82" s="90"/>
      <c r="I82" s="90"/>
    </row>
    <row r="83" spans="1:131" ht="24.75" customHeight="1" x14ac:dyDescent="0.2">
      <c r="B83" s="616" t="s">
        <v>535</v>
      </c>
      <c r="C83" s="619"/>
      <c r="D83" s="603"/>
      <c r="E83" s="603"/>
      <c r="F83" s="603"/>
      <c r="G83" s="603"/>
      <c r="H83" s="603"/>
      <c r="I83" s="603"/>
      <c r="J83" s="603"/>
      <c r="K83" s="603"/>
      <c r="L83" s="614"/>
      <c r="M83" s="614"/>
      <c r="N83" s="614"/>
      <c r="O83" s="614"/>
    </row>
    <row r="84" spans="1:131" ht="24.75" customHeight="1" x14ac:dyDescent="0.15">
      <c r="B84" s="1915" t="s">
        <v>14</v>
      </c>
      <c r="C84" s="1916"/>
      <c r="D84" s="1919" t="s">
        <v>15</v>
      </c>
      <c r="E84" s="1912" t="s">
        <v>16</v>
      </c>
      <c r="F84" s="1913"/>
      <c r="G84" s="1913"/>
      <c r="H84" s="1913"/>
      <c r="I84" s="1914"/>
      <c r="J84" s="1921" t="s">
        <v>17</v>
      </c>
      <c r="K84" s="1923" t="s">
        <v>527</v>
      </c>
      <c r="U84" s="462"/>
    </row>
    <row r="85" spans="1:131" ht="24.75" customHeight="1" x14ac:dyDescent="0.15">
      <c r="B85" s="1917"/>
      <c r="C85" s="1918"/>
      <c r="D85" s="1920"/>
      <c r="E85" s="376" t="s">
        <v>542</v>
      </c>
      <c r="F85" s="377" t="s">
        <v>25</v>
      </c>
      <c r="G85" s="377" t="s">
        <v>26</v>
      </c>
      <c r="H85" s="378" t="s">
        <v>543</v>
      </c>
      <c r="I85" s="378" t="s">
        <v>235</v>
      </c>
      <c r="J85" s="1922"/>
      <c r="K85" s="1924"/>
      <c r="U85" s="462"/>
    </row>
    <row r="86" spans="1:131" ht="18" customHeight="1" x14ac:dyDescent="0.2">
      <c r="A86" s="1766" t="s">
        <v>841</v>
      </c>
      <c r="B86" s="1907" t="s">
        <v>536</v>
      </c>
      <c r="C86" s="1908"/>
      <c r="D86" s="803" t="s">
        <v>1384</v>
      </c>
      <c r="E86" s="804" t="s">
        <v>1385</v>
      </c>
      <c r="F86" s="805" t="s">
        <v>1386</v>
      </c>
      <c r="G86" s="805" t="s">
        <v>1387</v>
      </c>
      <c r="H86" s="805" t="s">
        <v>1388</v>
      </c>
      <c r="I86" s="805" t="s">
        <v>1389</v>
      </c>
      <c r="J86" s="1468" t="s">
        <v>1390</v>
      </c>
      <c r="K86" s="806" t="s">
        <v>1391</v>
      </c>
      <c r="L86" s="457" t="str">
        <f t="shared" ref="L86:L91" si="35">($CB86&amp;$CC86&amp;$CD86&amp;$CE86&amp;$CF86&amp;$CG86&amp;$CH86&amp;$CI86&amp;$CJ86&amp;$CK86&amp;$CM86&amp;$CN86&amp;$CO86&amp;$CP86&amp;$CQ86&amp;$CR86&amp;$CS86&amp;$CT86&amp;$CU86&amp;$CV86&amp;$CW86&amp;$CX86&amp;$CY86&amp;$CZ86&amp;$DA86)</f>
        <v xml:space="preserve">* La celda 'Pueblos Originarios' debe ser menor o igual al Total en control. * La celda 'Población Migrantes' debe ser menor o igual al Total en control. </v>
      </c>
      <c r="U86" s="462"/>
      <c r="CB86" s="1328" t="str">
        <f t="shared" ref="CB86:CB91" si="36">IF($J86&gt;$D86,"* La celda 'Pueblos Originarios' debe ser menor o igual al Total en control. ","")</f>
        <v xml:space="preserve">* La celda 'Pueblos Originarios' debe ser menor o igual al Total en control. </v>
      </c>
      <c r="CC86" s="1328" t="str">
        <f t="shared" ref="CC86:CC91" si="37">IF($K86&gt;$D86,"* La celda 'Población Migrantes' debe ser menor o igual al Total en control. ","")</f>
        <v xml:space="preserve">* La celda 'Población Migrantes' debe ser menor o igual al Total en control. </v>
      </c>
      <c r="CD86" s="1328" t="str">
        <f t="shared" ref="CD86:CD91" si="38">IF(AND($D86&lt;&gt;0,$J86=""),"* No olvide escribir en la celda de 'Pueblos Originarios' (Digite CERO si no tiene). ","")</f>
        <v/>
      </c>
      <c r="CE86" s="1328" t="str">
        <f t="shared" ref="CE86:CE91" si="39">IF(AND($D86&lt;&gt;0,$K86=""),"* No olvide escribir en la celda de 'Población Migrantes' (Digite CERO si no tiene). ","")</f>
        <v/>
      </c>
      <c r="DB86" s="486">
        <f t="shared" ref="DB86:DB91" si="40">IF($J86&gt;$D86,1,0)</f>
        <v>1</v>
      </c>
      <c r="DC86" s="486">
        <f t="shared" ref="DC86:DC91" si="41">IF($K86&gt;$D86,1,0)</f>
        <v>1</v>
      </c>
      <c r="DD86" s="486">
        <f t="shared" ref="DD86:DD91" si="42">IF(AND($D86&lt;&gt;0,$J86=""),1,0)</f>
        <v>0</v>
      </c>
      <c r="DE86" s="486">
        <f t="shared" ref="DE86:DE91" si="43">IF(AND($D86&lt;&gt;0,$K86=""),1,0)</f>
        <v>0</v>
      </c>
    </row>
    <row r="87" spans="1:131" ht="18" customHeight="1" x14ac:dyDescent="0.2">
      <c r="A87" s="1766" t="s">
        <v>842</v>
      </c>
      <c r="B87" s="379" t="s">
        <v>537</v>
      </c>
      <c r="C87" s="380"/>
      <c r="D87" s="807" t="s">
        <v>1384</v>
      </c>
      <c r="E87" s="808" t="s">
        <v>1385</v>
      </c>
      <c r="F87" s="808" t="s">
        <v>1386</v>
      </c>
      <c r="G87" s="809" t="s">
        <v>1387</v>
      </c>
      <c r="H87" s="809" t="s">
        <v>1388</v>
      </c>
      <c r="I87" s="809" t="s">
        <v>1389</v>
      </c>
      <c r="J87" s="1469" t="s">
        <v>1390</v>
      </c>
      <c r="K87" s="810" t="s">
        <v>1391</v>
      </c>
      <c r="L87" s="457" t="str">
        <f t="shared" si="35"/>
        <v xml:space="preserve">* La celda 'Pueblos Originarios' debe ser menor o igual al Total en control. * La celda 'Población Migrantes' debe ser menor o igual al Total en control. </v>
      </c>
      <c r="U87" s="462"/>
      <c r="CB87" s="1328" t="str">
        <f t="shared" si="36"/>
        <v xml:space="preserve">* La celda 'Pueblos Originarios' debe ser menor o igual al Total en control. </v>
      </c>
      <c r="CC87" s="1328" t="str">
        <f t="shared" si="37"/>
        <v xml:space="preserve">* La celda 'Población Migrantes' debe ser menor o igual al Total en control. </v>
      </c>
      <c r="CD87" s="1328" t="str">
        <f t="shared" si="38"/>
        <v/>
      </c>
      <c r="CE87" s="1328" t="str">
        <f t="shared" si="39"/>
        <v/>
      </c>
      <c r="DB87" s="486">
        <f t="shared" si="40"/>
        <v>1</v>
      </c>
      <c r="DC87" s="486">
        <f t="shared" si="41"/>
        <v>1</v>
      </c>
      <c r="DD87" s="486">
        <f t="shared" si="42"/>
        <v>0</v>
      </c>
      <c r="DE87" s="486">
        <f t="shared" si="43"/>
        <v>0</v>
      </c>
    </row>
    <row r="88" spans="1:131" ht="18" customHeight="1" x14ac:dyDescent="0.2">
      <c r="A88" s="1766" t="s">
        <v>843</v>
      </c>
      <c r="B88" s="1931" t="s">
        <v>538</v>
      </c>
      <c r="C88" s="1932"/>
      <c r="D88" s="811" t="s">
        <v>1384</v>
      </c>
      <c r="E88" s="812" t="s">
        <v>1385</v>
      </c>
      <c r="F88" s="812" t="s">
        <v>1386</v>
      </c>
      <c r="G88" s="812" t="s">
        <v>1387</v>
      </c>
      <c r="H88" s="812" t="s">
        <v>1388</v>
      </c>
      <c r="I88" s="812" t="s">
        <v>1389</v>
      </c>
      <c r="J88" s="1470" t="s">
        <v>1390</v>
      </c>
      <c r="K88" s="813" t="s">
        <v>1391</v>
      </c>
      <c r="L88" s="457" t="str">
        <f t="shared" si="35"/>
        <v xml:space="preserve">* La celda 'Pueblos Originarios' debe ser menor o igual al Total en control. * La celda 'Población Migrantes' debe ser menor o igual al Total en control. </v>
      </c>
      <c r="U88" s="462"/>
      <c r="CB88" s="1328" t="str">
        <f t="shared" si="36"/>
        <v xml:space="preserve">* La celda 'Pueblos Originarios' debe ser menor o igual al Total en control. </v>
      </c>
      <c r="CC88" s="1328" t="str">
        <f t="shared" si="37"/>
        <v xml:space="preserve">* La celda 'Población Migrantes' debe ser menor o igual al Total en control. </v>
      </c>
      <c r="CD88" s="1328" t="str">
        <f t="shared" si="38"/>
        <v/>
      </c>
      <c r="CE88" s="1328" t="str">
        <f t="shared" si="39"/>
        <v/>
      </c>
      <c r="DB88" s="486">
        <f t="shared" si="40"/>
        <v>1</v>
      </c>
      <c r="DC88" s="486">
        <f t="shared" si="41"/>
        <v>1</v>
      </c>
      <c r="DD88" s="486">
        <f t="shared" si="42"/>
        <v>0</v>
      </c>
      <c r="DE88" s="486">
        <f t="shared" si="43"/>
        <v>0</v>
      </c>
    </row>
    <row r="89" spans="1:131" ht="18" customHeight="1" x14ac:dyDescent="0.2">
      <c r="A89" s="1766" t="s">
        <v>844</v>
      </c>
      <c r="B89" s="1933" t="s">
        <v>539</v>
      </c>
      <c r="C89" s="1934"/>
      <c r="D89" s="807" t="s">
        <v>1384</v>
      </c>
      <c r="E89" s="808" t="s">
        <v>1385</v>
      </c>
      <c r="F89" s="808" t="s">
        <v>1386</v>
      </c>
      <c r="G89" s="808" t="s">
        <v>1387</v>
      </c>
      <c r="H89" s="808" t="s">
        <v>1388</v>
      </c>
      <c r="I89" s="808" t="s">
        <v>1389</v>
      </c>
      <c r="J89" s="1469" t="s">
        <v>1390</v>
      </c>
      <c r="K89" s="810" t="s">
        <v>1391</v>
      </c>
      <c r="L89" s="457" t="str">
        <f t="shared" si="35"/>
        <v xml:space="preserve">* La celda 'Pueblos Originarios' debe ser menor o igual al Total en control. * La celda 'Población Migrantes' debe ser menor o igual al Total en control. </v>
      </c>
      <c r="U89" s="462"/>
      <c r="CB89" s="1328" t="str">
        <f t="shared" si="36"/>
        <v xml:space="preserve">* La celda 'Pueblos Originarios' debe ser menor o igual al Total en control. </v>
      </c>
      <c r="CC89" s="1328" t="str">
        <f t="shared" si="37"/>
        <v xml:space="preserve">* La celda 'Población Migrantes' debe ser menor o igual al Total en control. </v>
      </c>
      <c r="CD89" s="1328" t="str">
        <f t="shared" si="38"/>
        <v/>
      </c>
      <c r="CE89" s="1328" t="str">
        <f t="shared" si="39"/>
        <v/>
      </c>
      <c r="DB89" s="486">
        <f t="shared" si="40"/>
        <v>1</v>
      </c>
      <c r="DC89" s="486">
        <f t="shared" si="41"/>
        <v>1</v>
      </c>
      <c r="DD89" s="486">
        <f t="shared" si="42"/>
        <v>0</v>
      </c>
      <c r="DE89" s="486">
        <f t="shared" si="43"/>
        <v>0</v>
      </c>
    </row>
    <row r="90" spans="1:131" ht="18" customHeight="1" x14ac:dyDescent="0.2">
      <c r="A90" s="1766" t="s">
        <v>845</v>
      </c>
      <c r="B90" s="1933" t="s">
        <v>540</v>
      </c>
      <c r="C90" s="1934"/>
      <c r="D90" s="807" t="s">
        <v>1384</v>
      </c>
      <c r="E90" s="808" t="s">
        <v>1385</v>
      </c>
      <c r="F90" s="808" t="s">
        <v>1386</v>
      </c>
      <c r="G90" s="808" t="s">
        <v>1387</v>
      </c>
      <c r="H90" s="808" t="s">
        <v>1388</v>
      </c>
      <c r="I90" s="808" t="s">
        <v>1389</v>
      </c>
      <c r="J90" s="1469" t="s">
        <v>1390</v>
      </c>
      <c r="K90" s="810" t="s">
        <v>1391</v>
      </c>
      <c r="L90" s="457" t="str">
        <f t="shared" si="35"/>
        <v xml:space="preserve">* La celda 'Pueblos Originarios' debe ser menor o igual al Total en control. * La celda 'Población Migrantes' debe ser menor o igual al Total en control. </v>
      </c>
      <c r="U90" s="462"/>
      <c r="CB90" s="1328" t="str">
        <f t="shared" si="36"/>
        <v xml:space="preserve">* La celda 'Pueblos Originarios' debe ser menor o igual al Total en control. </v>
      </c>
      <c r="CC90" s="1328" t="str">
        <f t="shared" si="37"/>
        <v xml:space="preserve">* La celda 'Población Migrantes' debe ser menor o igual al Total en control. </v>
      </c>
      <c r="CD90" s="1328" t="str">
        <f t="shared" si="38"/>
        <v/>
      </c>
      <c r="CE90" s="1328" t="str">
        <f t="shared" si="39"/>
        <v/>
      </c>
      <c r="DB90" s="486">
        <f t="shared" si="40"/>
        <v>1</v>
      </c>
      <c r="DC90" s="486">
        <f t="shared" si="41"/>
        <v>1</v>
      </c>
      <c r="DD90" s="486">
        <f t="shared" si="42"/>
        <v>0</v>
      </c>
      <c r="DE90" s="486">
        <f t="shared" si="43"/>
        <v>0</v>
      </c>
    </row>
    <row r="91" spans="1:131" ht="18" customHeight="1" x14ac:dyDescent="0.2">
      <c r="A91" s="1766" t="s">
        <v>846</v>
      </c>
      <c r="B91" s="1852" t="s">
        <v>541</v>
      </c>
      <c r="C91" s="1853"/>
      <c r="D91" s="814" t="s">
        <v>1384</v>
      </c>
      <c r="E91" s="815" t="s">
        <v>1385</v>
      </c>
      <c r="F91" s="815" t="s">
        <v>1386</v>
      </c>
      <c r="G91" s="815" t="s">
        <v>1387</v>
      </c>
      <c r="H91" s="815" t="s">
        <v>1388</v>
      </c>
      <c r="I91" s="815" t="s">
        <v>1389</v>
      </c>
      <c r="J91" s="1471" t="s">
        <v>1390</v>
      </c>
      <c r="K91" s="816" t="s">
        <v>1391</v>
      </c>
      <c r="L91" s="457" t="str">
        <f t="shared" si="35"/>
        <v xml:space="preserve">* La celda 'Pueblos Originarios' debe ser menor o igual al Total en control. * La celda 'Población Migrantes' debe ser menor o igual al Total en control. </v>
      </c>
      <c r="U91" s="462"/>
      <c r="CB91" s="1328" t="str">
        <f t="shared" si="36"/>
        <v xml:space="preserve">* La celda 'Pueblos Originarios' debe ser menor o igual al Total en control. </v>
      </c>
      <c r="CC91" s="1328" t="str">
        <f t="shared" si="37"/>
        <v xml:space="preserve">* La celda 'Población Migrantes' debe ser menor o igual al Total en control. </v>
      </c>
      <c r="CD91" s="1328" t="str">
        <f t="shared" si="38"/>
        <v/>
      </c>
      <c r="CE91" s="1328" t="str">
        <f t="shared" si="39"/>
        <v/>
      </c>
      <c r="DB91" s="486">
        <f t="shared" si="40"/>
        <v>1</v>
      </c>
      <c r="DC91" s="486">
        <f t="shared" si="41"/>
        <v>1</v>
      </c>
      <c r="DD91" s="486">
        <f t="shared" si="42"/>
        <v>0</v>
      </c>
      <c r="DE91" s="486">
        <f t="shared" si="43"/>
        <v>0</v>
      </c>
    </row>
    <row r="92" spans="1:131" ht="16.5" customHeight="1" x14ac:dyDescent="0.15">
      <c r="A92" s="1767"/>
      <c r="B92" s="1852" t="s">
        <v>572</v>
      </c>
      <c r="C92" s="1853"/>
      <c r="D92" s="814">
        <f t="shared" ref="D92" si="44">SUM(E92:I92)</f>
        <v>0</v>
      </c>
      <c r="E92" s="817">
        <f>SUM(E86:E91)</f>
        <v>0</v>
      </c>
      <c r="F92" s="817">
        <f t="shared" ref="F92:K92" si="45">SUM(F86:F91)</f>
        <v>0</v>
      </c>
      <c r="G92" s="817">
        <f t="shared" si="45"/>
        <v>0</v>
      </c>
      <c r="H92" s="817">
        <f t="shared" si="45"/>
        <v>0</v>
      </c>
      <c r="I92" s="818">
        <f t="shared" si="45"/>
        <v>0</v>
      </c>
      <c r="J92" s="819">
        <f t="shared" si="45"/>
        <v>0</v>
      </c>
      <c r="K92" s="1467">
        <f t="shared" si="45"/>
        <v>0</v>
      </c>
    </row>
    <row r="93" spans="1:131" ht="27" customHeight="1" x14ac:dyDescent="0.2">
      <c r="B93" s="617" t="s">
        <v>583</v>
      </c>
      <c r="C93" s="614"/>
      <c r="D93" s="614"/>
      <c r="E93" s="614"/>
      <c r="F93" s="614"/>
      <c r="G93" s="614"/>
      <c r="H93" s="614"/>
      <c r="I93" s="614"/>
    </row>
    <row r="94" spans="1:131" ht="67.5" customHeight="1" x14ac:dyDescent="0.15">
      <c r="B94" s="431" t="s">
        <v>65</v>
      </c>
      <c r="C94" s="98" t="s">
        <v>379</v>
      </c>
      <c r="D94" s="99" t="s">
        <v>380</v>
      </c>
      <c r="E94" s="303" t="s">
        <v>381</v>
      </c>
      <c r="F94" s="1448" t="s">
        <v>382</v>
      </c>
      <c r="G94" s="73"/>
      <c r="H94" s="73"/>
      <c r="I94" s="90"/>
      <c r="J94" s="90"/>
      <c r="X94" s="356"/>
      <c r="Y94" s="392"/>
      <c r="BJ94" s="356"/>
      <c r="EA94" s="215"/>
    </row>
    <row r="95" spans="1:131" ht="17.25" customHeight="1" x14ac:dyDescent="0.2">
      <c r="A95" s="1766" t="s">
        <v>847</v>
      </c>
      <c r="B95" s="100" t="s">
        <v>616</v>
      </c>
      <c r="C95" s="732" t="s">
        <v>1384</v>
      </c>
      <c r="D95" s="733" t="s">
        <v>1385</v>
      </c>
      <c r="E95" s="820" t="s">
        <v>1386</v>
      </c>
      <c r="F95" s="792" t="s">
        <v>1387</v>
      </c>
      <c r="G95" s="457" t="e">
        <f>CB95</f>
        <v>#VALUE!</v>
      </c>
      <c r="H95" s="90"/>
      <c r="I95" s="90"/>
      <c r="J95" s="90"/>
      <c r="X95" s="356"/>
      <c r="Y95" s="392"/>
      <c r="BJ95" s="356"/>
      <c r="CB95" s="1328" t="e">
        <f>IF($F95&gt;$C95+$D95+$E95, "* El total de ecografías realizadas en el extrasistema en menores de 15 años, no puede ser mayor al nº de ecografias realizadas en los tres trimestres. ", "")</f>
        <v>#VALUE!</v>
      </c>
      <c r="DB95" s="486" t="e">
        <f>IF($F95&gt;$C95+$D95+$E95, 1,0)</f>
        <v>#VALUE!</v>
      </c>
      <c r="EA95" s="215"/>
    </row>
    <row r="96" spans="1:131" ht="17.25" customHeight="1" x14ac:dyDescent="0.2">
      <c r="A96" s="1766" t="s">
        <v>848</v>
      </c>
      <c r="B96" s="101" t="s">
        <v>363</v>
      </c>
      <c r="C96" s="751" t="s">
        <v>1384</v>
      </c>
      <c r="D96" s="752" t="s">
        <v>1385</v>
      </c>
      <c r="E96" s="821" t="s">
        <v>1386</v>
      </c>
      <c r="F96" s="793" t="s">
        <v>1387</v>
      </c>
      <c r="G96" s="457" t="e">
        <f t="shared" ref="G96:G103" si="46">CB96</f>
        <v>#VALUE!</v>
      </c>
      <c r="H96" s="90"/>
      <c r="I96" s="90"/>
      <c r="J96" s="90"/>
      <c r="X96" s="356"/>
      <c r="Y96" s="392"/>
      <c r="BJ96" s="356"/>
      <c r="CB96" s="1328" t="e">
        <f>IF($F96&gt;$C96+$D96+$E96, "* El total de ecografías realizadas en el extrasistema en menores de 15-19 años, no puede ser mayor al nº de ecografias realizadas en los tres trimestres. ", "")</f>
        <v>#VALUE!</v>
      </c>
      <c r="DB96" s="486" t="e">
        <f t="shared" ref="DB96:DB103" si="47">IF($F96&gt;$C96+$D96+$E96, 1,0)</f>
        <v>#VALUE!</v>
      </c>
      <c r="EA96" s="215"/>
    </row>
    <row r="97" spans="1:131" ht="17.25" customHeight="1" x14ac:dyDescent="0.2">
      <c r="A97" s="1766" t="s">
        <v>849</v>
      </c>
      <c r="B97" s="101" t="s">
        <v>349</v>
      </c>
      <c r="C97" s="751" t="s">
        <v>1384</v>
      </c>
      <c r="D97" s="752" t="s">
        <v>1385</v>
      </c>
      <c r="E97" s="821" t="s">
        <v>1386</v>
      </c>
      <c r="F97" s="793" t="s">
        <v>1387</v>
      </c>
      <c r="G97" s="457" t="e">
        <f t="shared" si="46"/>
        <v>#VALUE!</v>
      </c>
      <c r="H97" s="90"/>
      <c r="I97" s="90"/>
      <c r="J97" s="90"/>
      <c r="X97" s="356"/>
      <c r="Y97" s="392"/>
      <c r="BJ97" s="356"/>
      <c r="CB97" s="1328" t="e">
        <f>IF($F97&gt;$C97+$D97+$E97, "* El total de ecografías realizadas en el extrasistema en menores de 20-24 años, no puede ser mayor al nº de ecografias realizadas en los tres trimestres. ", "")</f>
        <v>#VALUE!</v>
      </c>
      <c r="DB97" s="486" t="e">
        <f t="shared" si="47"/>
        <v>#VALUE!</v>
      </c>
      <c r="EA97" s="215"/>
    </row>
    <row r="98" spans="1:131" ht="17.25" customHeight="1" x14ac:dyDescent="0.2">
      <c r="A98" s="1766" t="s">
        <v>850</v>
      </c>
      <c r="B98" s="101" t="s">
        <v>364</v>
      </c>
      <c r="C98" s="751" t="s">
        <v>1384</v>
      </c>
      <c r="D98" s="752" t="s">
        <v>1385</v>
      </c>
      <c r="E98" s="821" t="s">
        <v>1386</v>
      </c>
      <c r="F98" s="793" t="s">
        <v>1387</v>
      </c>
      <c r="G98" s="457" t="e">
        <f t="shared" si="46"/>
        <v>#VALUE!</v>
      </c>
      <c r="H98" s="90"/>
      <c r="I98" s="90"/>
      <c r="J98" s="90"/>
      <c r="X98" s="356"/>
      <c r="Y98" s="392"/>
      <c r="BJ98" s="356"/>
      <c r="CB98" s="1328" t="e">
        <f>IF($F98&gt;$C98+$D98+$E98, "* El total de ecografías realizadas en el extrasistema en menores de 28-29 años, no puede ser mayor al nº de ecografias realizadas en los tres trimestres. ", "")</f>
        <v>#VALUE!</v>
      </c>
      <c r="DB98" s="486" t="e">
        <f t="shared" si="47"/>
        <v>#VALUE!</v>
      </c>
      <c r="EA98" s="215"/>
    </row>
    <row r="99" spans="1:131" ht="17.25" customHeight="1" x14ac:dyDescent="0.2">
      <c r="A99" s="1766" t="s">
        <v>851</v>
      </c>
      <c r="B99" s="101" t="s">
        <v>365</v>
      </c>
      <c r="C99" s="751" t="s">
        <v>1384</v>
      </c>
      <c r="D99" s="752" t="s">
        <v>1385</v>
      </c>
      <c r="E99" s="821" t="s">
        <v>1386</v>
      </c>
      <c r="F99" s="793" t="s">
        <v>1387</v>
      </c>
      <c r="G99" s="457" t="e">
        <f t="shared" si="46"/>
        <v>#VALUE!</v>
      </c>
      <c r="H99" s="90"/>
      <c r="I99" s="90"/>
      <c r="J99" s="90"/>
      <c r="X99" s="356"/>
      <c r="Y99" s="392"/>
      <c r="BJ99" s="356"/>
      <c r="CB99" s="1328" t="e">
        <f>IF($F99&gt;$C99+$D99+$E99, "* El total de ecografías realizadas en el extrasistema en menores de 30-34 años, no puede ser mayor al nº de ecografias realizadas en los tres trimestres. ", "")</f>
        <v>#VALUE!</v>
      </c>
      <c r="DB99" s="486" t="e">
        <f t="shared" si="47"/>
        <v>#VALUE!</v>
      </c>
      <c r="EA99" s="215"/>
    </row>
    <row r="100" spans="1:131" ht="17.25" customHeight="1" x14ac:dyDescent="0.2">
      <c r="A100" s="1766" t="s">
        <v>852</v>
      </c>
      <c r="B100" s="101" t="s">
        <v>366</v>
      </c>
      <c r="C100" s="751" t="s">
        <v>1384</v>
      </c>
      <c r="D100" s="752" t="s">
        <v>1385</v>
      </c>
      <c r="E100" s="821" t="s">
        <v>1386</v>
      </c>
      <c r="F100" s="793" t="s">
        <v>1387</v>
      </c>
      <c r="G100" s="457" t="e">
        <f t="shared" si="46"/>
        <v>#VALUE!</v>
      </c>
      <c r="H100" s="90"/>
      <c r="I100" s="90"/>
      <c r="J100" s="90"/>
      <c r="X100" s="356"/>
      <c r="Y100" s="392"/>
      <c r="BJ100" s="356"/>
      <c r="CB100" s="1328" t="e">
        <f>IF($F100&gt;$C100+$D100+$E100, "* El total de ecografías realizadas en el extrasistema en menores de 35-39 años, no puede ser mayor al nº de ecografias realizadas en los tres trimestres. ", "")</f>
        <v>#VALUE!</v>
      </c>
      <c r="DB100" s="486" t="e">
        <f t="shared" si="47"/>
        <v>#VALUE!</v>
      </c>
      <c r="EA100" s="215"/>
    </row>
    <row r="101" spans="1:131" s="90" customFormat="1" ht="17.25" customHeight="1" x14ac:dyDescent="0.2">
      <c r="A101" s="1766" t="s">
        <v>853</v>
      </c>
      <c r="B101" s="101" t="s">
        <v>367</v>
      </c>
      <c r="C101" s="751" t="s">
        <v>1384</v>
      </c>
      <c r="D101" s="752" t="s">
        <v>1385</v>
      </c>
      <c r="E101" s="821" t="s">
        <v>1386</v>
      </c>
      <c r="F101" s="793" t="s">
        <v>1387</v>
      </c>
      <c r="G101" s="457" t="e">
        <f t="shared" si="46"/>
        <v>#VALUE!</v>
      </c>
      <c r="K101" s="215"/>
      <c r="L101" s="215"/>
      <c r="M101" s="215"/>
      <c r="N101" s="215"/>
      <c r="O101" s="215"/>
      <c r="P101" s="215"/>
      <c r="Q101" s="111"/>
      <c r="R101" s="111"/>
      <c r="S101" s="111"/>
      <c r="T101" s="111"/>
      <c r="U101" s="111"/>
      <c r="V101" s="111"/>
      <c r="W101" s="111"/>
      <c r="X101" s="394"/>
      <c r="Y101" s="392"/>
      <c r="Z101" s="392"/>
      <c r="AA101" s="392"/>
      <c r="AB101" s="392"/>
      <c r="AC101" s="392"/>
      <c r="AD101" s="392"/>
      <c r="AE101" s="392"/>
      <c r="AF101" s="392"/>
      <c r="AG101" s="392"/>
      <c r="AH101" s="392"/>
      <c r="AI101" s="392"/>
      <c r="AJ101" s="392"/>
      <c r="AK101" s="392"/>
      <c r="AL101" s="392"/>
      <c r="AM101" s="392"/>
      <c r="AN101" s="392"/>
      <c r="AO101" s="392"/>
      <c r="AP101" s="392"/>
      <c r="AQ101" s="392"/>
      <c r="AR101" s="392"/>
      <c r="AS101" s="392"/>
      <c r="AT101" s="392"/>
      <c r="AU101" s="392"/>
      <c r="AV101" s="392"/>
      <c r="AW101" s="392"/>
      <c r="AX101" s="392"/>
      <c r="AY101" s="392"/>
      <c r="AZ101" s="392"/>
      <c r="BA101" s="392"/>
      <c r="BB101" s="392"/>
      <c r="BC101" s="392"/>
      <c r="BD101" s="392"/>
      <c r="BE101" s="392"/>
      <c r="BF101" s="392"/>
      <c r="BG101" s="392"/>
      <c r="BH101" s="392"/>
      <c r="BI101" s="392"/>
      <c r="BJ101" s="356"/>
      <c r="BK101" s="356"/>
      <c r="BL101" s="356"/>
      <c r="BM101" s="356"/>
      <c r="BN101" s="356"/>
      <c r="BO101" s="356"/>
      <c r="BP101" s="356"/>
      <c r="BQ101" s="394"/>
      <c r="BR101" s="394"/>
      <c r="BS101" s="394"/>
      <c r="BT101" s="394"/>
      <c r="BU101" s="394"/>
      <c r="BV101" s="394"/>
      <c r="BW101" s="394"/>
      <c r="BX101" s="394"/>
      <c r="BY101" s="394"/>
      <c r="BZ101" s="394"/>
      <c r="CB101" s="1328" t="e">
        <f>IF($F101&gt;$C101+$D101+$E101, "* El total de ecografías realizadas en el extrasistema en menores de 40-44 años, no puede ser mayor al nº de ecografias realizadas en los tres trimestres. ", "")</f>
        <v>#VALUE!</v>
      </c>
      <c r="CC101" s="1325"/>
      <c r="CD101" s="1325"/>
      <c r="CE101" s="1325"/>
      <c r="CF101" s="1325"/>
      <c r="CG101" s="1325"/>
      <c r="CH101" s="1325"/>
      <c r="CI101" s="1325"/>
      <c r="CJ101" s="1325"/>
      <c r="CK101" s="1325"/>
      <c r="CL101" s="1325"/>
      <c r="CM101" s="1325"/>
      <c r="CN101" s="1325"/>
      <c r="CO101" s="1325"/>
      <c r="CP101" s="1325"/>
      <c r="CQ101" s="1325"/>
      <c r="CR101" s="1325"/>
      <c r="CS101" s="1325"/>
      <c r="CT101" s="1325"/>
      <c r="CU101" s="1325"/>
      <c r="CV101" s="1325"/>
      <c r="CW101" s="1325"/>
      <c r="CX101" s="1325"/>
      <c r="CY101" s="1325"/>
      <c r="CZ101" s="1325"/>
      <c r="DB101" s="486" t="e">
        <f t="shared" si="47"/>
        <v>#VALUE!</v>
      </c>
      <c r="DC101" s="1327"/>
      <c r="DD101" s="1327"/>
      <c r="DE101" s="1327"/>
      <c r="DF101" s="1327"/>
      <c r="DG101" s="1327"/>
      <c r="DH101" s="1327"/>
      <c r="DI101" s="1327"/>
      <c r="DJ101" s="1327"/>
      <c r="DK101" s="1327"/>
      <c r="DL101" s="1327"/>
      <c r="DM101" s="1327"/>
      <c r="DN101" s="1327"/>
      <c r="DO101" s="1327"/>
      <c r="DP101" s="1327"/>
      <c r="DQ101" s="1327"/>
      <c r="DR101" s="1327"/>
      <c r="DS101" s="1327"/>
      <c r="DT101" s="1327"/>
      <c r="DU101" s="1327"/>
      <c r="DV101" s="1327"/>
      <c r="DW101" s="1327"/>
      <c r="DX101" s="1327"/>
      <c r="DY101" s="1327"/>
      <c r="DZ101" s="1327"/>
    </row>
    <row r="102" spans="1:131" s="90" customFormat="1" ht="17.25" customHeight="1" x14ac:dyDescent="0.2">
      <c r="A102" s="1766" t="s">
        <v>854</v>
      </c>
      <c r="B102" s="101" t="s">
        <v>368</v>
      </c>
      <c r="C102" s="751" t="s">
        <v>1384</v>
      </c>
      <c r="D102" s="752" t="s">
        <v>1385</v>
      </c>
      <c r="E102" s="821" t="s">
        <v>1386</v>
      </c>
      <c r="F102" s="793" t="s">
        <v>1387</v>
      </c>
      <c r="G102" s="457" t="e">
        <f t="shared" si="46"/>
        <v>#VALUE!</v>
      </c>
      <c r="K102" s="215"/>
      <c r="L102" s="215"/>
      <c r="M102" s="215"/>
      <c r="N102" s="215"/>
      <c r="O102" s="215"/>
      <c r="P102" s="215"/>
      <c r="Q102" s="111"/>
      <c r="R102" s="111"/>
      <c r="S102" s="111"/>
      <c r="T102" s="111"/>
      <c r="U102" s="111"/>
      <c r="V102" s="111"/>
      <c r="W102" s="111"/>
      <c r="X102" s="394"/>
      <c r="Y102" s="392"/>
      <c r="Z102" s="392"/>
      <c r="AA102" s="392"/>
      <c r="AB102" s="392"/>
      <c r="AC102" s="392"/>
      <c r="AD102" s="392"/>
      <c r="AE102" s="392"/>
      <c r="AF102" s="392"/>
      <c r="AG102" s="392"/>
      <c r="AH102" s="392"/>
      <c r="AI102" s="392"/>
      <c r="AJ102" s="392"/>
      <c r="AK102" s="392"/>
      <c r="AL102" s="392"/>
      <c r="AM102" s="392"/>
      <c r="AN102" s="392"/>
      <c r="AO102" s="392"/>
      <c r="AP102" s="392"/>
      <c r="AQ102" s="392"/>
      <c r="AR102" s="392"/>
      <c r="AS102" s="392"/>
      <c r="AT102" s="392"/>
      <c r="AU102" s="392"/>
      <c r="AV102" s="392"/>
      <c r="AW102" s="392"/>
      <c r="AX102" s="392"/>
      <c r="AY102" s="392"/>
      <c r="AZ102" s="392"/>
      <c r="BA102" s="392"/>
      <c r="BB102" s="392"/>
      <c r="BC102" s="392"/>
      <c r="BD102" s="392"/>
      <c r="BE102" s="392"/>
      <c r="BF102" s="392"/>
      <c r="BG102" s="392"/>
      <c r="BH102" s="392"/>
      <c r="BI102" s="392"/>
      <c r="BJ102" s="356"/>
      <c r="BK102" s="356"/>
      <c r="BL102" s="356"/>
      <c r="BM102" s="356"/>
      <c r="BN102" s="356"/>
      <c r="BO102" s="356"/>
      <c r="BP102" s="356"/>
      <c r="BQ102" s="394"/>
      <c r="BR102" s="394"/>
      <c r="BS102" s="394"/>
      <c r="BT102" s="394"/>
      <c r="BU102" s="394"/>
      <c r="BV102" s="394"/>
      <c r="BW102" s="394"/>
      <c r="BX102" s="394"/>
      <c r="BY102" s="394"/>
      <c r="BZ102" s="394"/>
      <c r="CB102" s="1328" t="e">
        <f>IF($F102&gt;$C102+$D102+$E102, "* El total de ecografías realizadas en el extrasistema en menores de 45-49 años, no puede ser mayor al nº de ecografias realizadas en los tres trimestres. ", "")</f>
        <v>#VALUE!</v>
      </c>
      <c r="CC102" s="1325"/>
      <c r="CD102" s="1325"/>
      <c r="CE102" s="1325"/>
      <c r="CF102" s="1325"/>
      <c r="CG102" s="1325"/>
      <c r="CH102" s="1325"/>
      <c r="CI102" s="1325"/>
      <c r="CJ102" s="1325"/>
      <c r="CK102" s="1325"/>
      <c r="CL102" s="1325"/>
      <c r="CM102" s="1325"/>
      <c r="CN102" s="1325"/>
      <c r="CO102" s="1325"/>
      <c r="CP102" s="1325"/>
      <c r="CQ102" s="1325"/>
      <c r="CR102" s="1325"/>
      <c r="CS102" s="1325"/>
      <c r="CT102" s="1325"/>
      <c r="CU102" s="1325"/>
      <c r="CV102" s="1325"/>
      <c r="CW102" s="1325"/>
      <c r="CX102" s="1325"/>
      <c r="CY102" s="1325"/>
      <c r="CZ102" s="1325"/>
      <c r="DB102" s="486" t="e">
        <f t="shared" si="47"/>
        <v>#VALUE!</v>
      </c>
      <c r="DC102" s="1327"/>
      <c r="DD102" s="1327"/>
      <c r="DE102" s="1327"/>
      <c r="DF102" s="1327"/>
      <c r="DG102" s="1327"/>
      <c r="DH102" s="1327"/>
      <c r="DI102" s="1327"/>
      <c r="DJ102" s="1327"/>
      <c r="DK102" s="1327"/>
      <c r="DL102" s="1327"/>
      <c r="DM102" s="1327"/>
      <c r="DN102" s="1327"/>
      <c r="DO102" s="1327"/>
      <c r="DP102" s="1327"/>
      <c r="DQ102" s="1327"/>
      <c r="DR102" s="1327"/>
      <c r="DS102" s="1327"/>
      <c r="DT102" s="1327"/>
      <c r="DU102" s="1327"/>
      <c r="DV102" s="1327"/>
      <c r="DW102" s="1327"/>
      <c r="DX102" s="1327"/>
      <c r="DY102" s="1327"/>
      <c r="DZ102" s="1327"/>
    </row>
    <row r="103" spans="1:131" s="90" customFormat="1" ht="21.75" customHeight="1" x14ac:dyDescent="0.2">
      <c r="A103" s="1766" t="s">
        <v>855</v>
      </c>
      <c r="B103" s="102" t="s">
        <v>369</v>
      </c>
      <c r="C103" s="740" t="s">
        <v>1384</v>
      </c>
      <c r="D103" s="741" t="s">
        <v>1385</v>
      </c>
      <c r="E103" s="822" t="s">
        <v>1386</v>
      </c>
      <c r="F103" s="795" t="s">
        <v>1387</v>
      </c>
      <c r="G103" s="457" t="e">
        <f t="shared" si="46"/>
        <v>#VALUE!</v>
      </c>
      <c r="K103" s="215"/>
      <c r="L103" s="215"/>
      <c r="M103" s="215"/>
      <c r="N103" s="215"/>
      <c r="O103" s="215"/>
      <c r="P103" s="215"/>
      <c r="Q103" s="111"/>
      <c r="R103" s="111"/>
      <c r="S103" s="111"/>
      <c r="T103" s="111"/>
      <c r="U103" s="111"/>
      <c r="V103" s="111"/>
      <c r="W103" s="111"/>
      <c r="X103" s="394"/>
      <c r="Y103" s="392"/>
      <c r="Z103" s="392"/>
      <c r="AA103" s="392"/>
      <c r="AB103" s="392"/>
      <c r="AC103" s="392"/>
      <c r="AD103" s="392"/>
      <c r="AE103" s="392"/>
      <c r="AF103" s="392"/>
      <c r="AG103" s="392"/>
      <c r="AH103" s="392"/>
      <c r="AI103" s="392"/>
      <c r="AJ103" s="392"/>
      <c r="AK103" s="392"/>
      <c r="AL103" s="392"/>
      <c r="AM103" s="392"/>
      <c r="AN103" s="392"/>
      <c r="AO103" s="392"/>
      <c r="AP103" s="392"/>
      <c r="AQ103" s="392"/>
      <c r="AR103" s="392"/>
      <c r="AS103" s="392"/>
      <c r="AT103" s="392"/>
      <c r="AU103" s="392"/>
      <c r="AV103" s="392"/>
      <c r="AW103" s="392"/>
      <c r="AX103" s="392"/>
      <c r="AY103" s="392"/>
      <c r="AZ103" s="392"/>
      <c r="BA103" s="392"/>
      <c r="BB103" s="392"/>
      <c r="BC103" s="392"/>
      <c r="BD103" s="392"/>
      <c r="BE103" s="392"/>
      <c r="BF103" s="392"/>
      <c r="BG103" s="392"/>
      <c r="BH103" s="392"/>
      <c r="BI103" s="392"/>
      <c r="BJ103" s="394"/>
      <c r="BK103" s="394"/>
      <c r="BL103" s="394"/>
      <c r="BM103" s="394"/>
      <c r="BN103" s="394"/>
      <c r="BO103" s="394"/>
      <c r="BP103" s="394"/>
      <c r="BQ103" s="394"/>
      <c r="BR103" s="394"/>
      <c r="BS103" s="394"/>
      <c r="BT103" s="394"/>
      <c r="BU103" s="394"/>
      <c r="BV103" s="394"/>
      <c r="BW103" s="394"/>
      <c r="BX103" s="394"/>
      <c r="BY103" s="394"/>
      <c r="BZ103" s="394"/>
      <c r="CB103" s="1328" t="e">
        <f>IF($F103&gt;$C103+$D103+$E103, "* El total de ecografías realizadas en el extrasistema en menores de 50-54 años, no puede ser mayor al nº de ecografias realizadas en los tres trimestres. ", "")</f>
        <v>#VALUE!</v>
      </c>
      <c r="CC103" s="1325"/>
      <c r="CD103" s="1325"/>
      <c r="CE103" s="1325"/>
      <c r="CF103" s="1325"/>
      <c r="CG103" s="1325"/>
      <c r="CH103" s="1325"/>
      <c r="CI103" s="1325"/>
      <c r="CJ103" s="1325"/>
      <c r="CK103" s="1325"/>
      <c r="CL103" s="1325"/>
      <c r="CM103" s="1325"/>
      <c r="CN103" s="1325"/>
      <c r="CO103" s="1325"/>
      <c r="CP103" s="1325"/>
      <c r="CQ103" s="1325"/>
      <c r="CR103" s="1325"/>
      <c r="CS103" s="1325"/>
      <c r="CT103" s="1325"/>
      <c r="CU103" s="1325"/>
      <c r="CV103" s="1325"/>
      <c r="CW103" s="1325"/>
      <c r="CX103" s="1325"/>
      <c r="CY103" s="1325"/>
      <c r="CZ103" s="1325"/>
      <c r="DB103" s="486" t="e">
        <f t="shared" si="47"/>
        <v>#VALUE!</v>
      </c>
      <c r="DC103" s="1327"/>
      <c r="DD103" s="1327"/>
      <c r="DE103" s="1327"/>
      <c r="DF103" s="1327"/>
      <c r="DG103" s="1327"/>
      <c r="DH103" s="1327"/>
      <c r="DI103" s="1327"/>
      <c r="DJ103" s="1327"/>
      <c r="DK103" s="1327"/>
      <c r="DL103" s="1327"/>
      <c r="DM103" s="1327"/>
      <c r="DN103" s="1327"/>
      <c r="DO103" s="1327"/>
      <c r="DP103" s="1327"/>
      <c r="DQ103" s="1327"/>
      <c r="DR103" s="1327"/>
      <c r="DS103" s="1327"/>
      <c r="DT103" s="1327"/>
      <c r="DU103" s="1327"/>
      <c r="DV103" s="1327"/>
      <c r="DW103" s="1327"/>
      <c r="DX103" s="1327"/>
      <c r="DY103" s="1327"/>
      <c r="DZ103" s="1327"/>
    </row>
    <row r="104" spans="1:131" s="90" customFormat="1" ht="21.75" customHeight="1" x14ac:dyDescent="0.2">
      <c r="A104" s="1772"/>
      <c r="B104" s="340" t="s">
        <v>15</v>
      </c>
      <c r="C104" s="823">
        <f>SUM(C95:C103)</f>
        <v>0</v>
      </c>
      <c r="D104" s="824">
        <f>SUM(D95:D103)</f>
        <v>0</v>
      </c>
      <c r="E104" s="825">
        <f>SUM(E95:E103)</f>
        <v>0</v>
      </c>
      <c r="F104" s="826">
        <f>SUM(F95:F103)</f>
        <v>0</v>
      </c>
      <c r="K104" s="215"/>
      <c r="L104" s="215"/>
      <c r="M104" s="215"/>
      <c r="N104" s="215"/>
      <c r="O104" s="215"/>
      <c r="P104" s="215"/>
      <c r="Q104" s="111"/>
      <c r="R104" s="111"/>
      <c r="S104" s="111"/>
      <c r="T104" s="111"/>
      <c r="U104" s="111"/>
      <c r="V104" s="111"/>
      <c r="W104" s="111"/>
      <c r="X104" s="394"/>
      <c r="Y104" s="392"/>
      <c r="Z104" s="392"/>
      <c r="AA104" s="392"/>
      <c r="AB104" s="392"/>
      <c r="AC104" s="392"/>
      <c r="AD104" s="392"/>
      <c r="AE104" s="392"/>
      <c r="AF104" s="392"/>
      <c r="AG104" s="392"/>
      <c r="AH104" s="392"/>
      <c r="AI104" s="392"/>
      <c r="AJ104" s="392"/>
      <c r="AK104" s="392"/>
      <c r="AL104" s="392"/>
      <c r="AM104" s="392"/>
      <c r="AN104" s="392"/>
      <c r="AO104" s="392"/>
      <c r="AP104" s="392"/>
      <c r="AQ104" s="392"/>
      <c r="AR104" s="392"/>
      <c r="AS104" s="392"/>
      <c r="AT104" s="392"/>
      <c r="AU104" s="392"/>
      <c r="AV104" s="392"/>
      <c r="AW104" s="392"/>
      <c r="AX104" s="392"/>
      <c r="AY104" s="392"/>
      <c r="AZ104" s="392"/>
      <c r="BA104" s="392"/>
      <c r="BB104" s="392"/>
      <c r="BC104" s="392"/>
      <c r="BD104" s="392"/>
      <c r="BE104" s="392"/>
      <c r="BF104" s="392"/>
      <c r="BG104" s="392"/>
      <c r="BH104" s="392"/>
      <c r="BI104" s="392"/>
      <c r="BJ104" s="394"/>
      <c r="BK104" s="394"/>
      <c r="BL104" s="394"/>
      <c r="BM104" s="394"/>
      <c r="BN104" s="394"/>
      <c r="BO104" s="394"/>
      <c r="BP104" s="394"/>
      <c r="BQ104" s="394"/>
      <c r="BR104" s="394"/>
      <c r="BS104" s="394"/>
      <c r="BT104" s="394"/>
      <c r="BU104" s="394"/>
      <c r="BV104" s="394"/>
      <c r="BW104" s="394"/>
      <c r="BX104" s="394"/>
      <c r="BY104" s="394"/>
      <c r="BZ104" s="394"/>
      <c r="CB104" s="1325"/>
      <c r="CC104" s="1325"/>
      <c r="CD104" s="1325"/>
      <c r="CE104" s="1325"/>
      <c r="CF104" s="1325"/>
      <c r="CG104" s="1325"/>
      <c r="CH104" s="1325"/>
      <c r="CI104" s="1325"/>
      <c r="CJ104" s="1325"/>
      <c r="CK104" s="1325"/>
      <c r="CL104" s="1325"/>
      <c r="CM104" s="1325"/>
      <c r="CN104" s="1325"/>
      <c r="CO104" s="1325"/>
      <c r="CP104" s="1325"/>
      <c r="CQ104" s="1325"/>
      <c r="CR104" s="1325"/>
      <c r="CS104" s="1325"/>
      <c r="CT104" s="1325"/>
      <c r="CU104" s="1325"/>
      <c r="CV104" s="1325"/>
      <c r="CW104" s="1325"/>
      <c r="CX104" s="1325"/>
      <c r="CY104" s="1325"/>
      <c r="CZ104" s="1325"/>
      <c r="DB104" s="1327"/>
      <c r="DC104" s="1327"/>
      <c r="DD104" s="1327"/>
      <c r="DE104" s="1327"/>
      <c r="DF104" s="1327"/>
      <c r="DG104" s="1327"/>
      <c r="DH104" s="1327"/>
      <c r="DI104" s="1327"/>
      <c r="DJ104" s="1327"/>
      <c r="DK104" s="1327"/>
      <c r="DL104" s="1327"/>
      <c r="DM104" s="1327"/>
      <c r="DN104" s="1327"/>
      <c r="DO104" s="1327"/>
      <c r="DP104" s="1327"/>
      <c r="DQ104" s="1327"/>
      <c r="DR104" s="1327"/>
      <c r="DS104" s="1327"/>
      <c r="DT104" s="1327"/>
      <c r="DU104" s="1327"/>
      <c r="DV104" s="1327"/>
      <c r="DW104" s="1327"/>
      <c r="DX104" s="1327"/>
      <c r="DY104" s="1327"/>
      <c r="DZ104" s="1327"/>
    </row>
    <row r="105" spans="1:131" ht="21.75" customHeight="1" x14ac:dyDescent="0.25">
      <c r="B105" s="618" t="s">
        <v>729</v>
      </c>
      <c r="C105" s="1390"/>
      <c r="D105" s="1390"/>
      <c r="E105" s="1390"/>
      <c r="F105" s="1390"/>
      <c r="G105" s="1391"/>
      <c r="H105" s="1391"/>
      <c r="I105" s="1364"/>
      <c r="J105" s="1364"/>
      <c r="K105" s="1364"/>
      <c r="L105" s="1364"/>
      <c r="M105" s="1364"/>
    </row>
    <row r="106" spans="1:131" ht="21.75" customHeight="1" x14ac:dyDescent="0.15">
      <c r="B106" s="1846" t="s">
        <v>47</v>
      </c>
      <c r="C106" s="1846" t="s">
        <v>48</v>
      </c>
      <c r="D106" s="1846" t="s">
        <v>15</v>
      </c>
      <c r="E106" s="1848" t="s">
        <v>49</v>
      </c>
      <c r="F106" s="1848"/>
      <c r="G106" s="1848"/>
      <c r="H106" s="1848"/>
      <c r="I106" s="1848"/>
      <c r="J106" s="1848"/>
      <c r="K106" s="1848"/>
      <c r="L106" s="1848"/>
      <c r="M106" s="1848"/>
    </row>
    <row r="107" spans="1:131" ht="27" customHeight="1" x14ac:dyDescent="0.15">
      <c r="B107" s="1847"/>
      <c r="C107" s="1847"/>
      <c r="D107" s="1847"/>
      <c r="E107" s="1392" t="s">
        <v>50</v>
      </c>
      <c r="F107" s="1393" t="s">
        <v>19</v>
      </c>
      <c r="G107" s="1393" t="s">
        <v>20</v>
      </c>
      <c r="H107" s="1393" t="s">
        <v>21</v>
      </c>
      <c r="I107" s="1393" t="s">
        <v>22</v>
      </c>
      <c r="J107" s="1393" t="s">
        <v>23</v>
      </c>
      <c r="K107" s="1393" t="s">
        <v>24</v>
      </c>
      <c r="L107" s="1393" t="s">
        <v>25</v>
      </c>
      <c r="M107" s="1394" t="s">
        <v>26</v>
      </c>
    </row>
    <row r="108" spans="1:131" ht="17.25" customHeight="1" x14ac:dyDescent="0.2">
      <c r="A108" s="1766" t="s">
        <v>866</v>
      </c>
      <c r="B108" s="1849" t="s">
        <v>708</v>
      </c>
      <c r="C108" s="1395" t="s">
        <v>52</v>
      </c>
      <c r="D108" s="1396" t="s">
        <v>1384</v>
      </c>
      <c r="E108" s="1426" t="s">
        <v>1385</v>
      </c>
      <c r="F108" s="1427" t="s">
        <v>1386</v>
      </c>
      <c r="G108" s="1427" t="s">
        <v>1387</v>
      </c>
      <c r="H108" s="1427" t="s">
        <v>1388</v>
      </c>
      <c r="I108" s="1427" t="s">
        <v>1389</v>
      </c>
      <c r="J108" s="1427" t="s">
        <v>1390</v>
      </c>
      <c r="K108" s="1427" t="s">
        <v>1391</v>
      </c>
      <c r="L108" s="1427" t="s">
        <v>1392</v>
      </c>
      <c r="M108" s="1428" t="s">
        <v>1393</v>
      </c>
      <c r="N108" s="1425"/>
      <c r="P108" s="111"/>
      <c r="Q108" s="111"/>
    </row>
    <row r="109" spans="1:131" ht="18" customHeight="1" x14ac:dyDescent="0.2">
      <c r="A109" s="1766" t="s">
        <v>867</v>
      </c>
      <c r="B109" s="1850"/>
      <c r="C109" s="1397" t="s">
        <v>53</v>
      </c>
      <c r="D109" s="1398" t="s">
        <v>1384</v>
      </c>
      <c r="E109" s="1429" t="s">
        <v>1385</v>
      </c>
      <c r="F109" s="1430" t="s">
        <v>1386</v>
      </c>
      <c r="G109" s="1430" t="s">
        <v>1387</v>
      </c>
      <c r="H109" s="1430" t="s">
        <v>1388</v>
      </c>
      <c r="I109" s="1430" t="s">
        <v>1389</v>
      </c>
      <c r="J109" s="1430" t="s">
        <v>1390</v>
      </c>
      <c r="K109" s="1430" t="s">
        <v>1391</v>
      </c>
      <c r="L109" s="1430" t="s">
        <v>1392</v>
      </c>
      <c r="M109" s="1431" t="s">
        <v>1393</v>
      </c>
      <c r="N109" s="1425"/>
      <c r="P109" s="111"/>
      <c r="Q109" s="111"/>
    </row>
    <row r="110" spans="1:131" ht="16.5" customHeight="1" x14ac:dyDescent="0.2">
      <c r="A110" s="1766" t="s">
        <v>868</v>
      </c>
      <c r="B110" s="1850"/>
      <c r="C110" s="1397" t="s">
        <v>54</v>
      </c>
      <c r="D110" s="1398" t="s">
        <v>1384</v>
      </c>
      <c r="E110" s="1429" t="s">
        <v>1385</v>
      </c>
      <c r="F110" s="1430" t="s">
        <v>1386</v>
      </c>
      <c r="G110" s="1430" t="s">
        <v>1387</v>
      </c>
      <c r="H110" s="1430" t="s">
        <v>1388</v>
      </c>
      <c r="I110" s="1430" t="s">
        <v>1389</v>
      </c>
      <c r="J110" s="1430" t="s">
        <v>1390</v>
      </c>
      <c r="K110" s="1430" t="s">
        <v>1391</v>
      </c>
      <c r="L110" s="1430" t="s">
        <v>1392</v>
      </c>
      <c r="M110" s="1431" t="s">
        <v>1393</v>
      </c>
      <c r="N110" s="1425"/>
      <c r="O110" s="90"/>
      <c r="P110" s="111"/>
      <c r="Q110" s="111"/>
    </row>
    <row r="111" spans="1:131" ht="16.5" customHeight="1" x14ac:dyDescent="0.2">
      <c r="A111" s="1766" t="s">
        <v>869</v>
      </c>
      <c r="B111" s="1850"/>
      <c r="C111" s="1399" t="s">
        <v>55</v>
      </c>
      <c r="D111" s="1400" t="s">
        <v>1384</v>
      </c>
      <c r="E111" s="1432" t="s">
        <v>1385</v>
      </c>
      <c r="F111" s="1433" t="s">
        <v>1386</v>
      </c>
      <c r="G111" s="1433" t="s">
        <v>1387</v>
      </c>
      <c r="H111" s="1433" t="s">
        <v>1388</v>
      </c>
      <c r="I111" s="1433" t="s">
        <v>1389</v>
      </c>
      <c r="J111" s="1433" t="s">
        <v>1390</v>
      </c>
      <c r="K111" s="1433" t="s">
        <v>1391</v>
      </c>
      <c r="L111" s="1433" t="s">
        <v>1392</v>
      </c>
      <c r="M111" s="1434" t="s">
        <v>1393</v>
      </c>
      <c r="N111" s="1425"/>
      <c r="O111" s="90"/>
      <c r="P111" s="111"/>
      <c r="Q111" s="111"/>
    </row>
    <row r="112" spans="1:131" ht="19.5" customHeight="1" x14ac:dyDescent="0.15">
      <c r="A112" s="1767"/>
      <c r="B112" s="1851"/>
      <c r="C112" s="1401" t="s">
        <v>15</v>
      </c>
      <c r="D112" s="1402">
        <f>SUM(E112:M112)</f>
        <v>0</v>
      </c>
      <c r="E112" s="1403">
        <f>SUM(E108:E111)</f>
        <v>0</v>
      </c>
      <c r="F112" s="1404">
        <f t="shared" ref="F112:M112" si="48">SUM(F108:F111)</f>
        <v>0</v>
      </c>
      <c r="G112" s="1404">
        <f t="shared" si="48"/>
        <v>0</v>
      </c>
      <c r="H112" s="1404">
        <f t="shared" si="48"/>
        <v>0</v>
      </c>
      <c r="I112" s="1404">
        <f t="shared" si="48"/>
        <v>0</v>
      </c>
      <c r="J112" s="1404">
        <f t="shared" si="48"/>
        <v>0</v>
      </c>
      <c r="K112" s="1404">
        <f t="shared" si="48"/>
        <v>0</v>
      </c>
      <c r="L112" s="1404">
        <f t="shared" si="48"/>
        <v>0</v>
      </c>
      <c r="M112" s="1405">
        <f t="shared" si="48"/>
        <v>0</v>
      </c>
      <c r="O112" s="90"/>
      <c r="P112" s="111"/>
      <c r="Q112" s="111"/>
    </row>
    <row r="113" spans="1:17" ht="24" customHeight="1" x14ac:dyDescent="0.2">
      <c r="B113" s="620" t="s">
        <v>71</v>
      </c>
      <c r="C113" s="90"/>
      <c r="D113" s="90"/>
      <c r="E113" s="90"/>
      <c r="F113" s="90"/>
      <c r="G113" s="90"/>
      <c r="H113" s="90"/>
      <c r="I113" s="72"/>
      <c r="O113" s="90"/>
      <c r="P113" s="111"/>
      <c r="Q113" s="111"/>
    </row>
    <row r="114" spans="1:17" ht="24" customHeight="1" x14ac:dyDescent="0.2">
      <c r="B114" s="1885" t="s">
        <v>730</v>
      </c>
      <c r="C114" s="1886"/>
      <c r="D114" s="1886"/>
      <c r="E114" s="1886"/>
      <c r="F114" s="1886"/>
      <c r="G114" s="1886"/>
      <c r="H114" s="1886"/>
      <c r="I114" s="1886"/>
      <c r="O114" s="90"/>
      <c r="P114" s="111"/>
      <c r="Q114" s="111"/>
    </row>
    <row r="115" spans="1:17" ht="24" customHeight="1" x14ac:dyDescent="0.15">
      <c r="B115" s="431" t="s">
        <v>72</v>
      </c>
      <c r="C115" s="432" t="s">
        <v>15</v>
      </c>
      <c r="D115" s="105"/>
      <c r="E115" s="106"/>
      <c r="F115" s="72"/>
      <c r="G115" s="72"/>
      <c r="H115" s="72"/>
      <c r="I115" s="107"/>
      <c r="O115" s="90"/>
      <c r="P115" s="111"/>
      <c r="Q115" s="111"/>
    </row>
    <row r="116" spans="1:17" ht="24" customHeight="1" x14ac:dyDescent="0.2">
      <c r="A116" s="1766" t="s">
        <v>870</v>
      </c>
      <c r="B116" s="108" t="s">
        <v>73</v>
      </c>
      <c r="C116" s="792" t="s">
        <v>1384</v>
      </c>
      <c r="D116" s="457" t="str">
        <f t="shared" ref="D116:D133" si="49">($CB107&amp;$CC107&amp;$CD107&amp;$CE107&amp;$CF107&amp;$CG107&amp;$CH107&amp;$CI107&amp;$CJ107&amp;$CK107&amp;$CM107&amp;$CN107&amp;$CO107&amp;$CP107&amp;$CQ107&amp;$CR107&amp;$CS107&amp;$CT107&amp;$CU107&amp;$CV107&amp;$CW107&amp;$CX107&amp;$CY107&amp;$CZ107&amp;$DA107)</f>
        <v/>
      </c>
      <c r="E116" s="463"/>
      <c r="F116" s="72"/>
      <c r="G116" s="72"/>
      <c r="H116" s="72"/>
      <c r="O116" s="90"/>
    </row>
    <row r="117" spans="1:17" ht="36" customHeight="1" x14ac:dyDescent="0.2">
      <c r="A117" s="1766" t="s">
        <v>871</v>
      </c>
      <c r="B117" s="109" t="s">
        <v>74</v>
      </c>
      <c r="C117" s="793" t="s">
        <v>1384</v>
      </c>
      <c r="D117" s="457" t="str">
        <f t="shared" si="49"/>
        <v/>
      </c>
      <c r="F117" s="601"/>
      <c r="G117" s="72"/>
      <c r="H117" s="72"/>
      <c r="O117" s="90"/>
    </row>
    <row r="118" spans="1:17" ht="36" customHeight="1" x14ac:dyDescent="0.2">
      <c r="A118" s="1766" t="s">
        <v>872</v>
      </c>
      <c r="B118" s="110" t="s">
        <v>75</v>
      </c>
      <c r="C118" s="793" t="s">
        <v>1384</v>
      </c>
      <c r="D118" s="457" t="str">
        <f t="shared" si="49"/>
        <v/>
      </c>
      <c r="E118" s="463"/>
      <c r="F118" s="72"/>
      <c r="G118" s="72"/>
      <c r="H118" s="72"/>
    </row>
    <row r="119" spans="1:17" ht="31.5" customHeight="1" x14ac:dyDescent="0.2">
      <c r="A119" s="1766" t="s">
        <v>873</v>
      </c>
      <c r="B119" s="109" t="s">
        <v>76</v>
      </c>
      <c r="C119" s="793" t="s">
        <v>1384</v>
      </c>
      <c r="D119" s="457" t="str">
        <f t="shared" si="49"/>
        <v/>
      </c>
      <c r="E119" s="463"/>
      <c r="F119" s="72"/>
      <c r="G119" s="72"/>
      <c r="H119" s="72"/>
    </row>
    <row r="120" spans="1:17" ht="24" customHeight="1" x14ac:dyDescent="0.2">
      <c r="A120" s="1766" t="s">
        <v>874</v>
      </c>
      <c r="B120" s="109" t="s">
        <v>77</v>
      </c>
      <c r="C120" s="793" t="s">
        <v>1384</v>
      </c>
      <c r="D120" s="457" t="str">
        <f t="shared" si="49"/>
        <v/>
      </c>
      <c r="E120" s="90"/>
      <c r="F120" s="90"/>
    </row>
    <row r="121" spans="1:17" ht="24" customHeight="1" x14ac:dyDescent="0.2">
      <c r="A121" s="1766" t="s">
        <v>875</v>
      </c>
      <c r="B121" s="109" t="s">
        <v>78</v>
      </c>
      <c r="C121" s="793" t="s">
        <v>1384</v>
      </c>
      <c r="D121" s="457" t="str">
        <f t="shared" si="49"/>
        <v/>
      </c>
      <c r="E121" s="463"/>
      <c r="F121" s="90"/>
      <c r="G121" s="90"/>
      <c r="H121" s="90"/>
    </row>
    <row r="122" spans="1:17" ht="22.9" customHeight="1" x14ac:dyDescent="0.2">
      <c r="A122" s="1766" t="s">
        <v>876</v>
      </c>
      <c r="B122" s="109" t="s">
        <v>383</v>
      </c>
      <c r="C122" s="793" t="s">
        <v>1384</v>
      </c>
      <c r="D122" s="457" t="str">
        <f t="shared" si="49"/>
        <v/>
      </c>
      <c r="E122" s="463"/>
      <c r="F122" s="90"/>
      <c r="G122" s="90"/>
      <c r="H122" s="90"/>
    </row>
    <row r="123" spans="1:17" ht="22.9" customHeight="1" x14ac:dyDescent="0.2">
      <c r="A123" s="1766" t="s">
        <v>877</v>
      </c>
      <c r="B123" s="109" t="s">
        <v>384</v>
      </c>
      <c r="C123" s="793" t="s">
        <v>1384</v>
      </c>
      <c r="D123" s="457" t="str">
        <f t="shared" si="49"/>
        <v/>
      </c>
      <c r="E123" s="463"/>
      <c r="F123" s="90"/>
      <c r="G123" s="90"/>
      <c r="H123" s="90"/>
    </row>
    <row r="124" spans="1:17" ht="22.9" customHeight="1" x14ac:dyDescent="0.2">
      <c r="A124" s="1766" t="s">
        <v>878</v>
      </c>
      <c r="B124" s="109" t="s">
        <v>79</v>
      </c>
      <c r="C124" s="793" t="s">
        <v>1384</v>
      </c>
      <c r="D124" s="457" t="str">
        <f t="shared" si="49"/>
        <v/>
      </c>
      <c r="E124" s="463"/>
      <c r="F124" s="90"/>
      <c r="G124" s="90"/>
      <c r="H124" s="90"/>
    </row>
    <row r="125" spans="1:17" ht="22.9" customHeight="1" x14ac:dyDescent="0.2">
      <c r="A125" s="1766" t="s">
        <v>879</v>
      </c>
      <c r="B125" s="109" t="s">
        <v>80</v>
      </c>
      <c r="C125" s="793" t="s">
        <v>1384</v>
      </c>
      <c r="D125" s="457" t="str">
        <f t="shared" si="49"/>
        <v/>
      </c>
      <c r="E125" s="463"/>
      <c r="F125" s="90"/>
      <c r="G125" s="90"/>
      <c r="H125" s="90"/>
    </row>
    <row r="126" spans="1:17" ht="19.5" customHeight="1" x14ac:dyDescent="0.2">
      <c r="A126" s="1766" t="s">
        <v>880</v>
      </c>
      <c r="B126" s="109" t="s">
        <v>386</v>
      </c>
      <c r="C126" s="793" t="s">
        <v>1384</v>
      </c>
      <c r="D126" s="457" t="str">
        <f t="shared" si="49"/>
        <v/>
      </c>
      <c r="E126" s="463"/>
      <c r="F126" s="90"/>
      <c r="G126" s="90"/>
      <c r="H126" s="90"/>
    </row>
    <row r="127" spans="1:17" ht="22.5" customHeight="1" x14ac:dyDescent="0.2">
      <c r="A127" s="1766" t="s">
        <v>881</v>
      </c>
      <c r="B127" s="109" t="s">
        <v>387</v>
      </c>
      <c r="C127" s="793" t="s">
        <v>1384</v>
      </c>
      <c r="D127" s="457" t="str">
        <f t="shared" si="49"/>
        <v/>
      </c>
      <c r="E127" s="463"/>
      <c r="F127" s="90"/>
      <c r="G127" s="90"/>
      <c r="H127" s="90"/>
    </row>
    <row r="128" spans="1:17" ht="23.25" customHeight="1" x14ac:dyDescent="0.2">
      <c r="A128" s="1766" t="s">
        <v>882</v>
      </c>
      <c r="B128" s="109" t="s">
        <v>388</v>
      </c>
      <c r="C128" s="793" t="s">
        <v>1384</v>
      </c>
      <c r="D128" s="457" t="str">
        <f t="shared" si="49"/>
        <v/>
      </c>
      <c r="E128" s="463"/>
      <c r="F128" s="90"/>
      <c r="G128" s="90"/>
      <c r="H128" s="90"/>
    </row>
    <row r="129" spans="1:105" ht="22.5" customHeight="1" x14ac:dyDescent="0.2">
      <c r="A129" s="1766" t="s">
        <v>883</v>
      </c>
      <c r="B129" s="109" t="s">
        <v>389</v>
      </c>
      <c r="C129" s="793" t="s">
        <v>1384</v>
      </c>
      <c r="D129" s="457" t="str">
        <f t="shared" si="49"/>
        <v/>
      </c>
      <c r="E129" s="463"/>
      <c r="F129" s="90"/>
      <c r="G129" s="90"/>
      <c r="H129" s="90"/>
    </row>
    <row r="130" spans="1:105" ht="26.25" customHeight="1" x14ac:dyDescent="0.2">
      <c r="A130" s="1766" t="s">
        <v>884</v>
      </c>
      <c r="B130" s="109" t="s">
        <v>390</v>
      </c>
      <c r="C130" s="793" t="s">
        <v>1384</v>
      </c>
      <c r="D130" s="457" t="str">
        <f t="shared" si="49"/>
        <v/>
      </c>
      <c r="E130" s="463"/>
      <c r="F130" s="90"/>
      <c r="G130" s="90"/>
      <c r="H130" s="90"/>
    </row>
    <row r="131" spans="1:105" ht="26.25" customHeight="1" x14ac:dyDescent="0.2">
      <c r="A131" s="1766" t="s">
        <v>885</v>
      </c>
      <c r="B131" s="109" t="s">
        <v>391</v>
      </c>
      <c r="C131" s="793" t="s">
        <v>1384</v>
      </c>
      <c r="D131" s="457" t="str">
        <f t="shared" si="49"/>
        <v/>
      </c>
      <c r="E131" s="463"/>
      <c r="F131" s="90"/>
      <c r="G131" s="90"/>
      <c r="H131" s="90"/>
    </row>
    <row r="132" spans="1:105" ht="27" customHeight="1" x14ac:dyDescent="0.2">
      <c r="A132" s="1766" t="s">
        <v>886</v>
      </c>
      <c r="B132" s="109" t="s">
        <v>392</v>
      </c>
      <c r="C132" s="793" t="s">
        <v>1384</v>
      </c>
      <c r="D132" s="457" t="str">
        <f t="shared" si="49"/>
        <v/>
      </c>
      <c r="E132" s="463"/>
      <c r="F132" s="90"/>
      <c r="G132" s="90"/>
      <c r="H132" s="90"/>
    </row>
    <row r="133" spans="1:105" ht="29.25" customHeight="1" x14ac:dyDescent="0.2">
      <c r="A133" s="1766" t="s">
        <v>887</v>
      </c>
      <c r="B133" s="112" t="s">
        <v>81</v>
      </c>
      <c r="C133" s="800" t="s">
        <v>1384</v>
      </c>
      <c r="D133" s="457" t="str">
        <f t="shared" si="49"/>
        <v/>
      </c>
      <c r="E133" s="463"/>
      <c r="F133" s="90"/>
      <c r="G133" s="90"/>
      <c r="H133" s="90"/>
      <c r="I133" s="90"/>
    </row>
    <row r="134" spans="1:105" ht="21" customHeight="1" x14ac:dyDescent="0.15">
      <c r="A134" s="1767"/>
      <c r="B134" s="112" t="s">
        <v>15</v>
      </c>
      <c r="C134" s="796">
        <f>SUM(C116:C133)</f>
        <v>0</v>
      </c>
      <c r="D134" s="92"/>
    </row>
    <row r="135" spans="1:105" ht="15.75" customHeight="1" x14ac:dyDescent="0.15"/>
    <row r="137" spans="1:105" s="466" customFormat="1" ht="10.5" hidden="1" customHeight="1" x14ac:dyDescent="0.15">
      <c r="B137" s="215"/>
      <c r="C137" s="215"/>
      <c r="D137" s="215"/>
      <c r="E137" s="215"/>
      <c r="F137" s="215"/>
      <c r="G137" s="215"/>
      <c r="H137" s="215"/>
      <c r="I137" s="215"/>
      <c r="J137" s="215"/>
      <c r="K137" s="215"/>
      <c r="L137" s="215"/>
      <c r="M137" s="215"/>
      <c r="N137" s="215"/>
      <c r="O137" s="215"/>
      <c r="P137" s="215"/>
      <c r="Q137" s="215"/>
      <c r="R137" s="215"/>
      <c r="S137" s="215"/>
      <c r="T137" s="215"/>
      <c r="U137" s="215"/>
      <c r="V137" s="215"/>
      <c r="W137" s="215"/>
      <c r="X137" s="215"/>
      <c r="Y137" s="356"/>
      <c r="Z137" s="392"/>
      <c r="AA137" s="392"/>
      <c r="AB137" s="392"/>
      <c r="AC137" s="392"/>
      <c r="AD137" s="392"/>
      <c r="AE137" s="392"/>
      <c r="AF137" s="392"/>
      <c r="AG137" s="392"/>
      <c r="AH137" s="392"/>
      <c r="AI137" s="392"/>
      <c r="AJ137" s="392"/>
      <c r="AK137" s="392"/>
      <c r="AL137" s="392"/>
      <c r="AM137" s="392"/>
      <c r="AN137" s="392"/>
      <c r="AO137" s="392"/>
      <c r="AP137" s="392"/>
      <c r="AQ137" s="392"/>
      <c r="AR137" s="392"/>
      <c r="AS137" s="392"/>
      <c r="AT137" s="392"/>
      <c r="AU137" s="392"/>
      <c r="AV137" s="392"/>
      <c r="AW137" s="392"/>
      <c r="AX137" s="392"/>
      <c r="AY137" s="392"/>
      <c r="AZ137" s="392"/>
      <c r="BA137" s="392"/>
      <c r="BB137" s="392"/>
      <c r="BC137" s="392"/>
      <c r="BD137" s="392"/>
      <c r="BE137" s="392"/>
      <c r="BF137" s="392"/>
      <c r="BG137" s="392"/>
      <c r="BH137" s="392"/>
      <c r="BI137" s="392"/>
      <c r="BJ137" s="392"/>
      <c r="BK137" s="356"/>
      <c r="BL137" s="356"/>
      <c r="BM137" s="356"/>
      <c r="BN137" s="356"/>
      <c r="BO137" s="356"/>
      <c r="BP137" s="356"/>
      <c r="BQ137" s="356"/>
      <c r="BR137" s="356"/>
      <c r="BS137" s="356"/>
      <c r="BT137" s="356"/>
      <c r="BU137" s="356"/>
      <c r="BV137" s="356"/>
      <c r="BW137" s="356"/>
      <c r="BX137" s="356"/>
      <c r="BY137" s="356"/>
      <c r="BZ137" s="356"/>
      <c r="CA137" s="356"/>
      <c r="CB137" s="474"/>
      <c r="CC137" s="474"/>
      <c r="CD137" s="474"/>
      <c r="CE137" s="474"/>
      <c r="CF137" s="474"/>
      <c r="CG137" s="474"/>
      <c r="CH137" s="474"/>
      <c r="CI137" s="474"/>
      <c r="CJ137" s="474"/>
      <c r="CK137" s="474"/>
      <c r="CL137" s="474"/>
      <c r="CM137" s="474"/>
      <c r="CN137" s="474"/>
      <c r="CO137" s="474"/>
      <c r="CP137" s="474"/>
      <c r="CQ137" s="474"/>
      <c r="CR137" s="474"/>
      <c r="CS137" s="474"/>
      <c r="CT137" s="474"/>
      <c r="CU137" s="474"/>
      <c r="CV137" s="474"/>
      <c r="CW137" s="474"/>
      <c r="CX137" s="474"/>
      <c r="CY137" s="474"/>
      <c r="CZ137" s="474"/>
      <c r="DA137" s="474"/>
    </row>
    <row r="138" spans="1:105" s="466" customFormat="1" ht="9" hidden="1" customHeight="1" x14ac:dyDescent="0.15">
      <c r="B138" s="215"/>
      <c r="C138" s="215"/>
      <c r="D138" s="215"/>
      <c r="E138" s="215"/>
      <c r="F138" s="215"/>
      <c r="G138" s="215"/>
      <c r="H138" s="215"/>
      <c r="I138" s="215"/>
      <c r="J138" s="215"/>
      <c r="K138" s="215"/>
      <c r="L138" s="215"/>
      <c r="M138" s="215"/>
      <c r="N138" s="215"/>
      <c r="O138" s="215"/>
      <c r="P138" s="215"/>
      <c r="Q138" s="215"/>
      <c r="R138" s="215"/>
      <c r="S138" s="215"/>
      <c r="T138" s="215"/>
      <c r="U138" s="215"/>
      <c r="V138" s="215"/>
      <c r="W138" s="215"/>
      <c r="X138" s="215"/>
      <c r="Y138" s="356"/>
      <c r="Z138" s="392"/>
      <c r="AA138" s="392"/>
      <c r="AB138" s="392"/>
      <c r="AC138" s="392"/>
      <c r="AD138" s="392"/>
      <c r="AE138" s="392"/>
      <c r="AF138" s="392"/>
      <c r="AG138" s="392"/>
      <c r="AH138" s="392"/>
      <c r="AI138" s="392"/>
      <c r="AJ138" s="392"/>
      <c r="AK138" s="392"/>
      <c r="AL138" s="392"/>
      <c r="AM138" s="392"/>
      <c r="AN138" s="392"/>
      <c r="AO138" s="392"/>
      <c r="AP138" s="392"/>
      <c r="AQ138" s="392"/>
      <c r="AR138" s="392"/>
      <c r="AS138" s="392"/>
      <c r="AT138" s="392"/>
      <c r="AU138" s="392"/>
      <c r="AV138" s="392"/>
      <c r="AW138" s="392"/>
      <c r="AX138" s="392"/>
      <c r="AY138" s="392"/>
      <c r="AZ138" s="392"/>
      <c r="BA138" s="392"/>
      <c r="BB138" s="392"/>
      <c r="BC138" s="392"/>
      <c r="BD138" s="392"/>
      <c r="BE138" s="392"/>
      <c r="BF138" s="392"/>
      <c r="BG138" s="392"/>
      <c r="BH138" s="392"/>
      <c r="BI138" s="392"/>
      <c r="BJ138" s="392"/>
      <c r="BK138" s="356"/>
      <c r="BL138" s="356"/>
      <c r="BM138" s="356"/>
      <c r="BN138" s="356"/>
      <c r="BO138" s="356"/>
      <c r="BP138" s="356"/>
      <c r="BQ138" s="356"/>
      <c r="BR138" s="356"/>
      <c r="BS138" s="356"/>
      <c r="BT138" s="356"/>
      <c r="BU138" s="356"/>
      <c r="BV138" s="356"/>
      <c r="BW138" s="356"/>
      <c r="BX138" s="356"/>
      <c r="BY138" s="356"/>
      <c r="BZ138" s="356"/>
      <c r="CA138" s="356"/>
      <c r="CB138" s="474"/>
      <c r="CC138" s="474"/>
      <c r="CD138" s="474"/>
      <c r="CE138" s="474"/>
      <c r="CF138" s="474"/>
      <c r="CG138" s="474"/>
      <c r="CH138" s="474"/>
      <c r="CI138" s="474"/>
      <c r="CJ138" s="474"/>
      <c r="CK138" s="474"/>
      <c r="CL138" s="474"/>
      <c r="CM138" s="474"/>
      <c r="CN138" s="474"/>
      <c r="CO138" s="474"/>
      <c r="CP138" s="474"/>
      <c r="CQ138" s="474"/>
      <c r="CR138" s="474"/>
      <c r="CS138" s="474"/>
      <c r="CT138" s="474"/>
      <c r="CU138" s="474"/>
      <c r="CV138" s="474"/>
      <c r="CW138" s="474"/>
      <c r="CX138" s="474"/>
      <c r="CY138" s="474"/>
      <c r="CZ138" s="474"/>
      <c r="DA138" s="474"/>
    </row>
    <row r="139" spans="1:105" ht="19.5" customHeight="1" x14ac:dyDescent="0.15">
      <c r="A139" s="215" t="s">
        <v>865</v>
      </c>
    </row>
    <row r="140" spans="1:105" ht="19.5" customHeight="1" x14ac:dyDescent="0.2">
      <c r="A140" s="1766" t="s">
        <v>856</v>
      </c>
      <c r="BK140" s="600"/>
      <c r="BL140" s="600"/>
      <c r="BM140" s="600"/>
      <c r="BN140" s="600"/>
      <c r="BO140" s="600"/>
      <c r="BP140" s="600"/>
      <c r="BQ140" s="600"/>
    </row>
    <row r="141" spans="1:105" ht="19.5" customHeight="1" x14ac:dyDescent="0.2">
      <c r="A141" s="1766" t="s">
        <v>857</v>
      </c>
    </row>
    <row r="142" spans="1:105" ht="19.5" customHeight="1" x14ac:dyDescent="0.2">
      <c r="A142" s="1766" t="s">
        <v>858</v>
      </c>
    </row>
    <row r="143" spans="1:105" ht="19.5" customHeight="1" x14ac:dyDescent="0.2">
      <c r="A143" s="1766" t="s">
        <v>859</v>
      </c>
    </row>
    <row r="144" spans="1:105" ht="19.5" customHeight="1" x14ac:dyDescent="0.2">
      <c r="A144" s="1766" t="s">
        <v>860</v>
      </c>
    </row>
    <row r="145" spans="1:13" ht="12.75" x14ac:dyDescent="0.2">
      <c r="A145" s="1766" t="s">
        <v>861</v>
      </c>
    </row>
    <row r="146" spans="1:13" ht="12.75" x14ac:dyDescent="0.2">
      <c r="A146" s="1766" t="s">
        <v>862</v>
      </c>
      <c r="B146" s="1330" t="e">
        <f>SUM(D11:T33,C37:G46,C50:D54,D58:M67,C70:C74,C77:C81,D86:K92,C95:F104,#REF!,C116:C134,E108:M111)</f>
        <v>#REF!</v>
      </c>
      <c r="C146" s="1331" t="s">
        <v>350</v>
      </c>
      <c r="D146" s="466"/>
      <c r="E146" s="466"/>
      <c r="F146" s="466"/>
      <c r="G146" s="466"/>
      <c r="H146" s="466"/>
      <c r="I146" s="466"/>
      <c r="J146" s="466"/>
      <c r="K146" s="466"/>
      <c r="L146" s="466"/>
      <c r="M146" s="466"/>
    </row>
    <row r="147" spans="1:13" ht="12.75" x14ac:dyDescent="0.2">
      <c r="A147" s="1766" t="s">
        <v>863</v>
      </c>
      <c r="B147" s="1330" t="e">
        <f>SUM(DB$10:EA136)</f>
        <v>#VALUE!</v>
      </c>
      <c r="C147" s="1331" t="s">
        <v>351</v>
      </c>
      <c r="D147" s="466"/>
      <c r="E147" s="466"/>
      <c r="F147" s="466"/>
      <c r="G147" s="466"/>
      <c r="H147" s="466"/>
      <c r="I147" s="466"/>
      <c r="J147" s="466"/>
      <c r="K147" s="466"/>
      <c r="L147" s="466"/>
      <c r="M147" s="466"/>
    </row>
    <row r="148" spans="1:13" ht="12.75" x14ac:dyDescent="0.2">
      <c r="A148" s="1766" t="s">
        <v>864</v>
      </c>
    </row>
  </sheetData>
  <mergeCells count="57">
    <mergeCell ref="B88:C88"/>
    <mergeCell ref="B89:C89"/>
    <mergeCell ref="B90:C90"/>
    <mergeCell ref="B91:C91"/>
    <mergeCell ref="B86:C86"/>
    <mergeCell ref="F35:F36"/>
    <mergeCell ref="B26:C26"/>
    <mergeCell ref="B11:C11"/>
    <mergeCell ref="E9:Q9"/>
    <mergeCell ref="E84:I84"/>
    <mergeCell ref="B84:C85"/>
    <mergeCell ref="D84:D85"/>
    <mergeCell ref="J84:J85"/>
    <mergeCell ref="K84:K85"/>
    <mergeCell ref="E35:E36"/>
    <mergeCell ref="B35:B36"/>
    <mergeCell ref="C35:C36"/>
    <mergeCell ref="B29:B30"/>
    <mergeCell ref="B31:B32"/>
    <mergeCell ref="B33:C33"/>
    <mergeCell ref="D6:Q6"/>
    <mergeCell ref="B75:F75"/>
    <mergeCell ref="B34:G34"/>
    <mergeCell ref="B114:I114"/>
    <mergeCell ref="B82:C82"/>
    <mergeCell ref="B56:B57"/>
    <mergeCell ref="C56:C57"/>
    <mergeCell ref="D56:D57"/>
    <mergeCell ref="B58:B62"/>
    <mergeCell ref="B63:B67"/>
    <mergeCell ref="B55:M55"/>
    <mergeCell ref="G35:G36"/>
    <mergeCell ref="B48:B49"/>
    <mergeCell ref="E56:M56"/>
    <mergeCell ref="B7:H7"/>
    <mergeCell ref="B9:C10"/>
    <mergeCell ref="B92:C92"/>
    <mergeCell ref="T9:T10"/>
    <mergeCell ref="B13:B17"/>
    <mergeCell ref="B19:B20"/>
    <mergeCell ref="B23:C23"/>
    <mergeCell ref="B27:C27"/>
    <mergeCell ref="B24:C24"/>
    <mergeCell ref="B25:C25"/>
    <mergeCell ref="B21:B22"/>
    <mergeCell ref="S9:S10"/>
    <mergeCell ref="D9:D10"/>
    <mergeCell ref="R9:R10"/>
    <mergeCell ref="C48:C49"/>
    <mergeCell ref="B28:C28"/>
    <mergeCell ref="D48:D49"/>
    <mergeCell ref="D35:D36"/>
    <mergeCell ref="B106:B107"/>
    <mergeCell ref="D106:D107"/>
    <mergeCell ref="E106:M106"/>
    <mergeCell ref="B108:B112"/>
    <mergeCell ref="C106:C107"/>
  </mergeCells>
  <phoneticPr fontId="27" type="noConversion"/>
  <dataValidations count="1">
    <dataValidation allowBlank="1" showInputMessage="1" showErrorMessage="1" errorTitle="Error de ingreso" error="Debe ingresar sólo números enteros positivos." sqref="B113:M1048576 C106:C107 E107:G107 N94:BZ104 N63:XFD93 DB94:XFD104 N62:AA62 AK62:XFD62 CB94:CZ104 F10:M104 N105:XFD1048576 B1:E104 F1:Q8 N10:Q61 R1:XFD61"/>
  </dataValidations>
  <printOptions gridLines="1"/>
  <pageMargins left="0.23622047244094491" right="0.23622047244094491" top="0.74803149606299213" bottom="0.74803149606299213" header="0.31496062992125984" footer="0.31496062992125984"/>
  <pageSetup scale="65" fitToHeight="0" orientation="landscape" r:id="rId1"/>
  <rowBreaks count="1" manualBreakCount="1">
    <brk id="54" min="1" max="1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0" tint="-0.14999847407452621"/>
  </sheetPr>
  <dimension ref="A1:EF162"/>
  <sheetViews>
    <sheetView showGridLines="0" zoomScaleNormal="100" workbookViewId="0"/>
  </sheetViews>
  <sheetFormatPr baseColWidth="10" defaultColWidth="11.42578125" defaultRowHeight="15" x14ac:dyDescent="0.25"/>
  <cols>
    <col min="1" max="1" width="25" style="216" customWidth="1"/>
    <col min="2" max="2" width="17.5703125" style="221" customWidth="1"/>
    <col min="3" max="3" width="40" style="221" customWidth="1"/>
    <col min="4" max="4" width="11.85546875" style="221" customWidth="1"/>
    <col min="5" max="5" width="10.7109375" style="221" customWidth="1"/>
    <col min="6" max="7" width="8.7109375" style="221" customWidth="1"/>
    <col min="8" max="8" width="9.140625" style="221" customWidth="1"/>
    <col min="9" max="9" width="10.140625" style="221" customWidth="1"/>
    <col min="10" max="10" width="10.85546875" style="221" customWidth="1"/>
    <col min="11" max="11" width="10.42578125" style="221" customWidth="1"/>
    <col min="12" max="12" width="11" style="221" customWidth="1"/>
    <col min="13" max="13" width="10.42578125" style="221" customWidth="1"/>
    <col min="14" max="28" width="8.7109375" style="221" customWidth="1"/>
    <col min="29" max="40" width="8.7109375" style="411" customWidth="1"/>
    <col min="41" max="41" width="8.42578125" style="411" customWidth="1"/>
    <col min="42" max="42" width="8.85546875" style="411" customWidth="1"/>
    <col min="43" max="44" width="9" style="411" customWidth="1"/>
    <col min="45" max="47" width="10.28515625" style="411" customWidth="1"/>
    <col min="48" max="49" width="10.42578125" style="221" customWidth="1"/>
    <col min="54" max="70" width="0" hidden="1" customWidth="1"/>
    <col min="71" max="74" width="10.42578125" style="216" hidden="1" customWidth="1"/>
    <col min="75" max="79" width="0" style="216" hidden="1" customWidth="1"/>
    <col min="80" max="90" width="10.42578125" style="474" hidden="1" customWidth="1"/>
    <col min="91" max="105" width="0" style="391" hidden="1" customWidth="1"/>
    <col min="106" max="115" width="10.42578125" style="474" hidden="1" customWidth="1"/>
    <col min="116" max="131" width="0" style="470" hidden="1" customWidth="1"/>
    <col min="132" max="16384" width="11.42578125" style="216"/>
  </cols>
  <sheetData>
    <row r="1" spans="1:131" s="481" customFormat="1" ht="13.5" customHeight="1" x14ac:dyDescent="0.15">
      <c r="B1" s="69" t="s">
        <v>0</v>
      </c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354"/>
      <c r="AD1" s="354"/>
      <c r="AE1" s="354"/>
      <c r="AF1" s="354"/>
      <c r="AG1" s="354"/>
      <c r="AH1" s="354"/>
      <c r="AI1" s="354"/>
      <c r="AJ1" s="354"/>
      <c r="AK1" s="354"/>
      <c r="AL1" s="354"/>
      <c r="AM1" s="354"/>
      <c r="AN1" s="354"/>
      <c r="AO1" s="354"/>
      <c r="AP1" s="354"/>
      <c r="AQ1" s="354"/>
      <c r="AR1" s="354"/>
      <c r="AS1" s="354"/>
      <c r="AT1" s="354"/>
      <c r="AU1" s="354"/>
      <c r="AV1" s="69"/>
      <c r="AW1" s="69"/>
      <c r="BS1" s="216"/>
      <c r="BT1" s="70"/>
      <c r="BU1" s="70"/>
      <c r="BV1" s="70"/>
      <c r="BW1" s="70"/>
      <c r="BX1" s="70"/>
      <c r="CB1" s="391"/>
      <c r="CC1" s="391"/>
      <c r="CD1" s="391"/>
      <c r="CE1" s="391"/>
      <c r="CF1" s="391"/>
      <c r="CG1" s="391"/>
      <c r="CH1" s="391"/>
      <c r="CI1" s="391"/>
      <c r="CJ1" s="391"/>
      <c r="CK1" s="391"/>
      <c r="CL1" s="391"/>
      <c r="CM1" s="391"/>
      <c r="CN1" s="391"/>
      <c r="CO1" s="391"/>
      <c r="CP1" s="391"/>
      <c r="CQ1" s="391"/>
      <c r="CR1" s="391"/>
      <c r="CS1" s="391"/>
      <c r="CT1" s="391"/>
      <c r="CU1" s="391"/>
      <c r="CV1" s="391"/>
      <c r="CW1" s="391"/>
      <c r="CX1" s="391"/>
      <c r="CY1" s="391"/>
      <c r="CZ1" s="391"/>
      <c r="DA1" s="391"/>
      <c r="DB1" s="470"/>
      <c r="DC1" s="470"/>
      <c r="DD1" s="470"/>
      <c r="DE1" s="470"/>
      <c r="DF1" s="470"/>
      <c r="DG1" s="470"/>
      <c r="DH1" s="470"/>
      <c r="DI1" s="470"/>
      <c r="DJ1" s="470"/>
      <c r="DK1" s="470"/>
      <c r="DL1" s="470"/>
      <c r="DM1" s="470"/>
      <c r="DN1" s="470"/>
      <c r="DO1" s="470"/>
      <c r="DP1" s="470"/>
      <c r="DQ1" s="470"/>
      <c r="DR1" s="470"/>
      <c r="DS1" s="470"/>
      <c r="DT1" s="470"/>
      <c r="DU1" s="470"/>
      <c r="DV1" s="470"/>
      <c r="DW1" s="470"/>
      <c r="DX1" s="470"/>
      <c r="DY1" s="470"/>
      <c r="DZ1" s="470"/>
      <c r="EA1" s="470"/>
    </row>
    <row r="2" spans="1:131" s="481" customFormat="1" ht="13.5" customHeight="1" x14ac:dyDescent="0.15">
      <c r="B2" s="69" t="str">
        <f>CONCATENATE("COMUNA: ",NOMBRE!$B$2," - ","( ",NOMBRE!$C$2,NOMBRE!$D$2,NOMBRE!$E$2,NOMBRE!$F$2,NOMBRE!$G$2," )")</f>
        <v>COMUNA:  - (  )</v>
      </c>
      <c r="C2" s="69"/>
      <c r="D2" s="69"/>
      <c r="E2" s="71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9"/>
      <c r="Z2" s="69"/>
      <c r="AA2" s="69"/>
      <c r="AB2" s="69"/>
      <c r="AC2" s="354"/>
      <c r="AD2" s="354"/>
      <c r="AE2" s="354"/>
      <c r="AF2" s="354"/>
      <c r="AG2" s="354"/>
      <c r="AH2" s="354"/>
      <c r="AI2" s="354"/>
      <c r="AJ2" s="354"/>
      <c r="AK2" s="354"/>
      <c r="AL2" s="354"/>
      <c r="AM2" s="354"/>
      <c r="AN2" s="354"/>
      <c r="AO2" s="354"/>
      <c r="AP2" s="354"/>
      <c r="AQ2" s="354"/>
      <c r="AR2" s="354"/>
      <c r="AS2" s="354"/>
      <c r="AT2" s="354"/>
      <c r="AU2" s="354"/>
      <c r="AV2" s="69"/>
      <c r="AW2" s="69"/>
      <c r="BS2" s="216"/>
      <c r="BT2" s="70"/>
      <c r="BU2" s="70"/>
      <c r="BV2" s="70"/>
      <c r="BW2" s="70"/>
      <c r="BX2" s="70"/>
      <c r="CB2" s="391"/>
      <c r="CC2" s="391"/>
      <c r="CD2" s="391"/>
      <c r="CE2" s="391"/>
      <c r="CF2" s="391"/>
      <c r="CG2" s="391"/>
      <c r="CH2" s="391"/>
      <c r="CI2" s="391"/>
      <c r="CJ2" s="391"/>
      <c r="CK2" s="391"/>
      <c r="CL2" s="391"/>
      <c r="CM2" s="391"/>
      <c r="CN2" s="391"/>
      <c r="CO2" s="391"/>
      <c r="CP2" s="391"/>
      <c r="CQ2" s="391"/>
      <c r="CR2" s="391"/>
      <c r="CS2" s="391"/>
      <c r="CT2" s="391"/>
      <c r="CU2" s="391"/>
      <c r="CV2" s="391"/>
      <c r="CW2" s="391"/>
      <c r="CX2" s="391"/>
      <c r="CY2" s="391"/>
      <c r="CZ2" s="391"/>
      <c r="DA2" s="391"/>
      <c r="DB2" s="470"/>
      <c r="DC2" s="470"/>
      <c r="DD2" s="470"/>
      <c r="DE2" s="470"/>
      <c r="DF2" s="470"/>
      <c r="DG2" s="470"/>
      <c r="DH2" s="470"/>
      <c r="DI2" s="470"/>
      <c r="DJ2" s="470"/>
      <c r="DK2" s="470"/>
      <c r="DL2" s="470"/>
      <c r="DM2" s="470"/>
      <c r="DN2" s="470"/>
      <c r="DO2" s="470"/>
      <c r="DP2" s="470"/>
      <c r="DQ2" s="470"/>
      <c r="DR2" s="470"/>
      <c r="DS2" s="470"/>
      <c r="DT2" s="470"/>
      <c r="DU2" s="470"/>
      <c r="DV2" s="470"/>
      <c r="DW2" s="470"/>
      <c r="DX2" s="470"/>
      <c r="DY2" s="470"/>
      <c r="DZ2" s="470"/>
      <c r="EA2" s="470"/>
    </row>
    <row r="3" spans="1:131" s="481" customFormat="1" ht="13.5" customHeight="1" x14ac:dyDescent="0.15">
      <c r="B3" s="69" t="str">
        <f>CONCATENATE("ESTABLECIMIENTO/ESTRATEGIA: ",NOMBRE!$B$3," - ","( ",NOMBRE!$C$3,NOMBRE!$D$3,NOMBRE!$E$3,NOMBRE!$F$3,NOMBRE!$G$3,NOMBRE!$H$3," )")</f>
        <v>ESTABLECIMIENTO/ESTRATEGIA:  - (  )</v>
      </c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  <c r="AB3" s="69"/>
      <c r="AC3" s="354"/>
      <c r="AD3" s="354"/>
      <c r="AE3" s="354"/>
      <c r="AF3" s="354"/>
      <c r="AG3" s="354"/>
      <c r="AH3" s="354"/>
      <c r="AI3" s="354"/>
      <c r="AJ3" s="354"/>
      <c r="AK3" s="354"/>
      <c r="AL3" s="354"/>
      <c r="AM3" s="354"/>
      <c r="AN3" s="354"/>
      <c r="AO3" s="354"/>
      <c r="AP3" s="354"/>
      <c r="AQ3" s="354"/>
      <c r="AR3" s="354"/>
      <c r="AS3" s="354"/>
      <c r="AT3" s="354"/>
      <c r="AU3" s="354"/>
      <c r="AV3" s="69"/>
      <c r="AW3" s="69"/>
      <c r="BS3" s="216"/>
      <c r="BT3" s="70"/>
      <c r="BU3" s="70"/>
      <c r="BV3" s="70"/>
      <c r="BW3" s="70"/>
      <c r="BX3" s="70"/>
      <c r="CB3" s="391"/>
      <c r="CC3" s="391"/>
      <c r="CD3" s="391"/>
      <c r="CE3" s="391"/>
      <c r="CF3" s="391"/>
      <c r="CG3" s="391"/>
      <c r="CH3" s="391"/>
      <c r="CI3" s="391"/>
      <c r="CJ3" s="391"/>
      <c r="CK3" s="391"/>
      <c r="CL3" s="391"/>
      <c r="CM3" s="391"/>
      <c r="CN3" s="391"/>
      <c r="CO3" s="391"/>
      <c r="CP3" s="391"/>
      <c r="CQ3" s="391"/>
      <c r="CR3" s="391"/>
      <c r="CS3" s="391"/>
      <c r="CT3" s="391"/>
      <c r="CU3" s="391"/>
      <c r="CV3" s="391"/>
      <c r="CW3" s="391"/>
      <c r="CX3" s="391"/>
      <c r="CY3" s="391"/>
      <c r="CZ3" s="391"/>
      <c r="DA3" s="391"/>
      <c r="DB3" s="470"/>
      <c r="DC3" s="470"/>
      <c r="DD3" s="470"/>
      <c r="DE3" s="470"/>
      <c r="DF3" s="470"/>
      <c r="DG3" s="470"/>
      <c r="DH3" s="470"/>
      <c r="DI3" s="470"/>
      <c r="DJ3" s="470"/>
      <c r="DK3" s="470"/>
      <c r="DL3" s="470"/>
      <c r="DM3" s="470"/>
      <c r="DN3" s="470"/>
      <c r="DO3" s="470"/>
      <c r="DP3" s="470"/>
      <c r="DQ3" s="470"/>
      <c r="DR3" s="470"/>
      <c r="DS3" s="470"/>
      <c r="DT3" s="470"/>
      <c r="DU3" s="470"/>
      <c r="DV3" s="470"/>
      <c r="DW3" s="470"/>
      <c r="DX3" s="470"/>
      <c r="DY3" s="470"/>
      <c r="DZ3" s="470"/>
      <c r="EA3" s="470"/>
    </row>
    <row r="4" spans="1:131" s="481" customFormat="1" ht="13.5" customHeight="1" x14ac:dyDescent="0.15">
      <c r="B4" s="69" t="str">
        <f>CONCATENATE("MES: ",NOMBRE!$B$6," - ","( ",NOMBRE!$C$6,NOMBRE!$D$6," )")</f>
        <v>MES:  - (  )</v>
      </c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9"/>
      <c r="Z4" s="69"/>
      <c r="AA4" s="69"/>
      <c r="AB4" s="69"/>
      <c r="AC4" s="354"/>
      <c r="AD4" s="354"/>
      <c r="AE4" s="354"/>
      <c r="AF4" s="354"/>
      <c r="AG4" s="354"/>
      <c r="AH4" s="354"/>
      <c r="AI4" s="354"/>
      <c r="AJ4" s="354"/>
      <c r="AK4" s="354"/>
      <c r="AL4" s="354"/>
      <c r="AM4" s="354"/>
      <c r="AN4" s="354"/>
      <c r="AO4" s="354"/>
      <c r="AP4" s="354"/>
      <c r="AQ4" s="354"/>
      <c r="AR4" s="354"/>
      <c r="AS4" s="354"/>
      <c r="AT4" s="354"/>
      <c r="AU4" s="354"/>
      <c r="AV4" s="69"/>
      <c r="AW4" s="69"/>
      <c r="BS4" s="216"/>
      <c r="BT4" s="70"/>
      <c r="BU4" s="70"/>
      <c r="BV4" s="70"/>
      <c r="BW4" s="70"/>
      <c r="BX4" s="70"/>
      <c r="CB4" s="391"/>
      <c r="CC4" s="391"/>
      <c r="CD4" s="391"/>
      <c r="CE4" s="391"/>
      <c r="CF4" s="391"/>
      <c r="CG4" s="391"/>
      <c r="CH4" s="391"/>
      <c r="CI4" s="391"/>
      <c r="CJ4" s="391"/>
      <c r="CK4" s="391"/>
      <c r="CL4" s="391"/>
      <c r="CM4" s="391"/>
      <c r="CN4" s="391"/>
      <c r="CO4" s="391"/>
      <c r="CP4" s="391"/>
      <c r="CQ4" s="391"/>
      <c r="CR4" s="391"/>
      <c r="CS4" s="391"/>
      <c r="CT4" s="391"/>
      <c r="CU4" s="391"/>
      <c r="CV4" s="391"/>
      <c r="CW4" s="391"/>
      <c r="CX4" s="391"/>
      <c r="CY4" s="391"/>
      <c r="CZ4" s="391"/>
      <c r="DA4" s="391"/>
      <c r="DB4" s="470"/>
      <c r="DC4" s="470"/>
      <c r="DD4" s="470"/>
      <c r="DE4" s="470"/>
      <c r="DF4" s="470"/>
      <c r="DG4" s="470"/>
      <c r="DH4" s="470"/>
      <c r="DI4" s="470"/>
      <c r="DJ4" s="470"/>
      <c r="DK4" s="470"/>
      <c r="DL4" s="470"/>
      <c r="DM4" s="470"/>
      <c r="DN4" s="470"/>
      <c r="DO4" s="470"/>
      <c r="DP4" s="470"/>
      <c r="DQ4" s="470"/>
      <c r="DR4" s="470"/>
      <c r="DS4" s="470"/>
      <c r="DT4" s="470"/>
      <c r="DU4" s="470"/>
      <c r="DV4" s="470"/>
      <c r="DW4" s="470"/>
      <c r="DX4" s="470"/>
      <c r="DY4" s="470"/>
      <c r="DZ4" s="470"/>
      <c r="EA4" s="470"/>
    </row>
    <row r="5" spans="1:131" s="481" customFormat="1" ht="13.5" customHeight="1" x14ac:dyDescent="0.15">
      <c r="B5" s="69" t="str">
        <f>CONCATENATE("AÑO: ",NOMBRE!$B$7)</f>
        <v>AÑO: 2021</v>
      </c>
      <c r="C5" s="69"/>
      <c r="D5" s="69"/>
      <c r="E5" s="69"/>
      <c r="F5" s="69"/>
      <c r="G5" s="69"/>
      <c r="H5" s="69"/>
      <c r="I5" s="69"/>
      <c r="J5" s="69"/>
      <c r="K5" s="69"/>
      <c r="L5" s="69"/>
      <c r="M5" s="69"/>
      <c r="N5" s="69"/>
      <c r="O5" s="69"/>
      <c r="P5" s="69"/>
      <c r="Q5" s="69"/>
      <c r="R5" s="69"/>
      <c r="S5" s="69"/>
      <c r="T5" s="69"/>
      <c r="U5" s="69"/>
      <c r="V5" s="69"/>
      <c r="W5" s="69"/>
      <c r="X5" s="69"/>
      <c r="Y5" s="69"/>
      <c r="Z5" s="69"/>
      <c r="AA5" s="69"/>
      <c r="AB5" s="69"/>
      <c r="AC5" s="354"/>
      <c r="AD5" s="354"/>
      <c r="AE5" s="354"/>
      <c r="AF5" s="354"/>
      <c r="AG5" s="354"/>
      <c r="AH5" s="354"/>
      <c r="AI5" s="354"/>
      <c r="AJ5" s="354"/>
      <c r="AK5" s="354"/>
      <c r="AL5" s="354"/>
      <c r="AM5" s="354"/>
      <c r="AN5" s="354"/>
      <c r="AO5" s="354"/>
      <c r="AP5" s="354"/>
      <c r="AQ5" s="354"/>
      <c r="AR5" s="354"/>
      <c r="AS5" s="354"/>
      <c r="AT5" s="354"/>
      <c r="AU5" s="354"/>
      <c r="AV5" s="69"/>
      <c r="AW5" s="69"/>
      <c r="BS5" s="216"/>
      <c r="BT5" s="70"/>
      <c r="BU5" s="70"/>
      <c r="BV5" s="70"/>
      <c r="BW5" s="70"/>
      <c r="BX5" s="70"/>
      <c r="CB5" s="391"/>
      <c r="CC5" s="391"/>
      <c r="CD5" s="391"/>
      <c r="CE5" s="391"/>
      <c r="CF5" s="391"/>
      <c r="CG5" s="391"/>
      <c r="CH5" s="391"/>
      <c r="CI5" s="391"/>
      <c r="CJ5" s="391"/>
      <c r="CK5" s="391"/>
      <c r="CL5" s="391"/>
      <c r="CM5" s="391"/>
      <c r="CN5" s="391"/>
      <c r="CO5" s="391"/>
      <c r="CP5" s="391"/>
      <c r="CQ5" s="391"/>
      <c r="CR5" s="391"/>
      <c r="CS5" s="391"/>
      <c r="CT5" s="391"/>
      <c r="CU5" s="391"/>
      <c r="CV5" s="391"/>
      <c r="CW5" s="391"/>
      <c r="CX5" s="391"/>
      <c r="CY5" s="391"/>
      <c r="CZ5" s="391"/>
      <c r="DA5" s="391"/>
      <c r="DB5" s="470"/>
      <c r="DC5" s="470"/>
      <c r="DD5" s="470"/>
      <c r="DE5" s="470"/>
      <c r="DF5" s="470"/>
      <c r="DG5" s="470"/>
      <c r="DH5" s="470"/>
      <c r="DI5" s="470"/>
      <c r="DJ5" s="470"/>
      <c r="DK5" s="470"/>
      <c r="DL5" s="470"/>
      <c r="DM5" s="470"/>
      <c r="DN5" s="470"/>
      <c r="DO5" s="470"/>
      <c r="DP5" s="470"/>
      <c r="DQ5" s="470"/>
      <c r="DR5" s="470"/>
      <c r="DS5" s="470"/>
      <c r="DT5" s="470"/>
      <c r="DU5" s="470"/>
      <c r="DV5" s="470"/>
      <c r="DW5" s="470"/>
      <c r="DX5" s="470"/>
      <c r="DY5" s="470"/>
      <c r="DZ5" s="470"/>
      <c r="EA5" s="470"/>
    </row>
    <row r="6" spans="1:131" ht="21.95" customHeight="1" x14ac:dyDescent="0.25">
      <c r="B6" s="2048" t="s">
        <v>746</v>
      </c>
      <c r="C6" s="2048"/>
      <c r="D6" s="2048"/>
      <c r="E6" s="2048"/>
      <c r="F6" s="2048"/>
      <c r="G6" s="2048"/>
      <c r="H6" s="2048"/>
      <c r="I6" s="2048"/>
      <c r="J6" s="2048"/>
      <c r="K6" s="2048"/>
      <c r="L6" s="2048"/>
      <c r="M6" s="2048"/>
      <c r="N6" s="2048"/>
      <c r="O6" s="2048"/>
      <c r="P6" s="2048"/>
      <c r="Q6" s="2048"/>
      <c r="R6" s="2048"/>
      <c r="S6" s="2048"/>
      <c r="T6" s="2048"/>
      <c r="U6" s="2048"/>
      <c r="V6" s="2048"/>
      <c r="W6" s="2048"/>
      <c r="X6" s="2048"/>
      <c r="Y6" s="2048"/>
      <c r="Z6" s="621"/>
      <c r="AA6" s="621"/>
      <c r="AB6" s="621"/>
      <c r="AC6" s="621"/>
      <c r="AD6" s="621"/>
      <c r="AE6" s="621"/>
      <c r="AF6" s="621"/>
      <c r="AG6" s="621"/>
      <c r="AH6" s="621"/>
      <c r="AI6" s="621"/>
      <c r="AJ6" s="621"/>
      <c r="AK6" s="621"/>
      <c r="AL6" s="621"/>
      <c r="AM6" s="621"/>
      <c r="AN6" s="621"/>
      <c r="AO6" s="621"/>
      <c r="AP6" s="621"/>
      <c r="AQ6" s="621"/>
      <c r="AR6" s="621"/>
      <c r="AS6" s="621"/>
      <c r="AT6" s="621"/>
      <c r="AU6" s="621"/>
      <c r="AV6" s="621"/>
      <c r="AW6" s="621"/>
      <c r="CB6" s="622"/>
      <c r="DB6" s="470"/>
      <c r="DC6" s="470"/>
      <c r="DD6" s="470"/>
      <c r="DE6" s="470"/>
      <c r="DF6" s="470"/>
      <c r="DG6" s="470"/>
      <c r="DH6" s="470"/>
      <c r="DI6" s="470"/>
      <c r="DJ6" s="470"/>
      <c r="DK6" s="470"/>
    </row>
    <row r="7" spans="1:131" ht="43.5" customHeight="1" x14ac:dyDescent="0.25">
      <c r="B7" s="637" t="s">
        <v>462</v>
      </c>
      <c r="C7" s="637"/>
      <c r="D7" s="623"/>
      <c r="E7" s="623"/>
      <c r="F7" s="623"/>
      <c r="G7" s="623"/>
      <c r="H7" s="623"/>
      <c r="I7" s="623"/>
      <c r="J7" s="623"/>
      <c r="K7" s="623"/>
      <c r="L7" s="623"/>
      <c r="M7" s="623"/>
      <c r="N7" s="623"/>
      <c r="O7" s="623"/>
      <c r="P7" s="623"/>
      <c r="Q7" s="623"/>
      <c r="R7" s="623"/>
      <c r="S7" s="413"/>
      <c r="T7" s="413"/>
      <c r="U7" s="413"/>
      <c r="V7" s="413"/>
      <c r="W7" s="413"/>
      <c r="X7" s="413"/>
      <c r="Y7" s="413"/>
      <c r="Z7" s="413"/>
      <c r="AA7" s="413"/>
      <c r="AB7" s="413"/>
      <c r="AC7" s="467"/>
      <c r="AD7" s="467"/>
      <c r="AE7" s="467"/>
      <c r="AF7" s="467"/>
      <c r="AG7" s="467"/>
      <c r="AH7" s="467"/>
      <c r="AI7" s="467"/>
      <c r="AJ7" s="467"/>
      <c r="AK7" s="467"/>
      <c r="AL7" s="467"/>
      <c r="AM7" s="467"/>
      <c r="AN7" s="467"/>
      <c r="AO7" s="467"/>
      <c r="AP7" s="467"/>
      <c r="AQ7" s="467"/>
      <c r="AR7" s="467"/>
      <c r="AS7" s="467"/>
      <c r="AT7" s="467"/>
      <c r="AU7" s="467"/>
      <c r="AV7" s="624"/>
      <c r="AW7" s="413"/>
      <c r="CB7" s="478"/>
      <c r="CC7" s="478"/>
      <c r="CD7" s="478"/>
      <c r="CE7" s="478"/>
      <c r="CF7" s="478"/>
      <c r="CG7" s="478"/>
      <c r="CH7" s="478"/>
      <c r="DB7" s="470"/>
      <c r="DC7" s="470"/>
      <c r="DD7" s="470"/>
      <c r="DE7" s="470"/>
      <c r="DF7" s="470"/>
      <c r="DG7" s="470"/>
      <c r="DH7" s="470"/>
      <c r="DI7" s="470"/>
      <c r="DJ7" s="470"/>
      <c r="DK7" s="470"/>
    </row>
    <row r="8" spans="1:131" ht="16.5" customHeight="1" x14ac:dyDescent="0.25">
      <c r="B8" s="1973" t="s">
        <v>82</v>
      </c>
      <c r="C8" s="2000"/>
      <c r="D8" s="2057" t="s">
        <v>15</v>
      </c>
      <c r="E8" s="2058"/>
      <c r="F8" s="2059"/>
      <c r="G8" s="2045" t="s">
        <v>83</v>
      </c>
      <c r="H8" s="2046"/>
      <c r="I8" s="2046"/>
      <c r="J8" s="2046"/>
      <c r="K8" s="2046"/>
      <c r="L8" s="2046"/>
      <c r="M8" s="2046"/>
      <c r="N8" s="2046"/>
      <c r="O8" s="2046"/>
      <c r="P8" s="2046"/>
      <c r="Q8" s="2046"/>
      <c r="R8" s="2046"/>
      <c r="S8" s="2046"/>
      <c r="T8" s="2046"/>
      <c r="U8" s="2046"/>
      <c r="V8" s="2046"/>
      <c r="W8" s="2046"/>
      <c r="X8" s="2046"/>
      <c r="Y8" s="2046"/>
      <c r="Z8" s="2046"/>
      <c r="AA8" s="2046"/>
      <c r="AB8" s="2046"/>
      <c r="AC8" s="2046"/>
      <c r="AD8" s="2046"/>
      <c r="AE8" s="2046"/>
      <c r="AF8" s="2046"/>
      <c r="AG8" s="2046"/>
      <c r="AH8" s="2047"/>
      <c r="AI8" s="2049" t="s">
        <v>17</v>
      </c>
      <c r="AJ8" s="2050"/>
      <c r="AK8" s="2053" t="s">
        <v>527</v>
      </c>
      <c r="AL8" s="2054"/>
      <c r="AM8" s="358"/>
      <c r="AN8" s="358"/>
      <c r="AO8" s="358"/>
      <c r="AP8" s="358"/>
      <c r="AQ8" s="358"/>
      <c r="AR8" s="358"/>
      <c r="AS8" s="358"/>
      <c r="AT8" s="358"/>
      <c r="AU8" s="358"/>
      <c r="AV8" s="358"/>
      <c r="AW8" s="358"/>
      <c r="BT8" s="221"/>
      <c r="CB8" s="625"/>
      <c r="CC8" s="625"/>
      <c r="CD8" s="625"/>
      <c r="CE8" s="626"/>
      <c r="CF8" s="488"/>
      <c r="CG8" s="488"/>
      <c r="CH8" s="488"/>
      <c r="DB8" s="470"/>
      <c r="DC8" s="470"/>
      <c r="DD8" s="470"/>
      <c r="DE8" s="470"/>
      <c r="DF8" s="470"/>
      <c r="DG8" s="470"/>
      <c r="DH8" s="470"/>
      <c r="DI8" s="470"/>
      <c r="DJ8" s="470"/>
      <c r="DK8" s="470"/>
    </row>
    <row r="9" spans="1:131" ht="24" customHeight="1" x14ac:dyDescent="0.25">
      <c r="B9" s="2001"/>
      <c r="C9" s="2002"/>
      <c r="D9" s="2060"/>
      <c r="E9" s="1986"/>
      <c r="F9" s="1987"/>
      <c r="G9" s="1988" t="s">
        <v>84</v>
      </c>
      <c r="H9" s="1989"/>
      <c r="I9" s="1988" t="s">
        <v>85</v>
      </c>
      <c r="J9" s="1989"/>
      <c r="K9" s="1988" t="s">
        <v>86</v>
      </c>
      <c r="L9" s="1989"/>
      <c r="M9" s="1988" t="s">
        <v>87</v>
      </c>
      <c r="N9" s="1989"/>
      <c r="O9" s="1988" t="s">
        <v>88</v>
      </c>
      <c r="P9" s="1989"/>
      <c r="Q9" s="1988" t="s">
        <v>89</v>
      </c>
      <c r="R9" s="1989"/>
      <c r="S9" s="1988" t="s">
        <v>90</v>
      </c>
      <c r="T9" s="1989"/>
      <c r="U9" s="1988" t="s">
        <v>91</v>
      </c>
      <c r="V9" s="1989"/>
      <c r="W9" s="1988" t="s">
        <v>92</v>
      </c>
      <c r="X9" s="1989"/>
      <c r="Y9" s="1988" t="s">
        <v>93</v>
      </c>
      <c r="Z9" s="1989"/>
      <c r="AA9" s="1988" t="s">
        <v>94</v>
      </c>
      <c r="AB9" s="1989"/>
      <c r="AC9" s="1988" t="s">
        <v>95</v>
      </c>
      <c r="AD9" s="1989"/>
      <c r="AE9" s="1988" t="s">
        <v>96</v>
      </c>
      <c r="AF9" s="1989"/>
      <c r="AG9" s="1988" t="s">
        <v>97</v>
      </c>
      <c r="AH9" s="2056"/>
      <c r="AI9" s="2051"/>
      <c r="AJ9" s="2052"/>
      <c r="AK9" s="2055"/>
      <c r="AL9" s="1924"/>
      <c r="AM9" s="357"/>
      <c r="AN9" s="357"/>
      <c r="AO9" s="357"/>
      <c r="AP9" s="357"/>
      <c r="AQ9" s="357"/>
      <c r="AR9" s="357"/>
      <c r="AS9" s="357"/>
      <c r="AT9" s="357"/>
      <c r="AU9" s="357"/>
      <c r="AV9" s="357"/>
      <c r="AW9" s="357"/>
      <c r="BT9" s="221"/>
      <c r="CB9" s="627"/>
      <c r="CC9" s="627"/>
      <c r="CD9" s="627"/>
      <c r="CE9" s="628"/>
      <c r="CF9" s="488"/>
      <c r="CG9" s="488"/>
      <c r="CH9" s="488"/>
      <c r="DB9" s="470"/>
      <c r="DC9" s="470"/>
      <c r="DD9" s="470"/>
      <c r="DE9" s="470"/>
      <c r="DF9" s="470"/>
      <c r="DG9" s="470"/>
      <c r="DH9" s="470"/>
      <c r="DI9" s="470"/>
      <c r="DJ9" s="470"/>
      <c r="DK9" s="470"/>
    </row>
    <row r="10" spans="1:131" ht="30.75" customHeight="1" x14ac:dyDescent="0.25">
      <c r="B10" s="2003"/>
      <c r="C10" s="2004"/>
      <c r="D10" s="113" t="s">
        <v>412</v>
      </c>
      <c r="E10" s="114" t="s">
        <v>33</v>
      </c>
      <c r="F10" s="1314" t="s">
        <v>100</v>
      </c>
      <c r="G10" s="114" t="s">
        <v>33</v>
      </c>
      <c r="H10" s="115" t="s">
        <v>100</v>
      </c>
      <c r="I10" s="114" t="s">
        <v>33</v>
      </c>
      <c r="J10" s="115" t="s">
        <v>100</v>
      </c>
      <c r="K10" s="114" t="s">
        <v>33</v>
      </c>
      <c r="L10" s="115" t="s">
        <v>100</v>
      </c>
      <c r="M10" s="114" t="s">
        <v>33</v>
      </c>
      <c r="N10" s="115" t="s">
        <v>100</v>
      </c>
      <c r="O10" s="114" t="s">
        <v>33</v>
      </c>
      <c r="P10" s="115" t="s">
        <v>100</v>
      </c>
      <c r="Q10" s="114" t="s">
        <v>33</v>
      </c>
      <c r="R10" s="115" t="s">
        <v>100</v>
      </c>
      <c r="S10" s="114" t="s">
        <v>33</v>
      </c>
      <c r="T10" s="115" t="s">
        <v>100</v>
      </c>
      <c r="U10" s="114" t="s">
        <v>33</v>
      </c>
      <c r="V10" s="115" t="s">
        <v>100</v>
      </c>
      <c r="W10" s="114" t="s">
        <v>33</v>
      </c>
      <c r="X10" s="115" t="s">
        <v>100</v>
      </c>
      <c r="Y10" s="114" t="s">
        <v>33</v>
      </c>
      <c r="Z10" s="115" t="s">
        <v>100</v>
      </c>
      <c r="AA10" s="114" t="s">
        <v>33</v>
      </c>
      <c r="AB10" s="115" t="s">
        <v>100</v>
      </c>
      <c r="AC10" s="114" t="s">
        <v>33</v>
      </c>
      <c r="AD10" s="115" t="s">
        <v>100</v>
      </c>
      <c r="AE10" s="114" t="s">
        <v>33</v>
      </c>
      <c r="AF10" s="115" t="s">
        <v>100</v>
      </c>
      <c r="AG10" s="114" t="s">
        <v>33</v>
      </c>
      <c r="AH10" s="116" t="s">
        <v>100</v>
      </c>
      <c r="AI10" s="468" t="s">
        <v>33</v>
      </c>
      <c r="AJ10" s="1501" t="s">
        <v>100</v>
      </c>
      <c r="AK10" s="1501" t="s">
        <v>33</v>
      </c>
      <c r="AL10" s="429" t="s">
        <v>100</v>
      </c>
      <c r="AM10" s="359"/>
      <c r="AN10" s="359"/>
      <c r="AO10" s="359"/>
      <c r="AP10" s="359"/>
      <c r="AQ10" s="359"/>
      <c r="AR10" s="359"/>
      <c r="AS10" s="359"/>
      <c r="AT10" s="359"/>
      <c r="AU10" s="359"/>
      <c r="AV10" s="359"/>
      <c r="AW10" s="359"/>
      <c r="CB10" s="628"/>
      <c r="CC10" s="628"/>
      <c r="CD10" s="628"/>
      <c r="CE10" s="628"/>
      <c r="CF10" s="605"/>
      <c r="CG10" s="605"/>
      <c r="CH10" s="605"/>
      <c r="DB10" s="470"/>
      <c r="DC10" s="470"/>
      <c r="DD10" s="470"/>
      <c r="DE10" s="470"/>
      <c r="DF10" s="470"/>
      <c r="DG10" s="470"/>
      <c r="DH10" s="470"/>
      <c r="DI10" s="470"/>
      <c r="DJ10" s="470"/>
      <c r="DK10" s="470"/>
    </row>
    <row r="11" spans="1:131" ht="21.75" customHeight="1" x14ac:dyDescent="0.25">
      <c r="A11" s="1775" t="s">
        <v>888</v>
      </c>
      <c r="B11" s="1980" t="s">
        <v>101</v>
      </c>
      <c r="C11" s="2044"/>
      <c r="D11" s="831" t="s">
        <v>1384</v>
      </c>
      <c r="E11" s="1315" t="s">
        <v>1385</v>
      </c>
      <c r="F11" s="919" t="s">
        <v>1386</v>
      </c>
      <c r="G11" s="833" t="s">
        <v>1387</v>
      </c>
      <c r="H11" s="834" t="s">
        <v>1388</v>
      </c>
      <c r="I11" s="833" t="s">
        <v>1389</v>
      </c>
      <c r="J11" s="834" t="s">
        <v>1390</v>
      </c>
      <c r="K11" s="833" t="s">
        <v>1391</v>
      </c>
      <c r="L11" s="834" t="s">
        <v>1392</v>
      </c>
      <c r="M11" s="833" t="s">
        <v>1393</v>
      </c>
      <c r="N11" s="835" t="s">
        <v>1394</v>
      </c>
      <c r="O11" s="836" t="s">
        <v>1395</v>
      </c>
      <c r="P11" s="837" t="s">
        <v>1396</v>
      </c>
      <c r="Q11" s="836" t="s">
        <v>1397</v>
      </c>
      <c r="R11" s="837" t="s">
        <v>1398</v>
      </c>
      <c r="S11" s="838" t="s">
        <v>1399</v>
      </c>
      <c r="T11" s="834" t="s">
        <v>1400</v>
      </c>
      <c r="U11" s="833" t="s">
        <v>1401</v>
      </c>
      <c r="V11" s="835" t="s">
        <v>1402</v>
      </c>
      <c r="W11" s="836" t="s">
        <v>1403</v>
      </c>
      <c r="X11" s="837" t="s">
        <v>1404</v>
      </c>
      <c r="Y11" s="836" t="s">
        <v>1405</v>
      </c>
      <c r="Z11" s="837" t="s">
        <v>1406</v>
      </c>
      <c r="AA11" s="836" t="s">
        <v>1407</v>
      </c>
      <c r="AB11" s="837" t="s">
        <v>1408</v>
      </c>
      <c r="AC11" s="836" t="s">
        <v>1409</v>
      </c>
      <c r="AD11" s="1313" t="s">
        <v>1410</v>
      </c>
      <c r="AE11" s="836" t="s">
        <v>1411</v>
      </c>
      <c r="AF11" s="837" t="s">
        <v>1412</v>
      </c>
      <c r="AG11" s="836" t="s">
        <v>1413</v>
      </c>
      <c r="AH11" s="839" t="s">
        <v>1414</v>
      </c>
      <c r="AI11" s="840" t="s">
        <v>1415</v>
      </c>
      <c r="AJ11" s="1504" t="s">
        <v>1416</v>
      </c>
      <c r="AK11" s="1502" t="s">
        <v>1417</v>
      </c>
      <c r="AL11" s="837" t="s">
        <v>1418</v>
      </c>
      <c r="AM11" s="89" t="e">
        <f xml:space="preserve"> CC11 &amp; CD11 &amp; CE11 &amp; CF11 &amp; CG11 &amp; CH11 &amp; CI11 &amp; CJ11 &amp; CH12 &amp; CC12 &amp; CD12 &amp; CE12 &amp; CF12 &amp; CG12 &amp; CI12 &amp; CJ12 &amp; CK12 &amp; CJ13 &amp; CK13</f>
        <v>#VALUE!</v>
      </c>
      <c r="AN11" s="124"/>
      <c r="AO11" s="124"/>
      <c r="AP11" s="124"/>
      <c r="AQ11" s="124"/>
      <c r="AR11" s="124"/>
      <c r="AS11" s="124"/>
      <c r="AT11" s="124"/>
      <c r="AU11" s="124"/>
      <c r="AV11" s="124"/>
      <c r="AW11" s="124"/>
      <c r="CB11" s="629"/>
      <c r="CC11" s="490" t="e">
        <f>IF($I$11+$J$11&lt;&gt;$I$38+$J$38,"* El Total de niños (as) en Control de 1 mes debe ser igual al Total de niños(as) según Diagnóstico Nutricional Integrado. ","")</f>
        <v>#VALUE!</v>
      </c>
      <c r="CD11" s="490" t="e">
        <f>IF($K$11+$L$11&lt;&gt;$K$38+$L$38,"* El Total de niños (as) en Control de 2 meses debe ser igual al Total de niños(as) según Diagnóstico Nutricional Integrado. ","")</f>
        <v>#VALUE!</v>
      </c>
      <c r="CE11" s="490" t="e">
        <f>IF($M$11+$N$11&lt;&gt;$M$38+$N$38,"* El Total de niños (as) en Control de 3 meses debe ser igual al Total de niños(as) según Diagnóstico Nutricional Integrado. ","")</f>
        <v>#VALUE!</v>
      </c>
      <c r="CF11" s="490" t="e">
        <f>IF($O$11+$P$11&lt;&gt;$O$38+$P$38,"* El Total de niños (as) en Control de 4 meses debe ser igual al Total de niños(as) según Diagnóstico Nutricional Integrado. ","")</f>
        <v>#VALUE!</v>
      </c>
      <c r="CG11" s="490" t="e">
        <f>IF($Q$11+$R$11&lt;&gt;$Q$38+$R$38,"* El Total de niños (as) en Control de 5 meses debe ser igual al Total de niños(as) según Diagnóstico Nutricional Integrado. ","")</f>
        <v>#VALUE!</v>
      </c>
      <c r="CH11" s="490" t="e">
        <f>IF($S$11+$T$11&lt;&gt;$S$38+$T$38,"* El Total de niños (as) en Control de 6 meses debe ser igual al Total de niños(as) según Diagnóstico Nutricional Integrado. ","")</f>
        <v>#VALUE!</v>
      </c>
      <c r="CI11" s="490" t="e">
        <f>IF($U$11+$V$11&lt;&gt;$U$38+$V$38,"* El Total de niños (as) en Control de 7 a 11 meses debe ser igual al Total de niños(as) según Diagnóstico Nutricional Integrado. ","")</f>
        <v>#VALUE!</v>
      </c>
      <c r="CJ11" s="490" t="e">
        <f>IF($W$11+$X$11&lt;&gt;$W$38+$X$38,"* El Total de niños (as) en Control de 12 a 17 meses debe ser igual al Total de niños(as) según Diagnóstico Nutricional Integrado. ","")</f>
        <v>#VALUE!</v>
      </c>
      <c r="CK11" s="406"/>
      <c r="DB11" s="486" t="e">
        <f>IF($I$11+$J$11&lt;&gt;$I$38+$J$38,1,0)</f>
        <v>#VALUE!</v>
      </c>
      <c r="DC11" s="486" t="e">
        <f>IF($K$11+$L$11&lt;&gt;$K$38+$L$38,1,0)</f>
        <v>#VALUE!</v>
      </c>
      <c r="DD11" s="486" t="e">
        <f>IF($M$11+$N$11&lt;&gt;$M$38+$N$38,1,0)</f>
        <v>#VALUE!</v>
      </c>
      <c r="DE11" s="486" t="e">
        <f>IF($O$11+$P$11&lt;&gt;$O$38+$P$38,1,0)</f>
        <v>#VALUE!</v>
      </c>
      <c r="DF11" s="486" t="e">
        <f>IF($Q$11+$R$11&lt;&gt;$Q$38+$R$38,1,0)</f>
        <v>#VALUE!</v>
      </c>
      <c r="DG11" s="486" t="e">
        <f>IF($S$11+$T$11&lt;&gt;$S$38+$T$38,1,0)</f>
        <v>#VALUE!</v>
      </c>
      <c r="DH11" s="486" t="e">
        <f>IF($U$11+$V$11&lt;&gt;$U$38+$V$38,1,0)</f>
        <v>#VALUE!</v>
      </c>
      <c r="DI11" s="486" t="e">
        <f>IF($W$11+$X$11&lt;&gt;$W$38+$X$38,1,0)</f>
        <v>#VALUE!</v>
      </c>
      <c r="DJ11" s="470"/>
      <c r="DK11" s="470"/>
    </row>
    <row r="12" spans="1:131" ht="21.75" customHeight="1" x14ac:dyDescent="0.25">
      <c r="A12" s="1775" t="s">
        <v>889</v>
      </c>
      <c r="B12" s="1966" t="s">
        <v>102</v>
      </c>
      <c r="C12" s="1781" t="s">
        <v>428</v>
      </c>
      <c r="D12" s="841" t="s">
        <v>1384</v>
      </c>
      <c r="E12" s="908" t="s">
        <v>1385</v>
      </c>
      <c r="F12" s="909" t="s">
        <v>1386</v>
      </c>
      <c r="G12" s="1810" t="s">
        <v>1387</v>
      </c>
      <c r="H12" s="1811" t="s">
        <v>1388</v>
      </c>
      <c r="I12" s="842" t="s">
        <v>1389</v>
      </c>
      <c r="J12" s="843" t="s">
        <v>1390</v>
      </c>
      <c r="K12" s="842" t="s">
        <v>1391</v>
      </c>
      <c r="L12" s="843" t="s">
        <v>1392</v>
      </c>
      <c r="M12" s="842" t="s">
        <v>1393</v>
      </c>
      <c r="N12" s="844" t="s">
        <v>1394</v>
      </c>
      <c r="O12" s="842" t="s">
        <v>1395</v>
      </c>
      <c r="P12" s="843" t="s">
        <v>1396</v>
      </c>
      <c r="Q12" s="842" t="s">
        <v>1397</v>
      </c>
      <c r="R12" s="843" t="s">
        <v>1398</v>
      </c>
      <c r="S12" s="845" t="s">
        <v>1399</v>
      </c>
      <c r="T12" s="843" t="s">
        <v>1400</v>
      </c>
      <c r="U12" s="842" t="s">
        <v>1401</v>
      </c>
      <c r="V12" s="844" t="s">
        <v>1402</v>
      </c>
      <c r="W12" s="842" t="s">
        <v>1403</v>
      </c>
      <c r="X12" s="843" t="s">
        <v>1404</v>
      </c>
      <c r="Y12" s="842" t="s">
        <v>1405</v>
      </c>
      <c r="Z12" s="843" t="s">
        <v>1406</v>
      </c>
      <c r="AA12" s="842" t="s">
        <v>1407</v>
      </c>
      <c r="AB12" s="843" t="s">
        <v>1408</v>
      </c>
      <c r="AC12" s="842" t="s">
        <v>1409</v>
      </c>
      <c r="AD12" s="860" t="s">
        <v>1410</v>
      </c>
      <c r="AE12" s="842" t="s">
        <v>1411</v>
      </c>
      <c r="AF12" s="843" t="s">
        <v>1412</v>
      </c>
      <c r="AG12" s="842" t="s">
        <v>1413</v>
      </c>
      <c r="AH12" s="844" t="s">
        <v>1414</v>
      </c>
      <c r="AI12" s="846" t="s">
        <v>1415</v>
      </c>
      <c r="AJ12" s="926" t="s">
        <v>1416</v>
      </c>
      <c r="AK12" s="845" t="s">
        <v>1417</v>
      </c>
      <c r="AL12" s="843" t="s">
        <v>1418</v>
      </c>
      <c r="AM12" s="462" t="str">
        <f>CF14 &amp; CG14</f>
        <v/>
      </c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CB12" s="629"/>
      <c r="CC12" s="490" t="e">
        <f>IF($Y$11+$Z$11&lt;&gt;$Y$38+$Z$38,"* El Total de niños (as) en Control de 18 a 23 meses debe ser igual al Total de niños(as) según Diagnóstico Nutricional Integrado. ","")</f>
        <v>#VALUE!</v>
      </c>
      <c r="CD12" s="490" t="e">
        <f>IF($AA$11+$AB$11&lt;&gt;$AA$38+$AB$38,"* El Total de niños (as) en Control de 24 a 35 meses debe ser igual al Total de niños(as) según Diagnóstico Nutricional Integrado. ","")</f>
        <v>#VALUE!</v>
      </c>
      <c r="CE12" s="490" t="e">
        <f>IF($AC$11+$AD$11&lt;&gt;$AC$38+$AD$38,"* El Total de niños (as) en Control de 36 a 41 meses debe ser igual al Total de niños(as) según Diagnóstico Nutricional Integrado. ","")</f>
        <v>#VALUE!</v>
      </c>
      <c r="CF12" s="490" t="e">
        <f>IF($AE$11+$AF$11&lt;&gt;$AE$38+$AF$38,"* El Total de niños (as) en Control de 42 a 47 meses debe ser igual al Total de niños(as) según Diagnóstico Nutricional Integrado. ","")</f>
        <v>#VALUE!</v>
      </c>
      <c r="CG12" s="490" t="e">
        <f>IF($AG$11+$AH$11&lt;&gt;$AG$38+$AH$38,"* El Total de niños (as) en Control de 48 a 59 meses debe ser igual al Total de niños(as) según Diagnóstico Nutricional Integrado. ","")</f>
        <v>#VALUE!</v>
      </c>
      <c r="CH12" s="490" t="e">
        <f>IF($D11&gt;=$AI11+$AJ11,"","* El Total de Pueblos Originarios no debe ser mayor al total de niños en control. ")</f>
        <v>#VALUE!</v>
      </c>
      <c r="CI12" s="490" t="e">
        <f>IF($D11&gt;=$AK11+$AL11,"","* El Total de Población Migrantes no debe ser mayor al total de niños en control. ")</f>
        <v>#VALUE!</v>
      </c>
      <c r="CJ12" s="490" t="e">
        <f>IF($AI$11+$AJ$11&lt;&gt;$AI$38+$AJ$38,"* El Total de niños (as) en Control de Pueblos Originarios debe ser igual al Total de niños(as) según Diagnóstico Nutricional Integrado. ","")</f>
        <v>#VALUE!</v>
      </c>
      <c r="CK12" s="490" t="e">
        <f>IF($AK$11+$AL$11&lt;&gt;$AK$38+$AL$38,"* El Total de niños (as) en Control de Población Migrantes debe ser igual al Total de niños(as) según Diagnóstico Nutricional Integrado. ","")</f>
        <v>#VALUE!</v>
      </c>
      <c r="DB12" s="486" t="e">
        <f>IF($Y$11+$Z$11&lt;&gt;$Y$38+$Z$38,1,0)</f>
        <v>#VALUE!</v>
      </c>
      <c r="DC12" s="486" t="e">
        <f>IF($AA$11+$AB$11&lt;&gt;$AA$38+$AB$38,1,0)</f>
        <v>#VALUE!</v>
      </c>
      <c r="DD12" s="486" t="e">
        <f>IF($AC$11+$AD$11&lt;&gt;$AC$38+$AD$38,1,0)</f>
        <v>#VALUE!</v>
      </c>
      <c r="DE12" s="486" t="e">
        <f>IF($AE$11+$AF$11&lt;&gt;$AE$38+$AF$38,1,0)</f>
        <v>#VALUE!</v>
      </c>
      <c r="DF12" s="486" t="e">
        <f>IF($AG$11+$AH$11&lt;&gt;$AG$38+$AH$38,1,0)</f>
        <v>#VALUE!</v>
      </c>
      <c r="DG12" s="486" t="e">
        <f>IF($D11&gt;=$AI11+$AJ11,0,1)</f>
        <v>#VALUE!</v>
      </c>
      <c r="DH12" s="486" t="e">
        <f>IF($D11&gt;=$AK11+$AL11,0,1)</f>
        <v>#VALUE!</v>
      </c>
      <c r="DI12" s="486" t="e">
        <f>IF($AI$11+$AJ$11&lt;&gt;$AI$38+$AJ$38,1,0)</f>
        <v>#VALUE!</v>
      </c>
      <c r="DJ12" s="486" t="e">
        <f>IF($AK$11+$AL$11&lt;&gt;$AK$38+$AL$38,1,0)</f>
        <v>#VALUE!</v>
      </c>
      <c r="DK12" s="470"/>
    </row>
    <row r="13" spans="1:131" ht="21.75" customHeight="1" x14ac:dyDescent="0.25">
      <c r="A13" s="1775" t="s">
        <v>890</v>
      </c>
      <c r="B13" s="1967"/>
      <c r="C13" s="119" t="s">
        <v>429</v>
      </c>
      <c r="D13" s="847" t="s">
        <v>1384</v>
      </c>
      <c r="E13" s="912" t="s">
        <v>1385</v>
      </c>
      <c r="F13" s="913" t="s">
        <v>1386</v>
      </c>
      <c r="G13" s="1812" t="s">
        <v>1387</v>
      </c>
      <c r="H13" s="1813" t="s">
        <v>1388</v>
      </c>
      <c r="I13" s="848" t="s">
        <v>1389</v>
      </c>
      <c r="J13" s="849" t="s">
        <v>1390</v>
      </c>
      <c r="K13" s="848" t="s">
        <v>1391</v>
      </c>
      <c r="L13" s="849" t="s">
        <v>1392</v>
      </c>
      <c r="M13" s="848" t="s">
        <v>1393</v>
      </c>
      <c r="N13" s="850" t="s">
        <v>1394</v>
      </c>
      <c r="O13" s="848" t="s">
        <v>1395</v>
      </c>
      <c r="P13" s="849" t="s">
        <v>1396</v>
      </c>
      <c r="Q13" s="848" t="s">
        <v>1397</v>
      </c>
      <c r="R13" s="849" t="s">
        <v>1398</v>
      </c>
      <c r="S13" s="851" t="s">
        <v>1399</v>
      </c>
      <c r="T13" s="849" t="s">
        <v>1400</v>
      </c>
      <c r="U13" s="848" t="s">
        <v>1401</v>
      </c>
      <c r="V13" s="850" t="s">
        <v>1402</v>
      </c>
      <c r="W13" s="848" t="s">
        <v>1403</v>
      </c>
      <c r="X13" s="849" t="s">
        <v>1404</v>
      </c>
      <c r="Y13" s="848" t="s">
        <v>1405</v>
      </c>
      <c r="Z13" s="849" t="s">
        <v>1406</v>
      </c>
      <c r="AA13" s="848" t="s">
        <v>1407</v>
      </c>
      <c r="AB13" s="849" t="s">
        <v>1408</v>
      </c>
      <c r="AC13" s="848" t="s">
        <v>1409</v>
      </c>
      <c r="AD13" s="862" t="s">
        <v>1410</v>
      </c>
      <c r="AE13" s="848" t="s">
        <v>1411</v>
      </c>
      <c r="AF13" s="849" t="s">
        <v>1412</v>
      </c>
      <c r="AG13" s="848" t="s">
        <v>1413</v>
      </c>
      <c r="AH13" s="850" t="s">
        <v>1414</v>
      </c>
      <c r="AI13" s="852" t="s">
        <v>1415</v>
      </c>
      <c r="AJ13" s="930" t="s">
        <v>1416</v>
      </c>
      <c r="AK13" s="851" t="s">
        <v>1417</v>
      </c>
      <c r="AL13" s="849" t="s">
        <v>1418</v>
      </c>
      <c r="AM13" s="89" t="str">
        <f>CH14 &amp; CI14</f>
        <v/>
      </c>
      <c r="AN13" s="124"/>
      <c r="AO13" s="124"/>
      <c r="AP13" s="124"/>
      <c r="AQ13" s="124"/>
      <c r="AR13" s="124"/>
      <c r="AS13" s="124"/>
      <c r="AT13" s="124"/>
      <c r="AU13" s="124"/>
      <c r="AV13" s="124"/>
      <c r="AW13" s="124"/>
      <c r="CB13" s="629"/>
      <c r="CC13" s="490"/>
      <c r="CD13" s="490"/>
      <c r="CE13" s="406"/>
      <c r="CF13" s="406"/>
      <c r="CG13" s="406"/>
      <c r="CH13" s="406"/>
      <c r="CI13" s="406"/>
      <c r="CJ13" s="490" t="str">
        <f>IF(AND(E11&lt;&gt;0,AI11=""), "* No olvide escribir en la celda de Pueblos Originarios (Digite CERO si no tiene). ",IF(AND(F11&lt;&gt;0,AJ11=""), "* No olvide escribir en la celda de Pueblos Originarios (Digite CERO si no tiene). ",""))</f>
        <v/>
      </c>
      <c r="CK13" s="490" t="str">
        <f>IF(AND(E11&lt;&gt;0,AK11=""), "* No olvide escribir en la celda de Población Migrantes (Digite CERO si no tiene). ",IF(AND(F11&lt;&gt;0,AL11=""), "* No olvide escribir en la celda de Población Migrantes (Digite CERO si no tiene). ",""))</f>
        <v/>
      </c>
      <c r="DB13" s="470"/>
      <c r="DC13" s="470"/>
      <c r="DD13" s="470"/>
      <c r="DE13" s="470"/>
      <c r="DF13" s="470"/>
      <c r="DG13" s="470"/>
      <c r="DH13" s="470"/>
      <c r="DI13" s="613">
        <f>IF(AND(E11&lt;&gt;0,AI11=""), 1,IF(AND(F11&lt;&gt;0,AJ11=""), 1,0))</f>
        <v>0</v>
      </c>
      <c r="DJ13" s="613">
        <f>IF(AND(E11&lt;&gt;0,AK11=""), 1,IF(AND(F11&lt;&gt;0,AL11=""), 1,0))</f>
        <v>0</v>
      </c>
      <c r="DK13" s="470"/>
    </row>
    <row r="14" spans="1:131" ht="21.75" customHeight="1" x14ac:dyDescent="0.25">
      <c r="A14" s="1780"/>
      <c r="B14" s="1967"/>
      <c r="C14" s="121" t="s">
        <v>15</v>
      </c>
      <c r="D14" s="854">
        <f t="shared" ref="D14:D29" si="0">SUM(E14:F14)</f>
        <v>0</v>
      </c>
      <c r="E14" s="855">
        <f t="shared" ref="E14:E29" si="1">+I14+K14+M14+O14+Q14+S14+U14+W14+Y14+AA14+AC14+AE14+AG14</f>
        <v>0</v>
      </c>
      <c r="F14" s="864">
        <f t="shared" ref="F14:F29" si="2">+J14+L14+N14+P14+R14+T14+V14+X14+Z14+AB14+AD14+AF14+AH14</f>
        <v>0</v>
      </c>
      <c r="G14" s="1814"/>
      <c r="H14" s="1815"/>
      <c r="I14" s="855">
        <f>+SUM(I12:I13)</f>
        <v>0</v>
      </c>
      <c r="J14" s="856">
        <f t="shared" ref="J14:U14" si="3">+SUM(J12:J13)</f>
        <v>0</v>
      </c>
      <c r="K14" s="855">
        <f t="shared" si="3"/>
        <v>0</v>
      </c>
      <c r="L14" s="856">
        <f t="shared" si="3"/>
        <v>0</v>
      </c>
      <c r="M14" s="855">
        <f t="shared" si="3"/>
        <v>0</v>
      </c>
      <c r="N14" s="857">
        <f t="shared" si="3"/>
        <v>0</v>
      </c>
      <c r="O14" s="855">
        <f t="shared" si="3"/>
        <v>0</v>
      </c>
      <c r="P14" s="856">
        <f t="shared" si="3"/>
        <v>0</v>
      </c>
      <c r="Q14" s="855">
        <f t="shared" si="3"/>
        <v>0</v>
      </c>
      <c r="R14" s="856">
        <f t="shared" si="3"/>
        <v>0</v>
      </c>
      <c r="S14" s="858">
        <f t="shared" si="3"/>
        <v>0</v>
      </c>
      <c r="T14" s="856">
        <f t="shared" si="3"/>
        <v>0</v>
      </c>
      <c r="U14" s="855">
        <f t="shared" si="3"/>
        <v>0</v>
      </c>
      <c r="V14" s="857">
        <f>+SUM(V12:V13)</f>
        <v>0</v>
      </c>
      <c r="W14" s="855">
        <f>SUM(W12:W13)</f>
        <v>0</v>
      </c>
      <c r="X14" s="856">
        <f t="shared" ref="X14:AH14" si="4">SUM(X12:X13)</f>
        <v>0</v>
      </c>
      <c r="Y14" s="855">
        <f>SUM(Y12:Y13)</f>
        <v>0</v>
      </c>
      <c r="Z14" s="856">
        <f t="shared" si="4"/>
        <v>0</v>
      </c>
      <c r="AA14" s="855">
        <f t="shared" si="4"/>
        <v>0</v>
      </c>
      <c r="AB14" s="856">
        <f t="shared" si="4"/>
        <v>0</v>
      </c>
      <c r="AC14" s="858">
        <f t="shared" si="4"/>
        <v>0</v>
      </c>
      <c r="AD14" s="857">
        <f t="shared" si="4"/>
        <v>0</v>
      </c>
      <c r="AE14" s="855">
        <f t="shared" si="4"/>
        <v>0</v>
      </c>
      <c r="AF14" s="856">
        <f t="shared" si="4"/>
        <v>0</v>
      </c>
      <c r="AG14" s="855">
        <f t="shared" si="4"/>
        <v>0</v>
      </c>
      <c r="AH14" s="857">
        <f t="shared" si="4"/>
        <v>0</v>
      </c>
      <c r="AI14" s="859">
        <f>+SUM(AI12:AI13)</f>
        <v>0</v>
      </c>
      <c r="AJ14" s="932">
        <f>+SUM(AJ12:AJ13)</f>
        <v>0</v>
      </c>
      <c r="AK14" s="1497">
        <f>+SUM(AK12:AK13)</f>
        <v>0</v>
      </c>
      <c r="AL14" s="856">
        <f>+SUM(AL12:AL13)</f>
        <v>0</v>
      </c>
      <c r="AM14" s="89" t="str">
        <f>"" &amp; CC14 &amp; CD14</f>
        <v/>
      </c>
      <c r="AN14" s="124"/>
      <c r="AO14" s="124"/>
      <c r="AP14" s="124"/>
      <c r="AQ14" s="124"/>
      <c r="AR14" s="124"/>
      <c r="AS14" s="124"/>
      <c r="AT14" s="124"/>
      <c r="AU14" s="124"/>
      <c r="AV14" s="124"/>
      <c r="AW14" s="124"/>
      <c r="CB14" s="629"/>
      <c r="CC14" s="490" t="str">
        <f>IF($D14&gt;=$AI14+$AJ14,"","* El Total de Pueblos Originarios no debe ser mayor al Total Indicador peso/edad")</f>
        <v/>
      </c>
      <c r="CD14" s="490" t="str">
        <f>IF($D14&gt;=$AK14+$AL14,"","* El Total de Población Migrante no debe ser mayor al Total Indicador peso/edad")</f>
        <v/>
      </c>
      <c r="CE14" s="630"/>
      <c r="CF14" s="490" t="str">
        <f>IF(AND(E12&lt;&gt;0,AI12=""), "* No olvide escribir en la celda de Pueblos Originarios (Digite CERO si no tiene). ",IF(AND(F12&lt;&gt;0,AJ12=""), "* No olvide escribir en la celda de Pueblos Originarios (Digite CERO si no tiene). ",""))</f>
        <v/>
      </c>
      <c r="CG14" s="490" t="str">
        <f>IF(AND(E12&lt;&gt;0,AK12=""), "* No olvide escribir en la celda de Población Migrantes (Digite CERO si no tiene). ",IF(AND(F12&lt;&gt;0,AL12=""), "* No olvide escribir en la celda de Población Migrantes (Digite CERO si no tiene). ",""))</f>
        <v/>
      </c>
      <c r="CH14" s="490" t="str">
        <f>IF(AND(E13&lt;&gt;0,AI13=""), "* No olvide escribir en la celda de Pueblos Originarios (Digite CERO si no tiene). ",IF(AND(F13&lt;&gt;0,AJ13=""), "* No olvide escribir en la celda de Pueblos Originarios (Digite CERO si no tiene). ",""))</f>
        <v/>
      </c>
      <c r="CI14" s="490" t="str">
        <f>IF(AND(E13&lt;&gt;0,AK13=""), "* No olvide escribir en la celda de Población Migrantes (Digite CERO si no tiene). ",IF(AND(F13&lt;&gt;0,AL13=""), "* No olvide escribir en la celda de Población Migrantes (Digite CERO si no tiene). ",""))</f>
        <v/>
      </c>
      <c r="DB14" s="486">
        <f>IF($D14&gt;=$AI14+$AJ14,0,1)</f>
        <v>0</v>
      </c>
      <c r="DC14" s="486">
        <f>IF($D14&gt;=$AK14+$AL14,0,1)</f>
        <v>0</v>
      </c>
      <c r="DD14" s="470"/>
      <c r="DE14" s="581"/>
      <c r="DF14" s="613">
        <f>IF(AND(E12&lt;&gt;0,AI12=""), 1,IF(AND(F12&lt;&gt;0,AJ12=""), 1,0))</f>
        <v>0</v>
      </c>
      <c r="DG14" s="613">
        <f>IF(AND(E12&lt;&gt;0,AK12=""), 1,IF(AND(F12&lt;&gt;0,AL12=""), 1,0))</f>
        <v>0</v>
      </c>
      <c r="DH14" s="613">
        <f>IF(AND(E13&lt;&gt;0,AK13=""), 1,IF(AND(F13&lt;&gt;0,AL13=""), 1,0))</f>
        <v>0</v>
      </c>
      <c r="DI14" s="613">
        <f>IF(AND(E13&lt;&gt;0,AK13=""), 1,IF(AND(F13&lt;&gt;0,AL13=""), 1,0))</f>
        <v>0</v>
      </c>
      <c r="DJ14" s="470"/>
      <c r="DK14" s="470"/>
    </row>
    <row r="15" spans="1:131" ht="21.75" customHeight="1" x14ac:dyDescent="0.25">
      <c r="A15" s="1775" t="s">
        <v>891</v>
      </c>
      <c r="B15" s="1967"/>
      <c r="C15" s="1782" t="s">
        <v>430</v>
      </c>
      <c r="D15" s="841" t="s">
        <v>1384</v>
      </c>
      <c r="E15" s="908" t="s">
        <v>1385</v>
      </c>
      <c r="F15" s="909" t="s">
        <v>1386</v>
      </c>
      <c r="G15" s="1810" t="s">
        <v>1387</v>
      </c>
      <c r="H15" s="1811" t="s">
        <v>1388</v>
      </c>
      <c r="I15" s="842" t="s">
        <v>1389</v>
      </c>
      <c r="J15" s="845" t="s">
        <v>1390</v>
      </c>
      <c r="K15" s="842" t="s">
        <v>1391</v>
      </c>
      <c r="L15" s="845" t="s">
        <v>1392</v>
      </c>
      <c r="M15" s="842" t="s">
        <v>1393</v>
      </c>
      <c r="N15" s="844" t="s">
        <v>1394</v>
      </c>
      <c r="O15" s="842" t="s">
        <v>1395</v>
      </c>
      <c r="P15" s="843" t="s">
        <v>1396</v>
      </c>
      <c r="Q15" s="842" t="s">
        <v>1397</v>
      </c>
      <c r="R15" s="843" t="s">
        <v>1398</v>
      </c>
      <c r="S15" s="845" t="s">
        <v>1399</v>
      </c>
      <c r="T15" s="845" t="s">
        <v>1400</v>
      </c>
      <c r="U15" s="842" t="s">
        <v>1401</v>
      </c>
      <c r="V15" s="860" t="s">
        <v>1402</v>
      </c>
      <c r="W15" s="842" t="s">
        <v>1403</v>
      </c>
      <c r="X15" s="843" t="s">
        <v>1404</v>
      </c>
      <c r="Y15" s="842" t="s">
        <v>1405</v>
      </c>
      <c r="Z15" s="843" t="s">
        <v>1406</v>
      </c>
      <c r="AA15" s="842" t="s">
        <v>1407</v>
      </c>
      <c r="AB15" s="843" t="s">
        <v>1408</v>
      </c>
      <c r="AC15" s="845" t="s">
        <v>1409</v>
      </c>
      <c r="AD15" s="860" t="s">
        <v>1410</v>
      </c>
      <c r="AE15" s="842" t="s">
        <v>1411</v>
      </c>
      <c r="AF15" s="843" t="s">
        <v>1412</v>
      </c>
      <c r="AG15" s="842" t="s">
        <v>1413</v>
      </c>
      <c r="AH15" s="844" t="s">
        <v>1414</v>
      </c>
      <c r="AI15" s="846" t="s">
        <v>1415</v>
      </c>
      <c r="AJ15" s="926" t="s">
        <v>1416</v>
      </c>
      <c r="AK15" s="845" t="s">
        <v>1417</v>
      </c>
      <c r="AL15" s="843" t="s">
        <v>1418</v>
      </c>
      <c r="AM15" s="89" t="str">
        <f>CJ15 &amp; CK15</f>
        <v/>
      </c>
      <c r="AN15" s="124"/>
      <c r="AO15" s="124"/>
      <c r="AP15" s="124"/>
      <c r="AQ15" s="124"/>
      <c r="AR15" s="124"/>
      <c r="AS15" s="124"/>
      <c r="AT15" s="124"/>
      <c r="AU15" s="124"/>
      <c r="AV15" s="124"/>
      <c r="AW15" s="124"/>
      <c r="CB15" s="629"/>
      <c r="CC15" s="490" t="str">
        <f>IF($D17&gt;=$AI17+$AJ17,"","* El Total de Pueblos Originarios no debe ser mayor al Total Indicador peso/edad")</f>
        <v/>
      </c>
      <c r="CD15" s="490" t="str">
        <f>IF($D17&gt;=$AK17+$AL17,"","* El Total de Población Migrante no debe ser mayor al Total Indicador peso/edad")</f>
        <v/>
      </c>
      <c r="CE15" s="630"/>
      <c r="CF15" s="630"/>
      <c r="CG15" s="630"/>
      <c r="CH15" s="630"/>
      <c r="CI15" s="630"/>
      <c r="CJ15" s="465" t="str">
        <f>IF(AND(E15&lt;&gt;0,AI15=""), "* No olvide escribir en la celda de Pueblos Originarios (Digite CERO si no tiene). ",IF(AND(F15&lt;&gt;0,AJ15=""), "* No olvide escribir en la celda de Pueblos Originarios (Digite CERO si no tiene). ",""))</f>
        <v/>
      </c>
      <c r="CK15" s="465" t="str">
        <f>IF(AND(E15&lt;&gt;0,AK15=""), "* No olvide escribir en la celda de Población Migrantes (Digite CERO si no tiene). ",IF(AND(F15&lt;&gt;0,AL15=""), "* No olvide escribir en la celda de Población Migrantes (Digite CERO si no tiene). ",""))</f>
        <v/>
      </c>
      <c r="DB15" s="486">
        <f>IF($D17&gt;=$AI17+$AJ17,0,1)</f>
        <v>0</v>
      </c>
      <c r="DC15" s="486">
        <f>IF($D17&gt;=$AK17+$AL17,0,1)</f>
        <v>0</v>
      </c>
      <c r="DD15" s="470"/>
      <c r="DE15" s="581"/>
      <c r="DF15" s="581"/>
      <c r="DG15" s="470"/>
      <c r="DH15" s="581"/>
      <c r="DI15" s="613">
        <f>IF(AND(E15&lt;&gt;0,AI15=""), 1,IF(AND(F15&lt;&gt;0,AJ15=""), 1,0))</f>
        <v>0</v>
      </c>
      <c r="DJ15" s="613">
        <f>IF(AND(E15&lt;&gt;0,AK15=""), 1,IF(AND(F15&lt;&gt;0,AL15=""), 1,0))</f>
        <v>0</v>
      </c>
      <c r="DK15" s="470"/>
    </row>
    <row r="16" spans="1:131" ht="21.75" customHeight="1" x14ac:dyDescent="0.25">
      <c r="A16" s="1775" t="s">
        <v>892</v>
      </c>
      <c r="B16" s="1967"/>
      <c r="C16" s="119" t="s">
        <v>426</v>
      </c>
      <c r="D16" s="861" t="s">
        <v>1384</v>
      </c>
      <c r="E16" s="1316" t="s">
        <v>1385</v>
      </c>
      <c r="F16" s="922" t="s">
        <v>1386</v>
      </c>
      <c r="G16" s="1812" t="s">
        <v>1387</v>
      </c>
      <c r="H16" s="1813" t="s">
        <v>1388</v>
      </c>
      <c r="I16" s="848" t="s">
        <v>1389</v>
      </c>
      <c r="J16" s="851" t="s">
        <v>1390</v>
      </c>
      <c r="K16" s="848" t="s">
        <v>1391</v>
      </c>
      <c r="L16" s="851" t="s">
        <v>1392</v>
      </c>
      <c r="M16" s="848" t="s">
        <v>1393</v>
      </c>
      <c r="N16" s="850" t="s">
        <v>1394</v>
      </c>
      <c r="O16" s="848" t="s">
        <v>1395</v>
      </c>
      <c r="P16" s="849" t="s">
        <v>1396</v>
      </c>
      <c r="Q16" s="848" t="s">
        <v>1397</v>
      </c>
      <c r="R16" s="849" t="s">
        <v>1398</v>
      </c>
      <c r="S16" s="851" t="s">
        <v>1399</v>
      </c>
      <c r="T16" s="851" t="s">
        <v>1400</v>
      </c>
      <c r="U16" s="848" t="s">
        <v>1401</v>
      </c>
      <c r="V16" s="862" t="s">
        <v>1402</v>
      </c>
      <c r="W16" s="848" t="s">
        <v>1403</v>
      </c>
      <c r="X16" s="849" t="s">
        <v>1404</v>
      </c>
      <c r="Y16" s="848" t="s">
        <v>1405</v>
      </c>
      <c r="Z16" s="849" t="s">
        <v>1406</v>
      </c>
      <c r="AA16" s="848" t="s">
        <v>1407</v>
      </c>
      <c r="AB16" s="849" t="s">
        <v>1408</v>
      </c>
      <c r="AC16" s="851" t="s">
        <v>1409</v>
      </c>
      <c r="AD16" s="862" t="s">
        <v>1410</v>
      </c>
      <c r="AE16" s="848" t="s">
        <v>1411</v>
      </c>
      <c r="AF16" s="849" t="s">
        <v>1412</v>
      </c>
      <c r="AG16" s="848" t="s">
        <v>1413</v>
      </c>
      <c r="AH16" s="850" t="s">
        <v>1414</v>
      </c>
      <c r="AI16" s="852" t="s">
        <v>1415</v>
      </c>
      <c r="AJ16" s="930" t="s">
        <v>1416</v>
      </c>
      <c r="AK16" s="851" t="s">
        <v>1417</v>
      </c>
      <c r="AL16" s="849" t="s">
        <v>1418</v>
      </c>
      <c r="AM16" s="89" t="str">
        <f>CJ16 &amp; CK16</f>
        <v/>
      </c>
      <c r="AN16" s="124"/>
      <c r="AO16" s="124"/>
      <c r="AP16" s="124"/>
      <c r="AQ16" s="124"/>
      <c r="AR16" s="124"/>
      <c r="AS16" s="124"/>
      <c r="AT16" s="124"/>
      <c r="AU16" s="124"/>
      <c r="AV16" s="124"/>
      <c r="AW16" s="124"/>
      <c r="CB16" s="629"/>
      <c r="CC16" s="630"/>
      <c r="CD16" s="630"/>
      <c r="CE16" s="630"/>
      <c r="CF16" s="630"/>
      <c r="CG16" s="630"/>
      <c r="CH16" s="630"/>
      <c r="CI16" s="630"/>
      <c r="CJ16" s="465" t="str">
        <f>IF(AND(E16&lt;&gt;0,AI16=""), "* No olvide escribir en la celda de Pueblos Originarios (Digite CERO si no tiene). ",IF(AND(F16&lt;&gt;0,AJ16=""), "* No olvide escribir en la celda de Pueblos Originarios (Digite CERO si no tiene). ",""))</f>
        <v/>
      </c>
      <c r="CK16" s="465" t="str">
        <f>IF(AND(E16&lt;&gt;0,AK16=""), "* No olvide escribir en la celda de Población Migrantes (Digite CERO si no tiene). ",IF(AND(F16&lt;&gt;0,AL16=""), "* No olvide escribir en la celda de Población Migrantes (Digite CERO si no tiene). ",""))</f>
        <v/>
      </c>
      <c r="DB16" s="470"/>
      <c r="DC16" s="470"/>
      <c r="DD16" s="470"/>
      <c r="DE16" s="581"/>
      <c r="DF16" s="581"/>
      <c r="DG16" s="470"/>
      <c r="DH16" s="581"/>
      <c r="DI16" s="613">
        <f>IF(AND(E16&lt;&gt;0,AI16=""), 1,IF(AND(F16&lt;&gt;0,AJ16=""), 1,0))</f>
        <v>0</v>
      </c>
      <c r="DJ16" s="613">
        <f>IF(AND(E16&lt;&gt;0,AK16=""), 1,IF(AND(F16&lt;&gt;0,AL16=""), 1,0))</f>
        <v>0</v>
      </c>
      <c r="DK16" s="470"/>
    </row>
    <row r="17" spans="1:115" ht="21.75" customHeight="1" x14ac:dyDescent="0.25">
      <c r="A17" s="1776"/>
      <c r="B17" s="1968"/>
      <c r="C17" s="121" t="s">
        <v>15</v>
      </c>
      <c r="D17" s="854">
        <f t="shared" si="0"/>
        <v>0</v>
      </c>
      <c r="E17" s="855">
        <f t="shared" si="1"/>
        <v>0</v>
      </c>
      <c r="F17" s="864">
        <f t="shared" si="2"/>
        <v>0</v>
      </c>
      <c r="G17" s="1814"/>
      <c r="H17" s="1815"/>
      <c r="I17" s="855">
        <f>SUM(I15:I16)</f>
        <v>0</v>
      </c>
      <c r="J17" s="856">
        <f t="shared" ref="J17:V17" si="5">SUM(J15:J16)</f>
        <v>0</v>
      </c>
      <c r="K17" s="855">
        <f t="shared" si="5"/>
        <v>0</v>
      </c>
      <c r="L17" s="856">
        <f t="shared" si="5"/>
        <v>0</v>
      </c>
      <c r="M17" s="855">
        <f t="shared" si="5"/>
        <v>0</v>
      </c>
      <c r="N17" s="857">
        <f t="shared" si="5"/>
        <v>0</v>
      </c>
      <c r="O17" s="855">
        <f t="shared" si="5"/>
        <v>0</v>
      </c>
      <c r="P17" s="856">
        <f t="shared" si="5"/>
        <v>0</v>
      </c>
      <c r="Q17" s="855">
        <f t="shared" si="5"/>
        <v>0</v>
      </c>
      <c r="R17" s="856">
        <f t="shared" si="5"/>
        <v>0</v>
      </c>
      <c r="S17" s="858">
        <f t="shared" si="5"/>
        <v>0</v>
      </c>
      <c r="T17" s="856">
        <f t="shared" si="5"/>
        <v>0</v>
      </c>
      <c r="U17" s="855">
        <f t="shared" si="5"/>
        <v>0</v>
      </c>
      <c r="V17" s="857">
        <f t="shared" si="5"/>
        <v>0</v>
      </c>
      <c r="W17" s="855">
        <f>SUM(W15:W16)</f>
        <v>0</v>
      </c>
      <c r="X17" s="856">
        <f t="shared" ref="X17:AH17" si="6">SUM(X15:X16)</f>
        <v>0</v>
      </c>
      <c r="Y17" s="855">
        <f t="shared" si="6"/>
        <v>0</v>
      </c>
      <c r="Z17" s="856">
        <f t="shared" si="6"/>
        <v>0</v>
      </c>
      <c r="AA17" s="855">
        <f t="shared" si="6"/>
        <v>0</v>
      </c>
      <c r="AB17" s="856">
        <f t="shared" si="6"/>
        <v>0</v>
      </c>
      <c r="AC17" s="858">
        <f t="shared" si="6"/>
        <v>0</v>
      </c>
      <c r="AD17" s="857">
        <f t="shared" si="6"/>
        <v>0</v>
      </c>
      <c r="AE17" s="855">
        <f t="shared" si="6"/>
        <v>0</v>
      </c>
      <c r="AF17" s="856">
        <f t="shared" si="6"/>
        <v>0</v>
      </c>
      <c r="AG17" s="855">
        <f>SUM(AG15:AG16)</f>
        <v>0</v>
      </c>
      <c r="AH17" s="857">
        <f t="shared" si="6"/>
        <v>0</v>
      </c>
      <c r="AI17" s="859">
        <f>SUM(AI15:AI16)</f>
        <v>0</v>
      </c>
      <c r="AJ17" s="932">
        <f>SUM(AJ15:AJ16)</f>
        <v>0</v>
      </c>
      <c r="AK17" s="1497">
        <f>SUM(AK15:AK16)</f>
        <v>0</v>
      </c>
      <c r="AL17" s="856">
        <f>SUM(AL15:AL16)</f>
        <v>0</v>
      </c>
      <c r="AM17" s="89" t="str">
        <f>"" &amp; CC15 &amp; CD15</f>
        <v/>
      </c>
      <c r="AN17" s="124"/>
      <c r="AO17" s="124"/>
      <c r="AP17" s="124"/>
      <c r="AQ17" s="124"/>
      <c r="AR17" s="124"/>
      <c r="AS17" s="124"/>
      <c r="AT17" s="124"/>
      <c r="AU17" s="124"/>
      <c r="AV17" s="124"/>
      <c r="AW17" s="124"/>
      <c r="CB17" s="629"/>
      <c r="CC17" s="630"/>
      <c r="CD17" s="630"/>
      <c r="CE17" s="630"/>
      <c r="CF17" s="630"/>
      <c r="CG17" s="630"/>
      <c r="CH17" s="630"/>
      <c r="CI17" s="630"/>
      <c r="DB17" s="470"/>
      <c r="DC17" s="470"/>
      <c r="DD17" s="470"/>
      <c r="DE17" s="581"/>
      <c r="DF17" s="581"/>
      <c r="DG17" s="470"/>
      <c r="DH17" s="581"/>
      <c r="DI17" s="470"/>
      <c r="DJ17" s="470"/>
      <c r="DK17" s="470"/>
    </row>
    <row r="18" spans="1:115" ht="21.75" customHeight="1" x14ac:dyDescent="0.25">
      <c r="A18" s="1775" t="s">
        <v>893</v>
      </c>
      <c r="B18" s="1966" t="s">
        <v>103</v>
      </c>
      <c r="C18" s="1782" t="s">
        <v>428</v>
      </c>
      <c r="D18" s="863" t="s">
        <v>1384</v>
      </c>
      <c r="E18" s="914" t="s">
        <v>1385</v>
      </c>
      <c r="F18" s="915" t="s">
        <v>1386</v>
      </c>
      <c r="G18" s="1810" t="s">
        <v>1387</v>
      </c>
      <c r="H18" s="1811" t="s">
        <v>1388</v>
      </c>
      <c r="I18" s="842" t="s">
        <v>1389</v>
      </c>
      <c r="J18" s="845" t="s">
        <v>1390</v>
      </c>
      <c r="K18" s="842" t="s">
        <v>1391</v>
      </c>
      <c r="L18" s="845" t="s">
        <v>1392</v>
      </c>
      <c r="M18" s="842" t="s">
        <v>1393</v>
      </c>
      <c r="N18" s="844" t="s">
        <v>1394</v>
      </c>
      <c r="O18" s="842" t="s">
        <v>1395</v>
      </c>
      <c r="P18" s="843" t="s">
        <v>1396</v>
      </c>
      <c r="Q18" s="842" t="s">
        <v>1397</v>
      </c>
      <c r="R18" s="843" t="s">
        <v>1398</v>
      </c>
      <c r="S18" s="845" t="s">
        <v>1399</v>
      </c>
      <c r="T18" s="845" t="s">
        <v>1400</v>
      </c>
      <c r="U18" s="842" t="s">
        <v>1401</v>
      </c>
      <c r="V18" s="860" t="s">
        <v>1402</v>
      </c>
      <c r="W18" s="842" t="s">
        <v>1403</v>
      </c>
      <c r="X18" s="843" t="s">
        <v>1404</v>
      </c>
      <c r="Y18" s="842" t="s">
        <v>1405</v>
      </c>
      <c r="Z18" s="843" t="s">
        <v>1406</v>
      </c>
      <c r="AA18" s="842" t="s">
        <v>1407</v>
      </c>
      <c r="AB18" s="843" t="s">
        <v>1408</v>
      </c>
      <c r="AC18" s="845" t="s">
        <v>1409</v>
      </c>
      <c r="AD18" s="860" t="s">
        <v>1410</v>
      </c>
      <c r="AE18" s="842" t="s">
        <v>1411</v>
      </c>
      <c r="AF18" s="843" t="s">
        <v>1412</v>
      </c>
      <c r="AG18" s="842" t="s">
        <v>1413</v>
      </c>
      <c r="AH18" s="844" t="s">
        <v>1414</v>
      </c>
      <c r="AI18" s="846" t="s">
        <v>1415</v>
      </c>
      <c r="AJ18" s="926" t="s">
        <v>1416</v>
      </c>
      <c r="AK18" s="845" t="s">
        <v>1417</v>
      </c>
      <c r="AL18" s="843" t="s">
        <v>1418</v>
      </c>
      <c r="AM18" s="89" t="str">
        <f>CJ18 &amp; CK18</f>
        <v/>
      </c>
      <c r="AN18" s="124"/>
      <c r="AO18" s="124"/>
      <c r="AP18" s="124"/>
      <c r="AQ18" s="124"/>
      <c r="AR18" s="124"/>
      <c r="AS18" s="124"/>
      <c r="AT18" s="124"/>
      <c r="AU18" s="124"/>
      <c r="AV18" s="124"/>
      <c r="AW18" s="124"/>
      <c r="CB18" s="629"/>
      <c r="CC18" s="630"/>
      <c r="CD18" s="630"/>
      <c r="CE18" s="630"/>
      <c r="CF18" s="630"/>
      <c r="CG18" s="630"/>
      <c r="CH18" s="630"/>
      <c r="CI18" s="630"/>
      <c r="CJ18" s="465" t="str">
        <f>IF(AND(E18&lt;&gt;0,AI18=""), "* No olvide escribir en la celda de Pueblos Originarios (Digite CERO si no tiene). ",IF(AND(F18&lt;&gt;0,AJ18=""), "* No olvide escribir en la celda de Pueblos Originarios (Digite CERO si no tiene). ",""))</f>
        <v/>
      </c>
      <c r="CK18" s="465" t="str">
        <f>IF(AND(E18&lt;&gt;0,AK18=""), "* No olvide escribir en la celda de Población Migrantes (Digite CERO si no tiene). ",IF(AND(F18&lt;&gt;0,AL18=""), "* No olvide escribir en la celda de Población Migrantes (Digite CERO si no tiene). ",""))</f>
        <v/>
      </c>
      <c r="DB18" s="470"/>
      <c r="DC18" s="470"/>
      <c r="DD18" s="470"/>
      <c r="DE18" s="470"/>
      <c r="DF18" s="470"/>
      <c r="DG18" s="470"/>
      <c r="DH18" s="470"/>
      <c r="DI18" s="613">
        <f>IF(AND(E18&lt;&gt;0,AI18=""), 1,IF(AND(F18&lt;&gt;0,AJ18=""), 1,0))</f>
        <v>0</v>
      </c>
      <c r="DJ18" s="613">
        <f>IF(AND(E18&lt;&gt;0,AK18=""), 1,IF(AND(F18&lt;&gt;0,AL18=""), 1,0))</f>
        <v>0</v>
      </c>
      <c r="DK18" s="470"/>
    </row>
    <row r="19" spans="1:115" ht="21.75" customHeight="1" x14ac:dyDescent="0.25">
      <c r="A19" s="1775" t="s">
        <v>894</v>
      </c>
      <c r="B19" s="1967"/>
      <c r="C19" s="119" t="s">
        <v>429</v>
      </c>
      <c r="D19" s="847" t="s">
        <v>1384</v>
      </c>
      <c r="E19" s="912" t="s">
        <v>1385</v>
      </c>
      <c r="F19" s="913" t="s">
        <v>1386</v>
      </c>
      <c r="G19" s="1812" t="s">
        <v>1387</v>
      </c>
      <c r="H19" s="1813" t="s">
        <v>1388</v>
      </c>
      <c r="I19" s="848" t="s">
        <v>1389</v>
      </c>
      <c r="J19" s="851" t="s">
        <v>1390</v>
      </c>
      <c r="K19" s="848" t="s">
        <v>1391</v>
      </c>
      <c r="L19" s="851" t="s">
        <v>1392</v>
      </c>
      <c r="M19" s="848" t="s">
        <v>1393</v>
      </c>
      <c r="N19" s="850" t="s">
        <v>1394</v>
      </c>
      <c r="O19" s="848" t="s">
        <v>1395</v>
      </c>
      <c r="P19" s="849" t="s">
        <v>1396</v>
      </c>
      <c r="Q19" s="848" t="s">
        <v>1397</v>
      </c>
      <c r="R19" s="849" t="s">
        <v>1398</v>
      </c>
      <c r="S19" s="851" t="s">
        <v>1399</v>
      </c>
      <c r="T19" s="851" t="s">
        <v>1400</v>
      </c>
      <c r="U19" s="848" t="s">
        <v>1401</v>
      </c>
      <c r="V19" s="862" t="s">
        <v>1402</v>
      </c>
      <c r="W19" s="848" t="s">
        <v>1403</v>
      </c>
      <c r="X19" s="849" t="s">
        <v>1404</v>
      </c>
      <c r="Y19" s="848" t="s">
        <v>1405</v>
      </c>
      <c r="Z19" s="849" t="s">
        <v>1406</v>
      </c>
      <c r="AA19" s="848" t="s">
        <v>1407</v>
      </c>
      <c r="AB19" s="849" t="s">
        <v>1408</v>
      </c>
      <c r="AC19" s="851" t="s">
        <v>1409</v>
      </c>
      <c r="AD19" s="862" t="s">
        <v>1410</v>
      </c>
      <c r="AE19" s="848" t="s">
        <v>1411</v>
      </c>
      <c r="AF19" s="849" t="s">
        <v>1412</v>
      </c>
      <c r="AG19" s="848" t="s">
        <v>1413</v>
      </c>
      <c r="AH19" s="850" t="s">
        <v>1414</v>
      </c>
      <c r="AI19" s="852" t="s">
        <v>1415</v>
      </c>
      <c r="AJ19" s="930" t="s">
        <v>1416</v>
      </c>
      <c r="AK19" s="851" t="s">
        <v>1417</v>
      </c>
      <c r="AL19" s="849" t="s">
        <v>1418</v>
      </c>
      <c r="AM19" s="89" t="str">
        <f>CJ19 &amp; CK19</f>
        <v/>
      </c>
      <c r="AN19" s="124"/>
      <c r="AO19" s="124"/>
      <c r="AP19" s="124"/>
      <c r="AQ19" s="124"/>
      <c r="AR19" s="124"/>
      <c r="AS19" s="124"/>
      <c r="AT19" s="124"/>
      <c r="AU19" s="124"/>
      <c r="AV19" s="124"/>
      <c r="AW19" s="124"/>
      <c r="CB19" s="629"/>
      <c r="CC19" s="629"/>
      <c r="CD19" s="629"/>
      <c r="CE19" s="629"/>
      <c r="CF19" s="629"/>
      <c r="CG19" s="629"/>
      <c r="CH19" s="629"/>
      <c r="CI19" s="629"/>
      <c r="CJ19" s="465" t="str">
        <f>IF(AND(E19&lt;&gt;0,AI19=""), "* No olvide escribir en la celda de Pueblos Originarios (Digite CERO si no tiene). ",IF(AND(F19&lt;&gt;0,AJ19=""), "* No olvide escribir en la celda de Pueblos Originarios (Digite CERO si no tiene). ",""))</f>
        <v/>
      </c>
      <c r="CK19" s="465" t="str">
        <f>IF(AND(E19&lt;&gt;0,AK19=""), "* No olvide escribir en la celda de Población Migrantes (Digite CERO si no tiene). ",IF(AND(F19&lt;&gt;0,AL19=""), "* No olvide escribir en la celda de Población Migrantes (Digite CERO si no tiene). ",""))</f>
        <v/>
      </c>
      <c r="DB19" s="470"/>
      <c r="DC19" s="470"/>
      <c r="DD19" s="470"/>
      <c r="DE19" s="470"/>
      <c r="DF19" s="470"/>
      <c r="DG19" s="470"/>
      <c r="DH19" s="470"/>
      <c r="DI19" s="613">
        <f>IF(AND(E19&lt;&gt;0,AI19=""), 1,IF(AND(F19&lt;&gt;0,AJ19=""), 1,0))</f>
        <v>0</v>
      </c>
      <c r="DJ19" s="613">
        <f>IF(AND(E19&lt;&gt;0,AK19=""), 1,IF(AND(F19&lt;&gt;0,AL19=""), 1,0))</f>
        <v>0</v>
      </c>
      <c r="DK19" s="470"/>
    </row>
    <row r="20" spans="1:115" ht="21.75" customHeight="1" x14ac:dyDescent="0.25">
      <c r="A20" s="1776"/>
      <c r="B20" s="1967"/>
      <c r="C20" s="121" t="s">
        <v>15</v>
      </c>
      <c r="D20" s="854">
        <f t="shared" si="0"/>
        <v>0</v>
      </c>
      <c r="E20" s="855">
        <f t="shared" si="1"/>
        <v>0</v>
      </c>
      <c r="F20" s="864">
        <f t="shared" si="2"/>
        <v>0</v>
      </c>
      <c r="G20" s="1814"/>
      <c r="H20" s="1815"/>
      <c r="I20" s="855">
        <f>+SUM(I18:I19)</f>
        <v>0</v>
      </c>
      <c r="J20" s="856">
        <f>+SUM(J18:J19)</f>
        <v>0</v>
      </c>
      <c r="K20" s="855">
        <f t="shared" ref="K20:AL20" si="7">+SUM(K18:K19)</f>
        <v>0</v>
      </c>
      <c r="L20" s="856">
        <f t="shared" si="7"/>
        <v>0</v>
      </c>
      <c r="M20" s="855">
        <f t="shared" si="7"/>
        <v>0</v>
      </c>
      <c r="N20" s="857">
        <f t="shared" si="7"/>
        <v>0</v>
      </c>
      <c r="O20" s="855">
        <f t="shared" si="7"/>
        <v>0</v>
      </c>
      <c r="P20" s="856">
        <f t="shared" si="7"/>
        <v>0</v>
      </c>
      <c r="Q20" s="855">
        <f t="shared" si="7"/>
        <v>0</v>
      </c>
      <c r="R20" s="856">
        <f t="shared" si="7"/>
        <v>0</v>
      </c>
      <c r="S20" s="858">
        <f t="shared" si="7"/>
        <v>0</v>
      </c>
      <c r="T20" s="856">
        <f t="shared" si="7"/>
        <v>0</v>
      </c>
      <c r="U20" s="855">
        <f t="shared" si="7"/>
        <v>0</v>
      </c>
      <c r="V20" s="857">
        <f t="shared" si="7"/>
        <v>0</v>
      </c>
      <c r="W20" s="855">
        <f t="shared" si="7"/>
        <v>0</v>
      </c>
      <c r="X20" s="856">
        <f t="shared" si="7"/>
        <v>0</v>
      </c>
      <c r="Y20" s="855">
        <f t="shared" si="7"/>
        <v>0</v>
      </c>
      <c r="Z20" s="856">
        <f t="shared" si="7"/>
        <v>0</v>
      </c>
      <c r="AA20" s="855">
        <f t="shared" si="7"/>
        <v>0</v>
      </c>
      <c r="AB20" s="856">
        <f t="shared" si="7"/>
        <v>0</v>
      </c>
      <c r="AC20" s="858">
        <f t="shared" si="7"/>
        <v>0</v>
      </c>
      <c r="AD20" s="857">
        <f t="shared" si="7"/>
        <v>0</v>
      </c>
      <c r="AE20" s="855">
        <f t="shared" si="7"/>
        <v>0</v>
      </c>
      <c r="AF20" s="856">
        <f t="shared" si="7"/>
        <v>0</v>
      </c>
      <c r="AG20" s="855">
        <f t="shared" si="7"/>
        <v>0</v>
      </c>
      <c r="AH20" s="857">
        <f t="shared" si="7"/>
        <v>0</v>
      </c>
      <c r="AI20" s="859">
        <f t="shared" si="7"/>
        <v>0</v>
      </c>
      <c r="AJ20" s="932">
        <f t="shared" si="7"/>
        <v>0</v>
      </c>
      <c r="AK20" s="1497">
        <f t="shared" si="7"/>
        <v>0</v>
      </c>
      <c r="AL20" s="856">
        <f t="shared" si="7"/>
        <v>0</v>
      </c>
      <c r="AM20" s="89" t="str">
        <f>"" &amp; CC20 &amp; CD20</f>
        <v/>
      </c>
      <c r="AN20" s="124"/>
      <c r="AO20" s="124"/>
      <c r="AP20" s="124"/>
      <c r="AQ20" s="124"/>
      <c r="AR20" s="124"/>
      <c r="AS20" s="124"/>
      <c r="AT20" s="124"/>
      <c r="AU20" s="124"/>
      <c r="AV20" s="124"/>
      <c r="AW20" s="124"/>
      <c r="CB20" s="629"/>
      <c r="CC20" s="490" t="str">
        <f>IF($D20&gt;=$AI20+$AJ20,"","* El Total de Pueblos Originarios no debe ser mayor al Total Indicador peso/talla")</f>
        <v/>
      </c>
      <c r="CD20" s="490" t="str">
        <f>IF($D20&gt;=$AK20+$AL20,"","* El Total de Población Migrante no debe ser mayor al Total Indicador peso/talla")</f>
        <v/>
      </c>
      <c r="CE20" s="630"/>
      <c r="CF20" s="630"/>
      <c r="CG20" s="630"/>
      <c r="CH20" s="630"/>
      <c r="CI20" s="630"/>
      <c r="DB20" s="486">
        <f>IF($D20&gt;=$AI20+$AJ20,0,1)</f>
        <v>0</v>
      </c>
      <c r="DC20" s="486">
        <f>IF($D20&gt;=$AK20+$AL20,0,1)</f>
        <v>0</v>
      </c>
      <c r="DD20" s="470"/>
      <c r="DE20" s="470"/>
      <c r="DF20" s="470"/>
      <c r="DG20" s="470"/>
      <c r="DH20" s="470"/>
      <c r="DI20" s="470"/>
      <c r="DJ20" s="470"/>
      <c r="DK20" s="470"/>
    </row>
    <row r="21" spans="1:115" ht="21.75" customHeight="1" x14ac:dyDescent="0.25">
      <c r="A21" s="1775" t="s">
        <v>895</v>
      </c>
      <c r="B21" s="1967"/>
      <c r="C21" s="1782" t="s">
        <v>430</v>
      </c>
      <c r="D21" s="863" t="s">
        <v>1384</v>
      </c>
      <c r="E21" s="914" t="s">
        <v>1385</v>
      </c>
      <c r="F21" s="915" t="s">
        <v>1386</v>
      </c>
      <c r="G21" s="1810" t="s">
        <v>1387</v>
      </c>
      <c r="H21" s="1811" t="s">
        <v>1388</v>
      </c>
      <c r="I21" s="842" t="s">
        <v>1389</v>
      </c>
      <c r="J21" s="845" t="s">
        <v>1390</v>
      </c>
      <c r="K21" s="842" t="s">
        <v>1391</v>
      </c>
      <c r="L21" s="845" t="s">
        <v>1392</v>
      </c>
      <c r="M21" s="842" t="s">
        <v>1393</v>
      </c>
      <c r="N21" s="844" t="s">
        <v>1394</v>
      </c>
      <c r="O21" s="842" t="s">
        <v>1395</v>
      </c>
      <c r="P21" s="843" t="s">
        <v>1396</v>
      </c>
      <c r="Q21" s="842" t="s">
        <v>1397</v>
      </c>
      <c r="R21" s="843" t="s">
        <v>1398</v>
      </c>
      <c r="S21" s="845" t="s">
        <v>1399</v>
      </c>
      <c r="T21" s="845" t="s">
        <v>1400</v>
      </c>
      <c r="U21" s="842" t="s">
        <v>1401</v>
      </c>
      <c r="V21" s="860" t="s">
        <v>1402</v>
      </c>
      <c r="W21" s="842" t="s">
        <v>1403</v>
      </c>
      <c r="X21" s="843" t="s">
        <v>1404</v>
      </c>
      <c r="Y21" s="842" t="s">
        <v>1405</v>
      </c>
      <c r="Z21" s="843" t="s">
        <v>1406</v>
      </c>
      <c r="AA21" s="842" t="s">
        <v>1407</v>
      </c>
      <c r="AB21" s="843" t="s">
        <v>1408</v>
      </c>
      <c r="AC21" s="845" t="s">
        <v>1409</v>
      </c>
      <c r="AD21" s="860" t="s">
        <v>1410</v>
      </c>
      <c r="AE21" s="842" t="s">
        <v>1411</v>
      </c>
      <c r="AF21" s="843" t="s">
        <v>1412</v>
      </c>
      <c r="AG21" s="842" t="s">
        <v>1413</v>
      </c>
      <c r="AH21" s="844" t="s">
        <v>1414</v>
      </c>
      <c r="AI21" s="846" t="s">
        <v>1415</v>
      </c>
      <c r="AJ21" s="926" t="s">
        <v>1416</v>
      </c>
      <c r="AK21" s="845" t="s">
        <v>1417</v>
      </c>
      <c r="AL21" s="843" t="s">
        <v>1418</v>
      </c>
      <c r="AM21" s="89" t="str">
        <f>CJ21 &amp; CK21</f>
        <v/>
      </c>
      <c r="AN21" s="124"/>
      <c r="AO21" s="124"/>
      <c r="AP21" s="124"/>
      <c r="AQ21" s="124"/>
      <c r="AR21" s="124"/>
      <c r="AS21" s="124"/>
      <c r="AT21" s="124"/>
      <c r="AU21" s="124"/>
      <c r="AV21" s="124"/>
      <c r="AW21" s="124"/>
      <c r="CB21" s="629"/>
      <c r="CC21" s="630"/>
      <c r="CD21" s="630"/>
      <c r="CE21" s="630"/>
      <c r="CF21" s="630"/>
      <c r="CG21" s="630"/>
      <c r="CH21" s="630"/>
      <c r="CI21" s="630"/>
      <c r="CJ21" s="465" t="str">
        <f>IF(AND(E21&lt;&gt;0,AI21=""), "* No olvide escribir en la celda de Pueblos Originarios (Digite CERO si no tiene). ",IF(AND(F21&lt;&gt;0,AJ21=""), "* No olvide escribir en la celda de Pueblos Originarios (Digite CERO si no tiene). ",""))</f>
        <v/>
      </c>
      <c r="CK21" s="465" t="str">
        <f>IF(AND(E21&lt;&gt;0,AK21=""), "* No olvide escribir en la celda de Población Migrantes (Digite CERO si no tiene). ",IF(AND(F21&lt;&gt;0,AL21=""), "* No olvide escribir en la celda de Población Migrantes (Digite CERO si no tiene). ",""))</f>
        <v/>
      </c>
      <c r="DB21" s="470"/>
      <c r="DC21" s="470"/>
      <c r="DD21" s="470"/>
      <c r="DE21" s="470"/>
      <c r="DF21" s="470"/>
      <c r="DG21" s="470"/>
      <c r="DH21" s="470"/>
      <c r="DI21" s="613">
        <f>IF(AND(E21&lt;&gt;0,AI21=""), 1,IF(AND(F21&lt;&gt;0,AJ21=""), 1,0))</f>
        <v>0</v>
      </c>
      <c r="DJ21" s="613">
        <f>IF(AND(E21&lt;&gt;0,AK21=""), 1,IF(AND(F21&lt;&gt;0,AL21=""), 1,0))</f>
        <v>0</v>
      </c>
      <c r="DK21" s="470"/>
    </row>
    <row r="22" spans="1:115" ht="21.75" customHeight="1" x14ac:dyDescent="0.25">
      <c r="A22" s="1775" t="s">
        <v>896</v>
      </c>
      <c r="B22" s="1967"/>
      <c r="C22" s="119" t="s">
        <v>426</v>
      </c>
      <c r="D22" s="847" t="s">
        <v>1384</v>
      </c>
      <c r="E22" s="912" t="s">
        <v>1385</v>
      </c>
      <c r="F22" s="913" t="s">
        <v>1386</v>
      </c>
      <c r="G22" s="1812" t="s">
        <v>1387</v>
      </c>
      <c r="H22" s="1813" t="s">
        <v>1388</v>
      </c>
      <c r="I22" s="848" t="s">
        <v>1389</v>
      </c>
      <c r="J22" s="851" t="s">
        <v>1390</v>
      </c>
      <c r="K22" s="848" t="s">
        <v>1391</v>
      </c>
      <c r="L22" s="851" t="s">
        <v>1392</v>
      </c>
      <c r="M22" s="848" t="s">
        <v>1393</v>
      </c>
      <c r="N22" s="850" t="s">
        <v>1394</v>
      </c>
      <c r="O22" s="848" t="s">
        <v>1395</v>
      </c>
      <c r="P22" s="849" t="s">
        <v>1396</v>
      </c>
      <c r="Q22" s="848" t="s">
        <v>1397</v>
      </c>
      <c r="R22" s="849" t="s">
        <v>1398</v>
      </c>
      <c r="S22" s="851" t="s">
        <v>1399</v>
      </c>
      <c r="T22" s="851" t="s">
        <v>1400</v>
      </c>
      <c r="U22" s="848" t="s">
        <v>1401</v>
      </c>
      <c r="V22" s="862" t="s">
        <v>1402</v>
      </c>
      <c r="W22" s="848" t="s">
        <v>1403</v>
      </c>
      <c r="X22" s="849" t="s">
        <v>1404</v>
      </c>
      <c r="Y22" s="848" t="s">
        <v>1405</v>
      </c>
      <c r="Z22" s="849" t="s">
        <v>1406</v>
      </c>
      <c r="AA22" s="848" t="s">
        <v>1407</v>
      </c>
      <c r="AB22" s="849" t="s">
        <v>1408</v>
      </c>
      <c r="AC22" s="851" t="s">
        <v>1409</v>
      </c>
      <c r="AD22" s="862" t="s">
        <v>1410</v>
      </c>
      <c r="AE22" s="848" t="s">
        <v>1411</v>
      </c>
      <c r="AF22" s="849" t="s">
        <v>1412</v>
      </c>
      <c r="AG22" s="848" t="s">
        <v>1413</v>
      </c>
      <c r="AH22" s="850" t="s">
        <v>1414</v>
      </c>
      <c r="AI22" s="852" t="s">
        <v>1415</v>
      </c>
      <c r="AJ22" s="930" t="s">
        <v>1416</v>
      </c>
      <c r="AK22" s="851" t="s">
        <v>1417</v>
      </c>
      <c r="AL22" s="849" t="s">
        <v>1418</v>
      </c>
      <c r="AM22" s="89" t="str">
        <f>CJ22 &amp; CK22</f>
        <v/>
      </c>
      <c r="AN22" s="124"/>
      <c r="AO22" s="124"/>
      <c r="AP22" s="124"/>
      <c r="AQ22" s="124"/>
      <c r="AR22" s="124"/>
      <c r="AS22" s="124"/>
      <c r="AT22" s="124"/>
      <c r="AU22" s="124"/>
      <c r="AV22" s="124"/>
      <c r="AW22" s="124"/>
      <c r="CB22" s="629"/>
      <c r="CC22" s="629"/>
      <c r="CD22" s="629"/>
      <c r="CE22" s="629"/>
      <c r="CF22" s="629"/>
      <c r="CG22" s="629"/>
      <c r="CH22" s="629"/>
      <c r="CI22" s="629"/>
      <c r="CJ22" s="465" t="str">
        <f>IF(AND(E22&lt;&gt;0,AI22=""), "* No olvide escribir en la celda de Pueblos Originarios (Digite CERO si no tiene). ",IF(AND(F22&lt;&gt;0,AJ22=""), "* No olvide escribir en la celda de Pueblos Originarios (Digite CERO si no tiene). ",""))</f>
        <v/>
      </c>
      <c r="CK22" s="465" t="str">
        <f>IF(AND(E22&lt;&gt;0,AK22=""), "* No olvide escribir en la celda de Población Migrantes (Digite CERO si no tiene). ",IF(AND(F22&lt;&gt;0,AL22=""), "* No olvide escribir en la celda de Población Migrantes (Digite CERO si no tiene). ",""))</f>
        <v/>
      </c>
      <c r="DB22" s="470"/>
      <c r="DC22" s="470"/>
      <c r="DD22" s="470"/>
      <c r="DE22" s="470"/>
      <c r="DF22" s="470"/>
      <c r="DG22" s="470"/>
      <c r="DH22" s="470"/>
      <c r="DI22" s="613">
        <f>IF(AND(E22&lt;&gt;0,AI22=""), 1,IF(AND(F22&lt;&gt;0,AJ22=""), 1,0))</f>
        <v>0</v>
      </c>
      <c r="DJ22" s="613">
        <f>IF(AND(E22&lt;&gt;0,AK22=""), 1,IF(AND(F22&lt;&gt;0,AL22=""), 1,0))</f>
        <v>0</v>
      </c>
      <c r="DK22" s="470"/>
    </row>
    <row r="23" spans="1:115" ht="21.75" customHeight="1" x14ac:dyDescent="0.25">
      <c r="A23" s="1776"/>
      <c r="B23" s="1968"/>
      <c r="C23" s="121" t="s">
        <v>15</v>
      </c>
      <c r="D23" s="854">
        <f t="shared" si="0"/>
        <v>0</v>
      </c>
      <c r="E23" s="855">
        <f t="shared" si="1"/>
        <v>0</v>
      </c>
      <c r="F23" s="864">
        <f t="shared" si="2"/>
        <v>0</v>
      </c>
      <c r="G23" s="1814"/>
      <c r="H23" s="1815"/>
      <c r="I23" s="855">
        <f>SUM(I21:I22)</f>
        <v>0</v>
      </c>
      <c r="J23" s="856">
        <f>SUM(J21:J22)</f>
        <v>0</v>
      </c>
      <c r="K23" s="855">
        <f t="shared" ref="K23:AL23" si="8">SUM(K21:K22)</f>
        <v>0</v>
      </c>
      <c r="L23" s="856">
        <f t="shared" si="8"/>
        <v>0</v>
      </c>
      <c r="M23" s="855">
        <f t="shared" si="8"/>
        <v>0</v>
      </c>
      <c r="N23" s="857">
        <f t="shared" si="8"/>
        <v>0</v>
      </c>
      <c r="O23" s="855">
        <f t="shared" si="8"/>
        <v>0</v>
      </c>
      <c r="P23" s="856">
        <f t="shared" si="8"/>
        <v>0</v>
      </c>
      <c r="Q23" s="855">
        <f t="shared" si="8"/>
        <v>0</v>
      </c>
      <c r="R23" s="856">
        <f t="shared" si="8"/>
        <v>0</v>
      </c>
      <c r="S23" s="858">
        <f t="shared" si="8"/>
        <v>0</v>
      </c>
      <c r="T23" s="856">
        <f t="shared" si="8"/>
        <v>0</v>
      </c>
      <c r="U23" s="855">
        <f t="shared" si="8"/>
        <v>0</v>
      </c>
      <c r="V23" s="857">
        <f t="shared" si="8"/>
        <v>0</v>
      </c>
      <c r="W23" s="855">
        <f t="shared" si="8"/>
        <v>0</v>
      </c>
      <c r="X23" s="856">
        <f t="shared" si="8"/>
        <v>0</v>
      </c>
      <c r="Y23" s="855">
        <f t="shared" si="8"/>
        <v>0</v>
      </c>
      <c r="Z23" s="856">
        <f t="shared" si="8"/>
        <v>0</v>
      </c>
      <c r="AA23" s="855">
        <f t="shared" si="8"/>
        <v>0</v>
      </c>
      <c r="AB23" s="856">
        <f t="shared" si="8"/>
        <v>0</v>
      </c>
      <c r="AC23" s="855">
        <f t="shared" si="8"/>
        <v>0</v>
      </c>
      <c r="AD23" s="904">
        <f t="shared" si="8"/>
        <v>0</v>
      </c>
      <c r="AE23" s="855">
        <f t="shared" si="8"/>
        <v>0</v>
      </c>
      <c r="AF23" s="856">
        <f t="shared" si="8"/>
        <v>0</v>
      </c>
      <c r="AG23" s="855">
        <f t="shared" si="8"/>
        <v>0</v>
      </c>
      <c r="AH23" s="857">
        <f t="shared" si="8"/>
        <v>0</v>
      </c>
      <c r="AI23" s="859">
        <f t="shared" si="8"/>
        <v>0</v>
      </c>
      <c r="AJ23" s="932">
        <f t="shared" si="8"/>
        <v>0</v>
      </c>
      <c r="AK23" s="1497">
        <f t="shared" si="8"/>
        <v>0</v>
      </c>
      <c r="AL23" s="856">
        <f t="shared" si="8"/>
        <v>0</v>
      </c>
      <c r="AM23" s="89" t="str">
        <f>"" &amp; CC23 &amp; CD23</f>
        <v/>
      </c>
      <c r="AN23" s="124"/>
      <c r="AO23" s="124"/>
      <c r="AP23" s="124"/>
      <c r="AQ23" s="124"/>
      <c r="AR23" s="124"/>
      <c r="AS23" s="124"/>
      <c r="AT23" s="124"/>
      <c r="AU23" s="124"/>
      <c r="AV23" s="124"/>
      <c r="AW23" s="124"/>
      <c r="CB23" s="629"/>
      <c r="CC23" s="490" t="str">
        <f>IF($D23&gt;=$AI23+$AJ23,"","* El Total de Pueblos Originarios no debe ser mayor al Total Indicador peso/talla. ")</f>
        <v/>
      </c>
      <c r="CD23" s="490" t="str">
        <f>IF($D23&gt;=$AK23+$AL23,"","* El Total de Población Migrantes no debe ser mayor al Total Indicador peso/talla. ")</f>
        <v/>
      </c>
      <c r="CE23" s="630"/>
      <c r="CF23" s="630"/>
      <c r="CG23" s="630"/>
      <c r="CH23" s="630"/>
      <c r="CI23" s="630"/>
      <c r="DB23" s="486">
        <f>IF($D23&gt;=$AI23+$AJ23,0,1)</f>
        <v>0</v>
      </c>
      <c r="DC23" s="486">
        <f>IF($D23&gt;=$AK23+$AL23,0,1)</f>
        <v>0</v>
      </c>
      <c r="DD23" s="470"/>
      <c r="DE23" s="470"/>
      <c r="DF23" s="470"/>
      <c r="DG23" s="470"/>
      <c r="DH23" s="470"/>
      <c r="DI23" s="470"/>
      <c r="DJ23" s="470"/>
      <c r="DK23" s="470"/>
    </row>
    <row r="24" spans="1:115" ht="21.75" customHeight="1" x14ac:dyDescent="0.25">
      <c r="A24" s="1775" t="s">
        <v>897</v>
      </c>
      <c r="B24" s="1994" t="s">
        <v>104</v>
      </c>
      <c r="C24" s="1781" t="s">
        <v>428</v>
      </c>
      <c r="D24" s="865" t="s">
        <v>1384</v>
      </c>
      <c r="E24" s="908" t="s">
        <v>1385</v>
      </c>
      <c r="F24" s="909" t="s">
        <v>1386</v>
      </c>
      <c r="G24" s="1810" t="s">
        <v>1387</v>
      </c>
      <c r="H24" s="1811" t="s">
        <v>1388</v>
      </c>
      <c r="I24" s="842" t="s">
        <v>1389</v>
      </c>
      <c r="J24" s="845" t="s">
        <v>1390</v>
      </c>
      <c r="K24" s="842" t="s">
        <v>1391</v>
      </c>
      <c r="L24" s="845" t="s">
        <v>1392</v>
      </c>
      <c r="M24" s="842" t="s">
        <v>1393</v>
      </c>
      <c r="N24" s="844" t="s">
        <v>1394</v>
      </c>
      <c r="O24" s="842" t="s">
        <v>1395</v>
      </c>
      <c r="P24" s="843" t="s">
        <v>1396</v>
      </c>
      <c r="Q24" s="842" t="s">
        <v>1397</v>
      </c>
      <c r="R24" s="843" t="s">
        <v>1398</v>
      </c>
      <c r="S24" s="845" t="s">
        <v>1399</v>
      </c>
      <c r="T24" s="845" t="s">
        <v>1400</v>
      </c>
      <c r="U24" s="842" t="s">
        <v>1401</v>
      </c>
      <c r="V24" s="860" t="s">
        <v>1402</v>
      </c>
      <c r="W24" s="842" t="s">
        <v>1403</v>
      </c>
      <c r="X24" s="843" t="s">
        <v>1404</v>
      </c>
      <c r="Y24" s="842" t="s">
        <v>1405</v>
      </c>
      <c r="Z24" s="843" t="s">
        <v>1406</v>
      </c>
      <c r="AA24" s="842" t="s">
        <v>1407</v>
      </c>
      <c r="AB24" s="843" t="s">
        <v>1408</v>
      </c>
      <c r="AC24" s="845" t="s">
        <v>1409</v>
      </c>
      <c r="AD24" s="860" t="s">
        <v>1410</v>
      </c>
      <c r="AE24" s="842" t="s">
        <v>1411</v>
      </c>
      <c r="AF24" s="843" t="s">
        <v>1412</v>
      </c>
      <c r="AG24" s="842" t="s">
        <v>1413</v>
      </c>
      <c r="AH24" s="844" t="s">
        <v>1414</v>
      </c>
      <c r="AI24" s="846" t="s">
        <v>1415</v>
      </c>
      <c r="AJ24" s="926" t="s">
        <v>1416</v>
      </c>
      <c r="AK24" s="845" t="s">
        <v>1417</v>
      </c>
      <c r="AL24" s="843" t="s">
        <v>1418</v>
      </c>
      <c r="AM24" s="89" t="str">
        <f>CJ24 &amp; CK24</f>
        <v/>
      </c>
      <c r="AN24" s="124"/>
      <c r="AO24" s="124"/>
      <c r="AP24" s="124"/>
      <c r="AQ24" s="124"/>
      <c r="AR24" s="124"/>
      <c r="AS24" s="124"/>
      <c r="AT24" s="124"/>
      <c r="AU24" s="124"/>
      <c r="AV24" s="124"/>
      <c r="AW24" s="124"/>
      <c r="CB24" s="629"/>
      <c r="CC24" s="630"/>
      <c r="CD24" s="630"/>
      <c r="CE24" s="630"/>
      <c r="CF24" s="630"/>
      <c r="CG24" s="630"/>
      <c r="CH24" s="630"/>
      <c r="CI24" s="630"/>
      <c r="CJ24" s="465" t="str">
        <f>IF(AND(E24&lt;&gt;0,AI24=""), "* No olvide escribir en la celda de Pueblos Originarios (Digite CERO si no tiene). ",IF(AND(F24&lt;&gt;0,AJ24=""), "* No olvide escribir en la celda de Pueblos Originarios (Digite CERO si no tiene). ",""))</f>
        <v/>
      </c>
      <c r="CK24" s="465" t="str">
        <f>IF(AND(E24&lt;&gt;0,AK24=""), "* No olvide escribir en la celda de Población Migrantes (Digite CERO si no tiene). ",IF(AND(F24&lt;&gt;0,AL24=""), "* No olvide escribir en la celda de Población Migrantes (Digite CERO si no tiene). ",""))</f>
        <v/>
      </c>
      <c r="DB24" s="470"/>
      <c r="DC24" s="470"/>
      <c r="DD24" s="470"/>
      <c r="DE24" s="470"/>
      <c r="DF24" s="470"/>
      <c r="DG24" s="470"/>
      <c r="DH24" s="470"/>
      <c r="DI24" s="613">
        <f>IF(AND(E24&lt;&gt;0,AI24=""), 1,IF(AND(F24&lt;&gt;0,AJ24=""), 1,0))</f>
        <v>0</v>
      </c>
      <c r="DJ24" s="613">
        <f>IF(AND(E24&lt;&gt;0,AK24=""), 1,IF(AND(F24&lt;&gt;0,AL24=""), 1,0))</f>
        <v>0</v>
      </c>
      <c r="DK24" s="470"/>
    </row>
    <row r="25" spans="1:115" ht="21.75" customHeight="1" x14ac:dyDescent="0.25">
      <c r="A25" s="1775" t="s">
        <v>898</v>
      </c>
      <c r="B25" s="1994"/>
      <c r="C25" s="119" t="s">
        <v>429</v>
      </c>
      <c r="D25" s="866" t="s">
        <v>1384</v>
      </c>
      <c r="E25" s="1316" t="s">
        <v>1385</v>
      </c>
      <c r="F25" s="922" t="s">
        <v>1386</v>
      </c>
      <c r="G25" s="1812" t="s">
        <v>1387</v>
      </c>
      <c r="H25" s="1813" t="s">
        <v>1388</v>
      </c>
      <c r="I25" s="848" t="s">
        <v>1389</v>
      </c>
      <c r="J25" s="851" t="s">
        <v>1390</v>
      </c>
      <c r="K25" s="848" t="s">
        <v>1391</v>
      </c>
      <c r="L25" s="851" t="s">
        <v>1392</v>
      </c>
      <c r="M25" s="848" t="s">
        <v>1393</v>
      </c>
      <c r="N25" s="850" t="s">
        <v>1394</v>
      </c>
      <c r="O25" s="848" t="s">
        <v>1395</v>
      </c>
      <c r="P25" s="849" t="s">
        <v>1396</v>
      </c>
      <c r="Q25" s="848" t="s">
        <v>1397</v>
      </c>
      <c r="R25" s="849" t="s">
        <v>1398</v>
      </c>
      <c r="S25" s="851" t="s">
        <v>1399</v>
      </c>
      <c r="T25" s="851" t="s">
        <v>1400</v>
      </c>
      <c r="U25" s="848" t="s">
        <v>1401</v>
      </c>
      <c r="V25" s="862" t="s">
        <v>1402</v>
      </c>
      <c r="W25" s="848" t="s">
        <v>1403</v>
      </c>
      <c r="X25" s="849" t="s">
        <v>1404</v>
      </c>
      <c r="Y25" s="848" t="s">
        <v>1405</v>
      </c>
      <c r="Z25" s="849" t="s">
        <v>1406</v>
      </c>
      <c r="AA25" s="848" t="s">
        <v>1407</v>
      </c>
      <c r="AB25" s="849" t="s">
        <v>1408</v>
      </c>
      <c r="AC25" s="851" t="s">
        <v>1409</v>
      </c>
      <c r="AD25" s="862" t="s">
        <v>1410</v>
      </c>
      <c r="AE25" s="848" t="s">
        <v>1411</v>
      </c>
      <c r="AF25" s="849" t="s">
        <v>1412</v>
      </c>
      <c r="AG25" s="848" t="s">
        <v>1413</v>
      </c>
      <c r="AH25" s="850" t="s">
        <v>1414</v>
      </c>
      <c r="AI25" s="852" t="s">
        <v>1415</v>
      </c>
      <c r="AJ25" s="930" t="s">
        <v>1416</v>
      </c>
      <c r="AK25" s="851" t="s">
        <v>1417</v>
      </c>
      <c r="AL25" s="849" t="s">
        <v>1418</v>
      </c>
      <c r="AM25" s="89" t="str">
        <f>CJ25 &amp; CK25</f>
        <v/>
      </c>
      <c r="AN25" s="124"/>
      <c r="AO25" s="124"/>
      <c r="AP25" s="124"/>
      <c r="AQ25" s="124"/>
      <c r="AR25" s="124"/>
      <c r="AS25" s="124"/>
      <c r="AT25" s="124"/>
      <c r="AU25" s="124"/>
      <c r="AV25" s="124"/>
      <c r="AW25" s="124"/>
      <c r="CB25" s="629"/>
      <c r="CC25" s="630"/>
      <c r="CD25" s="630"/>
      <c r="CE25" s="630"/>
      <c r="CF25" s="630"/>
      <c r="CG25" s="630"/>
      <c r="CH25" s="630"/>
      <c r="CI25" s="630"/>
      <c r="CJ25" s="465" t="str">
        <f>IF(AND(E25&lt;&gt;0,AI25=""), "* No olvide escribir en la celda de Pueblos Originarios (Digite CERO si no tiene). ",IF(AND(F25&lt;&gt;0,AJ25=""), "* No olvide escribir en la celda de Pueblos Originarios (Digite CERO si no tiene). ",""))</f>
        <v/>
      </c>
      <c r="CK25" s="465" t="str">
        <f>IF(AND(E25&lt;&gt;0,AK25=""), "* No olvide escribir en la celda de Población Migrantes (Digite CERO si no tiene). ",IF(AND(F25&lt;&gt;0,AL25=""), "* No olvide escribir en la celda de Población Migrantes (Digite CERO si no tiene). ",""))</f>
        <v/>
      </c>
      <c r="DB25" s="470"/>
      <c r="DC25" s="470"/>
      <c r="DD25" s="470"/>
      <c r="DE25" s="470"/>
      <c r="DF25" s="470"/>
      <c r="DG25" s="470"/>
      <c r="DH25" s="470"/>
      <c r="DI25" s="613">
        <f>IF(AND(E25&lt;&gt;0,AI25=""), 1,IF(AND(F25&lt;&gt;0,AJ25=""), 1,0))</f>
        <v>0</v>
      </c>
      <c r="DJ25" s="613">
        <f>IF(AND(E25&lt;&gt;0,AK25=""), 1,IF(AND(F25&lt;&gt;0,AL25=""), 1,0))</f>
        <v>0</v>
      </c>
      <c r="DK25" s="470"/>
    </row>
    <row r="26" spans="1:115" ht="21.75" customHeight="1" x14ac:dyDescent="0.25">
      <c r="A26" s="1776"/>
      <c r="B26" s="1994"/>
      <c r="C26" s="121" t="s">
        <v>15</v>
      </c>
      <c r="D26" s="867">
        <f t="shared" si="0"/>
        <v>0</v>
      </c>
      <c r="E26" s="855">
        <f t="shared" si="1"/>
        <v>0</v>
      </c>
      <c r="F26" s="864">
        <f t="shared" si="2"/>
        <v>0</v>
      </c>
      <c r="G26" s="1814"/>
      <c r="H26" s="1815"/>
      <c r="I26" s="868">
        <f>SUM(I24:I25)</f>
        <v>0</v>
      </c>
      <c r="J26" s="869">
        <f t="shared" ref="J26:AL26" si="9">SUM(J24:J25)</f>
        <v>0</v>
      </c>
      <c r="K26" s="868">
        <f t="shared" si="9"/>
        <v>0</v>
      </c>
      <c r="L26" s="869">
        <f t="shared" si="9"/>
        <v>0</v>
      </c>
      <c r="M26" s="868">
        <f t="shared" si="9"/>
        <v>0</v>
      </c>
      <c r="N26" s="870">
        <f t="shared" si="9"/>
        <v>0</v>
      </c>
      <c r="O26" s="868">
        <f t="shared" si="9"/>
        <v>0</v>
      </c>
      <c r="P26" s="871">
        <f t="shared" si="9"/>
        <v>0</v>
      </c>
      <c r="Q26" s="868">
        <f t="shared" si="9"/>
        <v>0</v>
      </c>
      <c r="R26" s="871">
        <f t="shared" si="9"/>
        <v>0</v>
      </c>
      <c r="S26" s="872">
        <f t="shared" si="9"/>
        <v>0</v>
      </c>
      <c r="T26" s="869">
        <f t="shared" si="9"/>
        <v>0</v>
      </c>
      <c r="U26" s="868">
        <f t="shared" si="9"/>
        <v>0</v>
      </c>
      <c r="V26" s="873">
        <f t="shared" si="9"/>
        <v>0</v>
      </c>
      <c r="W26" s="868">
        <f t="shared" si="9"/>
        <v>0</v>
      </c>
      <c r="X26" s="871">
        <f t="shared" si="9"/>
        <v>0</v>
      </c>
      <c r="Y26" s="868">
        <f t="shared" si="9"/>
        <v>0</v>
      </c>
      <c r="Z26" s="871">
        <f t="shared" si="9"/>
        <v>0</v>
      </c>
      <c r="AA26" s="868">
        <f t="shared" si="9"/>
        <v>0</v>
      </c>
      <c r="AB26" s="871">
        <f t="shared" si="9"/>
        <v>0</v>
      </c>
      <c r="AC26" s="872">
        <f t="shared" si="9"/>
        <v>0</v>
      </c>
      <c r="AD26" s="873">
        <f t="shared" si="9"/>
        <v>0</v>
      </c>
      <c r="AE26" s="868">
        <f t="shared" si="9"/>
        <v>0</v>
      </c>
      <c r="AF26" s="871">
        <f t="shared" si="9"/>
        <v>0</v>
      </c>
      <c r="AG26" s="868">
        <f t="shared" si="9"/>
        <v>0</v>
      </c>
      <c r="AH26" s="870">
        <f t="shared" si="9"/>
        <v>0</v>
      </c>
      <c r="AI26" s="874">
        <f t="shared" si="9"/>
        <v>0</v>
      </c>
      <c r="AJ26" s="1500">
        <f t="shared" si="9"/>
        <v>0</v>
      </c>
      <c r="AK26" s="1499">
        <f t="shared" si="9"/>
        <v>0</v>
      </c>
      <c r="AL26" s="871">
        <f t="shared" si="9"/>
        <v>0</v>
      </c>
      <c r="AM26" s="89" t="str">
        <f>"" &amp; CC26 &amp; CD26</f>
        <v/>
      </c>
      <c r="AN26" s="124"/>
      <c r="AO26" s="124"/>
      <c r="AP26" s="124"/>
      <c r="AQ26" s="124"/>
      <c r="AR26" s="124"/>
      <c r="AS26" s="124"/>
      <c r="AT26" s="124"/>
      <c r="AU26" s="124"/>
      <c r="AV26" s="124"/>
      <c r="AW26" s="124"/>
      <c r="CB26" s="629"/>
      <c r="CC26" s="490" t="str">
        <f>IF($D26&gt;=$AI26+$AJ26,"","* El Total de Pueblos Originarios no debe ser mayor al Total Indicador peso/talla. ")</f>
        <v/>
      </c>
      <c r="CD26" s="490" t="str">
        <f>IF($D26&gt;=$AK26+$AL26,"","* El Total de Población Migrantes no debe ser mayor al Total Indicador peso/talla. ")</f>
        <v/>
      </c>
      <c r="CE26" s="630"/>
      <c r="CF26" s="630"/>
      <c r="CG26" s="630"/>
      <c r="CH26" s="630"/>
      <c r="CI26" s="630"/>
      <c r="DB26" s="486">
        <f>IF($D26&gt;=$AI26+$AJ26,0,1)</f>
        <v>0</v>
      </c>
      <c r="DC26" s="486">
        <f>IF($D26&gt;=$AK26+$AL26,0,1)</f>
        <v>0</v>
      </c>
      <c r="DD26" s="470"/>
      <c r="DE26" s="470"/>
      <c r="DF26" s="470"/>
      <c r="DG26" s="470"/>
      <c r="DH26" s="470"/>
      <c r="DI26" s="470"/>
      <c r="DJ26" s="470"/>
      <c r="DK26" s="470"/>
    </row>
    <row r="27" spans="1:115" ht="21.75" customHeight="1" x14ac:dyDescent="0.25">
      <c r="A27" s="1775" t="s">
        <v>899</v>
      </c>
      <c r="B27" s="1994"/>
      <c r="C27" s="1782" t="s">
        <v>430</v>
      </c>
      <c r="D27" s="865" t="s">
        <v>1384</v>
      </c>
      <c r="E27" s="908" t="s">
        <v>1385</v>
      </c>
      <c r="F27" s="909" t="s">
        <v>1386</v>
      </c>
      <c r="G27" s="1810" t="s">
        <v>1387</v>
      </c>
      <c r="H27" s="1811" t="s">
        <v>1388</v>
      </c>
      <c r="I27" s="875" t="s">
        <v>1389</v>
      </c>
      <c r="J27" s="876" t="s">
        <v>1390</v>
      </c>
      <c r="K27" s="875" t="s">
        <v>1391</v>
      </c>
      <c r="L27" s="876" t="s">
        <v>1392</v>
      </c>
      <c r="M27" s="875" t="s">
        <v>1393</v>
      </c>
      <c r="N27" s="877" t="s">
        <v>1394</v>
      </c>
      <c r="O27" s="875" t="s">
        <v>1395</v>
      </c>
      <c r="P27" s="878" t="s">
        <v>1396</v>
      </c>
      <c r="Q27" s="842" t="s">
        <v>1397</v>
      </c>
      <c r="R27" s="843" t="s">
        <v>1398</v>
      </c>
      <c r="S27" s="876" t="s">
        <v>1399</v>
      </c>
      <c r="T27" s="876" t="s">
        <v>1400</v>
      </c>
      <c r="U27" s="875" t="s">
        <v>1401</v>
      </c>
      <c r="V27" s="879" t="s">
        <v>1402</v>
      </c>
      <c r="W27" s="875" t="s">
        <v>1403</v>
      </c>
      <c r="X27" s="878" t="s">
        <v>1404</v>
      </c>
      <c r="Y27" s="875" t="s">
        <v>1405</v>
      </c>
      <c r="Z27" s="878" t="s">
        <v>1406</v>
      </c>
      <c r="AA27" s="875" t="s">
        <v>1407</v>
      </c>
      <c r="AB27" s="878" t="s">
        <v>1408</v>
      </c>
      <c r="AC27" s="876" t="s">
        <v>1409</v>
      </c>
      <c r="AD27" s="879" t="s">
        <v>1410</v>
      </c>
      <c r="AE27" s="875" t="s">
        <v>1411</v>
      </c>
      <c r="AF27" s="878" t="s">
        <v>1412</v>
      </c>
      <c r="AG27" s="875" t="s">
        <v>1413</v>
      </c>
      <c r="AH27" s="877" t="s">
        <v>1414</v>
      </c>
      <c r="AI27" s="880" t="s">
        <v>1415</v>
      </c>
      <c r="AJ27" s="1496" t="s">
        <v>1416</v>
      </c>
      <c r="AK27" s="876" t="s">
        <v>1417</v>
      </c>
      <c r="AL27" s="878" t="s">
        <v>1418</v>
      </c>
      <c r="AM27" s="89" t="str">
        <f>CJ27 &amp; CK27</f>
        <v/>
      </c>
      <c r="AN27" s="124"/>
      <c r="AO27" s="124"/>
      <c r="AP27" s="124"/>
      <c r="AQ27" s="124"/>
      <c r="AR27" s="124"/>
      <c r="AS27" s="124"/>
      <c r="AT27" s="124"/>
      <c r="AU27" s="124"/>
      <c r="AV27" s="124"/>
      <c r="AW27" s="124"/>
      <c r="CB27" s="629"/>
      <c r="CC27" s="630"/>
      <c r="CD27" s="630"/>
      <c r="CE27" s="630"/>
      <c r="CF27" s="630"/>
      <c r="CG27" s="630"/>
      <c r="CH27" s="630"/>
      <c r="CI27" s="630"/>
      <c r="CJ27" s="465" t="str">
        <f>IF(AND(E27&lt;&gt;0,AI27=""), "* No olvide escribir en la celda de Pueblos Originarios (Digite CERO si no tiene). ",IF(AND(F27&lt;&gt;0,AJ27=""), "* No olvide escribir en la celda de Pueblos Originarios (Digite CERO si no tiene). ",""))</f>
        <v/>
      </c>
      <c r="CK27" s="465" t="str">
        <f>IF(AND(E27&lt;&gt;0,AK27=""), "* No olvide escribir en la celda de Población Migrantes (Digite CERO si no tiene). ",IF(AND(F27&lt;&gt;0,AL27=""), "* No olvide escribir en la celda de Población Migrantes (Digite CERO si no tiene). ",""))</f>
        <v/>
      </c>
      <c r="DB27" s="470"/>
      <c r="DC27" s="470"/>
      <c r="DD27" s="470"/>
      <c r="DE27" s="470"/>
      <c r="DF27" s="470"/>
      <c r="DG27" s="470"/>
      <c r="DH27" s="470"/>
      <c r="DI27" s="613">
        <f>IF(AND(E27&lt;&gt;0,AI27=""), 1,IF(AND(F27&lt;&gt;0,AJ27=""), 1,0))</f>
        <v>0</v>
      </c>
      <c r="DJ27" s="613">
        <f>IF(AND(E27&lt;&gt;0,AK27=""), 1,IF(AND(F27&lt;&gt;0,AL27=""), 1,0))</f>
        <v>0</v>
      </c>
      <c r="DK27" s="470"/>
    </row>
    <row r="28" spans="1:115" ht="21.75" customHeight="1" x14ac:dyDescent="0.25">
      <c r="A28" s="1775" t="s">
        <v>900</v>
      </c>
      <c r="B28" s="1994"/>
      <c r="C28" s="119" t="s">
        <v>426</v>
      </c>
      <c r="D28" s="866" t="s">
        <v>1384</v>
      </c>
      <c r="E28" s="1316" t="s">
        <v>1385</v>
      </c>
      <c r="F28" s="922" t="s">
        <v>1386</v>
      </c>
      <c r="G28" s="1812" t="s">
        <v>1387</v>
      </c>
      <c r="H28" s="1813" t="s">
        <v>1388</v>
      </c>
      <c r="I28" s="848" t="s">
        <v>1389</v>
      </c>
      <c r="J28" s="851" t="s">
        <v>1390</v>
      </c>
      <c r="K28" s="848" t="s">
        <v>1391</v>
      </c>
      <c r="L28" s="851" t="s">
        <v>1392</v>
      </c>
      <c r="M28" s="848" t="s">
        <v>1393</v>
      </c>
      <c r="N28" s="850" t="s">
        <v>1394</v>
      </c>
      <c r="O28" s="848" t="s">
        <v>1395</v>
      </c>
      <c r="P28" s="849" t="s">
        <v>1396</v>
      </c>
      <c r="Q28" s="848" t="s">
        <v>1397</v>
      </c>
      <c r="R28" s="849" t="s">
        <v>1398</v>
      </c>
      <c r="S28" s="851" t="s">
        <v>1399</v>
      </c>
      <c r="T28" s="851" t="s">
        <v>1400</v>
      </c>
      <c r="U28" s="848" t="s">
        <v>1401</v>
      </c>
      <c r="V28" s="862" t="s">
        <v>1402</v>
      </c>
      <c r="W28" s="848" t="s">
        <v>1403</v>
      </c>
      <c r="X28" s="849" t="s">
        <v>1404</v>
      </c>
      <c r="Y28" s="848" t="s">
        <v>1405</v>
      </c>
      <c r="Z28" s="849" t="s">
        <v>1406</v>
      </c>
      <c r="AA28" s="848" t="s">
        <v>1407</v>
      </c>
      <c r="AB28" s="849" t="s">
        <v>1408</v>
      </c>
      <c r="AC28" s="851" t="s">
        <v>1409</v>
      </c>
      <c r="AD28" s="862" t="s">
        <v>1410</v>
      </c>
      <c r="AE28" s="848" t="s">
        <v>1411</v>
      </c>
      <c r="AF28" s="849" t="s">
        <v>1412</v>
      </c>
      <c r="AG28" s="848" t="s">
        <v>1413</v>
      </c>
      <c r="AH28" s="850" t="s">
        <v>1414</v>
      </c>
      <c r="AI28" s="852" t="s">
        <v>1415</v>
      </c>
      <c r="AJ28" s="930" t="s">
        <v>1416</v>
      </c>
      <c r="AK28" s="851" t="s">
        <v>1417</v>
      </c>
      <c r="AL28" s="849" t="s">
        <v>1418</v>
      </c>
      <c r="AM28" s="89" t="str">
        <f>CJ28 &amp; CK28</f>
        <v/>
      </c>
      <c r="AN28" s="124"/>
      <c r="AO28" s="124"/>
      <c r="AP28" s="124"/>
      <c r="AQ28" s="124"/>
      <c r="AR28" s="124"/>
      <c r="AS28" s="124"/>
      <c r="AT28" s="124"/>
      <c r="AU28" s="124"/>
      <c r="AV28" s="124"/>
      <c r="AW28" s="124"/>
      <c r="CB28" s="629"/>
      <c r="CC28" s="630"/>
      <c r="CD28" s="630"/>
      <c r="CE28" s="630"/>
      <c r="CF28" s="630"/>
      <c r="CG28" s="630"/>
      <c r="CH28" s="630"/>
      <c r="CI28" s="630"/>
      <c r="CJ28" s="465" t="str">
        <f>IF(AND(E28&lt;&gt;0,AI28=""), "* No olvide escribir en la celda de Pueblos Originarios (Digite CERO si no tiene). ",IF(AND(F28&lt;&gt;0,AJ28=""), "* No olvide escribir en la celda de Pueblos Originarios (Digite CERO si no tiene). ",""))</f>
        <v/>
      </c>
      <c r="CK28" s="465" t="str">
        <f>IF(AND(E28&lt;&gt;0,AK28=""), "* No olvide escribir en la celda de Población Migrantes (Digite CERO si no tiene). ",IF(AND(F28&lt;&gt;0,AL28=""), "* No olvide escribir en la celda de Población Migrantes (Digite CERO si no tiene). ",""))</f>
        <v/>
      </c>
      <c r="DB28" s="470"/>
      <c r="DC28" s="470"/>
      <c r="DD28" s="470"/>
      <c r="DE28" s="470"/>
      <c r="DF28" s="470"/>
      <c r="DG28" s="470"/>
      <c r="DH28" s="470"/>
      <c r="DI28" s="613">
        <f>IF(AND(E28&lt;&gt;0,AI28=""), 1,IF(AND(F28&lt;&gt;0,AJ28=""), 1,0))</f>
        <v>0</v>
      </c>
      <c r="DJ28" s="613">
        <f>IF(AND(E28&lt;&gt;0,AK28=""), 1,IF(AND(F28&lt;&gt;0,AL28=""), 1,0))</f>
        <v>0</v>
      </c>
      <c r="DK28" s="470"/>
    </row>
    <row r="29" spans="1:115" ht="21.75" customHeight="1" x14ac:dyDescent="0.25">
      <c r="A29" s="1776"/>
      <c r="B29" s="1994"/>
      <c r="C29" s="121" t="s">
        <v>15</v>
      </c>
      <c r="D29" s="867">
        <f t="shared" si="0"/>
        <v>0</v>
      </c>
      <c r="E29" s="855">
        <f t="shared" si="1"/>
        <v>0</v>
      </c>
      <c r="F29" s="864">
        <f t="shared" si="2"/>
        <v>0</v>
      </c>
      <c r="G29" s="1814"/>
      <c r="H29" s="1815"/>
      <c r="I29" s="868">
        <f>SUM(I27:I28)</f>
        <v>0</v>
      </c>
      <c r="J29" s="869">
        <f t="shared" ref="J29:AL29" si="10">SUM(J27:J28)</f>
        <v>0</v>
      </c>
      <c r="K29" s="868">
        <f t="shared" si="10"/>
        <v>0</v>
      </c>
      <c r="L29" s="869">
        <f t="shared" si="10"/>
        <v>0</v>
      </c>
      <c r="M29" s="868">
        <f t="shared" si="10"/>
        <v>0</v>
      </c>
      <c r="N29" s="870">
        <f t="shared" si="10"/>
        <v>0</v>
      </c>
      <c r="O29" s="868">
        <f t="shared" si="10"/>
        <v>0</v>
      </c>
      <c r="P29" s="871">
        <f t="shared" si="10"/>
        <v>0</v>
      </c>
      <c r="Q29" s="868">
        <f t="shared" si="10"/>
        <v>0</v>
      </c>
      <c r="R29" s="871">
        <f t="shared" si="10"/>
        <v>0</v>
      </c>
      <c r="S29" s="872">
        <f t="shared" si="10"/>
        <v>0</v>
      </c>
      <c r="T29" s="869">
        <f t="shared" si="10"/>
        <v>0</v>
      </c>
      <c r="U29" s="868">
        <f t="shared" si="10"/>
        <v>0</v>
      </c>
      <c r="V29" s="873">
        <f t="shared" si="10"/>
        <v>0</v>
      </c>
      <c r="W29" s="868">
        <f t="shared" si="10"/>
        <v>0</v>
      </c>
      <c r="X29" s="871">
        <f t="shared" si="10"/>
        <v>0</v>
      </c>
      <c r="Y29" s="868">
        <f t="shared" si="10"/>
        <v>0</v>
      </c>
      <c r="Z29" s="871">
        <f t="shared" si="10"/>
        <v>0</v>
      </c>
      <c r="AA29" s="868">
        <f t="shared" si="10"/>
        <v>0</v>
      </c>
      <c r="AB29" s="871">
        <f t="shared" si="10"/>
        <v>0</v>
      </c>
      <c r="AC29" s="872">
        <f t="shared" si="10"/>
        <v>0</v>
      </c>
      <c r="AD29" s="873">
        <f t="shared" si="10"/>
        <v>0</v>
      </c>
      <c r="AE29" s="868">
        <f t="shared" si="10"/>
        <v>0</v>
      </c>
      <c r="AF29" s="871">
        <f t="shared" si="10"/>
        <v>0</v>
      </c>
      <c r="AG29" s="868">
        <f t="shared" si="10"/>
        <v>0</v>
      </c>
      <c r="AH29" s="870">
        <f t="shared" si="10"/>
        <v>0</v>
      </c>
      <c r="AI29" s="874">
        <f t="shared" si="10"/>
        <v>0</v>
      </c>
      <c r="AJ29" s="1500">
        <f t="shared" si="10"/>
        <v>0</v>
      </c>
      <c r="AK29" s="1499">
        <f t="shared" si="10"/>
        <v>0</v>
      </c>
      <c r="AL29" s="871">
        <f t="shared" si="10"/>
        <v>0</v>
      </c>
      <c r="AM29" s="89" t="str">
        <f>"" &amp; CC29 &amp; CD29</f>
        <v/>
      </c>
      <c r="AN29" s="124"/>
      <c r="AO29" s="124"/>
      <c r="AP29" s="124"/>
      <c r="AQ29" s="124"/>
      <c r="AR29" s="124"/>
      <c r="AS29" s="124"/>
      <c r="AT29" s="124"/>
      <c r="AU29" s="124"/>
      <c r="AV29" s="124"/>
      <c r="AW29" s="124"/>
      <c r="CB29" s="629"/>
      <c r="CC29" s="490" t="str">
        <f>IF($D29&gt;=$AI29+$AJ29,"","* El Total de Pueblos Originarios no debe ser mayor al Total Indicador peso/talla. ")</f>
        <v/>
      </c>
      <c r="CD29" s="490" t="str">
        <f>IF($D29&gt;=$AK29+$AL29,"","* El Total de Población Migrantes no debe ser mayor al Total Indicador peso/talla. ")</f>
        <v/>
      </c>
      <c r="CE29" s="630"/>
      <c r="CF29" s="630"/>
      <c r="CG29" s="630"/>
      <c r="CH29" s="630"/>
      <c r="CI29" s="630"/>
      <c r="DB29" s="486">
        <f>IF($D29&gt;=$AI29+$AJ29,0,1)</f>
        <v>0</v>
      </c>
      <c r="DC29" s="486">
        <f>IF($D29&gt;=$AK29+$AL29,0,1)</f>
        <v>0</v>
      </c>
      <c r="DD29" s="470"/>
      <c r="DE29" s="470"/>
      <c r="DF29" s="470"/>
      <c r="DG29" s="470"/>
      <c r="DH29" s="470"/>
      <c r="DI29" s="470"/>
      <c r="DJ29" s="470"/>
      <c r="DK29" s="470"/>
    </row>
    <row r="30" spans="1:115" ht="21.75" customHeight="1" x14ac:dyDescent="0.25">
      <c r="A30" s="1775" t="s">
        <v>901</v>
      </c>
      <c r="B30" s="1995"/>
      <c r="C30" s="1783" t="s">
        <v>427</v>
      </c>
      <c r="D30" s="882" t="s">
        <v>1384</v>
      </c>
      <c r="E30" s="918" t="s">
        <v>1385</v>
      </c>
      <c r="F30" s="919" t="s">
        <v>1386</v>
      </c>
      <c r="G30" s="1814" t="s">
        <v>1387</v>
      </c>
      <c r="H30" s="1815" t="s">
        <v>1388</v>
      </c>
      <c r="I30" s="836" t="s">
        <v>1389</v>
      </c>
      <c r="J30" s="837" t="s">
        <v>1390</v>
      </c>
      <c r="K30" s="836" t="s">
        <v>1391</v>
      </c>
      <c r="L30" s="837" t="s">
        <v>1392</v>
      </c>
      <c r="M30" s="836" t="s">
        <v>1393</v>
      </c>
      <c r="N30" s="839" t="s">
        <v>1394</v>
      </c>
      <c r="O30" s="836" t="s">
        <v>1395</v>
      </c>
      <c r="P30" s="837" t="s">
        <v>1396</v>
      </c>
      <c r="Q30" s="836" t="s">
        <v>1397</v>
      </c>
      <c r="R30" s="837" t="s">
        <v>1398</v>
      </c>
      <c r="S30" s="883" t="s">
        <v>1399</v>
      </c>
      <c r="T30" s="837" t="s">
        <v>1400</v>
      </c>
      <c r="U30" s="836" t="s">
        <v>1401</v>
      </c>
      <c r="V30" s="839" t="s">
        <v>1402</v>
      </c>
      <c r="W30" s="836" t="s">
        <v>1403</v>
      </c>
      <c r="X30" s="837" t="s">
        <v>1404</v>
      </c>
      <c r="Y30" s="833" t="s">
        <v>1405</v>
      </c>
      <c r="Z30" s="834" t="s">
        <v>1406</v>
      </c>
      <c r="AA30" s="833" t="s">
        <v>1407</v>
      </c>
      <c r="AB30" s="834" t="s">
        <v>1408</v>
      </c>
      <c r="AC30" s="836" t="s">
        <v>1409</v>
      </c>
      <c r="AD30" s="1313" t="s">
        <v>1410</v>
      </c>
      <c r="AE30" s="833" t="s">
        <v>1411</v>
      </c>
      <c r="AF30" s="834" t="s">
        <v>1412</v>
      </c>
      <c r="AG30" s="833" t="s">
        <v>1413</v>
      </c>
      <c r="AH30" s="835" t="s">
        <v>1414</v>
      </c>
      <c r="AI30" s="884" t="s">
        <v>1415</v>
      </c>
      <c r="AJ30" s="1505" t="s">
        <v>1416</v>
      </c>
      <c r="AK30" s="838" t="s">
        <v>1417</v>
      </c>
      <c r="AL30" s="834" t="s">
        <v>1418</v>
      </c>
      <c r="AM30" s="89" t="str">
        <f t="shared" ref="AM30:AM35" si="11">CJ30 &amp; CK30</f>
        <v/>
      </c>
      <c r="AN30" s="124"/>
      <c r="AO30" s="124"/>
      <c r="AP30" s="124"/>
      <c r="AQ30" s="124"/>
      <c r="AR30" s="124"/>
      <c r="AS30" s="124"/>
      <c r="AT30" s="124"/>
      <c r="AU30" s="124"/>
      <c r="AV30" s="124"/>
      <c r="AW30" s="124"/>
      <c r="CB30" s="629"/>
      <c r="CC30" s="630"/>
      <c r="CD30" s="630"/>
      <c r="CE30" s="630"/>
      <c r="CF30" s="630"/>
      <c r="CG30" s="630"/>
      <c r="CH30" s="630"/>
      <c r="CI30" s="630"/>
      <c r="CJ30" s="465" t="str">
        <f t="shared" ref="CJ30:CJ35" si="12">IF(AND(E30&lt;&gt;0,AI30=""), "* No olvide escribir en la celda de Pueblos Originarios (Digite CERO si no tiene). ",IF(AND(F30&lt;&gt;0,AJ30=""), "* No olvide escribir en la celda de Pueblos Originarios (Digite CERO si no tiene). ",""))</f>
        <v/>
      </c>
      <c r="CK30" s="465" t="str">
        <f t="shared" ref="CK30:CK35" si="13">IF(AND(E30&lt;&gt;0,AK30=""), "* No olvide escribir en la celda de Población Migrantes (Digite CERO si no tiene). ",IF(AND(F30&lt;&gt;0,AL30=""), "* No olvide escribir en la celda de Población Migrantes (Digite CERO si no tiene). ",""))</f>
        <v/>
      </c>
      <c r="DB30" s="470"/>
      <c r="DC30" s="470"/>
      <c r="DD30" s="470"/>
      <c r="DE30" s="470"/>
      <c r="DF30" s="470"/>
      <c r="DG30" s="470"/>
      <c r="DH30" s="470"/>
      <c r="DI30" s="613">
        <f t="shared" ref="DI30:DI35" si="14">IF(AND(E30&lt;&gt;0,AI30=""), 1,IF(AND(F30&lt;&gt;0,AJ30=""), 1,0))</f>
        <v>0</v>
      </c>
      <c r="DJ30" s="613">
        <f t="shared" ref="DJ30:DJ35" si="15">IF(AND(E30&lt;&gt;0,AK30=""), 1,IF(AND(F30&lt;&gt;0,AL30=""), 1,0))</f>
        <v>0</v>
      </c>
      <c r="DK30" s="470"/>
    </row>
    <row r="31" spans="1:115" ht="21.75" customHeight="1" x14ac:dyDescent="0.25">
      <c r="A31" s="1775" t="s">
        <v>902</v>
      </c>
      <c r="B31" s="1967" t="s">
        <v>105</v>
      </c>
      <c r="C31" s="1782" t="s">
        <v>435</v>
      </c>
      <c r="D31" s="885" t="s">
        <v>1384</v>
      </c>
      <c r="E31" s="914" t="s">
        <v>1385</v>
      </c>
      <c r="F31" s="915" t="s">
        <v>1386</v>
      </c>
      <c r="G31" s="1810" t="s">
        <v>1387</v>
      </c>
      <c r="H31" s="1811" t="s">
        <v>1388</v>
      </c>
      <c r="I31" s="842" t="s">
        <v>1389</v>
      </c>
      <c r="J31" s="843" t="s">
        <v>1390</v>
      </c>
      <c r="K31" s="842" t="s">
        <v>1391</v>
      </c>
      <c r="L31" s="843" t="s">
        <v>1392</v>
      </c>
      <c r="M31" s="842" t="s">
        <v>1393</v>
      </c>
      <c r="N31" s="844" t="s">
        <v>1394</v>
      </c>
      <c r="O31" s="842" t="s">
        <v>1395</v>
      </c>
      <c r="P31" s="843" t="s">
        <v>1396</v>
      </c>
      <c r="Q31" s="842" t="s">
        <v>1397</v>
      </c>
      <c r="R31" s="843" t="s">
        <v>1398</v>
      </c>
      <c r="S31" s="845" t="s">
        <v>1399</v>
      </c>
      <c r="T31" s="843" t="s">
        <v>1400</v>
      </c>
      <c r="U31" s="842" t="s">
        <v>1401</v>
      </c>
      <c r="V31" s="844" t="s">
        <v>1402</v>
      </c>
      <c r="W31" s="842" t="s">
        <v>1403</v>
      </c>
      <c r="X31" s="843" t="s">
        <v>1404</v>
      </c>
      <c r="Y31" s="842" t="s">
        <v>1405</v>
      </c>
      <c r="Z31" s="843" t="s">
        <v>1406</v>
      </c>
      <c r="AA31" s="842" t="s">
        <v>1407</v>
      </c>
      <c r="AB31" s="843" t="s">
        <v>1408</v>
      </c>
      <c r="AC31" s="845" t="s">
        <v>1409</v>
      </c>
      <c r="AD31" s="844" t="s">
        <v>1410</v>
      </c>
      <c r="AE31" s="842" t="s">
        <v>1411</v>
      </c>
      <c r="AF31" s="843" t="s">
        <v>1412</v>
      </c>
      <c r="AG31" s="842" t="s">
        <v>1413</v>
      </c>
      <c r="AH31" s="844" t="s">
        <v>1414</v>
      </c>
      <c r="AI31" s="846" t="s">
        <v>1415</v>
      </c>
      <c r="AJ31" s="926" t="s">
        <v>1416</v>
      </c>
      <c r="AK31" s="845" t="s">
        <v>1417</v>
      </c>
      <c r="AL31" s="843" t="s">
        <v>1418</v>
      </c>
      <c r="AM31" s="89" t="str">
        <f t="shared" si="11"/>
        <v/>
      </c>
      <c r="AN31" s="124"/>
      <c r="AO31" s="124"/>
      <c r="AP31" s="124"/>
      <c r="AQ31" s="124"/>
      <c r="AR31" s="124"/>
      <c r="AS31" s="124"/>
      <c r="AT31" s="124"/>
      <c r="AU31" s="124"/>
      <c r="AV31" s="124"/>
      <c r="AW31" s="124"/>
      <c r="CB31" s="629"/>
      <c r="CC31" s="630"/>
      <c r="CD31" s="630"/>
      <c r="CE31" s="630"/>
      <c r="CF31" s="630"/>
      <c r="CG31" s="630"/>
      <c r="CH31" s="630"/>
      <c r="CI31" s="630"/>
      <c r="CJ31" s="465" t="str">
        <f t="shared" si="12"/>
        <v/>
      </c>
      <c r="CK31" s="465" t="str">
        <f t="shared" si="13"/>
        <v/>
      </c>
      <c r="DB31" s="470"/>
      <c r="DC31" s="470"/>
      <c r="DD31" s="470"/>
      <c r="DE31" s="470"/>
      <c r="DF31" s="470"/>
      <c r="DG31" s="470"/>
      <c r="DH31" s="470"/>
      <c r="DI31" s="613">
        <f t="shared" si="14"/>
        <v>0</v>
      </c>
      <c r="DJ31" s="613">
        <f t="shared" si="15"/>
        <v>0</v>
      </c>
      <c r="DK31" s="470"/>
    </row>
    <row r="32" spans="1:115" ht="21.75" customHeight="1" x14ac:dyDescent="0.25">
      <c r="A32" s="1775" t="s">
        <v>903</v>
      </c>
      <c r="B32" s="1967"/>
      <c r="C32" s="1781" t="s">
        <v>106</v>
      </c>
      <c r="D32" s="886" t="s">
        <v>1384</v>
      </c>
      <c r="E32" s="910" t="s">
        <v>1385</v>
      </c>
      <c r="F32" s="911" t="s">
        <v>1386</v>
      </c>
      <c r="G32" s="1816" t="s">
        <v>1387</v>
      </c>
      <c r="H32" s="1817" t="s">
        <v>1388</v>
      </c>
      <c r="I32" s="888" t="s">
        <v>1389</v>
      </c>
      <c r="J32" s="889" t="s">
        <v>1390</v>
      </c>
      <c r="K32" s="888" t="s">
        <v>1391</v>
      </c>
      <c r="L32" s="889" t="s">
        <v>1392</v>
      </c>
      <c r="M32" s="888" t="s">
        <v>1393</v>
      </c>
      <c r="N32" s="890" t="s">
        <v>1394</v>
      </c>
      <c r="O32" s="888" t="s">
        <v>1395</v>
      </c>
      <c r="P32" s="889" t="s">
        <v>1396</v>
      </c>
      <c r="Q32" s="888" t="s">
        <v>1397</v>
      </c>
      <c r="R32" s="889" t="s">
        <v>1398</v>
      </c>
      <c r="S32" s="891" t="s">
        <v>1399</v>
      </c>
      <c r="T32" s="889" t="s">
        <v>1400</v>
      </c>
      <c r="U32" s="888" t="s">
        <v>1401</v>
      </c>
      <c r="V32" s="890" t="s">
        <v>1402</v>
      </c>
      <c r="W32" s="888" t="s">
        <v>1403</v>
      </c>
      <c r="X32" s="889" t="s">
        <v>1404</v>
      </c>
      <c r="Y32" s="888" t="s">
        <v>1405</v>
      </c>
      <c r="Z32" s="889" t="s">
        <v>1406</v>
      </c>
      <c r="AA32" s="888" t="s">
        <v>1407</v>
      </c>
      <c r="AB32" s="889" t="s">
        <v>1408</v>
      </c>
      <c r="AC32" s="891" t="s">
        <v>1409</v>
      </c>
      <c r="AD32" s="890" t="s">
        <v>1410</v>
      </c>
      <c r="AE32" s="888" t="s">
        <v>1411</v>
      </c>
      <c r="AF32" s="889" t="s">
        <v>1412</v>
      </c>
      <c r="AG32" s="888" t="s">
        <v>1413</v>
      </c>
      <c r="AH32" s="890" t="s">
        <v>1414</v>
      </c>
      <c r="AI32" s="892" t="s">
        <v>1415</v>
      </c>
      <c r="AJ32" s="927" t="s">
        <v>1416</v>
      </c>
      <c r="AK32" s="891" t="s">
        <v>1417</v>
      </c>
      <c r="AL32" s="889" t="s">
        <v>1418</v>
      </c>
      <c r="AM32" s="89" t="str">
        <f t="shared" si="11"/>
        <v/>
      </c>
      <c r="AN32" s="124"/>
      <c r="AO32" s="124"/>
      <c r="AP32" s="124"/>
      <c r="AQ32" s="124"/>
      <c r="AR32" s="124"/>
      <c r="AS32" s="124"/>
      <c r="AT32" s="124"/>
      <c r="AU32" s="124"/>
      <c r="AV32" s="124"/>
      <c r="AW32" s="124"/>
      <c r="CB32" s="629"/>
      <c r="CC32" s="630"/>
      <c r="CD32" s="630"/>
      <c r="CE32" s="630"/>
      <c r="CF32" s="630"/>
      <c r="CG32" s="630"/>
      <c r="CH32" s="630"/>
      <c r="CI32" s="630"/>
      <c r="CJ32" s="465" t="str">
        <f t="shared" si="12"/>
        <v/>
      </c>
      <c r="CK32" s="465" t="str">
        <f t="shared" si="13"/>
        <v/>
      </c>
      <c r="DB32" s="470"/>
      <c r="DC32" s="470"/>
      <c r="DD32" s="470"/>
      <c r="DE32" s="470"/>
      <c r="DF32" s="470"/>
      <c r="DG32" s="470"/>
      <c r="DH32" s="470"/>
      <c r="DI32" s="613">
        <f t="shared" si="14"/>
        <v>0</v>
      </c>
      <c r="DJ32" s="613">
        <f t="shared" si="15"/>
        <v>0</v>
      </c>
      <c r="DK32" s="470"/>
    </row>
    <row r="33" spans="1:131" ht="21.75" customHeight="1" x14ac:dyDescent="0.25">
      <c r="A33" s="1775" t="s">
        <v>904</v>
      </c>
      <c r="B33" s="1967"/>
      <c r="C33" s="1781" t="s">
        <v>414</v>
      </c>
      <c r="D33" s="886" t="s">
        <v>1384</v>
      </c>
      <c r="E33" s="910" t="s">
        <v>1385</v>
      </c>
      <c r="F33" s="911" t="s">
        <v>1386</v>
      </c>
      <c r="G33" s="1816" t="s">
        <v>1387</v>
      </c>
      <c r="H33" s="1817" t="s">
        <v>1388</v>
      </c>
      <c r="I33" s="888" t="s">
        <v>1389</v>
      </c>
      <c r="J33" s="889" t="s">
        <v>1390</v>
      </c>
      <c r="K33" s="888" t="s">
        <v>1391</v>
      </c>
      <c r="L33" s="889" t="s">
        <v>1392</v>
      </c>
      <c r="M33" s="888" t="s">
        <v>1393</v>
      </c>
      <c r="N33" s="890" t="s">
        <v>1394</v>
      </c>
      <c r="O33" s="888" t="s">
        <v>1395</v>
      </c>
      <c r="P33" s="889" t="s">
        <v>1396</v>
      </c>
      <c r="Q33" s="888" t="s">
        <v>1397</v>
      </c>
      <c r="R33" s="889" t="s">
        <v>1398</v>
      </c>
      <c r="S33" s="891" t="s">
        <v>1399</v>
      </c>
      <c r="T33" s="889" t="s">
        <v>1400</v>
      </c>
      <c r="U33" s="888" t="s">
        <v>1401</v>
      </c>
      <c r="V33" s="890" t="s">
        <v>1402</v>
      </c>
      <c r="W33" s="888" t="s">
        <v>1403</v>
      </c>
      <c r="X33" s="889" t="s">
        <v>1404</v>
      </c>
      <c r="Y33" s="888" t="s">
        <v>1405</v>
      </c>
      <c r="Z33" s="889" t="s">
        <v>1406</v>
      </c>
      <c r="AA33" s="888" t="s">
        <v>1407</v>
      </c>
      <c r="AB33" s="889" t="s">
        <v>1408</v>
      </c>
      <c r="AC33" s="891" t="s">
        <v>1409</v>
      </c>
      <c r="AD33" s="890" t="s">
        <v>1410</v>
      </c>
      <c r="AE33" s="888" t="s">
        <v>1411</v>
      </c>
      <c r="AF33" s="889" t="s">
        <v>1412</v>
      </c>
      <c r="AG33" s="888" t="s">
        <v>1413</v>
      </c>
      <c r="AH33" s="890" t="s">
        <v>1414</v>
      </c>
      <c r="AI33" s="892" t="s">
        <v>1415</v>
      </c>
      <c r="AJ33" s="927" t="s">
        <v>1416</v>
      </c>
      <c r="AK33" s="891" t="s">
        <v>1417</v>
      </c>
      <c r="AL33" s="889" t="s">
        <v>1418</v>
      </c>
      <c r="AM33" s="89" t="str">
        <f t="shared" si="11"/>
        <v/>
      </c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CB33" s="629"/>
      <c r="CC33" s="630"/>
      <c r="CD33" s="630"/>
      <c r="CE33" s="630"/>
      <c r="CF33" s="630"/>
      <c r="CG33" s="630"/>
      <c r="CH33" s="630"/>
      <c r="CI33" s="630"/>
      <c r="CJ33" s="465" t="str">
        <f t="shared" si="12"/>
        <v/>
      </c>
      <c r="CK33" s="465" t="str">
        <f t="shared" si="13"/>
        <v/>
      </c>
      <c r="DB33" s="470"/>
      <c r="DC33" s="470"/>
      <c r="DD33" s="470"/>
      <c r="DE33" s="470"/>
      <c r="DF33" s="470"/>
      <c r="DG33" s="470"/>
      <c r="DH33" s="470"/>
      <c r="DI33" s="613">
        <f t="shared" si="14"/>
        <v>0</v>
      </c>
      <c r="DJ33" s="613">
        <f t="shared" si="15"/>
        <v>0</v>
      </c>
      <c r="DK33" s="470"/>
    </row>
    <row r="34" spans="1:131" ht="21.75" customHeight="1" x14ac:dyDescent="0.25">
      <c r="A34" s="1775" t="s">
        <v>905</v>
      </c>
      <c r="B34" s="1967"/>
      <c r="C34" s="1781" t="s">
        <v>107</v>
      </c>
      <c r="D34" s="894" t="s">
        <v>1384</v>
      </c>
      <c r="E34" s="912" t="s">
        <v>1385</v>
      </c>
      <c r="F34" s="913" t="s">
        <v>1386</v>
      </c>
      <c r="G34" s="1816" t="s">
        <v>1387</v>
      </c>
      <c r="H34" s="1817" t="s">
        <v>1388</v>
      </c>
      <c r="I34" s="895" t="s">
        <v>1389</v>
      </c>
      <c r="J34" s="896" t="s">
        <v>1390</v>
      </c>
      <c r="K34" s="895" t="s">
        <v>1391</v>
      </c>
      <c r="L34" s="896" t="s">
        <v>1392</v>
      </c>
      <c r="M34" s="895" t="s">
        <v>1393</v>
      </c>
      <c r="N34" s="898" t="s">
        <v>1394</v>
      </c>
      <c r="O34" s="895" t="s">
        <v>1395</v>
      </c>
      <c r="P34" s="896" t="s">
        <v>1396</v>
      </c>
      <c r="Q34" s="895" t="s">
        <v>1397</v>
      </c>
      <c r="R34" s="896" t="s">
        <v>1398</v>
      </c>
      <c r="S34" s="897" t="s">
        <v>1399</v>
      </c>
      <c r="T34" s="896" t="s">
        <v>1400</v>
      </c>
      <c r="U34" s="895" t="s">
        <v>1401</v>
      </c>
      <c r="V34" s="898" t="s">
        <v>1402</v>
      </c>
      <c r="W34" s="895" t="s">
        <v>1403</v>
      </c>
      <c r="X34" s="896" t="s">
        <v>1404</v>
      </c>
      <c r="Y34" s="895" t="s">
        <v>1405</v>
      </c>
      <c r="Z34" s="896" t="s">
        <v>1406</v>
      </c>
      <c r="AA34" s="895" t="s">
        <v>1407</v>
      </c>
      <c r="AB34" s="896" t="s">
        <v>1408</v>
      </c>
      <c r="AC34" s="897" t="s">
        <v>1409</v>
      </c>
      <c r="AD34" s="898" t="s">
        <v>1410</v>
      </c>
      <c r="AE34" s="895" t="s">
        <v>1411</v>
      </c>
      <c r="AF34" s="896" t="s">
        <v>1412</v>
      </c>
      <c r="AG34" s="895" t="s">
        <v>1413</v>
      </c>
      <c r="AH34" s="898" t="s">
        <v>1414</v>
      </c>
      <c r="AI34" s="899" t="s">
        <v>1415</v>
      </c>
      <c r="AJ34" s="1506" t="s">
        <v>1416</v>
      </c>
      <c r="AK34" s="897" t="s">
        <v>1417</v>
      </c>
      <c r="AL34" s="896" t="s">
        <v>1418</v>
      </c>
      <c r="AM34" s="89" t="str">
        <f t="shared" si="11"/>
        <v/>
      </c>
      <c r="AN34" s="124"/>
      <c r="AO34" s="124"/>
      <c r="AP34" s="124"/>
      <c r="AQ34" s="124"/>
      <c r="AR34" s="124"/>
      <c r="AS34" s="124"/>
      <c r="AT34" s="124"/>
      <c r="AU34" s="124"/>
      <c r="AV34" s="124"/>
      <c r="AW34" s="124"/>
      <c r="CB34" s="629"/>
      <c r="CC34" s="630"/>
      <c r="CD34" s="630"/>
      <c r="CE34" s="630"/>
      <c r="CF34" s="630"/>
      <c r="CG34" s="630"/>
      <c r="CH34" s="630"/>
      <c r="CI34" s="630"/>
      <c r="CJ34" s="465" t="str">
        <f t="shared" si="12"/>
        <v/>
      </c>
      <c r="CK34" s="465" t="str">
        <f t="shared" si="13"/>
        <v/>
      </c>
      <c r="DB34" s="470"/>
      <c r="DC34" s="470"/>
      <c r="DD34" s="470"/>
      <c r="DE34" s="470"/>
      <c r="DF34" s="470"/>
      <c r="DG34" s="470"/>
      <c r="DH34" s="470"/>
      <c r="DI34" s="613">
        <f t="shared" si="14"/>
        <v>0</v>
      </c>
      <c r="DJ34" s="613">
        <f t="shared" si="15"/>
        <v>0</v>
      </c>
      <c r="DK34" s="470"/>
    </row>
    <row r="35" spans="1:131" ht="21.75" customHeight="1" x14ac:dyDescent="0.25">
      <c r="A35" s="1775" t="s">
        <v>906</v>
      </c>
      <c r="B35" s="1967"/>
      <c r="C35" s="119" t="s">
        <v>54</v>
      </c>
      <c r="D35" s="1417" t="s">
        <v>1384</v>
      </c>
      <c r="E35" s="1316" t="s">
        <v>1385</v>
      </c>
      <c r="F35" s="922" t="s">
        <v>1386</v>
      </c>
      <c r="G35" s="1812" t="s">
        <v>1387</v>
      </c>
      <c r="H35" s="1813" t="s">
        <v>1388</v>
      </c>
      <c r="I35" s="875" t="s">
        <v>1389</v>
      </c>
      <c r="J35" s="878" t="s">
        <v>1390</v>
      </c>
      <c r="K35" s="875" t="s">
        <v>1391</v>
      </c>
      <c r="L35" s="878" t="s">
        <v>1392</v>
      </c>
      <c r="M35" s="833" t="s">
        <v>1393</v>
      </c>
      <c r="N35" s="1313" t="s">
        <v>1394</v>
      </c>
      <c r="O35" s="833" t="s">
        <v>1395</v>
      </c>
      <c r="P35" s="834" t="s">
        <v>1396</v>
      </c>
      <c r="Q35" s="833" t="s">
        <v>1397</v>
      </c>
      <c r="R35" s="834" t="s">
        <v>1398</v>
      </c>
      <c r="S35" s="876" t="s">
        <v>1399</v>
      </c>
      <c r="T35" s="878" t="s">
        <v>1400</v>
      </c>
      <c r="U35" s="875" t="s">
        <v>1401</v>
      </c>
      <c r="V35" s="877" t="s">
        <v>1402</v>
      </c>
      <c r="W35" s="833" t="s">
        <v>1403</v>
      </c>
      <c r="X35" s="834" t="s">
        <v>1404</v>
      </c>
      <c r="Y35" s="833" t="s">
        <v>1405</v>
      </c>
      <c r="Z35" s="834" t="s">
        <v>1406</v>
      </c>
      <c r="AA35" s="833" t="s">
        <v>1407</v>
      </c>
      <c r="AB35" s="834" t="s">
        <v>1408</v>
      </c>
      <c r="AC35" s="876" t="s">
        <v>1409</v>
      </c>
      <c r="AD35" s="877" t="s">
        <v>1410</v>
      </c>
      <c r="AE35" s="833" t="s">
        <v>1411</v>
      </c>
      <c r="AF35" s="834" t="s">
        <v>1412</v>
      </c>
      <c r="AG35" s="833" t="s">
        <v>1413</v>
      </c>
      <c r="AH35" s="835" t="s">
        <v>1414</v>
      </c>
      <c r="AI35" s="884" t="s">
        <v>1415</v>
      </c>
      <c r="AJ35" s="1505" t="s">
        <v>1416</v>
      </c>
      <c r="AK35" s="1503" t="s">
        <v>1417</v>
      </c>
      <c r="AL35" s="901" t="s">
        <v>1418</v>
      </c>
      <c r="AM35" s="89" t="str">
        <f t="shared" si="11"/>
        <v/>
      </c>
      <c r="AN35" s="124"/>
      <c r="AO35" s="124"/>
      <c r="AP35" s="124"/>
      <c r="AQ35" s="124"/>
      <c r="AR35" s="124"/>
      <c r="AS35" s="124"/>
      <c r="AT35" s="124"/>
      <c r="AU35" s="124"/>
      <c r="AV35" s="124"/>
      <c r="AW35" s="124"/>
      <c r="CB35" s="629"/>
      <c r="CC35" s="630"/>
      <c r="CD35" s="630"/>
      <c r="CE35" s="630"/>
      <c r="CF35" s="630"/>
      <c r="CG35" s="630"/>
      <c r="CH35" s="630"/>
      <c r="CI35" s="630"/>
      <c r="CJ35" s="465" t="str">
        <f t="shared" si="12"/>
        <v/>
      </c>
      <c r="CK35" s="465" t="str">
        <f t="shared" si="13"/>
        <v/>
      </c>
      <c r="DB35" s="470"/>
      <c r="DC35" s="470"/>
      <c r="DD35" s="470"/>
      <c r="DE35" s="470"/>
      <c r="DF35" s="470"/>
      <c r="DG35" s="470"/>
      <c r="DH35" s="470"/>
      <c r="DI35" s="613">
        <f t="shared" si="14"/>
        <v>0</v>
      </c>
      <c r="DJ35" s="613">
        <f t="shared" si="15"/>
        <v>0</v>
      </c>
      <c r="DK35" s="470"/>
    </row>
    <row r="36" spans="1:131" ht="21.75" customHeight="1" x14ac:dyDescent="0.25">
      <c r="A36" s="1780"/>
      <c r="B36" s="1967"/>
      <c r="C36" s="121" t="s">
        <v>108</v>
      </c>
      <c r="D36" s="902">
        <f>SUM(E36:F36)</f>
        <v>0</v>
      </c>
      <c r="E36" s="920">
        <f t="shared" ref="E36:F38" si="16">+I36+K36+M36+O36+Q36+S36+U36+W36+Y36+AA36+AC36+AE36+AG36</f>
        <v>0</v>
      </c>
      <c r="F36" s="864">
        <f t="shared" si="16"/>
        <v>0</v>
      </c>
      <c r="G36" s="1814"/>
      <c r="H36" s="1815"/>
      <c r="I36" s="868">
        <f t="shared" ref="I36:AL36" si="17">SUM(I31:I35)</f>
        <v>0</v>
      </c>
      <c r="J36" s="869">
        <f t="shared" si="17"/>
        <v>0</v>
      </c>
      <c r="K36" s="868">
        <f t="shared" si="17"/>
        <v>0</v>
      </c>
      <c r="L36" s="869">
        <f t="shared" si="17"/>
        <v>0</v>
      </c>
      <c r="M36" s="868">
        <f t="shared" si="17"/>
        <v>0</v>
      </c>
      <c r="N36" s="871">
        <f t="shared" si="17"/>
        <v>0</v>
      </c>
      <c r="O36" s="872">
        <f t="shared" si="17"/>
        <v>0</v>
      </c>
      <c r="P36" s="871">
        <f t="shared" si="17"/>
        <v>0</v>
      </c>
      <c r="Q36" s="872">
        <f t="shared" si="17"/>
        <v>0</v>
      </c>
      <c r="R36" s="869">
        <f t="shared" si="17"/>
        <v>0</v>
      </c>
      <c r="S36" s="868">
        <f t="shared" si="17"/>
        <v>0</v>
      </c>
      <c r="T36" s="869">
        <f t="shared" si="17"/>
        <v>0</v>
      </c>
      <c r="U36" s="868">
        <f t="shared" si="17"/>
        <v>0</v>
      </c>
      <c r="V36" s="869">
        <f t="shared" si="17"/>
        <v>0</v>
      </c>
      <c r="W36" s="868">
        <f t="shared" si="17"/>
        <v>0</v>
      </c>
      <c r="X36" s="871">
        <f t="shared" si="17"/>
        <v>0</v>
      </c>
      <c r="Y36" s="872">
        <f t="shared" si="17"/>
        <v>0</v>
      </c>
      <c r="Z36" s="871">
        <f t="shared" si="17"/>
        <v>0</v>
      </c>
      <c r="AA36" s="872">
        <f t="shared" si="17"/>
        <v>0</v>
      </c>
      <c r="AB36" s="869">
        <f t="shared" si="17"/>
        <v>0</v>
      </c>
      <c r="AC36" s="868">
        <f t="shared" si="17"/>
        <v>0</v>
      </c>
      <c r="AD36" s="869">
        <f t="shared" si="17"/>
        <v>0</v>
      </c>
      <c r="AE36" s="868">
        <f t="shared" si="17"/>
        <v>0</v>
      </c>
      <c r="AF36" s="869">
        <f t="shared" si="17"/>
        <v>0</v>
      </c>
      <c r="AG36" s="868">
        <f t="shared" si="17"/>
        <v>0</v>
      </c>
      <c r="AH36" s="873">
        <f t="shared" si="17"/>
        <v>0</v>
      </c>
      <c r="AI36" s="874">
        <f t="shared" si="17"/>
        <v>0</v>
      </c>
      <c r="AJ36" s="1499">
        <f t="shared" si="17"/>
        <v>0</v>
      </c>
      <c r="AK36" s="1499">
        <f t="shared" si="17"/>
        <v>0</v>
      </c>
      <c r="AL36" s="871">
        <f t="shared" si="17"/>
        <v>0</v>
      </c>
      <c r="AM36" s="89" t="str">
        <f>"" &amp; CC36 &amp; CD36</f>
        <v/>
      </c>
      <c r="AN36" s="124"/>
      <c r="AO36" s="124"/>
      <c r="AP36" s="124"/>
      <c r="AQ36" s="124"/>
      <c r="AR36" s="124"/>
      <c r="AS36" s="124"/>
      <c r="AT36" s="124"/>
      <c r="AU36" s="124"/>
      <c r="AV36" s="124"/>
      <c r="AW36" s="124"/>
      <c r="CB36" s="629"/>
      <c r="CC36" s="490" t="str">
        <f>IF($D36&gt;=$AI36+$AJ36,"","* El Total de Pueblos Originarios no debe ser mayor al Total Indicador peso/talla. ")</f>
        <v/>
      </c>
      <c r="CD36" s="490" t="str">
        <f>IF($D36&gt;=$AK36+$AL36,"","* El Total de Población Migrantes no debe ser mayor al Total Indicador peso/talla. ")</f>
        <v/>
      </c>
      <c r="CE36" s="630"/>
      <c r="CF36" s="630"/>
      <c r="CG36" s="630"/>
      <c r="CH36" s="630"/>
      <c r="CI36" s="630"/>
      <c r="DB36" s="486">
        <f>IF($D36&gt;=$AI36+$AJ36,0,1)</f>
        <v>0</v>
      </c>
      <c r="DC36" s="486">
        <f>IF($D36&gt;=$AK36+$AL36,0,1)</f>
        <v>0</v>
      </c>
      <c r="DD36" s="470"/>
      <c r="DE36" s="470"/>
      <c r="DF36" s="470"/>
      <c r="DG36" s="470"/>
      <c r="DH36" s="470"/>
      <c r="DI36" s="470"/>
      <c r="DJ36" s="470"/>
      <c r="DK36" s="470"/>
    </row>
    <row r="37" spans="1:131" ht="21.75" customHeight="1" x14ac:dyDescent="0.25">
      <c r="A37" s="1775" t="s">
        <v>907</v>
      </c>
      <c r="B37" s="1967"/>
      <c r="C37" s="1784" t="s">
        <v>109</v>
      </c>
      <c r="D37" s="903" t="s">
        <v>1384</v>
      </c>
      <c r="E37" s="921" t="s">
        <v>1385</v>
      </c>
      <c r="F37" s="922" t="s">
        <v>1386</v>
      </c>
      <c r="G37" s="1814" t="s">
        <v>1387</v>
      </c>
      <c r="H37" s="1815" t="s">
        <v>1388</v>
      </c>
      <c r="I37" s="875" t="s">
        <v>1389</v>
      </c>
      <c r="J37" s="878" t="s">
        <v>1390</v>
      </c>
      <c r="K37" s="875" t="s">
        <v>1391</v>
      </c>
      <c r="L37" s="878" t="s">
        <v>1392</v>
      </c>
      <c r="M37" s="836" t="s">
        <v>1393</v>
      </c>
      <c r="N37" s="878" t="s">
        <v>1394</v>
      </c>
      <c r="O37" s="883" t="s">
        <v>1395</v>
      </c>
      <c r="P37" s="878" t="s">
        <v>1396</v>
      </c>
      <c r="Q37" s="883" t="s">
        <v>1397</v>
      </c>
      <c r="R37" s="845" t="s">
        <v>1398</v>
      </c>
      <c r="S37" s="875" t="s">
        <v>1399</v>
      </c>
      <c r="T37" s="878" t="s">
        <v>1400</v>
      </c>
      <c r="U37" s="875" t="s">
        <v>1401</v>
      </c>
      <c r="V37" s="878" t="s">
        <v>1402</v>
      </c>
      <c r="W37" s="836" t="s">
        <v>1403</v>
      </c>
      <c r="X37" s="878" t="s">
        <v>1404</v>
      </c>
      <c r="Y37" s="883" t="s">
        <v>1405</v>
      </c>
      <c r="Z37" s="878" t="s">
        <v>1406</v>
      </c>
      <c r="AA37" s="883" t="s">
        <v>1407</v>
      </c>
      <c r="AB37" s="845" t="s">
        <v>1408</v>
      </c>
      <c r="AC37" s="875" t="s">
        <v>1409</v>
      </c>
      <c r="AD37" s="878" t="s">
        <v>1410</v>
      </c>
      <c r="AE37" s="875" t="s">
        <v>1411</v>
      </c>
      <c r="AF37" s="878" t="s">
        <v>1412</v>
      </c>
      <c r="AG37" s="836" t="s">
        <v>1413</v>
      </c>
      <c r="AH37" s="860" t="s">
        <v>1414</v>
      </c>
      <c r="AI37" s="900" t="s">
        <v>1415</v>
      </c>
      <c r="AJ37" s="1503" t="s">
        <v>1416</v>
      </c>
      <c r="AK37" s="1503" t="s">
        <v>1417</v>
      </c>
      <c r="AL37" s="901" t="s">
        <v>1418</v>
      </c>
      <c r="AM37" s="89" t="str">
        <f>CJ37 &amp; CK37</f>
        <v/>
      </c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CB37" s="629"/>
      <c r="CC37" s="630"/>
      <c r="CD37" s="630"/>
      <c r="CE37" s="630"/>
      <c r="CF37" s="630"/>
      <c r="CG37" s="630"/>
      <c r="CH37" s="630"/>
      <c r="CI37" s="630"/>
      <c r="CJ37" s="465" t="str">
        <f>IF(AND(E37&lt;&gt;0,AI37=""), "* No olvide escribir en la celda de Pueblos Originarios (Digite CERO si no tiene). ",IF(AND(F37&lt;&gt;0,AJ37=""), "* No olvide escribir en la celda de Pueblos Originarios (Digite CERO si no tiene). ",""))</f>
        <v/>
      </c>
      <c r="CK37" s="465" t="str">
        <f>IF(AND(E37&lt;&gt;0,AK37=""), "* No olvide escribir en la celda de Población Migrantes (Digite CERO si no tiene). ",IF(AND(F37&lt;&gt;0,AL37=""), "* No olvide escribir en la celda de Población Migrantes (Digite CERO si no tiene). ",""))</f>
        <v/>
      </c>
      <c r="DB37" s="470"/>
      <c r="DC37" s="470"/>
      <c r="DD37" s="470"/>
      <c r="DE37" s="470"/>
      <c r="DF37" s="470"/>
      <c r="DG37" s="470"/>
      <c r="DH37" s="470"/>
      <c r="DI37" s="613">
        <f>IF(AND(E37&lt;&gt;0,AI37=""), 1,IF(AND(F37&lt;&gt;0,AJ37=""), 1,0))</f>
        <v>0</v>
      </c>
      <c r="DJ37" s="613">
        <f>IF(AND(E37&lt;&gt;0,AK37=""), 1,IF(AND(F37&lt;&gt;0,AL37=""), 1,0))</f>
        <v>0</v>
      </c>
      <c r="DK37" s="470"/>
    </row>
    <row r="38" spans="1:131" ht="21.75" customHeight="1" x14ac:dyDescent="0.25">
      <c r="A38" s="1780"/>
      <c r="B38" s="1968"/>
      <c r="C38" s="121" t="s">
        <v>110</v>
      </c>
      <c r="D38" s="867" t="e">
        <f>SUM(E38:F38)</f>
        <v>#VALUE!</v>
      </c>
      <c r="E38" s="855" t="e">
        <f t="shared" si="16"/>
        <v>#VALUE!</v>
      </c>
      <c r="F38" s="864" t="e">
        <f t="shared" si="16"/>
        <v>#VALUE!</v>
      </c>
      <c r="G38" s="1814"/>
      <c r="H38" s="1815"/>
      <c r="I38" s="868" t="e">
        <f t="shared" ref="I38:AL38" si="18">SUM(I31:I35)+I37</f>
        <v>#VALUE!</v>
      </c>
      <c r="J38" s="871" t="e">
        <f t="shared" si="18"/>
        <v>#VALUE!</v>
      </c>
      <c r="K38" s="868" t="e">
        <f t="shared" si="18"/>
        <v>#VALUE!</v>
      </c>
      <c r="L38" s="871" t="e">
        <f t="shared" si="18"/>
        <v>#VALUE!</v>
      </c>
      <c r="M38" s="868" t="e">
        <f t="shared" si="18"/>
        <v>#VALUE!</v>
      </c>
      <c r="N38" s="871" t="e">
        <f t="shared" si="18"/>
        <v>#VALUE!</v>
      </c>
      <c r="O38" s="858" t="e">
        <f t="shared" si="18"/>
        <v>#VALUE!</v>
      </c>
      <c r="P38" s="856" t="e">
        <f t="shared" si="18"/>
        <v>#VALUE!</v>
      </c>
      <c r="Q38" s="858" t="e">
        <f t="shared" si="18"/>
        <v>#VALUE!</v>
      </c>
      <c r="R38" s="864" t="e">
        <f t="shared" si="18"/>
        <v>#VALUE!</v>
      </c>
      <c r="S38" s="855" t="e">
        <f t="shared" si="18"/>
        <v>#VALUE!</v>
      </c>
      <c r="T38" s="864" t="e">
        <f t="shared" si="18"/>
        <v>#VALUE!</v>
      </c>
      <c r="U38" s="855" t="e">
        <f t="shared" si="18"/>
        <v>#VALUE!</v>
      </c>
      <c r="V38" s="864" t="e">
        <f t="shared" si="18"/>
        <v>#VALUE!</v>
      </c>
      <c r="W38" s="855" t="e">
        <f t="shared" si="18"/>
        <v>#VALUE!</v>
      </c>
      <c r="X38" s="856" t="e">
        <f t="shared" si="18"/>
        <v>#VALUE!</v>
      </c>
      <c r="Y38" s="858" t="e">
        <f t="shared" si="18"/>
        <v>#VALUE!</v>
      </c>
      <c r="Z38" s="856" t="e">
        <f t="shared" si="18"/>
        <v>#VALUE!</v>
      </c>
      <c r="AA38" s="858" t="e">
        <f t="shared" si="18"/>
        <v>#VALUE!</v>
      </c>
      <c r="AB38" s="864" t="e">
        <f t="shared" si="18"/>
        <v>#VALUE!</v>
      </c>
      <c r="AC38" s="855" t="e">
        <f t="shared" si="18"/>
        <v>#VALUE!</v>
      </c>
      <c r="AD38" s="864" t="e">
        <f t="shared" si="18"/>
        <v>#VALUE!</v>
      </c>
      <c r="AE38" s="855" t="e">
        <f t="shared" si="18"/>
        <v>#VALUE!</v>
      </c>
      <c r="AF38" s="864" t="e">
        <f t="shared" si="18"/>
        <v>#VALUE!</v>
      </c>
      <c r="AG38" s="855" t="e">
        <f t="shared" si="18"/>
        <v>#VALUE!</v>
      </c>
      <c r="AH38" s="904" t="e">
        <f t="shared" si="18"/>
        <v>#VALUE!</v>
      </c>
      <c r="AI38" s="859" t="e">
        <f t="shared" si="18"/>
        <v>#VALUE!</v>
      </c>
      <c r="AJ38" s="1497" t="e">
        <f t="shared" si="18"/>
        <v>#VALUE!</v>
      </c>
      <c r="AK38" s="1497" t="e">
        <f t="shared" si="18"/>
        <v>#VALUE!</v>
      </c>
      <c r="AL38" s="856" t="e">
        <f t="shared" si="18"/>
        <v>#VALUE!</v>
      </c>
      <c r="AM38" s="89" t="e">
        <f>"" &amp; CC38 &amp; CD38</f>
        <v>#VALUE!</v>
      </c>
      <c r="AN38" s="124"/>
      <c r="AO38" s="124"/>
      <c r="AP38" s="124"/>
      <c r="AQ38" s="124"/>
      <c r="AR38" s="124"/>
      <c r="AS38" s="124"/>
      <c r="AT38" s="124"/>
      <c r="AU38" s="124"/>
      <c r="AV38" s="124"/>
      <c r="AW38" s="124"/>
      <c r="CB38" s="629"/>
      <c r="CC38" s="490" t="e">
        <f>IF($D38&gt;=$AI38+$AJ38,"","* El Total de Pueblos Originarios no debe ser mayor al Total Indicador peso/talla. ")</f>
        <v>#VALUE!</v>
      </c>
      <c r="CD38" s="490" t="e">
        <f>IF($D38&gt;=$AK38+$AL38,"","* El Total de Población Migrantes no debe ser mayor al Total Indicador peso/talla. ")</f>
        <v>#VALUE!</v>
      </c>
      <c r="CE38" s="630"/>
      <c r="CF38" s="630"/>
      <c r="CG38" s="630"/>
      <c r="CH38" s="630"/>
      <c r="CI38" s="630"/>
      <c r="DB38" s="486" t="e">
        <f>IF($D38&gt;=$AI38+$AJ38,0,1)</f>
        <v>#VALUE!</v>
      </c>
      <c r="DC38" s="486" t="e">
        <f>IF($D38&gt;=$AK38+$AL38,0,1)</f>
        <v>#VALUE!</v>
      </c>
      <c r="DD38" s="470"/>
      <c r="DE38" s="470"/>
      <c r="DF38" s="470"/>
      <c r="DG38" s="470"/>
      <c r="DH38" s="470"/>
      <c r="DI38" s="470"/>
      <c r="DJ38" s="470"/>
      <c r="DK38" s="470"/>
    </row>
    <row r="39" spans="1:131" s="413" customFormat="1" ht="30" customHeight="1" x14ac:dyDescent="0.2">
      <c r="B39" s="2043" t="s">
        <v>503</v>
      </c>
      <c r="C39" s="2043"/>
      <c r="D39" s="2043"/>
      <c r="E39" s="2043"/>
      <c r="F39" s="2043"/>
      <c r="G39" s="2043"/>
      <c r="H39" s="2043"/>
      <c r="I39" s="2043"/>
      <c r="J39" s="2043"/>
      <c r="K39" s="2043"/>
      <c r="L39" s="2043"/>
      <c r="M39" s="2043"/>
      <c r="N39" s="2043"/>
      <c r="O39" s="623"/>
      <c r="P39" s="623"/>
      <c r="Q39" s="623"/>
      <c r="R39" s="623"/>
      <c r="S39" s="124"/>
      <c r="T39" s="124"/>
      <c r="U39" s="124"/>
      <c r="V39" s="124"/>
      <c r="W39" s="124"/>
      <c r="X39" s="124"/>
      <c r="Y39" s="124"/>
      <c r="Z39" s="124"/>
      <c r="AA39" s="124"/>
      <c r="AB39" s="124"/>
      <c r="AC39" s="355"/>
      <c r="AD39" s="355"/>
      <c r="AE39" s="355"/>
      <c r="AF39" s="355"/>
      <c r="AG39" s="355"/>
      <c r="AH39" s="355"/>
      <c r="AI39" s="355"/>
      <c r="AJ39" s="355"/>
      <c r="AK39" s="355"/>
      <c r="AL39" s="355"/>
      <c r="AM39" s="355"/>
      <c r="AN39" s="355"/>
      <c r="AO39" s="355"/>
      <c r="AP39" s="355"/>
      <c r="AQ39" s="355"/>
      <c r="AR39" s="355"/>
      <c r="AS39" s="355"/>
      <c r="AT39" s="355"/>
      <c r="AU39" s="355"/>
      <c r="AV39" s="124"/>
      <c r="AW39" s="124"/>
      <c r="BS39" s="216"/>
      <c r="CB39" s="629"/>
      <c r="CC39" s="478"/>
      <c r="CD39" s="478"/>
      <c r="CE39" s="478"/>
      <c r="CF39" s="478"/>
      <c r="CG39" s="478"/>
      <c r="CH39" s="478"/>
      <c r="CI39" s="478"/>
      <c r="CJ39" s="478"/>
      <c r="CK39" s="478"/>
      <c r="CL39" s="478"/>
      <c r="CM39" s="391"/>
      <c r="CN39" s="391"/>
      <c r="CO39" s="391"/>
      <c r="CP39" s="391"/>
      <c r="CQ39" s="391"/>
      <c r="CR39" s="391"/>
      <c r="CS39" s="391"/>
      <c r="CT39" s="391"/>
      <c r="CU39" s="391"/>
      <c r="CV39" s="391"/>
      <c r="CW39" s="391"/>
      <c r="CX39" s="391"/>
      <c r="CY39" s="391"/>
      <c r="CZ39" s="391"/>
      <c r="DA39" s="391"/>
      <c r="DB39" s="479"/>
      <c r="DC39" s="479"/>
      <c r="DD39" s="479"/>
      <c r="DE39" s="479"/>
      <c r="DF39" s="479"/>
      <c r="DG39" s="479"/>
      <c r="DH39" s="479"/>
      <c r="DI39" s="479"/>
      <c r="DJ39" s="479"/>
      <c r="DK39" s="479"/>
      <c r="DL39" s="470"/>
      <c r="DM39" s="470"/>
      <c r="DN39" s="470"/>
      <c r="DO39" s="470"/>
      <c r="DP39" s="470"/>
      <c r="DQ39" s="470"/>
      <c r="DR39" s="470"/>
      <c r="DS39" s="470"/>
      <c r="DT39" s="470"/>
      <c r="DU39" s="470"/>
      <c r="DV39" s="470"/>
      <c r="DW39" s="470"/>
      <c r="DX39" s="470"/>
      <c r="DY39" s="470"/>
      <c r="DZ39" s="470"/>
      <c r="EA39" s="470"/>
    </row>
    <row r="40" spans="1:131" ht="27.75" customHeight="1" x14ac:dyDescent="0.25">
      <c r="B40" s="1973" t="s">
        <v>82</v>
      </c>
      <c r="C40" s="2000"/>
      <c r="D40" s="1984" t="s">
        <v>15</v>
      </c>
      <c r="E40" s="1984"/>
      <c r="F40" s="1985"/>
      <c r="G40" s="1996" t="s">
        <v>83</v>
      </c>
      <c r="H40" s="1996"/>
      <c r="I40" s="1996"/>
      <c r="J40" s="1996"/>
      <c r="K40" s="1996"/>
      <c r="L40" s="1996"/>
      <c r="M40" s="1996"/>
      <c r="N40" s="1997"/>
      <c r="O40" s="125"/>
      <c r="P40" s="413"/>
      <c r="Q40" s="413"/>
      <c r="R40" s="413"/>
      <c r="S40" s="413"/>
      <c r="T40" s="413"/>
      <c r="U40" s="413"/>
      <c r="V40" s="413"/>
      <c r="W40" s="413"/>
      <c r="X40" s="413"/>
      <c r="Y40" s="413"/>
      <c r="Z40" s="413"/>
      <c r="AA40" s="413"/>
      <c r="AB40" s="413"/>
      <c r="AC40" s="469"/>
      <c r="AD40" s="469"/>
      <c r="AE40" s="469"/>
      <c r="AF40" s="469"/>
      <c r="AG40" s="469"/>
      <c r="AH40" s="469"/>
      <c r="AI40" s="469"/>
      <c r="AJ40" s="469"/>
      <c r="AK40" s="469"/>
      <c r="AL40" s="469"/>
      <c r="AM40" s="469"/>
      <c r="AN40" s="469"/>
      <c r="AO40" s="469"/>
      <c r="AP40" s="469"/>
      <c r="AQ40" s="469"/>
      <c r="AR40" s="469"/>
      <c r="AS40" s="469"/>
      <c r="AT40" s="469"/>
      <c r="AU40" s="469"/>
      <c r="AV40" s="413"/>
      <c r="AW40" s="413"/>
      <c r="CB40" s="478"/>
      <c r="DB40" s="470"/>
      <c r="DC40" s="470"/>
      <c r="DD40" s="470"/>
      <c r="DE40" s="470"/>
      <c r="DF40" s="470"/>
      <c r="DG40" s="470"/>
      <c r="DH40" s="470"/>
      <c r="DI40" s="470"/>
      <c r="DJ40" s="470"/>
      <c r="DK40" s="470"/>
    </row>
    <row r="41" spans="1:131" ht="24" customHeight="1" x14ac:dyDescent="0.25">
      <c r="B41" s="2001"/>
      <c r="C41" s="2002"/>
      <c r="D41" s="1986"/>
      <c r="E41" s="1986"/>
      <c r="F41" s="1987"/>
      <c r="G41" s="1988" t="s">
        <v>98</v>
      </c>
      <c r="H41" s="1989"/>
      <c r="I41" s="1988" t="s">
        <v>439</v>
      </c>
      <c r="J41" s="1989"/>
      <c r="K41" s="2005" t="s">
        <v>17</v>
      </c>
      <c r="L41" s="2006"/>
      <c r="M41" s="1998" t="s">
        <v>527</v>
      </c>
      <c r="N41" s="1999"/>
      <c r="O41" s="125"/>
      <c r="P41" s="413"/>
      <c r="Q41" s="413"/>
      <c r="R41" s="413"/>
      <c r="S41" s="413"/>
      <c r="T41" s="413"/>
      <c r="U41" s="413"/>
      <c r="V41" s="413"/>
      <c r="W41" s="413"/>
      <c r="X41" s="413"/>
      <c r="Y41" s="413"/>
      <c r="Z41" s="413"/>
      <c r="AA41" s="413"/>
      <c r="AB41" s="413"/>
      <c r="AC41" s="469"/>
      <c r="AD41" s="469"/>
      <c r="AE41" s="469"/>
      <c r="AF41" s="469"/>
      <c r="AG41" s="469"/>
      <c r="AH41" s="469"/>
      <c r="AI41" s="469"/>
      <c r="AJ41" s="469"/>
      <c r="AK41" s="469"/>
      <c r="AL41" s="469"/>
      <c r="AM41" s="469"/>
      <c r="AN41" s="469"/>
      <c r="AO41" s="469"/>
      <c r="AP41" s="469"/>
      <c r="AQ41" s="469"/>
      <c r="AR41" s="469"/>
      <c r="AS41" s="469"/>
      <c r="AT41" s="469"/>
      <c r="AU41" s="469"/>
      <c r="AV41" s="413"/>
      <c r="AW41" s="413"/>
      <c r="CB41" s="478"/>
      <c r="DB41" s="470"/>
      <c r="DC41" s="470"/>
      <c r="DD41" s="470"/>
      <c r="DE41" s="470"/>
      <c r="DF41" s="470"/>
      <c r="DG41" s="470"/>
      <c r="DH41" s="470"/>
      <c r="DI41" s="470"/>
      <c r="DJ41" s="470"/>
      <c r="DK41" s="470"/>
    </row>
    <row r="42" spans="1:131" ht="32.25" customHeight="1" x14ac:dyDescent="0.25">
      <c r="B42" s="2003"/>
      <c r="C42" s="2004"/>
      <c r="D42" s="126" t="s">
        <v>412</v>
      </c>
      <c r="E42" s="114" t="s">
        <v>33</v>
      </c>
      <c r="F42" s="436" t="s">
        <v>100</v>
      </c>
      <c r="G42" s="435" t="s">
        <v>33</v>
      </c>
      <c r="H42" s="127" t="s">
        <v>100</v>
      </c>
      <c r="I42" s="435" t="s">
        <v>33</v>
      </c>
      <c r="J42" s="363" t="s">
        <v>100</v>
      </c>
      <c r="K42" s="364" t="s">
        <v>33</v>
      </c>
      <c r="L42" s="1495" t="s">
        <v>100</v>
      </c>
      <c r="M42" s="1498" t="s">
        <v>33</v>
      </c>
      <c r="N42" s="436" t="s">
        <v>100</v>
      </c>
      <c r="O42" s="125"/>
      <c r="P42" s="413"/>
      <c r="Q42" s="413"/>
      <c r="R42" s="413"/>
      <c r="S42" s="413"/>
      <c r="T42" s="413"/>
      <c r="U42" s="413"/>
      <c r="V42" s="413"/>
      <c r="W42" s="413"/>
      <c r="X42" s="413"/>
      <c r="Y42" s="413"/>
      <c r="Z42" s="413"/>
      <c r="AA42" s="413"/>
      <c r="AB42" s="413"/>
      <c r="AC42" s="469"/>
      <c r="AD42" s="469"/>
      <c r="AE42" s="469"/>
      <c r="AF42" s="469"/>
      <c r="AG42" s="469"/>
      <c r="AH42" s="469"/>
      <c r="AI42" s="469"/>
      <c r="AJ42" s="469"/>
      <c r="AK42" s="469"/>
      <c r="AL42" s="469"/>
      <c r="AM42" s="469"/>
      <c r="AN42" s="469"/>
      <c r="AO42" s="469"/>
      <c r="AP42" s="469"/>
      <c r="AQ42" s="469"/>
      <c r="AR42" s="469"/>
      <c r="AS42" s="469"/>
      <c r="AT42" s="469"/>
      <c r="AU42" s="469"/>
      <c r="AV42" s="413"/>
      <c r="AW42" s="413"/>
      <c r="BT42" s="356"/>
      <c r="BU42" s="356"/>
      <c r="BV42" s="356"/>
      <c r="CB42" s="478"/>
      <c r="DB42" s="470"/>
      <c r="DC42" s="470"/>
      <c r="DD42" s="470"/>
      <c r="DE42" s="470"/>
      <c r="DF42" s="470"/>
      <c r="DG42" s="470"/>
      <c r="DH42" s="470"/>
      <c r="DI42" s="470"/>
      <c r="DJ42" s="470"/>
      <c r="DK42" s="470"/>
    </row>
    <row r="43" spans="1:131" ht="23.25" customHeight="1" x14ac:dyDescent="0.25">
      <c r="A43" s="1775" t="s">
        <v>908</v>
      </c>
      <c r="B43" s="1980" t="s">
        <v>101</v>
      </c>
      <c r="C43" s="1981"/>
      <c r="D43" s="907" t="s">
        <v>1384</v>
      </c>
      <c r="E43" s="906" t="s">
        <v>1385</v>
      </c>
      <c r="F43" s="831" t="s">
        <v>1386</v>
      </c>
      <c r="G43" s="842" t="s">
        <v>1387</v>
      </c>
      <c r="H43" s="843" t="s">
        <v>1388</v>
      </c>
      <c r="I43" s="842" t="s">
        <v>1389</v>
      </c>
      <c r="J43" s="844" t="s">
        <v>1390</v>
      </c>
      <c r="K43" s="846" t="s">
        <v>1391</v>
      </c>
      <c r="L43" s="926" t="s">
        <v>1392</v>
      </c>
      <c r="M43" s="845" t="s">
        <v>1393</v>
      </c>
      <c r="N43" s="843" t="s">
        <v>1394</v>
      </c>
      <c r="O43" s="304" t="e">
        <f>CC43 &amp; CD43 &amp; CE43 &amp; CF43 &amp; CG43 &amp; CH43 &amp; CJ43 &amp; CK43</f>
        <v>#VALUE!</v>
      </c>
      <c r="P43" s="413"/>
      <c r="Q43" s="413"/>
      <c r="R43" s="413"/>
      <c r="S43" s="413"/>
      <c r="T43" s="413"/>
      <c r="U43" s="413"/>
      <c r="V43" s="413"/>
      <c r="W43" s="413"/>
      <c r="X43" s="413"/>
      <c r="Y43" s="413"/>
      <c r="Z43" s="413"/>
      <c r="AA43" s="413"/>
      <c r="AB43" s="413"/>
      <c r="AC43" s="469"/>
      <c r="AD43" s="469"/>
      <c r="AE43" s="469"/>
      <c r="AF43" s="469"/>
      <c r="AG43" s="469"/>
      <c r="AH43" s="469"/>
      <c r="AI43" s="469"/>
      <c r="AJ43" s="469"/>
      <c r="AK43" s="469"/>
      <c r="AL43" s="469"/>
      <c r="AM43" s="469"/>
      <c r="AN43" s="469"/>
      <c r="AO43" s="469"/>
      <c r="AP43" s="469"/>
      <c r="AQ43" s="469"/>
      <c r="AR43" s="469"/>
      <c r="AS43" s="469"/>
      <c r="AT43" s="469"/>
      <c r="AU43" s="469"/>
      <c r="AV43" s="413"/>
      <c r="AW43" s="413"/>
      <c r="BT43" s="356"/>
      <c r="BU43" s="356"/>
      <c r="BV43" s="356"/>
      <c r="CB43" s="478"/>
      <c r="CC43" s="465" t="e">
        <f>IF(G43&lt;&gt;G71,"* El Total de niños en control no debe ser distinto al total del Diagnóstico Nutricional Integrado. ","")</f>
        <v>#VALUE!</v>
      </c>
      <c r="CD43" s="465" t="e">
        <f>IF(H43&lt;&gt;H71,"* El Total de niñas en control no debe ser distinto al total del Diagnóstico Nutricional Integrado. ","")</f>
        <v>#VALUE!</v>
      </c>
      <c r="CE43" s="465" t="e">
        <f>IF(I43&lt;&gt;I71,"* El Total de niños en control no debe ser distinto al total del Diagnóstico Nutricional Integrado. ","")</f>
        <v>#VALUE!</v>
      </c>
      <c r="CF43" s="465" t="e">
        <f>IF(J43&lt;&gt;J71,"* El Total de niñas en control no debe ser distinto al total del Diagnóstico Nutricional Integrado. ","")</f>
        <v>#VALUE!</v>
      </c>
      <c r="CG43" s="465" t="e">
        <f>IF($D43&gt;=$K43+$L43,"","* El Total de Pueblos Originarios no debe ser mayor al total de niños en control. ")</f>
        <v>#VALUE!</v>
      </c>
      <c r="CH43" s="465" t="e">
        <f>IF($D43&gt;=$M43+$N43,"","* El Total de Pueblación Migrantes no debe ser mayor al total de niños en control. ")</f>
        <v>#VALUE!</v>
      </c>
      <c r="CJ43" s="465" t="str">
        <f>IF(AND(E43&lt;&gt;0,K43=""), "* No olvide escribir en la celda de Pueblos Originarios (Digite CERO si no tiene). ",IF(AND(F43&lt;&gt;0,L43=""), "* No olvide escribir en la celda de Pueblos Originarios (Digite CERO si no tiene). ",""))</f>
        <v/>
      </c>
      <c r="CK43" s="465" t="str">
        <f>IF(AND(E43&lt;&gt;0,M43=""), "* No olvide escribir en la celda de Población Migrantes (Digite CERO si no tiene). ",IF(AND(F43&lt;&gt;0,N43=""), "* No olvide escribir en la celda de Población Migrantes (Digite CERO si no tiene). ",""))</f>
        <v/>
      </c>
      <c r="DB43" s="486" t="e">
        <f>IF(G43&lt;&gt;G71,1,0)</f>
        <v>#VALUE!</v>
      </c>
      <c r="DC43" s="486" t="e">
        <f>IF(H43&lt;&gt;H71,1,0)</f>
        <v>#VALUE!</v>
      </c>
      <c r="DD43" s="486" t="e">
        <f>IF(I43&lt;&gt;I71,1,0)</f>
        <v>#VALUE!</v>
      </c>
      <c r="DE43" s="486" t="e">
        <f>IF(J43&lt;&gt;J71,1,0)</f>
        <v>#VALUE!</v>
      </c>
      <c r="DF43" s="486" t="e">
        <f>IF($D43&gt;=$K43+$L43,0,1)</f>
        <v>#VALUE!</v>
      </c>
      <c r="DG43" s="486" t="e">
        <f>IF($D43&gt;=$M43+$N43,0,1)</f>
        <v>#VALUE!</v>
      </c>
      <c r="DH43" s="470"/>
      <c r="DI43" s="613">
        <f>IF(AND(E43&lt;&gt;0,K43=""), 1,IF(AND(F43&lt;&gt;0,L43=""), 1,0))</f>
        <v>0</v>
      </c>
      <c r="DJ43" s="613">
        <f>IF(AND(E43&lt;&gt;0,M43=""), 1,IF(AND(F43&lt;&gt;0,N43=""), 1,0))</f>
        <v>0</v>
      </c>
      <c r="DK43" s="470"/>
    </row>
    <row r="44" spans="1:131" ht="23.25" customHeight="1" x14ac:dyDescent="0.25">
      <c r="A44" s="1775" t="s">
        <v>909</v>
      </c>
      <c r="B44" s="1982" t="s">
        <v>421</v>
      </c>
      <c r="C44" s="128" t="s">
        <v>422</v>
      </c>
      <c r="D44" s="865" t="s">
        <v>1384</v>
      </c>
      <c r="E44" s="908" t="s">
        <v>1385</v>
      </c>
      <c r="F44" s="909" t="s">
        <v>1386</v>
      </c>
      <c r="G44" s="842" t="s">
        <v>1387</v>
      </c>
      <c r="H44" s="843" t="s">
        <v>1388</v>
      </c>
      <c r="I44" s="842" t="s">
        <v>1389</v>
      </c>
      <c r="J44" s="844" t="s">
        <v>1390</v>
      </c>
      <c r="K44" s="846" t="s">
        <v>1391</v>
      </c>
      <c r="L44" s="926" t="s">
        <v>1392</v>
      </c>
      <c r="M44" s="845" t="s">
        <v>1393</v>
      </c>
      <c r="N44" s="843" t="s">
        <v>1394</v>
      </c>
      <c r="O44" s="469" t="str">
        <f>CJ44 &amp; CK44</f>
        <v/>
      </c>
      <c r="P44" s="413"/>
      <c r="Q44" s="413"/>
      <c r="R44" s="413"/>
      <c r="S44" s="413"/>
      <c r="T44" s="413"/>
      <c r="U44" s="413"/>
      <c r="V44" s="413"/>
      <c r="W44" s="413"/>
      <c r="X44" s="413"/>
      <c r="Y44" s="413"/>
      <c r="Z44" s="413"/>
      <c r="AA44" s="413"/>
      <c r="AB44" s="413"/>
      <c r="AC44" s="469"/>
      <c r="AD44" s="469"/>
      <c r="AE44" s="469"/>
      <c r="AF44" s="469"/>
      <c r="AG44" s="469"/>
      <c r="AH44" s="469"/>
      <c r="AI44" s="469"/>
      <c r="AJ44" s="469"/>
      <c r="AK44" s="469"/>
      <c r="AL44" s="469"/>
      <c r="AM44" s="469"/>
      <c r="AN44" s="469"/>
      <c r="AO44" s="469"/>
      <c r="AP44" s="469"/>
      <c r="AQ44" s="469"/>
      <c r="AR44" s="469"/>
      <c r="AS44" s="469"/>
      <c r="AT44" s="469"/>
      <c r="AU44" s="469"/>
      <c r="AV44" s="413"/>
      <c r="AW44" s="413"/>
      <c r="BT44" s="356"/>
      <c r="BU44" s="356"/>
      <c r="BV44" s="356"/>
      <c r="CB44" s="478"/>
      <c r="CJ44" s="465" t="str">
        <f>IF(AND(E44&lt;&gt;0,K44=""), "* No olvide escribir en la celda de Pueblos Originarios (Digite CERO si no tiene). ",IF(AND(F44&lt;&gt;0,L44=""), "* No olvide escribir en la celda de Pueblos Originarios (Digite CERO si no tiene). ",""))</f>
        <v/>
      </c>
      <c r="CK44" s="465" t="str">
        <f>IF(AND(E44&lt;&gt;0,M44=""), "* No olvide escribir en la celda de Población Migrantes (Digite CERO si no tiene). ",IF(AND(F44&lt;&gt;0,N44=""), "* No olvide escribir en la celda de Población Migrantes (Digite CERO si no tiene). ",""))</f>
        <v/>
      </c>
      <c r="DB44" s="470"/>
      <c r="DC44" s="470"/>
      <c r="DD44" s="470"/>
      <c r="DE44" s="470"/>
      <c r="DF44" s="470"/>
      <c r="DG44" s="470"/>
      <c r="DH44" s="470"/>
      <c r="DI44" s="613">
        <f>IF(AND(E44&lt;&gt;0,K44=""), 1,IF(AND(F44&lt;&gt;0,L44=""), 1,0))</f>
        <v>0</v>
      </c>
      <c r="DJ44" s="613">
        <f>IF(AND(E44&lt;&gt;0,M44=""), 1,IF(AND(F44&lt;&gt;0,N44=""), 1,0))</f>
        <v>0</v>
      </c>
      <c r="DK44" s="470"/>
    </row>
    <row r="45" spans="1:131" ht="23.25" customHeight="1" x14ac:dyDescent="0.25">
      <c r="A45" s="1775" t="s">
        <v>910</v>
      </c>
      <c r="B45" s="1967"/>
      <c r="C45" s="129" t="s">
        <v>423</v>
      </c>
      <c r="D45" s="886" t="s">
        <v>1384</v>
      </c>
      <c r="E45" s="910" t="s">
        <v>1385</v>
      </c>
      <c r="F45" s="911" t="s">
        <v>1386</v>
      </c>
      <c r="G45" s="888" t="s">
        <v>1387</v>
      </c>
      <c r="H45" s="889" t="s">
        <v>1388</v>
      </c>
      <c r="I45" s="888" t="s">
        <v>1389</v>
      </c>
      <c r="J45" s="890" t="s">
        <v>1390</v>
      </c>
      <c r="K45" s="892" t="s">
        <v>1391</v>
      </c>
      <c r="L45" s="927" t="s">
        <v>1392</v>
      </c>
      <c r="M45" s="891" t="s">
        <v>1393</v>
      </c>
      <c r="N45" s="889" t="s">
        <v>1394</v>
      </c>
      <c r="O45" s="469" t="str">
        <f>CJ45 &amp; CK45</f>
        <v/>
      </c>
      <c r="P45" s="413"/>
      <c r="Q45" s="413"/>
      <c r="R45" s="413"/>
      <c r="S45" s="413"/>
      <c r="T45" s="413"/>
      <c r="U45" s="413"/>
      <c r="V45" s="413"/>
      <c r="W45" s="413"/>
      <c r="X45" s="413"/>
      <c r="Y45" s="413"/>
      <c r="Z45" s="413"/>
      <c r="AA45" s="413"/>
      <c r="AB45" s="413"/>
      <c r="AC45" s="469"/>
      <c r="AD45" s="469"/>
      <c r="AE45" s="469"/>
      <c r="AF45" s="469"/>
      <c r="AG45" s="469"/>
      <c r="AH45" s="469"/>
      <c r="AI45" s="469"/>
      <c r="AJ45" s="469"/>
      <c r="AK45" s="469"/>
      <c r="AL45" s="469"/>
      <c r="AM45" s="469"/>
      <c r="AN45" s="469"/>
      <c r="AO45" s="469"/>
      <c r="AP45" s="469"/>
      <c r="AQ45" s="469"/>
      <c r="AR45" s="469"/>
      <c r="AS45" s="469"/>
      <c r="AT45" s="469"/>
      <c r="AU45" s="469"/>
      <c r="AV45" s="413"/>
      <c r="AW45" s="413"/>
      <c r="BT45" s="356"/>
      <c r="BU45" s="356"/>
      <c r="BV45" s="356"/>
      <c r="CB45" s="478"/>
      <c r="CJ45" s="465" t="str">
        <f>IF(AND(E45&lt;&gt;0,K45=""), "* No olvide escribir en la celda de Pueblos Originarios (Digite CERO si no tiene). ",IF(AND(F45&lt;&gt;0,L45=""), "* No olvide escribir en la celda de Pueblos Originarios (Digite CERO si no tiene). ",""))</f>
        <v/>
      </c>
      <c r="CK45" s="465" t="str">
        <f>IF(AND(E45&lt;&gt;0,M45=""), "* No olvide escribir en la celda de Población Migrantes (Digite CERO si no tiene). ",IF(AND(F45&lt;&gt;0,N45=""), "* No olvide escribir en la celda de Población Migrantes (Digite CERO si no tiene). ",""))</f>
        <v/>
      </c>
      <c r="DB45" s="470"/>
      <c r="DC45" s="470"/>
      <c r="DD45" s="470"/>
      <c r="DE45" s="470"/>
      <c r="DF45" s="470"/>
      <c r="DG45" s="470"/>
      <c r="DH45" s="470"/>
      <c r="DI45" s="613">
        <f>IF(AND(E45&lt;&gt;0,K45=""), 1,IF(AND(F45&lt;&gt;0,L45=""), 1,0))</f>
        <v>0</v>
      </c>
      <c r="DJ45" s="613">
        <f>IF(AND(E45&lt;&gt;0,M45=""), 1,IF(AND(F45&lt;&gt;0,N45=""), 1,0))</f>
        <v>0</v>
      </c>
      <c r="DK45" s="470"/>
    </row>
    <row r="46" spans="1:131" ht="23.25" customHeight="1" x14ac:dyDescent="0.25">
      <c r="A46" s="1775" t="s">
        <v>911</v>
      </c>
      <c r="B46" s="1967"/>
      <c r="C46" s="130" t="s">
        <v>424</v>
      </c>
      <c r="D46" s="894" t="s">
        <v>1384</v>
      </c>
      <c r="E46" s="912" t="s">
        <v>1385</v>
      </c>
      <c r="F46" s="913" t="s">
        <v>1386</v>
      </c>
      <c r="G46" s="848" t="s">
        <v>1387</v>
      </c>
      <c r="H46" s="849" t="s">
        <v>1388</v>
      </c>
      <c r="I46" s="848" t="s">
        <v>1389</v>
      </c>
      <c r="J46" s="850" t="s">
        <v>1390</v>
      </c>
      <c r="K46" s="852" t="s">
        <v>1391</v>
      </c>
      <c r="L46" s="930" t="s">
        <v>1392</v>
      </c>
      <c r="M46" s="851" t="s">
        <v>1393</v>
      </c>
      <c r="N46" s="849" t="s">
        <v>1394</v>
      </c>
      <c r="O46" s="469" t="str">
        <f>CJ46 &amp; CK46</f>
        <v/>
      </c>
      <c r="P46" s="413"/>
      <c r="Q46" s="413"/>
      <c r="R46" s="413"/>
      <c r="S46" s="413"/>
      <c r="T46" s="413"/>
      <c r="U46" s="413"/>
      <c r="V46" s="413"/>
      <c r="W46" s="413"/>
      <c r="X46" s="413"/>
      <c r="Y46" s="413"/>
      <c r="Z46" s="413"/>
      <c r="AA46" s="413"/>
      <c r="AB46" s="413"/>
      <c r="AC46" s="469"/>
      <c r="AD46" s="469"/>
      <c r="AE46" s="469"/>
      <c r="AF46" s="469"/>
      <c r="AG46" s="469"/>
      <c r="AH46" s="469"/>
      <c r="AI46" s="469"/>
      <c r="AJ46" s="469"/>
      <c r="AK46" s="469"/>
      <c r="AL46" s="469"/>
      <c r="AM46" s="469"/>
      <c r="AN46" s="469"/>
      <c r="AO46" s="469"/>
      <c r="AP46" s="469"/>
      <c r="AQ46" s="469"/>
      <c r="AR46" s="469"/>
      <c r="AS46" s="469"/>
      <c r="AT46" s="469"/>
      <c r="AU46" s="469"/>
      <c r="AV46" s="413"/>
      <c r="AW46" s="413"/>
      <c r="BT46" s="356"/>
      <c r="BU46" s="356"/>
      <c r="BV46" s="356"/>
      <c r="CB46" s="478"/>
      <c r="CJ46" s="465" t="str">
        <f>IF(AND(E46&lt;&gt;0,K46=""), "* No olvide escribir en la celda de Pueblos Originarios (Digite CERO si no tiene). ",IF(AND(F46&lt;&gt;0,L46=""), "* No olvide escribir en la celda de Pueblos Originarios (Digite CERO si no tiene). ",""))</f>
        <v/>
      </c>
      <c r="CK46" s="465" t="str">
        <f>IF(AND(E46&lt;&gt;0,M46=""), "* No olvide escribir en la celda de Población Migrantes (Digite CERO si no tiene). ",IF(AND(F46&lt;&gt;0,N46=""), "* No olvide escribir en la celda de Población Migrantes (Digite CERO si no tiene). ",""))</f>
        <v/>
      </c>
      <c r="DB46" s="470"/>
      <c r="DC46" s="470"/>
      <c r="DD46" s="470"/>
      <c r="DE46" s="470"/>
      <c r="DF46" s="470"/>
      <c r="DG46" s="470"/>
      <c r="DH46" s="470"/>
      <c r="DI46" s="613">
        <f>IF(AND(E46&lt;&gt;0,K46=""), 1,IF(AND(F46&lt;&gt;0,L46=""), 1,0))</f>
        <v>0</v>
      </c>
      <c r="DJ46" s="613">
        <f>IF(AND(E46&lt;&gt;0,M46=""), 1,IF(AND(F46&lt;&gt;0,N46=""), 1,0))</f>
        <v>0</v>
      </c>
      <c r="DK46" s="470"/>
    </row>
    <row r="47" spans="1:131" ht="23.25" customHeight="1" x14ac:dyDescent="0.25">
      <c r="A47" s="1776"/>
      <c r="B47" s="1967"/>
      <c r="C47" s="121" t="s">
        <v>15</v>
      </c>
      <c r="D47" s="867">
        <f t="shared" ref="D47:D57" si="19">+E47+F47</f>
        <v>0</v>
      </c>
      <c r="E47" s="855">
        <f t="shared" ref="E47:E69" si="20">+G47+I47</f>
        <v>0</v>
      </c>
      <c r="F47" s="864">
        <f t="shared" ref="F47:F69" si="21">+H47+J47</f>
        <v>0</v>
      </c>
      <c r="G47" s="855">
        <f>SUM(G44:G46)</f>
        <v>0</v>
      </c>
      <c r="H47" s="864">
        <f t="shared" ref="H47:N47" si="22">SUM(H44:H46)</f>
        <v>0</v>
      </c>
      <c r="I47" s="855">
        <f t="shared" si="22"/>
        <v>0</v>
      </c>
      <c r="J47" s="904">
        <f t="shared" si="22"/>
        <v>0</v>
      </c>
      <c r="K47" s="859">
        <f t="shared" si="22"/>
        <v>0</v>
      </c>
      <c r="L47" s="1497">
        <f t="shared" si="22"/>
        <v>0</v>
      </c>
      <c r="M47" s="1497">
        <f t="shared" si="22"/>
        <v>0</v>
      </c>
      <c r="N47" s="864">
        <f t="shared" si="22"/>
        <v>0</v>
      </c>
      <c r="O47" s="125" t="str">
        <f xml:space="preserve"> CG47 &amp; CH47</f>
        <v/>
      </c>
      <c r="P47" s="413"/>
      <c r="Q47" s="413"/>
      <c r="R47" s="413"/>
      <c r="S47" s="413"/>
      <c r="T47" s="413"/>
      <c r="U47" s="413"/>
      <c r="V47" s="413"/>
      <c r="W47" s="413"/>
      <c r="X47" s="413"/>
      <c r="Y47" s="413"/>
      <c r="Z47" s="413"/>
      <c r="AA47" s="413"/>
      <c r="AB47" s="413"/>
      <c r="AC47" s="469"/>
      <c r="AD47" s="469"/>
      <c r="AE47" s="469"/>
      <c r="AF47" s="469"/>
      <c r="AG47" s="469"/>
      <c r="AH47" s="469"/>
      <c r="AI47" s="469"/>
      <c r="AJ47" s="469"/>
      <c r="AK47" s="469"/>
      <c r="AL47" s="469"/>
      <c r="AM47" s="469"/>
      <c r="AN47" s="469"/>
      <c r="AO47" s="469"/>
      <c r="AP47" s="469"/>
      <c r="AQ47" s="469"/>
      <c r="AR47" s="469"/>
      <c r="AS47" s="469"/>
      <c r="AT47" s="469"/>
      <c r="AU47" s="469"/>
      <c r="AV47" s="413"/>
      <c r="AW47" s="413"/>
      <c r="BT47" s="356"/>
      <c r="BU47" s="356"/>
      <c r="BV47" s="356"/>
      <c r="CB47" s="478"/>
      <c r="CG47" s="465" t="str">
        <f>IF($D47&gt;=$K47+$L47,"","* El Total de Pueblos Originarios no debe ser mayor al total de niños en control. ")</f>
        <v/>
      </c>
      <c r="CH47" s="465" t="str">
        <f>IF($D47&gt;=$M47+$N47,"","* El Total de Pueblación Migrantes no debe ser mayor al total de niños en control. ")</f>
        <v/>
      </c>
      <c r="DB47" s="470"/>
      <c r="DC47" s="470"/>
      <c r="DD47" s="470"/>
      <c r="DE47" s="470"/>
      <c r="DF47" s="486">
        <f>IF($D47&gt;=$K47+$L47,0,1)</f>
        <v>0</v>
      </c>
      <c r="DG47" s="486">
        <f>IF($D47&gt;=$M47+$N47,0,1)</f>
        <v>0</v>
      </c>
      <c r="DH47" s="470"/>
      <c r="DI47" s="470"/>
      <c r="DJ47" s="470"/>
      <c r="DK47" s="470"/>
    </row>
    <row r="48" spans="1:131" ht="23.25" customHeight="1" x14ac:dyDescent="0.25">
      <c r="A48" s="1775" t="s">
        <v>912</v>
      </c>
      <c r="B48" s="1967"/>
      <c r="C48" s="131" t="s">
        <v>425</v>
      </c>
      <c r="D48" s="885" t="s">
        <v>1384</v>
      </c>
      <c r="E48" s="914" t="s">
        <v>1385</v>
      </c>
      <c r="F48" s="915" t="s">
        <v>1386</v>
      </c>
      <c r="G48" s="842" t="s">
        <v>1387</v>
      </c>
      <c r="H48" s="843" t="s">
        <v>1388</v>
      </c>
      <c r="I48" s="842" t="s">
        <v>1389</v>
      </c>
      <c r="J48" s="844" t="s">
        <v>1390</v>
      </c>
      <c r="K48" s="846" t="s">
        <v>1391</v>
      </c>
      <c r="L48" s="926" t="s">
        <v>1392</v>
      </c>
      <c r="M48" s="845" t="s">
        <v>1393</v>
      </c>
      <c r="N48" s="843" t="s">
        <v>1394</v>
      </c>
      <c r="O48" s="469" t="str">
        <f>CJ48 &amp; CK48</f>
        <v/>
      </c>
      <c r="P48" s="413"/>
      <c r="Q48" s="413"/>
      <c r="R48" s="413"/>
      <c r="S48" s="413"/>
      <c r="T48" s="413"/>
      <c r="U48" s="413"/>
      <c r="V48" s="413"/>
      <c r="W48" s="413"/>
      <c r="X48" s="413"/>
      <c r="Y48" s="413"/>
      <c r="Z48" s="413"/>
      <c r="AA48" s="413"/>
      <c r="AB48" s="413"/>
      <c r="AC48" s="469"/>
      <c r="AD48" s="469"/>
      <c r="AE48" s="469"/>
      <c r="AF48" s="469"/>
      <c r="AG48" s="469"/>
      <c r="AH48" s="469"/>
      <c r="AI48" s="469"/>
      <c r="AJ48" s="469"/>
      <c r="AK48" s="469"/>
      <c r="AL48" s="469"/>
      <c r="AM48" s="469"/>
      <c r="AN48" s="469"/>
      <c r="AO48" s="469"/>
      <c r="AP48" s="469"/>
      <c r="AQ48" s="469"/>
      <c r="AR48" s="469"/>
      <c r="AS48" s="469"/>
      <c r="AT48" s="469"/>
      <c r="AU48" s="469"/>
      <c r="AV48" s="413"/>
      <c r="AW48" s="413"/>
      <c r="BT48" s="356"/>
      <c r="BU48" s="356"/>
      <c r="BV48" s="356"/>
      <c r="CB48" s="478"/>
      <c r="CJ48" s="465" t="str">
        <f>IF(AND(E48&lt;&gt;0,K48=""), "* No olvide escribir en la celda de Pueblos Originarios (Digite CERO si no tiene). ",IF(AND(F48&lt;&gt;0,L48=""), "* No olvide escribir en la celda de Pueblos Originarios (Digite CERO si no tiene). ",""))</f>
        <v/>
      </c>
      <c r="CK48" s="465" t="str">
        <f>IF(AND(E48&lt;&gt;0,M48=""), "* No olvide escribir en la celda de Población Migrantes (Digite CERO si no tiene). ",IF(AND(F48&lt;&gt;0,N48=""), "* No olvide escribir en la celda de Población Migrantes (Digite CERO si no tiene). ",""))</f>
        <v/>
      </c>
      <c r="DB48" s="470"/>
      <c r="DC48" s="470"/>
      <c r="DD48" s="470"/>
      <c r="DE48" s="470"/>
      <c r="DF48" s="470"/>
      <c r="DG48" s="470"/>
      <c r="DH48" s="470"/>
      <c r="DI48" s="613">
        <f>IF(AND(E48&lt;&gt;0,K48=""), 1,IF(AND(F48&lt;&gt;0,L48=""), 1,0))</f>
        <v>0</v>
      </c>
      <c r="DJ48" s="613">
        <f>IF(AND(E48&lt;&gt;0,M48=""), 1,IF(AND(F48&lt;&gt;0,N48=""), 1,0))</f>
        <v>0</v>
      </c>
      <c r="DK48" s="470"/>
    </row>
    <row r="49" spans="1:115" ht="23.25" customHeight="1" x14ac:dyDescent="0.25">
      <c r="A49" s="1775" t="s">
        <v>913</v>
      </c>
      <c r="B49" s="1967"/>
      <c r="C49" s="130" t="s">
        <v>426</v>
      </c>
      <c r="D49" s="894" t="s">
        <v>1384</v>
      </c>
      <c r="E49" s="912" t="s">
        <v>1385</v>
      </c>
      <c r="F49" s="913" t="s">
        <v>1386</v>
      </c>
      <c r="G49" s="848" t="s">
        <v>1387</v>
      </c>
      <c r="H49" s="849" t="s">
        <v>1388</v>
      </c>
      <c r="I49" s="848" t="s">
        <v>1389</v>
      </c>
      <c r="J49" s="850" t="s">
        <v>1390</v>
      </c>
      <c r="K49" s="852" t="s">
        <v>1391</v>
      </c>
      <c r="L49" s="930" t="s">
        <v>1392</v>
      </c>
      <c r="M49" s="851" t="s">
        <v>1393</v>
      </c>
      <c r="N49" s="849" t="s">
        <v>1394</v>
      </c>
      <c r="O49" s="469" t="str">
        <f>CJ49 &amp; CK49</f>
        <v/>
      </c>
      <c r="P49" s="413"/>
      <c r="Q49" s="413"/>
      <c r="R49" s="413"/>
      <c r="S49" s="413"/>
      <c r="T49" s="413"/>
      <c r="U49" s="413"/>
      <c r="V49" s="413"/>
      <c r="W49" s="413"/>
      <c r="X49" s="413"/>
      <c r="Y49" s="413"/>
      <c r="Z49" s="413"/>
      <c r="AA49" s="413"/>
      <c r="AB49" s="413"/>
      <c r="AC49" s="469"/>
      <c r="AD49" s="469"/>
      <c r="AE49" s="469"/>
      <c r="AF49" s="469"/>
      <c r="AG49" s="469"/>
      <c r="AH49" s="469"/>
      <c r="AI49" s="469"/>
      <c r="AJ49" s="469"/>
      <c r="AK49" s="469"/>
      <c r="AL49" s="469"/>
      <c r="AM49" s="469"/>
      <c r="AN49" s="469"/>
      <c r="AO49" s="469"/>
      <c r="AP49" s="469"/>
      <c r="AQ49" s="469"/>
      <c r="AR49" s="469"/>
      <c r="AS49" s="469"/>
      <c r="AT49" s="469"/>
      <c r="AU49" s="469"/>
      <c r="AV49" s="413"/>
      <c r="AW49" s="413"/>
      <c r="BT49" s="356"/>
      <c r="BU49" s="356"/>
      <c r="BV49" s="356"/>
      <c r="CB49" s="478"/>
      <c r="CJ49" s="465" t="str">
        <f>IF(AND(E49&lt;&gt;0,K49=""), "* No olvide escribir en la celda de Pueblos Originarios (Digite CERO si no tiene). ",IF(AND(F49&lt;&gt;0,L49=""), "* No olvide escribir en la celda de Pueblos Originarios (Digite CERO si no tiene). ",""))</f>
        <v/>
      </c>
      <c r="CK49" s="465" t="str">
        <f>IF(AND(E49&lt;&gt;0,M49=""), "* No olvide escribir en la celda de Población Migrantes (Digite CERO si no tiene). ",IF(AND(F49&lt;&gt;0,N49=""), "* No olvide escribir en la celda de Población Migrantes (Digite CERO si no tiene). ",""))</f>
        <v/>
      </c>
      <c r="DB49" s="470"/>
      <c r="DC49" s="470"/>
      <c r="DD49" s="470"/>
      <c r="DE49" s="470"/>
      <c r="DF49" s="470"/>
      <c r="DG49" s="470"/>
      <c r="DH49" s="470"/>
      <c r="DI49" s="613">
        <f>IF(AND(E49&lt;&gt;0,K49=""), 1,IF(AND(F49&lt;&gt;0,L49=""), 1,0))</f>
        <v>0</v>
      </c>
      <c r="DJ49" s="613">
        <f>IF(AND(E49&lt;&gt;0,M49=""), 1,IF(AND(F49&lt;&gt;0,N49=""), 1,0))</f>
        <v>0</v>
      </c>
      <c r="DK49" s="470"/>
    </row>
    <row r="50" spans="1:115" ht="23.25" customHeight="1" x14ac:dyDescent="0.25">
      <c r="A50" s="1776"/>
      <c r="B50" s="1967"/>
      <c r="C50" s="121" t="s">
        <v>15</v>
      </c>
      <c r="D50" s="867">
        <f t="shared" si="19"/>
        <v>0</v>
      </c>
      <c r="E50" s="855">
        <f t="shared" si="20"/>
        <v>0</v>
      </c>
      <c r="F50" s="864">
        <f t="shared" si="21"/>
        <v>0</v>
      </c>
      <c r="G50" s="916">
        <f>SUM(G48:G49)</f>
        <v>0</v>
      </c>
      <c r="H50" s="917">
        <f t="shared" ref="H50:N50" si="23">SUM(H48:H49)</f>
        <v>0</v>
      </c>
      <c r="I50" s="868">
        <f t="shared" si="23"/>
        <v>0</v>
      </c>
      <c r="J50" s="870">
        <f t="shared" si="23"/>
        <v>0</v>
      </c>
      <c r="K50" s="874">
        <f t="shared" si="23"/>
        <v>0</v>
      </c>
      <c r="L50" s="1500">
        <f t="shared" si="23"/>
        <v>0</v>
      </c>
      <c r="M50" s="1499">
        <f t="shared" si="23"/>
        <v>0</v>
      </c>
      <c r="N50" s="871">
        <f t="shared" si="23"/>
        <v>0</v>
      </c>
      <c r="O50" s="125" t="str">
        <f xml:space="preserve"> CG50 &amp; CH50</f>
        <v/>
      </c>
      <c r="P50" s="413"/>
      <c r="Q50" s="413"/>
      <c r="R50" s="413"/>
      <c r="S50" s="413"/>
      <c r="T50" s="413"/>
      <c r="U50" s="413"/>
      <c r="V50" s="413"/>
      <c r="W50" s="413"/>
      <c r="X50" s="413"/>
      <c r="Y50" s="413"/>
      <c r="Z50" s="413"/>
      <c r="AA50" s="413"/>
      <c r="AB50" s="413"/>
      <c r="AC50" s="469"/>
      <c r="AD50" s="469"/>
      <c r="AE50" s="469"/>
      <c r="AF50" s="469"/>
      <c r="AG50" s="469"/>
      <c r="AH50" s="469"/>
      <c r="AI50" s="469"/>
      <c r="AJ50" s="469"/>
      <c r="AK50" s="469"/>
      <c r="AL50" s="469"/>
      <c r="AM50" s="469"/>
      <c r="AN50" s="469"/>
      <c r="AO50" s="469"/>
      <c r="AP50" s="469"/>
      <c r="AQ50" s="469"/>
      <c r="AR50" s="469"/>
      <c r="AS50" s="469"/>
      <c r="AT50" s="469"/>
      <c r="AU50" s="469"/>
      <c r="AV50" s="413"/>
      <c r="AW50" s="413"/>
      <c r="BT50" s="356"/>
      <c r="BU50" s="356"/>
      <c r="BV50" s="356"/>
      <c r="CB50" s="478"/>
      <c r="CG50" s="465" t="str">
        <f>IF($D50&gt;=$K50+$L50,"","* El Total de Pueblos Originarios no debe ser mayor al total de niños en control. ")</f>
        <v/>
      </c>
      <c r="CH50" s="465" t="str">
        <f>IF($D50&gt;=$M50+$N50,"","* El Total de Pueblación Migrantes no debe ser mayor al total de niños en control. ")</f>
        <v/>
      </c>
      <c r="DB50" s="470"/>
      <c r="DC50" s="470"/>
      <c r="DD50" s="470"/>
      <c r="DE50" s="470"/>
      <c r="DF50" s="486">
        <f>IF($D50&gt;=$K50+$L50,0,1)</f>
        <v>0</v>
      </c>
      <c r="DG50" s="486">
        <f>IF($D50&gt;=$M50+$N50,0,1)</f>
        <v>0</v>
      </c>
      <c r="DH50" s="470"/>
      <c r="DI50" s="470"/>
      <c r="DJ50" s="470"/>
      <c r="DK50" s="470"/>
    </row>
    <row r="51" spans="1:115" ht="23.25" customHeight="1" x14ac:dyDescent="0.25">
      <c r="A51" s="1775" t="s">
        <v>914</v>
      </c>
      <c r="B51" s="1968"/>
      <c r="C51" s="121" t="s">
        <v>427</v>
      </c>
      <c r="D51" s="867">
        <f t="shared" si="19"/>
        <v>0</v>
      </c>
      <c r="E51" s="855">
        <f t="shared" si="20"/>
        <v>0</v>
      </c>
      <c r="F51" s="864">
        <f t="shared" si="21"/>
        <v>0</v>
      </c>
      <c r="G51" s="836"/>
      <c r="H51" s="837"/>
      <c r="I51" s="836"/>
      <c r="J51" s="1668"/>
      <c r="K51" s="1502"/>
      <c r="L51" s="1504"/>
      <c r="M51" s="1502"/>
      <c r="N51" s="837"/>
      <c r="O51" s="469" t="str">
        <f>CJ51 &amp; CK51</f>
        <v/>
      </c>
      <c r="P51" s="413"/>
      <c r="Q51" s="413"/>
      <c r="R51" s="413"/>
      <c r="S51" s="413"/>
      <c r="T51" s="413"/>
      <c r="U51" s="413"/>
      <c r="V51" s="413"/>
      <c r="W51" s="413"/>
      <c r="X51" s="413"/>
      <c r="Y51" s="413"/>
      <c r="Z51" s="413"/>
      <c r="AA51" s="413"/>
      <c r="AB51" s="413"/>
      <c r="AC51" s="469"/>
      <c r="AD51" s="469"/>
      <c r="AE51" s="469"/>
      <c r="AF51" s="469"/>
      <c r="AG51" s="469"/>
      <c r="AH51" s="469"/>
      <c r="AI51" s="469"/>
      <c r="AJ51" s="469"/>
      <c r="AK51" s="469"/>
      <c r="AL51" s="469"/>
      <c r="AM51" s="469"/>
      <c r="AN51" s="469"/>
      <c r="AO51" s="469"/>
      <c r="AP51" s="469"/>
      <c r="AQ51" s="469"/>
      <c r="AR51" s="469"/>
      <c r="AS51" s="469"/>
      <c r="AT51" s="469"/>
      <c r="AU51" s="469"/>
      <c r="AV51" s="413"/>
      <c r="AW51" s="413"/>
      <c r="BT51" s="356"/>
      <c r="BU51" s="356"/>
      <c r="BV51" s="356"/>
      <c r="CB51" s="478"/>
      <c r="CJ51" s="465" t="str">
        <f>IF(AND(E51&lt;&gt;0,K51=""), "* No olvide escribir en la celda de Pueblos Originarios (Digite CERO si no tiene). ",IF(AND(F51&lt;&gt;0,L51=""), "* No olvide escribir en la celda de Pueblos Originarios (Digite CERO si no tiene). ",""))</f>
        <v/>
      </c>
      <c r="CK51" s="465" t="str">
        <f>IF(AND(E51&lt;&gt;0,M51=""), "* No olvide escribir en la celda de Población Migrantes (Digite CERO si no tiene). ",IF(AND(F51&lt;&gt;0,N51=""), "* No olvide escribir en la celda de Población Migrantes (Digite CERO si no tiene). ",""))</f>
        <v/>
      </c>
      <c r="DB51" s="470"/>
      <c r="DC51" s="470"/>
      <c r="DD51" s="470"/>
      <c r="DE51" s="470"/>
      <c r="DF51" s="470"/>
      <c r="DG51" s="470"/>
      <c r="DH51" s="470"/>
      <c r="DI51" s="613">
        <f>IF(AND(E51&lt;&gt;0,K51=""), 1,IF(AND(F51&lt;&gt;0,L51=""), 1,0))</f>
        <v>0</v>
      </c>
      <c r="DJ51" s="613">
        <f>IF(AND(E51&lt;&gt;0,M51=""), 1,IF(AND(F51&lt;&gt;0,N51=""), 1,0))</f>
        <v>0</v>
      </c>
      <c r="DK51" s="470"/>
    </row>
    <row r="52" spans="1:115" ht="23.25" customHeight="1" x14ac:dyDescent="0.25">
      <c r="A52" s="1775" t="s">
        <v>915</v>
      </c>
      <c r="B52" s="1990" t="s">
        <v>104</v>
      </c>
      <c r="C52" s="1653" t="s">
        <v>428</v>
      </c>
      <c r="D52" s="1654" t="s">
        <v>1384</v>
      </c>
      <c r="E52" s="1655" t="s">
        <v>1385</v>
      </c>
      <c r="F52" s="1656" t="s">
        <v>1386</v>
      </c>
      <c r="G52" s="875" t="s">
        <v>1387</v>
      </c>
      <c r="H52" s="876" t="s">
        <v>1388</v>
      </c>
      <c r="I52" s="875" t="s">
        <v>1389</v>
      </c>
      <c r="J52" s="881" t="s">
        <v>1390</v>
      </c>
      <c r="K52" s="880" t="s">
        <v>1391</v>
      </c>
      <c r="L52" s="1496" t="s">
        <v>1392</v>
      </c>
      <c r="M52" s="1496" t="s">
        <v>1393</v>
      </c>
      <c r="N52" s="878" t="s">
        <v>1394</v>
      </c>
      <c r="O52" s="469" t="str">
        <f>CJ52 &amp; CK52</f>
        <v/>
      </c>
      <c r="P52" s="413"/>
      <c r="Q52" s="413"/>
      <c r="R52" s="413"/>
      <c r="S52" s="413"/>
      <c r="T52" s="413"/>
      <c r="U52" s="413"/>
      <c r="V52" s="413"/>
      <c r="W52" s="413"/>
      <c r="X52" s="413"/>
      <c r="Y52" s="413"/>
      <c r="Z52" s="413"/>
      <c r="AA52" s="413"/>
      <c r="AB52" s="413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13"/>
      <c r="AW52" s="413"/>
      <c r="BT52" s="356"/>
      <c r="BU52" s="356"/>
      <c r="BV52" s="356"/>
      <c r="CB52" s="478"/>
      <c r="CJ52" s="465" t="str">
        <f>IF(AND(E52&lt;&gt;0,K52=""), "* No olvide escribir en la celda de Pueblos Originarios (Digite CERO si no tiene). ",IF(AND(F52&lt;&gt;0,L52=""), "* No olvide escribir en la celda de Pueblos Originarios (Digite CERO si no tiene). ",""))</f>
        <v/>
      </c>
      <c r="CK52" s="465" t="str">
        <f>IF(AND(E52&lt;&gt;0,M52=""), "* No olvide escribir en la celda de Población Migrantes (Digite CERO si no tiene). ",IF(AND(F52&lt;&gt;0,N52=""), "* No olvide escribir en la celda de Población Migrantes (Digite CERO si no tiene). ",""))</f>
        <v/>
      </c>
      <c r="DB52" s="470"/>
      <c r="DC52" s="470"/>
      <c r="DD52" s="470"/>
      <c r="DE52" s="470"/>
      <c r="DF52" s="470"/>
      <c r="DG52" s="470"/>
      <c r="DH52" s="470"/>
      <c r="DI52" s="613">
        <f>IF(AND(E52&lt;&gt;0,K52=""), 1,IF(AND(F52&lt;&gt;0,L52=""), 1,0))</f>
        <v>0</v>
      </c>
      <c r="DJ52" s="613">
        <f>IF(AND(E52&lt;&gt;0,M52=""), 1,IF(AND(F52&lt;&gt;0,N52=""), 1,0))</f>
        <v>0</v>
      </c>
      <c r="DK52" s="470"/>
    </row>
    <row r="53" spans="1:115" ht="23.25" customHeight="1" x14ac:dyDescent="0.25">
      <c r="A53" s="1775" t="s">
        <v>916</v>
      </c>
      <c r="B53" s="1991"/>
      <c r="C53" s="1657" t="s">
        <v>429</v>
      </c>
      <c r="D53" s="1658" t="s">
        <v>1384</v>
      </c>
      <c r="E53" s="1659" t="s">
        <v>1385</v>
      </c>
      <c r="F53" s="1660" t="s">
        <v>1386</v>
      </c>
      <c r="G53" s="848" t="s">
        <v>1387</v>
      </c>
      <c r="H53" s="851" t="s">
        <v>1388</v>
      </c>
      <c r="I53" s="848" t="s">
        <v>1389</v>
      </c>
      <c r="J53" s="853" t="s">
        <v>1390</v>
      </c>
      <c r="K53" s="852" t="s">
        <v>1391</v>
      </c>
      <c r="L53" s="930" t="s">
        <v>1392</v>
      </c>
      <c r="M53" s="930" t="s">
        <v>1393</v>
      </c>
      <c r="N53" s="849" t="s">
        <v>1394</v>
      </c>
      <c r="O53" s="469" t="str">
        <f>CJ53 &amp; CK53</f>
        <v/>
      </c>
      <c r="P53" s="413"/>
      <c r="Q53" s="413"/>
      <c r="R53" s="413"/>
      <c r="S53" s="413"/>
      <c r="T53" s="413"/>
      <c r="U53" s="413"/>
      <c r="V53" s="413"/>
      <c r="W53" s="413"/>
      <c r="X53" s="413"/>
      <c r="Y53" s="413"/>
      <c r="Z53" s="413"/>
      <c r="AA53" s="413"/>
      <c r="AB53" s="413"/>
      <c r="AC53" s="469"/>
      <c r="AD53" s="469"/>
      <c r="AE53" s="469"/>
      <c r="AF53" s="469"/>
      <c r="AG53" s="469"/>
      <c r="AH53" s="469"/>
      <c r="AI53" s="469"/>
      <c r="AJ53" s="469"/>
      <c r="AK53" s="469"/>
      <c r="AL53" s="469"/>
      <c r="AM53" s="469"/>
      <c r="AN53" s="469"/>
      <c r="AO53" s="469"/>
      <c r="AP53" s="469"/>
      <c r="AQ53" s="469"/>
      <c r="AR53" s="469"/>
      <c r="AS53" s="469"/>
      <c r="AT53" s="469"/>
      <c r="AU53" s="469"/>
      <c r="AV53" s="413"/>
      <c r="AW53" s="413"/>
      <c r="BT53" s="356"/>
      <c r="BU53" s="356"/>
      <c r="BV53" s="356"/>
      <c r="CB53" s="478"/>
      <c r="CJ53" s="465" t="str">
        <f>IF(AND(E53&lt;&gt;0,K53=""), "* No olvide escribir en la celda de Pueblos Originarios (Digite CERO si no tiene). ",IF(AND(F53&lt;&gt;0,L53=""), "* No olvide escribir en la celda de Pueblos Originarios (Digite CERO si no tiene). ",""))</f>
        <v/>
      </c>
      <c r="CK53" s="465" t="str">
        <f>IF(AND(E53&lt;&gt;0,M53=""), "* No olvide escribir en la celda de Población Migrantes (Digite CERO si no tiene). ",IF(AND(F53&lt;&gt;0,N53=""), "* No olvide escribir en la celda de Población Migrantes (Digite CERO si no tiene). ",""))</f>
        <v/>
      </c>
      <c r="DB53" s="470"/>
      <c r="DC53" s="470"/>
      <c r="DD53" s="470"/>
      <c r="DE53" s="470"/>
      <c r="DF53" s="470"/>
      <c r="DG53" s="470"/>
      <c r="DH53" s="470"/>
      <c r="DI53" s="613">
        <f>IF(AND(E53&lt;&gt;0,K53=""), 1,IF(AND(F53&lt;&gt;0,L53=""), 1,0))</f>
        <v>0</v>
      </c>
      <c r="DJ53" s="613">
        <f>IF(AND(E53&lt;&gt;0,M53=""), 1,IF(AND(F53&lt;&gt;0,N53=""), 1,0))</f>
        <v>0</v>
      </c>
      <c r="DK53" s="470"/>
    </row>
    <row r="54" spans="1:115" ht="23.25" customHeight="1" x14ac:dyDescent="0.25">
      <c r="A54" s="1776"/>
      <c r="B54" s="1991"/>
      <c r="C54" s="1661" t="s">
        <v>15</v>
      </c>
      <c r="D54" s="1662">
        <f t="shared" si="19"/>
        <v>0</v>
      </c>
      <c r="E54" s="868">
        <f t="shared" si="20"/>
        <v>0</v>
      </c>
      <c r="F54" s="869">
        <f t="shared" si="21"/>
        <v>0</v>
      </c>
      <c r="G54" s="1670">
        <f>SUM(G52:G53)</f>
        <v>0</v>
      </c>
      <c r="H54" s="1671">
        <f t="shared" ref="H54:N54" si="24">SUM(H52:H53)</f>
        <v>0</v>
      </c>
      <c r="I54" s="1670">
        <f t="shared" si="24"/>
        <v>0</v>
      </c>
      <c r="J54" s="1672">
        <f t="shared" si="24"/>
        <v>0</v>
      </c>
      <c r="K54" s="1673">
        <f t="shared" si="24"/>
        <v>0</v>
      </c>
      <c r="L54" s="1674">
        <f t="shared" si="24"/>
        <v>0</v>
      </c>
      <c r="M54" s="1674">
        <f t="shared" si="24"/>
        <v>0</v>
      </c>
      <c r="N54" s="1675">
        <f t="shared" si="24"/>
        <v>0</v>
      </c>
      <c r="O54" s="125" t="str">
        <f xml:space="preserve"> CG54 &amp; CH54</f>
        <v/>
      </c>
      <c r="P54" s="413"/>
      <c r="Q54" s="413"/>
      <c r="R54" s="413"/>
      <c r="S54" s="413"/>
      <c r="T54" s="413"/>
      <c r="U54" s="413"/>
      <c r="V54" s="413"/>
      <c r="W54" s="413"/>
      <c r="X54" s="413"/>
      <c r="Y54" s="413"/>
      <c r="Z54" s="413"/>
      <c r="AA54" s="413"/>
      <c r="AB54" s="413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13"/>
      <c r="AW54" s="413"/>
      <c r="BT54" s="356"/>
      <c r="BU54" s="356"/>
      <c r="BV54" s="356"/>
      <c r="CB54" s="478"/>
      <c r="CG54" s="465" t="str">
        <f>IF($D54&gt;=$K54+$L54,"","* El Total de Pueblos Originarios no debe ser mayor al total de niños en control. ")</f>
        <v/>
      </c>
      <c r="CH54" s="465" t="str">
        <f>IF($D54&gt;=$M54+$N54,"","* El Total de Pueblación Migrantes no debe ser mayor al total de niños en control. ")</f>
        <v/>
      </c>
      <c r="DB54" s="470"/>
      <c r="DC54" s="470"/>
      <c r="DD54" s="470"/>
      <c r="DE54" s="470"/>
      <c r="DF54" s="486">
        <f>IF($D54&gt;=$K54+$L54,0,1)</f>
        <v>0</v>
      </c>
      <c r="DG54" s="486">
        <f>IF($D54&gt;=$M54+$N54,0,1)</f>
        <v>0</v>
      </c>
      <c r="DH54" s="470"/>
      <c r="DI54" s="470"/>
      <c r="DJ54" s="470"/>
      <c r="DK54" s="470"/>
    </row>
    <row r="55" spans="1:115" ht="23.25" customHeight="1" x14ac:dyDescent="0.25">
      <c r="A55" s="1775" t="s">
        <v>917</v>
      </c>
      <c r="B55" s="1991"/>
      <c r="C55" s="1663" t="s">
        <v>430</v>
      </c>
      <c r="D55" s="1654" t="s">
        <v>1384</v>
      </c>
      <c r="E55" s="1655" t="s">
        <v>1385</v>
      </c>
      <c r="F55" s="1656" t="s">
        <v>1386</v>
      </c>
      <c r="G55" s="875" t="s">
        <v>1387</v>
      </c>
      <c r="H55" s="876" t="s">
        <v>1388</v>
      </c>
      <c r="I55" s="875" t="s">
        <v>1389</v>
      </c>
      <c r="J55" s="881" t="s">
        <v>1390</v>
      </c>
      <c r="K55" s="880" t="s">
        <v>1391</v>
      </c>
      <c r="L55" s="1496" t="s">
        <v>1392</v>
      </c>
      <c r="M55" s="1496" t="s">
        <v>1393</v>
      </c>
      <c r="N55" s="878" t="s">
        <v>1394</v>
      </c>
      <c r="O55" s="469" t="str">
        <f>CJ55 &amp; CK55</f>
        <v/>
      </c>
      <c r="P55" s="413"/>
      <c r="Q55" s="413"/>
      <c r="R55" s="413"/>
      <c r="S55" s="413"/>
      <c r="T55" s="413"/>
      <c r="U55" s="413"/>
      <c r="V55" s="413"/>
      <c r="W55" s="413"/>
      <c r="X55" s="413"/>
      <c r="Y55" s="413"/>
      <c r="Z55" s="413"/>
      <c r="AA55" s="413"/>
      <c r="AB55" s="413"/>
      <c r="AC55" s="469"/>
      <c r="AD55" s="469"/>
      <c r="AE55" s="469"/>
      <c r="AF55" s="469"/>
      <c r="AG55" s="469"/>
      <c r="AH55" s="469"/>
      <c r="AI55" s="469"/>
      <c r="AJ55" s="469"/>
      <c r="AK55" s="469"/>
      <c r="AL55" s="469"/>
      <c r="AM55" s="469"/>
      <c r="AN55" s="469"/>
      <c r="AO55" s="469"/>
      <c r="AP55" s="469"/>
      <c r="AQ55" s="469"/>
      <c r="AR55" s="469"/>
      <c r="AS55" s="469"/>
      <c r="AT55" s="469"/>
      <c r="AU55" s="469"/>
      <c r="AV55" s="413"/>
      <c r="AW55" s="413"/>
      <c r="BT55" s="356"/>
      <c r="BU55" s="356"/>
      <c r="BV55" s="356"/>
      <c r="CB55" s="478"/>
      <c r="CJ55" s="465" t="str">
        <f>IF(AND(E55&lt;&gt;0,K55=""), "* No olvide escribir en la celda de Pueblos Originarios (Digite CERO si no tiene). ",IF(AND(F55&lt;&gt;0,L55=""), "* No olvide escribir en la celda de Pueblos Originarios (Digite CERO si no tiene). ",""))</f>
        <v/>
      </c>
      <c r="CK55" s="465" t="str">
        <f>IF(AND(E55&lt;&gt;0,M55=""), "* No olvide escribir en la celda de Población Migrantes (Digite CERO si no tiene). ",IF(AND(F55&lt;&gt;0,N55=""), "* No olvide escribir en la celda de Población Migrantes (Digite CERO si no tiene). ",""))</f>
        <v/>
      </c>
      <c r="DB55" s="470"/>
      <c r="DC55" s="470"/>
      <c r="DD55" s="470"/>
      <c r="DE55" s="470"/>
      <c r="DF55" s="470"/>
      <c r="DG55" s="470"/>
      <c r="DH55" s="470"/>
      <c r="DI55" s="613">
        <f>IF(AND(E55&lt;&gt;0,K55=""), 1,IF(AND(F55&lt;&gt;0,L55=""), 1,0))</f>
        <v>0</v>
      </c>
      <c r="DJ55" s="613">
        <f>IF(AND(E55&lt;&gt;0,M55=""), 1,IF(AND(F55&lt;&gt;0,N55=""), 1,0))</f>
        <v>0</v>
      </c>
      <c r="DK55" s="470"/>
    </row>
    <row r="56" spans="1:115" ht="23.25" customHeight="1" x14ac:dyDescent="0.25">
      <c r="A56" s="1775" t="s">
        <v>918</v>
      </c>
      <c r="B56" s="1991"/>
      <c r="C56" s="1657" t="s">
        <v>426</v>
      </c>
      <c r="D56" s="1658" t="s">
        <v>1384</v>
      </c>
      <c r="E56" s="1659" t="s">
        <v>1385</v>
      </c>
      <c r="F56" s="1660" t="s">
        <v>1386</v>
      </c>
      <c r="G56" s="848" t="s">
        <v>1387</v>
      </c>
      <c r="H56" s="851" t="s">
        <v>1388</v>
      </c>
      <c r="I56" s="848" t="s">
        <v>1389</v>
      </c>
      <c r="J56" s="853" t="s">
        <v>1390</v>
      </c>
      <c r="K56" s="852" t="s">
        <v>1391</v>
      </c>
      <c r="L56" s="930" t="s">
        <v>1392</v>
      </c>
      <c r="M56" s="930" t="s">
        <v>1393</v>
      </c>
      <c r="N56" s="849" t="s">
        <v>1394</v>
      </c>
      <c r="O56" s="469" t="str">
        <f>CJ56 &amp; CK56</f>
        <v/>
      </c>
      <c r="P56" s="413"/>
      <c r="Q56" s="413"/>
      <c r="R56" s="413"/>
      <c r="S56" s="413"/>
      <c r="T56" s="413"/>
      <c r="U56" s="413"/>
      <c r="V56" s="413"/>
      <c r="W56" s="413"/>
      <c r="X56" s="413"/>
      <c r="Y56" s="413"/>
      <c r="Z56" s="413"/>
      <c r="AA56" s="413"/>
      <c r="AB56" s="413"/>
      <c r="AC56" s="469"/>
      <c r="AD56" s="469"/>
      <c r="AE56" s="469"/>
      <c r="AF56" s="469"/>
      <c r="AG56" s="469"/>
      <c r="AH56" s="469"/>
      <c r="AI56" s="469"/>
      <c r="AJ56" s="469"/>
      <c r="AK56" s="469"/>
      <c r="AL56" s="469"/>
      <c r="AM56" s="469"/>
      <c r="AN56" s="469"/>
      <c r="AO56" s="469"/>
      <c r="AP56" s="469"/>
      <c r="AQ56" s="469"/>
      <c r="AR56" s="469"/>
      <c r="AS56" s="469"/>
      <c r="AT56" s="469"/>
      <c r="AU56" s="469"/>
      <c r="AV56" s="413"/>
      <c r="AW56" s="413"/>
      <c r="BT56" s="356"/>
      <c r="BU56" s="356"/>
      <c r="BV56" s="356"/>
      <c r="CB56" s="478"/>
      <c r="CJ56" s="465" t="str">
        <f>IF(AND(E56&lt;&gt;0,K56=""), "* No olvide escribir en la celda de Pueblos Originarios (Digite CERO si no tiene). ",IF(AND(F56&lt;&gt;0,L56=""), "* No olvide escribir en la celda de Pueblos Originarios (Digite CERO si no tiene). ",""))</f>
        <v/>
      </c>
      <c r="CK56" s="465" t="str">
        <f>IF(AND(E56&lt;&gt;0,M56=""), "* No olvide escribir en la celda de Población Migrantes (Digite CERO si no tiene). ",IF(AND(F56&lt;&gt;0,N56=""), "* No olvide escribir en la celda de Población Migrantes (Digite CERO si no tiene). ",""))</f>
        <v/>
      </c>
      <c r="DB56" s="470"/>
      <c r="DC56" s="470"/>
      <c r="DD56" s="470"/>
      <c r="DE56" s="470"/>
      <c r="DF56" s="470"/>
      <c r="DG56" s="470"/>
      <c r="DH56" s="470"/>
      <c r="DI56" s="613">
        <f>IF(AND(E56&lt;&gt;0,K56=""), 1,IF(AND(F56&lt;&gt;0,L56=""), 1,0))</f>
        <v>0</v>
      </c>
      <c r="DJ56" s="613">
        <f>IF(AND(E56&lt;&gt;0,M56=""), 1,IF(AND(F56&lt;&gt;0,N56=""), 1,0))</f>
        <v>0</v>
      </c>
      <c r="DK56" s="470"/>
    </row>
    <row r="57" spans="1:115" ht="23.25" customHeight="1" x14ac:dyDescent="0.25">
      <c r="A57" s="1776"/>
      <c r="B57" s="1991"/>
      <c r="C57" s="1661" t="s">
        <v>15</v>
      </c>
      <c r="D57" s="1662">
        <f t="shared" si="19"/>
        <v>0</v>
      </c>
      <c r="E57" s="868">
        <f t="shared" si="20"/>
        <v>0</v>
      </c>
      <c r="F57" s="869">
        <f t="shared" si="21"/>
        <v>0</v>
      </c>
      <c r="G57" s="1670">
        <f>SUM(G55:G56)</f>
        <v>0</v>
      </c>
      <c r="H57" s="1671">
        <f t="shared" ref="H57:N57" si="25">SUM(H55:H56)</f>
        <v>0</v>
      </c>
      <c r="I57" s="1670">
        <f t="shared" si="25"/>
        <v>0</v>
      </c>
      <c r="J57" s="1672">
        <f t="shared" si="25"/>
        <v>0</v>
      </c>
      <c r="K57" s="1673">
        <f t="shared" si="25"/>
        <v>0</v>
      </c>
      <c r="L57" s="1674">
        <f t="shared" si="25"/>
        <v>0</v>
      </c>
      <c r="M57" s="1674">
        <f t="shared" si="25"/>
        <v>0</v>
      </c>
      <c r="N57" s="1675">
        <f t="shared" si="25"/>
        <v>0</v>
      </c>
      <c r="O57" s="125" t="str">
        <f xml:space="preserve"> CG57 &amp; CH57</f>
        <v/>
      </c>
      <c r="P57" s="413"/>
      <c r="Q57" s="413"/>
      <c r="R57" s="413"/>
      <c r="S57" s="413"/>
      <c r="T57" s="413"/>
      <c r="U57" s="413"/>
      <c r="V57" s="413"/>
      <c r="W57" s="413"/>
      <c r="X57" s="413"/>
      <c r="Y57" s="413"/>
      <c r="Z57" s="413"/>
      <c r="AA57" s="413"/>
      <c r="AB57" s="413"/>
      <c r="AC57" s="469"/>
      <c r="AD57" s="469"/>
      <c r="AE57" s="469"/>
      <c r="AF57" s="469"/>
      <c r="AG57" s="469"/>
      <c r="AH57" s="469"/>
      <c r="AI57" s="469"/>
      <c r="AJ57" s="469"/>
      <c r="AK57" s="469"/>
      <c r="AL57" s="469"/>
      <c r="AM57" s="469"/>
      <c r="AN57" s="469"/>
      <c r="AO57" s="469"/>
      <c r="AP57" s="469"/>
      <c r="AQ57" s="469"/>
      <c r="AR57" s="469"/>
      <c r="AS57" s="469"/>
      <c r="AT57" s="469"/>
      <c r="AU57" s="469"/>
      <c r="AV57" s="413"/>
      <c r="AW57" s="413"/>
      <c r="BT57" s="356"/>
      <c r="BU57" s="356"/>
      <c r="BV57" s="356"/>
      <c r="CB57" s="478"/>
      <c r="CG57" s="465" t="str">
        <f>IF($D57&gt;=$K57+$L57,"","* El Total de Pueblos Originarios no debe ser mayor al total de niños en control. ")</f>
        <v/>
      </c>
      <c r="CH57" s="465" t="str">
        <f>IF($D57&gt;=$M57+$N57,"","* El Total de Pueblación Migrantes no debe ser mayor al total de niños en control. ")</f>
        <v/>
      </c>
      <c r="DB57" s="470"/>
      <c r="DC57" s="470"/>
      <c r="DD57" s="470"/>
      <c r="DE57" s="470"/>
      <c r="DF57" s="486">
        <f>IF($D57&gt;=$K57+$L57,0,1)</f>
        <v>0</v>
      </c>
      <c r="DG57" s="486">
        <f>IF($D57&gt;=$M57+$N57,0,1)</f>
        <v>0</v>
      </c>
      <c r="DH57" s="470"/>
      <c r="DI57" s="470"/>
      <c r="DJ57" s="470"/>
      <c r="DK57" s="470"/>
    </row>
    <row r="58" spans="1:115" ht="23.25" customHeight="1" x14ac:dyDescent="0.25">
      <c r="A58" s="1775" t="s">
        <v>919</v>
      </c>
      <c r="B58" s="1992"/>
      <c r="C58" s="1664" t="s">
        <v>427</v>
      </c>
      <c r="D58" s="1665" t="s">
        <v>1384</v>
      </c>
      <c r="E58" s="1666" t="s">
        <v>1385</v>
      </c>
      <c r="F58" s="1667" t="s">
        <v>1386</v>
      </c>
      <c r="G58" s="833" t="s">
        <v>1387</v>
      </c>
      <c r="H58" s="876" t="s">
        <v>1388</v>
      </c>
      <c r="I58" s="833" t="s">
        <v>1389</v>
      </c>
      <c r="J58" s="1669" t="s">
        <v>1390</v>
      </c>
      <c r="K58" s="884" t="s">
        <v>1391</v>
      </c>
      <c r="L58" s="1505" t="s">
        <v>1392</v>
      </c>
      <c r="M58" s="1505" t="s">
        <v>1393</v>
      </c>
      <c r="N58" s="834" t="s">
        <v>1394</v>
      </c>
      <c r="O58" s="469" t="str">
        <f>CJ58 &amp; CK58</f>
        <v/>
      </c>
      <c r="P58" s="413"/>
      <c r="Q58" s="413"/>
      <c r="R58" s="413"/>
      <c r="S58" s="413"/>
      <c r="T58" s="413"/>
      <c r="U58" s="413"/>
      <c r="V58" s="413"/>
      <c r="W58" s="413"/>
      <c r="X58" s="413"/>
      <c r="Y58" s="413"/>
      <c r="Z58" s="413"/>
      <c r="AA58" s="413"/>
      <c r="AB58" s="413"/>
      <c r="AC58" s="469"/>
      <c r="AD58" s="469"/>
      <c r="AE58" s="469"/>
      <c r="AF58" s="469"/>
      <c r="AG58" s="469"/>
      <c r="AH58" s="469"/>
      <c r="AI58" s="469"/>
      <c r="AJ58" s="469"/>
      <c r="AK58" s="469"/>
      <c r="AL58" s="469"/>
      <c r="AM58" s="469"/>
      <c r="AN58" s="469"/>
      <c r="AO58" s="469"/>
      <c r="AP58" s="469"/>
      <c r="AQ58" s="469"/>
      <c r="AR58" s="469"/>
      <c r="AS58" s="469"/>
      <c r="AT58" s="469"/>
      <c r="AU58" s="469"/>
      <c r="AV58" s="413"/>
      <c r="AW58" s="413"/>
      <c r="BT58" s="356"/>
      <c r="BU58" s="356"/>
      <c r="BV58" s="356"/>
      <c r="CB58" s="478"/>
      <c r="CJ58" s="465" t="str">
        <f>IF(AND(E58&lt;&gt;0,K58=""), "* No olvide escribir en la celda de Pueblos Originarios (Digite CERO si no tiene). ",IF(AND(F58&lt;&gt;0,L58=""), "* No olvide escribir en la celda de Pueblos Originarios (Digite CERO si no tiene). ",""))</f>
        <v/>
      </c>
      <c r="CK58" s="465" t="str">
        <f>IF(AND(E58&lt;&gt;0,M58=""), "* No olvide escribir en la celda de Población Migrantes (Digite CERO si no tiene). ",IF(AND(F58&lt;&gt;0,N58=""), "* No olvide escribir en la celda de Población Migrantes (Digite CERO si no tiene). ",""))</f>
        <v/>
      </c>
      <c r="DB58" s="470"/>
      <c r="DC58" s="470"/>
      <c r="DD58" s="470"/>
      <c r="DE58" s="470"/>
      <c r="DF58" s="470"/>
      <c r="DG58" s="470"/>
      <c r="DH58" s="470"/>
      <c r="DI58" s="613">
        <f>IF(AND(E58&lt;&gt;0,K58=""), 1,IF(AND(F58&lt;&gt;0,L58=""), 1,0))</f>
        <v>0</v>
      </c>
      <c r="DJ58" s="613">
        <f>IF(AND(E58&lt;&gt;0,M58=""), 1,IF(AND(F58&lt;&gt;0,N58=""), 1,0))</f>
        <v>0</v>
      </c>
      <c r="DK58" s="470"/>
    </row>
    <row r="59" spans="1:115" ht="23.25" customHeight="1" x14ac:dyDescent="0.25">
      <c r="A59" s="1775" t="s">
        <v>920</v>
      </c>
      <c r="B59" s="1993" t="s">
        <v>431</v>
      </c>
      <c r="C59" s="122" t="s">
        <v>432</v>
      </c>
      <c r="D59" s="885" t="s">
        <v>1384</v>
      </c>
      <c r="E59" s="914" t="s">
        <v>1385</v>
      </c>
      <c r="F59" s="915" t="s">
        <v>1386</v>
      </c>
      <c r="G59" s="842" t="s">
        <v>1387</v>
      </c>
      <c r="H59" s="843" t="s">
        <v>1388</v>
      </c>
      <c r="I59" s="842" t="s">
        <v>1389</v>
      </c>
      <c r="J59" s="844" t="s">
        <v>1390</v>
      </c>
      <c r="K59" s="846" t="s">
        <v>1391</v>
      </c>
      <c r="L59" s="926" t="s">
        <v>1392</v>
      </c>
      <c r="M59" s="845" t="s">
        <v>1393</v>
      </c>
      <c r="N59" s="843" t="s">
        <v>1394</v>
      </c>
      <c r="O59" s="469" t="str">
        <f>CJ59 &amp; CK59</f>
        <v/>
      </c>
      <c r="P59" s="413"/>
      <c r="Q59" s="413"/>
      <c r="R59" s="413"/>
      <c r="S59" s="413"/>
      <c r="T59" s="413"/>
      <c r="U59" s="413"/>
      <c r="V59" s="413"/>
      <c r="W59" s="413"/>
      <c r="X59" s="413"/>
      <c r="Y59" s="413"/>
      <c r="Z59" s="413"/>
      <c r="AA59" s="413"/>
      <c r="AB59" s="413"/>
      <c r="AC59" s="469"/>
      <c r="AD59" s="469"/>
      <c r="AE59" s="469"/>
      <c r="AF59" s="469"/>
      <c r="AG59" s="469"/>
      <c r="AH59" s="469"/>
      <c r="AI59" s="469"/>
      <c r="AJ59" s="469"/>
      <c r="AK59" s="469"/>
      <c r="AL59" s="469"/>
      <c r="AM59" s="469"/>
      <c r="AN59" s="469"/>
      <c r="AO59" s="469"/>
      <c r="AP59" s="469"/>
      <c r="AQ59" s="469"/>
      <c r="AR59" s="469"/>
      <c r="AS59" s="469"/>
      <c r="AT59" s="469"/>
      <c r="AU59" s="469"/>
      <c r="AV59" s="413"/>
      <c r="AW59" s="413"/>
      <c r="BT59" s="356"/>
      <c r="BU59" s="356"/>
      <c r="BV59" s="356"/>
      <c r="CB59" s="478"/>
      <c r="CJ59" s="465" t="str">
        <f>IF(AND(E59&lt;&gt;0,K59=""), "* No olvide escribir en la celda de Pueblos Originarios (Digite CERO si no tiene). ",IF(AND(F59&lt;&gt;0,L59=""), "* No olvide escribir en la celda de Pueblos Originarios (Digite CERO si no tiene). ",""))</f>
        <v/>
      </c>
      <c r="CK59" s="465" t="str">
        <f>IF(AND(E59&lt;&gt;0,M59=""), "* No olvide escribir en la celda de Población Migrantes (Digite CERO si no tiene). ",IF(AND(F59&lt;&gt;0,N59=""), "* No olvide escribir en la celda de Población Migrantes (Digite CERO si no tiene). ",""))</f>
        <v/>
      </c>
      <c r="DB59" s="470"/>
      <c r="DC59" s="470"/>
      <c r="DD59" s="470"/>
      <c r="DE59" s="470"/>
      <c r="DF59" s="470"/>
      <c r="DG59" s="470"/>
      <c r="DH59" s="470"/>
      <c r="DI59" s="613">
        <f>IF(AND(E59&lt;&gt;0,K59=""), 1,IF(AND(F59&lt;&gt;0,L59=""), 1,0))</f>
        <v>0</v>
      </c>
      <c r="DJ59" s="613">
        <f>IF(AND(E59&lt;&gt;0,M59=""), 1,IF(AND(F59&lt;&gt;0,N59=""), 1,0))</f>
        <v>0</v>
      </c>
      <c r="DK59" s="470"/>
    </row>
    <row r="60" spans="1:115" ht="23.25" customHeight="1" x14ac:dyDescent="0.25">
      <c r="A60" s="1775" t="s">
        <v>921</v>
      </c>
      <c r="B60" s="1994"/>
      <c r="C60" s="117" t="s">
        <v>433</v>
      </c>
      <c r="D60" s="886" t="s">
        <v>1384</v>
      </c>
      <c r="E60" s="910" t="s">
        <v>1385</v>
      </c>
      <c r="F60" s="911" t="s">
        <v>1386</v>
      </c>
      <c r="G60" s="888" t="s">
        <v>1387</v>
      </c>
      <c r="H60" s="889" t="s">
        <v>1388</v>
      </c>
      <c r="I60" s="888" t="s">
        <v>1389</v>
      </c>
      <c r="J60" s="890" t="s">
        <v>1390</v>
      </c>
      <c r="K60" s="892" t="s">
        <v>1391</v>
      </c>
      <c r="L60" s="927" t="s">
        <v>1392</v>
      </c>
      <c r="M60" s="891" t="s">
        <v>1393</v>
      </c>
      <c r="N60" s="889" t="s">
        <v>1394</v>
      </c>
      <c r="O60" s="469" t="str">
        <f>CJ60 &amp; CK60</f>
        <v/>
      </c>
      <c r="P60" s="413"/>
      <c r="Q60" s="413"/>
      <c r="R60" s="413"/>
      <c r="S60" s="413"/>
      <c r="T60" s="413"/>
      <c r="U60" s="413"/>
      <c r="V60" s="413"/>
      <c r="W60" s="413"/>
      <c r="X60" s="413"/>
      <c r="Y60" s="413"/>
      <c r="Z60" s="413"/>
      <c r="AA60" s="413"/>
      <c r="AB60" s="413"/>
      <c r="AC60" s="469"/>
      <c r="AD60" s="469"/>
      <c r="AE60" s="469"/>
      <c r="AF60" s="469"/>
      <c r="AG60" s="469"/>
      <c r="AH60" s="469"/>
      <c r="AI60" s="469"/>
      <c r="AJ60" s="469"/>
      <c r="AK60" s="469"/>
      <c r="AL60" s="469"/>
      <c r="AM60" s="469"/>
      <c r="AN60" s="469"/>
      <c r="AO60" s="469"/>
      <c r="AP60" s="469"/>
      <c r="AQ60" s="469"/>
      <c r="AR60" s="469"/>
      <c r="AS60" s="469"/>
      <c r="AT60" s="469"/>
      <c r="AU60" s="469"/>
      <c r="AV60" s="413"/>
      <c r="AW60" s="413"/>
      <c r="BT60" s="356"/>
      <c r="BU60" s="356"/>
      <c r="BV60" s="356"/>
      <c r="CB60" s="478"/>
      <c r="CJ60" s="465" t="str">
        <f>IF(AND(E60&lt;&gt;0,K60=""), "* No olvide escribir en la celda de Pueblos Originarios (Digite CERO si no tiene). ",IF(AND(F60&lt;&gt;0,L60=""), "* No olvide escribir en la celda de Pueblos Originarios (Digite CERO si no tiene). ",""))</f>
        <v/>
      </c>
      <c r="CK60" s="465" t="str">
        <f>IF(AND(E60&lt;&gt;0,M60=""), "* No olvide escribir en la celda de Población Migrantes (Digite CERO si no tiene). ",IF(AND(F60&lt;&gt;0,N60=""), "* No olvide escribir en la celda de Población Migrantes (Digite CERO si no tiene). ",""))</f>
        <v/>
      </c>
      <c r="DB60" s="470"/>
      <c r="DC60" s="470"/>
      <c r="DD60" s="470"/>
      <c r="DE60" s="470"/>
      <c r="DF60" s="470"/>
      <c r="DG60" s="470"/>
      <c r="DH60" s="470"/>
      <c r="DI60" s="613">
        <f>IF(AND(E60&lt;&gt;0,K60=""), 1,IF(AND(F60&lt;&gt;0,L60=""), 1,0))</f>
        <v>0</v>
      </c>
      <c r="DJ60" s="613">
        <f>IF(AND(E60&lt;&gt;0,M60=""), 1,IF(AND(F60&lt;&gt;0,N60=""), 1,0))</f>
        <v>0</v>
      </c>
      <c r="DK60" s="470"/>
    </row>
    <row r="61" spans="1:115" ht="23.25" customHeight="1" x14ac:dyDescent="0.25">
      <c r="A61" s="1775" t="s">
        <v>922</v>
      </c>
      <c r="B61" s="1994"/>
      <c r="C61" s="118" t="s">
        <v>434</v>
      </c>
      <c r="D61" s="894" t="s">
        <v>1384</v>
      </c>
      <c r="E61" s="912" t="s">
        <v>1385</v>
      </c>
      <c r="F61" s="913" t="s">
        <v>1386</v>
      </c>
      <c r="G61" s="848" t="s">
        <v>1387</v>
      </c>
      <c r="H61" s="849" t="s">
        <v>1388</v>
      </c>
      <c r="I61" s="848" t="s">
        <v>1389</v>
      </c>
      <c r="J61" s="850" t="s">
        <v>1390</v>
      </c>
      <c r="K61" s="852" t="s">
        <v>1391</v>
      </c>
      <c r="L61" s="930" t="s">
        <v>1392</v>
      </c>
      <c r="M61" s="851" t="s">
        <v>1393</v>
      </c>
      <c r="N61" s="849" t="s">
        <v>1394</v>
      </c>
      <c r="O61" s="469" t="str">
        <f>CJ61 &amp; CK61</f>
        <v/>
      </c>
      <c r="P61" s="413"/>
      <c r="Q61" s="413"/>
      <c r="R61" s="413"/>
      <c r="S61" s="413"/>
      <c r="T61" s="413"/>
      <c r="U61" s="413"/>
      <c r="V61" s="413"/>
      <c r="W61" s="413"/>
      <c r="X61" s="413"/>
      <c r="Y61" s="413"/>
      <c r="Z61" s="413"/>
      <c r="AA61" s="413"/>
      <c r="AB61" s="413"/>
      <c r="AC61" s="469"/>
      <c r="AD61" s="469"/>
      <c r="AE61" s="469"/>
      <c r="AF61" s="469"/>
      <c r="AG61" s="469"/>
      <c r="AH61" s="469"/>
      <c r="AI61" s="469"/>
      <c r="AJ61" s="469"/>
      <c r="AK61" s="469"/>
      <c r="AL61" s="469"/>
      <c r="AM61" s="469"/>
      <c r="AN61" s="469"/>
      <c r="AO61" s="469"/>
      <c r="AP61" s="469"/>
      <c r="AQ61" s="469"/>
      <c r="AR61" s="469"/>
      <c r="AS61" s="469"/>
      <c r="AT61" s="469"/>
      <c r="AU61" s="469"/>
      <c r="AV61" s="413"/>
      <c r="AW61" s="413"/>
      <c r="BT61" s="356"/>
      <c r="BU61" s="356"/>
      <c r="BV61" s="356"/>
      <c r="CB61" s="478"/>
      <c r="CJ61" s="465" t="str">
        <f>IF(AND(E61&lt;&gt;0,K61=""), "* No olvide escribir en la celda de Pueblos Originarios (Digite CERO si no tiene). ",IF(AND(F61&lt;&gt;0,L61=""), "* No olvide escribir en la celda de Pueblos Originarios (Digite CERO si no tiene). ",""))</f>
        <v/>
      </c>
      <c r="CK61" s="465" t="str">
        <f>IF(AND(E61&lt;&gt;0,M61=""), "* No olvide escribir en la celda de Población Migrantes (Digite CERO si no tiene). ",IF(AND(F61&lt;&gt;0,N61=""), "* No olvide escribir en la celda de Población Migrantes (Digite CERO si no tiene). ",""))</f>
        <v/>
      </c>
      <c r="DB61" s="470"/>
      <c r="DC61" s="470"/>
      <c r="DD61" s="470"/>
      <c r="DE61" s="470"/>
      <c r="DF61" s="470"/>
      <c r="DG61" s="470"/>
      <c r="DH61" s="470"/>
      <c r="DI61" s="613">
        <f>IF(AND(E61&lt;&gt;0,K61=""), 1,IF(AND(F61&lt;&gt;0,L61=""), 1,0))</f>
        <v>0</v>
      </c>
      <c r="DJ61" s="613">
        <f>IF(AND(E61&lt;&gt;0,M61=""), 1,IF(AND(F61&lt;&gt;0,N61=""), 1,0))</f>
        <v>0</v>
      </c>
      <c r="DK61" s="470"/>
    </row>
    <row r="62" spans="1:115" ht="23.25" customHeight="1" x14ac:dyDescent="0.25">
      <c r="A62" s="1776"/>
      <c r="B62" s="1995"/>
      <c r="C62" s="120" t="s">
        <v>15</v>
      </c>
      <c r="D62" s="867">
        <f>+E62+F62</f>
        <v>0</v>
      </c>
      <c r="E62" s="855">
        <f>+G62+I62</f>
        <v>0</v>
      </c>
      <c r="F62" s="864">
        <f t="shared" si="21"/>
        <v>0</v>
      </c>
      <c r="G62" s="916">
        <f>SUM(G59:G61)</f>
        <v>0</v>
      </c>
      <c r="H62" s="917">
        <f t="shared" ref="H62:N62" si="26">SUM(H59:H61)</f>
        <v>0</v>
      </c>
      <c r="I62" s="868">
        <f t="shared" si="26"/>
        <v>0</v>
      </c>
      <c r="J62" s="870">
        <f t="shared" si="26"/>
        <v>0</v>
      </c>
      <c r="K62" s="874">
        <f t="shared" si="26"/>
        <v>0</v>
      </c>
      <c r="L62" s="1500">
        <f t="shared" si="26"/>
        <v>0</v>
      </c>
      <c r="M62" s="1499">
        <f t="shared" si="26"/>
        <v>0</v>
      </c>
      <c r="N62" s="871">
        <f t="shared" si="26"/>
        <v>0</v>
      </c>
      <c r="O62" s="125" t="str">
        <f xml:space="preserve"> CG62 &amp; CH62</f>
        <v/>
      </c>
      <c r="P62" s="413"/>
      <c r="Q62" s="413"/>
      <c r="R62" s="413"/>
      <c r="S62" s="413"/>
      <c r="T62" s="413"/>
      <c r="U62" s="413"/>
      <c r="V62" s="413"/>
      <c r="W62" s="413"/>
      <c r="X62" s="413"/>
      <c r="Y62" s="413"/>
      <c r="Z62" s="413"/>
      <c r="AA62" s="413"/>
      <c r="AB62" s="413"/>
      <c r="AC62" s="469"/>
      <c r="AD62" s="469"/>
      <c r="AE62" s="469"/>
      <c r="AF62" s="469"/>
      <c r="AG62" s="469"/>
      <c r="AH62" s="469"/>
      <c r="AI62" s="469"/>
      <c r="AJ62" s="469"/>
      <c r="AK62" s="469"/>
      <c r="AL62" s="469"/>
      <c r="AM62" s="469"/>
      <c r="AN62" s="469"/>
      <c r="AO62" s="469"/>
      <c r="AP62" s="469"/>
      <c r="AQ62" s="469"/>
      <c r="AR62" s="469"/>
      <c r="AS62" s="469"/>
      <c r="AT62" s="469"/>
      <c r="AU62" s="469"/>
      <c r="AV62" s="413"/>
      <c r="AW62" s="413"/>
      <c r="BT62" s="356"/>
      <c r="BU62" s="356"/>
      <c r="BV62" s="356"/>
      <c r="CB62" s="478"/>
      <c r="CG62" s="465" t="str">
        <f>IF($D62&gt;=$K62+$L62,"","* El Total de Pueblos Originarios no debe ser mayor al total de niños en control. ")</f>
        <v/>
      </c>
      <c r="CH62" s="465" t="str">
        <f>IF($D62&gt;=$M62+$N62,"","* El Total de Pueblación Migrantes no debe ser mayor al total de niños en control. ")</f>
        <v/>
      </c>
      <c r="DB62" s="470"/>
      <c r="DC62" s="470"/>
      <c r="DD62" s="470"/>
      <c r="DE62" s="470"/>
      <c r="DF62" s="486">
        <f>IF($D62&gt;=$K62+$L62,0,1)</f>
        <v>0</v>
      </c>
      <c r="DG62" s="486">
        <f>IF($D62&gt;=$M62+$N62,0,1)</f>
        <v>0</v>
      </c>
      <c r="DH62" s="470"/>
      <c r="DI62" s="470"/>
      <c r="DJ62" s="470"/>
      <c r="DK62" s="470"/>
    </row>
    <row r="63" spans="1:115" ht="22.5" customHeight="1" x14ac:dyDescent="0.25">
      <c r="A63" s="1775" t="s">
        <v>923</v>
      </c>
      <c r="B63" s="1966" t="s">
        <v>105</v>
      </c>
      <c r="C63" s="122" t="s">
        <v>435</v>
      </c>
      <c r="D63" s="885" t="s">
        <v>1384</v>
      </c>
      <c r="E63" s="914" t="s">
        <v>1385</v>
      </c>
      <c r="F63" s="915" t="s">
        <v>1386</v>
      </c>
      <c r="G63" s="842" t="s">
        <v>1387</v>
      </c>
      <c r="H63" s="843" t="s">
        <v>1388</v>
      </c>
      <c r="I63" s="842" t="s">
        <v>1389</v>
      </c>
      <c r="J63" s="844" t="s">
        <v>1390</v>
      </c>
      <c r="K63" s="846" t="s">
        <v>1391</v>
      </c>
      <c r="L63" s="926" t="s">
        <v>1392</v>
      </c>
      <c r="M63" s="845" t="s">
        <v>1393</v>
      </c>
      <c r="N63" s="843" t="s">
        <v>1394</v>
      </c>
      <c r="O63" s="469" t="str">
        <f t="shared" ref="O63:O68" si="27">CJ63 &amp; CK63</f>
        <v/>
      </c>
      <c r="P63" s="413"/>
      <c r="Q63" s="413"/>
      <c r="R63" s="413"/>
      <c r="S63" s="413"/>
      <c r="T63" s="413"/>
      <c r="U63" s="413"/>
      <c r="V63" s="413"/>
      <c r="W63" s="413"/>
      <c r="X63" s="413"/>
      <c r="Y63" s="413"/>
      <c r="Z63" s="413"/>
      <c r="AA63" s="413"/>
      <c r="AB63" s="413"/>
      <c r="AC63" s="469"/>
      <c r="AD63" s="469"/>
      <c r="AE63" s="469"/>
      <c r="AF63" s="469"/>
      <c r="AG63" s="469"/>
      <c r="AH63" s="469"/>
      <c r="AI63" s="469"/>
      <c r="AJ63" s="469"/>
      <c r="AK63" s="469"/>
      <c r="AL63" s="469"/>
      <c r="AM63" s="469"/>
      <c r="AN63" s="469"/>
      <c r="AO63" s="469"/>
      <c r="AP63" s="469"/>
      <c r="AQ63" s="469"/>
      <c r="AR63" s="469"/>
      <c r="AS63" s="469"/>
      <c r="AT63" s="469"/>
      <c r="AU63" s="469"/>
      <c r="AV63" s="413"/>
      <c r="AW63" s="413"/>
      <c r="BT63" s="356"/>
      <c r="BU63" s="356"/>
      <c r="BV63" s="356"/>
      <c r="CB63" s="478"/>
      <c r="CJ63" s="465" t="str">
        <f t="shared" ref="CJ63:CJ68" si="28">IF(AND(E63&lt;&gt;0,K63=""), "* No olvide escribir en la celda de Pueblos Originarios (Digite CERO si no tiene). ",IF(AND(F63&lt;&gt;0,L63=""), "* No olvide escribir en la celda de Pueblos Originarios (Digite CERO si no tiene). ",""))</f>
        <v/>
      </c>
      <c r="CK63" s="465" t="str">
        <f t="shared" ref="CK63:CK68" si="29">IF(AND(E63&lt;&gt;0,M63=""), "* No olvide escribir en la celda de Población Migrantes (Digite CERO si no tiene). ",IF(AND(F63&lt;&gt;0,N63=""), "* No olvide escribir en la celda de Población Migrantes (Digite CERO si no tiene). ",""))</f>
        <v/>
      </c>
      <c r="DB63" s="470"/>
      <c r="DC63" s="470"/>
      <c r="DD63" s="470"/>
      <c r="DE63" s="470"/>
      <c r="DF63" s="470"/>
      <c r="DG63" s="470"/>
      <c r="DH63" s="470"/>
      <c r="DI63" s="613">
        <f t="shared" ref="DI63:DI68" si="30">IF(AND(E63&lt;&gt;0,K63=""), 1,IF(AND(F63&lt;&gt;0,L63=""), 1,0))</f>
        <v>0</v>
      </c>
      <c r="DJ63" s="613">
        <f t="shared" ref="DJ63:DJ68" si="31">IF(AND(E63&lt;&gt;0,M63=""), 1,IF(AND(F63&lt;&gt;0,N63=""), 1,0))</f>
        <v>0</v>
      </c>
      <c r="DK63" s="470"/>
    </row>
    <row r="64" spans="1:115" ht="22.5" customHeight="1" x14ac:dyDescent="0.25">
      <c r="A64" s="1775" t="s">
        <v>924</v>
      </c>
      <c r="B64" s="1967"/>
      <c r="C64" s="117" t="s">
        <v>106</v>
      </c>
      <c r="D64" s="886" t="s">
        <v>1384</v>
      </c>
      <c r="E64" s="910" t="s">
        <v>1385</v>
      </c>
      <c r="F64" s="911" t="s">
        <v>1386</v>
      </c>
      <c r="G64" s="888" t="s">
        <v>1387</v>
      </c>
      <c r="H64" s="889" t="s">
        <v>1388</v>
      </c>
      <c r="I64" s="888" t="s">
        <v>1389</v>
      </c>
      <c r="J64" s="890" t="s">
        <v>1390</v>
      </c>
      <c r="K64" s="892" t="s">
        <v>1391</v>
      </c>
      <c r="L64" s="927" t="s">
        <v>1392</v>
      </c>
      <c r="M64" s="891" t="s">
        <v>1393</v>
      </c>
      <c r="N64" s="889" t="s">
        <v>1394</v>
      </c>
      <c r="O64" s="469" t="str">
        <f t="shared" si="27"/>
        <v/>
      </c>
      <c r="P64" s="413"/>
      <c r="Q64" s="413"/>
      <c r="R64" s="413"/>
      <c r="S64" s="413"/>
      <c r="T64" s="413"/>
      <c r="U64" s="413"/>
      <c r="V64" s="413"/>
      <c r="W64" s="413"/>
      <c r="X64" s="413"/>
      <c r="Y64" s="413"/>
      <c r="Z64" s="413"/>
      <c r="AA64" s="413"/>
      <c r="AB64" s="413"/>
      <c r="AC64" s="469"/>
      <c r="AD64" s="469"/>
      <c r="AE64" s="469"/>
      <c r="AF64" s="469"/>
      <c r="AG64" s="469"/>
      <c r="AH64" s="469"/>
      <c r="AI64" s="469"/>
      <c r="AJ64" s="469"/>
      <c r="AK64" s="469"/>
      <c r="AL64" s="469"/>
      <c r="AM64" s="469"/>
      <c r="AN64" s="469"/>
      <c r="AO64" s="469"/>
      <c r="AP64" s="469"/>
      <c r="AQ64" s="469"/>
      <c r="AR64" s="469"/>
      <c r="AS64" s="469"/>
      <c r="AT64" s="469"/>
      <c r="AU64" s="469"/>
      <c r="AV64" s="413"/>
      <c r="AW64" s="413"/>
      <c r="BT64" s="356"/>
      <c r="BU64" s="356"/>
      <c r="BV64" s="356"/>
      <c r="CB64" s="478"/>
      <c r="CJ64" s="465" t="str">
        <f t="shared" si="28"/>
        <v/>
      </c>
      <c r="CK64" s="465" t="str">
        <f t="shared" si="29"/>
        <v/>
      </c>
      <c r="DB64" s="470"/>
      <c r="DC64" s="470"/>
      <c r="DD64" s="470"/>
      <c r="DE64" s="470"/>
      <c r="DF64" s="470"/>
      <c r="DG64" s="470"/>
      <c r="DH64" s="470"/>
      <c r="DI64" s="613">
        <f t="shared" si="30"/>
        <v>0</v>
      </c>
      <c r="DJ64" s="613">
        <f t="shared" si="31"/>
        <v>0</v>
      </c>
      <c r="DK64" s="470"/>
    </row>
    <row r="65" spans="1:115" ht="22.5" customHeight="1" x14ac:dyDescent="0.25">
      <c r="A65" s="1775" t="s">
        <v>925</v>
      </c>
      <c r="B65" s="1967"/>
      <c r="C65" s="117" t="s">
        <v>414</v>
      </c>
      <c r="D65" s="886" t="s">
        <v>1384</v>
      </c>
      <c r="E65" s="910" t="s">
        <v>1385</v>
      </c>
      <c r="F65" s="911" t="s">
        <v>1386</v>
      </c>
      <c r="G65" s="888" t="s">
        <v>1387</v>
      </c>
      <c r="H65" s="889" t="s">
        <v>1388</v>
      </c>
      <c r="I65" s="888" t="s">
        <v>1389</v>
      </c>
      <c r="J65" s="890" t="s">
        <v>1390</v>
      </c>
      <c r="K65" s="892" t="s">
        <v>1391</v>
      </c>
      <c r="L65" s="927" t="s">
        <v>1392</v>
      </c>
      <c r="M65" s="891" t="s">
        <v>1393</v>
      </c>
      <c r="N65" s="889" t="s">
        <v>1394</v>
      </c>
      <c r="O65" s="469" t="str">
        <f t="shared" si="27"/>
        <v/>
      </c>
      <c r="P65" s="413"/>
      <c r="Q65" s="413"/>
      <c r="R65" s="413"/>
      <c r="S65" s="413"/>
      <c r="T65" s="413"/>
      <c r="U65" s="413"/>
      <c r="V65" s="413"/>
      <c r="W65" s="413"/>
      <c r="X65" s="413"/>
      <c r="Y65" s="413"/>
      <c r="Z65" s="413"/>
      <c r="AA65" s="413"/>
      <c r="AB65" s="413"/>
      <c r="AC65" s="469"/>
      <c r="AD65" s="469"/>
      <c r="AE65" s="469"/>
      <c r="AF65" s="469"/>
      <c r="AG65" s="469"/>
      <c r="AH65" s="469"/>
      <c r="AI65" s="469"/>
      <c r="AJ65" s="469"/>
      <c r="AK65" s="469"/>
      <c r="AL65" s="469"/>
      <c r="AM65" s="469"/>
      <c r="AN65" s="469"/>
      <c r="AO65" s="469"/>
      <c r="AP65" s="469"/>
      <c r="AQ65" s="469"/>
      <c r="AR65" s="469"/>
      <c r="AS65" s="469"/>
      <c r="AT65" s="469"/>
      <c r="AU65" s="469"/>
      <c r="AV65" s="413"/>
      <c r="AW65" s="413"/>
      <c r="BT65" s="356"/>
      <c r="BU65" s="356"/>
      <c r="BV65" s="356"/>
      <c r="CB65" s="478"/>
      <c r="CJ65" s="465" t="str">
        <f t="shared" si="28"/>
        <v/>
      </c>
      <c r="CK65" s="465" t="str">
        <f t="shared" si="29"/>
        <v/>
      </c>
      <c r="DB65" s="470"/>
      <c r="DC65" s="470"/>
      <c r="DD65" s="470"/>
      <c r="DE65" s="470"/>
      <c r="DF65" s="470"/>
      <c r="DG65" s="470"/>
      <c r="DH65" s="470"/>
      <c r="DI65" s="613">
        <f t="shared" si="30"/>
        <v>0</v>
      </c>
      <c r="DJ65" s="613">
        <f t="shared" si="31"/>
        <v>0</v>
      </c>
      <c r="DK65" s="470"/>
    </row>
    <row r="66" spans="1:115" ht="22.5" customHeight="1" x14ac:dyDescent="0.25">
      <c r="A66" s="1775" t="s">
        <v>926</v>
      </c>
      <c r="B66" s="1967"/>
      <c r="C66" s="117" t="s">
        <v>107</v>
      </c>
      <c r="D66" s="886" t="s">
        <v>1384</v>
      </c>
      <c r="E66" s="910" t="s">
        <v>1385</v>
      </c>
      <c r="F66" s="911" t="s">
        <v>1386</v>
      </c>
      <c r="G66" s="888" t="s">
        <v>1387</v>
      </c>
      <c r="H66" s="889" t="s">
        <v>1388</v>
      </c>
      <c r="I66" s="888" t="s">
        <v>1389</v>
      </c>
      <c r="J66" s="890" t="s">
        <v>1390</v>
      </c>
      <c r="K66" s="892" t="s">
        <v>1391</v>
      </c>
      <c r="L66" s="927" t="s">
        <v>1392</v>
      </c>
      <c r="M66" s="891" t="s">
        <v>1393</v>
      </c>
      <c r="N66" s="889" t="s">
        <v>1394</v>
      </c>
      <c r="O66" s="469" t="str">
        <f t="shared" si="27"/>
        <v/>
      </c>
      <c r="P66" s="413"/>
      <c r="Q66" s="413"/>
      <c r="R66" s="413"/>
      <c r="S66" s="413"/>
      <c r="T66" s="413"/>
      <c r="U66" s="413"/>
      <c r="V66" s="413"/>
      <c r="W66" s="413"/>
      <c r="X66" s="413"/>
      <c r="Y66" s="413"/>
      <c r="Z66" s="413"/>
      <c r="AA66" s="413"/>
      <c r="AB66" s="413"/>
      <c r="AC66" s="469"/>
      <c r="AD66" s="469"/>
      <c r="AE66" s="469"/>
      <c r="AF66" s="469"/>
      <c r="AG66" s="469"/>
      <c r="AH66" s="469"/>
      <c r="AI66" s="469"/>
      <c r="AJ66" s="469"/>
      <c r="AK66" s="469"/>
      <c r="AL66" s="469"/>
      <c r="AM66" s="469"/>
      <c r="AN66" s="469"/>
      <c r="AO66" s="469"/>
      <c r="AP66" s="469"/>
      <c r="AQ66" s="469"/>
      <c r="AR66" s="469"/>
      <c r="AS66" s="469"/>
      <c r="AT66" s="469"/>
      <c r="AU66" s="469"/>
      <c r="AV66" s="413"/>
      <c r="AW66" s="413"/>
      <c r="BT66" s="356"/>
      <c r="BU66" s="356"/>
      <c r="BV66" s="356"/>
      <c r="CB66" s="478"/>
      <c r="CJ66" s="465" t="str">
        <f t="shared" si="28"/>
        <v/>
      </c>
      <c r="CK66" s="465" t="str">
        <f t="shared" si="29"/>
        <v/>
      </c>
      <c r="DB66" s="470"/>
      <c r="DC66" s="470"/>
      <c r="DD66" s="470"/>
      <c r="DE66" s="470"/>
      <c r="DF66" s="470"/>
      <c r="DG66" s="470"/>
      <c r="DH66" s="470"/>
      <c r="DI66" s="613">
        <f t="shared" si="30"/>
        <v>0</v>
      </c>
      <c r="DJ66" s="613">
        <f t="shared" si="31"/>
        <v>0</v>
      </c>
      <c r="DK66" s="470"/>
    </row>
    <row r="67" spans="1:115" ht="22.5" customHeight="1" x14ac:dyDescent="0.25">
      <c r="A67" s="1775" t="s">
        <v>927</v>
      </c>
      <c r="B67" s="1967"/>
      <c r="C67" s="117" t="s">
        <v>436</v>
      </c>
      <c r="D67" s="886" t="s">
        <v>1384</v>
      </c>
      <c r="E67" s="910" t="s">
        <v>1385</v>
      </c>
      <c r="F67" s="911" t="s">
        <v>1386</v>
      </c>
      <c r="G67" s="888" t="s">
        <v>1387</v>
      </c>
      <c r="H67" s="889" t="s">
        <v>1388</v>
      </c>
      <c r="I67" s="888" t="s">
        <v>1389</v>
      </c>
      <c r="J67" s="890" t="s">
        <v>1390</v>
      </c>
      <c r="K67" s="892" t="s">
        <v>1391</v>
      </c>
      <c r="L67" s="927" t="s">
        <v>1392</v>
      </c>
      <c r="M67" s="891" t="s">
        <v>1393</v>
      </c>
      <c r="N67" s="889" t="s">
        <v>1394</v>
      </c>
      <c r="O67" s="469" t="str">
        <f t="shared" si="27"/>
        <v/>
      </c>
      <c r="P67" s="413"/>
      <c r="Q67" s="413"/>
      <c r="R67" s="413"/>
      <c r="S67" s="413"/>
      <c r="T67" s="413"/>
      <c r="U67" s="413"/>
      <c r="V67" s="413"/>
      <c r="W67" s="413"/>
      <c r="X67" s="413"/>
      <c r="Y67" s="413"/>
      <c r="Z67" s="413"/>
      <c r="AA67" s="413"/>
      <c r="AB67" s="413"/>
      <c r="AC67" s="469"/>
      <c r="AD67" s="469"/>
      <c r="AE67" s="469"/>
      <c r="AF67" s="469"/>
      <c r="AG67" s="469"/>
      <c r="AH67" s="469"/>
      <c r="AI67" s="469"/>
      <c r="AJ67" s="469"/>
      <c r="AK67" s="469"/>
      <c r="AL67" s="469"/>
      <c r="AM67" s="469"/>
      <c r="AN67" s="469"/>
      <c r="AO67" s="469"/>
      <c r="AP67" s="469"/>
      <c r="AQ67" s="469"/>
      <c r="AR67" s="469"/>
      <c r="AS67" s="469"/>
      <c r="AT67" s="469"/>
      <c r="AU67" s="469"/>
      <c r="AV67" s="413"/>
      <c r="AW67" s="413"/>
      <c r="BT67" s="356"/>
      <c r="BU67" s="356"/>
      <c r="BV67" s="356"/>
      <c r="CB67" s="478"/>
      <c r="CJ67" s="465" t="str">
        <f t="shared" si="28"/>
        <v/>
      </c>
      <c r="CK67" s="465" t="str">
        <f t="shared" si="29"/>
        <v/>
      </c>
      <c r="DB67" s="470"/>
      <c r="DC67" s="470"/>
      <c r="DD67" s="470"/>
      <c r="DE67" s="470"/>
      <c r="DF67" s="470"/>
      <c r="DG67" s="470"/>
      <c r="DH67" s="470"/>
      <c r="DI67" s="613">
        <f t="shared" si="30"/>
        <v>0</v>
      </c>
      <c r="DJ67" s="613">
        <f t="shared" si="31"/>
        <v>0</v>
      </c>
      <c r="DK67" s="470"/>
    </row>
    <row r="68" spans="1:115" ht="22.5" customHeight="1" x14ac:dyDescent="0.25">
      <c r="A68" s="1775" t="s">
        <v>928</v>
      </c>
      <c r="B68" s="1967"/>
      <c r="C68" s="118" t="s">
        <v>54</v>
      </c>
      <c r="D68" s="894" t="s">
        <v>1384</v>
      </c>
      <c r="E68" s="912" t="s">
        <v>1385</v>
      </c>
      <c r="F68" s="913" t="s">
        <v>1386</v>
      </c>
      <c r="G68" s="848" t="s">
        <v>1387</v>
      </c>
      <c r="H68" s="849" t="s">
        <v>1388</v>
      </c>
      <c r="I68" s="848" t="s">
        <v>1389</v>
      </c>
      <c r="J68" s="850" t="s">
        <v>1390</v>
      </c>
      <c r="K68" s="852" t="s">
        <v>1391</v>
      </c>
      <c r="L68" s="930" t="s">
        <v>1392</v>
      </c>
      <c r="M68" s="851" t="s">
        <v>1393</v>
      </c>
      <c r="N68" s="849" t="s">
        <v>1394</v>
      </c>
      <c r="O68" s="469" t="str">
        <f t="shared" si="27"/>
        <v/>
      </c>
      <c r="P68" s="413"/>
      <c r="Q68" s="413"/>
      <c r="R68" s="413"/>
      <c r="S68" s="413"/>
      <c r="T68" s="413"/>
      <c r="U68" s="413"/>
      <c r="V68" s="413"/>
      <c r="W68" s="413"/>
      <c r="X68" s="413"/>
      <c r="Y68" s="413"/>
      <c r="Z68" s="413"/>
      <c r="AA68" s="413"/>
      <c r="AB68" s="413"/>
      <c r="AC68" s="469"/>
      <c r="AD68" s="469"/>
      <c r="AE68" s="469"/>
      <c r="AF68" s="469"/>
      <c r="AG68" s="469"/>
      <c r="AH68" s="469"/>
      <c r="AI68" s="469"/>
      <c r="AJ68" s="469"/>
      <c r="AK68" s="469"/>
      <c r="AL68" s="469"/>
      <c r="AM68" s="469"/>
      <c r="AN68" s="469"/>
      <c r="AO68" s="469"/>
      <c r="AP68" s="469"/>
      <c r="AQ68" s="469"/>
      <c r="AR68" s="469"/>
      <c r="AS68" s="469"/>
      <c r="AT68" s="469"/>
      <c r="AU68" s="469"/>
      <c r="AV68" s="413"/>
      <c r="AW68" s="413"/>
      <c r="BT68" s="356"/>
      <c r="BU68" s="356"/>
      <c r="BV68" s="356"/>
      <c r="CB68" s="478"/>
      <c r="CJ68" s="465" t="str">
        <f t="shared" si="28"/>
        <v/>
      </c>
      <c r="CK68" s="465" t="str">
        <f t="shared" si="29"/>
        <v/>
      </c>
      <c r="DB68" s="470"/>
      <c r="DC68" s="470"/>
      <c r="DD68" s="470"/>
      <c r="DE68" s="470"/>
      <c r="DF68" s="470"/>
      <c r="DG68" s="470"/>
      <c r="DH68" s="470"/>
      <c r="DI68" s="613">
        <f t="shared" si="30"/>
        <v>0</v>
      </c>
      <c r="DJ68" s="613">
        <f t="shared" si="31"/>
        <v>0</v>
      </c>
      <c r="DK68" s="470"/>
    </row>
    <row r="69" spans="1:115" ht="22.5" customHeight="1" x14ac:dyDescent="0.25">
      <c r="A69" s="1776"/>
      <c r="B69" s="1967"/>
      <c r="C69" s="120" t="s">
        <v>108</v>
      </c>
      <c r="D69" s="902">
        <f>+E69+F69</f>
        <v>0</v>
      </c>
      <c r="E69" s="920">
        <f t="shared" si="20"/>
        <v>0</v>
      </c>
      <c r="F69" s="864">
        <f t="shared" si="21"/>
        <v>0</v>
      </c>
      <c r="G69" s="916">
        <f>SUM(G63:G68)</f>
        <v>0</v>
      </c>
      <c r="H69" s="917">
        <f t="shared" ref="H69:N69" si="32">SUM(H63:H68)</f>
        <v>0</v>
      </c>
      <c r="I69" s="868">
        <f t="shared" si="32"/>
        <v>0</v>
      </c>
      <c r="J69" s="870">
        <f t="shared" si="32"/>
        <v>0</v>
      </c>
      <c r="K69" s="874">
        <f t="shared" si="32"/>
        <v>0</v>
      </c>
      <c r="L69" s="1500">
        <f t="shared" si="32"/>
        <v>0</v>
      </c>
      <c r="M69" s="1499">
        <f t="shared" si="32"/>
        <v>0</v>
      </c>
      <c r="N69" s="871">
        <f t="shared" si="32"/>
        <v>0</v>
      </c>
      <c r="O69" s="125" t="str">
        <f xml:space="preserve"> CG69 &amp; CH69</f>
        <v/>
      </c>
      <c r="P69" s="413"/>
      <c r="Q69" s="413"/>
      <c r="R69" s="413"/>
      <c r="S69" s="413"/>
      <c r="T69" s="413"/>
      <c r="U69" s="413"/>
      <c r="V69" s="413"/>
      <c r="W69" s="413"/>
      <c r="X69" s="413"/>
      <c r="Y69" s="413"/>
      <c r="Z69" s="413"/>
      <c r="AA69" s="413"/>
      <c r="AB69" s="413"/>
      <c r="AC69" s="469"/>
      <c r="AD69" s="469"/>
      <c r="AE69" s="469"/>
      <c r="AF69" s="469"/>
      <c r="AG69" s="469"/>
      <c r="AH69" s="469"/>
      <c r="AI69" s="469"/>
      <c r="AJ69" s="469"/>
      <c r="AK69" s="469"/>
      <c r="AL69" s="469"/>
      <c r="AM69" s="469"/>
      <c r="AN69" s="469"/>
      <c r="AO69" s="469"/>
      <c r="AP69" s="469"/>
      <c r="AQ69" s="469"/>
      <c r="AR69" s="469"/>
      <c r="AS69" s="469"/>
      <c r="AT69" s="469"/>
      <c r="AU69" s="469"/>
      <c r="AV69" s="413"/>
      <c r="AW69" s="413"/>
      <c r="BT69" s="356"/>
      <c r="BU69" s="356"/>
      <c r="BV69" s="356"/>
      <c r="CB69" s="478"/>
      <c r="CG69" s="465" t="str">
        <f>IF($D69&gt;=$K69+$L69,"","* El Total de Pueblos Originarios no debe ser mayor al total de niños en control. ")</f>
        <v/>
      </c>
      <c r="CH69" s="465" t="str">
        <f>IF($D69&gt;=$M69+$N69,"","* El Total de Pueblación Migrantes no debe ser mayor al total de niños en control. ")</f>
        <v/>
      </c>
      <c r="DB69" s="470"/>
      <c r="DC69" s="470"/>
      <c r="DD69" s="470"/>
      <c r="DE69" s="470"/>
      <c r="DF69" s="486">
        <f>IF($D69&gt;=$K69+$L69,0,1)</f>
        <v>0</v>
      </c>
      <c r="DG69" s="486">
        <f>IF($D69&gt;=$M69+$N69,0,1)</f>
        <v>0</v>
      </c>
      <c r="DH69" s="470"/>
      <c r="DI69" s="470"/>
      <c r="DJ69" s="470"/>
      <c r="DK69" s="470"/>
    </row>
    <row r="70" spans="1:115" ht="22.5" customHeight="1" x14ac:dyDescent="0.25">
      <c r="A70" s="1775" t="s">
        <v>929</v>
      </c>
      <c r="B70" s="1967"/>
      <c r="C70" s="123" t="s">
        <v>109</v>
      </c>
      <c r="D70" s="903" t="s">
        <v>1384</v>
      </c>
      <c r="E70" s="921" t="s">
        <v>1385</v>
      </c>
      <c r="F70" s="922" t="s">
        <v>1386</v>
      </c>
      <c r="G70" s="842" t="s">
        <v>1387</v>
      </c>
      <c r="H70" s="843" t="s">
        <v>1388</v>
      </c>
      <c r="I70" s="842" t="s">
        <v>1389</v>
      </c>
      <c r="J70" s="844" t="s">
        <v>1390</v>
      </c>
      <c r="K70" s="846" t="s">
        <v>1391</v>
      </c>
      <c r="L70" s="926" t="s">
        <v>1392</v>
      </c>
      <c r="M70" s="845" t="s">
        <v>1393</v>
      </c>
      <c r="N70" s="843" t="s">
        <v>1394</v>
      </c>
      <c r="O70" s="469" t="str">
        <f>CJ70 &amp; CK70</f>
        <v/>
      </c>
      <c r="P70" s="413"/>
      <c r="Q70" s="413"/>
      <c r="R70" s="413"/>
      <c r="S70" s="413"/>
      <c r="T70" s="413"/>
      <c r="U70" s="413"/>
      <c r="V70" s="413"/>
      <c r="W70" s="413"/>
      <c r="X70" s="413"/>
      <c r="Y70" s="413"/>
      <c r="Z70" s="413"/>
      <c r="AA70" s="413"/>
      <c r="AB70" s="413"/>
      <c r="AC70" s="469"/>
      <c r="AD70" s="469"/>
      <c r="AE70" s="469"/>
      <c r="AF70" s="469"/>
      <c r="AG70" s="469"/>
      <c r="AH70" s="469"/>
      <c r="AI70" s="469"/>
      <c r="AJ70" s="469"/>
      <c r="AK70" s="469"/>
      <c r="AL70" s="469"/>
      <c r="AM70" s="469"/>
      <c r="AN70" s="469"/>
      <c r="AO70" s="469"/>
      <c r="AP70" s="469"/>
      <c r="AQ70" s="469"/>
      <c r="AR70" s="469"/>
      <c r="AS70" s="469"/>
      <c r="AT70" s="469"/>
      <c r="AU70" s="469"/>
      <c r="AV70" s="413"/>
      <c r="AW70" s="413"/>
      <c r="BT70" s="356"/>
      <c r="BU70" s="356"/>
      <c r="BV70" s="356"/>
      <c r="CB70" s="478"/>
      <c r="CJ70" s="465" t="str">
        <f>IF(AND(E70&lt;&gt;0,K70=""), "* No olvide escribir en la celda de Pueblos Originarios (Digite CERO si no tiene). ",IF(AND(F70&lt;&gt;0,L70=""), "* No olvide escribir en la celda de Pueblos Originarios (Digite CERO si no tiene). ",""))</f>
        <v/>
      </c>
      <c r="CK70" s="465" t="str">
        <f>IF(AND(E70&lt;&gt;0,M70=""), "* No olvide escribir en la celda de Población Migrantes (Digite CERO si no tiene). ",IF(AND(F70&lt;&gt;0,N70=""), "* No olvide escribir en la celda de Población Migrantes (Digite CERO si no tiene). ",""))</f>
        <v/>
      </c>
      <c r="DB70" s="470"/>
      <c r="DC70" s="470"/>
      <c r="DD70" s="470"/>
      <c r="DE70" s="470"/>
      <c r="DF70" s="470"/>
      <c r="DG70" s="470"/>
      <c r="DH70" s="470"/>
      <c r="DI70" s="613">
        <f>IF(AND(E70&lt;&gt;0,K70=""), 1,IF(AND(F70&lt;&gt;0,L70=""), 1,0))</f>
        <v>0</v>
      </c>
      <c r="DJ70" s="613">
        <f>IF(AND(E70&lt;&gt;0,M70=""), 1,IF(AND(F70&lt;&gt;0,N70=""), 1,0))</f>
        <v>0</v>
      </c>
      <c r="DK70" s="470"/>
    </row>
    <row r="71" spans="1:115" ht="22.5" customHeight="1" x14ac:dyDescent="0.25">
      <c r="A71" s="1780"/>
      <c r="B71" s="1968"/>
      <c r="C71" s="120" t="s">
        <v>110</v>
      </c>
      <c r="D71" s="867" t="e">
        <f t="shared" ref="D71:N71" si="33">SUM(D63:D68)+D70</f>
        <v>#VALUE!</v>
      </c>
      <c r="E71" s="855" t="e">
        <f t="shared" si="33"/>
        <v>#VALUE!</v>
      </c>
      <c r="F71" s="864" t="e">
        <f t="shared" si="33"/>
        <v>#VALUE!</v>
      </c>
      <c r="G71" s="916" t="e">
        <f t="shared" si="33"/>
        <v>#VALUE!</v>
      </c>
      <c r="H71" s="917" t="e">
        <f t="shared" si="33"/>
        <v>#VALUE!</v>
      </c>
      <c r="I71" s="868" t="e">
        <f t="shared" si="33"/>
        <v>#VALUE!</v>
      </c>
      <c r="J71" s="870" t="e">
        <f t="shared" si="33"/>
        <v>#VALUE!</v>
      </c>
      <c r="K71" s="874" t="e">
        <f t="shared" si="33"/>
        <v>#VALUE!</v>
      </c>
      <c r="L71" s="1500" t="e">
        <f t="shared" si="33"/>
        <v>#VALUE!</v>
      </c>
      <c r="M71" s="1499" t="e">
        <f t="shared" si="33"/>
        <v>#VALUE!</v>
      </c>
      <c r="N71" s="871" t="e">
        <f t="shared" si="33"/>
        <v>#VALUE!</v>
      </c>
      <c r="O71" s="125" t="e">
        <f xml:space="preserve"> CG71 &amp; CH71</f>
        <v>#VALUE!</v>
      </c>
      <c r="P71" s="413"/>
      <c r="Q71" s="413"/>
      <c r="R71" s="413"/>
      <c r="S71" s="413"/>
      <c r="T71" s="413"/>
      <c r="U71" s="413"/>
      <c r="V71" s="413"/>
      <c r="W71" s="413"/>
      <c r="X71" s="413"/>
      <c r="Y71" s="413"/>
      <c r="Z71" s="413"/>
      <c r="AA71" s="413"/>
      <c r="AB71" s="413"/>
      <c r="AC71" s="469"/>
      <c r="AD71" s="469"/>
      <c r="AE71" s="469"/>
      <c r="AF71" s="469"/>
      <c r="AG71" s="469"/>
      <c r="AH71" s="469"/>
      <c r="AI71" s="469"/>
      <c r="AJ71" s="469"/>
      <c r="AK71" s="469"/>
      <c r="AL71" s="469"/>
      <c r="AM71" s="469"/>
      <c r="AN71" s="469"/>
      <c r="AO71" s="469"/>
      <c r="AP71" s="469"/>
      <c r="AQ71" s="469"/>
      <c r="AR71" s="469"/>
      <c r="AS71" s="469"/>
      <c r="AT71" s="469"/>
      <c r="AU71" s="469"/>
      <c r="AV71" s="413"/>
      <c r="AW71" s="413"/>
      <c r="BT71" s="356"/>
      <c r="BU71" s="356"/>
      <c r="BV71" s="356"/>
      <c r="CB71" s="478"/>
      <c r="CG71" s="465" t="e">
        <f>IF($D71&gt;=$K71+$L71,"","* El Total de Pueblos Originarios no debe ser mayor al total de niños en control. ")</f>
        <v>#VALUE!</v>
      </c>
      <c r="CH71" s="465" t="e">
        <f>IF($D71&gt;=$M71+$N71,"","* El Total de Pueblación Migrantes no debe ser mayor al total de niños en control. ")</f>
        <v>#VALUE!</v>
      </c>
      <c r="DB71" s="470"/>
      <c r="DC71" s="470"/>
      <c r="DD71" s="470"/>
      <c r="DE71" s="470"/>
      <c r="DF71" s="486" t="e">
        <f>IF($D71&gt;=$K71+$L71,0,1)</f>
        <v>#VALUE!</v>
      </c>
      <c r="DG71" s="486" t="e">
        <f>IF($D71&gt;=$M71+$N71,0,1)</f>
        <v>#VALUE!</v>
      </c>
      <c r="DH71" s="470"/>
      <c r="DI71" s="470"/>
      <c r="DJ71" s="470"/>
      <c r="DK71" s="470"/>
    </row>
    <row r="72" spans="1:115" ht="15.75" customHeight="1" x14ac:dyDescent="0.25">
      <c r="B72" s="1983" t="s">
        <v>440</v>
      </c>
      <c r="C72" s="1983"/>
      <c r="D72" s="1983"/>
      <c r="E72" s="1983"/>
      <c r="F72" s="1983"/>
      <c r="G72" s="1983"/>
      <c r="H72" s="1983"/>
      <c r="I72" s="1983"/>
      <c r="J72" s="1983"/>
      <c r="K72" s="1983"/>
      <c r="L72" s="1983"/>
      <c r="M72" s="1983"/>
      <c r="N72" s="1983"/>
      <c r="O72" s="1983"/>
      <c r="P72" s="1983"/>
      <c r="Q72" s="1983"/>
      <c r="R72" s="1983"/>
      <c r="S72" s="1983"/>
      <c r="T72" s="1983"/>
      <c r="U72" s="1983"/>
      <c r="V72" s="124"/>
      <c r="W72" s="124"/>
      <c r="X72" s="124"/>
      <c r="Y72" s="124"/>
      <c r="Z72" s="124"/>
      <c r="AA72" s="124"/>
      <c r="AB72" s="124"/>
      <c r="AC72" s="355"/>
      <c r="AD72" s="355"/>
      <c r="AE72" s="355"/>
      <c r="AF72" s="355"/>
      <c r="AG72" s="355"/>
      <c r="AH72" s="355"/>
      <c r="AI72" s="355"/>
      <c r="AJ72" s="355"/>
      <c r="AK72" s="355"/>
      <c r="AL72" s="355"/>
      <c r="AM72" s="355"/>
      <c r="AN72" s="355"/>
      <c r="AO72" s="355"/>
      <c r="AP72" s="355"/>
      <c r="AQ72" s="355"/>
      <c r="AR72" s="355"/>
      <c r="AS72" s="355"/>
      <c r="AT72" s="355"/>
      <c r="AU72" s="355"/>
      <c r="AV72" s="124"/>
      <c r="AW72" s="124"/>
      <c r="BT72" s="356"/>
      <c r="BU72" s="356"/>
      <c r="BV72" s="356"/>
      <c r="CB72" s="629"/>
      <c r="DB72" s="470"/>
      <c r="DC72" s="470"/>
      <c r="DD72" s="470"/>
      <c r="DE72" s="470"/>
      <c r="DF72" s="470"/>
      <c r="DG72" s="470"/>
      <c r="DH72" s="470"/>
      <c r="DI72" s="470"/>
      <c r="DJ72" s="470"/>
      <c r="DK72" s="470"/>
    </row>
    <row r="73" spans="1:115" ht="24" customHeight="1" x14ac:dyDescent="0.25">
      <c r="B73" s="638" t="s">
        <v>401</v>
      </c>
      <c r="C73" s="631"/>
      <c r="D73" s="631"/>
      <c r="E73" s="631"/>
      <c r="F73" s="631"/>
      <c r="G73" s="471"/>
      <c r="H73" s="132"/>
      <c r="L73" s="623"/>
      <c r="M73" s="623"/>
      <c r="N73" s="623"/>
      <c r="O73" s="623"/>
      <c r="BT73" s="413"/>
      <c r="BU73" s="413"/>
      <c r="BV73" s="413"/>
      <c r="DB73" s="470"/>
      <c r="DC73" s="470"/>
      <c r="DD73" s="470"/>
      <c r="DE73" s="470"/>
      <c r="DF73" s="470"/>
      <c r="DG73" s="470"/>
      <c r="DH73" s="470"/>
      <c r="DI73" s="470"/>
      <c r="DJ73" s="470"/>
      <c r="DK73" s="470"/>
    </row>
    <row r="74" spans="1:115" ht="33" customHeight="1" x14ac:dyDescent="0.25">
      <c r="B74" s="2018" t="s">
        <v>111</v>
      </c>
      <c r="C74" s="2019"/>
      <c r="D74" s="492" t="s">
        <v>15</v>
      </c>
      <c r="E74" s="74" t="s">
        <v>33</v>
      </c>
      <c r="F74" s="133" t="s">
        <v>100</v>
      </c>
      <c r="G74" s="471"/>
      <c r="H74" s="132"/>
      <c r="L74" s="134"/>
      <c r="M74" s="134"/>
      <c r="N74" s="134"/>
      <c r="O74" s="135"/>
      <c r="P74" s="135"/>
      <c r="BT74" s="413"/>
      <c r="BU74" s="413"/>
      <c r="BV74" s="413"/>
      <c r="DB74" s="470"/>
      <c r="DC74" s="470"/>
      <c r="DD74" s="470"/>
      <c r="DE74" s="470"/>
      <c r="DF74" s="470"/>
      <c r="DG74" s="470"/>
      <c r="DH74" s="470"/>
      <c r="DI74" s="470"/>
      <c r="DJ74" s="470"/>
      <c r="DK74" s="470"/>
    </row>
    <row r="75" spans="1:115" ht="15.75" customHeight="1" x14ac:dyDescent="0.25">
      <c r="A75" s="1775" t="s">
        <v>930</v>
      </c>
      <c r="B75" s="2020" t="s">
        <v>113</v>
      </c>
      <c r="C75" s="136" t="s">
        <v>114</v>
      </c>
      <c r="D75" s="730" t="s">
        <v>1384</v>
      </c>
      <c r="E75" s="828" t="s">
        <v>1385</v>
      </c>
      <c r="F75" s="829" t="s">
        <v>1386</v>
      </c>
      <c r="G75" s="137" t="e">
        <f xml:space="preserve"> CG75 &amp; CH75</f>
        <v>#VALUE!</v>
      </c>
      <c r="H75" s="132"/>
      <c r="L75" s="134"/>
      <c r="M75" s="134"/>
      <c r="N75" s="134"/>
      <c r="O75" s="134"/>
      <c r="P75" s="134"/>
      <c r="BT75" s="413"/>
      <c r="BU75" s="413"/>
      <c r="BV75" s="413"/>
      <c r="CG75" s="607" t="e">
        <f>IF($G11+$I11+$K11+$M11+$O11+$Q11+$S11+$U11&lt;$E75+$E80,"* La suma de Población Masculina Menor de 12 meses según resultado de 'Riesgo y Retraso' no puede ser mayor que la Población Masculina bajo control de la sección A. ","")</f>
        <v>#VALUE!</v>
      </c>
      <c r="CH75" s="607" t="e">
        <f>IF($H11+$J11+$L11+$N11+$P11+$R11+$T11+$V11&lt;$F75+$F80,"* La suma de Población Femenina de Menor de 12 meses según resultado de 'Riesgo y Retraso' no puede ser mayor que la Población Femenina bajo control de la sección A. ","")</f>
        <v>#VALUE!</v>
      </c>
      <c r="DB75" s="470"/>
      <c r="DC75" s="470"/>
      <c r="DD75" s="470"/>
      <c r="DE75" s="470"/>
      <c r="DF75" s="480" t="e">
        <f>IF($G11+$I11+$K11+$M11+$O11+$Q11+$S11+$U11&lt;$E75+$E80,1,0)</f>
        <v>#VALUE!</v>
      </c>
      <c r="DG75" s="480" t="e">
        <f>IF($H11+$J11+$L11+$N11+$P11+$R11+$T11+$V11&lt;$F75+$F80,1,0)</f>
        <v>#VALUE!</v>
      </c>
      <c r="DH75" s="470"/>
      <c r="DI75" s="470"/>
      <c r="DJ75" s="470"/>
      <c r="DK75" s="470"/>
    </row>
    <row r="76" spans="1:115" ht="15.75" customHeight="1" x14ac:dyDescent="0.25">
      <c r="A76" s="1775" t="s">
        <v>931</v>
      </c>
      <c r="B76" s="2021"/>
      <c r="C76" s="138" t="s">
        <v>92</v>
      </c>
      <c r="D76" s="794" t="s">
        <v>1384</v>
      </c>
      <c r="E76" s="828" t="s">
        <v>1385</v>
      </c>
      <c r="F76" s="829" t="s">
        <v>1386</v>
      </c>
      <c r="G76" s="137" t="e">
        <f xml:space="preserve"> CG76 &amp; CH76</f>
        <v>#VALUE!</v>
      </c>
      <c r="H76" s="132"/>
      <c r="L76" s="472"/>
      <c r="M76" s="472"/>
      <c r="N76" s="472"/>
      <c r="O76" s="472"/>
      <c r="P76" s="472"/>
      <c r="BT76" s="413"/>
      <c r="BU76" s="413"/>
      <c r="BV76" s="413"/>
      <c r="CG76" s="465" t="e">
        <f>IF($W$11&lt;$E$76+$E$81,"* La suma de Población Masculina de 12 a 17 meses según resultado de 'Riesgo y Retraso' no puede ser mayor que la Población Masculina bajo control de la sección A. ","")</f>
        <v>#VALUE!</v>
      </c>
      <c r="CH76" s="465" t="e">
        <f>IF($X$11&lt;$F$76+$F$81,"* La suma de Población Femenina de 12 a 17 meses según resultado de 'Riesgo y Retraso' no puede ser mayor que la Población Femenina bajo control de la sección A. ","")</f>
        <v>#VALUE!</v>
      </c>
      <c r="DB76" s="470"/>
      <c r="DC76" s="470"/>
      <c r="DD76" s="470"/>
      <c r="DE76" s="470"/>
      <c r="DF76" s="486" t="e">
        <f>IF($W$11&lt;$E$76+$E$81,1,0)</f>
        <v>#VALUE!</v>
      </c>
      <c r="DG76" s="486" t="e">
        <f>IF($X$11&lt;$F$76+$F$81,1,0)</f>
        <v>#VALUE!</v>
      </c>
      <c r="DH76" s="470"/>
      <c r="DI76" s="470"/>
      <c r="DJ76" s="470"/>
      <c r="DK76" s="470"/>
    </row>
    <row r="77" spans="1:115" ht="15.75" customHeight="1" x14ac:dyDescent="0.25">
      <c r="A77" s="1775" t="s">
        <v>932</v>
      </c>
      <c r="B77" s="2022"/>
      <c r="C77" s="138" t="s">
        <v>93</v>
      </c>
      <c r="D77" s="794" t="s">
        <v>1384</v>
      </c>
      <c r="E77" s="828" t="s">
        <v>1385</v>
      </c>
      <c r="F77" s="829" t="s">
        <v>1386</v>
      </c>
      <c r="G77" s="137" t="e">
        <f xml:space="preserve"> CG77 &amp; CH77</f>
        <v>#VALUE!</v>
      </c>
      <c r="H77" s="132"/>
      <c r="L77" s="472"/>
      <c r="M77" s="472"/>
      <c r="N77" s="472"/>
      <c r="O77" s="472"/>
      <c r="P77" s="472"/>
      <c r="BT77" s="413"/>
      <c r="BU77" s="413"/>
      <c r="BV77" s="413"/>
      <c r="CG77" s="465" t="e">
        <f>IF($Y$11&lt;$E$77+$E$82,"* La suma de Población Masculina de 18 a 23 meses según resultado de 'Riesgo y Retraso' no puede ser mayor que la Población Masculina bajo control de la sección A. ","")</f>
        <v>#VALUE!</v>
      </c>
      <c r="CH77" s="465" t="e">
        <f>IF($Z$11&lt;$F$77+$F$82,"* La suma de Población Femenina de 18 a 23 meses según resultado de 'Riesgo y Retraso' no puede ser mayor que la Población Femenina bajo control de la sección A. ","")</f>
        <v>#VALUE!</v>
      </c>
      <c r="DB77" s="470"/>
      <c r="DC77" s="470"/>
      <c r="DD77" s="470"/>
      <c r="DE77" s="470"/>
      <c r="DF77" s="486" t="e">
        <f>IF($Y$11&lt;$E$77+$E$82,1,0)</f>
        <v>#VALUE!</v>
      </c>
      <c r="DG77" s="486" t="e">
        <f>IF($Z$11&lt;$F$77+$F$82,1,0)</f>
        <v>#VALUE!</v>
      </c>
      <c r="DH77" s="470"/>
      <c r="DI77" s="470"/>
      <c r="DJ77" s="470"/>
      <c r="DK77" s="470"/>
    </row>
    <row r="78" spans="1:115" ht="15.75" customHeight="1" x14ac:dyDescent="0.25">
      <c r="A78" s="1775" t="s">
        <v>933</v>
      </c>
      <c r="B78" s="2022"/>
      <c r="C78" s="138" t="s">
        <v>115</v>
      </c>
      <c r="D78" s="794" t="s">
        <v>1384</v>
      </c>
      <c r="E78" s="828" t="s">
        <v>1385</v>
      </c>
      <c r="F78" s="829" t="s">
        <v>1386</v>
      </c>
      <c r="G78" s="137" t="e">
        <f xml:space="preserve"> CG78 &amp; CH78</f>
        <v>#VALUE!</v>
      </c>
      <c r="H78" s="132"/>
      <c r="L78" s="472"/>
      <c r="M78" s="472"/>
      <c r="N78" s="472"/>
      <c r="O78" s="472"/>
      <c r="P78" s="472"/>
      <c r="BT78" s="413"/>
      <c r="BU78" s="413"/>
      <c r="BV78" s="413"/>
      <c r="CG78" s="465" t="e">
        <f>IF($AA11+$AE11+$AC11&lt;$E78+$E83,"* La suma de Población Masculina de 24 a 47 meses según resultado de 'Riesgo y Retraso' no puede ser mayor que la Población Masculina bajo control de la sección A. ","")</f>
        <v>#VALUE!</v>
      </c>
      <c r="CH78" s="465" t="e">
        <f>IF($AB11+$AF11+$AD11&lt;$F78+$F83,"* La suma de Población Femenina de 24 a 47 meses según resultado de 'Riesgo y Retraso' no puede ser mayor que la Población Femenina bajo control de la sección A. ","")</f>
        <v>#VALUE!</v>
      </c>
      <c r="DB78" s="470"/>
      <c r="DC78" s="470"/>
      <c r="DD78" s="470"/>
      <c r="DE78" s="470"/>
      <c r="DF78" s="486" t="e">
        <f>IF($AA11+$AE11+$AC11&lt;$E78+$E83,1,0)</f>
        <v>#VALUE!</v>
      </c>
      <c r="DG78" s="486" t="e">
        <f>IF($AB11+$AF11+$AD11&lt;$F78+$F83,1,0)</f>
        <v>#VALUE!</v>
      </c>
      <c r="DH78" s="470"/>
      <c r="DI78" s="470"/>
      <c r="DJ78" s="470"/>
      <c r="DK78" s="470"/>
    </row>
    <row r="79" spans="1:115" ht="15.75" customHeight="1" x14ac:dyDescent="0.25">
      <c r="A79" s="1775" t="s">
        <v>934</v>
      </c>
      <c r="B79" s="2023"/>
      <c r="C79" s="139" t="s">
        <v>97</v>
      </c>
      <c r="D79" s="923" t="s">
        <v>1384</v>
      </c>
      <c r="E79" s="924" t="s">
        <v>1385</v>
      </c>
      <c r="F79" s="925" t="s">
        <v>1386</v>
      </c>
      <c r="G79" s="137" t="e">
        <f xml:space="preserve"> CG79 &amp; CH79</f>
        <v>#VALUE!</v>
      </c>
      <c r="H79" s="132"/>
      <c r="L79" s="472"/>
      <c r="M79" s="472"/>
      <c r="N79" s="472"/>
      <c r="O79" s="472"/>
      <c r="P79" s="472"/>
      <c r="BT79" s="413"/>
      <c r="BU79" s="413"/>
      <c r="BV79" s="413"/>
      <c r="CG79" s="465" t="e">
        <f>IF($AG$11&lt;$E$79+$E$84,"* La suma de Población Masculina de 48 a 59 meses según resultado de 'Riesgo y Retraso' no puede ser mayor que la Población Masculina bajo control de la sección A. ","")</f>
        <v>#VALUE!</v>
      </c>
      <c r="CH79" s="465" t="e">
        <f>IF($AH$11&lt;$F$79+$F$84,"* La suma de Población Femenina de 48 a 59 meses según resultado de 'Riesgo y Retraso' no puede ser mayor que la Población Femenina bajo control de la sección A. ","")</f>
        <v>#VALUE!</v>
      </c>
      <c r="DB79" s="470"/>
      <c r="DC79" s="470"/>
      <c r="DD79" s="470"/>
      <c r="DE79" s="470"/>
      <c r="DF79" s="486" t="e">
        <f>IF($AG$11&lt;$E$79+$E$84,1,0)</f>
        <v>#VALUE!</v>
      </c>
      <c r="DG79" s="486" t="e">
        <f>IF($AH$11&lt;$F$79+$F$84,1,0)</f>
        <v>#VALUE!</v>
      </c>
      <c r="DH79" s="470"/>
      <c r="DI79" s="470"/>
      <c r="DJ79" s="470"/>
      <c r="DK79" s="470"/>
    </row>
    <row r="80" spans="1:115" ht="15.75" customHeight="1" x14ac:dyDescent="0.25">
      <c r="A80" s="1775" t="s">
        <v>935</v>
      </c>
      <c r="B80" s="2020" t="s">
        <v>116</v>
      </c>
      <c r="C80" s="136" t="s">
        <v>114</v>
      </c>
      <c r="D80" s="730" t="s">
        <v>1384</v>
      </c>
      <c r="E80" s="731" t="s">
        <v>1385</v>
      </c>
      <c r="F80" s="827" t="s">
        <v>1386</v>
      </c>
      <c r="G80" s="137"/>
      <c r="H80" s="132"/>
      <c r="L80" s="472"/>
      <c r="M80" s="472"/>
      <c r="N80" s="472"/>
      <c r="O80" s="472"/>
      <c r="P80" s="472"/>
      <c r="BT80" s="413"/>
      <c r="BU80" s="413"/>
      <c r="BV80" s="413"/>
      <c r="DB80" s="470"/>
      <c r="DC80" s="470"/>
      <c r="DD80" s="470"/>
      <c r="DE80" s="470"/>
      <c r="DF80" s="470"/>
      <c r="DG80" s="470"/>
      <c r="DH80" s="470"/>
      <c r="DI80" s="470"/>
      <c r="DJ80" s="470"/>
      <c r="DK80" s="470"/>
    </row>
    <row r="81" spans="1:132" ht="15.75" customHeight="1" x14ac:dyDescent="0.25">
      <c r="A81" s="1775" t="s">
        <v>936</v>
      </c>
      <c r="B81" s="2021"/>
      <c r="C81" s="138" t="s">
        <v>92</v>
      </c>
      <c r="D81" s="794" t="s">
        <v>1384</v>
      </c>
      <c r="E81" s="828" t="s">
        <v>1385</v>
      </c>
      <c r="F81" s="829" t="s">
        <v>1386</v>
      </c>
      <c r="G81" s="137"/>
      <c r="H81" s="132"/>
      <c r="L81" s="140"/>
      <c r="M81" s="140"/>
      <c r="N81" s="140"/>
      <c r="O81" s="140"/>
      <c r="P81" s="140"/>
      <c r="BT81" s="217"/>
      <c r="BU81" s="217"/>
      <c r="BV81" s="217"/>
      <c r="DB81" s="470"/>
      <c r="DC81" s="470"/>
      <c r="DD81" s="470"/>
      <c r="DE81" s="470"/>
      <c r="DF81" s="470"/>
      <c r="DG81" s="470"/>
      <c r="DH81" s="470"/>
      <c r="DI81" s="470"/>
      <c r="DJ81" s="470"/>
      <c r="DK81" s="470"/>
    </row>
    <row r="82" spans="1:132" ht="15.75" customHeight="1" x14ac:dyDescent="0.25">
      <c r="A82" s="1775" t="s">
        <v>937</v>
      </c>
      <c r="B82" s="2022"/>
      <c r="C82" s="138" t="s">
        <v>93</v>
      </c>
      <c r="D82" s="794" t="s">
        <v>1384</v>
      </c>
      <c r="E82" s="828" t="s">
        <v>1385</v>
      </c>
      <c r="F82" s="829" t="s">
        <v>1386</v>
      </c>
      <c r="G82" s="137"/>
      <c r="H82" s="132"/>
      <c r="L82" s="140"/>
      <c r="M82" s="140"/>
      <c r="N82" s="140"/>
      <c r="O82" s="140"/>
      <c r="P82" s="140"/>
      <c r="DB82" s="470"/>
      <c r="DC82" s="470"/>
      <c r="DD82" s="470"/>
      <c r="DE82" s="470"/>
      <c r="DF82" s="470"/>
      <c r="DG82" s="470"/>
      <c r="DH82" s="470"/>
      <c r="DI82" s="470"/>
      <c r="DJ82" s="470"/>
      <c r="DK82" s="470"/>
    </row>
    <row r="83" spans="1:132" ht="15.75" customHeight="1" x14ac:dyDescent="0.25">
      <c r="A83" s="1775" t="s">
        <v>938</v>
      </c>
      <c r="B83" s="2022"/>
      <c r="C83" s="138" t="s">
        <v>115</v>
      </c>
      <c r="D83" s="794" t="s">
        <v>1384</v>
      </c>
      <c r="E83" s="828" t="s">
        <v>1385</v>
      </c>
      <c r="F83" s="829" t="s">
        <v>1386</v>
      </c>
      <c r="G83" s="137"/>
      <c r="H83" s="132"/>
      <c r="L83" s="140"/>
      <c r="M83" s="140"/>
      <c r="N83" s="140"/>
      <c r="O83" s="140"/>
      <c r="P83" s="140"/>
      <c r="DB83" s="470"/>
      <c r="DC83" s="470"/>
      <c r="DD83" s="470"/>
      <c r="DE83" s="470"/>
      <c r="DF83" s="470"/>
      <c r="DG83" s="470"/>
      <c r="DH83" s="470"/>
      <c r="DI83" s="470"/>
      <c r="DJ83" s="470"/>
      <c r="DK83" s="470"/>
    </row>
    <row r="84" spans="1:132" ht="15.75" customHeight="1" x14ac:dyDescent="0.25">
      <c r="A84" s="1775" t="s">
        <v>939</v>
      </c>
      <c r="B84" s="2023"/>
      <c r="C84" s="139" t="s">
        <v>97</v>
      </c>
      <c r="D84" s="923" t="s">
        <v>1384</v>
      </c>
      <c r="E84" s="771" t="s">
        <v>1385</v>
      </c>
      <c r="F84" s="830" t="s">
        <v>1386</v>
      </c>
      <c r="G84" s="137"/>
      <c r="H84" s="132"/>
      <c r="L84" s="623"/>
      <c r="M84" s="623"/>
      <c r="DB84" s="470"/>
      <c r="DC84" s="470"/>
      <c r="DD84" s="470"/>
      <c r="DE84" s="470"/>
      <c r="DF84" s="470"/>
      <c r="DG84" s="470"/>
      <c r="DH84" s="470"/>
      <c r="DI84" s="470"/>
      <c r="DJ84" s="470"/>
      <c r="DK84" s="470"/>
    </row>
    <row r="85" spans="1:132" ht="27" customHeight="1" x14ac:dyDescent="0.25">
      <c r="B85" s="1608" t="s">
        <v>704</v>
      </c>
      <c r="C85" s="631"/>
      <c r="D85" s="631"/>
      <c r="E85" s="631"/>
      <c r="F85" s="631"/>
      <c r="G85" s="631"/>
      <c r="H85" s="631"/>
      <c r="I85" s="631"/>
      <c r="J85" s="631"/>
      <c r="DB85" s="470"/>
      <c r="DC85" s="470"/>
      <c r="DD85" s="470"/>
      <c r="DE85" s="470"/>
      <c r="DF85" s="470"/>
      <c r="DG85" s="470"/>
      <c r="DH85" s="470"/>
      <c r="DI85" s="470"/>
      <c r="DJ85" s="470"/>
      <c r="DK85" s="470"/>
    </row>
    <row r="86" spans="1:132" ht="12.75" customHeight="1" x14ac:dyDescent="0.25">
      <c r="B86" s="1973" t="s">
        <v>117</v>
      </c>
      <c r="C86" s="1974"/>
      <c r="D86" s="1946" t="s">
        <v>15</v>
      </c>
      <c r="E86" s="1971" t="s">
        <v>354</v>
      </c>
      <c r="F86" s="1969" t="s">
        <v>85</v>
      </c>
      <c r="G86" s="1969" t="s">
        <v>86</v>
      </c>
      <c r="H86" s="1969" t="s">
        <v>87</v>
      </c>
      <c r="I86" s="1969" t="s">
        <v>88</v>
      </c>
      <c r="J86" s="1969" t="s">
        <v>89</v>
      </c>
      <c r="K86" s="1977" t="s">
        <v>90</v>
      </c>
      <c r="L86" s="1978" t="s">
        <v>1430</v>
      </c>
      <c r="M86" s="1964" t="s">
        <v>544</v>
      </c>
      <c r="AC86" s="221"/>
      <c r="AV86" s="411"/>
      <c r="AX86" s="221"/>
      <c r="BS86"/>
      <c r="CB86" s="216"/>
      <c r="CM86" s="474"/>
      <c r="DB86" s="391"/>
      <c r="DC86" s="470"/>
      <c r="DD86" s="470"/>
      <c r="DE86" s="470"/>
      <c r="DF86" s="470"/>
      <c r="DG86" s="470"/>
      <c r="DH86" s="470"/>
      <c r="DI86" s="470"/>
      <c r="DJ86" s="470"/>
      <c r="DK86" s="470"/>
      <c r="EB86" s="470"/>
    </row>
    <row r="87" spans="1:132" ht="54.75" customHeight="1" x14ac:dyDescent="0.25">
      <c r="B87" s="1975"/>
      <c r="C87" s="1976"/>
      <c r="D87" s="1947"/>
      <c r="E87" s="1972"/>
      <c r="F87" s="1970"/>
      <c r="G87" s="1970"/>
      <c r="H87" s="1970"/>
      <c r="I87" s="1970"/>
      <c r="J87" s="1970"/>
      <c r="K87" s="1855"/>
      <c r="L87" s="1979"/>
      <c r="M87" s="1965"/>
      <c r="O87" s="356"/>
      <c r="AC87" s="221"/>
      <c r="AV87" s="411"/>
      <c r="AX87" s="221"/>
      <c r="BS87"/>
      <c r="CB87" s="216"/>
      <c r="CM87" s="474"/>
      <c r="DB87" s="391"/>
      <c r="DC87" s="470"/>
      <c r="DD87" s="470"/>
      <c r="DE87" s="470"/>
      <c r="DF87" s="470"/>
      <c r="DG87" s="470"/>
      <c r="DH87" s="470"/>
      <c r="DI87" s="470"/>
      <c r="DJ87" s="470"/>
      <c r="DK87" s="470"/>
      <c r="EB87" s="470"/>
    </row>
    <row r="88" spans="1:132" ht="21" customHeight="1" x14ac:dyDescent="0.25">
      <c r="A88" s="1775" t="s">
        <v>940</v>
      </c>
      <c r="B88" s="2015" t="s">
        <v>118</v>
      </c>
      <c r="C88" s="141" t="s">
        <v>119</v>
      </c>
      <c r="D88" s="841" t="s">
        <v>1384</v>
      </c>
      <c r="E88" s="842" t="s">
        <v>1385</v>
      </c>
      <c r="F88" s="926" t="s">
        <v>1386</v>
      </c>
      <c r="G88" s="926" t="s">
        <v>1387</v>
      </c>
      <c r="H88" s="926" t="s">
        <v>1388</v>
      </c>
      <c r="I88" s="926" t="s">
        <v>1389</v>
      </c>
      <c r="J88" s="926" t="s">
        <v>1390</v>
      </c>
      <c r="K88" s="843" t="s">
        <v>1391</v>
      </c>
      <c r="L88" s="1831" t="s">
        <v>1392</v>
      </c>
      <c r="M88" s="1829" t="s">
        <v>1393</v>
      </c>
      <c r="N88" s="137"/>
      <c r="AC88" s="221"/>
      <c r="AV88" s="411"/>
      <c r="AX88" s="221"/>
      <c r="BS88"/>
      <c r="CB88" s="216"/>
      <c r="CM88" s="474"/>
      <c r="DB88" s="391"/>
      <c r="DC88" s="470"/>
      <c r="DD88" s="470"/>
      <c r="DE88" s="470"/>
      <c r="DF88" s="470"/>
      <c r="DG88" s="470"/>
      <c r="DH88" s="470"/>
      <c r="DI88" s="470"/>
      <c r="DJ88" s="470"/>
      <c r="DK88" s="470"/>
      <c r="EB88" s="470"/>
    </row>
    <row r="89" spans="1:132" ht="21" customHeight="1" x14ac:dyDescent="0.25">
      <c r="A89" s="1775" t="s">
        <v>941</v>
      </c>
      <c r="B89" s="2016"/>
      <c r="C89" s="142" t="s">
        <v>120</v>
      </c>
      <c r="D89" s="887" t="s">
        <v>1384</v>
      </c>
      <c r="E89" s="888" t="s">
        <v>1385</v>
      </c>
      <c r="F89" s="927" t="s">
        <v>1386</v>
      </c>
      <c r="G89" s="927" t="s">
        <v>1387</v>
      </c>
      <c r="H89" s="927" t="s">
        <v>1388</v>
      </c>
      <c r="I89" s="927" t="s">
        <v>1389</v>
      </c>
      <c r="J89" s="927" t="s">
        <v>1390</v>
      </c>
      <c r="K89" s="889" t="s">
        <v>1391</v>
      </c>
      <c r="L89" s="1832" t="s">
        <v>1392</v>
      </c>
      <c r="M89" s="928" t="s">
        <v>1393</v>
      </c>
      <c r="N89" s="137" t="str">
        <f xml:space="preserve"> CH89</f>
        <v xml:space="preserve">* Niños visitados no puede ser mayor que el total Score Moderado. </v>
      </c>
      <c r="AC89" s="221"/>
      <c r="AV89" s="411"/>
      <c r="AX89" s="221"/>
      <c r="BS89"/>
      <c r="BU89" s="356"/>
      <c r="BV89" s="356"/>
      <c r="BW89" s="356"/>
      <c r="CB89" s="216"/>
      <c r="CH89" s="465" t="str">
        <f>IF($D89&lt;$M89, "* Niños visitados no puede ser mayor que el total Score Moderado. ","")</f>
        <v xml:space="preserve">* Niños visitados no puede ser mayor que el total Score Moderado. </v>
      </c>
      <c r="CM89" s="474"/>
      <c r="DB89" s="391"/>
      <c r="DC89" s="470"/>
      <c r="DD89" s="470"/>
      <c r="DE89" s="470"/>
      <c r="DF89" s="486">
        <f>IF($D89&lt;$M89, 1,0)</f>
        <v>1</v>
      </c>
      <c r="DG89" s="470"/>
      <c r="DH89" s="470"/>
      <c r="DI89" s="470"/>
      <c r="DJ89" s="470"/>
      <c r="DK89" s="470"/>
      <c r="EB89" s="470"/>
    </row>
    <row r="90" spans="1:132" ht="21" customHeight="1" x14ac:dyDescent="0.25">
      <c r="A90" s="1775" t="s">
        <v>942</v>
      </c>
      <c r="B90" s="2016"/>
      <c r="C90" s="143" t="s">
        <v>121</v>
      </c>
      <c r="D90" s="929" t="s">
        <v>1384</v>
      </c>
      <c r="E90" s="848" t="s">
        <v>1385</v>
      </c>
      <c r="F90" s="930" t="s">
        <v>1386</v>
      </c>
      <c r="G90" s="930" t="s">
        <v>1387</v>
      </c>
      <c r="H90" s="930" t="s">
        <v>1388</v>
      </c>
      <c r="I90" s="930" t="s">
        <v>1389</v>
      </c>
      <c r="J90" s="930" t="s">
        <v>1390</v>
      </c>
      <c r="K90" s="849" t="s">
        <v>1391</v>
      </c>
      <c r="L90" s="1833" t="s">
        <v>1392</v>
      </c>
      <c r="M90" s="931" t="s">
        <v>1393</v>
      </c>
      <c r="N90" s="137" t="str">
        <f xml:space="preserve"> CH90</f>
        <v xml:space="preserve">* Niños visitados no puede ser mayor que el total Score Grave. </v>
      </c>
      <c r="AC90" s="221"/>
      <c r="AV90" s="411"/>
      <c r="AX90" s="221"/>
      <c r="BS90"/>
      <c r="BU90" s="356"/>
      <c r="BV90" s="356"/>
      <c r="BW90" s="356"/>
      <c r="CB90" s="216"/>
      <c r="CH90" s="465" t="str">
        <f>IF($D90&lt;$M90, "* Niños visitados no puede ser mayor que el total Score Grave. ","")</f>
        <v xml:space="preserve">* Niños visitados no puede ser mayor que el total Score Grave. </v>
      </c>
      <c r="CM90" s="474"/>
      <c r="DB90" s="391"/>
      <c r="DC90" s="470"/>
      <c r="DD90" s="470"/>
      <c r="DE90" s="470"/>
      <c r="DF90" s="486">
        <f>IF($D90&lt;$M90,1,0)</f>
        <v>1</v>
      </c>
      <c r="DG90" s="470"/>
      <c r="DH90" s="470"/>
      <c r="DI90" s="470"/>
      <c r="DJ90" s="470"/>
      <c r="DK90" s="470"/>
      <c r="EB90" s="470"/>
    </row>
    <row r="91" spans="1:132" ht="21" customHeight="1" x14ac:dyDescent="0.25">
      <c r="A91" s="1767"/>
      <c r="B91" s="2017"/>
      <c r="C91" s="144" t="s">
        <v>15</v>
      </c>
      <c r="D91" s="832">
        <f>SUM(E91:K91)</f>
        <v>0</v>
      </c>
      <c r="E91" s="855">
        <f t="shared" ref="E91:K91" si="34">SUM(E88:E90)</f>
        <v>0</v>
      </c>
      <c r="F91" s="932">
        <f t="shared" si="34"/>
        <v>0</v>
      </c>
      <c r="G91" s="932">
        <f t="shared" si="34"/>
        <v>0</v>
      </c>
      <c r="H91" s="932">
        <f t="shared" si="34"/>
        <v>0</v>
      </c>
      <c r="I91" s="932">
        <f t="shared" si="34"/>
        <v>0</v>
      </c>
      <c r="J91" s="932">
        <f t="shared" si="34"/>
        <v>0</v>
      </c>
      <c r="K91" s="856">
        <f t="shared" si="34"/>
        <v>0</v>
      </c>
      <c r="L91" s="1834">
        <f t="shared" ref="L91" si="35">SUM(L88:L90)</f>
        <v>0</v>
      </c>
      <c r="M91" s="933">
        <f>SUM(M89:M90)</f>
        <v>0</v>
      </c>
      <c r="N91" s="89"/>
      <c r="AC91" s="221"/>
      <c r="AV91" s="411"/>
      <c r="AX91" s="221"/>
      <c r="BS91"/>
      <c r="BU91" s="356"/>
      <c r="BV91" s="356"/>
      <c r="BW91" s="356"/>
      <c r="CB91" s="216"/>
      <c r="CM91" s="474"/>
      <c r="DB91" s="391"/>
      <c r="DC91" s="470"/>
      <c r="DD91" s="470"/>
      <c r="DE91" s="470"/>
      <c r="DF91" s="470"/>
      <c r="DG91" s="470"/>
      <c r="DH91" s="470"/>
      <c r="DI91" s="470"/>
      <c r="DJ91" s="470"/>
      <c r="DK91" s="470"/>
      <c r="EB91" s="470"/>
    </row>
    <row r="92" spans="1:132" ht="34.5" customHeight="1" x14ac:dyDescent="0.25">
      <c r="B92" s="639" t="s">
        <v>402</v>
      </c>
      <c r="C92" s="632"/>
      <c r="D92" s="632"/>
      <c r="E92" s="632"/>
      <c r="F92" s="632"/>
      <c r="G92" s="632"/>
      <c r="H92" s="632"/>
      <c r="I92" s="633"/>
      <c r="J92" s="633"/>
      <c r="BT92" s="145"/>
      <c r="BU92" s="145"/>
      <c r="BV92" s="145"/>
      <c r="CG92" s="628"/>
      <c r="CH92" s="628"/>
      <c r="CI92" s="628"/>
      <c r="CJ92" s="628"/>
      <c r="CK92" s="628"/>
      <c r="CL92" s="628"/>
      <c r="DB92" s="634"/>
      <c r="DC92" s="634"/>
      <c r="DD92" s="479"/>
      <c r="DE92" s="470"/>
      <c r="DF92" s="470"/>
      <c r="DG92" s="470"/>
      <c r="DH92" s="470"/>
      <c r="DI92" s="470"/>
      <c r="DJ92" s="470"/>
      <c r="DK92" s="470"/>
    </row>
    <row r="93" spans="1:132" ht="14.25" customHeight="1" x14ac:dyDescent="0.25">
      <c r="B93" s="1973" t="s">
        <v>122</v>
      </c>
      <c r="C93" s="1974"/>
      <c r="D93" s="1946" t="s">
        <v>15</v>
      </c>
      <c r="E93" s="146"/>
      <c r="F93" s="134"/>
      <c r="G93" s="134"/>
      <c r="H93" s="135"/>
      <c r="I93" s="135"/>
      <c r="BT93" s="635"/>
      <c r="BU93" s="635"/>
      <c r="BV93" s="635"/>
      <c r="CG93" s="408"/>
      <c r="CH93" s="408"/>
      <c r="CI93" s="408"/>
      <c r="CJ93" s="408"/>
      <c r="CK93" s="408"/>
      <c r="CL93" s="408"/>
      <c r="DB93" s="606"/>
      <c r="DC93" s="606"/>
      <c r="DD93" s="479"/>
      <c r="DE93" s="470"/>
      <c r="DF93" s="470"/>
      <c r="DG93" s="470"/>
      <c r="DH93" s="470"/>
      <c r="DI93" s="470"/>
      <c r="DJ93" s="470"/>
      <c r="DK93" s="470"/>
    </row>
    <row r="94" spans="1:132" ht="12.75" customHeight="1" x14ac:dyDescent="0.25">
      <c r="B94" s="1975"/>
      <c r="C94" s="1976"/>
      <c r="D94" s="1947"/>
      <c r="E94" s="134"/>
      <c r="F94" s="134"/>
      <c r="G94" s="134"/>
      <c r="H94" s="134"/>
      <c r="I94" s="134"/>
      <c r="DB94" s="470"/>
      <c r="DC94" s="470"/>
      <c r="DD94" s="470"/>
      <c r="DE94" s="470"/>
      <c r="DF94" s="470"/>
      <c r="DG94" s="470"/>
      <c r="DH94" s="470"/>
      <c r="DI94" s="470"/>
      <c r="DJ94" s="470"/>
      <c r="DK94" s="470"/>
    </row>
    <row r="95" spans="1:132" ht="18" customHeight="1" x14ac:dyDescent="0.25">
      <c r="A95" s="1775" t="s">
        <v>943</v>
      </c>
      <c r="B95" s="2027" t="s">
        <v>352</v>
      </c>
      <c r="C95" s="2028"/>
      <c r="D95" s="934" t="s">
        <v>1384</v>
      </c>
      <c r="E95" s="137"/>
      <c r="F95" s="472"/>
      <c r="G95" s="472"/>
      <c r="H95" s="472"/>
      <c r="I95" s="472"/>
      <c r="DB95" s="470"/>
      <c r="DC95" s="470"/>
      <c r="DD95" s="470"/>
      <c r="DE95" s="470"/>
      <c r="DF95" s="470"/>
      <c r="DG95" s="470"/>
      <c r="DH95" s="470"/>
      <c r="DI95" s="470"/>
      <c r="DJ95" s="470"/>
      <c r="DK95" s="470"/>
    </row>
    <row r="96" spans="1:132" ht="18" customHeight="1" x14ac:dyDescent="0.25">
      <c r="A96" s="1775" t="s">
        <v>944</v>
      </c>
      <c r="B96" s="1956" t="s">
        <v>353</v>
      </c>
      <c r="C96" s="1957"/>
      <c r="D96" s="935" t="s">
        <v>1384</v>
      </c>
      <c r="E96" s="137"/>
      <c r="F96" s="472"/>
      <c r="G96" s="472"/>
      <c r="H96" s="472"/>
      <c r="I96" s="472"/>
      <c r="DB96" s="470"/>
      <c r="DC96" s="470"/>
      <c r="DD96" s="470"/>
      <c r="DE96" s="470"/>
      <c r="DF96" s="470"/>
      <c r="DG96" s="470"/>
      <c r="DH96" s="470"/>
      <c r="DI96" s="470"/>
      <c r="DJ96" s="470"/>
      <c r="DK96" s="470"/>
    </row>
    <row r="97" spans="1:136" ht="31.5" customHeight="1" x14ac:dyDescent="0.25">
      <c r="A97" s="1777"/>
      <c r="B97" s="1677" t="s">
        <v>403</v>
      </c>
      <c r="C97" s="1678"/>
      <c r="D97" s="1678"/>
      <c r="E97" s="1678"/>
      <c r="F97" s="1678"/>
      <c r="G97" s="1678"/>
      <c r="H97" s="1678"/>
      <c r="I97" s="623"/>
      <c r="K97" s="623"/>
      <c r="DB97" s="470"/>
      <c r="DC97" s="470"/>
      <c r="DD97" s="470"/>
      <c r="DE97" s="470"/>
      <c r="DF97" s="470"/>
      <c r="DG97" s="470"/>
      <c r="DH97" s="470"/>
      <c r="DI97" s="470"/>
      <c r="DJ97" s="470"/>
      <c r="DK97" s="470"/>
    </row>
    <row r="98" spans="1:136" ht="12.75" customHeight="1" x14ac:dyDescent="0.25">
      <c r="A98" s="1777"/>
      <c r="B98" s="1952" t="s">
        <v>123</v>
      </c>
      <c r="C98" s="1953"/>
      <c r="D98" s="1950" t="s">
        <v>15</v>
      </c>
      <c r="I98" s="135"/>
      <c r="DB98" s="470"/>
      <c r="DC98" s="470"/>
      <c r="DD98" s="470"/>
      <c r="DE98" s="470"/>
      <c r="DF98" s="470"/>
      <c r="DG98" s="470"/>
      <c r="DH98" s="470"/>
      <c r="DI98" s="470"/>
      <c r="DJ98" s="470"/>
      <c r="DK98" s="470"/>
    </row>
    <row r="99" spans="1:136" ht="12.75" customHeight="1" x14ac:dyDescent="0.25">
      <c r="A99" s="1777"/>
      <c r="B99" s="1954"/>
      <c r="C99" s="1955"/>
      <c r="D99" s="1951"/>
      <c r="I99" s="134"/>
      <c r="DB99" s="470"/>
      <c r="DC99" s="470"/>
      <c r="DD99" s="470"/>
      <c r="DE99" s="470"/>
      <c r="DF99" s="470"/>
      <c r="DG99" s="470"/>
      <c r="DH99" s="470"/>
      <c r="DI99" s="470"/>
      <c r="DJ99" s="470"/>
      <c r="DK99" s="470"/>
    </row>
    <row r="100" spans="1:136" ht="24" customHeight="1" x14ac:dyDescent="0.25">
      <c r="A100" s="1775" t="s">
        <v>945</v>
      </c>
      <c r="B100" s="1948" t="s">
        <v>124</v>
      </c>
      <c r="C100" s="1949"/>
      <c r="D100" s="934" t="s">
        <v>1384</v>
      </c>
      <c r="DB100" s="470"/>
      <c r="DC100" s="470"/>
      <c r="DD100" s="470"/>
      <c r="DE100" s="470"/>
      <c r="DF100" s="470"/>
      <c r="DG100" s="470"/>
      <c r="DH100" s="470"/>
      <c r="DI100" s="470"/>
      <c r="DJ100" s="470"/>
      <c r="DK100" s="470"/>
    </row>
    <row r="101" spans="1:136" ht="24" customHeight="1" x14ac:dyDescent="0.25">
      <c r="A101" s="1775" t="s">
        <v>946</v>
      </c>
      <c r="B101" s="2033" t="s">
        <v>125</v>
      </c>
      <c r="C101" s="2034"/>
      <c r="D101" s="1676" t="s">
        <v>1384</v>
      </c>
      <c r="DB101" s="470"/>
      <c r="DC101" s="470"/>
      <c r="DD101" s="470"/>
      <c r="DE101" s="470"/>
      <c r="DF101" s="470"/>
      <c r="DG101" s="470"/>
      <c r="DH101" s="470"/>
      <c r="DI101" s="470"/>
      <c r="DJ101" s="470"/>
      <c r="DK101" s="470"/>
    </row>
    <row r="102" spans="1:136" ht="24" customHeight="1" x14ac:dyDescent="0.25">
      <c r="A102" s="1775" t="s">
        <v>947</v>
      </c>
      <c r="B102" s="1940" t="s">
        <v>126</v>
      </c>
      <c r="C102" s="1941"/>
      <c r="D102" s="1676" t="s">
        <v>1384</v>
      </c>
      <c r="DB102" s="470"/>
      <c r="DC102" s="470"/>
      <c r="DD102" s="470"/>
      <c r="DE102" s="470"/>
      <c r="DF102" s="470"/>
      <c r="DG102" s="470"/>
      <c r="DH102" s="470"/>
      <c r="DI102" s="470"/>
      <c r="DJ102" s="470"/>
      <c r="DK102" s="470"/>
    </row>
    <row r="103" spans="1:136" ht="24" customHeight="1" x14ac:dyDescent="0.25">
      <c r="A103" s="1775" t="s">
        <v>948</v>
      </c>
      <c r="B103" s="1940" t="s">
        <v>127</v>
      </c>
      <c r="C103" s="1941"/>
      <c r="D103" s="1676" t="s">
        <v>1384</v>
      </c>
      <c r="DB103" s="470"/>
      <c r="DC103" s="470"/>
      <c r="DD103" s="470"/>
      <c r="DE103" s="470"/>
      <c r="DF103" s="470"/>
      <c r="DG103" s="470"/>
      <c r="DH103" s="470"/>
      <c r="DI103" s="470"/>
      <c r="DJ103" s="470"/>
      <c r="DK103" s="470"/>
    </row>
    <row r="104" spans="1:136" ht="24" customHeight="1" x14ac:dyDescent="0.25">
      <c r="A104" s="1775" t="s">
        <v>949</v>
      </c>
      <c r="B104" s="1940" t="s">
        <v>128</v>
      </c>
      <c r="C104" s="1941"/>
      <c r="D104" s="1676" t="s">
        <v>1384</v>
      </c>
      <c r="DB104" s="470"/>
      <c r="DC104" s="470"/>
      <c r="DD104" s="470"/>
      <c r="DE104" s="470"/>
      <c r="DF104" s="470"/>
      <c r="DG104" s="470"/>
      <c r="DH104" s="470"/>
      <c r="DI104" s="470"/>
      <c r="DJ104" s="470"/>
      <c r="DK104" s="470"/>
    </row>
    <row r="105" spans="1:136" ht="24" customHeight="1" x14ac:dyDescent="0.25">
      <c r="A105" s="1775" t="s">
        <v>950</v>
      </c>
      <c r="B105" s="1940" t="s">
        <v>129</v>
      </c>
      <c r="C105" s="1941"/>
      <c r="D105" s="1676" t="s">
        <v>1384</v>
      </c>
      <c r="DB105" s="470"/>
      <c r="DC105" s="470"/>
      <c r="DD105" s="470"/>
      <c r="DE105" s="470"/>
      <c r="DF105" s="470"/>
      <c r="DG105" s="470"/>
      <c r="DH105" s="470"/>
      <c r="DI105" s="470"/>
      <c r="DJ105" s="470"/>
      <c r="DK105" s="470"/>
    </row>
    <row r="106" spans="1:136" ht="24" customHeight="1" x14ac:dyDescent="0.25">
      <c r="A106" s="1775" t="s">
        <v>951</v>
      </c>
      <c r="B106" s="1940" t="s">
        <v>130</v>
      </c>
      <c r="C106" s="1941"/>
      <c r="D106" s="1676" t="s">
        <v>1384</v>
      </c>
      <c r="DB106" s="470"/>
      <c r="DC106" s="470"/>
      <c r="DD106" s="470"/>
      <c r="DE106" s="470"/>
      <c r="DF106" s="470"/>
      <c r="DG106" s="470"/>
      <c r="DH106" s="470"/>
      <c r="DI106" s="470"/>
      <c r="DJ106" s="470"/>
      <c r="DK106" s="470"/>
    </row>
    <row r="107" spans="1:136" ht="24" customHeight="1" x14ac:dyDescent="0.25">
      <c r="A107" s="1775" t="s">
        <v>952</v>
      </c>
      <c r="B107" s="1940" t="s">
        <v>131</v>
      </c>
      <c r="C107" s="1941"/>
      <c r="D107" s="1676" t="s">
        <v>1384</v>
      </c>
      <c r="DB107" s="470"/>
      <c r="DC107" s="470"/>
      <c r="DD107" s="470"/>
      <c r="DE107" s="470"/>
      <c r="DF107" s="470"/>
      <c r="DG107" s="470"/>
      <c r="DH107" s="470"/>
      <c r="DI107" s="470"/>
      <c r="DJ107" s="470"/>
      <c r="DK107" s="470"/>
    </row>
    <row r="108" spans="1:136" ht="24" customHeight="1" x14ac:dyDescent="0.25">
      <c r="A108" s="1775" t="s">
        <v>953</v>
      </c>
      <c r="B108" s="1944" t="s">
        <v>132</v>
      </c>
      <c r="C108" s="1945"/>
      <c r="D108" s="935" t="s">
        <v>1384</v>
      </c>
      <c r="DB108" s="470"/>
      <c r="DC108" s="470"/>
      <c r="DD108" s="470"/>
      <c r="DE108" s="470"/>
      <c r="DF108" s="470"/>
      <c r="DG108" s="470"/>
      <c r="DH108" s="470"/>
      <c r="DI108" s="470"/>
      <c r="DJ108" s="470"/>
      <c r="DK108" s="470"/>
    </row>
    <row r="109" spans="1:136" ht="24" customHeight="1" x14ac:dyDescent="0.25">
      <c r="A109" s="1776"/>
      <c r="B109" s="2029" t="s">
        <v>15</v>
      </c>
      <c r="C109" s="2030"/>
      <c r="D109" s="1679">
        <f>SUM(D100:D108)</f>
        <v>0</v>
      </c>
      <c r="DB109" s="470"/>
      <c r="DC109" s="470"/>
      <c r="DD109" s="470"/>
      <c r="DE109" s="470"/>
      <c r="DF109" s="470"/>
      <c r="DG109" s="470"/>
      <c r="DH109" s="470"/>
      <c r="DI109" s="470"/>
      <c r="DJ109" s="470"/>
      <c r="DK109" s="470"/>
    </row>
    <row r="110" spans="1:136" ht="33" customHeight="1" x14ac:dyDescent="0.25">
      <c r="B110" s="1608" t="s">
        <v>516</v>
      </c>
      <c r="C110" s="1609"/>
      <c r="D110" s="1609"/>
      <c r="E110" s="1609"/>
      <c r="F110" s="1609"/>
      <c r="G110" s="1609"/>
      <c r="H110" s="411"/>
      <c r="I110" s="411"/>
      <c r="J110" s="411"/>
      <c r="DB110" s="470"/>
      <c r="DC110" s="470"/>
      <c r="DD110" s="470"/>
      <c r="DE110" s="470"/>
      <c r="DF110" s="470"/>
      <c r="DG110" s="470"/>
      <c r="DH110" s="470"/>
      <c r="DI110" s="470"/>
      <c r="DJ110" s="470"/>
      <c r="DK110" s="470"/>
    </row>
    <row r="111" spans="1:136" ht="21" customHeight="1" x14ac:dyDescent="0.25">
      <c r="B111" s="2035" t="s">
        <v>133</v>
      </c>
      <c r="C111" s="2036"/>
      <c r="D111" s="1958" t="s">
        <v>572</v>
      </c>
      <c r="E111" s="1959"/>
      <c r="F111" s="1960"/>
      <c r="G111" s="1937" t="s">
        <v>134</v>
      </c>
      <c r="H111" s="1938"/>
      <c r="I111" s="1938"/>
      <c r="J111" s="1938"/>
      <c r="K111" s="1938"/>
      <c r="L111" s="1939"/>
      <c r="M111" s="2069" t="s">
        <v>745</v>
      </c>
      <c r="AC111" s="221"/>
      <c r="AD111" s="221"/>
      <c r="AE111" s="221"/>
      <c r="AF111" s="221"/>
      <c r="AG111" s="221"/>
      <c r="AV111" s="411"/>
      <c r="AW111" s="411"/>
      <c r="AX111" s="411"/>
      <c r="AY111" s="411"/>
      <c r="AZ111" s="411"/>
      <c r="BA111" s="221"/>
      <c r="BB111" s="221"/>
      <c r="BS111"/>
      <c r="BT111"/>
      <c r="BU111"/>
      <c r="BV111"/>
      <c r="BW111"/>
      <c r="CB111" s="216"/>
      <c r="CC111" s="216"/>
      <c r="CD111" s="216"/>
      <c r="CE111" s="216"/>
      <c r="CF111" s="216"/>
      <c r="CM111" s="474"/>
      <c r="CN111" s="474"/>
      <c r="CO111" s="474"/>
      <c r="CP111" s="474"/>
      <c r="CQ111" s="474"/>
      <c r="DB111" s="391"/>
      <c r="DC111" s="391"/>
      <c r="DD111" s="391"/>
      <c r="DE111" s="391"/>
      <c r="DF111" s="391"/>
      <c r="DG111" s="470"/>
      <c r="DH111" s="470"/>
      <c r="DI111" s="470"/>
      <c r="DJ111" s="470"/>
      <c r="DK111" s="470"/>
      <c r="EB111" s="470"/>
      <c r="EC111" s="470"/>
      <c r="ED111" s="470"/>
      <c r="EE111" s="470"/>
      <c r="EF111" s="470"/>
    </row>
    <row r="112" spans="1:136" ht="27" customHeight="1" x14ac:dyDescent="0.25">
      <c r="B112" s="2037"/>
      <c r="C112" s="2038"/>
      <c r="D112" s="1961"/>
      <c r="E112" s="1962"/>
      <c r="F112" s="1963"/>
      <c r="G112" s="2041" t="s">
        <v>135</v>
      </c>
      <c r="H112" s="2042"/>
      <c r="I112" s="1935" t="s">
        <v>136</v>
      </c>
      <c r="J112" s="2042"/>
      <c r="K112" s="1935" t="s">
        <v>137</v>
      </c>
      <c r="L112" s="1936"/>
      <c r="M112" s="2070"/>
      <c r="AC112" s="221"/>
      <c r="AD112" s="221"/>
      <c r="AE112" s="221"/>
      <c r="AF112" s="221"/>
      <c r="AG112" s="221"/>
      <c r="AV112" s="411"/>
      <c r="AW112" s="411"/>
      <c r="AX112" s="411"/>
      <c r="AY112" s="411"/>
      <c r="AZ112" s="411"/>
      <c r="BA112" s="221"/>
      <c r="BB112" s="221"/>
      <c r="BS112"/>
      <c r="BT112"/>
      <c r="BU112"/>
      <c r="BV112"/>
      <c r="BW112"/>
      <c r="CB112" s="216"/>
      <c r="CC112" s="216"/>
      <c r="CD112" s="216"/>
      <c r="CE112" s="216"/>
      <c r="CF112" s="216"/>
      <c r="CM112" s="474"/>
      <c r="CN112" s="474"/>
      <c r="CO112" s="474"/>
      <c r="CP112" s="474"/>
      <c r="CQ112" s="474"/>
      <c r="DB112" s="391"/>
      <c r="DC112" s="391"/>
      <c r="DD112" s="391"/>
      <c r="DE112" s="391"/>
      <c r="DF112" s="391"/>
      <c r="DG112" s="470"/>
      <c r="DH112" s="470"/>
      <c r="DI112" s="470"/>
      <c r="DJ112" s="470"/>
      <c r="DK112" s="470"/>
      <c r="EB112" s="470"/>
      <c r="EC112" s="470"/>
      <c r="ED112" s="470"/>
      <c r="EE112" s="470"/>
      <c r="EF112" s="470"/>
    </row>
    <row r="113" spans="1:136" ht="28.5" customHeight="1" x14ac:dyDescent="0.25">
      <c r="B113" s="1961"/>
      <c r="C113" s="1963"/>
      <c r="D113" s="1651" t="s">
        <v>572</v>
      </c>
      <c r="E113" s="1761" t="s">
        <v>33</v>
      </c>
      <c r="F113" s="1647" t="s">
        <v>100</v>
      </c>
      <c r="G113" s="1610" t="s">
        <v>33</v>
      </c>
      <c r="H113" s="1610" t="s">
        <v>100</v>
      </c>
      <c r="I113" s="1610" t="s">
        <v>33</v>
      </c>
      <c r="J113" s="1610" t="s">
        <v>100</v>
      </c>
      <c r="K113" s="1611" t="s">
        <v>33</v>
      </c>
      <c r="L113" s="1612" t="s">
        <v>100</v>
      </c>
      <c r="M113" s="2071"/>
      <c r="AC113" s="221"/>
      <c r="AD113" s="221"/>
      <c r="AE113" s="221"/>
      <c r="AF113" s="221"/>
      <c r="AG113" s="221"/>
      <c r="AV113" s="411"/>
      <c r="AW113" s="411"/>
      <c r="AX113" s="411"/>
      <c r="AY113" s="411"/>
      <c r="AZ113" s="411"/>
      <c r="BA113" s="221"/>
      <c r="BB113" s="221"/>
      <c r="BS113"/>
      <c r="BT113"/>
      <c r="BU113"/>
      <c r="BV113"/>
      <c r="BW113"/>
      <c r="CB113" s="216"/>
      <c r="CC113" s="216"/>
      <c r="CD113" s="216"/>
      <c r="CE113" s="216"/>
      <c r="CF113" s="216"/>
      <c r="CM113" s="474"/>
      <c r="CN113" s="474"/>
      <c r="CO113" s="474"/>
      <c r="CP113" s="474"/>
      <c r="CQ113" s="474"/>
      <c r="DB113" s="391"/>
      <c r="DC113" s="391"/>
      <c r="DD113" s="391"/>
      <c r="DE113" s="391"/>
      <c r="DF113" s="391"/>
      <c r="DG113" s="470"/>
      <c r="DH113" s="470"/>
      <c r="DI113" s="470"/>
      <c r="DJ113" s="470"/>
      <c r="DK113" s="470"/>
      <c r="EB113" s="470"/>
      <c r="EC113" s="470"/>
      <c r="ED113" s="470"/>
      <c r="EE113" s="470"/>
      <c r="EF113" s="470"/>
    </row>
    <row r="114" spans="1:136" ht="26.25" customHeight="1" x14ac:dyDescent="0.25">
      <c r="A114" s="1775" t="s">
        <v>954</v>
      </c>
      <c r="B114" s="2039" t="s">
        <v>138</v>
      </c>
      <c r="C114" s="2040"/>
      <c r="D114" s="1758" t="s">
        <v>1384</v>
      </c>
      <c r="E114" s="1762" t="s">
        <v>1385</v>
      </c>
      <c r="F114" s="1648" t="s">
        <v>1386</v>
      </c>
      <c r="G114" s="1613" t="s">
        <v>1387</v>
      </c>
      <c r="H114" s="1614" t="s">
        <v>1388</v>
      </c>
      <c r="I114" s="1614" t="s">
        <v>1389</v>
      </c>
      <c r="J114" s="1615" t="s">
        <v>1390</v>
      </c>
      <c r="K114" s="1615" t="s">
        <v>1391</v>
      </c>
      <c r="L114" s="1616" t="s">
        <v>1392</v>
      </c>
      <c r="M114" s="1616" t="s">
        <v>1393</v>
      </c>
      <c r="AC114" s="221"/>
      <c r="AD114" s="221"/>
      <c r="AE114" s="221"/>
      <c r="AF114" s="221"/>
      <c r="AG114" s="221"/>
      <c r="AV114" s="411"/>
      <c r="AW114" s="411"/>
      <c r="AX114" s="411"/>
      <c r="AY114" s="411"/>
      <c r="AZ114" s="411"/>
      <c r="BA114" s="221"/>
      <c r="BB114" s="221"/>
      <c r="BS114"/>
      <c r="BT114"/>
      <c r="BU114"/>
      <c r="BV114"/>
      <c r="BW114"/>
      <c r="BY114" s="356"/>
      <c r="BZ114" s="356"/>
      <c r="CA114" s="356"/>
      <c r="CB114" s="216"/>
      <c r="CC114" s="216"/>
      <c r="CD114" s="216"/>
      <c r="CE114" s="216"/>
      <c r="CF114" s="216"/>
      <c r="CM114" s="474"/>
      <c r="CN114" s="474"/>
      <c r="CO114" s="465" t="str">
        <f>IF($G114&lt;=SUM($AC$11:$AF$11),"","*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P114" s="465" t="str">
        <f>IF($J114&lt;=SUM($AG$11:$AH$11,$G$43:$H$43),"","*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Q114" s="465" t="str">
        <f>IF($L114&lt;=SUM($I$43:$J$43),"","*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4" s="391"/>
      <c r="DC114" s="391"/>
      <c r="DD114" s="391"/>
      <c r="DE114" s="391"/>
      <c r="DF114" s="391"/>
      <c r="DG114" s="470"/>
      <c r="DH114" s="470"/>
      <c r="DI114" s="470"/>
      <c r="DJ114" s="470"/>
      <c r="DK114" s="486">
        <f>IF($G114&lt;=SUM($AC$11:$AF$11),0,1)</f>
        <v>1</v>
      </c>
      <c r="DL114" s="486">
        <f>IF($J114&lt;=SUM($AG$11:$AH$11,$G$43:$H$43),0,1)</f>
        <v>1</v>
      </c>
      <c r="DM114" s="486">
        <f>IF($L114&lt;=SUM($I$43:$J$43),0,1)</f>
        <v>1</v>
      </c>
      <c r="EB114" s="470"/>
      <c r="EC114" s="470"/>
      <c r="ED114" s="470"/>
      <c r="EE114" s="470"/>
      <c r="EF114" s="470"/>
    </row>
    <row r="115" spans="1:136" ht="26.25" customHeight="1" x14ac:dyDescent="0.25">
      <c r="A115" s="1775" t="s">
        <v>955</v>
      </c>
      <c r="B115" s="1942" t="s">
        <v>668</v>
      </c>
      <c r="C115" s="1943"/>
      <c r="D115" s="1759" t="s">
        <v>1384</v>
      </c>
      <c r="E115" s="1763" t="s">
        <v>1385</v>
      </c>
      <c r="F115" s="1649" t="s">
        <v>1386</v>
      </c>
      <c r="G115" s="1617" t="s">
        <v>1387</v>
      </c>
      <c r="H115" s="1618" t="s">
        <v>1388</v>
      </c>
      <c r="I115" s="1618" t="s">
        <v>1389</v>
      </c>
      <c r="J115" s="1619" t="s">
        <v>1390</v>
      </c>
      <c r="K115" s="1619" t="s">
        <v>1391</v>
      </c>
      <c r="L115" s="1620" t="s">
        <v>1392</v>
      </c>
      <c r="M115" s="1620" t="s">
        <v>1393</v>
      </c>
      <c r="AC115" s="221"/>
      <c r="AD115" s="221"/>
      <c r="AE115" s="221"/>
      <c r="AF115" s="221"/>
      <c r="AG115" s="221"/>
      <c r="AV115" s="411"/>
      <c r="AW115" s="411"/>
      <c r="AX115" s="411"/>
      <c r="AY115" s="411"/>
      <c r="AZ115" s="411"/>
      <c r="BA115" s="221"/>
      <c r="BB115" s="221"/>
      <c r="BS115"/>
      <c r="BT115"/>
      <c r="BU115"/>
      <c r="BV115"/>
      <c r="BW115"/>
      <c r="BY115" s="356"/>
      <c r="BZ115" s="356"/>
      <c r="CA115" s="356"/>
      <c r="CB115" s="216"/>
      <c r="CC115" s="216"/>
      <c r="CD115" s="216"/>
      <c r="CE115" s="216"/>
      <c r="CF115" s="216"/>
      <c r="CM115" s="474"/>
      <c r="CN115" s="474"/>
      <c r="CO115" s="465" t="str">
        <f>IF($G115&lt;=SUM($AC$11:$AF$11),"","*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P115" s="465" t="str">
        <f>IF($J115&lt;=SUM($AG$11:$AH$11,$G$43:$H$43),"","*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Q115" s="465" t="str">
        <f>IF($L115&lt;=SUM($I$43:$J$43),"","*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5" s="391"/>
      <c r="DC115" s="391"/>
      <c r="DD115" s="391"/>
      <c r="DE115" s="391"/>
      <c r="DF115" s="391"/>
      <c r="DG115" s="470"/>
      <c r="DH115" s="470"/>
      <c r="DI115" s="470"/>
      <c r="DJ115" s="470"/>
      <c r="DK115" s="486">
        <f>IF($G115&lt;=SUM($AC$11:$AF$11),0,1)</f>
        <v>1</v>
      </c>
      <c r="DL115" s="486">
        <f>IF($J115&lt;=SUM($AG$11:$AH$11,$G$43:$H$43),0,1)</f>
        <v>1</v>
      </c>
      <c r="DM115" s="486">
        <f>IF($L115&lt;=SUM($I$43:$J$43),0,1)</f>
        <v>1</v>
      </c>
      <c r="EB115" s="470"/>
      <c r="EC115" s="470"/>
      <c r="ED115" s="470"/>
      <c r="EE115" s="470"/>
      <c r="EF115" s="470"/>
    </row>
    <row r="116" spans="1:136" ht="26.25" customHeight="1" x14ac:dyDescent="0.25">
      <c r="A116" s="1775" t="s">
        <v>956</v>
      </c>
      <c r="B116" s="1942" t="s">
        <v>735</v>
      </c>
      <c r="C116" s="1943"/>
      <c r="D116" s="1759" t="s">
        <v>1384</v>
      </c>
      <c r="E116" s="1763" t="s">
        <v>1385</v>
      </c>
      <c r="F116" s="1649" t="s">
        <v>1386</v>
      </c>
      <c r="G116" s="1617" t="s">
        <v>1387</v>
      </c>
      <c r="H116" s="1618" t="s">
        <v>1388</v>
      </c>
      <c r="I116" s="1618" t="s">
        <v>1389</v>
      </c>
      <c r="J116" s="1619" t="s">
        <v>1390</v>
      </c>
      <c r="K116" s="1619" t="s">
        <v>1391</v>
      </c>
      <c r="L116" s="1620" t="s">
        <v>1392</v>
      </c>
      <c r="M116" s="1620" t="s">
        <v>1393</v>
      </c>
      <c r="AC116" s="221"/>
      <c r="AD116" s="221"/>
      <c r="AE116" s="221"/>
      <c r="AF116" s="221"/>
      <c r="AG116" s="221"/>
      <c r="AV116" s="411"/>
      <c r="AW116" s="411"/>
      <c r="AX116" s="411"/>
      <c r="AY116" s="411"/>
      <c r="AZ116" s="411"/>
      <c r="BA116" s="221"/>
      <c r="BB116" s="221"/>
      <c r="BS116"/>
      <c r="BT116"/>
      <c r="BU116"/>
      <c r="BV116"/>
      <c r="BW116"/>
      <c r="BY116" s="356"/>
      <c r="BZ116" s="356"/>
      <c r="CA116" s="356"/>
      <c r="CB116" s="216"/>
      <c r="CC116" s="216"/>
      <c r="CD116" s="216"/>
      <c r="CE116" s="216"/>
      <c r="CF116" s="216"/>
      <c r="CM116" s="474"/>
      <c r="CN116" s="474"/>
      <c r="CO116" s="465" t="str">
        <f>IF($G116&lt;=SUM($AC$11:$AF$11),"","*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P116" s="465" t="str">
        <f>IF($J116&lt;=SUM($AG$11:$AH$11,$G$43:$H$43),"","*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Q116" s="465" t="str">
        <f>IF($L116&lt;=SUM($I$43:$J$43),"","*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6" s="391"/>
      <c r="DC116" s="391"/>
      <c r="DD116" s="391"/>
      <c r="DE116" s="391"/>
      <c r="DF116" s="391"/>
      <c r="DG116" s="470"/>
      <c r="DH116" s="470"/>
      <c r="DI116" s="470"/>
      <c r="DJ116" s="470"/>
      <c r="DK116" s="486">
        <f>IF($G116&lt;=SUM($AC$11:$AF$11),0,1)</f>
        <v>1</v>
      </c>
      <c r="DL116" s="486">
        <f>IF($J116&lt;=SUM($AG$11:$AH$11,$G$43:$H$43),0,1)</f>
        <v>1</v>
      </c>
      <c r="DM116" s="486">
        <f>IF($L116&lt;=SUM($I$43:$J$43),0,1)</f>
        <v>1</v>
      </c>
      <c r="EB116" s="470"/>
      <c r="EC116" s="470"/>
      <c r="ED116" s="470"/>
      <c r="EE116" s="470"/>
      <c r="EF116" s="470"/>
    </row>
    <row r="117" spans="1:136" ht="26.25" customHeight="1" x14ac:dyDescent="0.25">
      <c r="A117" s="1775" t="s">
        <v>957</v>
      </c>
      <c r="B117" s="2013" t="s">
        <v>736</v>
      </c>
      <c r="C117" s="2014"/>
      <c r="D117" s="1760" t="s">
        <v>1384</v>
      </c>
      <c r="E117" s="1764" t="s">
        <v>1385</v>
      </c>
      <c r="F117" s="1650" t="s">
        <v>1386</v>
      </c>
      <c r="G117" s="1621" t="s">
        <v>1387</v>
      </c>
      <c r="H117" s="1622" t="s">
        <v>1388</v>
      </c>
      <c r="I117" s="1622" t="s">
        <v>1389</v>
      </c>
      <c r="J117" s="1623" t="s">
        <v>1390</v>
      </c>
      <c r="K117" s="1623" t="s">
        <v>1391</v>
      </c>
      <c r="L117" s="1624" t="s">
        <v>1392</v>
      </c>
      <c r="M117" s="1624" t="s">
        <v>1393</v>
      </c>
      <c r="AC117" s="221"/>
      <c r="AD117" s="221"/>
      <c r="AE117" s="221"/>
      <c r="AF117" s="221"/>
      <c r="AG117" s="221"/>
      <c r="AV117" s="411"/>
      <c r="AW117" s="411"/>
      <c r="AX117" s="411"/>
      <c r="AY117" s="411"/>
      <c r="AZ117" s="411"/>
      <c r="BA117" s="221"/>
      <c r="BB117" s="221"/>
      <c r="BS117"/>
      <c r="BT117"/>
      <c r="BU117"/>
      <c r="BV117"/>
      <c r="BW117"/>
      <c r="BY117" s="356"/>
      <c r="BZ117" s="356"/>
      <c r="CA117" s="356"/>
      <c r="CB117" s="216"/>
      <c r="CC117" s="216"/>
      <c r="CD117" s="216"/>
      <c r="CE117" s="216"/>
      <c r="CF117" s="216"/>
      <c r="CM117" s="474"/>
      <c r="CN117" s="474"/>
      <c r="CO117" s="465" t="str">
        <f>IF($G117&lt;=SUM($AC$11:$AF$11),"","* Niños(as) de 36 a 47 ms clasificados debe ser menor o igual al Total de la población de niños bajo control de en sección A misma edad. ")</f>
        <v xml:space="preserve">* Niños(as) de 36 a 47 ms clasificados debe ser menor o igual al Total de la población de niños bajo control de en sección A misma edad. </v>
      </c>
      <c r="CP117" s="465" t="str">
        <f>IF($J117&lt;=SUM($AG$11:$AH$11,$G$43:$H$43),"","* Niños(as) de 48 a 71 meses clasificados debe ser menor o igual al Total de la población de niños bajo control de en sección A y A1 de la misma edad. ")</f>
        <v xml:space="preserve">* Niños(as) de 48 a 71 meses clasificados debe ser menor o igual al Total de la población de niños bajo control de en sección A y A1 de la misma edad. </v>
      </c>
      <c r="CQ117" s="465" t="str">
        <f>IF($L117&lt;=SUM($I$43:$J$43),"","* Niños(as) de 6 a 9 años clasificados debe ser menor o igual al Total de la población de niños bajo control de en sección A1 misma edad ")</f>
        <v xml:space="preserve">* Niños(as) de 6 a 9 años clasificados debe ser menor o igual al Total de la población de niños bajo control de en sección A1 misma edad </v>
      </c>
      <c r="DB117" s="391"/>
      <c r="DC117" s="391"/>
      <c r="DD117" s="391"/>
      <c r="DE117" s="391"/>
      <c r="DF117" s="391"/>
      <c r="DG117" s="470"/>
      <c r="DH117" s="470"/>
      <c r="DI117" s="470"/>
      <c r="DJ117" s="470"/>
      <c r="DK117" s="486">
        <f>IF($G117&lt;=SUM($AC$11:$AF$11),0,1)</f>
        <v>1</v>
      </c>
      <c r="DL117" s="486">
        <f>IF($J117&lt;=SUM($AG$11:$AH$11,$G$43:$H$43),0,1)</f>
        <v>1</v>
      </c>
      <c r="DM117" s="486">
        <f>IF($L117&lt;=SUM($I$43:$J$43),0,1)</f>
        <v>1</v>
      </c>
      <c r="EB117" s="470"/>
      <c r="EC117" s="470"/>
      <c r="ED117" s="470"/>
      <c r="EE117" s="470"/>
      <c r="EF117" s="470"/>
    </row>
    <row r="118" spans="1:136" ht="26.25" customHeight="1" x14ac:dyDescent="0.25">
      <c r="A118" s="1778"/>
      <c r="B118" s="2031" t="s">
        <v>737</v>
      </c>
      <c r="C118" s="2032"/>
      <c r="D118" s="1652">
        <f>SUM(E118:F118)</f>
        <v>0</v>
      </c>
      <c r="E118" s="1765">
        <f>+G118+I118+K118</f>
        <v>0</v>
      </c>
      <c r="F118" s="1628">
        <f>+H118+J118+L118</f>
        <v>0</v>
      </c>
      <c r="G118" s="1625">
        <f>SUM(G114:G117)</f>
        <v>0</v>
      </c>
      <c r="H118" s="1626">
        <f>SUM(H114:H117)</f>
        <v>0</v>
      </c>
      <c r="I118" s="1626">
        <f t="shared" ref="I118:K118" si="36">SUM(I114:I117)</f>
        <v>0</v>
      </c>
      <c r="J118" s="1627">
        <f t="shared" si="36"/>
        <v>0</v>
      </c>
      <c r="K118" s="1627">
        <f t="shared" si="36"/>
        <v>0</v>
      </c>
      <c r="L118" s="1628">
        <f>SUM(L114:L117)</f>
        <v>0</v>
      </c>
      <c r="M118" s="1628">
        <f>SUM(M114:M117)</f>
        <v>0</v>
      </c>
      <c r="AC118" s="221"/>
      <c r="AD118" s="221"/>
      <c r="AE118" s="221"/>
      <c r="AF118" s="221"/>
      <c r="AG118" s="221"/>
      <c r="AV118" s="411"/>
      <c r="AW118" s="411"/>
      <c r="AX118" s="411"/>
      <c r="AY118" s="411"/>
      <c r="AZ118" s="411"/>
      <c r="BA118" s="221"/>
      <c r="BB118" s="221"/>
      <c r="BS118"/>
      <c r="BT118"/>
      <c r="BU118"/>
      <c r="BV118"/>
      <c r="BW118"/>
      <c r="BY118" s="356"/>
      <c r="BZ118" s="356"/>
      <c r="CA118" s="356"/>
      <c r="CB118" s="216"/>
      <c r="CC118" s="216"/>
      <c r="CD118" s="216"/>
      <c r="CE118" s="216"/>
      <c r="CF118" s="216"/>
      <c r="CM118" s="474"/>
      <c r="CN118" s="474"/>
      <c r="CO118" s="465" t="str">
        <f>IF($G118&lt;=SUM(AC11:AF11),"","* Niños(as) de 36 a 47 ms clasificados debe ser menor o igual al Total de la población de niños bajo control de en sección A misma edad. ")</f>
        <v/>
      </c>
      <c r="CP118" s="465" t="str">
        <f>IF($J118&lt;=SUM($AG$11:$AH$11,$G$43:$H$43),"","* Niños(as) de 48 a 71 meses clasificados debe ser menor o igual al Total de la población de niños bajo control de en sección A y A1 de la misma edad. ")</f>
        <v/>
      </c>
      <c r="CQ118" s="465" t="str">
        <f>IF($L118&lt;=SUM($I$43:$J$43),"","* Niños(as) de 6 a 9 años clasificados debe ser menor o igual al Total de la población de niños bajo control de en sección A1 misma edad ")</f>
        <v/>
      </c>
      <c r="DB118" s="391"/>
      <c r="DC118" s="391"/>
      <c r="DD118" s="391"/>
      <c r="DE118" s="391"/>
      <c r="DF118" s="391"/>
      <c r="DG118" s="470"/>
      <c r="DH118" s="470"/>
      <c r="DI118" s="470"/>
      <c r="DJ118" s="470"/>
      <c r="DK118" s="486">
        <f>IF($G118&lt;=SUM($AC$11:$AF$11),0,1)</f>
        <v>0</v>
      </c>
      <c r="DL118" s="486">
        <f>IF($J118&lt;=SUM($AG$11:$AH$11,$G$43:$H$43),0,1)</f>
        <v>0</v>
      </c>
      <c r="DM118" s="486">
        <f>IF($L118&lt;=SUM($I$43:$J$43),0,1)</f>
        <v>0</v>
      </c>
      <c r="EB118" s="470"/>
      <c r="EC118" s="470"/>
      <c r="ED118" s="470"/>
      <c r="EE118" s="470"/>
      <c r="EF118" s="470"/>
    </row>
    <row r="119" spans="1:136" ht="29.25" customHeight="1" x14ac:dyDescent="0.25">
      <c r="B119" s="640" t="s">
        <v>515</v>
      </c>
      <c r="C119" s="636"/>
      <c r="D119" s="636"/>
      <c r="E119" s="636"/>
      <c r="F119" s="636"/>
      <c r="G119" s="636"/>
      <c r="H119" s="636"/>
      <c r="I119" s="636"/>
      <c r="J119" s="633"/>
      <c r="AC119" s="221"/>
      <c r="AV119" s="411"/>
      <c r="AX119" s="221"/>
      <c r="BS119"/>
      <c r="BU119" s="356"/>
      <c r="BV119" s="356"/>
      <c r="BW119" s="356"/>
      <c r="CB119" s="216"/>
      <c r="CM119" s="474"/>
      <c r="DB119" s="391"/>
      <c r="DC119" s="470"/>
      <c r="DD119" s="470"/>
      <c r="DE119" s="470"/>
      <c r="DF119" s="470"/>
      <c r="DG119" s="470"/>
      <c r="DH119" s="470"/>
      <c r="DI119" s="470"/>
      <c r="DJ119" s="470"/>
      <c r="DK119" s="470"/>
      <c r="EB119" s="470"/>
    </row>
    <row r="120" spans="1:136" ht="15" customHeight="1" x14ac:dyDescent="0.25">
      <c r="B120" s="1973" t="s">
        <v>117</v>
      </c>
      <c r="C120" s="1974"/>
      <c r="D120" s="1946" t="s">
        <v>15</v>
      </c>
      <c r="E120" s="2024" t="s">
        <v>134</v>
      </c>
      <c r="F120" s="2025"/>
      <c r="G120" s="2025"/>
      <c r="H120" s="2025"/>
      <c r="I120" s="2025"/>
      <c r="J120" s="2026"/>
      <c r="BT120" s="356"/>
      <c r="BU120" s="356"/>
      <c r="BV120" s="356"/>
      <c r="DB120" s="470"/>
      <c r="DC120" s="470"/>
      <c r="DD120" s="470"/>
      <c r="DE120" s="470"/>
      <c r="DF120" s="470"/>
      <c r="DG120" s="470"/>
      <c r="DH120" s="470"/>
      <c r="DI120" s="470"/>
      <c r="DJ120" s="470"/>
      <c r="DK120" s="470"/>
    </row>
    <row r="121" spans="1:136" ht="25.5" customHeight="1" x14ac:dyDescent="0.25">
      <c r="B121" s="1975"/>
      <c r="C121" s="1976"/>
      <c r="D121" s="1947"/>
      <c r="E121" s="434" t="s">
        <v>592</v>
      </c>
      <c r="F121" s="433" t="s">
        <v>112</v>
      </c>
      <c r="G121" s="433" t="s">
        <v>94</v>
      </c>
      <c r="H121" s="433" t="s">
        <v>135</v>
      </c>
      <c r="I121" s="433" t="s">
        <v>97</v>
      </c>
      <c r="J121" s="147" t="s">
        <v>98</v>
      </c>
      <c r="BT121" s="356"/>
      <c r="BU121" s="356"/>
      <c r="BV121" s="356"/>
      <c r="DB121" s="470"/>
      <c r="DC121" s="470"/>
      <c r="DD121" s="470"/>
      <c r="DE121" s="470"/>
      <c r="DF121" s="470"/>
      <c r="DG121" s="470"/>
      <c r="DH121" s="470"/>
      <c r="DI121" s="470"/>
      <c r="DJ121" s="470"/>
      <c r="DK121" s="470"/>
    </row>
    <row r="122" spans="1:136" ht="21.75" customHeight="1" x14ac:dyDescent="0.25">
      <c r="A122" s="1775" t="s">
        <v>958</v>
      </c>
      <c r="B122" s="2011" t="s">
        <v>139</v>
      </c>
      <c r="C122" s="2012"/>
      <c r="D122" s="841" t="s">
        <v>1384</v>
      </c>
      <c r="E122" s="842" t="s">
        <v>1385</v>
      </c>
      <c r="F122" s="926" t="s">
        <v>1386</v>
      </c>
      <c r="G122" s="926" t="s">
        <v>1387</v>
      </c>
      <c r="H122" s="926" t="s">
        <v>1388</v>
      </c>
      <c r="I122" s="926" t="s">
        <v>1389</v>
      </c>
      <c r="J122" s="843" t="s">
        <v>1390</v>
      </c>
      <c r="K122" s="137" t="str">
        <f xml:space="preserve"> CG122 &amp; CH122 &amp; CI122 &amp; CJ122 &amp; CK122 &amp; CL122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22" s="356"/>
      <c r="BU122" s="356"/>
      <c r="BV122" s="356"/>
      <c r="CG122" s="465" t="str">
        <f>IF($E122&lt;=SUM($O$35:$V$35),"","*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H122" s="465" t="str">
        <f>IF($F122&lt;=SUM($W$35:$Z$35),"","*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I122" s="465" t="str">
        <f>IF($G122&lt;=SUM($AA$35:$AB$35),"","*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J122" s="465" t="str">
        <f>IF($H122&lt;=SUM($AC$35:$AF$35),"","*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CK122" s="465" t="str">
        <f>IF($I122&lt;=SUM($AG$35:$AH$35),"","*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L122" s="465" t="str">
        <f>IF($J122&lt;=SUM($G$68:$H$68),"","*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B122" s="470"/>
      <c r="DC122" s="470"/>
      <c r="DD122" s="470"/>
      <c r="DE122" s="470"/>
      <c r="DF122" s="486">
        <f>IF($E122&lt;=SUM($O$35:$V$35),0,1)</f>
        <v>1</v>
      </c>
      <c r="DG122" s="486">
        <f>IF($F122&lt;=SUM($W$35:$Z$35),0,1)</f>
        <v>1</v>
      </c>
      <c r="DH122" s="486">
        <f>IF($G122&lt;=SUM($AA$35:$AB$35),0,1)</f>
        <v>1</v>
      </c>
      <c r="DI122" s="486">
        <f>IF($H122&lt;=SUM($AC$35:$AF$35),0,1)</f>
        <v>1</v>
      </c>
      <c r="DJ122" s="486">
        <f>IF($I122&lt;=SUM($AG$35:$AH$35),0,1)</f>
        <v>1</v>
      </c>
      <c r="DK122" s="486">
        <f>IF($J122&lt;=SUM($G$68:$H$68),0,1)</f>
        <v>1</v>
      </c>
    </row>
    <row r="123" spans="1:136" ht="21.75" customHeight="1" x14ac:dyDescent="0.25">
      <c r="A123" s="1775" t="s">
        <v>959</v>
      </c>
      <c r="B123" s="2009" t="s">
        <v>140</v>
      </c>
      <c r="C123" s="2010"/>
      <c r="D123" s="929" t="s">
        <v>1384</v>
      </c>
      <c r="E123" s="848" t="s">
        <v>1385</v>
      </c>
      <c r="F123" s="930" t="s">
        <v>1386</v>
      </c>
      <c r="G123" s="930" t="s">
        <v>1387</v>
      </c>
      <c r="H123" s="930" t="s">
        <v>1388</v>
      </c>
      <c r="I123" s="930" t="s">
        <v>1389</v>
      </c>
      <c r="J123" s="849" t="s">
        <v>1390</v>
      </c>
      <c r="K123" s="137" t="str">
        <f xml:space="preserve"> CG123 &amp; CH123 &amp; CI123 &amp; CJ123 &amp; CK123 &amp; CL123</f>
        <v xml:space="preserve">* Niños(as) de 4 a 11 ms clasificados debe ser menor o igual al Total niños diagnostidos en NORMAL sección A misma edad. * Niños(as) de 12 a 23 ms clasificados debe ser menor o igual al Total niños diagnosticados en NORMAL en sección A misma edad. * Niños(as) de 24 a 35 ms clasificados debe ser menor o igual al Total niños diagnosticados en NORMAL en sección A misma edad. * Niños(as) de 36 a 47 ms clasificados debe ser menor o igual al Total niños diagnosticos en NORMAL en sección A misma edad. * Niños(as) de 48 a 59 ms clasificados debe ser menor o igual al Total niños diagnosticados en NORMAL en sección A misma edad. * Niños(as) de 60 a 71 ms clasificados debe ser menor o igual al Total niños diagnosticados en NORMAL en sección A1 misma edad. </v>
      </c>
      <c r="BT123" s="356"/>
      <c r="BU123" s="356"/>
      <c r="BV123" s="356"/>
      <c r="CG123" s="465" t="str">
        <f>IF($E123&lt;=SUM($O$35:$V$35),"","* Niños(as) de 4 a 11 ms clasificados debe ser menor o igual al Total niños diagnostidos en NORMAL sección A misma edad. ")</f>
        <v xml:space="preserve">* Niños(as) de 4 a 11 ms clasificados debe ser menor o igual al Total niños diagnostidos en NORMAL sección A misma edad. </v>
      </c>
      <c r="CH123" s="465" t="str">
        <f>IF($F123&lt;=SUM($W$35:$Z$35),"","* Niños(as) de 12 a 23 ms clasificados debe ser menor o igual al Total niños diagnosticados en NORMAL en sección A misma edad. ")</f>
        <v xml:space="preserve">* Niños(as) de 12 a 23 ms clasificados debe ser menor o igual al Total niños diagnosticados en NORMAL en sección A misma edad. </v>
      </c>
      <c r="CI123" s="465" t="str">
        <f>IF($G123&lt;=SUM($AA$35:$AB$35),"","* Niños(as) de 24 a 35 ms clasificados debe ser menor o igual al Total niños diagnosticados en NORMAL en sección A misma edad. ")</f>
        <v xml:space="preserve">* Niños(as) de 24 a 35 ms clasificados debe ser menor o igual al Total niños diagnosticados en NORMAL en sección A misma edad. </v>
      </c>
      <c r="CJ123" s="465" t="str">
        <f>IF($H123&lt;=SUM($AC$35:$AF$35),"","* Niños(as) de 36 a 47 ms clasificados debe ser menor o igual al Total niños diagnosticos en NORMAL en sección A misma edad. ")</f>
        <v xml:space="preserve">* Niños(as) de 36 a 47 ms clasificados debe ser menor o igual al Total niños diagnosticos en NORMAL en sección A misma edad. </v>
      </c>
      <c r="CK123" s="465" t="str">
        <f>IF($I123&lt;=SUM($AG$35:$AH$35),"","* Niños(as) de 48 a 59 ms clasificados debe ser menor o igual al Total niños diagnosticados en NORMAL en sección A misma edad. ")</f>
        <v xml:space="preserve">* Niños(as) de 48 a 59 ms clasificados debe ser menor o igual al Total niños diagnosticados en NORMAL en sección A misma edad. </v>
      </c>
      <c r="CL123" s="465" t="str">
        <f>IF($J123&lt;=SUM($G$68:$H$68),"","* Niños(as) de 60 a 71 ms clasificados debe ser menor o igual al Total niños diagnosticados en NORMAL en sección A1 misma edad. ")</f>
        <v xml:space="preserve">* Niños(as) de 60 a 71 ms clasificados debe ser menor o igual al Total niños diagnosticados en NORMAL en sección A1 misma edad. </v>
      </c>
      <c r="DB123" s="470"/>
      <c r="DC123" s="470"/>
      <c r="DD123" s="470"/>
      <c r="DE123" s="470"/>
      <c r="DF123" s="486">
        <f>IF($E123&lt;=SUM($O$35:$V$35),0,1)</f>
        <v>1</v>
      </c>
      <c r="DG123" s="486">
        <f>IF($F123&lt;=SUM($W$35:$Z$35),0,1)</f>
        <v>1</v>
      </c>
      <c r="DH123" s="486">
        <f>IF($G123&lt;=SUM($AA$35:$AB$35),0,1)</f>
        <v>1</v>
      </c>
      <c r="DI123" s="486">
        <f>IF($H123&lt;=SUM($AC$35:$AF$35),0,1)</f>
        <v>1</v>
      </c>
      <c r="DJ123" s="486">
        <f>IF($I123&lt;=SUM($AG$35:$AH$35),0,1)</f>
        <v>1</v>
      </c>
      <c r="DK123" s="486">
        <f>IF($J123&lt;=SUM($G$68:$H$68),0,1)</f>
        <v>1</v>
      </c>
    </row>
    <row r="124" spans="1:136" ht="21.75" customHeight="1" x14ac:dyDescent="0.25">
      <c r="A124" s="1779"/>
      <c r="B124" s="2007" t="s">
        <v>15</v>
      </c>
      <c r="C124" s="2008"/>
      <c r="D124" s="854">
        <f>SUM(E124:J124)</f>
        <v>0</v>
      </c>
      <c r="E124" s="855">
        <f t="shared" ref="E124:J124" si="37">SUM(E122:E123)</f>
        <v>0</v>
      </c>
      <c r="F124" s="932">
        <f t="shared" si="37"/>
        <v>0</v>
      </c>
      <c r="G124" s="932">
        <f t="shared" si="37"/>
        <v>0</v>
      </c>
      <c r="H124" s="858">
        <f t="shared" si="37"/>
        <v>0</v>
      </c>
      <c r="I124" s="932">
        <f t="shared" si="37"/>
        <v>0</v>
      </c>
      <c r="J124" s="856">
        <f t="shared" si="37"/>
        <v>0</v>
      </c>
      <c r="K124" s="137" t="str">
        <f xml:space="preserve"> CG124 &amp; CH124 &amp; CI124 &amp; CJ124 &amp; CK124 &amp; CL124</f>
        <v/>
      </c>
      <c r="BT124" s="356"/>
      <c r="BU124" s="356"/>
      <c r="BV124" s="356"/>
      <c r="CG124" s="465" t="str">
        <f>IF($E124&lt;=SUM($O$35:$V$35),"","* Niños(as) de 4 a 11 ms clasificados debe ser menor o igual al Total niños diagnostidos en NORMAL sección A misma edad. ")</f>
        <v/>
      </c>
      <c r="CH124" s="465" t="str">
        <f>IF($F124&lt;=SUM($W$35:$Z$35),"","* Niños(as) de 12 a 23 ms clasificados debe ser menor o igual al Total niños diagnosticados en NORMAL en sección A misma edad. ")</f>
        <v/>
      </c>
      <c r="CI124" s="465" t="str">
        <f>IF($G124&lt;=SUM($AA$35:$AB$35),"","* Niños(as) de 24 a 35 ms clasificados debe ser menor o igual al Total niños diagnosticados en NORMAL en sección A misma edad. ")</f>
        <v/>
      </c>
      <c r="CJ124" s="465" t="str">
        <f>IF($H124&lt;=SUM($AC$35:$AF$35),"","* Niños(as) de 36 a 47 ms clasificados debe ser menor o igual al Total niños diagnosticos en NORMAL en sección A misma edad. ")</f>
        <v/>
      </c>
      <c r="CK124" s="465" t="str">
        <f>IF($I124&lt;=SUM($AG$35:$AH$35),"","* Niños(as) de 48 a 59 ms clasificados debe ser menor o igual al Total niños diagnosticados en NORMAL en sección A misma edad. ")</f>
        <v/>
      </c>
      <c r="CL124" s="465" t="str">
        <f>IF($J124&lt;=SUM($G$68:$H$68),"","* Niños(as) de 60 a 71 ms clasificados debe ser menor o igual al Total niños diagnosticados en NORMAL en sección A1 misma edad. ")</f>
        <v/>
      </c>
      <c r="DB124" s="470"/>
      <c r="DC124" s="470"/>
      <c r="DD124" s="470"/>
      <c r="DE124" s="470"/>
      <c r="DF124" s="486">
        <f>IF($E124&lt;=SUM($O$35:$V$35),0,1)</f>
        <v>0</v>
      </c>
      <c r="DG124" s="486">
        <f>IF($F124&lt;=SUM($W$35:$Z$35),0,1)</f>
        <v>0</v>
      </c>
      <c r="DH124" s="486">
        <f>IF($G124&lt;=SUM($AA$35:$AB$35),0,1)</f>
        <v>0</v>
      </c>
      <c r="DI124" s="486">
        <f>IF($H124&lt;=SUM($AC$35:$AF$35),0,1)</f>
        <v>0</v>
      </c>
      <c r="DJ124" s="486">
        <f>IF($I124&lt;=SUM($AG$35:$AH$35),0,1)</f>
        <v>0</v>
      </c>
      <c r="DK124" s="486">
        <f>IF($J124&lt;=SUM($G$68:$H$68),0,1)</f>
        <v>0</v>
      </c>
    </row>
    <row r="125" spans="1:136" ht="27.75" customHeight="1" x14ac:dyDescent="0.25">
      <c r="B125" s="1629" t="s">
        <v>1431</v>
      </c>
      <c r="AC125" s="221"/>
      <c r="AD125" s="221"/>
      <c r="AE125" s="221"/>
      <c r="AF125" s="221"/>
      <c r="AG125" s="221"/>
      <c r="AH125" s="221"/>
      <c r="AI125" s="221"/>
      <c r="AJ125" s="221"/>
      <c r="AK125" s="221"/>
      <c r="AL125" s="221"/>
      <c r="AM125" s="221"/>
      <c r="AN125" s="221"/>
      <c r="AO125" s="221"/>
      <c r="AP125" s="221"/>
      <c r="AQ125" s="221"/>
      <c r="AR125" s="221"/>
      <c r="DB125" s="470"/>
      <c r="DC125" s="470"/>
      <c r="DD125" s="470"/>
      <c r="DE125" s="470"/>
      <c r="DF125" s="470"/>
      <c r="DG125" s="470"/>
      <c r="DH125" s="470"/>
      <c r="DI125" s="470"/>
      <c r="DJ125" s="470"/>
      <c r="DK125" s="470"/>
    </row>
    <row r="126" spans="1:136" ht="19.5" customHeight="1" x14ac:dyDescent="0.25">
      <c r="B126" s="1973" t="s">
        <v>665</v>
      </c>
      <c r="C126" s="1974"/>
      <c r="D126" s="2057" t="s">
        <v>15</v>
      </c>
      <c r="E126" s="2058"/>
      <c r="F126" s="2059"/>
      <c r="G126" s="2045" t="s">
        <v>83</v>
      </c>
      <c r="H126" s="2067"/>
      <c r="I126" s="2067"/>
      <c r="J126" s="2067"/>
      <c r="K126" s="2067"/>
      <c r="L126" s="2067"/>
      <c r="M126" s="2067"/>
      <c r="N126" s="2067"/>
      <c r="O126" s="2067"/>
      <c r="P126" s="2067"/>
      <c r="Q126" s="2067"/>
      <c r="R126" s="2067"/>
      <c r="S126" s="2067"/>
      <c r="T126" s="2067"/>
      <c r="U126" s="2067"/>
      <c r="V126" s="2067"/>
      <c r="W126" s="2067"/>
      <c r="X126" s="2067"/>
      <c r="Y126" s="2067"/>
      <c r="Z126" s="2067"/>
      <c r="AA126" s="2067"/>
      <c r="AB126" s="2067"/>
      <c r="AC126" s="2067"/>
      <c r="AD126" s="2067"/>
      <c r="AE126" s="2067"/>
      <c r="AF126" s="2067"/>
      <c r="AG126" s="2067"/>
      <c r="AH126" s="2067"/>
      <c r="AI126" s="2067"/>
      <c r="AJ126" s="2067"/>
      <c r="AK126" s="2067"/>
      <c r="AL126" s="2067"/>
      <c r="AM126" s="2067"/>
      <c r="AN126" s="2067"/>
      <c r="AO126" s="2067"/>
      <c r="AP126" s="2067"/>
      <c r="AQ126" s="2067"/>
      <c r="AR126" s="2068"/>
      <c r="AS126" s="2049" t="s">
        <v>17</v>
      </c>
      <c r="AT126" s="2050"/>
      <c r="AU126" s="2072" t="s">
        <v>527</v>
      </c>
      <c r="AV126" s="2073"/>
      <c r="AW126" s="411"/>
      <c r="AX126" s="411"/>
      <c r="AY126" s="411"/>
      <c r="AZ126" s="221"/>
      <c r="BA126" s="221"/>
      <c r="BS126"/>
      <c r="BT126"/>
      <c r="BU126"/>
      <c r="BV126"/>
      <c r="CB126" s="216"/>
      <c r="CC126" s="216"/>
      <c r="CD126" s="216"/>
      <c r="CE126" s="216"/>
      <c r="CM126" s="474"/>
      <c r="CN126" s="474"/>
      <c r="CO126" s="474"/>
      <c r="CP126" s="474"/>
      <c r="DB126" s="391"/>
      <c r="DC126" s="391"/>
      <c r="DD126" s="391"/>
      <c r="DE126" s="391"/>
      <c r="DF126" s="470"/>
      <c r="DG126" s="470"/>
      <c r="DH126" s="470"/>
      <c r="DI126" s="470"/>
      <c r="DJ126" s="470"/>
      <c r="DK126" s="470"/>
      <c r="EB126" s="470"/>
      <c r="EC126" s="470"/>
      <c r="ED126" s="470"/>
      <c r="EE126" s="470"/>
    </row>
    <row r="127" spans="1:136" ht="19.5" customHeight="1" x14ac:dyDescent="0.25">
      <c r="B127" s="2064"/>
      <c r="C127" s="2065"/>
      <c r="D127" s="2060"/>
      <c r="E127" s="1986"/>
      <c r="F127" s="1987"/>
      <c r="G127" s="2063" t="s">
        <v>84</v>
      </c>
      <c r="H127" s="1989"/>
      <c r="I127" s="2063" t="s">
        <v>85</v>
      </c>
      <c r="J127" s="1989"/>
      <c r="K127" s="2063" t="s">
        <v>86</v>
      </c>
      <c r="L127" s="1989"/>
      <c r="M127" s="2063" t="s">
        <v>87</v>
      </c>
      <c r="N127" s="1989"/>
      <c r="O127" s="2063" t="s">
        <v>88</v>
      </c>
      <c r="P127" s="1989"/>
      <c r="Q127" s="2063" t="s">
        <v>89</v>
      </c>
      <c r="R127" s="1989"/>
      <c r="S127" s="2063" t="s">
        <v>90</v>
      </c>
      <c r="T127" s="1989"/>
      <c r="U127" s="2063" t="s">
        <v>91</v>
      </c>
      <c r="V127" s="1989"/>
      <c r="W127" s="2063" t="s">
        <v>92</v>
      </c>
      <c r="X127" s="1989"/>
      <c r="Y127" s="2063" t="s">
        <v>93</v>
      </c>
      <c r="Z127" s="1989"/>
      <c r="AA127" s="2063" t="s">
        <v>94</v>
      </c>
      <c r="AB127" s="1989"/>
      <c r="AC127" s="2063" t="s">
        <v>95</v>
      </c>
      <c r="AD127" s="1989"/>
      <c r="AE127" s="2063" t="s">
        <v>96</v>
      </c>
      <c r="AF127" s="1989"/>
      <c r="AG127" s="2063" t="s">
        <v>97</v>
      </c>
      <c r="AH127" s="1989"/>
      <c r="AI127" s="2078" t="s">
        <v>98</v>
      </c>
      <c r="AJ127" s="1989"/>
      <c r="AK127" s="2063" t="s">
        <v>666</v>
      </c>
      <c r="AL127" s="1989"/>
      <c r="AM127" s="1988" t="s">
        <v>667</v>
      </c>
      <c r="AN127" s="2066"/>
      <c r="AO127" s="2042" t="s">
        <v>144</v>
      </c>
      <c r="AP127" s="1936"/>
      <c r="AQ127" s="2041" t="s">
        <v>19</v>
      </c>
      <c r="AR127" s="2079"/>
      <c r="AS127" s="2051"/>
      <c r="AT127" s="2052"/>
      <c r="AU127" s="2074"/>
      <c r="AV127" s="2075"/>
      <c r="AW127" s="411"/>
      <c r="AX127" s="411"/>
      <c r="AY127" s="411"/>
      <c r="AZ127" s="221"/>
      <c r="BA127" s="221"/>
      <c r="BS127"/>
      <c r="BT127"/>
      <c r="BU127"/>
      <c r="BV127"/>
      <c r="CB127" s="216"/>
      <c r="CC127" s="216"/>
      <c r="CD127" s="216"/>
      <c r="CE127" s="216"/>
      <c r="CM127" s="474"/>
      <c r="CN127" s="474"/>
      <c r="CO127" s="474"/>
      <c r="CP127" s="474"/>
      <c r="DB127" s="391"/>
      <c r="DC127" s="391"/>
      <c r="DD127" s="391"/>
      <c r="DE127" s="391"/>
      <c r="DF127" s="470"/>
      <c r="DG127" s="470"/>
      <c r="DH127" s="470"/>
      <c r="DI127" s="470"/>
      <c r="DJ127" s="470"/>
      <c r="DK127" s="470"/>
      <c r="EB127" s="470"/>
      <c r="EC127" s="470"/>
      <c r="ED127" s="470"/>
      <c r="EE127" s="470"/>
    </row>
    <row r="128" spans="1:136" ht="28.5" customHeight="1" x14ac:dyDescent="0.25">
      <c r="B128" s="1975"/>
      <c r="C128" s="1976"/>
      <c r="D128" s="113" t="s">
        <v>412</v>
      </c>
      <c r="E128" s="114" t="s">
        <v>33</v>
      </c>
      <c r="F128" s="1335" t="s">
        <v>100</v>
      </c>
      <c r="G128" s="114" t="s">
        <v>33</v>
      </c>
      <c r="H128" s="115" t="s">
        <v>100</v>
      </c>
      <c r="I128" s="114" t="s">
        <v>33</v>
      </c>
      <c r="J128" s="115" t="s">
        <v>100</v>
      </c>
      <c r="K128" s="114" t="s">
        <v>33</v>
      </c>
      <c r="L128" s="115" t="s">
        <v>100</v>
      </c>
      <c r="M128" s="114" t="s">
        <v>33</v>
      </c>
      <c r="N128" s="115" t="s">
        <v>100</v>
      </c>
      <c r="O128" s="114" t="s">
        <v>33</v>
      </c>
      <c r="P128" s="115" t="s">
        <v>100</v>
      </c>
      <c r="Q128" s="114" t="s">
        <v>33</v>
      </c>
      <c r="R128" s="115" t="s">
        <v>100</v>
      </c>
      <c r="S128" s="114" t="s">
        <v>33</v>
      </c>
      <c r="T128" s="115" t="s">
        <v>100</v>
      </c>
      <c r="U128" s="114" t="s">
        <v>33</v>
      </c>
      <c r="V128" s="115" t="s">
        <v>100</v>
      </c>
      <c r="W128" s="114" t="s">
        <v>33</v>
      </c>
      <c r="X128" s="115" t="s">
        <v>100</v>
      </c>
      <c r="Y128" s="114" t="s">
        <v>33</v>
      </c>
      <c r="Z128" s="115" t="s">
        <v>100</v>
      </c>
      <c r="AA128" s="114" t="s">
        <v>33</v>
      </c>
      <c r="AB128" s="115" t="s">
        <v>100</v>
      </c>
      <c r="AC128" s="114" t="s">
        <v>33</v>
      </c>
      <c r="AD128" s="115" t="s">
        <v>100</v>
      </c>
      <c r="AE128" s="114" t="s">
        <v>33</v>
      </c>
      <c r="AF128" s="115" t="s">
        <v>100</v>
      </c>
      <c r="AG128" s="114" t="s">
        <v>33</v>
      </c>
      <c r="AH128" s="115" t="s">
        <v>100</v>
      </c>
      <c r="AI128" s="1359" t="s">
        <v>33</v>
      </c>
      <c r="AJ128" s="127" t="s">
        <v>100</v>
      </c>
      <c r="AK128" s="1830" t="s">
        <v>33</v>
      </c>
      <c r="AL128" s="115" t="s">
        <v>100</v>
      </c>
      <c r="AM128" s="1359" t="s">
        <v>33</v>
      </c>
      <c r="AN128" s="127" t="s">
        <v>100</v>
      </c>
      <c r="AO128" s="1359" t="s">
        <v>33</v>
      </c>
      <c r="AP128" s="115" t="s">
        <v>100</v>
      </c>
      <c r="AQ128" s="1359" t="s">
        <v>33</v>
      </c>
      <c r="AR128" s="363" t="s">
        <v>100</v>
      </c>
      <c r="AS128" s="364" t="s">
        <v>33</v>
      </c>
      <c r="AT128" s="1495" t="s">
        <v>100</v>
      </c>
      <c r="AU128" s="1360" t="s">
        <v>33</v>
      </c>
      <c r="AV128" s="1335" t="s">
        <v>100</v>
      </c>
      <c r="AW128" s="411"/>
      <c r="AX128" s="411"/>
      <c r="AY128" s="411"/>
      <c r="AZ128" s="221"/>
      <c r="BA128" s="221"/>
      <c r="BS128"/>
      <c r="BT128"/>
      <c r="BU128"/>
      <c r="BV128"/>
      <c r="CB128" s="216"/>
      <c r="CC128" s="216"/>
      <c r="CD128" s="216"/>
      <c r="CE128" s="216"/>
      <c r="CM128" s="474"/>
      <c r="CN128" s="474"/>
      <c r="CO128" s="474"/>
      <c r="CP128" s="474"/>
      <c r="DB128" s="391"/>
      <c r="DC128" s="391"/>
      <c r="DD128" s="391"/>
      <c r="DE128" s="391"/>
      <c r="DF128" s="470"/>
      <c r="DG128" s="470"/>
      <c r="DH128" s="470"/>
      <c r="DI128" s="470"/>
      <c r="DJ128" s="470"/>
      <c r="DK128" s="470"/>
      <c r="EB128" s="470"/>
      <c r="EC128" s="470"/>
      <c r="ED128" s="470"/>
      <c r="EE128" s="470"/>
    </row>
    <row r="129" spans="1:135" ht="21.75" customHeight="1" x14ac:dyDescent="0.25">
      <c r="A129" s="1775" t="s">
        <v>960</v>
      </c>
      <c r="B129" s="2011" t="s">
        <v>668</v>
      </c>
      <c r="C129" s="2012"/>
      <c r="D129" s="841" t="s">
        <v>1384</v>
      </c>
      <c r="E129" s="908" t="s">
        <v>1385</v>
      </c>
      <c r="F129" s="909" t="s">
        <v>1386</v>
      </c>
      <c r="G129" s="842" t="s">
        <v>1387</v>
      </c>
      <c r="H129" s="843" t="s">
        <v>1388</v>
      </c>
      <c r="I129" s="842" t="s">
        <v>1389</v>
      </c>
      <c r="J129" s="843" t="s">
        <v>1390</v>
      </c>
      <c r="K129" s="842" t="s">
        <v>1391</v>
      </c>
      <c r="L129" s="843" t="s">
        <v>1392</v>
      </c>
      <c r="M129" s="842" t="s">
        <v>1393</v>
      </c>
      <c r="N129" s="844" t="s">
        <v>1394</v>
      </c>
      <c r="O129" s="842" t="s">
        <v>1395</v>
      </c>
      <c r="P129" s="843" t="s">
        <v>1396</v>
      </c>
      <c r="Q129" s="842" t="s">
        <v>1397</v>
      </c>
      <c r="R129" s="843" t="s">
        <v>1398</v>
      </c>
      <c r="S129" s="845" t="s">
        <v>1399</v>
      </c>
      <c r="T129" s="843" t="s">
        <v>1400</v>
      </c>
      <c r="U129" s="842" t="s">
        <v>1401</v>
      </c>
      <c r="V129" s="844" t="s">
        <v>1402</v>
      </c>
      <c r="W129" s="842" t="s">
        <v>1403</v>
      </c>
      <c r="X129" s="843" t="s">
        <v>1404</v>
      </c>
      <c r="Y129" s="842" t="s">
        <v>1405</v>
      </c>
      <c r="Z129" s="843" t="s">
        <v>1406</v>
      </c>
      <c r="AA129" s="842" t="s">
        <v>1407</v>
      </c>
      <c r="AB129" s="843" t="s">
        <v>1408</v>
      </c>
      <c r="AC129" s="842" t="s">
        <v>1409</v>
      </c>
      <c r="AD129" s="860" t="s">
        <v>1410</v>
      </c>
      <c r="AE129" s="842" t="s">
        <v>1411</v>
      </c>
      <c r="AF129" s="843" t="s">
        <v>1412</v>
      </c>
      <c r="AG129" s="842" t="s">
        <v>1413</v>
      </c>
      <c r="AH129" s="844" t="s">
        <v>1414</v>
      </c>
      <c r="AI129" s="842" t="s">
        <v>1415</v>
      </c>
      <c r="AJ129" s="844" t="s">
        <v>1416</v>
      </c>
      <c r="AK129" s="842" t="s">
        <v>1417</v>
      </c>
      <c r="AL129" s="844" t="s">
        <v>1418</v>
      </c>
      <c r="AM129" s="842" t="s">
        <v>1419</v>
      </c>
      <c r="AN129" s="843" t="s">
        <v>1420</v>
      </c>
      <c r="AO129" s="842" t="s">
        <v>1421</v>
      </c>
      <c r="AP129" s="843" t="s">
        <v>1422</v>
      </c>
      <c r="AQ129" s="842" t="s">
        <v>1423</v>
      </c>
      <c r="AR129" s="881" t="s">
        <v>1424</v>
      </c>
      <c r="AS129" s="842" t="s">
        <v>1425</v>
      </c>
      <c r="AT129" s="1496" t="s">
        <v>1426</v>
      </c>
      <c r="AU129" s="842" t="s">
        <v>1427</v>
      </c>
      <c r="AV129" s="843" t="s">
        <v>1428</v>
      </c>
      <c r="AW129" s="411" t="e">
        <f>CG129&amp;CH129&amp;CI129&amp;CJ129</f>
        <v>#VALUE!</v>
      </c>
      <c r="AX129" s="411"/>
      <c r="AY129" s="411"/>
      <c r="AZ129" s="221"/>
      <c r="BA129" s="221"/>
      <c r="BS129"/>
      <c r="BT129"/>
      <c r="BU129"/>
      <c r="BV129"/>
      <c r="CB129" s="216"/>
      <c r="CC129" s="216"/>
      <c r="CD129" s="216"/>
      <c r="CE129" s="216"/>
      <c r="CG129" s="465" t="str">
        <f>IF(DF129=1,"* No olvide escribir en las celdas de ""Pueblos Originarios"" (Digite Cero si no tiene).","")</f>
        <v/>
      </c>
      <c r="CH129" s="465" t="str">
        <f>IF(DG129=1,"* No olvide escribir en las celdas de ""Población Migrante"" (Digite Cero si no tiene).","")</f>
        <v/>
      </c>
      <c r="CI129" s="465" t="e">
        <f>IF(DH129=1,"* La suma de las celdas de ""Pueblos Originarios""no debe superar el Total.","")</f>
        <v>#VALUE!</v>
      </c>
      <c r="CJ129" s="465" t="e">
        <f>IF(DI129=1,"* La suma de las celdas de ""Población Migrante"" no debe superar el Total.","")</f>
        <v>#VALUE!</v>
      </c>
      <c r="CM129" s="474"/>
      <c r="CN129" s="474"/>
      <c r="CO129" s="474"/>
      <c r="CP129" s="474"/>
      <c r="DB129" s="391"/>
      <c r="DC129" s="391"/>
      <c r="DD129" s="391"/>
      <c r="DE129" s="391"/>
      <c r="DF129" s="470">
        <f>IF(AND($D129&lt;&gt;0,OR(AS129="",AT129="")),1,0)</f>
        <v>0</v>
      </c>
      <c r="DG129" s="470">
        <f>IF(AND($D129&lt;&gt;0,OR(AU129="",AV129="")),1,0)</f>
        <v>0</v>
      </c>
      <c r="DH129" s="470" t="e">
        <f>IF((AS129+AT129)&gt;$D129,1,0)</f>
        <v>#VALUE!</v>
      </c>
      <c r="DI129" s="470" t="e">
        <f>IF((AV129+AU129)&gt;$D129,1,0)</f>
        <v>#VALUE!</v>
      </c>
      <c r="DJ129" s="470"/>
      <c r="DK129" s="470"/>
      <c r="EB129" s="470"/>
      <c r="EC129" s="470"/>
      <c r="ED129" s="470"/>
      <c r="EE129" s="470"/>
    </row>
    <row r="130" spans="1:135" ht="16.5" customHeight="1" x14ac:dyDescent="0.25">
      <c r="A130" s="1775" t="s">
        <v>961</v>
      </c>
      <c r="B130" s="2061" t="s">
        <v>669</v>
      </c>
      <c r="C130" s="2062"/>
      <c r="D130" s="887" t="s">
        <v>1384</v>
      </c>
      <c r="E130" s="910" t="s">
        <v>1385</v>
      </c>
      <c r="F130" s="911" t="s">
        <v>1386</v>
      </c>
      <c r="G130" s="888" t="s">
        <v>1387</v>
      </c>
      <c r="H130" s="889" t="s">
        <v>1388</v>
      </c>
      <c r="I130" s="888" t="s">
        <v>1389</v>
      </c>
      <c r="J130" s="889" t="s">
        <v>1390</v>
      </c>
      <c r="K130" s="888" t="s">
        <v>1391</v>
      </c>
      <c r="L130" s="889" t="s">
        <v>1392</v>
      </c>
      <c r="M130" s="888" t="s">
        <v>1393</v>
      </c>
      <c r="N130" s="890" t="s">
        <v>1394</v>
      </c>
      <c r="O130" s="888" t="s">
        <v>1395</v>
      </c>
      <c r="P130" s="889" t="s">
        <v>1396</v>
      </c>
      <c r="Q130" s="888" t="s">
        <v>1397</v>
      </c>
      <c r="R130" s="889" t="s">
        <v>1398</v>
      </c>
      <c r="S130" s="891" t="s">
        <v>1399</v>
      </c>
      <c r="T130" s="889" t="s">
        <v>1400</v>
      </c>
      <c r="U130" s="888" t="s">
        <v>1401</v>
      </c>
      <c r="V130" s="890" t="s">
        <v>1402</v>
      </c>
      <c r="W130" s="888" t="s">
        <v>1403</v>
      </c>
      <c r="X130" s="889" t="s">
        <v>1404</v>
      </c>
      <c r="Y130" s="888" t="s">
        <v>1405</v>
      </c>
      <c r="Z130" s="889" t="s">
        <v>1406</v>
      </c>
      <c r="AA130" s="888" t="s">
        <v>1407</v>
      </c>
      <c r="AB130" s="889" t="s">
        <v>1408</v>
      </c>
      <c r="AC130" s="888" t="s">
        <v>1409</v>
      </c>
      <c r="AD130" s="1334" t="s">
        <v>1410</v>
      </c>
      <c r="AE130" s="888" t="s">
        <v>1411</v>
      </c>
      <c r="AF130" s="889" t="s">
        <v>1412</v>
      </c>
      <c r="AG130" s="888" t="s">
        <v>1413</v>
      </c>
      <c r="AH130" s="890" t="s">
        <v>1414</v>
      </c>
      <c r="AI130" s="888" t="s">
        <v>1415</v>
      </c>
      <c r="AJ130" s="890" t="s">
        <v>1416</v>
      </c>
      <c r="AK130" s="888" t="s">
        <v>1417</v>
      </c>
      <c r="AL130" s="890" t="s">
        <v>1418</v>
      </c>
      <c r="AM130" s="888" t="s">
        <v>1419</v>
      </c>
      <c r="AN130" s="889" t="s">
        <v>1420</v>
      </c>
      <c r="AO130" s="891" t="s">
        <v>1421</v>
      </c>
      <c r="AP130" s="890" t="s">
        <v>1422</v>
      </c>
      <c r="AQ130" s="888" t="s">
        <v>1423</v>
      </c>
      <c r="AR130" s="893" t="s">
        <v>1424</v>
      </c>
      <c r="AS130" s="892" t="s">
        <v>1425</v>
      </c>
      <c r="AT130" s="927" t="s">
        <v>1426</v>
      </c>
      <c r="AU130" s="891" t="s">
        <v>1427</v>
      </c>
      <c r="AV130" s="889" t="s">
        <v>1428</v>
      </c>
      <c r="AW130" s="411" t="e">
        <f t="shared" ref="AW130:AW145" si="38">CG130&amp;CH130&amp;CI130&amp;CJ130</f>
        <v>#VALUE!</v>
      </c>
      <c r="AX130" s="411"/>
      <c r="AY130" s="411"/>
      <c r="AZ130" s="221"/>
      <c r="BA130" s="221"/>
      <c r="BS130"/>
      <c r="BT130"/>
      <c r="BU130"/>
      <c r="BV130"/>
      <c r="CB130" s="216"/>
      <c r="CC130" s="216"/>
      <c r="CD130" s="216"/>
      <c r="CE130" s="216"/>
      <c r="CG130" s="465" t="str">
        <f t="shared" ref="CG130:CG145" si="39">IF(DF130=1,"* No olvide escribir en las celdas de ""Pueblos Originarios"" (Digite Cero si no tiene).","")</f>
        <v/>
      </c>
      <c r="CH130" s="465" t="str">
        <f t="shared" ref="CH130:CH145" si="40">IF(DG130=1,"* No olvide escribir en las celdas de ""Población Migrante"" (Digite Cero si no tiene).","")</f>
        <v/>
      </c>
      <c r="CI130" s="465" t="e">
        <f t="shared" ref="CI130:CI145" si="41">IF(DH130=1,"* La suma de las celdas de ""Pueblos Originarios""no debe superar el Total.","")</f>
        <v>#VALUE!</v>
      </c>
      <c r="CJ130" s="465" t="e">
        <f t="shared" ref="CJ130:CJ145" si="42">IF(DI130=1,"* La suma de las celdas de ""Población Migrante"" no debe superar el Total.","")</f>
        <v>#VALUE!</v>
      </c>
      <c r="CM130" s="474"/>
      <c r="CN130" s="474"/>
      <c r="CO130" s="474"/>
      <c r="CP130" s="474"/>
      <c r="DB130" s="391"/>
      <c r="DC130" s="391"/>
      <c r="DD130" s="391"/>
      <c r="DE130" s="391"/>
      <c r="DF130" s="470">
        <f t="shared" ref="DF130:DF145" si="43">IF(AND($D130&lt;&gt;0,OR(AS130="",AT130="")),1,0)</f>
        <v>0</v>
      </c>
      <c r="DG130" s="470">
        <f t="shared" ref="DG130:DG145" si="44">IF(AND($D130&lt;&gt;0,OR(AU130="",AV130="")),1,0)</f>
        <v>0</v>
      </c>
      <c r="DH130" s="470" t="e">
        <f t="shared" ref="DH130:DH145" si="45">IF((AS130+AT130)&gt;$D130,1,0)</f>
        <v>#VALUE!</v>
      </c>
      <c r="DI130" s="470" t="e">
        <f t="shared" ref="DI130:DI145" si="46">IF((AV130+AU130)&gt;$D130,1,0)</f>
        <v>#VALUE!</v>
      </c>
      <c r="DJ130" s="470"/>
      <c r="DK130" s="470"/>
      <c r="EB130" s="470"/>
      <c r="EC130" s="470"/>
      <c r="ED130" s="470"/>
      <c r="EE130" s="470"/>
    </row>
    <row r="131" spans="1:135" ht="16.5" customHeight="1" x14ac:dyDescent="0.25">
      <c r="A131" s="1775" t="s">
        <v>962</v>
      </c>
      <c r="B131" s="2061" t="s">
        <v>670</v>
      </c>
      <c r="C131" s="2062"/>
      <c r="D131" s="887" t="s">
        <v>1384</v>
      </c>
      <c r="E131" s="910" t="s">
        <v>1385</v>
      </c>
      <c r="F131" s="911" t="s">
        <v>1386</v>
      </c>
      <c r="G131" s="875" t="s">
        <v>1387</v>
      </c>
      <c r="H131" s="878" t="s">
        <v>1388</v>
      </c>
      <c r="I131" s="875" t="s">
        <v>1389</v>
      </c>
      <c r="J131" s="878" t="s">
        <v>1390</v>
      </c>
      <c r="K131" s="875" t="s">
        <v>1391</v>
      </c>
      <c r="L131" s="878" t="s">
        <v>1392</v>
      </c>
      <c r="M131" s="875" t="s">
        <v>1393</v>
      </c>
      <c r="N131" s="878" t="s">
        <v>1394</v>
      </c>
      <c r="O131" s="875" t="s">
        <v>1395</v>
      </c>
      <c r="P131" s="878" t="s">
        <v>1396</v>
      </c>
      <c r="Q131" s="875" t="s">
        <v>1397</v>
      </c>
      <c r="R131" s="878" t="s">
        <v>1398</v>
      </c>
      <c r="S131" s="875" t="s">
        <v>1399</v>
      </c>
      <c r="T131" s="878" t="s">
        <v>1400</v>
      </c>
      <c r="U131" s="875" t="s">
        <v>1401</v>
      </c>
      <c r="V131" s="878" t="s">
        <v>1402</v>
      </c>
      <c r="W131" s="875" t="s">
        <v>1403</v>
      </c>
      <c r="X131" s="878" t="s">
        <v>1404</v>
      </c>
      <c r="Y131" s="875" t="s">
        <v>1405</v>
      </c>
      <c r="Z131" s="878" t="s">
        <v>1406</v>
      </c>
      <c r="AA131" s="875" t="s">
        <v>1407</v>
      </c>
      <c r="AB131" s="878" t="s">
        <v>1408</v>
      </c>
      <c r="AC131" s="875" t="s">
        <v>1409</v>
      </c>
      <c r="AD131" s="878" t="s">
        <v>1410</v>
      </c>
      <c r="AE131" s="875" t="s">
        <v>1411</v>
      </c>
      <c r="AF131" s="878" t="s">
        <v>1412</v>
      </c>
      <c r="AG131" s="875" t="s">
        <v>1413</v>
      </c>
      <c r="AH131" s="878" t="s">
        <v>1414</v>
      </c>
      <c r="AI131" s="875" t="s">
        <v>1415</v>
      </c>
      <c r="AJ131" s="878" t="s">
        <v>1416</v>
      </c>
      <c r="AK131" s="875" t="s">
        <v>1417</v>
      </c>
      <c r="AL131" s="878" t="s">
        <v>1418</v>
      </c>
      <c r="AM131" s="875" t="s">
        <v>1419</v>
      </c>
      <c r="AN131" s="878" t="s">
        <v>1420</v>
      </c>
      <c r="AO131" s="876" t="s">
        <v>1421</v>
      </c>
      <c r="AP131" s="878" t="s">
        <v>1422</v>
      </c>
      <c r="AQ131" s="875" t="s">
        <v>1423</v>
      </c>
      <c r="AR131" s="881" t="s">
        <v>1424</v>
      </c>
      <c r="AS131" s="880" t="s">
        <v>1425</v>
      </c>
      <c r="AT131" s="1496" t="s">
        <v>1426</v>
      </c>
      <c r="AU131" s="876" t="s">
        <v>1427</v>
      </c>
      <c r="AV131" s="878" t="s">
        <v>1428</v>
      </c>
      <c r="AW131" s="411" t="e">
        <f t="shared" si="38"/>
        <v>#VALUE!</v>
      </c>
      <c r="AX131" s="411"/>
      <c r="AY131" s="411"/>
      <c r="AZ131" s="221"/>
      <c r="BA131" s="221"/>
      <c r="BS131"/>
      <c r="BT131"/>
      <c r="BU131"/>
      <c r="BV131"/>
      <c r="CB131" s="216"/>
      <c r="CC131" s="216"/>
      <c r="CD131" s="216"/>
      <c r="CE131" s="216"/>
      <c r="CG131" s="465" t="str">
        <f t="shared" si="39"/>
        <v/>
      </c>
      <c r="CH131" s="465" t="str">
        <f t="shared" si="40"/>
        <v/>
      </c>
      <c r="CI131" s="465" t="e">
        <f t="shared" si="41"/>
        <v>#VALUE!</v>
      </c>
      <c r="CJ131" s="465" t="e">
        <f t="shared" si="42"/>
        <v>#VALUE!</v>
      </c>
      <c r="CM131" s="474"/>
      <c r="CN131" s="474"/>
      <c r="CO131" s="474"/>
      <c r="CP131" s="474"/>
      <c r="DB131" s="391"/>
      <c r="DC131" s="391"/>
      <c r="DD131" s="391"/>
      <c r="DE131" s="391"/>
      <c r="DF131" s="470">
        <f t="shared" si="43"/>
        <v>0</v>
      </c>
      <c r="DG131" s="470">
        <f t="shared" si="44"/>
        <v>0</v>
      </c>
      <c r="DH131" s="470" t="e">
        <f t="shared" si="45"/>
        <v>#VALUE!</v>
      </c>
      <c r="DI131" s="470" t="e">
        <f t="shared" si="46"/>
        <v>#VALUE!</v>
      </c>
      <c r="DJ131" s="470"/>
      <c r="DK131" s="470"/>
      <c r="EB131" s="470"/>
      <c r="EC131" s="470"/>
      <c r="ED131" s="470"/>
      <c r="EE131" s="470"/>
    </row>
    <row r="132" spans="1:135" ht="16.5" customHeight="1" x14ac:dyDescent="0.25">
      <c r="A132" s="1775" t="s">
        <v>963</v>
      </c>
      <c r="B132" s="2061" t="s">
        <v>671</v>
      </c>
      <c r="C132" s="2062"/>
      <c r="D132" s="887" t="s">
        <v>1384</v>
      </c>
      <c r="E132" s="910" t="s">
        <v>1385</v>
      </c>
      <c r="F132" s="911" t="s">
        <v>1386</v>
      </c>
      <c r="G132" s="888" t="s">
        <v>1387</v>
      </c>
      <c r="H132" s="889" t="s">
        <v>1388</v>
      </c>
      <c r="I132" s="888" t="s">
        <v>1389</v>
      </c>
      <c r="J132" s="889" t="s">
        <v>1390</v>
      </c>
      <c r="K132" s="888" t="s">
        <v>1391</v>
      </c>
      <c r="L132" s="889" t="s">
        <v>1392</v>
      </c>
      <c r="M132" s="888" t="s">
        <v>1393</v>
      </c>
      <c r="N132" s="889" t="s">
        <v>1394</v>
      </c>
      <c r="O132" s="888" t="s">
        <v>1395</v>
      </c>
      <c r="P132" s="889" t="s">
        <v>1396</v>
      </c>
      <c r="Q132" s="888" t="s">
        <v>1397</v>
      </c>
      <c r="R132" s="889" t="s">
        <v>1398</v>
      </c>
      <c r="S132" s="888" t="s">
        <v>1399</v>
      </c>
      <c r="T132" s="889" t="s">
        <v>1400</v>
      </c>
      <c r="U132" s="888" t="s">
        <v>1401</v>
      </c>
      <c r="V132" s="889" t="s">
        <v>1402</v>
      </c>
      <c r="W132" s="888" t="s">
        <v>1403</v>
      </c>
      <c r="X132" s="889" t="s">
        <v>1404</v>
      </c>
      <c r="Y132" s="888" t="s">
        <v>1405</v>
      </c>
      <c r="Z132" s="889" t="s">
        <v>1406</v>
      </c>
      <c r="AA132" s="888" t="s">
        <v>1407</v>
      </c>
      <c r="AB132" s="889" t="s">
        <v>1408</v>
      </c>
      <c r="AC132" s="888" t="s">
        <v>1409</v>
      </c>
      <c r="AD132" s="889" t="s">
        <v>1410</v>
      </c>
      <c r="AE132" s="888" t="s">
        <v>1411</v>
      </c>
      <c r="AF132" s="889" t="s">
        <v>1412</v>
      </c>
      <c r="AG132" s="888" t="s">
        <v>1413</v>
      </c>
      <c r="AH132" s="889" t="s">
        <v>1414</v>
      </c>
      <c r="AI132" s="888" t="s">
        <v>1415</v>
      </c>
      <c r="AJ132" s="889" t="s">
        <v>1416</v>
      </c>
      <c r="AK132" s="888" t="s">
        <v>1417</v>
      </c>
      <c r="AL132" s="889" t="s">
        <v>1418</v>
      </c>
      <c r="AM132" s="888" t="s">
        <v>1419</v>
      </c>
      <c r="AN132" s="889" t="s">
        <v>1420</v>
      </c>
      <c r="AO132" s="891" t="s">
        <v>1421</v>
      </c>
      <c r="AP132" s="889" t="s">
        <v>1422</v>
      </c>
      <c r="AQ132" s="888" t="s">
        <v>1423</v>
      </c>
      <c r="AR132" s="893" t="s">
        <v>1424</v>
      </c>
      <c r="AS132" s="892" t="s">
        <v>1425</v>
      </c>
      <c r="AT132" s="927" t="s">
        <v>1426</v>
      </c>
      <c r="AU132" s="891" t="s">
        <v>1427</v>
      </c>
      <c r="AV132" s="889" t="s">
        <v>1428</v>
      </c>
      <c r="AW132" s="411" t="e">
        <f t="shared" si="38"/>
        <v>#VALUE!</v>
      </c>
      <c r="AX132" s="411"/>
      <c r="AY132" s="411"/>
      <c r="AZ132" s="221"/>
      <c r="BA132" s="221"/>
      <c r="BS132"/>
      <c r="BT132"/>
      <c r="BU132"/>
      <c r="BV132"/>
      <c r="CB132" s="216"/>
      <c r="CC132" s="216"/>
      <c r="CD132" s="216"/>
      <c r="CE132" s="216"/>
      <c r="CG132" s="465" t="str">
        <f t="shared" si="39"/>
        <v/>
      </c>
      <c r="CH132" s="465" t="str">
        <f t="shared" si="40"/>
        <v/>
      </c>
      <c r="CI132" s="465" t="e">
        <f t="shared" si="41"/>
        <v>#VALUE!</v>
      </c>
      <c r="CJ132" s="465" t="e">
        <f t="shared" si="42"/>
        <v>#VALUE!</v>
      </c>
      <c r="CM132" s="474"/>
      <c r="CN132" s="474"/>
      <c r="CO132" s="474"/>
      <c r="CP132" s="474"/>
      <c r="DB132" s="391"/>
      <c r="DC132" s="391"/>
      <c r="DD132" s="391"/>
      <c r="DE132" s="391"/>
      <c r="DF132" s="470">
        <f t="shared" si="43"/>
        <v>0</v>
      </c>
      <c r="DG132" s="470">
        <f t="shared" si="44"/>
        <v>0</v>
      </c>
      <c r="DH132" s="470" t="e">
        <f t="shared" si="45"/>
        <v>#VALUE!</v>
      </c>
      <c r="DI132" s="470" t="e">
        <f t="shared" si="46"/>
        <v>#VALUE!</v>
      </c>
      <c r="DJ132" s="470"/>
      <c r="DK132" s="470"/>
      <c r="EB132" s="470"/>
      <c r="EC132" s="470"/>
      <c r="ED132" s="470"/>
      <c r="EE132" s="470"/>
    </row>
    <row r="133" spans="1:135" ht="16.5" customHeight="1" x14ac:dyDescent="0.25">
      <c r="A133" s="1775" t="s">
        <v>964</v>
      </c>
      <c r="B133" s="2061" t="s">
        <v>672</v>
      </c>
      <c r="C133" s="2062"/>
      <c r="D133" s="887" t="s">
        <v>1384</v>
      </c>
      <c r="E133" s="910" t="s">
        <v>1385</v>
      </c>
      <c r="F133" s="911" t="s">
        <v>1386</v>
      </c>
      <c r="G133" s="888" t="s">
        <v>1387</v>
      </c>
      <c r="H133" s="889" t="s">
        <v>1388</v>
      </c>
      <c r="I133" s="888" t="s">
        <v>1389</v>
      </c>
      <c r="J133" s="889" t="s">
        <v>1390</v>
      </c>
      <c r="K133" s="888" t="s">
        <v>1391</v>
      </c>
      <c r="L133" s="889" t="s">
        <v>1392</v>
      </c>
      <c r="M133" s="888" t="s">
        <v>1393</v>
      </c>
      <c r="N133" s="889" t="s">
        <v>1394</v>
      </c>
      <c r="O133" s="888" t="s">
        <v>1395</v>
      </c>
      <c r="P133" s="889" t="s">
        <v>1396</v>
      </c>
      <c r="Q133" s="888" t="s">
        <v>1397</v>
      </c>
      <c r="R133" s="889" t="s">
        <v>1398</v>
      </c>
      <c r="S133" s="888" t="s">
        <v>1399</v>
      </c>
      <c r="T133" s="889" t="s">
        <v>1400</v>
      </c>
      <c r="U133" s="888" t="s">
        <v>1401</v>
      </c>
      <c r="V133" s="889" t="s">
        <v>1402</v>
      </c>
      <c r="W133" s="888" t="s">
        <v>1403</v>
      </c>
      <c r="X133" s="889" t="s">
        <v>1404</v>
      </c>
      <c r="Y133" s="888" t="s">
        <v>1405</v>
      </c>
      <c r="Z133" s="889" t="s">
        <v>1406</v>
      </c>
      <c r="AA133" s="888" t="s">
        <v>1407</v>
      </c>
      <c r="AB133" s="889" t="s">
        <v>1408</v>
      </c>
      <c r="AC133" s="888" t="s">
        <v>1409</v>
      </c>
      <c r="AD133" s="889" t="s">
        <v>1410</v>
      </c>
      <c r="AE133" s="888" t="s">
        <v>1411</v>
      </c>
      <c r="AF133" s="889" t="s">
        <v>1412</v>
      </c>
      <c r="AG133" s="888" t="s">
        <v>1413</v>
      </c>
      <c r="AH133" s="889" t="s">
        <v>1414</v>
      </c>
      <c r="AI133" s="888" t="s">
        <v>1415</v>
      </c>
      <c r="AJ133" s="889" t="s">
        <v>1416</v>
      </c>
      <c r="AK133" s="888" t="s">
        <v>1417</v>
      </c>
      <c r="AL133" s="889" t="s">
        <v>1418</v>
      </c>
      <c r="AM133" s="888" t="s">
        <v>1419</v>
      </c>
      <c r="AN133" s="889" t="s">
        <v>1420</v>
      </c>
      <c r="AO133" s="891" t="s">
        <v>1421</v>
      </c>
      <c r="AP133" s="889" t="s">
        <v>1422</v>
      </c>
      <c r="AQ133" s="888" t="s">
        <v>1423</v>
      </c>
      <c r="AR133" s="893" t="s">
        <v>1424</v>
      </c>
      <c r="AS133" s="892" t="s">
        <v>1425</v>
      </c>
      <c r="AT133" s="927" t="s">
        <v>1426</v>
      </c>
      <c r="AU133" s="891" t="s">
        <v>1427</v>
      </c>
      <c r="AV133" s="889" t="s">
        <v>1428</v>
      </c>
      <c r="AW133" s="411" t="e">
        <f t="shared" si="38"/>
        <v>#VALUE!</v>
      </c>
      <c r="AX133" s="411"/>
      <c r="AY133" s="411"/>
      <c r="AZ133" s="221"/>
      <c r="BA133" s="221"/>
      <c r="BS133"/>
      <c r="BT133"/>
      <c r="BU133"/>
      <c r="BV133"/>
      <c r="CB133" s="216"/>
      <c r="CC133" s="216"/>
      <c r="CD133" s="216"/>
      <c r="CE133" s="216"/>
      <c r="CG133" s="465" t="str">
        <f t="shared" si="39"/>
        <v/>
      </c>
      <c r="CH133" s="465" t="str">
        <f t="shared" si="40"/>
        <v/>
      </c>
      <c r="CI133" s="465" t="e">
        <f t="shared" si="41"/>
        <v>#VALUE!</v>
      </c>
      <c r="CJ133" s="465" t="e">
        <f t="shared" si="42"/>
        <v>#VALUE!</v>
      </c>
      <c r="CM133" s="474"/>
      <c r="CN133" s="474"/>
      <c r="CO133" s="474"/>
      <c r="CP133" s="474"/>
      <c r="DB133" s="391"/>
      <c r="DC133" s="391"/>
      <c r="DD133" s="391"/>
      <c r="DE133" s="391"/>
      <c r="DF133" s="470">
        <f t="shared" si="43"/>
        <v>0</v>
      </c>
      <c r="DG133" s="470">
        <f t="shared" si="44"/>
        <v>0</v>
      </c>
      <c r="DH133" s="470" t="e">
        <f t="shared" si="45"/>
        <v>#VALUE!</v>
      </c>
      <c r="DI133" s="470" t="e">
        <f t="shared" si="46"/>
        <v>#VALUE!</v>
      </c>
      <c r="DJ133" s="470"/>
      <c r="DK133" s="470"/>
      <c r="EB133" s="470"/>
      <c r="EC133" s="470"/>
      <c r="ED133" s="470"/>
      <c r="EE133" s="470"/>
    </row>
    <row r="134" spans="1:135" ht="16.5" customHeight="1" x14ac:dyDescent="0.25">
      <c r="A134" s="1775" t="s">
        <v>965</v>
      </c>
      <c r="B134" s="2061" t="s">
        <v>673</v>
      </c>
      <c r="C134" s="2062"/>
      <c r="D134" s="887" t="s">
        <v>1384</v>
      </c>
      <c r="E134" s="910" t="s">
        <v>1385</v>
      </c>
      <c r="F134" s="911" t="s">
        <v>1386</v>
      </c>
      <c r="G134" s="888" t="s">
        <v>1387</v>
      </c>
      <c r="H134" s="889" t="s">
        <v>1388</v>
      </c>
      <c r="I134" s="888" t="s">
        <v>1389</v>
      </c>
      <c r="J134" s="889" t="s">
        <v>1390</v>
      </c>
      <c r="K134" s="888" t="s">
        <v>1391</v>
      </c>
      <c r="L134" s="889" t="s">
        <v>1392</v>
      </c>
      <c r="M134" s="888" t="s">
        <v>1393</v>
      </c>
      <c r="N134" s="889" t="s">
        <v>1394</v>
      </c>
      <c r="O134" s="888" t="s">
        <v>1395</v>
      </c>
      <c r="P134" s="889" t="s">
        <v>1396</v>
      </c>
      <c r="Q134" s="888" t="s">
        <v>1397</v>
      </c>
      <c r="R134" s="889" t="s">
        <v>1398</v>
      </c>
      <c r="S134" s="888" t="s">
        <v>1399</v>
      </c>
      <c r="T134" s="889" t="s">
        <v>1400</v>
      </c>
      <c r="U134" s="888" t="s">
        <v>1401</v>
      </c>
      <c r="V134" s="889" t="s">
        <v>1402</v>
      </c>
      <c r="W134" s="888" t="s">
        <v>1403</v>
      </c>
      <c r="X134" s="889" t="s">
        <v>1404</v>
      </c>
      <c r="Y134" s="888" t="s">
        <v>1405</v>
      </c>
      <c r="Z134" s="889" t="s">
        <v>1406</v>
      </c>
      <c r="AA134" s="888" t="s">
        <v>1407</v>
      </c>
      <c r="AB134" s="889" t="s">
        <v>1408</v>
      </c>
      <c r="AC134" s="888" t="s">
        <v>1409</v>
      </c>
      <c r="AD134" s="889" t="s">
        <v>1410</v>
      </c>
      <c r="AE134" s="888" t="s">
        <v>1411</v>
      </c>
      <c r="AF134" s="889" t="s">
        <v>1412</v>
      </c>
      <c r="AG134" s="888" t="s">
        <v>1413</v>
      </c>
      <c r="AH134" s="889" t="s">
        <v>1414</v>
      </c>
      <c r="AI134" s="888" t="s">
        <v>1415</v>
      </c>
      <c r="AJ134" s="889" t="s">
        <v>1416</v>
      </c>
      <c r="AK134" s="888" t="s">
        <v>1417</v>
      </c>
      <c r="AL134" s="889" t="s">
        <v>1418</v>
      </c>
      <c r="AM134" s="888" t="s">
        <v>1419</v>
      </c>
      <c r="AN134" s="889" t="s">
        <v>1420</v>
      </c>
      <c r="AO134" s="891" t="s">
        <v>1421</v>
      </c>
      <c r="AP134" s="889" t="s">
        <v>1422</v>
      </c>
      <c r="AQ134" s="888" t="s">
        <v>1423</v>
      </c>
      <c r="AR134" s="893" t="s">
        <v>1424</v>
      </c>
      <c r="AS134" s="892" t="s">
        <v>1425</v>
      </c>
      <c r="AT134" s="927" t="s">
        <v>1426</v>
      </c>
      <c r="AU134" s="891" t="s">
        <v>1427</v>
      </c>
      <c r="AV134" s="889" t="s">
        <v>1428</v>
      </c>
      <c r="AW134" s="411" t="e">
        <f t="shared" si="38"/>
        <v>#VALUE!</v>
      </c>
      <c r="AX134" s="411"/>
      <c r="AY134" s="411"/>
      <c r="AZ134" s="221"/>
      <c r="BA134" s="221"/>
      <c r="BS134"/>
      <c r="BT134"/>
      <c r="BU134"/>
      <c r="BV134"/>
      <c r="CB134" s="216"/>
      <c r="CC134" s="216"/>
      <c r="CD134" s="216"/>
      <c r="CE134" s="216"/>
      <c r="CG134" s="465" t="str">
        <f t="shared" si="39"/>
        <v/>
      </c>
      <c r="CH134" s="465" t="str">
        <f t="shared" si="40"/>
        <v/>
      </c>
      <c r="CI134" s="465" t="e">
        <f t="shared" si="41"/>
        <v>#VALUE!</v>
      </c>
      <c r="CJ134" s="465" t="e">
        <f t="shared" si="42"/>
        <v>#VALUE!</v>
      </c>
      <c r="CM134" s="474"/>
      <c r="CN134" s="474"/>
      <c r="CO134" s="474"/>
      <c r="CP134" s="474"/>
      <c r="DB134" s="391"/>
      <c r="DC134" s="391"/>
      <c r="DD134" s="391"/>
      <c r="DE134" s="391"/>
      <c r="DF134" s="470">
        <f t="shared" si="43"/>
        <v>0</v>
      </c>
      <c r="DG134" s="470">
        <f t="shared" si="44"/>
        <v>0</v>
      </c>
      <c r="DH134" s="470" t="e">
        <f t="shared" si="45"/>
        <v>#VALUE!</v>
      </c>
      <c r="DI134" s="470" t="e">
        <f t="shared" si="46"/>
        <v>#VALUE!</v>
      </c>
      <c r="DJ134" s="470"/>
      <c r="DK134" s="470"/>
      <c r="EB134" s="470"/>
      <c r="EC134" s="470"/>
      <c r="ED134" s="470"/>
      <c r="EE134" s="470"/>
    </row>
    <row r="135" spans="1:135" ht="16.5" customHeight="1" x14ac:dyDescent="0.25">
      <c r="A135" s="1775" t="s">
        <v>966</v>
      </c>
      <c r="B135" s="2061" t="s">
        <v>674</v>
      </c>
      <c r="C135" s="2062"/>
      <c r="D135" s="887" t="s">
        <v>1384</v>
      </c>
      <c r="E135" s="910" t="s">
        <v>1385</v>
      </c>
      <c r="F135" s="911" t="s">
        <v>1386</v>
      </c>
      <c r="G135" s="888" t="s">
        <v>1387</v>
      </c>
      <c r="H135" s="889" t="s">
        <v>1388</v>
      </c>
      <c r="I135" s="888" t="s">
        <v>1389</v>
      </c>
      <c r="J135" s="889" t="s">
        <v>1390</v>
      </c>
      <c r="K135" s="888" t="s">
        <v>1391</v>
      </c>
      <c r="L135" s="889" t="s">
        <v>1392</v>
      </c>
      <c r="M135" s="888" t="s">
        <v>1393</v>
      </c>
      <c r="N135" s="889" t="s">
        <v>1394</v>
      </c>
      <c r="O135" s="888" t="s">
        <v>1395</v>
      </c>
      <c r="P135" s="889" t="s">
        <v>1396</v>
      </c>
      <c r="Q135" s="888" t="s">
        <v>1397</v>
      </c>
      <c r="R135" s="889" t="s">
        <v>1398</v>
      </c>
      <c r="S135" s="888" t="s">
        <v>1399</v>
      </c>
      <c r="T135" s="889" t="s">
        <v>1400</v>
      </c>
      <c r="U135" s="888" t="s">
        <v>1401</v>
      </c>
      <c r="V135" s="889" t="s">
        <v>1402</v>
      </c>
      <c r="W135" s="888" t="s">
        <v>1403</v>
      </c>
      <c r="X135" s="889" t="s">
        <v>1404</v>
      </c>
      <c r="Y135" s="888" t="s">
        <v>1405</v>
      </c>
      <c r="Z135" s="889" t="s">
        <v>1406</v>
      </c>
      <c r="AA135" s="888" t="s">
        <v>1407</v>
      </c>
      <c r="AB135" s="889" t="s">
        <v>1408</v>
      </c>
      <c r="AC135" s="888" t="s">
        <v>1409</v>
      </c>
      <c r="AD135" s="889" t="s">
        <v>1410</v>
      </c>
      <c r="AE135" s="888" t="s">
        <v>1411</v>
      </c>
      <c r="AF135" s="889" t="s">
        <v>1412</v>
      </c>
      <c r="AG135" s="888" t="s">
        <v>1413</v>
      </c>
      <c r="AH135" s="889" t="s">
        <v>1414</v>
      </c>
      <c r="AI135" s="888" t="s">
        <v>1415</v>
      </c>
      <c r="AJ135" s="889" t="s">
        <v>1416</v>
      </c>
      <c r="AK135" s="888" t="s">
        <v>1417</v>
      </c>
      <c r="AL135" s="889" t="s">
        <v>1418</v>
      </c>
      <c r="AM135" s="888" t="s">
        <v>1419</v>
      </c>
      <c r="AN135" s="889" t="s">
        <v>1420</v>
      </c>
      <c r="AO135" s="891" t="s">
        <v>1421</v>
      </c>
      <c r="AP135" s="889" t="s">
        <v>1422</v>
      </c>
      <c r="AQ135" s="888" t="s">
        <v>1423</v>
      </c>
      <c r="AR135" s="893" t="s">
        <v>1424</v>
      </c>
      <c r="AS135" s="892" t="s">
        <v>1425</v>
      </c>
      <c r="AT135" s="927" t="s">
        <v>1426</v>
      </c>
      <c r="AU135" s="891" t="s">
        <v>1427</v>
      </c>
      <c r="AV135" s="889" t="s">
        <v>1428</v>
      </c>
      <c r="AW135" s="411" t="e">
        <f t="shared" si="38"/>
        <v>#VALUE!</v>
      </c>
      <c r="AX135" s="411"/>
      <c r="AY135" s="411"/>
      <c r="AZ135" s="221"/>
      <c r="BA135" s="221"/>
      <c r="BS135"/>
      <c r="BT135"/>
      <c r="BU135"/>
      <c r="BV135"/>
      <c r="CB135" s="216"/>
      <c r="CC135" s="216"/>
      <c r="CD135" s="216"/>
      <c r="CE135" s="216"/>
      <c r="CG135" s="465" t="str">
        <f t="shared" si="39"/>
        <v/>
      </c>
      <c r="CH135" s="465" t="str">
        <f t="shared" si="40"/>
        <v/>
      </c>
      <c r="CI135" s="465" t="e">
        <f t="shared" si="41"/>
        <v>#VALUE!</v>
      </c>
      <c r="CJ135" s="465" t="e">
        <f t="shared" si="42"/>
        <v>#VALUE!</v>
      </c>
      <c r="CM135" s="474"/>
      <c r="CN135" s="474"/>
      <c r="CO135" s="474"/>
      <c r="CP135" s="474"/>
      <c r="DB135" s="391"/>
      <c r="DC135" s="391"/>
      <c r="DD135" s="391"/>
      <c r="DE135" s="391"/>
      <c r="DF135" s="470">
        <f t="shared" si="43"/>
        <v>0</v>
      </c>
      <c r="DG135" s="470">
        <f t="shared" si="44"/>
        <v>0</v>
      </c>
      <c r="DH135" s="470" t="e">
        <f t="shared" si="45"/>
        <v>#VALUE!</v>
      </c>
      <c r="DI135" s="470" t="e">
        <f t="shared" si="46"/>
        <v>#VALUE!</v>
      </c>
      <c r="DJ135" s="470"/>
      <c r="DK135" s="470"/>
      <c r="EB135" s="470"/>
      <c r="EC135" s="470"/>
      <c r="ED135" s="470"/>
      <c r="EE135" s="470"/>
    </row>
    <row r="136" spans="1:135" ht="16.5" customHeight="1" x14ac:dyDescent="0.25">
      <c r="A136" s="1775" t="s">
        <v>967</v>
      </c>
      <c r="B136" s="2061" t="s">
        <v>675</v>
      </c>
      <c r="C136" s="2062"/>
      <c r="D136" s="887" t="s">
        <v>1384</v>
      </c>
      <c r="E136" s="910" t="s">
        <v>1385</v>
      </c>
      <c r="F136" s="911" t="s">
        <v>1386</v>
      </c>
      <c r="G136" s="888" t="s">
        <v>1387</v>
      </c>
      <c r="H136" s="889" t="s">
        <v>1388</v>
      </c>
      <c r="I136" s="888" t="s">
        <v>1389</v>
      </c>
      <c r="J136" s="889" t="s">
        <v>1390</v>
      </c>
      <c r="K136" s="888" t="s">
        <v>1391</v>
      </c>
      <c r="L136" s="889" t="s">
        <v>1392</v>
      </c>
      <c r="M136" s="888" t="s">
        <v>1393</v>
      </c>
      <c r="N136" s="889" t="s">
        <v>1394</v>
      </c>
      <c r="O136" s="888" t="s">
        <v>1395</v>
      </c>
      <c r="P136" s="889" t="s">
        <v>1396</v>
      </c>
      <c r="Q136" s="888" t="s">
        <v>1397</v>
      </c>
      <c r="R136" s="889" t="s">
        <v>1398</v>
      </c>
      <c r="S136" s="888" t="s">
        <v>1399</v>
      </c>
      <c r="T136" s="889" t="s">
        <v>1400</v>
      </c>
      <c r="U136" s="888" t="s">
        <v>1401</v>
      </c>
      <c r="V136" s="889" t="s">
        <v>1402</v>
      </c>
      <c r="W136" s="888" t="s">
        <v>1403</v>
      </c>
      <c r="X136" s="889" t="s">
        <v>1404</v>
      </c>
      <c r="Y136" s="888" t="s">
        <v>1405</v>
      </c>
      <c r="Z136" s="889" t="s">
        <v>1406</v>
      </c>
      <c r="AA136" s="888" t="s">
        <v>1407</v>
      </c>
      <c r="AB136" s="889" t="s">
        <v>1408</v>
      </c>
      <c r="AC136" s="888" t="s">
        <v>1409</v>
      </c>
      <c r="AD136" s="889" t="s">
        <v>1410</v>
      </c>
      <c r="AE136" s="888" t="s">
        <v>1411</v>
      </c>
      <c r="AF136" s="889" t="s">
        <v>1412</v>
      </c>
      <c r="AG136" s="888" t="s">
        <v>1413</v>
      </c>
      <c r="AH136" s="889" t="s">
        <v>1414</v>
      </c>
      <c r="AI136" s="888" t="s">
        <v>1415</v>
      </c>
      <c r="AJ136" s="889" t="s">
        <v>1416</v>
      </c>
      <c r="AK136" s="888" t="s">
        <v>1417</v>
      </c>
      <c r="AL136" s="889" t="s">
        <v>1418</v>
      </c>
      <c r="AM136" s="888" t="s">
        <v>1419</v>
      </c>
      <c r="AN136" s="889" t="s">
        <v>1420</v>
      </c>
      <c r="AO136" s="891" t="s">
        <v>1421</v>
      </c>
      <c r="AP136" s="889" t="s">
        <v>1422</v>
      </c>
      <c r="AQ136" s="888" t="s">
        <v>1423</v>
      </c>
      <c r="AR136" s="893" t="s">
        <v>1424</v>
      </c>
      <c r="AS136" s="892" t="s">
        <v>1425</v>
      </c>
      <c r="AT136" s="927" t="s">
        <v>1426</v>
      </c>
      <c r="AU136" s="891" t="s">
        <v>1427</v>
      </c>
      <c r="AV136" s="889" t="s">
        <v>1428</v>
      </c>
      <c r="AW136" s="411" t="e">
        <f>CG136&amp;CH136&amp;CI136&amp;CJ136</f>
        <v>#VALUE!</v>
      </c>
      <c r="AX136" s="411"/>
      <c r="AY136" s="411"/>
      <c r="AZ136" s="221"/>
      <c r="BA136" s="221"/>
      <c r="BS136"/>
      <c r="BT136"/>
      <c r="BU136"/>
      <c r="BV136"/>
      <c r="CB136" s="216"/>
      <c r="CC136" s="216"/>
      <c r="CD136" s="216"/>
      <c r="CE136" s="216"/>
      <c r="CG136" s="465" t="str">
        <f t="shared" si="39"/>
        <v/>
      </c>
      <c r="CH136" s="465" t="str">
        <f t="shared" si="40"/>
        <v/>
      </c>
      <c r="CI136" s="465" t="e">
        <f t="shared" si="41"/>
        <v>#VALUE!</v>
      </c>
      <c r="CJ136" s="465" t="e">
        <f t="shared" si="42"/>
        <v>#VALUE!</v>
      </c>
      <c r="CM136" s="474"/>
      <c r="CN136" s="474"/>
      <c r="CO136" s="474"/>
      <c r="CP136" s="474"/>
      <c r="DB136" s="391"/>
      <c r="DC136" s="391"/>
      <c r="DD136" s="391"/>
      <c r="DE136" s="391"/>
      <c r="DF136" s="470">
        <f t="shared" si="43"/>
        <v>0</v>
      </c>
      <c r="DG136" s="470">
        <f t="shared" si="44"/>
        <v>0</v>
      </c>
      <c r="DH136" s="470" t="e">
        <f t="shared" si="45"/>
        <v>#VALUE!</v>
      </c>
      <c r="DI136" s="470" t="e">
        <f t="shared" si="46"/>
        <v>#VALUE!</v>
      </c>
      <c r="DJ136" s="470"/>
      <c r="DK136" s="470"/>
      <c r="EB136" s="470"/>
      <c r="EC136" s="470"/>
      <c r="ED136" s="470"/>
      <c r="EE136" s="470"/>
    </row>
    <row r="137" spans="1:135" ht="16.5" customHeight="1" x14ac:dyDescent="0.25">
      <c r="A137" s="1775" t="s">
        <v>968</v>
      </c>
      <c r="B137" s="2061" t="s">
        <v>676</v>
      </c>
      <c r="C137" s="2062"/>
      <c r="D137" s="887" t="s">
        <v>1384</v>
      </c>
      <c r="E137" s="910" t="s">
        <v>1385</v>
      </c>
      <c r="F137" s="911" t="s">
        <v>1386</v>
      </c>
      <c r="G137" s="888" t="s">
        <v>1387</v>
      </c>
      <c r="H137" s="889" t="s">
        <v>1388</v>
      </c>
      <c r="I137" s="888" t="s">
        <v>1389</v>
      </c>
      <c r="J137" s="889" t="s">
        <v>1390</v>
      </c>
      <c r="K137" s="888" t="s">
        <v>1391</v>
      </c>
      <c r="L137" s="889" t="s">
        <v>1392</v>
      </c>
      <c r="M137" s="888" t="s">
        <v>1393</v>
      </c>
      <c r="N137" s="889" t="s">
        <v>1394</v>
      </c>
      <c r="O137" s="888" t="s">
        <v>1395</v>
      </c>
      <c r="P137" s="889" t="s">
        <v>1396</v>
      </c>
      <c r="Q137" s="888" t="s">
        <v>1397</v>
      </c>
      <c r="R137" s="889" t="s">
        <v>1398</v>
      </c>
      <c r="S137" s="888" t="s">
        <v>1399</v>
      </c>
      <c r="T137" s="889" t="s">
        <v>1400</v>
      </c>
      <c r="U137" s="888" t="s">
        <v>1401</v>
      </c>
      <c r="V137" s="889" t="s">
        <v>1402</v>
      </c>
      <c r="W137" s="888" t="s">
        <v>1403</v>
      </c>
      <c r="X137" s="889" t="s">
        <v>1404</v>
      </c>
      <c r="Y137" s="888" t="s">
        <v>1405</v>
      </c>
      <c r="Z137" s="889" t="s">
        <v>1406</v>
      </c>
      <c r="AA137" s="888" t="s">
        <v>1407</v>
      </c>
      <c r="AB137" s="889" t="s">
        <v>1408</v>
      </c>
      <c r="AC137" s="888" t="s">
        <v>1409</v>
      </c>
      <c r="AD137" s="889" t="s">
        <v>1410</v>
      </c>
      <c r="AE137" s="888" t="s">
        <v>1411</v>
      </c>
      <c r="AF137" s="889" t="s">
        <v>1412</v>
      </c>
      <c r="AG137" s="888" t="s">
        <v>1413</v>
      </c>
      <c r="AH137" s="889" t="s">
        <v>1414</v>
      </c>
      <c r="AI137" s="888" t="s">
        <v>1415</v>
      </c>
      <c r="AJ137" s="889" t="s">
        <v>1416</v>
      </c>
      <c r="AK137" s="888" t="s">
        <v>1417</v>
      </c>
      <c r="AL137" s="889" t="s">
        <v>1418</v>
      </c>
      <c r="AM137" s="888" t="s">
        <v>1419</v>
      </c>
      <c r="AN137" s="889" t="s">
        <v>1420</v>
      </c>
      <c r="AO137" s="891" t="s">
        <v>1421</v>
      </c>
      <c r="AP137" s="889" t="s">
        <v>1422</v>
      </c>
      <c r="AQ137" s="888" t="s">
        <v>1423</v>
      </c>
      <c r="AR137" s="893" t="s">
        <v>1424</v>
      </c>
      <c r="AS137" s="892" t="s">
        <v>1425</v>
      </c>
      <c r="AT137" s="927" t="s">
        <v>1426</v>
      </c>
      <c r="AU137" s="891" t="s">
        <v>1427</v>
      </c>
      <c r="AV137" s="889" t="s">
        <v>1428</v>
      </c>
      <c r="AW137" s="411" t="e">
        <f t="shared" si="38"/>
        <v>#VALUE!</v>
      </c>
      <c r="AX137" s="411"/>
      <c r="AY137" s="411"/>
      <c r="AZ137" s="221"/>
      <c r="BA137" s="221"/>
      <c r="BS137"/>
      <c r="BT137"/>
      <c r="BU137"/>
      <c r="BV137"/>
      <c r="CB137" s="216"/>
      <c r="CC137" s="216"/>
      <c r="CD137" s="216"/>
      <c r="CE137" s="216"/>
      <c r="CG137" s="465" t="str">
        <f t="shared" si="39"/>
        <v/>
      </c>
      <c r="CH137" s="465" t="str">
        <f t="shared" si="40"/>
        <v/>
      </c>
      <c r="CI137" s="465" t="e">
        <f t="shared" si="41"/>
        <v>#VALUE!</v>
      </c>
      <c r="CJ137" s="465" t="e">
        <f t="shared" si="42"/>
        <v>#VALUE!</v>
      </c>
      <c r="CM137" s="474"/>
      <c r="CN137" s="474"/>
      <c r="CO137" s="474"/>
      <c r="CP137" s="474"/>
      <c r="DB137" s="391"/>
      <c r="DC137" s="391"/>
      <c r="DD137" s="391"/>
      <c r="DE137" s="391"/>
      <c r="DF137" s="470">
        <f t="shared" si="43"/>
        <v>0</v>
      </c>
      <c r="DG137" s="470">
        <f t="shared" si="44"/>
        <v>0</v>
      </c>
      <c r="DH137" s="470" t="e">
        <f t="shared" si="45"/>
        <v>#VALUE!</v>
      </c>
      <c r="DI137" s="470" t="e">
        <f t="shared" si="46"/>
        <v>#VALUE!</v>
      </c>
      <c r="DJ137" s="470"/>
      <c r="DK137" s="470"/>
      <c r="EB137" s="470"/>
      <c r="EC137" s="470"/>
      <c r="ED137" s="470"/>
      <c r="EE137" s="470"/>
    </row>
    <row r="138" spans="1:135" ht="16.5" customHeight="1" x14ac:dyDescent="0.25">
      <c r="A138" s="1775" t="s">
        <v>969</v>
      </c>
      <c r="B138" s="2061" t="s">
        <v>677</v>
      </c>
      <c r="C138" s="2062"/>
      <c r="D138" s="887" t="s">
        <v>1384</v>
      </c>
      <c r="E138" s="910" t="s">
        <v>1385</v>
      </c>
      <c r="F138" s="911" t="s">
        <v>1386</v>
      </c>
      <c r="G138" s="888" t="s">
        <v>1387</v>
      </c>
      <c r="H138" s="889" t="s">
        <v>1388</v>
      </c>
      <c r="I138" s="888" t="s">
        <v>1389</v>
      </c>
      <c r="J138" s="889" t="s">
        <v>1390</v>
      </c>
      <c r="K138" s="888" t="s">
        <v>1391</v>
      </c>
      <c r="L138" s="889" t="s">
        <v>1392</v>
      </c>
      <c r="M138" s="888" t="s">
        <v>1393</v>
      </c>
      <c r="N138" s="889" t="s">
        <v>1394</v>
      </c>
      <c r="O138" s="888" t="s">
        <v>1395</v>
      </c>
      <c r="P138" s="889" t="s">
        <v>1396</v>
      </c>
      <c r="Q138" s="888" t="s">
        <v>1397</v>
      </c>
      <c r="R138" s="889" t="s">
        <v>1398</v>
      </c>
      <c r="S138" s="888" t="s">
        <v>1399</v>
      </c>
      <c r="T138" s="889" t="s">
        <v>1400</v>
      </c>
      <c r="U138" s="888" t="s">
        <v>1401</v>
      </c>
      <c r="V138" s="889" t="s">
        <v>1402</v>
      </c>
      <c r="W138" s="888" t="s">
        <v>1403</v>
      </c>
      <c r="X138" s="889" t="s">
        <v>1404</v>
      </c>
      <c r="Y138" s="888" t="s">
        <v>1405</v>
      </c>
      <c r="Z138" s="889" t="s">
        <v>1406</v>
      </c>
      <c r="AA138" s="888" t="s">
        <v>1407</v>
      </c>
      <c r="AB138" s="889" t="s">
        <v>1408</v>
      </c>
      <c r="AC138" s="888" t="s">
        <v>1409</v>
      </c>
      <c r="AD138" s="889" t="s">
        <v>1410</v>
      </c>
      <c r="AE138" s="888" t="s">
        <v>1411</v>
      </c>
      <c r="AF138" s="889" t="s">
        <v>1412</v>
      </c>
      <c r="AG138" s="888" t="s">
        <v>1413</v>
      </c>
      <c r="AH138" s="889" t="s">
        <v>1414</v>
      </c>
      <c r="AI138" s="888" t="s">
        <v>1415</v>
      </c>
      <c r="AJ138" s="889" t="s">
        <v>1416</v>
      </c>
      <c r="AK138" s="888" t="s">
        <v>1417</v>
      </c>
      <c r="AL138" s="889" t="s">
        <v>1418</v>
      </c>
      <c r="AM138" s="888" t="s">
        <v>1419</v>
      </c>
      <c r="AN138" s="889" t="s">
        <v>1420</v>
      </c>
      <c r="AO138" s="891" t="s">
        <v>1421</v>
      </c>
      <c r="AP138" s="889" t="s">
        <v>1422</v>
      </c>
      <c r="AQ138" s="888" t="s">
        <v>1423</v>
      </c>
      <c r="AR138" s="893" t="s">
        <v>1424</v>
      </c>
      <c r="AS138" s="892" t="s">
        <v>1425</v>
      </c>
      <c r="AT138" s="927" t="s">
        <v>1426</v>
      </c>
      <c r="AU138" s="891" t="s">
        <v>1427</v>
      </c>
      <c r="AV138" s="889" t="s">
        <v>1428</v>
      </c>
      <c r="AW138" s="411" t="e">
        <f t="shared" si="38"/>
        <v>#VALUE!</v>
      </c>
      <c r="AX138" s="411"/>
      <c r="AY138" s="411"/>
      <c r="AZ138" s="221"/>
      <c r="BA138" s="221"/>
      <c r="BS138"/>
      <c r="BT138"/>
      <c r="BU138"/>
      <c r="BV138"/>
      <c r="CB138" s="216"/>
      <c r="CC138" s="216"/>
      <c r="CD138" s="216"/>
      <c r="CE138" s="216"/>
      <c r="CG138" s="465" t="str">
        <f t="shared" si="39"/>
        <v/>
      </c>
      <c r="CH138" s="465" t="str">
        <f t="shared" si="40"/>
        <v/>
      </c>
      <c r="CI138" s="465" t="e">
        <f t="shared" si="41"/>
        <v>#VALUE!</v>
      </c>
      <c r="CJ138" s="465" t="e">
        <f t="shared" si="42"/>
        <v>#VALUE!</v>
      </c>
      <c r="CM138" s="474"/>
      <c r="CN138" s="474"/>
      <c r="CO138" s="474"/>
      <c r="CP138" s="474"/>
      <c r="DB138" s="391"/>
      <c r="DC138" s="391"/>
      <c r="DD138" s="391"/>
      <c r="DE138" s="391"/>
      <c r="DF138" s="470">
        <f t="shared" si="43"/>
        <v>0</v>
      </c>
      <c r="DG138" s="470">
        <f t="shared" si="44"/>
        <v>0</v>
      </c>
      <c r="DH138" s="470" t="e">
        <f t="shared" si="45"/>
        <v>#VALUE!</v>
      </c>
      <c r="DI138" s="470" t="e">
        <f t="shared" si="46"/>
        <v>#VALUE!</v>
      </c>
      <c r="DJ138" s="470"/>
      <c r="DK138" s="470"/>
      <c r="EB138" s="470"/>
      <c r="EC138" s="470"/>
      <c r="ED138" s="470"/>
      <c r="EE138" s="470"/>
    </row>
    <row r="139" spans="1:135" ht="16.5" customHeight="1" x14ac:dyDescent="0.25">
      <c r="A139" s="1775" t="s">
        <v>970</v>
      </c>
      <c r="B139" s="2061" t="s">
        <v>678</v>
      </c>
      <c r="C139" s="2062"/>
      <c r="D139" s="887" t="s">
        <v>1384</v>
      </c>
      <c r="E139" s="910" t="s">
        <v>1385</v>
      </c>
      <c r="F139" s="911" t="s">
        <v>1386</v>
      </c>
      <c r="G139" s="888" t="s">
        <v>1387</v>
      </c>
      <c r="H139" s="889" t="s">
        <v>1388</v>
      </c>
      <c r="I139" s="888" t="s">
        <v>1389</v>
      </c>
      <c r="J139" s="889" t="s">
        <v>1390</v>
      </c>
      <c r="K139" s="888" t="s">
        <v>1391</v>
      </c>
      <c r="L139" s="889" t="s">
        <v>1392</v>
      </c>
      <c r="M139" s="888" t="s">
        <v>1393</v>
      </c>
      <c r="N139" s="889" t="s">
        <v>1394</v>
      </c>
      <c r="O139" s="888" t="s">
        <v>1395</v>
      </c>
      <c r="P139" s="889" t="s">
        <v>1396</v>
      </c>
      <c r="Q139" s="888" t="s">
        <v>1397</v>
      </c>
      <c r="R139" s="889" t="s">
        <v>1398</v>
      </c>
      <c r="S139" s="888" t="s">
        <v>1399</v>
      </c>
      <c r="T139" s="889" t="s">
        <v>1400</v>
      </c>
      <c r="U139" s="888" t="s">
        <v>1401</v>
      </c>
      <c r="V139" s="889" t="s">
        <v>1402</v>
      </c>
      <c r="W139" s="888" t="s">
        <v>1403</v>
      </c>
      <c r="X139" s="889" t="s">
        <v>1404</v>
      </c>
      <c r="Y139" s="888" t="s">
        <v>1405</v>
      </c>
      <c r="Z139" s="889" t="s">
        <v>1406</v>
      </c>
      <c r="AA139" s="888" t="s">
        <v>1407</v>
      </c>
      <c r="AB139" s="889" t="s">
        <v>1408</v>
      </c>
      <c r="AC139" s="888" t="s">
        <v>1409</v>
      </c>
      <c r="AD139" s="889" t="s">
        <v>1410</v>
      </c>
      <c r="AE139" s="888" t="s">
        <v>1411</v>
      </c>
      <c r="AF139" s="889" t="s">
        <v>1412</v>
      </c>
      <c r="AG139" s="888" t="s">
        <v>1413</v>
      </c>
      <c r="AH139" s="889" t="s">
        <v>1414</v>
      </c>
      <c r="AI139" s="888" t="s">
        <v>1415</v>
      </c>
      <c r="AJ139" s="889" t="s">
        <v>1416</v>
      </c>
      <c r="AK139" s="888" t="s">
        <v>1417</v>
      </c>
      <c r="AL139" s="889" t="s">
        <v>1418</v>
      </c>
      <c r="AM139" s="888" t="s">
        <v>1419</v>
      </c>
      <c r="AN139" s="889" t="s">
        <v>1420</v>
      </c>
      <c r="AO139" s="891" t="s">
        <v>1421</v>
      </c>
      <c r="AP139" s="889" t="s">
        <v>1422</v>
      </c>
      <c r="AQ139" s="888" t="s">
        <v>1423</v>
      </c>
      <c r="AR139" s="893" t="s">
        <v>1424</v>
      </c>
      <c r="AS139" s="892" t="s">
        <v>1425</v>
      </c>
      <c r="AT139" s="927" t="s">
        <v>1426</v>
      </c>
      <c r="AU139" s="891" t="s">
        <v>1427</v>
      </c>
      <c r="AV139" s="889" t="s">
        <v>1428</v>
      </c>
      <c r="AW139" s="411" t="e">
        <f t="shared" si="38"/>
        <v>#VALUE!</v>
      </c>
      <c r="AX139" s="411"/>
      <c r="AY139" s="411"/>
      <c r="AZ139" s="221"/>
      <c r="BA139" s="221"/>
      <c r="BS139"/>
      <c r="BT139"/>
      <c r="BU139"/>
      <c r="BV139"/>
      <c r="CB139" s="216"/>
      <c r="CC139" s="216"/>
      <c r="CD139" s="216"/>
      <c r="CE139" s="216"/>
      <c r="CG139" s="465" t="str">
        <f t="shared" si="39"/>
        <v/>
      </c>
      <c r="CH139" s="465" t="str">
        <f t="shared" si="40"/>
        <v/>
      </c>
      <c r="CI139" s="465" t="e">
        <f t="shared" si="41"/>
        <v>#VALUE!</v>
      </c>
      <c r="CJ139" s="465" t="e">
        <f t="shared" si="42"/>
        <v>#VALUE!</v>
      </c>
      <c r="CM139" s="474"/>
      <c r="CN139" s="474"/>
      <c r="CO139" s="474"/>
      <c r="CP139" s="474"/>
      <c r="DB139" s="391"/>
      <c r="DC139" s="391"/>
      <c r="DD139" s="391"/>
      <c r="DE139" s="391"/>
      <c r="DF139" s="470">
        <f t="shared" si="43"/>
        <v>0</v>
      </c>
      <c r="DG139" s="470">
        <f t="shared" si="44"/>
        <v>0</v>
      </c>
      <c r="DH139" s="470" t="e">
        <f t="shared" si="45"/>
        <v>#VALUE!</v>
      </c>
      <c r="DI139" s="470" t="e">
        <f t="shared" si="46"/>
        <v>#VALUE!</v>
      </c>
      <c r="DJ139" s="470"/>
      <c r="DK139" s="470"/>
      <c r="EB139" s="470"/>
      <c r="EC139" s="470"/>
      <c r="ED139" s="470"/>
      <c r="EE139" s="470"/>
    </row>
    <row r="140" spans="1:135" ht="16.5" customHeight="1" x14ac:dyDescent="0.25">
      <c r="A140" s="1775" t="s">
        <v>971</v>
      </c>
      <c r="B140" s="2061" t="s">
        <v>679</v>
      </c>
      <c r="C140" s="2062"/>
      <c r="D140" s="886" t="s">
        <v>1384</v>
      </c>
      <c r="E140" s="910" t="s">
        <v>1385</v>
      </c>
      <c r="F140" s="911" t="s">
        <v>1386</v>
      </c>
      <c r="G140" s="888" t="s">
        <v>1387</v>
      </c>
      <c r="H140" s="889" t="s">
        <v>1388</v>
      </c>
      <c r="I140" s="888" t="s">
        <v>1389</v>
      </c>
      <c r="J140" s="889" t="s">
        <v>1390</v>
      </c>
      <c r="K140" s="888" t="s">
        <v>1391</v>
      </c>
      <c r="L140" s="889" t="s">
        <v>1392</v>
      </c>
      <c r="M140" s="888" t="s">
        <v>1393</v>
      </c>
      <c r="N140" s="889" t="s">
        <v>1394</v>
      </c>
      <c r="O140" s="888" t="s">
        <v>1395</v>
      </c>
      <c r="P140" s="889" t="s">
        <v>1396</v>
      </c>
      <c r="Q140" s="888" t="s">
        <v>1397</v>
      </c>
      <c r="R140" s="889" t="s">
        <v>1398</v>
      </c>
      <c r="S140" s="888" t="s">
        <v>1399</v>
      </c>
      <c r="T140" s="889" t="s">
        <v>1400</v>
      </c>
      <c r="U140" s="888" t="s">
        <v>1401</v>
      </c>
      <c r="V140" s="889" t="s">
        <v>1402</v>
      </c>
      <c r="W140" s="888" t="s">
        <v>1403</v>
      </c>
      <c r="X140" s="889" t="s">
        <v>1404</v>
      </c>
      <c r="Y140" s="888" t="s">
        <v>1405</v>
      </c>
      <c r="Z140" s="889" t="s">
        <v>1406</v>
      </c>
      <c r="AA140" s="888" t="s">
        <v>1407</v>
      </c>
      <c r="AB140" s="889" t="s">
        <v>1408</v>
      </c>
      <c r="AC140" s="888" t="s">
        <v>1409</v>
      </c>
      <c r="AD140" s="889" t="s">
        <v>1410</v>
      </c>
      <c r="AE140" s="888" t="s">
        <v>1411</v>
      </c>
      <c r="AF140" s="889" t="s">
        <v>1412</v>
      </c>
      <c r="AG140" s="888" t="s">
        <v>1413</v>
      </c>
      <c r="AH140" s="889" t="s">
        <v>1414</v>
      </c>
      <c r="AI140" s="888" t="s">
        <v>1415</v>
      </c>
      <c r="AJ140" s="889" t="s">
        <v>1416</v>
      </c>
      <c r="AK140" s="888" t="s">
        <v>1417</v>
      </c>
      <c r="AL140" s="889" t="s">
        <v>1418</v>
      </c>
      <c r="AM140" s="888" t="s">
        <v>1419</v>
      </c>
      <c r="AN140" s="889" t="s">
        <v>1420</v>
      </c>
      <c r="AO140" s="891" t="s">
        <v>1421</v>
      </c>
      <c r="AP140" s="889" t="s">
        <v>1422</v>
      </c>
      <c r="AQ140" s="888" t="s">
        <v>1423</v>
      </c>
      <c r="AR140" s="893" t="s">
        <v>1424</v>
      </c>
      <c r="AS140" s="892" t="s">
        <v>1425</v>
      </c>
      <c r="AT140" s="927" t="s">
        <v>1426</v>
      </c>
      <c r="AU140" s="891" t="s">
        <v>1427</v>
      </c>
      <c r="AV140" s="889" t="s">
        <v>1428</v>
      </c>
      <c r="AW140" s="411" t="e">
        <f t="shared" si="38"/>
        <v>#VALUE!</v>
      </c>
      <c r="AX140" s="411"/>
      <c r="AY140" s="411"/>
      <c r="AZ140" s="221"/>
      <c r="BA140" s="221"/>
      <c r="BS140"/>
      <c r="BT140"/>
      <c r="BU140"/>
      <c r="BV140"/>
      <c r="CB140" s="216"/>
      <c r="CC140" s="216"/>
      <c r="CD140" s="216"/>
      <c r="CE140" s="216"/>
      <c r="CG140" s="465" t="str">
        <f t="shared" si="39"/>
        <v/>
      </c>
      <c r="CH140" s="465" t="str">
        <f t="shared" si="40"/>
        <v/>
      </c>
      <c r="CI140" s="465" t="e">
        <f t="shared" si="41"/>
        <v>#VALUE!</v>
      </c>
      <c r="CJ140" s="465" t="e">
        <f t="shared" si="42"/>
        <v>#VALUE!</v>
      </c>
      <c r="CM140" s="474"/>
      <c r="CN140" s="474"/>
      <c r="CO140" s="474"/>
      <c r="CP140" s="474"/>
      <c r="DB140" s="391"/>
      <c r="DC140" s="391"/>
      <c r="DD140" s="391"/>
      <c r="DE140" s="391"/>
      <c r="DF140" s="470">
        <f t="shared" si="43"/>
        <v>0</v>
      </c>
      <c r="DG140" s="470">
        <f t="shared" si="44"/>
        <v>0</v>
      </c>
      <c r="DH140" s="470" t="e">
        <f t="shared" si="45"/>
        <v>#VALUE!</v>
      </c>
      <c r="DI140" s="470" t="e">
        <f t="shared" si="46"/>
        <v>#VALUE!</v>
      </c>
      <c r="DJ140" s="470"/>
      <c r="DK140" s="470"/>
      <c r="EB140" s="470"/>
      <c r="EC140" s="470"/>
      <c r="ED140" s="470"/>
      <c r="EE140" s="470"/>
    </row>
    <row r="141" spans="1:135" ht="16.5" customHeight="1" x14ac:dyDescent="0.25">
      <c r="A141" s="1775" t="s">
        <v>972</v>
      </c>
      <c r="B141" s="2061" t="s">
        <v>680</v>
      </c>
      <c r="C141" s="2062"/>
      <c r="D141" s="886" t="s">
        <v>1384</v>
      </c>
      <c r="E141" s="910" t="s">
        <v>1385</v>
      </c>
      <c r="F141" s="911" t="s">
        <v>1386</v>
      </c>
      <c r="G141" s="888" t="s">
        <v>1387</v>
      </c>
      <c r="H141" s="889" t="s">
        <v>1388</v>
      </c>
      <c r="I141" s="888" t="s">
        <v>1389</v>
      </c>
      <c r="J141" s="889" t="s">
        <v>1390</v>
      </c>
      <c r="K141" s="888" t="s">
        <v>1391</v>
      </c>
      <c r="L141" s="889" t="s">
        <v>1392</v>
      </c>
      <c r="M141" s="888" t="s">
        <v>1393</v>
      </c>
      <c r="N141" s="889" t="s">
        <v>1394</v>
      </c>
      <c r="O141" s="888" t="s">
        <v>1395</v>
      </c>
      <c r="P141" s="889" t="s">
        <v>1396</v>
      </c>
      <c r="Q141" s="888" t="s">
        <v>1397</v>
      </c>
      <c r="R141" s="889" t="s">
        <v>1398</v>
      </c>
      <c r="S141" s="888" t="s">
        <v>1399</v>
      </c>
      <c r="T141" s="889" t="s">
        <v>1400</v>
      </c>
      <c r="U141" s="888" t="s">
        <v>1401</v>
      </c>
      <c r="V141" s="889" t="s">
        <v>1402</v>
      </c>
      <c r="W141" s="888" t="s">
        <v>1403</v>
      </c>
      <c r="X141" s="889" t="s">
        <v>1404</v>
      </c>
      <c r="Y141" s="888" t="s">
        <v>1405</v>
      </c>
      <c r="Z141" s="889" t="s">
        <v>1406</v>
      </c>
      <c r="AA141" s="888" t="s">
        <v>1407</v>
      </c>
      <c r="AB141" s="889" t="s">
        <v>1408</v>
      </c>
      <c r="AC141" s="888" t="s">
        <v>1409</v>
      </c>
      <c r="AD141" s="889" t="s">
        <v>1410</v>
      </c>
      <c r="AE141" s="888" t="s">
        <v>1411</v>
      </c>
      <c r="AF141" s="889" t="s">
        <v>1412</v>
      </c>
      <c r="AG141" s="888" t="s">
        <v>1413</v>
      </c>
      <c r="AH141" s="889" t="s">
        <v>1414</v>
      </c>
      <c r="AI141" s="888" t="s">
        <v>1415</v>
      </c>
      <c r="AJ141" s="889" t="s">
        <v>1416</v>
      </c>
      <c r="AK141" s="888" t="s">
        <v>1417</v>
      </c>
      <c r="AL141" s="889" t="s">
        <v>1418</v>
      </c>
      <c r="AM141" s="888" t="s">
        <v>1419</v>
      </c>
      <c r="AN141" s="889" t="s">
        <v>1420</v>
      </c>
      <c r="AO141" s="891" t="s">
        <v>1421</v>
      </c>
      <c r="AP141" s="889" t="s">
        <v>1422</v>
      </c>
      <c r="AQ141" s="888" t="s">
        <v>1423</v>
      </c>
      <c r="AR141" s="893" t="s">
        <v>1424</v>
      </c>
      <c r="AS141" s="892" t="s">
        <v>1425</v>
      </c>
      <c r="AT141" s="927" t="s">
        <v>1426</v>
      </c>
      <c r="AU141" s="891" t="s">
        <v>1427</v>
      </c>
      <c r="AV141" s="889" t="s">
        <v>1428</v>
      </c>
      <c r="AW141" s="411" t="e">
        <f t="shared" si="38"/>
        <v>#VALUE!</v>
      </c>
      <c r="AX141" s="411"/>
      <c r="AY141" s="411"/>
      <c r="AZ141" s="221"/>
      <c r="BA141" s="221"/>
      <c r="BS141"/>
      <c r="BT141"/>
      <c r="BU141"/>
      <c r="BV141"/>
      <c r="CB141" s="216"/>
      <c r="CC141" s="216"/>
      <c r="CD141" s="216"/>
      <c r="CE141" s="216"/>
      <c r="CG141" s="465" t="str">
        <f t="shared" si="39"/>
        <v/>
      </c>
      <c r="CH141" s="465" t="str">
        <f t="shared" si="40"/>
        <v/>
      </c>
      <c r="CI141" s="465" t="e">
        <f t="shared" si="41"/>
        <v>#VALUE!</v>
      </c>
      <c r="CJ141" s="465" t="e">
        <f t="shared" si="42"/>
        <v>#VALUE!</v>
      </c>
      <c r="CM141" s="474"/>
      <c r="CN141" s="474"/>
      <c r="CO141" s="474"/>
      <c r="CP141" s="474"/>
      <c r="DB141" s="391"/>
      <c r="DC141" s="391"/>
      <c r="DD141" s="391"/>
      <c r="DE141" s="391"/>
      <c r="DF141" s="470">
        <f t="shared" si="43"/>
        <v>0</v>
      </c>
      <c r="DG141" s="470">
        <f t="shared" si="44"/>
        <v>0</v>
      </c>
      <c r="DH141" s="470" t="e">
        <f t="shared" si="45"/>
        <v>#VALUE!</v>
      </c>
      <c r="DI141" s="470" t="e">
        <f t="shared" si="46"/>
        <v>#VALUE!</v>
      </c>
      <c r="DJ141" s="470"/>
      <c r="DK141" s="470"/>
      <c r="EB141" s="470"/>
      <c r="EC141" s="470"/>
      <c r="ED141" s="470"/>
      <c r="EE141" s="470"/>
    </row>
    <row r="142" spans="1:135" ht="16.5" customHeight="1" x14ac:dyDescent="0.25">
      <c r="A142" s="1775" t="s">
        <v>973</v>
      </c>
      <c r="B142" s="2061" t="s">
        <v>681</v>
      </c>
      <c r="C142" s="2062"/>
      <c r="D142" s="886" t="s">
        <v>1384</v>
      </c>
      <c r="E142" s="910" t="s">
        <v>1385</v>
      </c>
      <c r="F142" s="911" t="s">
        <v>1386</v>
      </c>
      <c r="G142" s="888" t="s">
        <v>1387</v>
      </c>
      <c r="H142" s="889" t="s">
        <v>1388</v>
      </c>
      <c r="I142" s="888" t="s">
        <v>1389</v>
      </c>
      <c r="J142" s="889" t="s">
        <v>1390</v>
      </c>
      <c r="K142" s="888" t="s">
        <v>1391</v>
      </c>
      <c r="L142" s="889" t="s">
        <v>1392</v>
      </c>
      <c r="M142" s="888" t="s">
        <v>1393</v>
      </c>
      <c r="N142" s="889" t="s">
        <v>1394</v>
      </c>
      <c r="O142" s="888" t="s">
        <v>1395</v>
      </c>
      <c r="P142" s="889" t="s">
        <v>1396</v>
      </c>
      <c r="Q142" s="888" t="s">
        <v>1397</v>
      </c>
      <c r="R142" s="889" t="s">
        <v>1398</v>
      </c>
      <c r="S142" s="888" t="s">
        <v>1399</v>
      </c>
      <c r="T142" s="889" t="s">
        <v>1400</v>
      </c>
      <c r="U142" s="888" t="s">
        <v>1401</v>
      </c>
      <c r="V142" s="889" t="s">
        <v>1402</v>
      </c>
      <c r="W142" s="888" t="s">
        <v>1403</v>
      </c>
      <c r="X142" s="889" t="s">
        <v>1404</v>
      </c>
      <c r="Y142" s="888" t="s">
        <v>1405</v>
      </c>
      <c r="Z142" s="889" t="s">
        <v>1406</v>
      </c>
      <c r="AA142" s="888" t="s">
        <v>1407</v>
      </c>
      <c r="AB142" s="889" t="s">
        <v>1408</v>
      </c>
      <c r="AC142" s="888" t="s">
        <v>1409</v>
      </c>
      <c r="AD142" s="889" t="s">
        <v>1410</v>
      </c>
      <c r="AE142" s="888" t="s">
        <v>1411</v>
      </c>
      <c r="AF142" s="889" t="s">
        <v>1412</v>
      </c>
      <c r="AG142" s="888" t="s">
        <v>1413</v>
      </c>
      <c r="AH142" s="889" t="s">
        <v>1414</v>
      </c>
      <c r="AI142" s="888" t="s">
        <v>1415</v>
      </c>
      <c r="AJ142" s="889" t="s">
        <v>1416</v>
      </c>
      <c r="AK142" s="888" t="s">
        <v>1417</v>
      </c>
      <c r="AL142" s="889" t="s">
        <v>1418</v>
      </c>
      <c r="AM142" s="888" t="s">
        <v>1419</v>
      </c>
      <c r="AN142" s="889" t="s">
        <v>1420</v>
      </c>
      <c r="AO142" s="891" t="s">
        <v>1421</v>
      </c>
      <c r="AP142" s="889" t="s">
        <v>1422</v>
      </c>
      <c r="AQ142" s="888" t="s">
        <v>1423</v>
      </c>
      <c r="AR142" s="893" t="s">
        <v>1424</v>
      </c>
      <c r="AS142" s="892" t="s">
        <v>1425</v>
      </c>
      <c r="AT142" s="927" t="s">
        <v>1426</v>
      </c>
      <c r="AU142" s="891" t="s">
        <v>1427</v>
      </c>
      <c r="AV142" s="889" t="s">
        <v>1428</v>
      </c>
      <c r="AW142" s="411" t="e">
        <f t="shared" si="38"/>
        <v>#VALUE!</v>
      </c>
      <c r="AX142" s="411"/>
      <c r="AY142" s="411"/>
      <c r="AZ142" s="221"/>
      <c r="BA142" s="221"/>
      <c r="BS142"/>
      <c r="BT142"/>
      <c r="BU142"/>
      <c r="BV142"/>
      <c r="CB142" s="216"/>
      <c r="CC142" s="216"/>
      <c r="CD142" s="216"/>
      <c r="CE142" s="216"/>
      <c r="CG142" s="465" t="str">
        <f t="shared" si="39"/>
        <v/>
      </c>
      <c r="CH142" s="465" t="str">
        <f t="shared" si="40"/>
        <v/>
      </c>
      <c r="CI142" s="465" t="e">
        <f t="shared" si="41"/>
        <v>#VALUE!</v>
      </c>
      <c r="CJ142" s="465" t="e">
        <f t="shared" si="42"/>
        <v>#VALUE!</v>
      </c>
      <c r="CM142" s="474"/>
      <c r="CN142" s="474"/>
      <c r="CO142" s="474"/>
      <c r="CP142" s="474"/>
      <c r="DB142" s="391"/>
      <c r="DC142" s="391"/>
      <c r="DD142" s="391"/>
      <c r="DE142" s="391"/>
      <c r="DF142" s="470">
        <f t="shared" si="43"/>
        <v>0</v>
      </c>
      <c r="DG142" s="470">
        <f t="shared" si="44"/>
        <v>0</v>
      </c>
      <c r="DH142" s="470" t="e">
        <f t="shared" si="45"/>
        <v>#VALUE!</v>
      </c>
      <c r="DI142" s="470" t="e">
        <f t="shared" si="46"/>
        <v>#VALUE!</v>
      </c>
      <c r="DJ142" s="470"/>
      <c r="DK142" s="470"/>
      <c r="EB142" s="470"/>
      <c r="EC142" s="470"/>
      <c r="ED142" s="470"/>
      <c r="EE142" s="470"/>
    </row>
    <row r="143" spans="1:135" ht="24" customHeight="1" x14ac:dyDescent="0.25">
      <c r="A143" s="1775" t="s">
        <v>974</v>
      </c>
      <c r="B143" s="2080" t="s">
        <v>682</v>
      </c>
      <c r="C143" s="2081"/>
      <c r="D143" s="886" t="s">
        <v>1384</v>
      </c>
      <c r="E143" s="910" t="s">
        <v>1385</v>
      </c>
      <c r="F143" s="911" t="s">
        <v>1386</v>
      </c>
      <c r="G143" s="888" t="s">
        <v>1387</v>
      </c>
      <c r="H143" s="889" t="s">
        <v>1388</v>
      </c>
      <c r="I143" s="888" t="s">
        <v>1389</v>
      </c>
      <c r="J143" s="889" t="s">
        <v>1390</v>
      </c>
      <c r="K143" s="888" t="s">
        <v>1391</v>
      </c>
      <c r="L143" s="889" t="s">
        <v>1392</v>
      </c>
      <c r="M143" s="888" t="s">
        <v>1393</v>
      </c>
      <c r="N143" s="889" t="s">
        <v>1394</v>
      </c>
      <c r="O143" s="888" t="s">
        <v>1395</v>
      </c>
      <c r="P143" s="889" t="s">
        <v>1396</v>
      </c>
      <c r="Q143" s="888" t="s">
        <v>1397</v>
      </c>
      <c r="R143" s="889" t="s">
        <v>1398</v>
      </c>
      <c r="S143" s="888" t="s">
        <v>1399</v>
      </c>
      <c r="T143" s="889" t="s">
        <v>1400</v>
      </c>
      <c r="U143" s="888" t="s">
        <v>1401</v>
      </c>
      <c r="V143" s="889" t="s">
        <v>1402</v>
      </c>
      <c r="W143" s="888" t="s">
        <v>1403</v>
      </c>
      <c r="X143" s="889" t="s">
        <v>1404</v>
      </c>
      <c r="Y143" s="888" t="s">
        <v>1405</v>
      </c>
      <c r="Z143" s="889" t="s">
        <v>1406</v>
      </c>
      <c r="AA143" s="888" t="s">
        <v>1407</v>
      </c>
      <c r="AB143" s="889" t="s">
        <v>1408</v>
      </c>
      <c r="AC143" s="888" t="s">
        <v>1409</v>
      </c>
      <c r="AD143" s="889" t="s">
        <v>1410</v>
      </c>
      <c r="AE143" s="888" t="s">
        <v>1411</v>
      </c>
      <c r="AF143" s="889" t="s">
        <v>1412</v>
      </c>
      <c r="AG143" s="888" t="s">
        <v>1413</v>
      </c>
      <c r="AH143" s="889" t="s">
        <v>1414</v>
      </c>
      <c r="AI143" s="888" t="s">
        <v>1415</v>
      </c>
      <c r="AJ143" s="889" t="s">
        <v>1416</v>
      </c>
      <c r="AK143" s="888" t="s">
        <v>1417</v>
      </c>
      <c r="AL143" s="889" t="s">
        <v>1418</v>
      </c>
      <c r="AM143" s="888" t="s">
        <v>1419</v>
      </c>
      <c r="AN143" s="889" t="s">
        <v>1420</v>
      </c>
      <c r="AO143" s="891" t="s">
        <v>1421</v>
      </c>
      <c r="AP143" s="889" t="s">
        <v>1422</v>
      </c>
      <c r="AQ143" s="888" t="s">
        <v>1423</v>
      </c>
      <c r="AR143" s="893" t="s">
        <v>1424</v>
      </c>
      <c r="AS143" s="892" t="s">
        <v>1425</v>
      </c>
      <c r="AT143" s="927" t="s">
        <v>1426</v>
      </c>
      <c r="AU143" s="891" t="s">
        <v>1427</v>
      </c>
      <c r="AV143" s="889" t="s">
        <v>1428</v>
      </c>
      <c r="AW143" s="411" t="e">
        <f t="shared" si="38"/>
        <v>#VALUE!</v>
      </c>
      <c r="AX143" s="411"/>
      <c r="AY143" s="411"/>
      <c r="AZ143" s="221"/>
      <c r="BA143" s="221"/>
      <c r="BS143"/>
      <c r="BT143"/>
      <c r="BU143"/>
      <c r="BV143"/>
      <c r="CB143" s="216"/>
      <c r="CC143" s="216"/>
      <c r="CD143" s="216"/>
      <c r="CE143" s="216"/>
      <c r="CG143" s="465" t="str">
        <f t="shared" si="39"/>
        <v/>
      </c>
      <c r="CH143" s="465" t="str">
        <f t="shared" si="40"/>
        <v/>
      </c>
      <c r="CI143" s="465" t="e">
        <f t="shared" si="41"/>
        <v>#VALUE!</v>
      </c>
      <c r="CJ143" s="465" t="e">
        <f t="shared" si="42"/>
        <v>#VALUE!</v>
      </c>
      <c r="CM143" s="474"/>
      <c r="CN143" s="474"/>
      <c r="CO143" s="474"/>
      <c r="CP143" s="474"/>
      <c r="DB143" s="391"/>
      <c r="DC143" s="391"/>
      <c r="DD143" s="391"/>
      <c r="DE143" s="391"/>
      <c r="DF143" s="470">
        <f t="shared" si="43"/>
        <v>0</v>
      </c>
      <c r="DG143" s="470">
        <f t="shared" si="44"/>
        <v>0</v>
      </c>
      <c r="DH143" s="470" t="e">
        <f t="shared" si="45"/>
        <v>#VALUE!</v>
      </c>
      <c r="DI143" s="470" t="e">
        <f t="shared" si="46"/>
        <v>#VALUE!</v>
      </c>
      <c r="DJ143" s="470"/>
      <c r="DK143" s="470"/>
      <c r="EB143" s="470"/>
      <c r="EC143" s="470"/>
      <c r="ED143" s="470"/>
      <c r="EE143" s="470"/>
    </row>
    <row r="144" spans="1:135" ht="16.5" customHeight="1" x14ac:dyDescent="0.25">
      <c r="A144" s="1775" t="s">
        <v>975</v>
      </c>
      <c r="B144" s="2061" t="s">
        <v>683</v>
      </c>
      <c r="C144" s="2062"/>
      <c r="D144" s="886" t="s">
        <v>1384</v>
      </c>
      <c r="E144" s="910" t="s">
        <v>1385</v>
      </c>
      <c r="F144" s="911" t="s">
        <v>1386</v>
      </c>
      <c r="G144" s="888" t="s">
        <v>1387</v>
      </c>
      <c r="H144" s="889" t="s">
        <v>1388</v>
      </c>
      <c r="I144" s="888" t="s">
        <v>1389</v>
      </c>
      <c r="J144" s="889" t="s">
        <v>1390</v>
      </c>
      <c r="K144" s="888" t="s">
        <v>1391</v>
      </c>
      <c r="L144" s="889" t="s">
        <v>1392</v>
      </c>
      <c r="M144" s="888" t="s">
        <v>1393</v>
      </c>
      <c r="N144" s="889" t="s">
        <v>1394</v>
      </c>
      <c r="O144" s="888" t="s">
        <v>1395</v>
      </c>
      <c r="P144" s="889" t="s">
        <v>1396</v>
      </c>
      <c r="Q144" s="888" t="s">
        <v>1397</v>
      </c>
      <c r="R144" s="889" t="s">
        <v>1398</v>
      </c>
      <c r="S144" s="888" t="s">
        <v>1399</v>
      </c>
      <c r="T144" s="889" t="s">
        <v>1400</v>
      </c>
      <c r="U144" s="888" t="s">
        <v>1401</v>
      </c>
      <c r="V144" s="889" t="s">
        <v>1402</v>
      </c>
      <c r="W144" s="888" t="s">
        <v>1403</v>
      </c>
      <c r="X144" s="889" t="s">
        <v>1404</v>
      </c>
      <c r="Y144" s="888" t="s">
        <v>1405</v>
      </c>
      <c r="Z144" s="889" t="s">
        <v>1406</v>
      </c>
      <c r="AA144" s="888" t="s">
        <v>1407</v>
      </c>
      <c r="AB144" s="889" t="s">
        <v>1408</v>
      </c>
      <c r="AC144" s="888" t="s">
        <v>1409</v>
      </c>
      <c r="AD144" s="889" t="s">
        <v>1410</v>
      </c>
      <c r="AE144" s="888" t="s">
        <v>1411</v>
      </c>
      <c r="AF144" s="889" t="s">
        <v>1412</v>
      </c>
      <c r="AG144" s="888" t="s">
        <v>1413</v>
      </c>
      <c r="AH144" s="889" t="s">
        <v>1414</v>
      </c>
      <c r="AI144" s="888" t="s">
        <v>1415</v>
      </c>
      <c r="AJ144" s="889" t="s">
        <v>1416</v>
      </c>
      <c r="AK144" s="888" t="s">
        <v>1417</v>
      </c>
      <c r="AL144" s="889" t="s">
        <v>1418</v>
      </c>
      <c r="AM144" s="888" t="s">
        <v>1419</v>
      </c>
      <c r="AN144" s="889" t="s">
        <v>1420</v>
      </c>
      <c r="AO144" s="891" t="s">
        <v>1421</v>
      </c>
      <c r="AP144" s="889" t="s">
        <v>1422</v>
      </c>
      <c r="AQ144" s="888" t="s">
        <v>1423</v>
      </c>
      <c r="AR144" s="893" t="s">
        <v>1424</v>
      </c>
      <c r="AS144" s="892" t="s">
        <v>1425</v>
      </c>
      <c r="AT144" s="927" t="s">
        <v>1426</v>
      </c>
      <c r="AU144" s="891" t="s">
        <v>1427</v>
      </c>
      <c r="AV144" s="889" t="s">
        <v>1428</v>
      </c>
      <c r="AW144" s="411" t="e">
        <f t="shared" si="38"/>
        <v>#VALUE!</v>
      </c>
      <c r="AX144" s="411"/>
      <c r="AY144" s="411"/>
      <c r="AZ144" s="221"/>
      <c r="BA144" s="221"/>
      <c r="BS144"/>
      <c r="BT144"/>
      <c r="BU144"/>
      <c r="BV144"/>
      <c r="CB144" s="216"/>
      <c r="CC144" s="216"/>
      <c r="CD144" s="216"/>
      <c r="CE144" s="216"/>
      <c r="CG144" s="465" t="str">
        <f t="shared" si="39"/>
        <v/>
      </c>
      <c r="CH144" s="465" t="str">
        <f t="shared" si="40"/>
        <v/>
      </c>
      <c r="CI144" s="465" t="e">
        <f t="shared" si="41"/>
        <v>#VALUE!</v>
      </c>
      <c r="CJ144" s="465" t="e">
        <f t="shared" si="42"/>
        <v>#VALUE!</v>
      </c>
      <c r="CM144" s="474"/>
      <c r="CN144" s="474"/>
      <c r="CO144" s="474"/>
      <c r="CP144" s="474"/>
      <c r="DB144" s="391"/>
      <c r="DC144" s="391"/>
      <c r="DD144" s="391"/>
      <c r="DE144" s="391"/>
      <c r="DF144" s="470">
        <f t="shared" si="43"/>
        <v>0</v>
      </c>
      <c r="DG144" s="470">
        <f t="shared" si="44"/>
        <v>0</v>
      </c>
      <c r="DH144" s="470" t="e">
        <f t="shared" si="45"/>
        <v>#VALUE!</v>
      </c>
      <c r="DI144" s="470" t="e">
        <f t="shared" si="46"/>
        <v>#VALUE!</v>
      </c>
      <c r="DJ144" s="470"/>
      <c r="DK144" s="470"/>
      <c r="EB144" s="470"/>
      <c r="EC144" s="470"/>
      <c r="ED144" s="470"/>
      <c r="EE144" s="470"/>
    </row>
    <row r="145" spans="1:135" ht="16.5" customHeight="1" x14ac:dyDescent="0.25">
      <c r="A145" s="1775" t="s">
        <v>976</v>
      </c>
      <c r="B145" s="2009" t="s">
        <v>684</v>
      </c>
      <c r="C145" s="2010"/>
      <c r="D145" s="885" t="s">
        <v>1384</v>
      </c>
      <c r="E145" s="914" t="s">
        <v>1385</v>
      </c>
      <c r="F145" s="915" t="s">
        <v>1386</v>
      </c>
      <c r="G145" s="848" t="s">
        <v>1387</v>
      </c>
      <c r="H145" s="849" t="s">
        <v>1388</v>
      </c>
      <c r="I145" s="888" t="s">
        <v>1389</v>
      </c>
      <c r="J145" s="889" t="s">
        <v>1390</v>
      </c>
      <c r="K145" s="888" t="s">
        <v>1391</v>
      </c>
      <c r="L145" s="889" t="s">
        <v>1392</v>
      </c>
      <c r="M145" s="888" t="s">
        <v>1393</v>
      </c>
      <c r="N145" s="889" t="s">
        <v>1394</v>
      </c>
      <c r="O145" s="888" t="s">
        <v>1395</v>
      </c>
      <c r="P145" s="889" t="s">
        <v>1396</v>
      </c>
      <c r="Q145" s="888" t="s">
        <v>1397</v>
      </c>
      <c r="R145" s="889" t="s">
        <v>1398</v>
      </c>
      <c r="S145" s="888" t="s">
        <v>1399</v>
      </c>
      <c r="T145" s="889" t="s">
        <v>1400</v>
      </c>
      <c r="U145" s="888" t="s">
        <v>1401</v>
      </c>
      <c r="V145" s="889" t="s">
        <v>1402</v>
      </c>
      <c r="W145" s="888" t="s">
        <v>1403</v>
      </c>
      <c r="X145" s="889" t="s">
        <v>1404</v>
      </c>
      <c r="Y145" s="888" t="s">
        <v>1405</v>
      </c>
      <c r="Z145" s="889" t="s">
        <v>1406</v>
      </c>
      <c r="AA145" s="888" t="s">
        <v>1407</v>
      </c>
      <c r="AB145" s="889" t="s">
        <v>1408</v>
      </c>
      <c r="AC145" s="888" t="s">
        <v>1409</v>
      </c>
      <c r="AD145" s="889" t="s">
        <v>1410</v>
      </c>
      <c r="AE145" s="888" t="s">
        <v>1411</v>
      </c>
      <c r="AF145" s="889" t="s">
        <v>1412</v>
      </c>
      <c r="AG145" s="888" t="s">
        <v>1413</v>
      </c>
      <c r="AH145" s="889" t="s">
        <v>1414</v>
      </c>
      <c r="AI145" s="888" t="s">
        <v>1415</v>
      </c>
      <c r="AJ145" s="889" t="s">
        <v>1416</v>
      </c>
      <c r="AK145" s="888" t="s">
        <v>1417</v>
      </c>
      <c r="AL145" s="889" t="s">
        <v>1418</v>
      </c>
      <c r="AM145" s="888" t="s">
        <v>1419</v>
      </c>
      <c r="AN145" s="889" t="s">
        <v>1420</v>
      </c>
      <c r="AO145" s="891" t="s">
        <v>1421</v>
      </c>
      <c r="AP145" s="889" t="s">
        <v>1422</v>
      </c>
      <c r="AQ145" s="888" t="s">
        <v>1423</v>
      </c>
      <c r="AR145" s="893" t="s">
        <v>1424</v>
      </c>
      <c r="AS145" s="892" t="s">
        <v>1425</v>
      </c>
      <c r="AT145" s="927" t="s">
        <v>1426</v>
      </c>
      <c r="AU145" s="891" t="s">
        <v>1427</v>
      </c>
      <c r="AV145" s="889" t="s">
        <v>1428</v>
      </c>
      <c r="AW145" s="411" t="e">
        <f t="shared" si="38"/>
        <v>#VALUE!</v>
      </c>
      <c r="AX145" s="411"/>
      <c r="AY145" s="411"/>
      <c r="AZ145" s="221"/>
      <c r="BA145" s="221"/>
      <c r="BS145"/>
      <c r="BT145"/>
      <c r="BU145"/>
      <c r="BV145"/>
      <c r="CB145" s="216"/>
      <c r="CC145" s="216"/>
      <c r="CD145" s="216"/>
      <c r="CE145" s="216"/>
      <c r="CG145" s="465" t="str">
        <f t="shared" si="39"/>
        <v/>
      </c>
      <c r="CH145" s="465" t="str">
        <f t="shared" si="40"/>
        <v/>
      </c>
      <c r="CI145" s="465" t="e">
        <f t="shared" si="41"/>
        <v>#VALUE!</v>
      </c>
      <c r="CJ145" s="465" t="e">
        <f t="shared" si="42"/>
        <v>#VALUE!</v>
      </c>
      <c r="CM145" s="474"/>
      <c r="CN145" s="474"/>
      <c r="CO145" s="474"/>
      <c r="CP145" s="474"/>
      <c r="DB145" s="391"/>
      <c r="DC145" s="391"/>
      <c r="DD145" s="391"/>
      <c r="DE145" s="391"/>
      <c r="DF145" s="470">
        <f t="shared" si="43"/>
        <v>0</v>
      </c>
      <c r="DG145" s="470">
        <f t="shared" si="44"/>
        <v>0</v>
      </c>
      <c r="DH145" s="470" t="e">
        <f t="shared" si="45"/>
        <v>#VALUE!</v>
      </c>
      <c r="DI145" s="470" t="e">
        <f t="shared" si="46"/>
        <v>#VALUE!</v>
      </c>
      <c r="DL145" s="474"/>
      <c r="DM145" s="474"/>
      <c r="DN145" s="474"/>
      <c r="DO145" s="474"/>
      <c r="EB145" s="470"/>
      <c r="EC145" s="470"/>
      <c r="ED145" s="470"/>
      <c r="EE145" s="470"/>
    </row>
    <row r="146" spans="1:135" ht="16.5" customHeight="1" x14ac:dyDescent="0.25">
      <c r="A146" s="1767"/>
      <c r="B146" s="2076" t="s">
        <v>15</v>
      </c>
      <c r="C146" s="2077"/>
      <c r="D146" s="867">
        <f>SUM(E146:F146)</f>
        <v>0</v>
      </c>
      <c r="E146" s="855">
        <f>SUM(E129:E145)</f>
        <v>0</v>
      </c>
      <c r="F146" s="864">
        <f>SUM(F129:F145)</f>
        <v>0</v>
      </c>
      <c r="G146" s="868">
        <f>SUM(G129:G145)</f>
        <v>0</v>
      </c>
      <c r="H146" s="871">
        <f t="shared" ref="H146:AV146" si="47">SUM(H129:H145)</f>
        <v>0</v>
      </c>
      <c r="I146" s="868">
        <f t="shared" si="47"/>
        <v>0</v>
      </c>
      <c r="J146" s="871">
        <f t="shared" si="47"/>
        <v>0</v>
      </c>
      <c r="K146" s="868">
        <f t="shared" si="47"/>
        <v>0</v>
      </c>
      <c r="L146" s="871">
        <f t="shared" si="47"/>
        <v>0</v>
      </c>
      <c r="M146" s="868">
        <f t="shared" si="47"/>
        <v>0</v>
      </c>
      <c r="N146" s="871">
        <f t="shared" si="47"/>
        <v>0</v>
      </c>
      <c r="O146" s="858">
        <f t="shared" si="47"/>
        <v>0</v>
      </c>
      <c r="P146" s="856">
        <f t="shared" si="47"/>
        <v>0</v>
      </c>
      <c r="Q146" s="858">
        <f t="shared" si="47"/>
        <v>0</v>
      </c>
      <c r="R146" s="864">
        <f t="shared" si="47"/>
        <v>0</v>
      </c>
      <c r="S146" s="855">
        <f t="shared" si="47"/>
        <v>0</v>
      </c>
      <c r="T146" s="864">
        <f t="shared" si="47"/>
        <v>0</v>
      </c>
      <c r="U146" s="855">
        <f t="shared" si="47"/>
        <v>0</v>
      </c>
      <c r="V146" s="864">
        <f t="shared" si="47"/>
        <v>0</v>
      </c>
      <c r="W146" s="855">
        <f t="shared" si="47"/>
        <v>0</v>
      </c>
      <c r="X146" s="856">
        <f t="shared" si="47"/>
        <v>0</v>
      </c>
      <c r="Y146" s="858">
        <f t="shared" si="47"/>
        <v>0</v>
      </c>
      <c r="Z146" s="856">
        <f t="shared" si="47"/>
        <v>0</v>
      </c>
      <c r="AA146" s="858">
        <f t="shared" si="47"/>
        <v>0</v>
      </c>
      <c r="AB146" s="864">
        <f t="shared" si="47"/>
        <v>0</v>
      </c>
      <c r="AC146" s="855">
        <f t="shared" si="47"/>
        <v>0</v>
      </c>
      <c r="AD146" s="864">
        <f t="shared" si="47"/>
        <v>0</v>
      </c>
      <c r="AE146" s="855">
        <f t="shared" si="47"/>
        <v>0</v>
      </c>
      <c r="AF146" s="864">
        <f t="shared" si="47"/>
        <v>0</v>
      </c>
      <c r="AG146" s="855">
        <f t="shared" si="47"/>
        <v>0</v>
      </c>
      <c r="AH146" s="904">
        <f t="shared" si="47"/>
        <v>0</v>
      </c>
      <c r="AI146" s="855">
        <f t="shared" si="47"/>
        <v>0</v>
      </c>
      <c r="AJ146" s="904">
        <f t="shared" si="47"/>
        <v>0</v>
      </c>
      <c r="AK146" s="855">
        <f t="shared" ref="AK146:AN146" si="48">SUM(AK129:AK145)</f>
        <v>0</v>
      </c>
      <c r="AL146" s="904">
        <f t="shared" si="48"/>
        <v>0</v>
      </c>
      <c r="AM146" s="855">
        <f t="shared" si="48"/>
        <v>0</v>
      </c>
      <c r="AN146" s="1835">
        <f t="shared" si="48"/>
        <v>0</v>
      </c>
      <c r="AO146" s="1497">
        <f t="shared" si="47"/>
        <v>0</v>
      </c>
      <c r="AP146" s="904">
        <f t="shared" si="47"/>
        <v>0</v>
      </c>
      <c r="AQ146" s="855">
        <f>SUM(AQ129:AQ145)</f>
        <v>0</v>
      </c>
      <c r="AR146" s="905">
        <f t="shared" si="47"/>
        <v>0</v>
      </c>
      <c r="AS146" s="859">
        <f t="shared" si="47"/>
        <v>0</v>
      </c>
      <c r="AT146" s="1497">
        <f t="shared" si="47"/>
        <v>0</v>
      </c>
      <c r="AU146" s="858">
        <f t="shared" si="47"/>
        <v>0</v>
      </c>
      <c r="AV146" s="864">
        <f t="shared" si="47"/>
        <v>0</v>
      </c>
      <c r="AW146" s="411"/>
      <c r="AX146" s="411"/>
      <c r="AY146" s="411"/>
      <c r="AZ146" s="221"/>
      <c r="BA146" s="221"/>
      <c r="BS146"/>
      <c r="BT146"/>
      <c r="BU146"/>
      <c r="BV146"/>
      <c r="CB146" s="216"/>
      <c r="CC146" s="216"/>
      <c r="CD146" s="216"/>
      <c r="CE146" s="216"/>
      <c r="CM146" s="474"/>
      <c r="CN146" s="474"/>
      <c r="CO146" s="474"/>
      <c r="CP146" s="474"/>
      <c r="DB146" s="391"/>
      <c r="DC146" s="391"/>
      <c r="DD146" s="391"/>
      <c r="DE146" s="391"/>
      <c r="DL146" s="474"/>
      <c r="DM146" s="474"/>
      <c r="DN146" s="474"/>
      <c r="DO146" s="474"/>
      <c r="EB146" s="470"/>
      <c r="EC146" s="470"/>
      <c r="ED146" s="470"/>
      <c r="EE146" s="470"/>
    </row>
    <row r="161" spans="2:3" s="474" customFormat="1" ht="10.5" hidden="1" x14ac:dyDescent="0.15">
      <c r="B161" s="1329" t="e">
        <f>SUM(D11:AL38,D43:N71,D75:F84,D88:M91,D95:D96,D100:D109,F114:L118,D122:J124,D129:AV146)</f>
        <v>#VALUE!</v>
      </c>
      <c r="C161" s="474" t="s">
        <v>350</v>
      </c>
    </row>
    <row r="162" spans="2:3" s="474" customFormat="1" ht="10.5" hidden="1" x14ac:dyDescent="0.15">
      <c r="B162" s="1329" t="e">
        <f>SUM(DB11:EA146)</f>
        <v>#VALUE!</v>
      </c>
      <c r="C162" s="474" t="s">
        <v>351</v>
      </c>
    </row>
  </sheetData>
  <dataConsolidate/>
  <mergeCells count="130">
    <mergeCell ref="AK127:AL127"/>
    <mergeCell ref="AM127:AN127"/>
    <mergeCell ref="G126:AR126"/>
    <mergeCell ref="M111:M113"/>
    <mergeCell ref="AS126:AT127"/>
    <mergeCell ref="AU126:AV127"/>
    <mergeCell ref="B146:C146"/>
    <mergeCell ref="AI127:AJ127"/>
    <mergeCell ref="AO127:AP127"/>
    <mergeCell ref="AQ127:AR127"/>
    <mergeCell ref="B142:C142"/>
    <mergeCell ref="B143:C143"/>
    <mergeCell ref="B144:C144"/>
    <mergeCell ref="B145:C145"/>
    <mergeCell ref="B129:C129"/>
    <mergeCell ref="B130:C130"/>
    <mergeCell ref="B131:C131"/>
    <mergeCell ref="B132:C132"/>
    <mergeCell ref="B133:C133"/>
    <mergeCell ref="B134:C134"/>
    <mergeCell ref="B135:C135"/>
    <mergeCell ref="B136:C136"/>
    <mergeCell ref="B137:C137"/>
    <mergeCell ref="B138:C138"/>
    <mergeCell ref="B139:C139"/>
    <mergeCell ref="B140:C140"/>
    <mergeCell ref="B141:C141"/>
    <mergeCell ref="AG127:AH127"/>
    <mergeCell ref="B126:C128"/>
    <mergeCell ref="D126:F127"/>
    <mergeCell ref="G127:H127"/>
    <mergeCell ref="I127:J127"/>
    <mergeCell ref="K127:L127"/>
    <mergeCell ref="M127:N127"/>
    <mergeCell ref="O127:P127"/>
    <mergeCell ref="Q127:R127"/>
    <mergeCell ref="S127:T127"/>
    <mergeCell ref="U127:V127"/>
    <mergeCell ref="W127:X127"/>
    <mergeCell ref="Y127:Z127"/>
    <mergeCell ref="AA127:AB127"/>
    <mergeCell ref="AC127:AD127"/>
    <mergeCell ref="AE127:AF127"/>
    <mergeCell ref="B6:Y6"/>
    <mergeCell ref="AI8:AJ9"/>
    <mergeCell ref="AK8:AL9"/>
    <mergeCell ref="AC9:AD9"/>
    <mergeCell ref="AE9:AF9"/>
    <mergeCell ref="AG9:AH9"/>
    <mergeCell ref="U9:V9"/>
    <mergeCell ref="W9:X9"/>
    <mergeCell ref="Y9:Z9"/>
    <mergeCell ref="B8:C10"/>
    <mergeCell ref="S9:T9"/>
    <mergeCell ref="AA9:AB9"/>
    <mergeCell ref="Q9:R9"/>
    <mergeCell ref="O9:P9"/>
    <mergeCell ref="G9:H9"/>
    <mergeCell ref="I9:J9"/>
    <mergeCell ref="D8:F9"/>
    <mergeCell ref="B39:N39"/>
    <mergeCell ref="B31:B38"/>
    <mergeCell ref="B18:B23"/>
    <mergeCell ref="B11:C11"/>
    <mergeCell ref="K9:L9"/>
    <mergeCell ref="M9:N9"/>
    <mergeCell ref="G8:AH8"/>
    <mergeCell ref="B12:B17"/>
    <mergeCell ref="B24:B30"/>
    <mergeCell ref="B124:C124"/>
    <mergeCell ref="B123:C123"/>
    <mergeCell ref="B122:C122"/>
    <mergeCell ref="B120:C121"/>
    <mergeCell ref="B117:C117"/>
    <mergeCell ref="B88:B91"/>
    <mergeCell ref="B74:C74"/>
    <mergeCell ref="B80:B84"/>
    <mergeCell ref="H86:H87"/>
    <mergeCell ref="G86:G87"/>
    <mergeCell ref="B75:B79"/>
    <mergeCell ref="D120:D121"/>
    <mergeCell ref="E120:J120"/>
    <mergeCell ref="B95:C95"/>
    <mergeCell ref="B93:C94"/>
    <mergeCell ref="B109:C109"/>
    <mergeCell ref="B118:C118"/>
    <mergeCell ref="B101:C101"/>
    <mergeCell ref="B111:C113"/>
    <mergeCell ref="B114:C114"/>
    <mergeCell ref="B116:C116"/>
    <mergeCell ref="B104:C104"/>
    <mergeCell ref="G112:H112"/>
    <mergeCell ref="I112:J112"/>
    <mergeCell ref="B43:C43"/>
    <mergeCell ref="B44:B51"/>
    <mergeCell ref="B72:U72"/>
    <mergeCell ref="D40:F41"/>
    <mergeCell ref="G41:H41"/>
    <mergeCell ref="I41:J41"/>
    <mergeCell ref="B52:B58"/>
    <mergeCell ref="B59:B62"/>
    <mergeCell ref="G40:N40"/>
    <mergeCell ref="M41:N41"/>
    <mergeCell ref="B40:C42"/>
    <mergeCell ref="K41:L41"/>
    <mergeCell ref="M86:M87"/>
    <mergeCell ref="B63:B71"/>
    <mergeCell ref="F86:F87"/>
    <mergeCell ref="E86:E87"/>
    <mergeCell ref="B86:C87"/>
    <mergeCell ref="D86:D87"/>
    <mergeCell ref="J86:J87"/>
    <mergeCell ref="K86:K87"/>
    <mergeCell ref="I86:I87"/>
    <mergeCell ref="L86:L87"/>
    <mergeCell ref="K112:L112"/>
    <mergeCell ref="G111:L111"/>
    <mergeCell ref="B106:C106"/>
    <mergeCell ref="B107:C107"/>
    <mergeCell ref="B115:C115"/>
    <mergeCell ref="B108:C108"/>
    <mergeCell ref="D93:D94"/>
    <mergeCell ref="B100:C100"/>
    <mergeCell ref="B103:C103"/>
    <mergeCell ref="B105:C105"/>
    <mergeCell ref="D98:D99"/>
    <mergeCell ref="B102:C102"/>
    <mergeCell ref="B98:C99"/>
    <mergeCell ref="B96:C96"/>
    <mergeCell ref="D111:F11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DA101"/>
  <sheetViews>
    <sheetView showGridLines="0" zoomScaleNormal="100" workbookViewId="0"/>
  </sheetViews>
  <sheetFormatPr baseColWidth="10" defaultColWidth="11.42578125" defaultRowHeight="15" x14ac:dyDescent="0.25"/>
  <cols>
    <col min="1" max="1" width="17.85546875" style="215" customWidth="1"/>
    <col min="2" max="2" width="21.140625" style="215" customWidth="1"/>
    <col min="3" max="3" width="29.85546875" style="215" customWidth="1"/>
    <col min="4" max="4" width="28.7109375" style="215" customWidth="1"/>
    <col min="5" max="5" width="14.28515625" style="215" customWidth="1"/>
    <col min="6" max="6" width="12.42578125" style="215" customWidth="1"/>
    <col min="7" max="7" width="13.140625" style="215" customWidth="1"/>
    <col min="8" max="8" width="11.5703125" style="215" customWidth="1"/>
    <col min="9" max="32" width="9.85546875" style="215" customWidth="1"/>
    <col min="33" max="36" width="9.85546875" style="216" customWidth="1"/>
    <col min="37" max="40" width="9.85546875" style="386" customWidth="1"/>
    <col min="41" max="41" width="11.42578125" style="386"/>
    <col min="42" max="42" width="11.42578125" style="481"/>
    <col min="43" max="43" width="11.42578125" style="386"/>
    <col min="44" max="44" width="11.28515625" style="457" customWidth="1"/>
    <col min="45" max="46" width="11.28515625" style="386" customWidth="1"/>
    <col min="47" max="51" width="11.42578125" style="386" customWidth="1"/>
    <col min="52" max="52" width="11" style="386" customWidth="1"/>
    <col min="53" max="53" width="11" style="598" customWidth="1"/>
    <col min="54" max="68" width="11.42578125" customWidth="1"/>
    <col min="69" max="69" width="11" style="356" customWidth="1"/>
    <col min="70" max="70" width="11" style="215" customWidth="1"/>
    <col min="71" max="79" width="11.42578125" style="215" customWidth="1"/>
    <col min="80" max="94" width="11" style="474" hidden="1" customWidth="1"/>
    <col min="95" max="105" width="11.42578125" style="215" customWidth="1"/>
    <col min="106" max="16384" width="11.42578125" style="215"/>
  </cols>
  <sheetData>
    <row r="1" spans="1:105" s="460" customFormat="1" ht="13.5" customHeight="1" x14ac:dyDescent="0.15">
      <c r="B1" s="148" t="s">
        <v>0</v>
      </c>
      <c r="C1" s="149"/>
      <c r="D1" s="149"/>
      <c r="E1" s="149"/>
      <c r="F1" s="149"/>
      <c r="G1" s="149"/>
      <c r="H1" s="149"/>
      <c r="I1" s="149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P1" s="481"/>
      <c r="AR1" s="641"/>
      <c r="BA1" s="642"/>
      <c r="BQ1" s="392"/>
      <c r="BR1" s="70"/>
      <c r="BS1" s="70"/>
      <c r="BT1" s="70"/>
      <c r="BU1" s="70"/>
      <c r="BV1" s="70"/>
      <c r="BW1" s="70"/>
      <c r="BX1" s="70"/>
      <c r="BY1" s="70"/>
      <c r="BZ1" s="70"/>
      <c r="CA1" s="70"/>
      <c r="CB1" s="391"/>
      <c r="CC1" s="391"/>
      <c r="CD1" s="391"/>
      <c r="CE1" s="391"/>
      <c r="CF1" s="391"/>
      <c r="CG1" s="391"/>
      <c r="CH1" s="391"/>
      <c r="CI1" s="391"/>
      <c r="CJ1" s="391"/>
      <c r="CK1" s="391"/>
      <c r="CL1" s="391"/>
      <c r="CM1" s="391"/>
      <c r="CN1" s="391"/>
      <c r="CO1" s="391"/>
      <c r="CP1" s="39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</row>
    <row r="2" spans="1:105" s="460" customFormat="1" ht="13.5" customHeight="1" x14ac:dyDescent="0.15">
      <c r="B2" s="148" t="str">
        <f>CONCATENATE("COMUNA: ",NOMBRE!$B$2," - ","( ",NOMBRE!$C$2,NOMBRE!$D$2,NOMBRE!$E$2,NOMBRE!$F$2,NOMBRE!$G$2," )")</f>
        <v>COMUNA:  - (  )</v>
      </c>
      <c r="C2" s="149"/>
      <c r="D2" s="149"/>
      <c r="E2" s="149"/>
      <c r="F2" s="149"/>
      <c r="G2" s="149"/>
      <c r="H2" s="149"/>
      <c r="I2" s="149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P2" s="481"/>
      <c r="AR2" s="641"/>
      <c r="BA2" s="642"/>
      <c r="BQ2" s="392"/>
      <c r="BR2" s="70"/>
      <c r="BS2" s="70"/>
      <c r="BT2" s="70"/>
      <c r="BU2" s="70"/>
      <c r="BV2" s="70"/>
      <c r="BW2" s="70"/>
      <c r="BX2" s="70"/>
      <c r="BY2" s="70"/>
      <c r="BZ2" s="70"/>
      <c r="CA2" s="70"/>
      <c r="CB2" s="391"/>
      <c r="CC2" s="391"/>
      <c r="CD2" s="391"/>
      <c r="CE2" s="391"/>
      <c r="CF2" s="391"/>
      <c r="CG2" s="391"/>
      <c r="CH2" s="391"/>
      <c r="CI2" s="391"/>
      <c r="CJ2" s="391"/>
      <c r="CK2" s="391"/>
      <c r="CL2" s="391"/>
      <c r="CM2" s="391"/>
      <c r="CN2" s="391"/>
      <c r="CO2" s="391"/>
      <c r="CP2" s="391"/>
      <c r="CQ2" s="70"/>
      <c r="CR2" s="70"/>
      <c r="CS2" s="70"/>
      <c r="CT2" s="70"/>
      <c r="CU2" s="70"/>
      <c r="CV2" s="70"/>
      <c r="CW2" s="70"/>
      <c r="CX2" s="70"/>
      <c r="CY2" s="70"/>
      <c r="CZ2" s="70"/>
      <c r="DA2" s="70"/>
    </row>
    <row r="3" spans="1:105" s="460" customFormat="1" ht="13.5" customHeight="1" x14ac:dyDescent="0.15">
      <c r="B3" s="148" t="str">
        <f>CONCATENATE("ESTABLECIMIENTO/ESTRATEGIA: ",NOMBRE!$B$3," - ","( ",NOMBRE!$C$3,NOMBRE!$D$3,NOMBRE!$E$3,NOMBRE!$F$3,NOMBRE!$G$3,NOMBRE!$H$3," )")</f>
        <v>ESTABLECIMIENTO/ESTRATEGIA:  - (  )</v>
      </c>
      <c r="C3" s="149"/>
      <c r="D3" s="149"/>
      <c r="E3" s="150"/>
      <c r="F3" s="149"/>
      <c r="G3" s="149"/>
      <c r="H3" s="149"/>
      <c r="I3" s="149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P3" s="481"/>
      <c r="AR3" s="641"/>
      <c r="BA3" s="642"/>
      <c r="BQ3" s="392"/>
      <c r="BR3" s="70"/>
      <c r="BS3" s="70"/>
      <c r="BT3" s="70"/>
      <c r="BU3" s="70"/>
      <c r="BV3" s="70"/>
      <c r="BW3" s="70"/>
      <c r="BX3" s="70"/>
      <c r="BY3" s="70"/>
      <c r="BZ3" s="70"/>
      <c r="CA3" s="70"/>
      <c r="CB3" s="391"/>
      <c r="CC3" s="391"/>
      <c r="CD3" s="391"/>
      <c r="CE3" s="391"/>
      <c r="CF3" s="391"/>
      <c r="CG3" s="391"/>
      <c r="CH3" s="391"/>
      <c r="CI3" s="391"/>
      <c r="CJ3" s="391"/>
      <c r="CK3" s="391"/>
      <c r="CL3" s="391"/>
      <c r="CM3" s="391"/>
      <c r="CN3" s="391"/>
      <c r="CO3" s="391"/>
      <c r="CP3" s="391"/>
      <c r="CQ3" s="70"/>
      <c r="CR3" s="70"/>
      <c r="CS3" s="70"/>
      <c r="CT3" s="70"/>
      <c r="CU3" s="70"/>
      <c r="CV3" s="70"/>
      <c r="CW3" s="70"/>
      <c r="CX3" s="70"/>
      <c r="CY3" s="70"/>
      <c r="CZ3" s="70"/>
      <c r="DA3" s="70"/>
    </row>
    <row r="4" spans="1:105" s="460" customFormat="1" ht="13.5" customHeight="1" x14ac:dyDescent="0.15">
      <c r="B4" s="148" t="str">
        <f>CONCATENATE("MES: ",NOMBRE!$B$6," - ","( ",NOMBRE!$C$6,NOMBRE!$D$6," )")</f>
        <v>MES:  - (  )</v>
      </c>
      <c r="C4" s="149"/>
      <c r="D4" s="149"/>
      <c r="E4" s="149"/>
      <c r="F4" s="149"/>
      <c r="G4" s="149"/>
      <c r="H4" s="149"/>
      <c r="I4" s="149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P4" s="481"/>
      <c r="AR4" s="641"/>
      <c r="BA4" s="642"/>
      <c r="BQ4" s="392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391"/>
      <c r="CC4" s="391"/>
      <c r="CD4" s="391"/>
      <c r="CE4" s="391"/>
      <c r="CF4" s="391"/>
      <c r="CG4" s="391"/>
      <c r="CH4" s="391"/>
      <c r="CI4" s="391"/>
      <c r="CJ4" s="391"/>
      <c r="CK4" s="391"/>
      <c r="CL4" s="391"/>
      <c r="CM4" s="391"/>
      <c r="CN4" s="391"/>
      <c r="CO4" s="391"/>
      <c r="CP4" s="391"/>
      <c r="CQ4" s="70"/>
      <c r="CR4" s="70"/>
      <c r="CS4" s="70"/>
      <c r="CT4" s="70"/>
      <c r="CU4" s="70"/>
      <c r="CV4" s="70"/>
      <c r="CW4" s="70"/>
      <c r="CX4" s="70"/>
      <c r="CY4" s="70"/>
      <c r="CZ4" s="70"/>
      <c r="DA4" s="70"/>
    </row>
    <row r="5" spans="1:105" s="460" customFormat="1" ht="13.5" customHeight="1" x14ac:dyDescent="0.15">
      <c r="B5" s="148" t="str">
        <f>CONCATENATE("AÑO: ",NOMBRE!$B$7)</f>
        <v>AÑO: 2021</v>
      </c>
      <c r="C5" s="149"/>
      <c r="D5" s="149"/>
      <c r="E5" s="149"/>
      <c r="F5" s="149"/>
      <c r="G5" s="149"/>
      <c r="H5" s="149"/>
      <c r="I5" s="149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P5" s="481"/>
      <c r="AR5" s="641"/>
      <c r="BA5" s="642"/>
      <c r="BQ5" s="392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391"/>
      <c r="CC5" s="391"/>
      <c r="CD5" s="391"/>
      <c r="CE5" s="391"/>
      <c r="CF5" s="391"/>
      <c r="CG5" s="391"/>
      <c r="CH5" s="391"/>
      <c r="CI5" s="391"/>
      <c r="CJ5" s="391"/>
      <c r="CK5" s="391"/>
      <c r="CL5" s="391"/>
      <c r="CM5" s="391"/>
      <c r="CN5" s="391"/>
      <c r="CO5" s="391"/>
      <c r="CP5" s="391"/>
      <c r="CQ5" s="70"/>
      <c r="CR5" s="70"/>
      <c r="CS5" s="70"/>
      <c r="CT5" s="70"/>
      <c r="CU5" s="70"/>
      <c r="CV5" s="70"/>
      <c r="CW5" s="70"/>
      <c r="CX5" s="70"/>
      <c r="CY5" s="70"/>
      <c r="CZ5" s="70"/>
      <c r="DA5" s="70"/>
    </row>
    <row r="6" spans="1:105" s="460" customFormat="1" ht="15" customHeight="1" x14ac:dyDescent="0.15">
      <c r="B6" s="148"/>
      <c r="C6" s="149"/>
      <c r="D6" s="149"/>
      <c r="E6" s="149"/>
      <c r="F6" s="149"/>
      <c r="G6" s="149"/>
      <c r="H6" s="149"/>
      <c r="I6" s="149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P6" s="481"/>
      <c r="AR6" s="641"/>
      <c r="BA6" s="642"/>
      <c r="BQ6" s="392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391"/>
      <c r="CC6" s="391"/>
      <c r="CD6" s="391"/>
      <c r="CE6" s="391"/>
      <c r="CF6" s="391"/>
      <c r="CG6" s="391"/>
      <c r="CH6" s="391"/>
      <c r="CI6" s="391"/>
      <c r="CJ6" s="391"/>
      <c r="CK6" s="391"/>
      <c r="CL6" s="391"/>
      <c r="CM6" s="391"/>
      <c r="CN6" s="391"/>
      <c r="CO6" s="391"/>
      <c r="CP6" s="391"/>
      <c r="CQ6" s="70"/>
      <c r="CR6" s="70"/>
      <c r="CS6" s="70"/>
      <c r="CT6" s="70"/>
      <c r="CU6" s="70"/>
      <c r="CV6" s="70"/>
      <c r="CW6" s="70"/>
      <c r="CX6" s="70"/>
      <c r="CY6" s="70"/>
      <c r="CZ6" s="70"/>
      <c r="DA6" s="70"/>
    </row>
    <row r="7" spans="1:105" ht="21.75" customHeight="1" x14ac:dyDescent="0.25">
      <c r="B7" s="2161" t="s">
        <v>613</v>
      </c>
      <c r="C7" s="2161"/>
      <c r="D7" s="2161"/>
      <c r="E7" s="2161"/>
      <c r="F7" s="2161"/>
      <c r="G7" s="2161"/>
      <c r="H7" s="2161"/>
      <c r="I7" s="2161"/>
      <c r="J7" s="2161"/>
      <c r="K7" s="2161"/>
      <c r="L7" s="2161"/>
      <c r="M7" s="2161"/>
      <c r="N7" s="2161"/>
      <c r="O7" s="2161"/>
      <c r="P7" s="2161"/>
      <c r="Q7" s="2161"/>
      <c r="R7" s="2161"/>
      <c r="S7" s="2161"/>
      <c r="T7" s="2161"/>
      <c r="U7" s="2161"/>
      <c r="V7" s="2161"/>
      <c r="W7" s="2161"/>
      <c r="X7" s="2161"/>
      <c r="Y7" s="2161"/>
      <c r="Z7" s="2161"/>
      <c r="AK7" s="215"/>
      <c r="AL7" s="215"/>
      <c r="AM7" s="215"/>
      <c r="AN7" s="215"/>
      <c r="AO7" s="215"/>
      <c r="AQ7" s="215"/>
      <c r="AS7" s="215"/>
      <c r="AT7" s="215"/>
      <c r="AU7" s="215"/>
      <c r="AV7" s="215"/>
      <c r="AW7" s="215"/>
      <c r="AX7" s="215"/>
      <c r="AY7" s="215"/>
      <c r="AZ7" s="215"/>
      <c r="BA7" s="356"/>
    </row>
    <row r="8" spans="1:105" ht="43.5" customHeight="1" x14ac:dyDescent="0.25">
      <c r="B8" s="644" t="s">
        <v>644</v>
      </c>
      <c r="C8" s="644"/>
      <c r="D8" s="643"/>
      <c r="E8" s="151"/>
      <c r="F8" s="151"/>
      <c r="G8" s="151"/>
      <c r="H8" s="151"/>
      <c r="I8" s="151"/>
      <c r="J8" s="151"/>
      <c r="K8" s="151"/>
      <c r="L8" s="152"/>
      <c r="M8" s="151"/>
      <c r="N8" s="151"/>
      <c r="O8" s="153"/>
      <c r="P8" s="153"/>
      <c r="AD8" s="475"/>
    </row>
    <row r="9" spans="1:105" ht="12.75" customHeight="1" x14ac:dyDescent="0.25">
      <c r="B9" s="2162" t="s">
        <v>141</v>
      </c>
      <c r="C9" s="2162"/>
      <c r="D9" s="2057" t="s">
        <v>15</v>
      </c>
      <c r="E9" s="2058"/>
      <c r="F9" s="2059"/>
      <c r="G9" s="2102" t="s">
        <v>142</v>
      </c>
      <c r="H9" s="2102"/>
      <c r="I9" s="2102"/>
      <c r="J9" s="2102"/>
      <c r="K9" s="2102"/>
      <c r="L9" s="2102"/>
      <c r="M9" s="2102"/>
      <c r="N9" s="2102"/>
      <c r="O9" s="2102"/>
      <c r="P9" s="2102"/>
      <c r="Q9" s="2102"/>
      <c r="R9" s="2102"/>
      <c r="S9" s="2102"/>
      <c r="T9" s="2102"/>
      <c r="U9" s="2102"/>
      <c r="V9" s="2102"/>
      <c r="W9" s="2102"/>
      <c r="X9" s="2102"/>
      <c r="Y9" s="2102"/>
      <c r="Z9" s="2102"/>
      <c r="AA9" s="2102"/>
      <c r="AB9" s="2102"/>
      <c r="AC9" s="2102"/>
      <c r="AD9" s="2102"/>
      <c r="AE9" s="2102"/>
      <c r="AF9" s="2102"/>
      <c r="AG9" s="2102"/>
      <c r="AH9" s="2102"/>
      <c r="AI9" s="2102"/>
      <c r="AJ9" s="2102"/>
      <c r="AK9" s="2102"/>
      <c r="AL9" s="2102"/>
      <c r="AM9" s="2102"/>
      <c r="AN9" s="2103"/>
      <c r="AO9" s="2099" t="s">
        <v>143</v>
      </c>
      <c r="AP9" s="2139" t="s">
        <v>527</v>
      </c>
      <c r="AQ9" s="2140"/>
      <c r="AR9" s="462"/>
      <c r="AS9" s="216"/>
      <c r="AT9" s="216"/>
      <c r="AU9" s="216"/>
      <c r="AV9" s="216"/>
      <c r="AW9" s="216"/>
      <c r="AX9" s="216"/>
      <c r="AY9" s="216"/>
      <c r="AZ9" s="216"/>
      <c r="BA9" s="356"/>
    </row>
    <row r="10" spans="1:105" ht="12.75" customHeight="1" x14ac:dyDescent="0.25">
      <c r="B10" s="2163"/>
      <c r="C10" s="2163"/>
      <c r="D10" s="2060"/>
      <c r="E10" s="1986"/>
      <c r="F10" s="1987"/>
      <c r="G10" s="2082" t="s">
        <v>232</v>
      </c>
      <c r="H10" s="2083"/>
      <c r="I10" s="2082" t="s">
        <v>233</v>
      </c>
      <c r="J10" s="2083"/>
      <c r="K10" s="2082" t="s">
        <v>144</v>
      </c>
      <c r="L10" s="2083"/>
      <c r="M10" s="2084" t="s">
        <v>19</v>
      </c>
      <c r="N10" s="2084"/>
      <c r="O10" s="2084" t="s">
        <v>20</v>
      </c>
      <c r="P10" s="2084"/>
      <c r="Q10" s="2084" t="s">
        <v>21</v>
      </c>
      <c r="R10" s="2084"/>
      <c r="S10" s="2085" t="s">
        <v>22</v>
      </c>
      <c r="T10" s="2086"/>
      <c r="U10" s="2084" t="s">
        <v>23</v>
      </c>
      <c r="V10" s="2084"/>
      <c r="W10" s="2085" t="s">
        <v>24</v>
      </c>
      <c r="X10" s="2086"/>
      <c r="Y10" s="2084" t="s">
        <v>25</v>
      </c>
      <c r="Z10" s="2084"/>
      <c r="AA10" s="2085" t="s">
        <v>26</v>
      </c>
      <c r="AB10" s="2086"/>
      <c r="AC10" s="2084" t="s">
        <v>234</v>
      </c>
      <c r="AD10" s="2084"/>
      <c r="AE10" s="2085" t="s">
        <v>235</v>
      </c>
      <c r="AF10" s="2086"/>
      <c r="AG10" s="2087" t="s">
        <v>207</v>
      </c>
      <c r="AH10" s="2088"/>
      <c r="AI10" s="2087" t="s">
        <v>208</v>
      </c>
      <c r="AJ10" s="2088"/>
      <c r="AK10" s="2087" t="s">
        <v>209</v>
      </c>
      <c r="AL10" s="2088"/>
      <c r="AM10" s="2087" t="s">
        <v>221</v>
      </c>
      <c r="AN10" s="2104"/>
      <c r="AO10" s="2100"/>
      <c r="AP10" s="2141"/>
      <c r="AQ10" s="2142"/>
      <c r="AR10" s="462"/>
      <c r="AS10" s="216"/>
      <c r="AT10" s="216"/>
      <c r="AU10" s="216"/>
      <c r="AV10" s="216"/>
      <c r="AW10" s="216"/>
      <c r="AX10" s="216"/>
      <c r="AY10" s="216"/>
      <c r="AZ10" s="216"/>
      <c r="BA10" s="356"/>
    </row>
    <row r="11" spans="1:105" ht="22.5" customHeight="1" x14ac:dyDescent="0.25">
      <c r="B11" s="2163"/>
      <c r="C11" s="2163"/>
      <c r="D11" s="154" t="s">
        <v>99</v>
      </c>
      <c r="E11" s="155" t="s">
        <v>33</v>
      </c>
      <c r="F11" s="156" t="s">
        <v>100</v>
      </c>
      <c r="G11" s="157" t="s">
        <v>33</v>
      </c>
      <c r="H11" s="156" t="s">
        <v>100</v>
      </c>
      <c r="I11" s="157" t="s">
        <v>33</v>
      </c>
      <c r="J11" s="156" t="s">
        <v>100</v>
      </c>
      <c r="K11" s="157" t="s">
        <v>33</v>
      </c>
      <c r="L11" s="156" t="s">
        <v>100</v>
      </c>
      <c r="M11" s="158" t="s">
        <v>33</v>
      </c>
      <c r="N11" s="159" t="s">
        <v>100</v>
      </c>
      <c r="O11" s="158" t="s">
        <v>33</v>
      </c>
      <c r="P11" s="159" t="s">
        <v>100</v>
      </c>
      <c r="Q11" s="158" t="s">
        <v>33</v>
      </c>
      <c r="R11" s="159" t="s">
        <v>100</v>
      </c>
      <c r="S11" s="476" t="s">
        <v>33</v>
      </c>
      <c r="T11" s="477" t="s">
        <v>100</v>
      </c>
      <c r="U11" s="158" t="s">
        <v>33</v>
      </c>
      <c r="V11" s="159" t="s">
        <v>100</v>
      </c>
      <c r="W11" s="476" t="s">
        <v>33</v>
      </c>
      <c r="X11" s="477" t="s">
        <v>100</v>
      </c>
      <c r="Y11" s="158" t="s">
        <v>33</v>
      </c>
      <c r="Z11" s="159" t="s">
        <v>100</v>
      </c>
      <c r="AA11" s="476" t="s">
        <v>33</v>
      </c>
      <c r="AB11" s="477" t="s">
        <v>100</v>
      </c>
      <c r="AC11" s="158" t="s">
        <v>33</v>
      </c>
      <c r="AD11" s="159" t="s">
        <v>100</v>
      </c>
      <c r="AE11" s="476" t="s">
        <v>33</v>
      </c>
      <c r="AF11" s="477" t="s">
        <v>100</v>
      </c>
      <c r="AG11" s="160" t="s">
        <v>145</v>
      </c>
      <c r="AH11" s="161" t="s">
        <v>100</v>
      </c>
      <c r="AI11" s="160" t="s">
        <v>145</v>
      </c>
      <c r="AJ11" s="161" t="s">
        <v>100</v>
      </c>
      <c r="AK11" s="160" t="s">
        <v>145</v>
      </c>
      <c r="AL11" s="161" t="s">
        <v>100</v>
      </c>
      <c r="AM11" s="160" t="s">
        <v>145</v>
      </c>
      <c r="AN11" s="162" t="s">
        <v>100</v>
      </c>
      <c r="AO11" s="2101"/>
      <c r="AP11" s="212" t="s">
        <v>145</v>
      </c>
      <c r="AQ11" s="161" t="s">
        <v>100</v>
      </c>
      <c r="AR11" s="462"/>
      <c r="AS11" s="216"/>
      <c r="AT11" s="216"/>
      <c r="AU11" s="216"/>
      <c r="AV11" s="216"/>
      <c r="AW11" s="216"/>
      <c r="AX11" s="216"/>
      <c r="AY11" s="216"/>
      <c r="AZ11" s="216"/>
      <c r="BA11" s="356"/>
      <c r="CJ11" s="470"/>
      <c r="CK11" s="470"/>
      <c r="CL11" s="470"/>
      <c r="CM11" s="470"/>
      <c r="CN11" s="470"/>
      <c r="CO11" s="470"/>
      <c r="CP11" s="470"/>
    </row>
    <row r="12" spans="1:105" ht="15" customHeight="1" x14ac:dyDescent="0.25">
      <c r="A12" s="1773" t="s">
        <v>977</v>
      </c>
      <c r="B12" s="2106" t="s">
        <v>146</v>
      </c>
      <c r="C12" s="1257" t="s">
        <v>119</v>
      </c>
      <c r="D12" s="936" t="s">
        <v>1384</v>
      </c>
      <c r="E12" s="951" t="s">
        <v>1385</v>
      </c>
      <c r="F12" s="952" t="s">
        <v>1386</v>
      </c>
      <c r="G12" s="953" t="s">
        <v>1387</v>
      </c>
      <c r="H12" s="954" t="s">
        <v>1388</v>
      </c>
      <c r="I12" s="1002" t="s">
        <v>1389</v>
      </c>
      <c r="J12" s="1003" t="s">
        <v>1390</v>
      </c>
      <c r="K12" s="1002" t="s">
        <v>1391</v>
      </c>
      <c r="L12" s="1003" t="s">
        <v>1392</v>
      </c>
      <c r="M12" s="1002" t="s">
        <v>1393</v>
      </c>
      <c r="N12" s="1003" t="s">
        <v>1394</v>
      </c>
      <c r="O12" s="1002" t="s">
        <v>1395</v>
      </c>
      <c r="P12" s="1003" t="s">
        <v>1396</v>
      </c>
      <c r="Q12" s="1002" t="s">
        <v>1397</v>
      </c>
      <c r="R12" s="1003" t="s">
        <v>1398</v>
      </c>
      <c r="S12" s="1002" t="s">
        <v>1399</v>
      </c>
      <c r="T12" s="1003" t="s">
        <v>1400</v>
      </c>
      <c r="U12" s="1002" t="s">
        <v>1401</v>
      </c>
      <c r="V12" s="1003" t="s">
        <v>1402</v>
      </c>
      <c r="W12" s="1002" t="s">
        <v>1403</v>
      </c>
      <c r="X12" s="1003" t="s">
        <v>1404</v>
      </c>
      <c r="Y12" s="1002" t="s">
        <v>1405</v>
      </c>
      <c r="Z12" s="1003" t="s">
        <v>1406</v>
      </c>
      <c r="AA12" s="1002" t="s">
        <v>1407</v>
      </c>
      <c r="AB12" s="1003" t="s">
        <v>1408</v>
      </c>
      <c r="AC12" s="1002" t="s">
        <v>1409</v>
      </c>
      <c r="AD12" s="1003" t="s">
        <v>1410</v>
      </c>
      <c r="AE12" s="1002" t="s">
        <v>1411</v>
      </c>
      <c r="AF12" s="1003" t="s">
        <v>1412</v>
      </c>
      <c r="AG12" s="1002" t="s">
        <v>1413</v>
      </c>
      <c r="AH12" s="1003" t="s">
        <v>1414</v>
      </c>
      <c r="AI12" s="1002" t="s">
        <v>1415</v>
      </c>
      <c r="AJ12" s="1003" t="s">
        <v>1416</v>
      </c>
      <c r="AK12" s="1002" t="s">
        <v>1417</v>
      </c>
      <c r="AL12" s="1003" t="s">
        <v>1418</v>
      </c>
      <c r="AM12" s="1002" t="s">
        <v>1419</v>
      </c>
      <c r="AN12" s="1261" t="s">
        <v>1420</v>
      </c>
      <c r="AO12" s="955" t="s">
        <v>1421</v>
      </c>
      <c r="AP12" s="972" t="s">
        <v>1422</v>
      </c>
      <c r="AQ12" s="954" t="s">
        <v>1423</v>
      </c>
      <c r="AR12" s="462" t="e">
        <f t="shared" ref="AR12:AR19" si="0">CC12 &amp; CD12 &amp; CF12</f>
        <v>#VALUE!</v>
      </c>
      <c r="AS12" s="216"/>
      <c r="AT12" s="216"/>
      <c r="AU12" s="216"/>
      <c r="AV12" s="216"/>
      <c r="AW12" s="216"/>
      <c r="AX12" s="216"/>
      <c r="AY12" s="216"/>
      <c r="AZ12" s="216"/>
      <c r="BA12" s="356"/>
      <c r="CC12" s="465" t="e">
        <f>IF($AO12&lt;=$G12+$H12,"","* La Población bajo control con Espirometría Vigente no debe ser mayor al Total de Población en Control. ")</f>
        <v>#VALUE!</v>
      </c>
      <c r="CD12" s="465" t="e">
        <f t="shared" ref="CD12:CD38" si="1">IF($D12&gt;=$AP12+$AQ12,"","* La Población Migrantes no debe ser mayor al Total de Población en Control. ")</f>
        <v>#VALUE!</v>
      </c>
      <c r="CF12" s="465" t="str">
        <f t="shared" ref="CF12:CF38" si="2">IF(AND(E12&lt;&gt;0,AP12=""),"* No olvide escribir en la celda de Población Migrantes (Digite CERO si no tiene). ",IF(AND(F12&lt;&gt;0,AQ12=""),"* No olvide escribir en la celda de Población Migrantes (Digite CERO si no tiene). ",""))</f>
        <v/>
      </c>
      <c r="CH12" s="478"/>
      <c r="CI12" s="478"/>
      <c r="CJ12" s="479"/>
      <c r="CK12" s="480" t="e">
        <f>IF($AO12&lt;=$G12+$H12,0,1)</f>
        <v>#VALUE!</v>
      </c>
      <c r="CL12" s="480" t="e">
        <f>IF($D12&gt;=$AP12+$AQ12,0,1)</f>
        <v>#VALUE!</v>
      </c>
      <c r="CM12" s="470"/>
      <c r="CN12" s="486">
        <f t="shared" ref="CN12:CN38" si="3">IF(AND(E12&lt;&gt;0,AP12=""),1,IF(AND(F12&lt;&gt;0,AQ12=""),1,0))</f>
        <v>0</v>
      </c>
      <c r="CO12" s="470"/>
      <c r="CP12" s="470"/>
    </row>
    <row r="13" spans="1:105" ht="15" customHeight="1" x14ac:dyDescent="0.25">
      <c r="A13" s="1773" t="s">
        <v>978</v>
      </c>
      <c r="B13" s="2107"/>
      <c r="C13" s="163" t="s">
        <v>120</v>
      </c>
      <c r="D13" s="944" t="s">
        <v>1384</v>
      </c>
      <c r="E13" s="956" t="s">
        <v>1385</v>
      </c>
      <c r="F13" s="940" t="s">
        <v>1386</v>
      </c>
      <c r="G13" s="957" t="s">
        <v>1387</v>
      </c>
      <c r="H13" s="958" t="s">
        <v>1388</v>
      </c>
      <c r="I13" s="1168" t="s">
        <v>1389</v>
      </c>
      <c r="J13" s="1169" t="s">
        <v>1390</v>
      </c>
      <c r="K13" s="1005" t="s">
        <v>1391</v>
      </c>
      <c r="L13" s="1006" t="s">
        <v>1392</v>
      </c>
      <c r="M13" s="1168" t="s">
        <v>1393</v>
      </c>
      <c r="N13" s="1169" t="s">
        <v>1394</v>
      </c>
      <c r="O13" s="1168" t="s">
        <v>1395</v>
      </c>
      <c r="P13" s="1169" t="s">
        <v>1396</v>
      </c>
      <c r="Q13" s="1168" t="s">
        <v>1397</v>
      </c>
      <c r="R13" s="1169" t="s">
        <v>1398</v>
      </c>
      <c r="S13" s="1168" t="s">
        <v>1399</v>
      </c>
      <c r="T13" s="1169" t="s">
        <v>1400</v>
      </c>
      <c r="U13" s="1168" t="s">
        <v>1401</v>
      </c>
      <c r="V13" s="1169" t="s">
        <v>1402</v>
      </c>
      <c r="W13" s="1168" t="s">
        <v>1403</v>
      </c>
      <c r="X13" s="1169" t="s">
        <v>1404</v>
      </c>
      <c r="Y13" s="1168" t="s">
        <v>1405</v>
      </c>
      <c r="Z13" s="1169" t="s">
        <v>1406</v>
      </c>
      <c r="AA13" s="1168" t="s">
        <v>1407</v>
      </c>
      <c r="AB13" s="1169" t="s">
        <v>1408</v>
      </c>
      <c r="AC13" s="1168" t="s">
        <v>1409</v>
      </c>
      <c r="AD13" s="1169" t="s">
        <v>1410</v>
      </c>
      <c r="AE13" s="1168" t="s">
        <v>1411</v>
      </c>
      <c r="AF13" s="1169" t="s">
        <v>1412</v>
      </c>
      <c r="AG13" s="1168" t="s">
        <v>1413</v>
      </c>
      <c r="AH13" s="1169" t="s">
        <v>1414</v>
      </c>
      <c r="AI13" s="1168" t="s">
        <v>1415</v>
      </c>
      <c r="AJ13" s="1169" t="s">
        <v>1416</v>
      </c>
      <c r="AK13" s="1168" t="s">
        <v>1417</v>
      </c>
      <c r="AL13" s="1169" t="s">
        <v>1418</v>
      </c>
      <c r="AM13" s="1168" t="s">
        <v>1419</v>
      </c>
      <c r="AN13" s="1262" t="s">
        <v>1420</v>
      </c>
      <c r="AO13" s="959" t="s">
        <v>1421</v>
      </c>
      <c r="AP13" s="1018" t="s">
        <v>1422</v>
      </c>
      <c r="AQ13" s="958" t="s">
        <v>1423</v>
      </c>
      <c r="AR13" s="462" t="e">
        <f t="shared" si="0"/>
        <v>#VALUE!</v>
      </c>
      <c r="AS13" s="216"/>
      <c r="AT13" s="216"/>
      <c r="AU13" s="216"/>
      <c r="AV13" s="216"/>
      <c r="AW13" s="216"/>
      <c r="AX13" s="216"/>
      <c r="AY13" s="216"/>
      <c r="AZ13" s="216"/>
      <c r="BA13" s="356"/>
      <c r="CC13" s="465" t="e">
        <f>IF($AO13&lt;=$G13+$H13,"","* La Población bajo control con Espirometría Vigente no debe ser mayor al Total de Población en Control. ")</f>
        <v>#VALUE!</v>
      </c>
      <c r="CD13" s="465" t="e">
        <f t="shared" si="1"/>
        <v>#VALUE!</v>
      </c>
      <c r="CF13" s="465" t="str">
        <f t="shared" si="2"/>
        <v/>
      </c>
      <c r="CH13" s="478"/>
      <c r="CI13" s="478"/>
      <c r="CJ13" s="479"/>
      <c r="CK13" s="480" t="e">
        <f>IF($AO13&lt;=$G13+$H13,0,1)</f>
        <v>#VALUE!</v>
      </c>
      <c r="CL13" s="480" t="e">
        <f t="shared" ref="CL13:CL37" si="4">IF($D13&gt;=$AP13+$AQ13,0,1)</f>
        <v>#VALUE!</v>
      </c>
      <c r="CM13" s="470"/>
      <c r="CN13" s="486">
        <f t="shared" si="3"/>
        <v>0</v>
      </c>
      <c r="CO13" s="470"/>
      <c r="CP13" s="470"/>
    </row>
    <row r="14" spans="1:105" ht="15" customHeight="1" x14ac:dyDescent="0.25">
      <c r="A14" s="1773" t="s">
        <v>979</v>
      </c>
      <c r="B14" s="2108"/>
      <c r="C14" s="164" t="s">
        <v>147</v>
      </c>
      <c r="D14" s="947" t="s">
        <v>1384</v>
      </c>
      <c r="E14" s="960" t="s">
        <v>1385</v>
      </c>
      <c r="F14" s="961" t="s">
        <v>1386</v>
      </c>
      <c r="G14" s="962" t="s">
        <v>1387</v>
      </c>
      <c r="H14" s="963" t="s">
        <v>1388</v>
      </c>
      <c r="I14" s="1263" t="s">
        <v>1389</v>
      </c>
      <c r="J14" s="1264" t="s">
        <v>1390</v>
      </c>
      <c r="K14" s="1263" t="s">
        <v>1391</v>
      </c>
      <c r="L14" s="1264" t="s">
        <v>1392</v>
      </c>
      <c r="M14" s="1263" t="s">
        <v>1393</v>
      </c>
      <c r="N14" s="1264" t="s">
        <v>1394</v>
      </c>
      <c r="O14" s="1263" t="s">
        <v>1395</v>
      </c>
      <c r="P14" s="1264" t="s">
        <v>1396</v>
      </c>
      <c r="Q14" s="1263" t="s">
        <v>1397</v>
      </c>
      <c r="R14" s="1264" t="s">
        <v>1398</v>
      </c>
      <c r="S14" s="1263" t="s">
        <v>1399</v>
      </c>
      <c r="T14" s="1264" t="s">
        <v>1400</v>
      </c>
      <c r="U14" s="1263" t="s">
        <v>1401</v>
      </c>
      <c r="V14" s="1264" t="s">
        <v>1402</v>
      </c>
      <c r="W14" s="1263" t="s">
        <v>1403</v>
      </c>
      <c r="X14" s="1264" t="s">
        <v>1404</v>
      </c>
      <c r="Y14" s="1263" t="s">
        <v>1405</v>
      </c>
      <c r="Z14" s="1264" t="s">
        <v>1406</v>
      </c>
      <c r="AA14" s="1263" t="s">
        <v>1407</v>
      </c>
      <c r="AB14" s="1264" t="s">
        <v>1408</v>
      </c>
      <c r="AC14" s="1263" t="s">
        <v>1409</v>
      </c>
      <c r="AD14" s="1264" t="s">
        <v>1410</v>
      </c>
      <c r="AE14" s="1263" t="s">
        <v>1411</v>
      </c>
      <c r="AF14" s="1264" t="s">
        <v>1412</v>
      </c>
      <c r="AG14" s="1263" t="s">
        <v>1413</v>
      </c>
      <c r="AH14" s="1264" t="s">
        <v>1414</v>
      </c>
      <c r="AI14" s="1263" t="s">
        <v>1415</v>
      </c>
      <c r="AJ14" s="1264" t="s">
        <v>1416</v>
      </c>
      <c r="AK14" s="1263" t="s">
        <v>1417</v>
      </c>
      <c r="AL14" s="1264" t="s">
        <v>1418</v>
      </c>
      <c r="AM14" s="1263" t="s">
        <v>1419</v>
      </c>
      <c r="AN14" s="1265" t="s">
        <v>1420</v>
      </c>
      <c r="AO14" s="964" t="s">
        <v>1421</v>
      </c>
      <c r="AP14" s="1022" t="s">
        <v>1422</v>
      </c>
      <c r="AQ14" s="969" t="s">
        <v>1423</v>
      </c>
      <c r="AR14" s="462" t="e">
        <f t="shared" si="0"/>
        <v>#VALUE!</v>
      </c>
      <c r="AS14" s="216"/>
      <c r="AT14" s="216"/>
      <c r="AU14" s="216"/>
      <c r="AV14" s="216"/>
      <c r="AW14" s="216"/>
      <c r="AX14" s="216"/>
      <c r="AY14" s="216"/>
      <c r="AZ14" s="216"/>
      <c r="BA14" s="356"/>
      <c r="CC14" s="465" t="e">
        <f>IF($AO14&lt;=$G14+$H14,"","* La Población bajo control con Espirometría Vigente no debe ser mayor al Total de Población en Control. ")</f>
        <v>#VALUE!</v>
      </c>
      <c r="CD14" s="465" t="e">
        <f t="shared" si="1"/>
        <v>#VALUE!</v>
      </c>
      <c r="CF14" s="465" t="str">
        <f t="shared" si="2"/>
        <v/>
      </c>
      <c r="CH14" s="478"/>
      <c r="CI14" s="478"/>
      <c r="CJ14" s="479"/>
      <c r="CK14" s="480" t="e">
        <f>IF($AO14&lt;=$G14+$H14,0,1)</f>
        <v>#VALUE!</v>
      </c>
      <c r="CL14" s="480" t="e">
        <f t="shared" si="4"/>
        <v>#VALUE!</v>
      </c>
      <c r="CM14" s="470"/>
      <c r="CN14" s="486">
        <f t="shared" si="3"/>
        <v>0</v>
      </c>
      <c r="CO14" s="470"/>
      <c r="CP14" s="470"/>
    </row>
    <row r="15" spans="1:105" ht="15" customHeight="1" x14ac:dyDescent="0.25">
      <c r="A15" s="1773" t="s">
        <v>980</v>
      </c>
      <c r="B15" s="2109" t="s">
        <v>148</v>
      </c>
      <c r="C15" s="1257" t="s">
        <v>119</v>
      </c>
      <c r="D15" s="936" t="s">
        <v>1384</v>
      </c>
      <c r="E15" s="951" t="s">
        <v>1385</v>
      </c>
      <c r="F15" s="952" t="s">
        <v>1386</v>
      </c>
      <c r="G15" s="953" t="s">
        <v>1387</v>
      </c>
      <c r="H15" s="954" t="s">
        <v>1388</v>
      </c>
      <c r="I15" s="953" t="s">
        <v>1389</v>
      </c>
      <c r="J15" s="954" t="s">
        <v>1390</v>
      </c>
      <c r="K15" s="953" t="s">
        <v>1391</v>
      </c>
      <c r="L15" s="954" t="s">
        <v>1392</v>
      </c>
      <c r="M15" s="953" t="s">
        <v>1393</v>
      </c>
      <c r="N15" s="954" t="s">
        <v>1394</v>
      </c>
      <c r="O15" s="953" t="s">
        <v>1395</v>
      </c>
      <c r="P15" s="954" t="s">
        <v>1396</v>
      </c>
      <c r="Q15" s="953" t="s">
        <v>1397</v>
      </c>
      <c r="R15" s="954" t="s">
        <v>1398</v>
      </c>
      <c r="S15" s="953" t="s">
        <v>1399</v>
      </c>
      <c r="T15" s="954" t="s">
        <v>1400</v>
      </c>
      <c r="U15" s="953" t="s">
        <v>1401</v>
      </c>
      <c r="V15" s="954" t="s">
        <v>1402</v>
      </c>
      <c r="W15" s="953" t="s">
        <v>1403</v>
      </c>
      <c r="X15" s="954" t="s">
        <v>1404</v>
      </c>
      <c r="Y15" s="953" t="s">
        <v>1405</v>
      </c>
      <c r="Z15" s="954" t="s">
        <v>1406</v>
      </c>
      <c r="AA15" s="953" t="s">
        <v>1407</v>
      </c>
      <c r="AB15" s="954" t="s">
        <v>1408</v>
      </c>
      <c r="AC15" s="953" t="s">
        <v>1409</v>
      </c>
      <c r="AD15" s="954" t="s">
        <v>1410</v>
      </c>
      <c r="AE15" s="953" t="s">
        <v>1411</v>
      </c>
      <c r="AF15" s="954" t="s">
        <v>1412</v>
      </c>
      <c r="AG15" s="953" t="s">
        <v>1413</v>
      </c>
      <c r="AH15" s="954" t="s">
        <v>1414</v>
      </c>
      <c r="AI15" s="953" t="s">
        <v>1415</v>
      </c>
      <c r="AJ15" s="954" t="s">
        <v>1416</v>
      </c>
      <c r="AK15" s="953" t="s">
        <v>1417</v>
      </c>
      <c r="AL15" s="954" t="s">
        <v>1418</v>
      </c>
      <c r="AM15" s="953" t="s">
        <v>1419</v>
      </c>
      <c r="AN15" s="965" t="s">
        <v>1420</v>
      </c>
      <c r="AO15" s="955" t="s">
        <v>1421</v>
      </c>
      <c r="AP15" s="972" t="s">
        <v>1422</v>
      </c>
      <c r="AQ15" s="954" t="s">
        <v>1423</v>
      </c>
      <c r="AR15" s="462" t="e">
        <f t="shared" si="0"/>
        <v>#VALUE!</v>
      </c>
      <c r="AS15" s="216"/>
      <c r="AT15" s="216"/>
      <c r="AU15" s="216"/>
      <c r="AV15" s="216"/>
      <c r="AW15" s="216"/>
      <c r="AX15" s="216"/>
      <c r="AY15" s="216"/>
      <c r="AZ15" s="216"/>
      <c r="BA15" s="356"/>
      <c r="CC15" s="465" t="str">
        <f>IF($AO15&lt;=SUM($G15:$AN15),"","*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5" s="465" t="e">
        <f t="shared" si="1"/>
        <v>#VALUE!</v>
      </c>
      <c r="CF15" s="465" t="str">
        <f t="shared" si="2"/>
        <v/>
      </c>
      <c r="CH15" s="478"/>
      <c r="CI15" s="478"/>
      <c r="CJ15" s="479"/>
      <c r="CK15" s="480">
        <f>IF($AO15&lt;=SUM($G15:$AN15),0,1)</f>
        <v>1</v>
      </c>
      <c r="CL15" s="480" t="e">
        <f t="shared" si="4"/>
        <v>#VALUE!</v>
      </c>
      <c r="CM15" s="470"/>
      <c r="CN15" s="486">
        <f t="shared" si="3"/>
        <v>0</v>
      </c>
      <c r="CO15" s="470"/>
      <c r="CP15" s="470"/>
    </row>
    <row r="16" spans="1:105" ht="15" customHeight="1" x14ac:dyDescent="0.25">
      <c r="A16" s="1773" t="s">
        <v>981</v>
      </c>
      <c r="B16" s="2110"/>
      <c r="C16" s="163" t="s">
        <v>120</v>
      </c>
      <c r="D16" s="944" t="s">
        <v>1384</v>
      </c>
      <c r="E16" s="956" t="s">
        <v>1385</v>
      </c>
      <c r="F16" s="940" t="s">
        <v>1386</v>
      </c>
      <c r="G16" s="957" t="s">
        <v>1387</v>
      </c>
      <c r="H16" s="958" t="s">
        <v>1388</v>
      </c>
      <c r="I16" s="957" t="s">
        <v>1389</v>
      </c>
      <c r="J16" s="958" t="s">
        <v>1390</v>
      </c>
      <c r="K16" s="957" t="s">
        <v>1391</v>
      </c>
      <c r="L16" s="958" t="s">
        <v>1392</v>
      </c>
      <c r="M16" s="957" t="s">
        <v>1393</v>
      </c>
      <c r="N16" s="958" t="s">
        <v>1394</v>
      </c>
      <c r="O16" s="957" t="s">
        <v>1395</v>
      </c>
      <c r="P16" s="958" t="s">
        <v>1396</v>
      </c>
      <c r="Q16" s="957" t="s">
        <v>1397</v>
      </c>
      <c r="R16" s="958" t="s">
        <v>1398</v>
      </c>
      <c r="S16" s="957" t="s">
        <v>1399</v>
      </c>
      <c r="T16" s="958" t="s">
        <v>1400</v>
      </c>
      <c r="U16" s="957" t="s">
        <v>1401</v>
      </c>
      <c r="V16" s="958" t="s">
        <v>1402</v>
      </c>
      <c r="W16" s="957" t="s">
        <v>1403</v>
      </c>
      <c r="X16" s="958" t="s">
        <v>1404</v>
      </c>
      <c r="Y16" s="957" t="s">
        <v>1405</v>
      </c>
      <c r="Z16" s="958" t="s">
        <v>1406</v>
      </c>
      <c r="AA16" s="957" t="s">
        <v>1407</v>
      </c>
      <c r="AB16" s="958" t="s">
        <v>1408</v>
      </c>
      <c r="AC16" s="957" t="s">
        <v>1409</v>
      </c>
      <c r="AD16" s="958" t="s">
        <v>1410</v>
      </c>
      <c r="AE16" s="957" t="s">
        <v>1411</v>
      </c>
      <c r="AF16" s="958" t="s">
        <v>1412</v>
      </c>
      <c r="AG16" s="957" t="s">
        <v>1413</v>
      </c>
      <c r="AH16" s="958" t="s">
        <v>1414</v>
      </c>
      <c r="AI16" s="957" t="s">
        <v>1415</v>
      </c>
      <c r="AJ16" s="958" t="s">
        <v>1416</v>
      </c>
      <c r="AK16" s="957" t="s">
        <v>1417</v>
      </c>
      <c r="AL16" s="958" t="s">
        <v>1418</v>
      </c>
      <c r="AM16" s="957" t="s">
        <v>1419</v>
      </c>
      <c r="AN16" s="966" t="s">
        <v>1420</v>
      </c>
      <c r="AO16" s="959" t="s">
        <v>1421</v>
      </c>
      <c r="AP16" s="1018" t="s">
        <v>1422</v>
      </c>
      <c r="AQ16" s="958" t="s">
        <v>1423</v>
      </c>
      <c r="AR16" s="462" t="e">
        <f t="shared" si="0"/>
        <v>#VALUE!</v>
      </c>
      <c r="AS16" s="216"/>
      <c r="AT16" s="216"/>
      <c r="AU16" s="216"/>
      <c r="AV16" s="216"/>
      <c r="AW16" s="216"/>
      <c r="AX16" s="216"/>
      <c r="AY16" s="216"/>
      <c r="AZ16" s="216"/>
      <c r="BA16" s="356"/>
      <c r="CC16" s="465" t="str">
        <f>IF($AO16&lt;=SUM($G16:$AN16),"","*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6" s="465" t="e">
        <f t="shared" si="1"/>
        <v>#VALUE!</v>
      </c>
      <c r="CF16" s="465" t="str">
        <f t="shared" si="2"/>
        <v/>
      </c>
      <c r="CH16" s="478"/>
      <c r="CI16" s="478"/>
      <c r="CJ16" s="479"/>
      <c r="CK16" s="480">
        <f>IF($AO16&lt;=SUM($G16:$AN16),0,1)</f>
        <v>1</v>
      </c>
      <c r="CL16" s="480" t="e">
        <f t="shared" si="4"/>
        <v>#VALUE!</v>
      </c>
      <c r="CM16" s="470"/>
      <c r="CN16" s="486">
        <f t="shared" si="3"/>
        <v>0</v>
      </c>
      <c r="CO16" s="470"/>
      <c r="CP16" s="470"/>
    </row>
    <row r="17" spans="1:94" ht="15" customHeight="1" x14ac:dyDescent="0.25">
      <c r="A17" s="1773" t="s">
        <v>982</v>
      </c>
      <c r="B17" s="2111"/>
      <c r="C17" s="164" t="s">
        <v>147</v>
      </c>
      <c r="D17" s="967" t="s">
        <v>1384</v>
      </c>
      <c r="E17" s="950" t="s">
        <v>1385</v>
      </c>
      <c r="F17" s="943" t="s">
        <v>1386</v>
      </c>
      <c r="G17" s="962" t="s">
        <v>1387</v>
      </c>
      <c r="H17" s="963" t="s">
        <v>1388</v>
      </c>
      <c r="I17" s="968" t="s">
        <v>1389</v>
      </c>
      <c r="J17" s="969" t="s">
        <v>1390</v>
      </c>
      <c r="K17" s="968" t="s">
        <v>1391</v>
      </c>
      <c r="L17" s="969" t="s">
        <v>1392</v>
      </c>
      <c r="M17" s="968" t="s">
        <v>1393</v>
      </c>
      <c r="N17" s="969" t="s">
        <v>1394</v>
      </c>
      <c r="O17" s="968" t="s">
        <v>1395</v>
      </c>
      <c r="P17" s="969" t="s">
        <v>1396</v>
      </c>
      <c r="Q17" s="968" t="s">
        <v>1397</v>
      </c>
      <c r="R17" s="969" t="s">
        <v>1398</v>
      </c>
      <c r="S17" s="968" t="s">
        <v>1399</v>
      </c>
      <c r="T17" s="969" t="s">
        <v>1400</v>
      </c>
      <c r="U17" s="968" t="s">
        <v>1401</v>
      </c>
      <c r="V17" s="969" t="s">
        <v>1402</v>
      </c>
      <c r="W17" s="968" t="s">
        <v>1403</v>
      </c>
      <c r="X17" s="969" t="s">
        <v>1404</v>
      </c>
      <c r="Y17" s="968" t="s">
        <v>1405</v>
      </c>
      <c r="Z17" s="969" t="s">
        <v>1406</v>
      </c>
      <c r="AA17" s="968" t="s">
        <v>1407</v>
      </c>
      <c r="AB17" s="969" t="s">
        <v>1408</v>
      </c>
      <c r="AC17" s="968" t="s">
        <v>1409</v>
      </c>
      <c r="AD17" s="969" t="s">
        <v>1410</v>
      </c>
      <c r="AE17" s="968" t="s">
        <v>1411</v>
      </c>
      <c r="AF17" s="969" t="s">
        <v>1412</v>
      </c>
      <c r="AG17" s="968" t="s">
        <v>1413</v>
      </c>
      <c r="AH17" s="969" t="s">
        <v>1414</v>
      </c>
      <c r="AI17" s="968" t="s">
        <v>1415</v>
      </c>
      <c r="AJ17" s="969" t="s">
        <v>1416</v>
      </c>
      <c r="AK17" s="968" t="s">
        <v>1417</v>
      </c>
      <c r="AL17" s="969" t="s">
        <v>1418</v>
      </c>
      <c r="AM17" s="968" t="s">
        <v>1419</v>
      </c>
      <c r="AN17" s="970" t="s">
        <v>1420</v>
      </c>
      <c r="AO17" s="971" t="s">
        <v>1421</v>
      </c>
      <c r="AP17" s="976" t="s">
        <v>1422</v>
      </c>
      <c r="AQ17" s="963" t="s">
        <v>1423</v>
      </c>
      <c r="AR17" s="462" t="e">
        <f t="shared" si="0"/>
        <v>#VALUE!</v>
      </c>
      <c r="AS17" s="216"/>
      <c r="AT17" s="216"/>
      <c r="AU17" s="216"/>
      <c r="AV17" s="216"/>
      <c r="AW17" s="216"/>
      <c r="AX17" s="216"/>
      <c r="AY17" s="216"/>
      <c r="AZ17" s="216"/>
      <c r="BA17" s="356"/>
      <c r="CC17" s="465" t="str">
        <f>IF($AO17&lt;=SUM($G17:$AN17),"","*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7" s="465" t="e">
        <f t="shared" si="1"/>
        <v>#VALUE!</v>
      </c>
      <c r="CF17" s="465" t="str">
        <f t="shared" si="2"/>
        <v/>
      </c>
      <c r="CH17" s="478"/>
      <c r="CI17" s="478"/>
      <c r="CJ17" s="479"/>
      <c r="CK17" s="480">
        <f>IF($AO17&lt;=SUM($G17:$AN17),0,1)</f>
        <v>1</v>
      </c>
      <c r="CL17" s="480" t="e">
        <f t="shared" si="4"/>
        <v>#VALUE!</v>
      </c>
      <c r="CM17" s="470"/>
      <c r="CN17" s="486">
        <f t="shared" si="3"/>
        <v>0</v>
      </c>
      <c r="CO17" s="470"/>
      <c r="CP17" s="470"/>
    </row>
    <row r="18" spans="1:94" ht="27" customHeight="1" x14ac:dyDescent="0.25">
      <c r="A18" s="1773" t="s">
        <v>983</v>
      </c>
      <c r="B18" s="2112" t="s">
        <v>149</v>
      </c>
      <c r="C18" s="165" t="s">
        <v>593</v>
      </c>
      <c r="D18" s="944" t="s">
        <v>1384</v>
      </c>
      <c r="E18" s="945" t="s">
        <v>1385</v>
      </c>
      <c r="F18" s="946" t="s">
        <v>1386</v>
      </c>
      <c r="G18" s="1002" t="s">
        <v>1387</v>
      </c>
      <c r="H18" s="1003" t="s">
        <v>1388</v>
      </c>
      <c r="I18" s="1002" t="s">
        <v>1389</v>
      </c>
      <c r="J18" s="1003" t="s">
        <v>1390</v>
      </c>
      <c r="K18" s="1002" t="s">
        <v>1391</v>
      </c>
      <c r="L18" s="1003" t="s">
        <v>1392</v>
      </c>
      <c r="M18" s="1002" t="s">
        <v>1393</v>
      </c>
      <c r="N18" s="1003" t="s">
        <v>1394</v>
      </c>
      <c r="O18" s="1002" t="s">
        <v>1395</v>
      </c>
      <c r="P18" s="1003" t="s">
        <v>1396</v>
      </c>
      <c r="Q18" s="1002" t="s">
        <v>1397</v>
      </c>
      <c r="R18" s="1003" t="s">
        <v>1398</v>
      </c>
      <c r="S18" s="1002" t="s">
        <v>1399</v>
      </c>
      <c r="T18" s="1003" t="s">
        <v>1400</v>
      </c>
      <c r="U18" s="1002" t="s">
        <v>1401</v>
      </c>
      <c r="V18" s="1003" t="s">
        <v>1402</v>
      </c>
      <c r="W18" s="953" t="s">
        <v>1403</v>
      </c>
      <c r="X18" s="954" t="s">
        <v>1404</v>
      </c>
      <c r="Y18" s="953" t="s">
        <v>1405</v>
      </c>
      <c r="Z18" s="954" t="s">
        <v>1406</v>
      </c>
      <c r="AA18" s="953" t="s">
        <v>1407</v>
      </c>
      <c r="AB18" s="954" t="s">
        <v>1408</v>
      </c>
      <c r="AC18" s="953" t="s">
        <v>1409</v>
      </c>
      <c r="AD18" s="954" t="s">
        <v>1410</v>
      </c>
      <c r="AE18" s="953" t="s">
        <v>1411</v>
      </c>
      <c r="AF18" s="954" t="s">
        <v>1412</v>
      </c>
      <c r="AG18" s="953" t="s">
        <v>1413</v>
      </c>
      <c r="AH18" s="954" t="s">
        <v>1414</v>
      </c>
      <c r="AI18" s="953" t="s">
        <v>1415</v>
      </c>
      <c r="AJ18" s="954" t="s">
        <v>1416</v>
      </c>
      <c r="AK18" s="953" t="s">
        <v>1417</v>
      </c>
      <c r="AL18" s="954" t="s">
        <v>1418</v>
      </c>
      <c r="AM18" s="953" t="s">
        <v>1419</v>
      </c>
      <c r="AN18" s="965" t="s">
        <v>1420</v>
      </c>
      <c r="AO18" s="955" t="s">
        <v>1421</v>
      </c>
      <c r="AP18" s="972" t="s">
        <v>1422</v>
      </c>
      <c r="AQ18" s="954" t="s">
        <v>1423</v>
      </c>
      <c r="AR18" s="462" t="e">
        <f t="shared" si="0"/>
        <v>#VALUE!</v>
      </c>
      <c r="AS18" s="216"/>
      <c r="AT18" s="216"/>
      <c r="AU18" s="216"/>
      <c r="AV18" s="216"/>
      <c r="AW18" s="216"/>
      <c r="AX18" s="216"/>
      <c r="AY18" s="216"/>
      <c r="AZ18" s="216"/>
      <c r="BA18" s="356"/>
      <c r="CC18" s="465" t="str">
        <f>IF($AO18&lt;=SUM($W18:$AN18),"","*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8" s="465" t="e">
        <f t="shared" si="1"/>
        <v>#VALUE!</v>
      </c>
      <c r="CF18" s="465" t="str">
        <f t="shared" si="2"/>
        <v/>
      </c>
      <c r="CH18" s="478"/>
      <c r="CI18" s="478"/>
      <c r="CJ18" s="479"/>
      <c r="CK18" s="480">
        <f>IF($AO18&lt;=SUM($W18:$AN18),0,1)</f>
        <v>1</v>
      </c>
      <c r="CL18" s="480" t="e">
        <f t="shared" si="4"/>
        <v>#VALUE!</v>
      </c>
      <c r="CM18" s="470"/>
      <c r="CN18" s="486">
        <f t="shared" si="3"/>
        <v>0</v>
      </c>
      <c r="CO18" s="470"/>
      <c r="CP18" s="470"/>
    </row>
    <row r="19" spans="1:94" ht="28.5" customHeight="1" x14ac:dyDescent="0.25">
      <c r="A19" s="1773" t="s">
        <v>984</v>
      </c>
      <c r="B19" s="2108"/>
      <c r="C19" s="166" t="s">
        <v>594</v>
      </c>
      <c r="D19" s="941" t="s">
        <v>1384</v>
      </c>
      <c r="E19" s="950" t="s">
        <v>1385</v>
      </c>
      <c r="F19" s="943" t="s">
        <v>1386</v>
      </c>
      <c r="G19" s="1008" t="s">
        <v>1387</v>
      </c>
      <c r="H19" s="1009" t="s">
        <v>1388</v>
      </c>
      <c r="I19" s="1008" t="s">
        <v>1389</v>
      </c>
      <c r="J19" s="1009" t="s">
        <v>1390</v>
      </c>
      <c r="K19" s="1008" t="s">
        <v>1391</v>
      </c>
      <c r="L19" s="1009" t="s">
        <v>1392</v>
      </c>
      <c r="M19" s="1008" t="s">
        <v>1393</v>
      </c>
      <c r="N19" s="1009" t="s">
        <v>1394</v>
      </c>
      <c r="O19" s="1008" t="s">
        <v>1395</v>
      </c>
      <c r="P19" s="1009" t="s">
        <v>1396</v>
      </c>
      <c r="Q19" s="1008" t="s">
        <v>1397</v>
      </c>
      <c r="R19" s="1009" t="s">
        <v>1398</v>
      </c>
      <c r="S19" s="1259" t="s">
        <v>1399</v>
      </c>
      <c r="T19" s="1260" t="s">
        <v>1400</v>
      </c>
      <c r="U19" s="1259" t="s">
        <v>1401</v>
      </c>
      <c r="V19" s="1260" t="s">
        <v>1402</v>
      </c>
      <c r="W19" s="973" t="s">
        <v>1403</v>
      </c>
      <c r="X19" s="974" t="s">
        <v>1404</v>
      </c>
      <c r="Y19" s="973" t="s">
        <v>1405</v>
      </c>
      <c r="Z19" s="974" t="s">
        <v>1406</v>
      </c>
      <c r="AA19" s="973" t="s">
        <v>1407</v>
      </c>
      <c r="AB19" s="974" t="s">
        <v>1408</v>
      </c>
      <c r="AC19" s="973" t="s">
        <v>1409</v>
      </c>
      <c r="AD19" s="974" t="s">
        <v>1410</v>
      </c>
      <c r="AE19" s="973" t="s">
        <v>1411</v>
      </c>
      <c r="AF19" s="974" t="s">
        <v>1412</v>
      </c>
      <c r="AG19" s="973" t="s">
        <v>1413</v>
      </c>
      <c r="AH19" s="974" t="s">
        <v>1414</v>
      </c>
      <c r="AI19" s="973" t="s">
        <v>1415</v>
      </c>
      <c r="AJ19" s="974" t="s">
        <v>1416</v>
      </c>
      <c r="AK19" s="973" t="s">
        <v>1417</v>
      </c>
      <c r="AL19" s="974" t="s">
        <v>1418</v>
      </c>
      <c r="AM19" s="973" t="s">
        <v>1419</v>
      </c>
      <c r="AN19" s="975" t="s">
        <v>1420</v>
      </c>
      <c r="AO19" s="971" t="s">
        <v>1421</v>
      </c>
      <c r="AP19" s="976" t="s">
        <v>1422</v>
      </c>
      <c r="AQ19" s="963" t="s">
        <v>1423</v>
      </c>
      <c r="AR19" s="462" t="e">
        <f t="shared" si="0"/>
        <v>#VALUE!</v>
      </c>
      <c r="AS19" s="216"/>
      <c r="AT19" s="216"/>
      <c r="AU19" s="216"/>
      <c r="AV19" s="216"/>
      <c r="AW19" s="216"/>
      <c r="AX19" s="216"/>
      <c r="AY19" s="216"/>
      <c r="AZ19" s="216"/>
      <c r="BA19" s="356"/>
      <c r="CC19" s="465" t="str">
        <f>IF($AO19&lt;=SUM($W19:$AN19),"","* La Población bajo control con Espirometría Vigente no debe ser mayor al Total de Población en Control. ")</f>
        <v xml:space="preserve">* La Población bajo control con Espirometría Vigente no debe ser mayor al Total de Población en Control. </v>
      </c>
      <c r="CD19" s="465" t="e">
        <f t="shared" si="1"/>
        <v>#VALUE!</v>
      </c>
      <c r="CF19" s="465" t="str">
        <f t="shared" si="2"/>
        <v/>
      </c>
      <c r="CH19" s="478"/>
      <c r="CI19" s="478"/>
      <c r="CJ19" s="479"/>
      <c r="CK19" s="480">
        <f>IF($AO19&lt;=SUM($W19:$AN19),0,1)</f>
        <v>1</v>
      </c>
      <c r="CL19" s="480" t="e">
        <f t="shared" si="4"/>
        <v>#VALUE!</v>
      </c>
      <c r="CM19" s="470"/>
      <c r="CN19" s="486">
        <f t="shared" si="3"/>
        <v>0</v>
      </c>
      <c r="CO19" s="470"/>
      <c r="CP19" s="470"/>
    </row>
    <row r="20" spans="1:94" ht="15" customHeight="1" x14ac:dyDescent="0.25">
      <c r="A20" s="1773" t="s">
        <v>985</v>
      </c>
      <c r="B20" s="2105" t="s">
        <v>150</v>
      </c>
      <c r="C20" s="2105"/>
      <c r="D20" s="944" t="s">
        <v>1384</v>
      </c>
      <c r="E20" s="945" t="s">
        <v>1385</v>
      </c>
      <c r="F20" s="946" t="s">
        <v>1386</v>
      </c>
      <c r="G20" s="977" t="s">
        <v>1387</v>
      </c>
      <c r="H20" s="978" t="s">
        <v>1388</v>
      </c>
      <c r="I20" s="977" t="s">
        <v>1389</v>
      </c>
      <c r="J20" s="978" t="s">
        <v>1390</v>
      </c>
      <c r="K20" s="977" t="s">
        <v>1391</v>
      </c>
      <c r="L20" s="978" t="s">
        <v>1392</v>
      </c>
      <c r="M20" s="977" t="s">
        <v>1393</v>
      </c>
      <c r="N20" s="978" t="s">
        <v>1394</v>
      </c>
      <c r="O20" s="977" t="s">
        <v>1395</v>
      </c>
      <c r="P20" s="978" t="s">
        <v>1396</v>
      </c>
      <c r="Q20" s="977" t="s">
        <v>1397</v>
      </c>
      <c r="R20" s="978" t="s">
        <v>1398</v>
      </c>
      <c r="S20" s="977" t="s">
        <v>1399</v>
      </c>
      <c r="T20" s="978" t="s">
        <v>1400</v>
      </c>
      <c r="U20" s="977" t="s">
        <v>1401</v>
      </c>
      <c r="V20" s="978" t="s">
        <v>1402</v>
      </c>
      <c r="W20" s="977" t="s">
        <v>1403</v>
      </c>
      <c r="X20" s="978" t="s">
        <v>1404</v>
      </c>
      <c r="Y20" s="977" t="s">
        <v>1405</v>
      </c>
      <c r="Z20" s="978" t="s">
        <v>1406</v>
      </c>
      <c r="AA20" s="977" t="s">
        <v>1407</v>
      </c>
      <c r="AB20" s="978" t="s">
        <v>1408</v>
      </c>
      <c r="AC20" s="977" t="s">
        <v>1409</v>
      </c>
      <c r="AD20" s="978" t="s">
        <v>1410</v>
      </c>
      <c r="AE20" s="977" t="s">
        <v>1411</v>
      </c>
      <c r="AF20" s="978" t="s">
        <v>1412</v>
      </c>
      <c r="AG20" s="977" t="s">
        <v>1413</v>
      </c>
      <c r="AH20" s="978" t="s">
        <v>1414</v>
      </c>
      <c r="AI20" s="977" t="s">
        <v>1415</v>
      </c>
      <c r="AJ20" s="978" t="s">
        <v>1416</v>
      </c>
      <c r="AK20" s="977" t="s">
        <v>1417</v>
      </c>
      <c r="AL20" s="978" t="s">
        <v>1418</v>
      </c>
      <c r="AM20" s="977" t="s">
        <v>1419</v>
      </c>
      <c r="AN20" s="979" t="s">
        <v>1420</v>
      </c>
      <c r="AO20" s="980" t="s">
        <v>1421</v>
      </c>
      <c r="AP20" s="1028" t="s">
        <v>1422</v>
      </c>
      <c r="AQ20" s="978" t="s">
        <v>1423</v>
      </c>
      <c r="AR20" s="462" t="e">
        <f t="shared" ref="AR20:AR33" si="5">CD20 &amp; CF20</f>
        <v>#VALUE!</v>
      </c>
      <c r="AS20" s="216"/>
      <c r="AT20" s="216"/>
      <c r="AU20" s="216"/>
      <c r="AV20" s="216"/>
      <c r="AW20" s="216"/>
      <c r="AX20" s="216"/>
      <c r="AY20" s="216"/>
      <c r="AZ20" s="216"/>
      <c r="BA20" s="356"/>
      <c r="CD20" s="465" t="e">
        <f t="shared" si="1"/>
        <v>#VALUE!</v>
      </c>
      <c r="CF20" s="465" t="str">
        <f t="shared" si="2"/>
        <v/>
      </c>
      <c r="CH20" s="478"/>
      <c r="CI20" s="478"/>
      <c r="CJ20" s="479"/>
      <c r="CK20" s="470"/>
      <c r="CL20" s="480" t="e">
        <f t="shared" si="4"/>
        <v>#VALUE!</v>
      </c>
      <c r="CM20" s="470"/>
      <c r="CN20" s="486">
        <f t="shared" si="3"/>
        <v>0</v>
      </c>
      <c r="CO20" s="470"/>
      <c r="CP20" s="470"/>
    </row>
    <row r="21" spans="1:94" ht="15" customHeight="1" x14ac:dyDescent="0.25">
      <c r="A21" s="1773" t="s">
        <v>986</v>
      </c>
      <c r="B21" s="2080" t="s">
        <v>151</v>
      </c>
      <c r="C21" s="2081"/>
      <c r="D21" s="938" t="s">
        <v>1384</v>
      </c>
      <c r="E21" s="956" t="s">
        <v>1385</v>
      </c>
      <c r="F21" s="940" t="s">
        <v>1386</v>
      </c>
      <c r="G21" s="977" t="s">
        <v>1387</v>
      </c>
      <c r="H21" s="978" t="s">
        <v>1388</v>
      </c>
      <c r="I21" s="977" t="s">
        <v>1389</v>
      </c>
      <c r="J21" s="978" t="s">
        <v>1390</v>
      </c>
      <c r="K21" s="977" t="s">
        <v>1391</v>
      </c>
      <c r="L21" s="978" t="s">
        <v>1392</v>
      </c>
      <c r="M21" s="977" t="s">
        <v>1393</v>
      </c>
      <c r="N21" s="978" t="s">
        <v>1394</v>
      </c>
      <c r="O21" s="977" t="s">
        <v>1395</v>
      </c>
      <c r="P21" s="978" t="s">
        <v>1396</v>
      </c>
      <c r="Q21" s="977" t="s">
        <v>1397</v>
      </c>
      <c r="R21" s="978" t="s">
        <v>1398</v>
      </c>
      <c r="S21" s="977" t="s">
        <v>1399</v>
      </c>
      <c r="T21" s="978" t="s">
        <v>1400</v>
      </c>
      <c r="U21" s="977" t="s">
        <v>1401</v>
      </c>
      <c r="V21" s="978" t="s">
        <v>1402</v>
      </c>
      <c r="W21" s="977" t="s">
        <v>1403</v>
      </c>
      <c r="X21" s="978" t="s">
        <v>1404</v>
      </c>
      <c r="Y21" s="977" t="s">
        <v>1405</v>
      </c>
      <c r="Z21" s="978" t="s">
        <v>1406</v>
      </c>
      <c r="AA21" s="977" t="s">
        <v>1407</v>
      </c>
      <c r="AB21" s="978" t="s">
        <v>1408</v>
      </c>
      <c r="AC21" s="977" t="s">
        <v>1409</v>
      </c>
      <c r="AD21" s="978" t="s">
        <v>1410</v>
      </c>
      <c r="AE21" s="977" t="s">
        <v>1411</v>
      </c>
      <c r="AF21" s="978" t="s">
        <v>1412</v>
      </c>
      <c r="AG21" s="977" t="s">
        <v>1413</v>
      </c>
      <c r="AH21" s="978" t="s">
        <v>1414</v>
      </c>
      <c r="AI21" s="977" t="s">
        <v>1415</v>
      </c>
      <c r="AJ21" s="978" t="s">
        <v>1416</v>
      </c>
      <c r="AK21" s="977" t="s">
        <v>1417</v>
      </c>
      <c r="AL21" s="978" t="s">
        <v>1418</v>
      </c>
      <c r="AM21" s="977" t="s">
        <v>1419</v>
      </c>
      <c r="AN21" s="979" t="s">
        <v>1420</v>
      </c>
      <c r="AO21" s="981" t="s">
        <v>1421</v>
      </c>
      <c r="AP21" s="1018" t="s">
        <v>1422</v>
      </c>
      <c r="AQ21" s="958" t="s">
        <v>1423</v>
      </c>
      <c r="AR21" s="462" t="e">
        <f t="shared" si="5"/>
        <v>#VALUE!</v>
      </c>
      <c r="AS21" s="216"/>
      <c r="AT21" s="216"/>
      <c r="AU21" s="216"/>
      <c r="AV21" s="216"/>
      <c r="AW21" s="216"/>
      <c r="AX21" s="216"/>
      <c r="AY21" s="216"/>
      <c r="AZ21" s="216"/>
      <c r="BA21" s="356"/>
      <c r="CD21" s="465" t="e">
        <f t="shared" si="1"/>
        <v>#VALUE!</v>
      </c>
      <c r="CF21" s="465" t="str">
        <f t="shared" si="2"/>
        <v/>
      </c>
      <c r="CH21" s="478"/>
      <c r="CI21" s="478"/>
      <c r="CJ21" s="479"/>
      <c r="CK21" s="470"/>
      <c r="CL21" s="480" t="e">
        <f t="shared" si="4"/>
        <v>#VALUE!</v>
      </c>
      <c r="CM21" s="470"/>
      <c r="CN21" s="486">
        <f t="shared" si="3"/>
        <v>0</v>
      </c>
      <c r="CO21" s="470"/>
      <c r="CP21" s="470"/>
    </row>
    <row r="22" spans="1:94" ht="15" customHeight="1" x14ac:dyDescent="0.25">
      <c r="A22" s="1773" t="s">
        <v>987</v>
      </c>
      <c r="B22" s="2126" t="s">
        <v>396</v>
      </c>
      <c r="C22" s="2127"/>
      <c r="D22" s="938" t="s">
        <v>1384</v>
      </c>
      <c r="E22" s="956" t="s">
        <v>1385</v>
      </c>
      <c r="F22" s="940" t="s">
        <v>1386</v>
      </c>
      <c r="G22" s="977" t="s">
        <v>1387</v>
      </c>
      <c r="H22" s="978" t="s">
        <v>1388</v>
      </c>
      <c r="I22" s="977" t="s">
        <v>1389</v>
      </c>
      <c r="J22" s="978" t="s">
        <v>1390</v>
      </c>
      <c r="K22" s="977" t="s">
        <v>1391</v>
      </c>
      <c r="L22" s="978" t="s">
        <v>1392</v>
      </c>
      <c r="M22" s="977" t="s">
        <v>1393</v>
      </c>
      <c r="N22" s="978" t="s">
        <v>1394</v>
      </c>
      <c r="O22" s="977" t="s">
        <v>1395</v>
      </c>
      <c r="P22" s="978" t="s">
        <v>1396</v>
      </c>
      <c r="Q22" s="977" t="s">
        <v>1397</v>
      </c>
      <c r="R22" s="978" t="s">
        <v>1398</v>
      </c>
      <c r="S22" s="977" t="s">
        <v>1399</v>
      </c>
      <c r="T22" s="978" t="s">
        <v>1400</v>
      </c>
      <c r="U22" s="977" t="s">
        <v>1401</v>
      </c>
      <c r="V22" s="978" t="s">
        <v>1402</v>
      </c>
      <c r="W22" s="977" t="s">
        <v>1403</v>
      </c>
      <c r="X22" s="978" t="s">
        <v>1404</v>
      </c>
      <c r="Y22" s="977" t="s">
        <v>1405</v>
      </c>
      <c r="Z22" s="978" t="s">
        <v>1406</v>
      </c>
      <c r="AA22" s="977" t="s">
        <v>1407</v>
      </c>
      <c r="AB22" s="978" t="s">
        <v>1408</v>
      </c>
      <c r="AC22" s="977" t="s">
        <v>1409</v>
      </c>
      <c r="AD22" s="978" t="s">
        <v>1410</v>
      </c>
      <c r="AE22" s="977" t="s">
        <v>1411</v>
      </c>
      <c r="AF22" s="978" t="s">
        <v>1412</v>
      </c>
      <c r="AG22" s="977" t="s">
        <v>1413</v>
      </c>
      <c r="AH22" s="978" t="s">
        <v>1414</v>
      </c>
      <c r="AI22" s="977" t="s">
        <v>1415</v>
      </c>
      <c r="AJ22" s="978" t="s">
        <v>1416</v>
      </c>
      <c r="AK22" s="977" t="s">
        <v>1417</v>
      </c>
      <c r="AL22" s="978" t="s">
        <v>1418</v>
      </c>
      <c r="AM22" s="977" t="s">
        <v>1419</v>
      </c>
      <c r="AN22" s="979" t="s">
        <v>1420</v>
      </c>
      <c r="AO22" s="981" t="s">
        <v>1421</v>
      </c>
      <c r="AP22" s="1018" t="s">
        <v>1422</v>
      </c>
      <c r="AQ22" s="958" t="s">
        <v>1423</v>
      </c>
      <c r="AR22" s="462" t="e">
        <f t="shared" si="5"/>
        <v>#VALUE!</v>
      </c>
      <c r="AS22" s="216"/>
      <c r="AT22" s="216"/>
      <c r="AU22" s="216"/>
      <c r="AV22" s="216"/>
      <c r="AW22" s="216"/>
      <c r="AX22" s="216"/>
      <c r="AY22" s="216"/>
      <c r="AZ22" s="216"/>
      <c r="BA22" s="356"/>
      <c r="CD22" s="465" t="e">
        <f t="shared" si="1"/>
        <v>#VALUE!</v>
      </c>
      <c r="CF22" s="465" t="str">
        <f t="shared" si="2"/>
        <v/>
      </c>
      <c r="CH22" s="478"/>
      <c r="CI22" s="478"/>
      <c r="CJ22" s="479"/>
      <c r="CK22" s="470"/>
      <c r="CL22" s="480" t="e">
        <f t="shared" si="4"/>
        <v>#VALUE!</v>
      </c>
      <c r="CM22" s="470"/>
      <c r="CN22" s="486">
        <f t="shared" si="3"/>
        <v>0</v>
      </c>
      <c r="CO22" s="470"/>
      <c r="CP22" s="470"/>
    </row>
    <row r="23" spans="1:94" ht="15" customHeight="1" x14ac:dyDescent="0.25">
      <c r="A23" s="1773" t="s">
        <v>988</v>
      </c>
      <c r="B23" s="2128" t="s">
        <v>152</v>
      </c>
      <c r="C23" s="2129"/>
      <c r="D23" s="944" t="s">
        <v>1384</v>
      </c>
      <c r="E23" s="945" t="s">
        <v>1385</v>
      </c>
      <c r="F23" s="946" t="s">
        <v>1386</v>
      </c>
      <c r="G23" s="977" t="s">
        <v>1387</v>
      </c>
      <c r="H23" s="978" t="s">
        <v>1388</v>
      </c>
      <c r="I23" s="977" t="s">
        <v>1389</v>
      </c>
      <c r="J23" s="978" t="s">
        <v>1390</v>
      </c>
      <c r="K23" s="977" t="s">
        <v>1391</v>
      </c>
      <c r="L23" s="978" t="s">
        <v>1392</v>
      </c>
      <c r="M23" s="977" t="s">
        <v>1393</v>
      </c>
      <c r="N23" s="978" t="s">
        <v>1394</v>
      </c>
      <c r="O23" s="977" t="s">
        <v>1395</v>
      </c>
      <c r="P23" s="978" t="s">
        <v>1396</v>
      </c>
      <c r="Q23" s="977" t="s">
        <v>1397</v>
      </c>
      <c r="R23" s="978" t="s">
        <v>1398</v>
      </c>
      <c r="S23" s="977" t="s">
        <v>1399</v>
      </c>
      <c r="T23" s="978" t="s">
        <v>1400</v>
      </c>
      <c r="U23" s="977" t="s">
        <v>1401</v>
      </c>
      <c r="V23" s="978" t="s">
        <v>1402</v>
      </c>
      <c r="W23" s="977" t="s">
        <v>1403</v>
      </c>
      <c r="X23" s="978" t="s">
        <v>1404</v>
      </c>
      <c r="Y23" s="977" t="s">
        <v>1405</v>
      </c>
      <c r="Z23" s="978" t="s">
        <v>1406</v>
      </c>
      <c r="AA23" s="977" t="s">
        <v>1407</v>
      </c>
      <c r="AB23" s="978" t="s">
        <v>1408</v>
      </c>
      <c r="AC23" s="977" t="s">
        <v>1409</v>
      </c>
      <c r="AD23" s="978" t="s">
        <v>1410</v>
      </c>
      <c r="AE23" s="977" t="s">
        <v>1411</v>
      </c>
      <c r="AF23" s="978" t="s">
        <v>1412</v>
      </c>
      <c r="AG23" s="1005" t="s">
        <v>1413</v>
      </c>
      <c r="AH23" s="1006" t="s">
        <v>1414</v>
      </c>
      <c r="AI23" s="1005" t="s">
        <v>1415</v>
      </c>
      <c r="AJ23" s="1006" t="s">
        <v>1416</v>
      </c>
      <c r="AK23" s="1005" t="s">
        <v>1417</v>
      </c>
      <c r="AL23" s="1006" t="s">
        <v>1418</v>
      </c>
      <c r="AM23" s="1005" t="s">
        <v>1419</v>
      </c>
      <c r="AN23" s="1151" t="s">
        <v>1420</v>
      </c>
      <c r="AO23" s="981" t="s">
        <v>1421</v>
      </c>
      <c r="AP23" s="1018" t="s">
        <v>1422</v>
      </c>
      <c r="AQ23" s="958" t="s">
        <v>1423</v>
      </c>
      <c r="AR23" s="462" t="e">
        <f t="shared" si="5"/>
        <v>#VALUE!</v>
      </c>
      <c r="AS23" s="216"/>
      <c r="AT23" s="216"/>
      <c r="AU23" s="216"/>
      <c r="AV23" s="216"/>
      <c r="AW23" s="216"/>
      <c r="AX23" s="216"/>
      <c r="AY23" s="216"/>
      <c r="AZ23" s="216"/>
      <c r="BA23" s="356"/>
      <c r="CD23" s="465" t="e">
        <f t="shared" si="1"/>
        <v>#VALUE!</v>
      </c>
      <c r="CF23" s="465" t="str">
        <f t="shared" si="2"/>
        <v/>
      </c>
      <c r="CH23" s="478"/>
      <c r="CI23" s="478"/>
      <c r="CJ23" s="479"/>
      <c r="CK23" s="470"/>
      <c r="CL23" s="480" t="e">
        <f t="shared" si="4"/>
        <v>#VALUE!</v>
      </c>
      <c r="CM23" s="470"/>
      <c r="CN23" s="486">
        <f t="shared" si="3"/>
        <v>0</v>
      </c>
      <c r="CO23" s="470"/>
      <c r="CP23" s="470"/>
    </row>
    <row r="24" spans="1:94" ht="15" customHeight="1" x14ac:dyDescent="0.25">
      <c r="A24" s="1773" t="s">
        <v>989</v>
      </c>
      <c r="B24" s="2117" t="s">
        <v>153</v>
      </c>
      <c r="C24" s="2118"/>
      <c r="D24" s="938" t="s">
        <v>1384</v>
      </c>
      <c r="E24" s="956" t="s">
        <v>1385</v>
      </c>
      <c r="F24" s="940" t="s">
        <v>1386</v>
      </c>
      <c r="G24" s="977" t="s">
        <v>1387</v>
      </c>
      <c r="H24" s="978" t="s">
        <v>1388</v>
      </c>
      <c r="I24" s="977" t="s">
        <v>1389</v>
      </c>
      <c r="J24" s="978" t="s">
        <v>1390</v>
      </c>
      <c r="K24" s="977" t="s">
        <v>1391</v>
      </c>
      <c r="L24" s="978" t="s">
        <v>1392</v>
      </c>
      <c r="M24" s="977" t="s">
        <v>1393</v>
      </c>
      <c r="N24" s="978" t="s">
        <v>1394</v>
      </c>
      <c r="O24" s="977" t="s">
        <v>1395</v>
      </c>
      <c r="P24" s="978" t="s">
        <v>1396</v>
      </c>
      <c r="Q24" s="977" t="s">
        <v>1397</v>
      </c>
      <c r="R24" s="978" t="s">
        <v>1398</v>
      </c>
      <c r="S24" s="977" t="s">
        <v>1399</v>
      </c>
      <c r="T24" s="978" t="s">
        <v>1400</v>
      </c>
      <c r="U24" s="977" t="s">
        <v>1401</v>
      </c>
      <c r="V24" s="978" t="s">
        <v>1402</v>
      </c>
      <c r="W24" s="977" t="s">
        <v>1403</v>
      </c>
      <c r="X24" s="978" t="s">
        <v>1404</v>
      </c>
      <c r="Y24" s="977" t="s">
        <v>1405</v>
      </c>
      <c r="Z24" s="978" t="s">
        <v>1406</v>
      </c>
      <c r="AA24" s="977" t="s">
        <v>1407</v>
      </c>
      <c r="AB24" s="978" t="s">
        <v>1408</v>
      </c>
      <c r="AC24" s="977" t="s">
        <v>1409</v>
      </c>
      <c r="AD24" s="978" t="s">
        <v>1410</v>
      </c>
      <c r="AE24" s="977" t="s">
        <v>1411</v>
      </c>
      <c r="AF24" s="978" t="s">
        <v>1412</v>
      </c>
      <c r="AG24" s="977" t="s">
        <v>1413</v>
      </c>
      <c r="AH24" s="978" t="s">
        <v>1414</v>
      </c>
      <c r="AI24" s="977" t="s">
        <v>1415</v>
      </c>
      <c r="AJ24" s="978" t="s">
        <v>1416</v>
      </c>
      <c r="AK24" s="977" t="s">
        <v>1417</v>
      </c>
      <c r="AL24" s="978" t="s">
        <v>1418</v>
      </c>
      <c r="AM24" s="977" t="s">
        <v>1419</v>
      </c>
      <c r="AN24" s="979" t="s">
        <v>1420</v>
      </c>
      <c r="AO24" s="981" t="s">
        <v>1421</v>
      </c>
      <c r="AP24" s="1018" t="s">
        <v>1422</v>
      </c>
      <c r="AQ24" s="958" t="s">
        <v>1423</v>
      </c>
      <c r="AR24" s="462" t="e">
        <f t="shared" si="5"/>
        <v>#VALUE!</v>
      </c>
      <c r="AS24" s="216"/>
      <c r="AT24" s="216"/>
      <c r="AU24" s="216"/>
      <c r="AV24" s="216"/>
      <c r="AW24" s="216"/>
      <c r="AX24" s="216"/>
      <c r="AY24" s="216"/>
      <c r="AZ24" s="216"/>
      <c r="BA24" s="356"/>
      <c r="CD24" s="465" t="e">
        <f t="shared" si="1"/>
        <v>#VALUE!</v>
      </c>
      <c r="CF24" s="465" t="str">
        <f t="shared" si="2"/>
        <v/>
      </c>
      <c r="CH24" s="478"/>
      <c r="CI24" s="478"/>
      <c r="CJ24" s="479"/>
      <c r="CK24" s="470"/>
      <c r="CL24" s="480" t="e">
        <f t="shared" si="4"/>
        <v>#VALUE!</v>
      </c>
      <c r="CM24" s="470"/>
      <c r="CN24" s="486">
        <f t="shared" si="3"/>
        <v>0</v>
      </c>
      <c r="CO24" s="470"/>
      <c r="CP24" s="470"/>
    </row>
    <row r="25" spans="1:94" ht="15" customHeight="1" x14ac:dyDescent="0.25">
      <c r="A25" s="1773" t="s">
        <v>990</v>
      </c>
      <c r="B25" s="299" t="s">
        <v>461</v>
      </c>
      <c r="C25" s="1258"/>
      <c r="D25" s="938" t="s">
        <v>1384</v>
      </c>
      <c r="E25" s="956" t="s">
        <v>1385</v>
      </c>
      <c r="F25" s="940" t="s">
        <v>1386</v>
      </c>
      <c r="G25" s="977" t="s">
        <v>1387</v>
      </c>
      <c r="H25" s="978" t="s">
        <v>1388</v>
      </c>
      <c r="I25" s="977" t="s">
        <v>1389</v>
      </c>
      <c r="J25" s="978" t="s">
        <v>1390</v>
      </c>
      <c r="K25" s="977" t="s">
        <v>1391</v>
      </c>
      <c r="L25" s="978" t="s">
        <v>1392</v>
      </c>
      <c r="M25" s="977" t="s">
        <v>1393</v>
      </c>
      <c r="N25" s="978" t="s">
        <v>1394</v>
      </c>
      <c r="O25" s="977" t="s">
        <v>1395</v>
      </c>
      <c r="P25" s="978" t="s">
        <v>1396</v>
      </c>
      <c r="Q25" s="977" t="s">
        <v>1397</v>
      </c>
      <c r="R25" s="978" t="s">
        <v>1398</v>
      </c>
      <c r="S25" s="977" t="s">
        <v>1399</v>
      </c>
      <c r="T25" s="978" t="s">
        <v>1400</v>
      </c>
      <c r="U25" s="977" t="s">
        <v>1401</v>
      </c>
      <c r="V25" s="978" t="s">
        <v>1402</v>
      </c>
      <c r="W25" s="977" t="s">
        <v>1403</v>
      </c>
      <c r="X25" s="978" t="s">
        <v>1404</v>
      </c>
      <c r="Y25" s="977" t="s">
        <v>1405</v>
      </c>
      <c r="Z25" s="978" t="s">
        <v>1406</v>
      </c>
      <c r="AA25" s="977" t="s">
        <v>1407</v>
      </c>
      <c r="AB25" s="978" t="s">
        <v>1408</v>
      </c>
      <c r="AC25" s="977" t="s">
        <v>1409</v>
      </c>
      <c r="AD25" s="978" t="s">
        <v>1410</v>
      </c>
      <c r="AE25" s="977" t="s">
        <v>1411</v>
      </c>
      <c r="AF25" s="978" t="s">
        <v>1412</v>
      </c>
      <c r="AG25" s="977" t="s">
        <v>1413</v>
      </c>
      <c r="AH25" s="978" t="s">
        <v>1414</v>
      </c>
      <c r="AI25" s="977" t="s">
        <v>1415</v>
      </c>
      <c r="AJ25" s="978" t="s">
        <v>1416</v>
      </c>
      <c r="AK25" s="977" t="s">
        <v>1417</v>
      </c>
      <c r="AL25" s="978" t="s">
        <v>1418</v>
      </c>
      <c r="AM25" s="977" t="s">
        <v>1419</v>
      </c>
      <c r="AN25" s="979" t="s">
        <v>1420</v>
      </c>
      <c r="AO25" s="981" t="s">
        <v>1421</v>
      </c>
      <c r="AP25" s="1018" t="s">
        <v>1422</v>
      </c>
      <c r="AQ25" s="958" t="s">
        <v>1423</v>
      </c>
      <c r="AR25" s="462" t="e">
        <f t="shared" si="5"/>
        <v>#VALUE!</v>
      </c>
      <c r="AS25" s="216"/>
      <c r="AT25" s="216"/>
      <c r="AU25" s="216"/>
      <c r="AV25" s="216"/>
      <c r="AW25" s="216"/>
      <c r="AX25" s="216"/>
      <c r="AY25" s="216"/>
      <c r="AZ25" s="216"/>
      <c r="BA25" s="356"/>
      <c r="CD25" s="465" t="e">
        <f t="shared" si="1"/>
        <v>#VALUE!</v>
      </c>
      <c r="CF25" s="465" t="str">
        <f t="shared" si="2"/>
        <v/>
      </c>
      <c r="CH25" s="478"/>
      <c r="CI25" s="478"/>
      <c r="CJ25" s="479"/>
      <c r="CK25" s="470"/>
      <c r="CL25" s="480" t="e">
        <f t="shared" si="4"/>
        <v>#VALUE!</v>
      </c>
      <c r="CM25" s="470"/>
      <c r="CN25" s="486">
        <f t="shared" si="3"/>
        <v>0</v>
      </c>
      <c r="CO25" s="470"/>
      <c r="CP25" s="470"/>
    </row>
    <row r="26" spans="1:94" ht="15" customHeight="1" x14ac:dyDescent="0.25">
      <c r="A26" s="1773" t="s">
        <v>991</v>
      </c>
      <c r="B26" s="2117" t="s">
        <v>154</v>
      </c>
      <c r="C26" s="2118"/>
      <c r="D26" s="938" t="s">
        <v>1384</v>
      </c>
      <c r="E26" s="956" t="s">
        <v>1385</v>
      </c>
      <c r="F26" s="940" t="s">
        <v>1386</v>
      </c>
      <c r="G26" s="977" t="s">
        <v>1387</v>
      </c>
      <c r="H26" s="978" t="s">
        <v>1388</v>
      </c>
      <c r="I26" s="977" t="s">
        <v>1389</v>
      </c>
      <c r="J26" s="978" t="s">
        <v>1390</v>
      </c>
      <c r="K26" s="977" t="s">
        <v>1391</v>
      </c>
      <c r="L26" s="978" t="s">
        <v>1392</v>
      </c>
      <c r="M26" s="977" t="s">
        <v>1393</v>
      </c>
      <c r="N26" s="978" t="s">
        <v>1394</v>
      </c>
      <c r="O26" s="977" t="s">
        <v>1395</v>
      </c>
      <c r="P26" s="978" t="s">
        <v>1396</v>
      </c>
      <c r="Q26" s="977" t="s">
        <v>1397</v>
      </c>
      <c r="R26" s="978" t="s">
        <v>1398</v>
      </c>
      <c r="S26" s="977" t="s">
        <v>1399</v>
      </c>
      <c r="T26" s="978" t="s">
        <v>1400</v>
      </c>
      <c r="U26" s="977" t="s">
        <v>1401</v>
      </c>
      <c r="V26" s="978" t="s">
        <v>1402</v>
      </c>
      <c r="W26" s="977" t="s">
        <v>1403</v>
      </c>
      <c r="X26" s="978" t="s">
        <v>1404</v>
      </c>
      <c r="Y26" s="977" t="s">
        <v>1405</v>
      </c>
      <c r="Z26" s="978" t="s">
        <v>1406</v>
      </c>
      <c r="AA26" s="977" t="s">
        <v>1407</v>
      </c>
      <c r="AB26" s="978" t="s">
        <v>1408</v>
      </c>
      <c r="AC26" s="977" t="s">
        <v>1409</v>
      </c>
      <c r="AD26" s="978" t="s">
        <v>1410</v>
      </c>
      <c r="AE26" s="977" t="s">
        <v>1411</v>
      </c>
      <c r="AF26" s="978" t="s">
        <v>1412</v>
      </c>
      <c r="AG26" s="977" t="s">
        <v>1413</v>
      </c>
      <c r="AH26" s="978" t="s">
        <v>1414</v>
      </c>
      <c r="AI26" s="977" t="s">
        <v>1415</v>
      </c>
      <c r="AJ26" s="978" t="s">
        <v>1416</v>
      </c>
      <c r="AK26" s="977" t="s">
        <v>1417</v>
      </c>
      <c r="AL26" s="978" t="s">
        <v>1418</v>
      </c>
      <c r="AM26" s="977" t="s">
        <v>1419</v>
      </c>
      <c r="AN26" s="979" t="s">
        <v>1420</v>
      </c>
      <c r="AO26" s="981" t="s">
        <v>1421</v>
      </c>
      <c r="AP26" s="1018" t="s">
        <v>1422</v>
      </c>
      <c r="AQ26" s="958" t="s">
        <v>1423</v>
      </c>
      <c r="AR26" s="462" t="e">
        <f t="shared" si="5"/>
        <v>#VALUE!</v>
      </c>
      <c r="AS26" s="216"/>
      <c r="AT26" s="216"/>
      <c r="AU26" s="216"/>
      <c r="AV26" s="216"/>
      <c r="AW26" s="216"/>
      <c r="AX26" s="216"/>
      <c r="AY26" s="216"/>
      <c r="AZ26" s="216"/>
      <c r="BA26" s="356"/>
      <c r="CD26" s="465" t="e">
        <f t="shared" si="1"/>
        <v>#VALUE!</v>
      </c>
      <c r="CF26" s="465" t="str">
        <f t="shared" si="2"/>
        <v/>
      </c>
      <c r="CH26" s="478"/>
      <c r="CI26" s="478"/>
      <c r="CJ26" s="479"/>
      <c r="CK26" s="470"/>
      <c r="CL26" s="480" t="e">
        <f t="shared" si="4"/>
        <v>#VALUE!</v>
      </c>
      <c r="CM26" s="470"/>
      <c r="CN26" s="486">
        <f t="shared" si="3"/>
        <v>0</v>
      </c>
      <c r="CO26" s="470"/>
      <c r="CP26" s="470"/>
    </row>
    <row r="27" spans="1:94" ht="15" customHeight="1" x14ac:dyDescent="0.25">
      <c r="A27" s="1773" t="s">
        <v>992</v>
      </c>
      <c r="B27" s="2117" t="s">
        <v>155</v>
      </c>
      <c r="C27" s="2133"/>
      <c r="D27" s="938" t="s">
        <v>1384</v>
      </c>
      <c r="E27" s="956" t="s">
        <v>1385</v>
      </c>
      <c r="F27" s="940" t="s">
        <v>1386</v>
      </c>
      <c r="G27" s="977" t="s">
        <v>1387</v>
      </c>
      <c r="H27" s="978" t="s">
        <v>1388</v>
      </c>
      <c r="I27" s="977" t="s">
        <v>1389</v>
      </c>
      <c r="J27" s="978" t="s">
        <v>1390</v>
      </c>
      <c r="K27" s="977" t="s">
        <v>1391</v>
      </c>
      <c r="L27" s="978" t="s">
        <v>1392</v>
      </c>
      <c r="M27" s="977" t="s">
        <v>1393</v>
      </c>
      <c r="N27" s="978" t="s">
        <v>1394</v>
      </c>
      <c r="O27" s="977" t="s">
        <v>1395</v>
      </c>
      <c r="P27" s="978" t="s">
        <v>1396</v>
      </c>
      <c r="Q27" s="977" t="s">
        <v>1397</v>
      </c>
      <c r="R27" s="978" t="s">
        <v>1398</v>
      </c>
      <c r="S27" s="977" t="s">
        <v>1399</v>
      </c>
      <c r="T27" s="978" t="s">
        <v>1400</v>
      </c>
      <c r="U27" s="977" t="s">
        <v>1401</v>
      </c>
      <c r="V27" s="978" t="s">
        <v>1402</v>
      </c>
      <c r="W27" s="977" t="s">
        <v>1403</v>
      </c>
      <c r="X27" s="978" t="s">
        <v>1404</v>
      </c>
      <c r="Y27" s="977" t="s">
        <v>1405</v>
      </c>
      <c r="Z27" s="978" t="s">
        <v>1406</v>
      </c>
      <c r="AA27" s="977" t="s">
        <v>1407</v>
      </c>
      <c r="AB27" s="978" t="s">
        <v>1408</v>
      </c>
      <c r="AC27" s="977" t="s">
        <v>1409</v>
      </c>
      <c r="AD27" s="978" t="s">
        <v>1410</v>
      </c>
      <c r="AE27" s="977" t="s">
        <v>1411</v>
      </c>
      <c r="AF27" s="978" t="s">
        <v>1412</v>
      </c>
      <c r="AG27" s="977" t="s">
        <v>1413</v>
      </c>
      <c r="AH27" s="978" t="s">
        <v>1414</v>
      </c>
      <c r="AI27" s="977" t="s">
        <v>1415</v>
      </c>
      <c r="AJ27" s="978" t="s">
        <v>1416</v>
      </c>
      <c r="AK27" s="977" t="s">
        <v>1417</v>
      </c>
      <c r="AL27" s="978" t="s">
        <v>1418</v>
      </c>
      <c r="AM27" s="977" t="s">
        <v>1419</v>
      </c>
      <c r="AN27" s="979" t="s">
        <v>1420</v>
      </c>
      <c r="AO27" s="981" t="s">
        <v>1421</v>
      </c>
      <c r="AP27" s="1018" t="s">
        <v>1422</v>
      </c>
      <c r="AQ27" s="958" t="s">
        <v>1423</v>
      </c>
      <c r="AR27" s="462" t="e">
        <f t="shared" si="5"/>
        <v>#VALUE!</v>
      </c>
      <c r="AS27" s="216"/>
      <c r="AT27" s="216"/>
      <c r="AU27" s="216"/>
      <c r="AV27" s="216"/>
      <c r="AW27" s="216"/>
      <c r="AX27" s="216"/>
      <c r="AY27" s="216"/>
      <c r="AZ27" s="216"/>
      <c r="BA27" s="356"/>
      <c r="CD27" s="465" t="e">
        <f t="shared" si="1"/>
        <v>#VALUE!</v>
      </c>
      <c r="CF27" s="465" t="str">
        <f t="shared" si="2"/>
        <v/>
      </c>
      <c r="CH27" s="478"/>
      <c r="CI27" s="478"/>
      <c r="CJ27" s="479"/>
      <c r="CK27" s="470"/>
      <c r="CL27" s="480" t="e">
        <f t="shared" si="4"/>
        <v>#VALUE!</v>
      </c>
      <c r="CM27" s="470"/>
      <c r="CN27" s="486">
        <f t="shared" si="3"/>
        <v>0</v>
      </c>
      <c r="CO27" s="470"/>
      <c r="CP27" s="470"/>
    </row>
    <row r="28" spans="1:94" ht="15" customHeight="1" x14ac:dyDescent="0.25">
      <c r="A28" s="1773" t="s">
        <v>993</v>
      </c>
      <c r="B28" s="2124" t="s">
        <v>156</v>
      </c>
      <c r="C28" s="2134"/>
      <c r="D28" s="938" t="s">
        <v>1384</v>
      </c>
      <c r="E28" s="956" t="s">
        <v>1385</v>
      </c>
      <c r="F28" s="940" t="s">
        <v>1386</v>
      </c>
      <c r="G28" s="977" t="s">
        <v>1387</v>
      </c>
      <c r="H28" s="978" t="s">
        <v>1388</v>
      </c>
      <c r="I28" s="977" t="s">
        <v>1389</v>
      </c>
      <c r="J28" s="978" t="s">
        <v>1390</v>
      </c>
      <c r="K28" s="977" t="s">
        <v>1391</v>
      </c>
      <c r="L28" s="978" t="s">
        <v>1392</v>
      </c>
      <c r="M28" s="977" t="s">
        <v>1393</v>
      </c>
      <c r="N28" s="978" t="s">
        <v>1394</v>
      </c>
      <c r="O28" s="977" t="s">
        <v>1395</v>
      </c>
      <c r="P28" s="978" t="s">
        <v>1396</v>
      </c>
      <c r="Q28" s="977" t="s">
        <v>1397</v>
      </c>
      <c r="R28" s="978" t="s">
        <v>1398</v>
      </c>
      <c r="S28" s="977" t="s">
        <v>1399</v>
      </c>
      <c r="T28" s="978" t="s">
        <v>1400</v>
      </c>
      <c r="U28" s="977" t="s">
        <v>1401</v>
      </c>
      <c r="V28" s="978" t="s">
        <v>1402</v>
      </c>
      <c r="W28" s="977" t="s">
        <v>1403</v>
      </c>
      <c r="X28" s="978" t="s">
        <v>1404</v>
      </c>
      <c r="Y28" s="977" t="s">
        <v>1405</v>
      </c>
      <c r="Z28" s="978" t="s">
        <v>1406</v>
      </c>
      <c r="AA28" s="977" t="s">
        <v>1407</v>
      </c>
      <c r="AB28" s="978" t="s">
        <v>1408</v>
      </c>
      <c r="AC28" s="977" t="s">
        <v>1409</v>
      </c>
      <c r="AD28" s="978" t="s">
        <v>1410</v>
      </c>
      <c r="AE28" s="977" t="s">
        <v>1411</v>
      </c>
      <c r="AF28" s="978" t="s">
        <v>1412</v>
      </c>
      <c r="AG28" s="977" t="s">
        <v>1413</v>
      </c>
      <c r="AH28" s="978" t="s">
        <v>1414</v>
      </c>
      <c r="AI28" s="977" t="s">
        <v>1415</v>
      </c>
      <c r="AJ28" s="978" t="s">
        <v>1416</v>
      </c>
      <c r="AK28" s="977" t="s">
        <v>1417</v>
      </c>
      <c r="AL28" s="978" t="s">
        <v>1418</v>
      </c>
      <c r="AM28" s="977" t="s">
        <v>1419</v>
      </c>
      <c r="AN28" s="979" t="s">
        <v>1420</v>
      </c>
      <c r="AO28" s="981" t="s">
        <v>1421</v>
      </c>
      <c r="AP28" s="1018" t="s">
        <v>1422</v>
      </c>
      <c r="AQ28" s="958" t="s">
        <v>1423</v>
      </c>
      <c r="AR28" s="462" t="e">
        <f t="shared" si="5"/>
        <v>#VALUE!</v>
      </c>
      <c r="AS28" s="216"/>
      <c r="AT28" s="216"/>
      <c r="AU28" s="216"/>
      <c r="AV28" s="216"/>
      <c r="AW28" s="216"/>
      <c r="AX28" s="216"/>
      <c r="AY28" s="216"/>
      <c r="AZ28" s="216"/>
      <c r="BA28" s="356"/>
      <c r="CD28" s="465" t="e">
        <f t="shared" si="1"/>
        <v>#VALUE!</v>
      </c>
      <c r="CF28" s="465" t="str">
        <f t="shared" si="2"/>
        <v/>
      </c>
      <c r="CH28" s="478"/>
      <c r="CI28" s="478"/>
      <c r="CJ28" s="479"/>
      <c r="CK28" s="470"/>
      <c r="CL28" s="480" t="e">
        <f t="shared" si="4"/>
        <v>#VALUE!</v>
      </c>
      <c r="CM28" s="470"/>
      <c r="CN28" s="486">
        <f t="shared" si="3"/>
        <v>0</v>
      </c>
      <c r="CO28" s="470"/>
      <c r="CP28" s="470"/>
    </row>
    <row r="29" spans="1:94" ht="15" customHeight="1" x14ac:dyDescent="0.25">
      <c r="A29" s="1773" t="s">
        <v>994</v>
      </c>
      <c r="B29" s="2124" t="s">
        <v>157</v>
      </c>
      <c r="C29" s="2125"/>
      <c r="D29" s="938" t="s">
        <v>1384</v>
      </c>
      <c r="E29" s="956" t="s">
        <v>1385</v>
      </c>
      <c r="F29" s="940" t="s">
        <v>1386</v>
      </c>
      <c r="G29" s="977" t="s">
        <v>1387</v>
      </c>
      <c r="H29" s="978" t="s">
        <v>1388</v>
      </c>
      <c r="I29" s="977" t="s">
        <v>1389</v>
      </c>
      <c r="J29" s="978" t="s">
        <v>1390</v>
      </c>
      <c r="K29" s="977" t="s">
        <v>1391</v>
      </c>
      <c r="L29" s="978" t="s">
        <v>1392</v>
      </c>
      <c r="M29" s="977" t="s">
        <v>1393</v>
      </c>
      <c r="N29" s="978" t="s">
        <v>1394</v>
      </c>
      <c r="O29" s="977" t="s">
        <v>1395</v>
      </c>
      <c r="P29" s="978" t="s">
        <v>1396</v>
      </c>
      <c r="Q29" s="977" t="s">
        <v>1397</v>
      </c>
      <c r="R29" s="978" t="s">
        <v>1398</v>
      </c>
      <c r="S29" s="977" t="s">
        <v>1399</v>
      </c>
      <c r="T29" s="978" t="s">
        <v>1400</v>
      </c>
      <c r="U29" s="977" t="s">
        <v>1401</v>
      </c>
      <c r="V29" s="978" t="s">
        <v>1402</v>
      </c>
      <c r="W29" s="977" t="s">
        <v>1403</v>
      </c>
      <c r="X29" s="978" t="s">
        <v>1404</v>
      </c>
      <c r="Y29" s="977" t="s">
        <v>1405</v>
      </c>
      <c r="Z29" s="978" t="s">
        <v>1406</v>
      </c>
      <c r="AA29" s="977" t="s">
        <v>1407</v>
      </c>
      <c r="AB29" s="978" t="s">
        <v>1408</v>
      </c>
      <c r="AC29" s="977" t="s">
        <v>1409</v>
      </c>
      <c r="AD29" s="978" t="s">
        <v>1410</v>
      </c>
      <c r="AE29" s="977" t="s">
        <v>1411</v>
      </c>
      <c r="AF29" s="978" t="s">
        <v>1412</v>
      </c>
      <c r="AG29" s="977" t="s">
        <v>1413</v>
      </c>
      <c r="AH29" s="978" t="s">
        <v>1414</v>
      </c>
      <c r="AI29" s="977" t="s">
        <v>1415</v>
      </c>
      <c r="AJ29" s="978" t="s">
        <v>1416</v>
      </c>
      <c r="AK29" s="977" t="s">
        <v>1417</v>
      </c>
      <c r="AL29" s="978" t="s">
        <v>1418</v>
      </c>
      <c r="AM29" s="977" t="s">
        <v>1419</v>
      </c>
      <c r="AN29" s="979" t="s">
        <v>1420</v>
      </c>
      <c r="AO29" s="981" t="s">
        <v>1421</v>
      </c>
      <c r="AP29" s="1018" t="s">
        <v>1422</v>
      </c>
      <c r="AQ29" s="958" t="s">
        <v>1423</v>
      </c>
      <c r="AR29" s="462" t="e">
        <f t="shared" si="5"/>
        <v>#VALUE!</v>
      </c>
      <c r="AS29" s="216"/>
      <c r="AT29" s="216"/>
      <c r="AU29" s="216"/>
      <c r="AV29" s="216"/>
      <c r="AW29" s="216"/>
      <c r="AX29" s="216"/>
      <c r="AY29" s="216"/>
      <c r="AZ29" s="216"/>
      <c r="BA29" s="356"/>
      <c r="CD29" s="465" t="e">
        <f t="shared" si="1"/>
        <v>#VALUE!</v>
      </c>
      <c r="CF29" s="465" t="str">
        <f t="shared" si="2"/>
        <v/>
      </c>
      <c r="CH29" s="478"/>
      <c r="CI29" s="478"/>
      <c r="CJ29" s="479"/>
      <c r="CK29" s="470"/>
      <c r="CL29" s="480" t="e">
        <f t="shared" si="4"/>
        <v>#VALUE!</v>
      </c>
      <c r="CM29" s="470"/>
      <c r="CN29" s="486">
        <f t="shared" si="3"/>
        <v>0</v>
      </c>
      <c r="CO29" s="470"/>
      <c r="CP29" s="470"/>
    </row>
    <row r="30" spans="1:94" ht="15" customHeight="1" x14ac:dyDescent="0.25">
      <c r="A30" s="1773" t="s">
        <v>995</v>
      </c>
      <c r="B30" s="2119" t="s">
        <v>158</v>
      </c>
      <c r="C30" s="2119"/>
      <c r="D30" s="938" t="s">
        <v>1384</v>
      </c>
      <c r="E30" s="956" t="s">
        <v>1385</v>
      </c>
      <c r="F30" s="940" t="s">
        <v>1386</v>
      </c>
      <c r="G30" s="977" t="s">
        <v>1387</v>
      </c>
      <c r="H30" s="978" t="s">
        <v>1388</v>
      </c>
      <c r="I30" s="977" t="s">
        <v>1389</v>
      </c>
      <c r="J30" s="978" t="s">
        <v>1390</v>
      </c>
      <c r="K30" s="977" t="s">
        <v>1391</v>
      </c>
      <c r="L30" s="978" t="s">
        <v>1392</v>
      </c>
      <c r="M30" s="977" t="s">
        <v>1393</v>
      </c>
      <c r="N30" s="978" t="s">
        <v>1394</v>
      </c>
      <c r="O30" s="977" t="s">
        <v>1395</v>
      </c>
      <c r="P30" s="978" t="s">
        <v>1396</v>
      </c>
      <c r="Q30" s="977" t="s">
        <v>1397</v>
      </c>
      <c r="R30" s="978" t="s">
        <v>1398</v>
      </c>
      <c r="S30" s="977" t="s">
        <v>1399</v>
      </c>
      <c r="T30" s="978" t="s">
        <v>1400</v>
      </c>
      <c r="U30" s="977" t="s">
        <v>1401</v>
      </c>
      <c r="V30" s="978" t="s">
        <v>1402</v>
      </c>
      <c r="W30" s="977" t="s">
        <v>1403</v>
      </c>
      <c r="X30" s="978" t="s">
        <v>1404</v>
      </c>
      <c r="Y30" s="977" t="s">
        <v>1405</v>
      </c>
      <c r="Z30" s="978" t="s">
        <v>1406</v>
      </c>
      <c r="AA30" s="977" t="s">
        <v>1407</v>
      </c>
      <c r="AB30" s="978" t="s">
        <v>1408</v>
      </c>
      <c r="AC30" s="977" t="s">
        <v>1409</v>
      </c>
      <c r="AD30" s="978" t="s">
        <v>1410</v>
      </c>
      <c r="AE30" s="977" t="s">
        <v>1411</v>
      </c>
      <c r="AF30" s="978" t="s">
        <v>1412</v>
      </c>
      <c r="AG30" s="977" t="s">
        <v>1413</v>
      </c>
      <c r="AH30" s="978" t="s">
        <v>1414</v>
      </c>
      <c r="AI30" s="977" t="s">
        <v>1415</v>
      </c>
      <c r="AJ30" s="978" t="s">
        <v>1416</v>
      </c>
      <c r="AK30" s="977" t="s">
        <v>1417</v>
      </c>
      <c r="AL30" s="978" t="s">
        <v>1418</v>
      </c>
      <c r="AM30" s="977" t="s">
        <v>1419</v>
      </c>
      <c r="AN30" s="979" t="s">
        <v>1420</v>
      </c>
      <c r="AO30" s="981" t="s">
        <v>1421</v>
      </c>
      <c r="AP30" s="1018" t="s">
        <v>1422</v>
      </c>
      <c r="AQ30" s="958" t="s">
        <v>1423</v>
      </c>
      <c r="AR30" s="462" t="e">
        <f t="shared" si="5"/>
        <v>#VALUE!</v>
      </c>
      <c r="AS30" s="216"/>
      <c r="AT30" s="216"/>
      <c r="AU30" s="216"/>
      <c r="AV30" s="216"/>
      <c r="AW30" s="216"/>
      <c r="AX30" s="216"/>
      <c r="AY30" s="216"/>
      <c r="AZ30" s="216"/>
      <c r="BA30" s="356"/>
      <c r="CD30" s="465" t="e">
        <f t="shared" si="1"/>
        <v>#VALUE!</v>
      </c>
      <c r="CF30" s="465" t="str">
        <f t="shared" si="2"/>
        <v/>
      </c>
      <c r="CH30" s="478"/>
      <c r="CI30" s="478"/>
      <c r="CJ30" s="479"/>
      <c r="CK30" s="470"/>
      <c r="CL30" s="480" t="e">
        <f t="shared" si="4"/>
        <v>#VALUE!</v>
      </c>
      <c r="CM30" s="470"/>
      <c r="CN30" s="486">
        <f t="shared" si="3"/>
        <v>0</v>
      </c>
      <c r="CO30" s="470"/>
      <c r="CP30" s="470"/>
    </row>
    <row r="31" spans="1:94" ht="15" customHeight="1" x14ac:dyDescent="0.25">
      <c r="A31" s="1773" t="s">
        <v>996</v>
      </c>
      <c r="B31" s="2119" t="s">
        <v>159</v>
      </c>
      <c r="C31" s="2119"/>
      <c r="D31" s="938" t="s">
        <v>1384</v>
      </c>
      <c r="E31" s="956" t="s">
        <v>1385</v>
      </c>
      <c r="F31" s="940" t="s">
        <v>1386</v>
      </c>
      <c r="G31" s="977" t="s">
        <v>1387</v>
      </c>
      <c r="H31" s="978" t="s">
        <v>1388</v>
      </c>
      <c r="I31" s="977" t="s">
        <v>1389</v>
      </c>
      <c r="J31" s="978" t="s">
        <v>1390</v>
      </c>
      <c r="K31" s="977" t="s">
        <v>1391</v>
      </c>
      <c r="L31" s="978" t="s">
        <v>1392</v>
      </c>
      <c r="M31" s="977" t="s">
        <v>1393</v>
      </c>
      <c r="N31" s="978" t="s">
        <v>1394</v>
      </c>
      <c r="O31" s="977" t="s">
        <v>1395</v>
      </c>
      <c r="P31" s="978" t="s">
        <v>1396</v>
      </c>
      <c r="Q31" s="977" t="s">
        <v>1397</v>
      </c>
      <c r="R31" s="978" t="s">
        <v>1398</v>
      </c>
      <c r="S31" s="977" t="s">
        <v>1399</v>
      </c>
      <c r="T31" s="978" t="s">
        <v>1400</v>
      </c>
      <c r="U31" s="977" t="s">
        <v>1401</v>
      </c>
      <c r="V31" s="978" t="s">
        <v>1402</v>
      </c>
      <c r="W31" s="977" t="s">
        <v>1403</v>
      </c>
      <c r="X31" s="978" t="s">
        <v>1404</v>
      </c>
      <c r="Y31" s="977" t="s">
        <v>1405</v>
      </c>
      <c r="Z31" s="978" t="s">
        <v>1406</v>
      </c>
      <c r="AA31" s="977" t="s">
        <v>1407</v>
      </c>
      <c r="AB31" s="978" t="s">
        <v>1408</v>
      </c>
      <c r="AC31" s="977" t="s">
        <v>1409</v>
      </c>
      <c r="AD31" s="978" t="s">
        <v>1410</v>
      </c>
      <c r="AE31" s="977" t="s">
        <v>1411</v>
      </c>
      <c r="AF31" s="978" t="s">
        <v>1412</v>
      </c>
      <c r="AG31" s="977" t="s">
        <v>1413</v>
      </c>
      <c r="AH31" s="978" t="s">
        <v>1414</v>
      </c>
      <c r="AI31" s="977" t="s">
        <v>1415</v>
      </c>
      <c r="AJ31" s="978" t="s">
        <v>1416</v>
      </c>
      <c r="AK31" s="977" t="s">
        <v>1417</v>
      </c>
      <c r="AL31" s="978" t="s">
        <v>1418</v>
      </c>
      <c r="AM31" s="977" t="s">
        <v>1419</v>
      </c>
      <c r="AN31" s="979" t="s">
        <v>1420</v>
      </c>
      <c r="AO31" s="981" t="s">
        <v>1421</v>
      </c>
      <c r="AP31" s="1018" t="s">
        <v>1422</v>
      </c>
      <c r="AQ31" s="958" t="s">
        <v>1423</v>
      </c>
      <c r="AR31" s="462" t="e">
        <f t="shared" si="5"/>
        <v>#VALUE!</v>
      </c>
      <c r="AS31" s="216"/>
      <c r="AT31" s="216"/>
      <c r="AU31" s="216"/>
      <c r="AV31" s="216"/>
      <c r="AW31" s="216"/>
      <c r="AX31" s="216"/>
      <c r="AY31" s="216"/>
      <c r="AZ31" s="216"/>
      <c r="BA31" s="356"/>
      <c r="CD31" s="465" t="e">
        <f t="shared" si="1"/>
        <v>#VALUE!</v>
      </c>
      <c r="CF31" s="465" t="str">
        <f t="shared" si="2"/>
        <v/>
      </c>
      <c r="CH31" s="478"/>
      <c r="CI31" s="478"/>
      <c r="CJ31" s="479"/>
      <c r="CK31" s="470"/>
      <c r="CL31" s="480" t="e">
        <f t="shared" si="4"/>
        <v>#VALUE!</v>
      </c>
      <c r="CM31" s="470"/>
      <c r="CN31" s="486">
        <f t="shared" si="3"/>
        <v>0</v>
      </c>
      <c r="CO31" s="470"/>
      <c r="CP31" s="470"/>
    </row>
    <row r="32" spans="1:94" ht="15" customHeight="1" x14ac:dyDescent="0.25">
      <c r="A32" s="1773" t="s">
        <v>997</v>
      </c>
      <c r="B32" s="2130" t="s">
        <v>160</v>
      </c>
      <c r="C32" s="167" t="s">
        <v>161</v>
      </c>
      <c r="D32" s="938" t="s">
        <v>1384</v>
      </c>
      <c r="E32" s="956" t="s">
        <v>1385</v>
      </c>
      <c r="F32" s="940" t="s">
        <v>1386</v>
      </c>
      <c r="G32" s="977" t="s">
        <v>1387</v>
      </c>
      <c r="H32" s="978" t="s">
        <v>1388</v>
      </c>
      <c r="I32" s="977" t="s">
        <v>1389</v>
      </c>
      <c r="J32" s="978" t="s">
        <v>1390</v>
      </c>
      <c r="K32" s="977" t="s">
        <v>1391</v>
      </c>
      <c r="L32" s="978" t="s">
        <v>1392</v>
      </c>
      <c r="M32" s="977" t="s">
        <v>1393</v>
      </c>
      <c r="N32" s="978" t="s">
        <v>1394</v>
      </c>
      <c r="O32" s="977" t="s">
        <v>1395</v>
      </c>
      <c r="P32" s="978" t="s">
        <v>1396</v>
      </c>
      <c r="Q32" s="977" t="s">
        <v>1397</v>
      </c>
      <c r="R32" s="978" t="s">
        <v>1398</v>
      </c>
      <c r="S32" s="977" t="s">
        <v>1399</v>
      </c>
      <c r="T32" s="978" t="s">
        <v>1400</v>
      </c>
      <c r="U32" s="977" t="s">
        <v>1401</v>
      </c>
      <c r="V32" s="978" t="s">
        <v>1402</v>
      </c>
      <c r="W32" s="977" t="s">
        <v>1403</v>
      </c>
      <c r="X32" s="978" t="s">
        <v>1404</v>
      </c>
      <c r="Y32" s="977" t="s">
        <v>1405</v>
      </c>
      <c r="Z32" s="978" t="s">
        <v>1406</v>
      </c>
      <c r="AA32" s="977" t="s">
        <v>1407</v>
      </c>
      <c r="AB32" s="978" t="s">
        <v>1408</v>
      </c>
      <c r="AC32" s="977" t="s">
        <v>1409</v>
      </c>
      <c r="AD32" s="978" t="s">
        <v>1410</v>
      </c>
      <c r="AE32" s="977" t="s">
        <v>1411</v>
      </c>
      <c r="AF32" s="978" t="s">
        <v>1412</v>
      </c>
      <c r="AG32" s="977" t="s">
        <v>1413</v>
      </c>
      <c r="AH32" s="978" t="s">
        <v>1414</v>
      </c>
      <c r="AI32" s="977" t="s">
        <v>1415</v>
      </c>
      <c r="AJ32" s="978" t="s">
        <v>1416</v>
      </c>
      <c r="AK32" s="977" t="s">
        <v>1417</v>
      </c>
      <c r="AL32" s="978" t="s">
        <v>1418</v>
      </c>
      <c r="AM32" s="977" t="s">
        <v>1419</v>
      </c>
      <c r="AN32" s="979" t="s">
        <v>1420</v>
      </c>
      <c r="AO32" s="981" t="s">
        <v>1421</v>
      </c>
      <c r="AP32" s="1018" t="s">
        <v>1422</v>
      </c>
      <c r="AQ32" s="958" t="s">
        <v>1423</v>
      </c>
      <c r="AR32" s="462" t="e">
        <f t="shared" si="5"/>
        <v>#VALUE!</v>
      </c>
      <c r="AS32" s="216"/>
      <c r="AT32" s="216"/>
      <c r="AU32" s="216"/>
      <c r="AV32" s="216"/>
      <c r="AW32" s="216"/>
      <c r="AX32" s="216"/>
      <c r="AY32" s="216"/>
      <c r="AZ32" s="216"/>
      <c r="BA32" s="356"/>
      <c r="CD32" s="465" t="e">
        <f t="shared" si="1"/>
        <v>#VALUE!</v>
      </c>
      <c r="CF32" s="465" t="str">
        <f t="shared" si="2"/>
        <v/>
      </c>
      <c r="CH32" s="478"/>
      <c r="CI32" s="478"/>
      <c r="CJ32" s="479"/>
      <c r="CK32" s="470"/>
      <c r="CL32" s="480" t="e">
        <f t="shared" si="4"/>
        <v>#VALUE!</v>
      </c>
      <c r="CM32" s="470"/>
      <c r="CN32" s="486">
        <f t="shared" si="3"/>
        <v>0</v>
      </c>
      <c r="CO32" s="470"/>
      <c r="CP32" s="470"/>
    </row>
    <row r="33" spans="1:95" ht="15" customHeight="1" x14ac:dyDescent="0.25">
      <c r="A33" s="1773" t="s">
        <v>998</v>
      </c>
      <c r="B33" s="2131"/>
      <c r="C33" s="168" t="s">
        <v>162</v>
      </c>
      <c r="D33" s="938" t="s">
        <v>1384</v>
      </c>
      <c r="E33" s="956" t="s">
        <v>1385</v>
      </c>
      <c r="F33" s="940" t="s">
        <v>1386</v>
      </c>
      <c r="G33" s="977" t="s">
        <v>1387</v>
      </c>
      <c r="H33" s="978" t="s">
        <v>1388</v>
      </c>
      <c r="I33" s="977" t="s">
        <v>1389</v>
      </c>
      <c r="J33" s="978" t="s">
        <v>1390</v>
      </c>
      <c r="K33" s="977" t="s">
        <v>1391</v>
      </c>
      <c r="L33" s="978" t="s">
        <v>1392</v>
      </c>
      <c r="M33" s="977" t="s">
        <v>1393</v>
      </c>
      <c r="N33" s="978" t="s">
        <v>1394</v>
      </c>
      <c r="O33" s="977" t="s">
        <v>1395</v>
      </c>
      <c r="P33" s="978" t="s">
        <v>1396</v>
      </c>
      <c r="Q33" s="977" t="s">
        <v>1397</v>
      </c>
      <c r="R33" s="978" t="s">
        <v>1398</v>
      </c>
      <c r="S33" s="977" t="s">
        <v>1399</v>
      </c>
      <c r="T33" s="978" t="s">
        <v>1400</v>
      </c>
      <c r="U33" s="977" t="s">
        <v>1401</v>
      </c>
      <c r="V33" s="978" t="s">
        <v>1402</v>
      </c>
      <c r="W33" s="977" t="s">
        <v>1403</v>
      </c>
      <c r="X33" s="978" t="s">
        <v>1404</v>
      </c>
      <c r="Y33" s="977" t="s">
        <v>1405</v>
      </c>
      <c r="Z33" s="978" t="s">
        <v>1406</v>
      </c>
      <c r="AA33" s="977" t="s">
        <v>1407</v>
      </c>
      <c r="AB33" s="978" t="s">
        <v>1408</v>
      </c>
      <c r="AC33" s="977" t="s">
        <v>1409</v>
      </c>
      <c r="AD33" s="978" t="s">
        <v>1410</v>
      </c>
      <c r="AE33" s="977" t="s">
        <v>1411</v>
      </c>
      <c r="AF33" s="978" t="s">
        <v>1412</v>
      </c>
      <c r="AG33" s="977" t="s">
        <v>1413</v>
      </c>
      <c r="AH33" s="978" t="s">
        <v>1414</v>
      </c>
      <c r="AI33" s="977" t="s">
        <v>1415</v>
      </c>
      <c r="AJ33" s="978" t="s">
        <v>1416</v>
      </c>
      <c r="AK33" s="977" t="s">
        <v>1417</v>
      </c>
      <c r="AL33" s="978" t="s">
        <v>1418</v>
      </c>
      <c r="AM33" s="977" t="s">
        <v>1419</v>
      </c>
      <c r="AN33" s="979" t="s">
        <v>1420</v>
      </c>
      <c r="AO33" s="981" t="s">
        <v>1421</v>
      </c>
      <c r="AP33" s="1018" t="s">
        <v>1422</v>
      </c>
      <c r="AQ33" s="958" t="s">
        <v>1423</v>
      </c>
      <c r="AR33" s="462" t="e">
        <f t="shared" si="5"/>
        <v>#VALUE!</v>
      </c>
      <c r="AS33" s="216"/>
      <c r="AT33" s="216"/>
      <c r="AU33" s="216"/>
      <c r="AV33" s="216"/>
      <c r="AW33" s="216"/>
      <c r="AX33" s="216"/>
      <c r="AY33" s="216"/>
      <c r="AZ33" s="216"/>
      <c r="BA33" s="356"/>
      <c r="CD33" s="465" t="e">
        <f t="shared" si="1"/>
        <v>#VALUE!</v>
      </c>
      <c r="CF33" s="465" t="str">
        <f t="shared" si="2"/>
        <v/>
      </c>
      <c r="CH33" s="478"/>
      <c r="CI33" s="478"/>
      <c r="CJ33" s="479"/>
      <c r="CK33" s="470"/>
      <c r="CL33" s="480" t="e">
        <f t="shared" si="4"/>
        <v>#VALUE!</v>
      </c>
      <c r="CM33" s="470"/>
      <c r="CN33" s="486">
        <f t="shared" si="3"/>
        <v>0</v>
      </c>
      <c r="CO33" s="470"/>
      <c r="CP33" s="470"/>
    </row>
    <row r="34" spans="1:95" ht="15" customHeight="1" thickBot="1" x14ac:dyDescent="0.3">
      <c r="A34" s="1773" t="s">
        <v>999</v>
      </c>
      <c r="B34" s="2132"/>
      <c r="C34" s="169" t="s">
        <v>163</v>
      </c>
      <c r="D34" s="982" t="s">
        <v>1384</v>
      </c>
      <c r="E34" s="983" t="s">
        <v>1385</v>
      </c>
      <c r="F34" s="984" t="s">
        <v>1386</v>
      </c>
      <c r="G34" s="977" t="s">
        <v>1387</v>
      </c>
      <c r="H34" s="978" t="s">
        <v>1388</v>
      </c>
      <c r="I34" s="977" t="s">
        <v>1389</v>
      </c>
      <c r="J34" s="978" t="s">
        <v>1390</v>
      </c>
      <c r="K34" s="977" t="s">
        <v>1391</v>
      </c>
      <c r="L34" s="978" t="s">
        <v>1392</v>
      </c>
      <c r="M34" s="977" t="s">
        <v>1393</v>
      </c>
      <c r="N34" s="978" t="s">
        <v>1394</v>
      </c>
      <c r="O34" s="977" t="s">
        <v>1395</v>
      </c>
      <c r="P34" s="978" t="s">
        <v>1396</v>
      </c>
      <c r="Q34" s="977" t="s">
        <v>1397</v>
      </c>
      <c r="R34" s="978" t="s">
        <v>1398</v>
      </c>
      <c r="S34" s="977" t="s">
        <v>1399</v>
      </c>
      <c r="T34" s="978" t="s">
        <v>1400</v>
      </c>
      <c r="U34" s="977" t="s">
        <v>1401</v>
      </c>
      <c r="V34" s="978" t="s">
        <v>1402</v>
      </c>
      <c r="W34" s="977" t="s">
        <v>1403</v>
      </c>
      <c r="X34" s="978" t="s">
        <v>1404</v>
      </c>
      <c r="Y34" s="977" t="s">
        <v>1405</v>
      </c>
      <c r="Z34" s="978" t="s">
        <v>1406</v>
      </c>
      <c r="AA34" s="977" t="s">
        <v>1407</v>
      </c>
      <c r="AB34" s="978" t="s">
        <v>1408</v>
      </c>
      <c r="AC34" s="977" t="s">
        <v>1409</v>
      </c>
      <c r="AD34" s="978" t="s">
        <v>1410</v>
      </c>
      <c r="AE34" s="977" t="s">
        <v>1411</v>
      </c>
      <c r="AF34" s="978" t="s">
        <v>1412</v>
      </c>
      <c r="AG34" s="977" t="s">
        <v>1413</v>
      </c>
      <c r="AH34" s="978" t="s">
        <v>1414</v>
      </c>
      <c r="AI34" s="977" t="s">
        <v>1415</v>
      </c>
      <c r="AJ34" s="978" t="s">
        <v>1416</v>
      </c>
      <c r="AK34" s="977" t="s">
        <v>1417</v>
      </c>
      <c r="AL34" s="978" t="s">
        <v>1418</v>
      </c>
      <c r="AM34" s="977" t="s">
        <v>1419</v>
      </c>
      <c r="AN34" s="979" t="s">
        <v>1420</v>
      </c>
      <c r="AO34" s="985" t="s">
        <v>1421</v>
      </c>
      <c r="AP34" s="1022" t="s">
        <v>1422</v>
      </c>
      <c r="AQ34" s="969" t="s">
        <v>1423</v>
      </c>
      <c r="AR34" s="462" t="e">
        <f>CD34 &amp; CE34 &amp; CF34</f>
        <v>#VALUE!</v>
      </c>
      <c r="AS34" s="216"/>
      <c r="AT34" s="216"/>
      <c r="AU34" s="216"/>
      <c r="AV34" s="216"/>
      <c r="AW34" s="216"/>
      <c r="AX34" s="216"/>
      <c r="AY34" s="216"/>
      <c r="AZ34" s="216"/>
      <c r="BA34" s="356"/>
      <c r="CD34" s="465" t="e">
        <f t="shared" si="1"/>
        <v>#VALUE!</v>
      </c>
      <c r="CE34" s="465" t="e">
        <f>IF($D34&lt;=$D32+$D33,"","Dependencia severa con escaras no debe ser mayor que los Dependientes oncológicos más no Oncológicos. ")</f>
        <v>#VALUE!</v>
      </c>
      <c r="CF34" s="465" t="str">
        <f t="shared" si="2"/>
        <v/>
      </c>
      <c r="CH34" s="478"/>
      <c r="CI34" s="478"/>
      <c r="CJ34" s="479"/>
      <c r="CK34" s="470"/>
      <c r="CL34" s="480" t="e">
        <f t="shared" si="4"/>
        <v>#VALUE!</v>
      </c>
      <c r="CM34" s="480" t="e">
        <f>IF($D34&lt;=$D32+$D33,0,1)</f>
        <v>#VALUE!</v>
      </c>
      <c r="CN34" s="486">
        <f t="shared" si="3"/>
        <v>0</v>
      </c>
      <c r="CO34" s="470"/>
      <c r="CP34" s="470"/>
    </row>
    <row r="35" spans="1:95" ht="18.75" customHeight="1" thickTop="1" x14ac:dyDescent="0.25">
      <c r="A35" s="1773" t="s">
        <v>1000</v>
      </c>
      <c r="B35" s="2120" t="s">
        <v>164</v>
      </c>
      <c r="C35" s="1286" t="s">
        <v>165</v>
      </c>
      <c r="D35" s="986" t="s">
        <v>1384</v>
      </c>
      <c r="E35" s="987" t="s">
        <v>1385</v>
      </c>
      <c r="F35" s="988" t="s">
        <v>1386</v>
      </c>
      <c r="G35" s="989" t="s">
        <v>1387</v>
      </c>
      <c r="H35" s="990" t="s">
        <v>1388</v>
      </c>
      <c r="I35" s="989" t="s">
        <v>1389</v>
      </c>
      <c r="J35" s="990" t="s">
        <v>1390</v>
      </c>
      <c r="K35" s="989" t="s">
        <v>1391</v>
      </c>
      <c r="L35" s="990" t="s">
        <v>1392</v>
      </c>
      <c r="M35" s="989" t="s">
        <v>1393</v>
      </c>
      <c r="N35" s="990" t="s">
        <v>1394</v>
      </c>
      <c r="O35" s="989" t="s">
        <v>1395</v>
      </c>
      <c r="P35" s="990" t="s">
        <v>1396</v>
      </c>
      <c r="Q35" s="989" t="s">
        <v>1397</v>
      </c>
      <c r="R35" s="990" t="s">
        <v>1398</v>
      </c>
      <c r="S35" s="989" t="s">
        <v>1399</v>
      </c>
      <c r="T35" s="990" t="s">
        <v>1400</v>
      </c>
      <c r="U35" s="989" t="s">
        <v>1401</v>
      </c>
      <c r="V35" s="990" t="s">
        <v>1402</v>
      </c>
      <c r="W35" s="989" t="s">
        <v>1403</v>
      </c>
      <c r="X35" s="990" t="s">
        <v>1404</v>
      </c>
      <c r="Y35" s="989" t="s">
        <v>1405</v>
      </c>
      <c r="Z35" s="990" t="s">
        <v>1406</v>
      </c>
      <c r="AA35" s="989" t="s">
        <v>1407</v>
      </c>
      <c r="AB35" s="990" t="s">
        <v>1408</v>
      </c>
      <c r="AC35" s="989" t="s">
        <v>1409</v>
      </c>
      <c r="AD35" s="990" t="s">
        <v>1410</v>
      </c>
      <c r="AE35" s="989" t="s">
        <v>1411</v>
      </c>
      <c r="AF35" s="990" t="s">
        <v>1412</v>
      </c>
      <c r="AG35" s="989" t="s">
        <v>1413</v>
      </c>
      <c r="AH35" s="990" t="s">
        <v>1414</v>
      </c>
      <c r="AI35" s="989" t="s">
        <v>1415</v>
      </c>
      <c r="AJ35" s="990" t="s">
        <v>1416</v>
      </c>
      <c r="AK35" s="989" t="s">
        <v>1417</v>
      </c>
      <c r="AL35" s="990" t="s">
        <v>1418</v>
      </c>
      <c r="AM35" s="989" t="s">
        <v>1419</v>
      </c>
      <c r="AN35" s="991" t="s">
        <v>1420</v>
      </c>
      <c r="AO35" s="992" t="s">
        <v>1421</v>
      </c>
      <c r="AP35" s="1266" t="s">
        <v>1422</v>
      </c>
      <c r="AQ35" s="990" t="s">
        <v>1423</v>
      </c>
      <c r="AR35" s="462" t="e">
        <f>CD35 &amp; CE35</f>
        <v>#VALUE!</v>
      </c>
      <c r="AS35" s="216"/>
      <c r="AT35" s="216"/>
      <c r="AU35" s="216"/>
      <c r="AV35" s="216"/>
      <c r="AW35" s="216"/>
      <c r="AX35" s="216"/>
      <c r="AY35" s="216"/>
      <c r="AZ35" s="216"/>
      <c r="BA35" s="356"/>
      <c r="CD35" s="465" t="e">
        <f t="shared" si="1"/>
        <v>#VALUE!</v>
      </c>
      <c r="CE35" s="465" t="e">
        <f>IF($D35&lt;=$D32+$D33,"","* Atención Domiciliaria por Dependencia Severa: Total Personas no debe ser mayor que los Dependientes oncológicos más no Oncológicos. ")</f>
        <v>#VALUE!</v>
      </c>
      <c r="CF35" s="465" t="str">
        <f t="shared" si="2"/>
        <v/>
      </c>
      <c r="CH35" s="478"/>
      <c r="CI35" s="478"/>
      <c r="CJ35" s="479"/>
      <c r="CK35" s="470"/>
      <c r="CL35" s="480" t="e">
        <f t="shared" si="4"/>
        <v>#VALUE!</v>
      </c>
      <c r="CM35" s="480" t="e">
        <f>IF($D35&lt;=$D32+$D33,0,1)</f>
        <v>#VALUE!</v>
      </c>
      <c r="CN35" s="486">
        <f t="shared" si="3"/>
        <v>0</v>
      </c>
      <c r="CO35" s="470"/>
      <c r="CP35" s="470"/>
    </row>
    <row r="36" spans="1:95" ht="24" customHeight="1" x14ac:dyDescent="0.25">
      <c r="A36" s="1773" t="s">
        <v>1001</v>
      </c>
      <c r="B36" s="2121"/>
      <c r="C36" s="170" t="s">
        <v>166</v>
      </c>
      <c r="D36" s="947" t="s">
        <v>1384</v>
      </c>
      <c r="E36" s="948" t="s">
        <v>1385</v>
      </c>
      <c r="F36" s="949" t="s">
        <v>1386</v>
      </c>
      <c r="G36" s="957" t="s">
        <v>1387</v>
      </c>
      <c r="H36" s="958" t="s">
        <v>1388</v>
      </c>
      <c r="I36" s="957" t="s">
        <v>1389</v>
      </c>
      <c r="J36" s="958" t="s">
        <v>1390</v>
      </c>
      <c r="K36" s="957" t="s">
        <v>1391</v>
      </c>
      <c r="L36" s="958" t="s">
        <v>1392</v>
      </c>
      <c r="M36" s="957" t="s">
        <v>1393</v>
      </c>
      <c r="N36" s="958" t="s">
        <v>1394</v>
      </c>
      <c r="O36" s="957" t="s">
        <v>1395</v>
      </c>
      <c r="P36" s="958" t="s">
        <v>1396</v>
      </c>
      <c r="Q36" s="957" t="s">
        <v>1397</v>
      </c>
      <c r="R36" s="958" t="s">
        <v>1398</v>
      </c>
      <c r="S36" s="957" t="s">
        <v>1399</v>
      </c>
      <c r="T36" s="958" t="s">
        <v>1400</v>
      </c>
      <c r="U36" s="957" t="s">
        <v>1401</v>
      </c>
      <c r="V36" s="958" t="s">
        <v>1402</v>
      </c>
      <c r="W36" s="957" t="s">
        <v>1403</v>
      </c>
      <c r="X36" s="958" t="s">
        <v>1404</v>
      </c>
      <c r="Y36" s="957" t="s">
        <v>1405</v>
      </c>
      <c r="Z36" s="958" t="s">
        <v>1406</v>
      </c>
      <c r="AA36" s="957" t="s">
        <v>1407</v>
      </c>
      <c r="AB36" s="958" t="s">
        <v>1408</v>
      </c>
      <c r="AC36" s="957" t="s">
        <v>1409</v>
      </c>
      <c r="AD36" s="958" t="s">
        <v>1410</v>
      </c>
      <c r="AE36" s="957" t="s">
        <v>1411</v>
      </c>
      <c r="AF36" s="958" t="s">
        <v>1412</v>
      </c>
      <c r="AG36" s="957" t="s">
        <v>1413</v>
      </c>
      <c r="AH36" s="958" t="s">
        <v>1414</v>
      </c>
      <c r="AI36" s="957" t="s">
        <v>1415</v>
      </c>
      <c r="AJ36" s="958" t="s">
        <v>1416</v>
      </c>
      <c r="AK36" s="957" t="s">
        <v>1417</v>
      </c>
      <c r="AL36" s="958" t="s">
        <v>1418</v>
      </c>
      <c r="AM36" s="957" t="s">
        <v>1419</v>
      </c>
      <c r="AN36" s="966" t="s">
        <v>1420</v>
      </c>
      <c r="AO36" s="981" t="s">
        <v>1421</v>
      </c>
      <c r="AP36" s="1018" t="s">
        <v>1422</v>
      </c>
      <c r="AQ36" s="958" t="s">
        <v>1423</v>
      </c>
      <c r="AR36" s="462" t="e">
        <f>CD36 &amp; CE36 &amp; CF36 &amp; CG36</f>
        <v>#VALUE!</v>
      </c>
      <c r="AS36" s="216"/>
      <c r="AT36" s="216"/>
      <c r="AU36" s="216"/>
      <c r="AV36" s="216"/>
      <c r="AW36" s="216"/>
      <c r="AX36" s="216"/>
      <c r="AY36" s="216"/>
      <c r="AZ36" s="216"/>
      <c r="BA36" s="356"/>
      <c r="CD36" s="465" t="e">
        <f t="shared" si="1"/>
        <v>#VALUE!</v>
      </c>
      <c r="CE36" s="465" t="str">
        <f>IF($D36&lt;=$D35,"","* Atención Domiciliaria por Dependencia Severa: Total Personas con Escaras no debe ser mayor al Total Personas. ")</f>
        <v/>
      </c>
      <c r="CF36" s="465" t="str">
        <f t="shared" si="2"/>
        <v/>
      </c>
      <c r="CG36" s="465" t="str">
        <f>IF($D36&lt;=$D34,"","* Atención Domiciliaria por Dependencia Severa: Total Personas con Escaras no debe ser mayor a las personas con Dependencia Severa con Escaras. ")</f>
        <v/>
      </c>
      <c r="CH36" s="478"/>
      <c r="CI36" s="478"/>
      <c r="CJ36" s="479"/>
      <c r="CK36" s="470"/>
      <c r="CL36" s="480" t="e">
        <f t="shared" si="4"/>
        <v>#VALUE!</v>
      </c>
      <c r="CM36" s="480">
        <f>IF($D36&lt;=$D35,0,1)</f>
        <v>0</v>
      </c>
      <c r="CN36" s="480">
        <f t="shared" si="3"/>
        <v>0</v>
      </c>
      <c r="CO36" s="486">
        <f>IF($D36&lt;=$D34,0,1)</f>
        <v>0</v>
      </c>
      <c r="CP36" s="470"/>
    </row>
    <row r="37" spans="1:95" ht="33.75" customHeight="1" x14ac:dyDescent="0.25">
      <c r="A37" s="1773" t="s">
        <v>1002</v>
      </c>
      <c r="B37" s="2121"/>
      <c r="C37" s="1289" t="s">
        <v>167</v>
      </c>
      <c r="D37" s="938" t="s">
        <v>1384</v>
      </c>
      <c r="E37" s="956" t="s">
        <v>1385</v>
      </c>
      <c r="F37" s="940" t="s">
        <v>1386</v>
      </c>
      <c r="G37" s="957" t="s">
        <v>1387</v>
      </c>
      <c r="H37" s="958" t="s">
        <v>1388</v>
      </c>
      <c r="I37" s="957" t="s">
        <v>1389</v>
      </c>
      <c r="J37" s="958" t="s">
        <v>1390</v>
      </c>
      <c r="K37" s="957" t="s">
        <v>1391</v>
      </c>
      <c r="L37" s="958" t="s">
        <v>1392</v>
      </c>
      <c r="M37" s="957" t="s">
        <v>1393</v>
      </c>
      <c r="N37" s="958" t="s">
        <v>1394</v>
      </c>
      <c r="O37" s="957" t="s">
        <v>1395</v>
      </c>
      <c r="P37" s="958" t="s">
        <v>1396</v>
      </c>
      <c r="Q37" s="957" t="s">
        <v>1397</v>
      </c>
      <c r="R37" s="958" t="s">
        <v>1398</v>
      </c>
      <c r="S37" s="957" t="s">
        <v>1399</v>
      </c>
      <c r="T37" s="958" t="s">
        <v>1400</v>
      </c>
      <c r="U37" s="957" t="s">
        <v>1401</v>
      </c>
      <c r="V37" s="958" t="s">
        <v>1402</v>
      </c>
      <c r="W37" s="957" t="s">
        <v>1403</v>
      </c>
      <c r="X37" s="958" t="s">
        <v>1404</v>
      </c>
      <c r="Y37" s="957" t="s">
        <v>1405</v>
      </c>
      <c r="Z37" s="958" t="s">
        <v>1406</v>
      </c>
      <c r="AA37" s="957" t="s">
        <v>1407</v>
      </c>
      <c r="AB37" s="958" t="s">
        <v>1408</v>
      </c>
      <c r="AC37" s="957" t="s">
        <v>1409</v>
      </c>
      <c r="AD37" s="958" t="s">
        <v>1410</v>
      </c>
      <c r="AE37" s="957" t="s">
        <v>1411</v>
      </c>
      <c r="AF37" s="958" t="s">
        <v>1412</v>
      </c>
      <c r="AG37" s="957" t="s">
        <v>1413</v>
      </c>
      <c r="AH37" s="958" t="s">
        <v>1414</v>
      </c>
      <c r="AI37" s="957" t="s">
        <v>1415</v>
      </c>
      <c r="AJ37" s="958" t="s">
        <v>1416</v>
      </c>
      <c r="AK37" s="957" t="s">
        <v>1417</v>
      </c>
      <c r="AL37" s="958" t="s">
        <v>1418</v>
      </c>
      <c r="AM37" s="957" t="s">
        <v>1419</v>
      </c>
      <c r="AN37" s="966" t="s">
        <v>1420</v>
      </c>
      <c r="AO37" s="981" t="s">
        <v>1421</v>
      </c>
      <c r="AP37" s="1018" t="s">
        <v>1422</v>
      </c>
      <c r="AQ37" s="958" t="s">
        <v>1423</v>
      </c>
      <c r="AR37" s="462" t="e">
        <f>CD37 &amp; CE37 &amp; CF37</f>
        <v>#VALUE!</v>
      </c>
      <c r="AS37" s="216"/>
      <c r="AT37" s="216"/>
      <c r="AU37" s="216"/>
      <c r="AV37" s="216"/>
      <c r="AW37" s="216"/>
      <c r="AX37" s="216"/>
      <c r="AY37" s="216"/>
      <c r="AZ37" s="216"/>
      <c r="BA37" s="356"/>
      <c r="CD37" s="465" t="e">
        <f t="shared" si="1"/>
        <v>#VALUE!</v>
      </c>
      <c r="CE37" s="465" t="str">
        <f>IF($D37&lt;=$D35,"","Total Personas con cuidador que recibe apoyo monetario no debe ser mayor al Total Personas. ")</f>
        <v/>
      </c>
      <c r="CF37" s="465" t="str">
        <f t="shared" si="2"/>
        <v/>
      </c>
      <c r="CH37" s="478"/>
      <c r="CI37" s="478"/>
      <c r="CJ37" s="479"/>
      <c r="CK37" s="470"/>
      <c r="CL37" s="480" t="e">
        <f t="shared" si="4"/>
        <v>#VALUE!</v>
      </c>
      <c r="CM37" s="480">
        <f>IF($D37&lt;=$D35,0,1)</f>
        <v>0</v>
      </c>
      <c r="CN37" s="486">
        <f t="shared" si="3"/>
        <v>0</v>
      </c>
      <c r="CO37" s="470"/>
      <c r="CP37" s="470"/>
    </row>
    <row r="38" spans="1:95" ht="33.75" customHeight="1" x14ac:dyDescent="0.25">
      <c r="A38" s="1773" t="s">
        <v>1003</v>
      </c>
      <c r="B38" s="2122"/>
      <c r="C38" s="1358" t="s">
        <v>645</v>
      </c>
      <c r="D38" s="967" t="s">
        <v>1384</v>
      </c>
      <c r="E38" s="1157" t="s">
        <v>1385</v>
      </c>
      <c r="F38" s="1287" t="s">
        <v>1386</v>
      </c>
      <c r="G38" s="973" t="s">
        <v>1387</v>
      </c>
      <c r="H38" s="974" t="s">
        <v>1388</v>
      </c>
      <c r="I38" s="973" t="s">
        <v>1389</v>
      </c>
      <c r="J38" s="974" t="s">
        <v>1390</v>
      </c>
      <c r="K38" s="973" t="s">
        <v>1391</v>
      </c>
      <c r="L38" s="974" t="s">
        <v>1392</v>
      </c>
      <c r="M38" s="973" t="s">
        <v>1393</v>
      </c>
      <c r="N38" s="974" t="s">
        <v>1394</v>
      </c>
      <c r="O38" s="973" t="s">
        <v>1395</v>
      </c>
      <c r="P38" s="974" t="s">
        <v>1396</v>
      </c>
      <c r="Q38" s="973" t="s">
        <v>1397</v>
      </c>
      <c r="R38" s="974" t="s">
        <v>1398</v>
      </c>
      <c r="S38" s="973" t="s">
        <v>1399</v>
      </c>
      <c r="T38" s="974" t="s">
        <v>1400</v>
      </c>
      <c r="U38" s="973" t="s">
        <v>1401</v>
      </c>
      <c r="V38" s="974" t="s">
        <v>1402</v>
      </c>
      <c r="W38" s="973" t="s">
        <v>1403</v>
      </c>
      <c r="X38" s="974" t="s">
        <v>1404</v>
      </c>
      <c r="Y38" s="973" t="s">
        <v>1405</v>
      </c>
      <c r="Z38" s="974" t="s">
        <v>1406</v>
      </c>
      <c r="AA38" s="973" t="s">
        <v>1407</v>
      </c>
      <c r="AB38" s="974" t="s">
        <v>1408</v>
      </c>
      <c r="AC38" s="973" t="s">
        <v>1409</v>
      </c>
      <c r="AD38" s="974" t="s">
        <v>1410</v>
      </c>
      <c r="AE38" s="973" t="s">
        <v>1411</v>
      </c>
      <c r="AF38" s="974" t="s">
        <v>1412</v>
      </c>
      <c r="AG38" s="973" t="s">
        <v>1413</v>
      </c>
      <c r="AH38" s="974" t="s">
        <v>1414</v>
      </c>
      <c r="AI38" s="973" t="s">
        <v>1415</v>
      </c>
      <c r="AJ38" s="974" t="s">
        <v>1416</v>
      </c>
      <c r="AK38" s="973" t="s">
        <v>1417</v>
      </c>
      <c r="AL38" s="974" t="s">
        <v>1418</v>
      </c>
      <c r="AM38" s="973" t="s">
        <v>1419</v>
      </c>
      <c r="AN38" s="975" t="s">
        <v>1420</v>
      </c>
      <c r="AO38" s="1288" t="s">
        <v>1421</v>
      </c>
      <c r="AP38" s="1047" t="s">
        <v>1422</v>
      </c>
      <c r="AQ38" s="974" t="s">
        <v>1423</v>
      </c>
      <c r="AR38" s="462" t="e">
        <f>CD38 &amp; CE38 &amp; CF38</f>
        <v>#VALUE!</v>
      </c>
      <c r="AS38" s="216"/>
      <c r="AT38" s="216"/>
      <c r="AU38" s="216"/>
      <c r="AV38" s="216"/>
      <c r="AW38" s="216"/>
      <c r="AX38" s="216"/>
      <c r="AY38" s="216"/>
      <c r="AZ38" s="216"/>
      <c r="BA38" s="356"/>
      <c r="CD38" s="465" t="e">
        <f t="shared" si="1"/>
        <v>#VALUE!</v>
      </c>
      <c r="CE38" s="465" t="str">
        <f>IF($D38&lt;=$D35,"","Total Personas con indicación de Nutrición Enteral Domiciliaria no debe ser mayor al Total Personas. ")</f>
        <v/>
      </c>
      <c r="CF38" s="465" t="str">
        <f t="shared" si="2"/>
        <v/>
      </c>
      <c r="CH38" s="478"/>
      <c r="CI38" s="478"/>
      <c r="CJ38" s="479"/>
      <c r="CK38" s="470"/>
      <c r="CL38" s="480" t="e">
        <f>IF($D38&gt;=$AP38+$AQ38,0,1)</f>
        <v>#VALUE!</v>
      </c>
      <c r="CM38" s="480">
        <f>IF($D38&lt;=$D35,0,1)</f>
        <v>0</v>
      </c>
      <c r="CN38" s="486">
        <f t="shared" si="3"/>
        <v>0</v>
      </c>
      <c r="CO38" s="470"/>
      <c r="CP38" s="470"/>
    </row>
    <row r="39" spans="1:95" ht="15.75" customHeight="1" x14ac:dyDescent="0.25">
      <c r="B39" s="171" t="s">
        <v>168</v>
      </c>
      <c r="C39" s="172"/>
      <c r="D39" s="171"/>
      <c r="E39" s="173"/>
      <c r="F39" s="173"/>
      <c r="G39" s="173"/>
      <c r="H39" s="173"/>
      <c r="I39" s="173"/>
      <c r="J39" s="173"/>
      <c r="K39" s="173"/>
      <c r="L39" s="173"/>
      <c r="M39" s="173"/>
      <c r="N39" s="173"/>
      <c r="O39" s="173"/>
      <c r="P39" s="173"/>
      <c r="Q39" s="173"/>
      <c r="R39" s="173"/>
      <c r="S39" s="173"/>
      <c r="T39" s="173"/>
      <c r="U39" s="173"/>
      <c r="V39" s="173"/>
      <c r="W39" s="173"/>
      <c r="X39" s="173"/>
      <c r="Y39" s="173"/>
      <c r="Z39" s="173"/>
      <c r="AA39" s="460"/>
      <c r="AK39" s="215"/>
      <c r="AL39" s="215"/>
      <c r="AM39" s="215"/>
      <c r="AN39" s="215"/>
      <c r="AO39" s="215"/>
      <c r="AQ39" s="215"/>
      <c r="AS39" s="215"/>
      <c r="AT39" s="215"/>
      <c r="AU39" s="215"/>
      <c r="AV39" s="215"/>
      <c r="AW39" s="215"/>
      <c r="AX39" s="215"/>
      <c r="AY39" s="215"/>
      <c r="AZ39" s="215"/>
      <c r="BA39" s="356"/>
      <c r="CJ39" s="470"/>
      <c r="CK39" s="470"/>
      <c r="CL39" s="470"/>
      <c r="CM39" s="470"/>
      <c r="CN39" s="470"/>
      <c r="CO39" s="470"/>
      <c r="CP39" s="470"/>
    </row>
    <row r="40" spans="1:95" ht="32.25" customHeight="1" x14ac:dyDescent="0.25">
      <c r="B40" s="2135" t="s">
        <v>169</v>
      </c>
      <c r="C40" s="2135"/>
      <c r="D40" s="2135"/>
      <c r="E40" s="2135"/>
      <c r="F40" s="2135"/>
      <c r="G40" s="2135"/>
      <c r="H40" s="2135"/>
      <c r="I40" s="2135"/>
      <c r="J40" s="2135"/>
      <c r="K40" s="2135"/>
      <c r="L40" s="2135"/>
      <c r="M40" s="2135"/>
      <c r="N40" s="2135"/>
      <c r="O40" s="2135"/>
      <c r="P40" s="2135"/>
      <c r="Q40" s="2135"/>
      <c r="R40" s="2135"/>
      <c r="S40" s="2135"/>
      <c r="T40" s="2135"/>
      <c r="U40" s="2135"/>
      <c r="V40" s="2135"/>
      <c r="W40" s="2135"/>
      <c r="X40" s="2135"/>
      <c r="Y40" s="2135"/>
      <c r="Z40" s="2135"/>
      <c r="AA40" s="2135"/>
      <c r="AB40" s="2135"/>
      <c r="AC40" s="2135"/>
      <c r="AD40" s="2135"/>
      <c r="AE40" s="2135"/>
      <c r="AF40" s="2135"/>
      <c r="AG40" s="2135"/>
      <c r="AH40" s="2135"/>
      <c r="AI40" s="2135"/>
      <c r="AJ40" s="2135"/>
      <c r="AK40" s="2135"/>
      <c r="AL40" s="2135"/>
      <c r="AM40" s="2135"/>
      <c r="AN40" s="2135"/>
      <c r="AO40" s="2135"/>
      <c r="AP40" s="2135"/>
      <c r="AQ40" s="2135"/>
      <c r="AS40" s="215"/>
      <c r="AT40" s="215"/>
      <c r="AU40" s="215"/>
      <c r="AV40" s="215"/>
      <c r="AW40" s="215"/>
      <c r="AX40" s="215"/>
      <c r="AY40" s="215"/>
      <c r="AZ40" s="215"/>
      <c r="BA40" s="356"/>
      <c r="CB40" s="406"/>
      <c r="CJ40" s="470"/>
      <c r="CK40" s="470"/>
      <c r="CL40" s="470"/>
      <c r="CM40" s="470"/>
      <c r="CN40" s="470"/>
      <c r="CO40" s="470"/>
      <c r="CP40" s="470"/>
    </row>
    <row r="41" spans="1:95" ht="32.25" customHeight="1" x14ac:dyDescent="0.25">
      <c r="B41" s="2113" t="s">
        <v>170</v>
      </c>
      <c r="C41" s="2114"/>
      <c r="D41" s="2123" t="s">
        <v>524</v>
      </c>
      <c r="E41" s="2136" t="s">
        <v>164</v>
      </c>
      <c r="F41" s="2137"/>
      <c r="G41" s="2137"/>
      <c r="H41" s="2138"/>
      <c r="I41" s="482"/>
      <c r="AG41" s="215"/>
      <c r="AK41" s="216"/>
      <c r="AL41" s="215"/>
      <c r="AM41" s="215"/>
      <c r="AN41" s="215"/>
      <c r="AO41" s="215"/>
      <c r="AP41" s="215"/>
      <c r="AQ41" s="481"/>
      <c r="AR41" s="215"/>
      <c r="AS41" s="457"/>
      <c r="AT41" s="215"/>
      <c r="AU41" s="215"/>
      <c r="AV41" s="215"/>
      <c r="AW41" s="215"/>
      <c r="AX41" s="215"/>
      <c r="AY41" s="215"/>
      <c r="AZ41" s="215"/>
      <c r="BA41" s="356"/>
      <c r="CC41" s="406"/>
      <c r="CJ41" s="470"/>
      <c r="CK41" s="470"/>
      <c r="CL41" s="470"/>
      <c r="CM41" s="470"/>
      <c r="CN41" s="470"/>
      <c r="CO41" s="470"/>
      <c r="CP41" s="470"/>
    </row>
    <row r="42" spans="1:95" ht="74.25" customHeight="1" x14ac:dyDescent="0.25">
      <c r="B42" s="2115"/>
      <c r="C42" s="2116"/>
      <c r="D42" s="2123"/>
      <c r="E42" s="483" t="s">
        <v>520</v>
      </c>
      <c r="F42" s="484" t="s">
        <v>521</v>
      </c>
      <c r="G42" s="484" t="s">
        <v>522</v>
      </c>
      <c r="H42" s="485" t="s">
        <v>523</v>
      </c>
      <c r="AG42" s="215"/>
      <c r="AK42" s="216"/>
      <c r="AL42" s="215"/>
      <c r="AM42" s="215"/>
      <c r="AN42" s="215"/>
      <c r="AO42" s="215"/>
      <c r="AP42" s="215"/>
      <c r="AQ42" s="481"/>
      <c r="AR42" s="215"/>
      <c r="AS42" s="457"/>
      <c r="AT42" s="215"/>
      <c r="AU42" s="215"/>
      <c r="AV42" s="215"/>
      <c r="AW42" s="215"/>
      <c r="AX42" s="215"/>
      <c r="AY42" s="215"/>
      <c r="AZ42" s="215"/>
      <c r="BA42" s="356"/>
      <c r="CC42" s="406"/>
      <c r="CJ42" s="470"/>
      <c r="CK42" s="470"/>
      <c r="CL42" s="470"/>
      <c r="CM42" s="470"/>
      <c r="CN42" s="470"/>
      <c r="CO42" s="470"/>
      <c r="CP42" s="470"/>
    </row>
    <row r="43" spans="1:95" ht="22.5" customHeight="1" x14ac:dyDescent="0.25">
      <c r="A43" s="1773" t="s">
        <v>1004</v>
      </c>
      <c r="B43" s="2089" t="s">
        <v>171</v>
      </c>
      <c r="C43" s="2090"/>
      <c r="D43" s="994" t="s">
        <v>1384</v>
      </c>
      <c r="E43" s="995" t="s">
        <v>1385</v>
      </c>
      <c r="F43" s="996" t="s">
        <v>1386</v>
      </c>
      <c r="G43" s="996" t="s">
        <v>1387</v>
      </c>
      <c r="H43" s="997" t="s">
        <v>1388</v>
      </c>
      <c r="I43" s="469" t="str">
        <f>CD43 &amp; CE43 &amp; CF43 &amp; CG43 &amp; CH43</f>
        <v xml:space="preserve">* Los Cuidadores con apoyo monetario no debe ser mayor al Total de Cuidadores. * Los Cuidadores Capacitados no debe ser mayor al Total Cuidadores. * Los Cuidadores con apoyo monetario debe ser igual al Total de personas 'con cuidador que recibe apoyo monetario' de la sección A. * El total de Cuidadores capacitados con apoyo monetario no puede ser mayor al Total de Cuidadores Capacitados* El N° de cuidadores con apoyo monetario deben ser mayor o igual a los cuidadores capacitados con apoyo monetarios. </v>
      </c>
      <c r="AG43" s="215"/>
      <c r="AK43" s="216"/>
      <c r="AL43" s="81"/>
      <c r="AM43" s="215"/>
      <c r="AN43" s="215"/>
      <c r="AO43" s="215"/>
      <c r="AP43" s="215"/>
      <c r="AQ43" s="481"/>
      <c r="AR43" s="215"/>
      <c r="AS43" s="457"/>
      <c r="AT43" s="215"/>
      <c r="AU43" s="215"/>
      <c r="AV43" s="215"/>
      <c r="AW43" s="215"/>
      <c r="AX43" s="215"/>
      <c r="AY43" s="215"/>
      <c r="AZ43" s="215"/>
      <c r="BA43" s="356"/>
      <c r="CC43" s="406"/>
      <c r="CD43" s="465" t="str">
        <f>IF($D43&gt;=$G43,"","* Los Cuidadores con apoyo monetario no debe ser mayor al Total de Cuidadores. ")</f>
        <v xml:space="preserve">* Los Cuidadores con apoyo monetario no debe ser mayor al Total de Cuidadores. </v>
      </c>
      <c r="CE43" s="465" t="str">
        <f>IF($D43&gt;=$E43,"","* Los Cuidadores Capacitados no debe ser mayor al Total Cuidadores. ")</f>
        <v xml:space="preserve">* Los Cuidadores Capacitados no debe ser mayor al Total Cuidadores. </v>
      </c>
      <c r="CF43" s="465" t="str">
        <f>IF($G$43=$D$37,"","* Los Cuidadores con apoyo monetario debe ser igual al Total de personas 'con cuidador que recibe apoyo monetario' de la sección A. ")</f>
        <v xml:space="preserve">* Los Cuidadores con apoyo monetario debe ser igual al Total de personas 'con cuidador que recibe apoyo monetario' de la sección A. </v>
      </c>
      <c r="CG43" s="465" t="str">
        <f>IF(E43&lt;H43,"* El total de Cuidadores capacitados con apoyo monetario no puede ser mayor al Total de Cuidadores Capacitados","")</f>
        <v>* El total de Cuidadores capacitados con apoyo monetario no puede ser mayor al Total de Cuidadores Capacitados</v>
      </c>
      <c r="CH43" s="465" t="str">
        <f>IF(H43&gt;G43,"* El N° de cuidadores con apoyo monetario deben ser mayor o igual a los cuidadores capacitados con apoyo monetarios. ","")</f>
        <v xml:space="preserve">* El N° de cuidadores con apoyo monetario deben ser mayor o igual a los cuidadores capacitados con apoyo monetarios. </v>
      </c>
      <c r="CI43" s="478"/>
      <c r="CJ43" s="479"/>
      <c r="CK43" s="479"/>
      <c r="CL43" s="486">
        <f>IF($D43&gt;=$G43,0,1)</f>
        <v>1</v>
      </c>
      <c r="CM43" s="486">
        <f>IF($D43&gt;=$E43,0,1)</f>
        <v>1</v>
      </c>
      <c r="CN43" s="486">
        <f>IF($G$43=$D$37,0,1)</f>
        <v>1</v>
      </c>
      <c r="CO43" s="486">
        <f>IF(G43&lt;H43,1,0)</f>
        <v>1</v>
      </c>
      <c r="CP43" s="486">
        <f>IF(H43&gt;G43,1,0)</f>
        <v>1</v>
      </c>
    </row>
    <row r="44" spans="1:95" ht="24.75" customHeight="1" x14ac:dyDescent="0.25">
      <c r="B44" s="2164" t="s">
        <v>172</v>
      </c>
      <c r="C44" s="2164"/>
      <c r="D44" s="2164"/>
      <c r="E44" s="2164"/>
      <c r="F44" s="2164"/>
      <c r="G44" s="2164"/>
      <c r="H44" s="2164"/>
      <c r="I44" s="2164"/>
      <c r="J44" s="2164"/>
      <c r="K44" s="2164"/>
      <c r="L44" s="2164"/>
      <c r="M44" s="2164"/>
      <c r="N44" s="2164"/>
      <c r="O44" s="2164"/>
      <c r="P44" s="2164"/>
      <c r="Q44" s="2164"/>
      <c r="R44" s="2164"/>
      <c r="S44" s="2164"/>
      <c r="T44" s="2164"/>
      <c r="U44" s="2164"/>
      <c r="V44" s="2164"/>
      <c r="W44" s="2164"/>
      <c r="X44" s="2164"/>
      <c r="Y44" s="2164"/>
      <c r="Z44" s="2164"/>
      <c r="AA44" s="2164"/>
      <c r="AB44" s="2164"/>
      <c r="AC44" s="2164"/>
      <c r="AD44" s="2164"/>
      <c r="AE44" s="2164"/>
      <c r="AF44" s="2164"/>
      <c r="AG44" s="2164"/>
      <c r="AH44" s="2164"/>
      <c r="AI44" s="2164"/>
      <c r="AJ44" s="2164"/>
      <c r="AK44" s="2164"/>
      <c r="AL44" s="2164"/>
      <c r="AM44" s="2164"/>
      <c r="AN44" s="2164"/>
      <c r="AO44" s="215"/>
      <c r="AQ44" s="215"/>
      <c r="AS44" s="215"/>
      <c r="AT44" s="215"/>
      <c r="AU44" s="215"/>
      <c r="AV44" s="215"/>
      <c r="AW44" s="215"/>
      <c r="AX44" s="215"/>
      <c r="AY44" s="215"/>
      <c r="AZ44" s="215"/>
      <c r="BA44" s="356"/>
      <c r="CB44" s="406"/>
      <c r="CJ44" s="470"/>
      <c r="CK44" s="470"/>
      <c r="CL44" s="470"/>
      <c r="CM44" s="470"/>
      <c r="CN44" s="470"/>
      <c r="CO44" s="470"/>
      <c r="CP44" s="470"/>
    </row>
    <row r="45" spans="1:95" ht="14.25" customHeight="1" x14ac:dyDescent="0.25">
      <c r="B45" s="2149" t="s">
        <v>173</v>
      </c>
      <c r="C45" s="2150"/>
      <c r="D45" s="2151"/>
      <c r="E45" s="2098" t="s">
        <v>15</v>
      </c>
      <c r="F45" s="2098"/>
      <c r="G45" s="2098"/>
      <c r="H45" s="2102" t="s">
        <v>142</v>
      </c>
      <c r="I45" s="2102"/>
      <c r="J45" s="2102"/>
      <c r="K45" s="2102"/>
      <c r="L45" s="2102"/>
      <c r="M45" s="2102"/>
      <c r="N45" s="2102"/>
      <c r="O45" s="2102"/>
      <c r="P45" s="2102"/>
      <c r="Q45" s="2102"/>
      <c r="R45" s="2102"/>
      <c r="S45" s="2102"/>
      <c r="T45" s="2102"/>
      <c r="U45" s="2102"/>
      <c r="V45" s="2102"/>
      <c r="W45" s="2102"/>
      <c r="X45" s="2102"/>
      <c r="Y45" s="2102"/>
      <c r="Z45" s="2102"/>
      <c r="AA45" s="2102"/>
      <c r="AB45" s="2102"/>
      <c r="AC45" s="2102"/>
      <c r="AD45" s="2102"/>
      <c r="AE45" s="2102"/>
      <c r="AF45" s="2102"/>
      <c r="AG45" s="2102"/>
      <c r="AH45" s="2102"/>
      <c r="AI45" s="2102"/>
      <c r="AJ45" s="2102"/>
      <c r="AK45" s="2102"/>
      <c r="AL45" s="2102"/>
      <c r="AM45" s="2102"/>
      <c r="AN45" s="2102"/>
      <c r="AO45" s="2102"/>
      <c r="AP45" s="215"/>
      <c r="AQ45" s="481"/>
      <c r="AR45" s="215"/>
      <c r="AS45" s="457"/>
      <c r="AT45" s="215"/>
      <c r="AU45" s="215"/>
      <c r="AV45" s="215"/>
      <c r="AW45" s="215"/>
      <c r="AX45" s="215"/>
      <c r="AY45" s="215"/>
      <c r="AZ45" s="215"/>
      <c r="BA45" s="215"/>
      <c r="BB45" s="356"/>
      <c r="BQ45"/>
      <c r="BR45" s="356"/>
      <c r="CB45" s="215"/>
      <c r="CC45" s="406"/>
      <c r="CK45" s="470"/>
      <c r="CL45" s="470"/>
      <c r="CM45" s="470"/>
      <c r="CN45" s="470"/>
      <c r="CO45" s="470"/>
      <c r="CP45" s="470"/>
      <c r="CQ45" s="470"/>
    </row>
    <row r="46" spans="1:95" x14ac:dyDescent="0.25">
      <c r="B46" s="2152"/>
      <c r="C46" s="2153"/>
      <c r="D46" s="2154"/>
      <c r="E46" s="2098"/>
      <c r="F46" s="2098"/>
      <c r="G46" s="2098"/>
      <c r="H46" s="2082" t="s">
        <v>232</v>
      </c>
      <c r="I46" s="2083"/>
      <c r="J46" s="2082" t="s">
        <v>233</v>
      </c>
      <c r="K46" s="2083"/>
      <c r="L46" s="2082" t="s">
        <v>144</v>
      </c>
      <c r="M46" s="2083"/>
      <c r="N46" s="2084" t="s">
        <v>19</v>
      </c>
      <c r="O46" s="2084"/>
      <c r="P46" s="2084" t="s">
        <v>20</v>
      </c>
      <c r="Q46" s="2084"/>
      <c r="R46" s="2084" t="s">
        <v>21</v>
      </c>
      <c r="S46" s="2084"/>
      <c r="T46" s="2085" t="s">
        <v>22</v>
      </c>
      <c r="U46" s="2086"/>
      <c r="V46" s="2084" t="s">
        <v>23</v>
      </c>
      <c r="W46" s="2084"/>
      <c r="X46" s="2085" t="s">
        <v>24</v>
      </c>
      <c r="Y46" s="2086"/>
      <c r="Z46" s="2084" t="s">
        <v>25</v>
      </c>
      <c r="AA46" s="2084"/>
      <c r="AB46" s="2085" t="s">
        <v>26</v>
      </c>
      <c r="AC46" s="2086"/>
      <c r="AD46" s="2084" t="s">
        <v>234</v>
      </c>
      <c r="AE46" s="2084"/>
      <c r="AF46" s="2085" t="s">
        <v>235</v>
      </c>
      <c r="AG46" s="2086"/>
      <c r="AH46" s="2087" t="s">
        <v>207</v>
      </c>
      <c r="AI46" s="2088"/>
      <c r="AJ46" s="2087" t="s">
        <v>208</v>
      </c>
      <c r="AK46" s="2088"/>
      <c r="AL46" s="2087" t="s">
        <v>209</v>
      </c>
      <c r="AM46" s="2088"/>
      <c r="AN46" s="2087" t="s">
        <v>221</v>
      </c>
      <c r="AO46" s="2088"/>
      <c r="AP46" s="386"/>
      <c r="AQ46" s="481"/>
      <c r="AR46" s="386"/>
      <c r="AS46" s="457"/>
      <c r="BA46" s="386"/>
      <c r="BB46" s="598"/>
      <c r="BQ46"/>
      <c r="BR46" s="356"/>
      <c r="CB46" s="215"/>
      <c r="CC46" s="406"/>
      <c r="CK46" s="470"/>
      <c r="CL46" s="470"/>
      <c r="CM46" s="470"/>
      <c r="CN46" s="470"/>
      <c r="CO46" s="470"/>
      <c r="CP46" s="470"/>
      <c r="CQ46" s="470"/>
    </row>
    <row r="47" spans="1:95" ht="21" x14ac:dyDescent="0.25">
      <c r="B47" s="2155"/>
      <c r="C47" s="2156"/>
      <c r="D47" s="2157"/>
      <c r="E47" s="154" t="s">
        <v>99</v>
      </c>
      <c r="F47" s="155" t="s">
        <v>33</v>
      </c>
      <c r="G47" s="156" t="s">
        <v>100</v>
      </c>
      <c r="H47" s="157" t="s">
        <v>33</v>
      </c>
      <c r="I47" s="156" t="s">
        <v>100</v>
      </c>
      <c r="J47" s="157" t="s">
        <v>33</v>
      </c>
      <c r="K47" s="156" t="s">
        <v>100</v>
      </c>
      <c r="L47" s="157" t="s">
        <v>33</v>
      </c>
      <c r="M47" s="156" t="s">
        <v>100</v>
      </c>
      <c r="N47" s="158" t="s">
        <v>33</v>
      </c>
      <c r="O47" s="159" t="s">
        <v>100</v>
      </c>
      <c r="P47" s="158" t="s">
        <v>33</v>
      </c>
      <c r="Q47" s="159" t="s">
        <v>100</v>
      </c>
      <c r="R47" s="158" t="s">
        <v>33</v>
      </c>
      <c r="S47" s="159" t="s">
        <v>100</v>
      </c>
      <c r="T47" s="476" t="s">
        <v>33</v>
      </c>
      <c r="U47" s="477" t="s">
        <v>100</v>
      </c>
      <c r="V47" s="158" t="s">
        <v>33</v>
      </c>
      <c r="W47" s="159" t="s">
        <v>100</v>
      </c>
      <c r="X47" s="476" t="s">
        <v>33</v>
      </c>
      <c r="Y47" s="477" t="s">
        <v>100</v>
      </c>
      <c r="Z47" s="158" t="s">
        <v>33</v>
      </c>
      <c r="AA47" s="159" t="s">
        <v>100</v>
      </c>
      <c r="AB47" s="476" t="s">
        <v>33</v>
      </c>
      <c r="AC47" s="477" t="s">
        <v>100</v>
      </c>
      <c r="AD47" s="158" t="s">
        <v>33</v>
      </c>
      <c r="AE47" s="159" t="s">
        <v>100</v>
      </c>
      <c r="AF47" s="476" t="s">
        <v>33</v>
      </c>
      <c r="AG47" s="477" t="s">
        <v>100</v>
      </c>
      <c r="AH47" s="160" t="s">
        <v>145</v>
      </c>
      <c r="AI47" s="161" t="s">
        <v>100</v>
      </c>
      <c r="AJ47" s="160" t="s">
        <v>145</v>
      </c>
      <c r="AK47" s="161" t="s">
        <v>100</v>
      </c>
      <c r="AL47" s="160" t="s">
        <v>145</v>
      </c>
      <c r="AM47" s="161" t="s">
        <v>100</v>
      </c>
      <c r="AN47" s="160" t="s">
        <v>145</v>
      </c>
      <c r="AO47" s="161" t="s">
        <v>100</v>
      </c>
      <c r="AP47" s="386"/>
      <c r="AQ47" s="481"/>
      <c r="AR47" s="386"/>
      <c r="AS47" s="457"/>
      <c r="BA47" s="386"/>
      <c r="BB47" s="598"/>
      <c r="BQ47"/>
      <c r="BR47" s="356"/>
      <c r="CB47" s="215"/>
      <c r="CC47" s="406"/>
      <c r="CK47" s="470"/>
      <c r="CL47" s="470"/>
      <c r="CM47" s="470"/>
      <c r="CN47" s="470"/>
      <c r="CO47" s="470"/>
      <c r="CP47" s="470"/>
      <c r="CQ47" s="470"/>
    </row>
    <row r="48" spans="1:95" ht="24" customHeight="1" x14ac:dyDescent="0.25">
      <c r="A48" s="1794" t="s">
        <v>1303</v>
      </c>
      <c r="B48" s="2143" t="s">
        <v>174</v>
      </c>
      <c r="C48" s="2144"/>
      <c r="D48" s="1717" t="s">
        <v>766</v>
      </c>
      <c r="E48" s="951" t="s">
        <v>1384</v>
      </c>
      <c r="F48" s="951" t="s">
        <v>1385</v>
      </c>
      <c r="G48" s="952" t="s">
        <v>1386</v>
      </c>
      <c r="H48" s="1709" t="s">
        <v>1387</v>
      </c>
      <c r="I48" s="1710" t="s">
        <v>1388</v>
      </c>
      <c r="J48" s="1711" t="s">
        <v>1389</v>
      </c>
      <c r="K48" s="1710" t="s">
        <v>1390</v>
      </c>
      <c r="L48" s="1711" t="s">
        <v>1391</v>
      </c>
      <c r="M48" s="1710" t="s">
        <v>1392</v>
      </c>
      <c r="N48" s="1711" t="s">
        <v>1393</v>
      </c>
      <c r="O48" s="1710" t="s">
        <v>1394</v>
      </c>
      <c r="P48" s="1711" t="s">
        <v>1395</v>
      </c>
      <c r="Q48" s="1710" t="s">
        <v>1396</v>
      </c>
      <c r="R48" s="1711" t="s">
        <v>1397</v>
      </c>
      <c r="S48" s="1710" t="s">
        <v>1398</v>
      </c>
      <c r="T48" s="1711" t="s">
        <v>1399</v>
      </c>
      <c r="U48" s="1710" t="s">
        <v>1400</v>
      </c>
      <c r="V48" s="1711" t="s">
        <v>1401</v>
      </c>
      <c r="W48" s="1710" t="s">
        <v>1402</v>
      </c>
      <c r="X48" s="1711" t="s">
        <v>1403</v>
      </c>
      <c r="Y48" s="1710" t="s">
        <v>1404</v>
      </c>
      <c r="Z48" s="1711" t="s">
        <v>1405</v>
      </c>
      <c r="AA48" s="1710" t="s">
        <v>1406</v>
      </c>
      <c r="AB48" s="1711" t="s">
        <v>1407</v>
      </c>
      <c r="AC48" s="1710" t="s">
        <v>1408</v>
      </c>
      <c r="AD48" s="1711" t="s">
        <v>1409</v>
      </c>
      <c r="AE48" s="1710" t="s">
        <v>1410</v>
      </c>
      <c r="AF48" s="1711" t="s">
        <v>1411</v>
      </c>
      <c r="AG48" s="1710" t="s">
        <v>1412</v>
      </c>
      <c r="AH48" s="1711" t="s">
        <v>1413</v>
      </c>
      <c r="AI48" s="1710" t="s">
        <v>1414</v>
      </c>
      <c r="AJ48" s="1711" t="s">
        <v>1415</v>
      </c>
      <c r="AK48" s="1710" t="s">
        <v>1416</v>
      </c>
      <c r="AL48" s="1711" t="s">
        <v>1417</v>
      </c>
      <c r="AM48" s="1710" t="s">
        <v>1418</v>
      </c>
      <c r="AN48" s="1711" t="s">
        <v>1419</v>
      </c>
      <c r="AO48" s="1710" t="s">
        <v>1420</v>
      </c>
      <c r="AP48" s="282"/>
      <c r="AQ48" s="481"/>
      <c r="AR48" s="386"/>
      <c r="AS48" s="457"/>
      <c r="BA48" s="386"/>
      <c r="BB48" s="598"/>
      <c r="BQ48"/>
      <c r="BR48" s="356"/>
      <c r="CB48" s="215"/>
      <c r="CC48" s="406"/>
      <c r="CK48" s="470"/>
      <c r="CL48" s="470"/>
      <c r="CM48" s="470"/>
      <c r="CN48" s="470"/>
      <c r="CO48" s="470"/>
      <c r="CP48" s="470"/>
      <c r="CQ48" s="470"/>
    </row>
    <row r="49" spans="1:96" ht="24" customHeight="1" x14ac:dyDescent="0.25">
      <c r="A49" s="1794" t="s">
        <v>1304</v>
      </c>
      <c r="B49" s="2145"/>
      <c r="C49" s="2146"/>
      <c r="D49" s="1718" t="s">
        <v>767</v>
      </c>
      <c r="E49" s="956" t="s">
        <v>1384</v>
      </c>
      <c r="F49" s="956" t="s">
        <v>1385</v>
      </c>
      <c r="G49" s="940" t="s">
        <v>1386</v>
      </c>
      <c r="H49" s="1712" t="s">
        <v>1387</v>
      </c>
      <c r="I49" s="1715" t="s">
        <v>1388</v>
      </c>
      <c r="J49" s="1714" t="s">
        <v>1389</v>
      </c>
      <c r="K49" s="1715" t="s">
        <v>1390</v>
      </c>
      <c r="L49" s="1714" t="s">
        <v>1391</v>
      </c>
      <c r="M49" s="1715" t="s">
        <v>1392</v>
      </c>
      <c r="N49" s="1714" t="s">
        <v>1393</v>
      </c>
      <c r="O49" s="1715" t="s">
        <v>1394</v>
      </c>
      <c r="P49" s="1714" t="s">
        <v>1395</v>
      </c>
      <c r="Q49" s="1715" t="s">
        <v>1396</v>
      </c>
      <c r="R49" s="1714" t="s">
        <v>1397</v>
      </c>
      <c r="S49" s="1715" t="s">
        <v>1398</v>
      </c>
      <c r="T49" s="1714" t="s">
        <v>1399</v>
      </c>
      <c r="U49" s="1715" t="s">
        <v>1400</v>
      </c>
      <c r="V49" s="1714" t="s">
        <v>1401</v>
      </c>
      <c r="W49" s="1715" t="s">
        <v>1402</v>
      </c>
      <c r="X49" s="1714" t="s">
        <v>1403</v>
      </c>
      <c r="Y49" s="1715" t="s">
        <v>1404</v>
      </c>
      <c r="Z49" s="1714" t="s">
        <v>1405</v>
      </c>
      <c r="AA49" s="1715" t="s">
        <v>1406</v>
      </c>
      <c r="AB49" s="1714" t="s">
        <v>1407</v>
      </c>
      <c r="AC49" s="1715" t="s">
        <v>1408</v>
      </c>
      <c r="AD49" s="1714" t="s">
        <v>1409</v>
      </c>
      <c r="AE49" s="1715" t="s">
        <v>1410</v>
      </c>
      <c r="AF49" s="1714" t="s">
        <v>1411</v>
      </c>
      <c r="AG49" s="1715" t="s">
        <v>1412</v>
      </c>
      <c r="AH49" s="1714" t="s">
        <v>1413</v>
      </c>
      <c r="AI49" s="1715" t="s">
        <v>1414</v>
      </c>
      <c r="AJ49" s="1714" t="s">
        <v>1415</v>
      </c>
      <c r="AK49" s="1715" t="s">
        <v>1416</v>
      </c>
      <c r="AL49" s="1714" t="s">
        <v>1417</v>
      </c>
      <c r="AM49" s="1715" t="s">
        <v>1418</v>
      </c>
      <c r="AN49" s="1714" t="s">
        <v>1419</v>
      </c>
      <c r="AO49" s="1715" t="s">
        <v>1420</v>
      </c>
      <c r="AP49" s="282"/>
      <c r="AQ49" s="481"/>
      <c r="AR49" s="386"/>
      <c r="AS49" s="457"/>
      <c r="BA49" s="386"/>
      <c r="BB49" s="598"/>
      <c r="BQ49"/>
      <c r="BR49" s="356"/>
      <c r="CB49" s="215"/>
      <c r="CC49" s="406"/>
      <c r="CK49" s="470"/>
      <c r="CL49" s="470"/>
      <c r="CM49" s="470"/>
      <c r="CN49" s="470"/>
      <c r="CO49" s="470"/>
      <c r="CP49" s="470"/>
      <c r="CQ49" s="470"/>
    </row>
    <row r="50" spans="1:96" ht="24" customHeight="1" x14ac:dyDescent="0.25">
      <c r="A50" s="1794" t="s">
        <v>1305</v>
      </c>
      <c r="B50" s="2145"/>
      <c r="C50" s="2146"/>
      <c r="D50" s="1718" t="s">
        <v>768</v>
      </c>
      <c r="E50" s="956" t="s">
        <v>1384</v>
      </c>
      <c r="F50" s="956" t="s">
        <v>1385</v>
      </c>
      <c r="G50" s="940" t="s">
        <v>1386</v>
      </c>
      <c r="H50" s="1712" t="s">
        <v>1387</v>
      </c>
      <c r="I50" s="1715" t="s">
        <v>1388</v>
      </c>
      <c r="J50" s="1714" t="s">
        <v>1389</v>
      </c>
      <c r="K50" s="1715" t="s">
        <v>1390</v>
      </c>
      <c r="L50" s="1714" t="s">
        <v>1391</v>
      </c>
      <c r="M50" s="1715" t="s">
        <v>1392</v>
      </c>
      <c r="N50" s="1714" t="s">
        <v>1393</v>
      </c>
      <c r="O50" s="1715" t="s">
        <v>1394</v>
      </c>
      <c r="P50" s="1714" t="s">
        <v>1395</v>
      </c>
      <c r="Q50" s="1715" t="s">
        <v>1396</v>
      </c>
      <c r="R50" s="1714" t="s">
        <v>1397</v>
      </c>
      <c r="S50" s="1715" t="s">
        <v>1398</v>
      </c>
      <c r="T50" s="1714" t="s">
        <v>1399</v>
      </c>
      <c r="U50" s="1715" t="s">
        <v>1400</v>
      </c>
      <c r="V50" s="1714" t="s">
        <v>1401</v>
      </c>
      <c r="W50" s="1715" t="s">
        <v>1402</v>
      </c>
      <c r="X50" s="1714" t="s">
        <v>1403</v>
      </c>
      <c r="Y50" s="1715" t="s">
        <v>1404</v>
      </c>
      <c r="Z50" s="1714" t="s">
        <v>1405</v>
      </c>
      <c r="AA50" s="1715" t="s">
        <v>1406</v>
      </c>
      <c r="AB50" s="1714" t="s">
        <v>1407</v>
      </c>
      <c r="AC50" s="1715" t="s">
        <v>1408</v>
      </c>
      <c r="AD50" s="1714" t="s">
        <v>1409</v>
      </c>
      <c r="AE50" s="1715" t="s">
        <v>1410</v>
      </c>
      <c r="AF50" s="1714" t="s">
        <v>1411</v>
      </c>
      <c r="AG50" s="1715" t="s">
        <v>1412</v>
      </c>
      <c r="AH50" s="1714" t="s">
        <v>1413</v>
      </c>
      <c r="AI50" s="1715" t="s">
        <v>1414</v>
      </c>
      <c r="AJ50" s="1714" t="s">
        <v>1415</v>
      </c>
      <c r="AK50" s="1715" t="s">
        <v>1416</v>
      </c>
      <c r="AL50" s="1714" t="s">
        <v>1417</v>
      </c>
      <c r="AM50" s="1715" t="s">
        <v>1418</v>
      </c>
      <c r="AN50" s="1714" t="s">
        <v>1419</v>
      </c>
      <c r="AO50" s="1715" t="s">
        <v>1420</v>
      </c>
      <c r="AP50" s="282"/>
      <c r="AQ50" s="481"/>
      <c r="AR50" s="386"/>
      <c r="AS50" s="457"/>
      <c r="BA50" s="386"/>
      <c r="BB50" s="598"/>
      <c r="BQ50"/>
      <c r="BR50" s="356"/>
      <c r="CB50" s="215"/>
      <c r="CC50" s="406"/>
      <c r="CK50" s="470"/>
      <c r="CL50" s="470"/>
      <c r="CM50" s="470"/>
      <c r="CN50" s="470"/>
      <c r="CO50" s="470"/>
      <c r="CP50" s="470"/>
      <c r="CQ50" s="470"/>
    </row>
    <row r="51" spans="1:96" ht="35.25" customHeight="1" x14ac:dyDescent="0.25">
      <c r="A51" s="1794" t="s">
        <v>1306</v>
      </c>
      <c r="B51" s="2147"/>
      <c r="C51" s="2148"/>
      <c r="D51" s="1707" t="s">
        <v>769</v>
      </c>
      <c r="E51" s="1157" t="s">
        <v>1384</v>
      </c>
      <c r="F51" s="1157" t="s">
        <v>1385</v>
      </c>
      <c r="G51" s="1287" t="s">
        <v>1386</v>
      </c>
      <c r="H51" s="1713" t="s">
        <v>1387</v>
      </c>
      <c r="I51" s="1716" t="s">
        <v>1388</v>
      </c>
      <c r="J51" s="1713" t="s">
        <v>1389</v>
      </c>
      <c r="K51" s="1716" t="s">
        <v>1390</v>
      </c>
      <c r="L51" s="1713" t="s">
        <v>1391</v>
      </c>
      <c r="M51" s="1716" t="s">
        <v>1392</v>
      </c>
      <c r="N51" s="1713" t="s">
        <v>1393</v>
      </c>
      <c r="O51" s="1716" t="s">
        <v>1394</v>
      </c>
      <c r="P51" s="1713" t="s">
        <v>1395</v>
      </c>
      <c r="Q51" s="1716" t="s">
        <v>1396</v>
      </c>
      <c r="R51" s="1713" t="s">
        <v>1397</v>
      </c>
      <c r="S51" s="1716" t="s">
        <v>1398</v>
      </c>
      <c r="T51" s="1713" t="s">
        <v>1399</v>
      </c>
      <c r="U51" s="1716" t="s">
        <v>1400</v>
      </c>
      <c r="V51" s="1713" t="s">
        <v>1401</v>
      </c>
      <c r="W51" s="1716" t="s">
        <v>1402</v>
      </c>
      <c r="X51" s="1713" t="s">
        <v>1403</v>
      </c>
      <c r="Y51" s="1716" t="s">
        <v>1404</v>
      </c>
      <c r="Z51" s="1713" t="s">
        <v>1405</v>
      </c>
      <c r="AA51" s="1716" t="s">
        <v>1406</v>
      </c>
      <c r="AB51" s="1713" t="s">
        <v>1407</v>
      </c>
      <c r="AC51" s="1716" t="s">
        <v>1408</v>
      </c>
      <c r="AD51" s="1713" t="s">
        <v>1409</v>
      </c>
      <c r="AE51" s="1716" t="s">
        <v>1410</v>
      </c>
      <c r="AF51" s="1713" t="s">
        <v>1411</v>
      </c>
      <c r="AG51" s="1716" t="s">
        <v>1412</v>
      </c>
      <c r="AH51" s="1713" t="s">
        <v>1413</v>
      </c>
      <c r="AI51" s="1716" t="s">
        <v>1414</v>
      </c>
      <c r="AJ51" s="1713" t="s">
        <v>1415</v>
      </c>
      <c r="AK51" s="1716" t="s">
        <v>1416</v>
      </c>
      <c r="AL51" s="1713" t="s">
        <v>1417</v>
      </c>
      <c r="AM51" s="1716" t="s">
        <v>1418</v>
      </c>
      <c r="AN51" s="1713" t="s">
        <v>1419</v>
      </c>
      <c r="AO51" s="1716" t="s">
        <v>1420</v>
      </c>
      <c r="AQ51" s="481"/>
      <c r="AR51" s="386"/>
      <c r="AS51" s="457"/>
      <c r="BA51" s="386"/>
      <c r="BB51" s="598"/>
      <c r="BQ51"/>
      <c r="BR51" s="356"/>
      <c r="CB51" s="215"/>
      <c r="CC51" s="406"/>
      <c r="CK51" s="470"/>
      <c r="CL51" s="470"/>
      <c r="CM51" s="470"/>
      <c r="CN51" s="470"/>
      <c r="CO51" s="470"/>
      <c r="CP51" s="470"/>
      <c r="CQ51" s="470"/>
    </row>
    <row r="52" spans="1:96" ht="29.25" customHeight="1" x14ac:dyDescent="0.25">
      <c r="B52" s="2091" t="s">
        <v>356</v>
      </c>
      <c r="C52" s="2091"/>
      <c r="D52" s="2091"/>
      <c r="E52" s="2091"/>
      <c r="F52" s="2091"/>
      <c r="G52" s="2091"/>
      <c r="H52" s="2091"/>
      <c r="I52" s="2091"/>
      <c r="J52" s="2091"/>
      <c r="K52" s="2091"/>
      <c r="L52" s="2091"/>
      <c r="M52" s="2091"/>
      <c r="N52" s="2091"/>
      <c r="O52" s="2091"/>
      <c r="P52" s="2091"/>
      <c r="Q52" s="2091"/>
      <c r="R52" s="2091"/>
      <c r="S52" s="2091"/>
      <c r="T52" s="2091"/>
      <c r="U52" s="2091"/>
      <c r="V52" s="2091"/>
      <c r="W52" s="2091"/>
      <c r="X52" s="2091"/>
      <c r="Y52" s="2091"/>
      <c r="Z52" s="2091"/>
      <c r="AA52" s="2091"/>
      <c r="AB52" s="2091"/>
      <c r="AC52" s="2091"/>
      <c r="AD52" s="2091"/>
      <c r="AE52" s="2091"/>
      <c r="AF52" s="2091"/>
      <c r="AG52" s="2091"/>
      <c r="AH52" s="2091"/>
      <c r="AI52" s="2091"/>
      <c r="AJ52" s="2091"/>
      <c r="AK52" s="2091"/>
      <c r="AL52" s="2091"/>
      <c r="AM52" s="2091"/>
      <c r="AN52" s="2091"/>
      <c r="CJ52" s="470"/>
      <c r="CK52" s="470"/>
      <c r="CL52" s="470"/>
      <c r="CM52" s="470"/>
      <c r="CN52" s="470"/>
      <c r="CO52" s="470"/>
      <c r="CP52" s="470"/>
    </row>
    <row r="53" spans="1:96" x14ac:dyDescent="0.25">
      <c r="B53" s="2096" t="s">
        <v>141</v>
      </c>
      <c r="C53" s="2096"/>
      <c r="D53" s="2057" t="s">
        <v>15</v>
      </c>
      <c r="E53" s="2058"/>
      <c r="F53" s="2059"/>
      <c r="G53" s="2097" t="s">
        <v>142</v>
      </c>
      <c r="H53" s="2097"/>
      <c r="I53" s="2097"/>
      <c r="J53" s="2097"/>
      <c r="K53" s="2097"/>
      <c r="L53" s="2097"/>
      <c r="M53" s="2097"/>
      <c r="N53" s="2097"/>
      <c r="O53" s="2097"/>
      <c r="P53" s="2097"/>
      <c r="Q53" s="2097"/>
      <c r="R53" s="2097"/>
      <c r="S53" s="2097"/>
      <c r="T53" s="2097"/>
      <c r="U53" s="2097"/>
      <c r="V53" s="2097"/>
      <c r="W53" s="2097"/>
      <c r="X53" s="2097"/>
      <c r="Y53" s="2097"/>
      <c r="Z53" s="2097"/>
      <c r="AA53" s="2097"/>
      <c r="AB53" s="2097"/>
      <c r="AC53" s="2097"/>
      <c r="AD53" s="2097"/>
      <c r="AE53" s="2097"/>
      <c r="AF53" s="2097"/>
      <c r="AG53" s="2097"/>
      <c r="AH53" s="2097"/>
      <c r="AI53" s="2097"/>
      <c r="AJ53" s="2097"/>
      <c r="AK53" s="2097"/>
      <c r="AL53" s="2097"/>
      <c r="AM53" s="2097"/>
      <c r="AN53" s="2097"/>
      <c r="CJ53" s="470"/>
      <c r="CK53" s="470"/>
      <c r="CL53" s="470"/>
      <c r="CM53" s="470"/>
      <c r="CN53" s="470"/>
      <c r="CO53" s="470"/>
      <c r="CP53" s="470"/>
    </row>
    <row r="54" spans="1:96" ht="25.5" customHeight="1" x14ac:dyDescent="0.25">
      <c r="B54" s="2096"/>
      <c r="C54" s="2096"/>
      <c r="D54" s="2060"/>
      <c r="E54" s="1986"/>
      <c r="F54" s="1987"/>
      <c r="G54" s="2082" t="s">
        <v>232</v>
      </c>
      <c r="H54" s="2083"/>
      <c r="I54" s="2082" t="s">
        <v>233</v>
      </c>
      <c r="J54" s="2083"/>
      <c r="K54" s="2082" t="s">
        <v>144</v>
      </c>
      <c r="L54" s="2083"/>
      <c r="M54" s="2084" t="s">
        <v>19</v>
      </c>
      <c r="N54" s="2084"/>
      <c r="O54" s="2084" t="s">
        <v>20</v>
      </c>
      <c r="P54" s="2084"/>
      <c r="Q54" s="2084" t="s">
        <v>21</v>
      </c>
      <c r="R54" s="2084"/>
      <c r="S54" s="2085" t="s">
        <v>22</v>
      </c>
      <c r="T54" s="2086"/>
      <c r="U54" s="2084" t="s">
        <v>23</v>
      </c>
      <c r="V54" s="2084"/>
      <c r="W54" s="2085" t="s">
        <v>24</v>
      </c>
      <c r="X54" s="2086"/>
      <c r="Y54" s="2084" t="s">
        <v>25</v>
      </c>
      <c r="Z54" s="2084"/>
      <c r="AA54" s="2085" t="s">
        <v>26</v>
      </c>
      <c r="AB54" s="2086"/>
      <c r="AC54" s="2084" t="s">
        <v>234</v>
      </c>
      <c r="AD54" s="2084"/>
      <c r="AE54" s="2085" t="s">
        <v>235</v>
      </c>
      <c r="AF54" s="2086"/>
      <c r="AG54" s="2087" t="s">
        <v>207</v>
      </c>
      <c r="AH54" s="2088"/>
      <c r="AI54" s="2087" t="s">
        <v>208</v>
      </c>
      <c r="AJ54" s="2088"/>
      <c r="AK54" s="2087" t="s">
        <v>209</v>
      </c>
      <c r="AL54" s="2088"/>
      <c r="AM54" s="2087" t="s">
        <v>221</v>
      </c>
      <c r="AN54" s="2088"/>
      <c r="CJ54" s="470"/>
      <c r="CK54" s="470"/>
      <c r="CL54" s="470"/>
      <c r="CM54" s="470"/>
      <c r="CN54" s="470"/>
      <c r="CO54" s="470"/>
      <c r="CP54" s="470"/>
    </row>
    <row r="55" spans="1:96" ht="36.75" customHeight="1" x14ac:dyDescent="0.25">
      <c r="B55" s="2096"/>
      <c r="C55" s="2096"/>
      <c r="D55" s="174" t="s">
        <v>99</v>
      </c>
      <c r="E55" s="155" t="s">
        <v>33</v>
      </c>
      <c r="F55" s="156" t="s">
        <v>100</v>
      </c>
      <c r="G55" s="175" t="s">
        <v>33</v>
      </c>
      <c r="H55" s="176" t="s">
        <v>100</v>
      </c>
      <c r="I55" s="175" t="s">
        <v>33</v>
      </c>
      <c r="J55" s="176" t="s">
        <v>100</v>
      </c>
      <c r="K55" s="175" t="s">
        <v>33</v>
      </c>
      <c r="L55" s="176" t="s">
        <v>100</v>
      </c>
      <c r="M55" s="177" t="s">
        <v>33</v>
      </c>
      <c r="N55" s="178" t="s">
        <v>100</v>
      </c>
      <c r="O55" s="177" t="s">
        <v>33</v>
      </c>
      <c r="P55" s="178" t="s">
        <v>100</v>
      </c>
      <c r="Q55" s="177" t="s">
        <v>33</v>
      </c>
      <c r="R55" s="178" t="s">
        <v>100</v>
      </c>
      <c r="S55" s="476" t="s">
        <v>33</v>
      </c>
      <c r="T55" s="477" t="s">
        <v>100</v>
      </c>
      <c r="U55" s="177" t="s">
        <v>33</v>
      </c>
      <c r="V55" s="178" t="s">
        <v>100</v>
      </c>
      <c r="W55" s="476" t="s">
        <v>33</v>
      </c>
      <c r="X55" s="477" t="s">
        <v>100</v>
      </c>
      <c r="Y55" s="177" t="s">
        <v>33</v>
      </c>
      <c r="Z55" s="178" t="s">
        <v>100</v>
      </c>
      <c r="AA55" s="476" t="s">
        <v>33</v>
      </c>
      <c r="AB55" s="477" t="s">
        <v>100</v>
      </c>
      <c r="AC55" s="177" t="s">
        <v>33</v>
      </c>
      <c r="AD55" s="178" t="s">
        <v>100</v>
      </c>
      <c r="AE55" s="476" t="s">
        <v>33</v>
      </c>
      <c r="AF55" s="477" t="s">
        <v>100</v>
      </c>
      <c r="AG55" s="160" t="s">
        <v>145</v>
      </c>
      <c r="AH55" s="161" t="s">
        <v>100</v>
      </c>
      <c r="AI55" s="160" t="s">
        <v>145</v>
      </c>
      <c r="AJ55" s="161" t="s">
        <v>100</v>
      </c>
      <c r="AK55" s="160" t="s">
        <v>145</v>
      </c>
      <c r="AL55" s="161" t="s">
        <v>100</v>
      </c>
      <c r="AM55" s="160" t="s">
        <v>145</v>
      </c>
      <c r="AN55" s="161" t="s">
        <v>100</v>
      </c>
      <c r="CJ55" s="470"/>
      <c r="CK55" s="470"/>
      <c r="CL55" s="470"/>
      <c r="CM55" s="470"/>
      <c r="CN55" s="470"/>
      <c r="CO55" s="470"/>
      <c r="CP55" s="470"/>
    </row>
    <row r="56" spans="1:96" ht="21" customHeight="1" x14ac:dyDescent="0.25">
      <c r="A56" s="1773" t="s">
        <v>1006</v>
      </c>
      <c r="B56" s="2092" t="s">
        <v>148</v>
      </c>
      <c r="C56" s="179" t="s">
        <v>357</v>
      </c>
      <c r="D56" s="936" t="s">
        <v>1384</v>
      </c>
      <c r="E56" s="937" t="s">
        <v>1385</v>
      </c>
      <c r="F56" s="937" t="s">
        <v>1386</v>
      </c>
      <c r="G56" s="953" t="s">
        <v>1387</v>
      </c>
      <c r="H56" s="978" t="s">
        <v>1388</v>
      </c>
      <c r="I56" s="953" t="s">
        <v>1389</v>
      </c>
      <c r="J56" s="978" t="s">
        <v>1390</v>
      </c>
      <c r="K56" s="953" t="s">
        <v>1391</v>
      </c>
      <c r="L56" s="978" t="s">
        <v>1392</v>
      </c>
      <c r="M56" s="977" t="s">
        <v>1393</v>
      </c>
      <c r="N56" s="978" t="s">
        <v>1394</v>
      </c>
      <c r="O56" s="953" t="s">
        <v>1395</v>
      </c>
      <c r="P56" s="1001" t="s">
        <v>1396</v>
      </c>
      <c r="Q56" s="953" t="s">
        <v>1397</v>
      </c>
      <c r="R56" s="1001" t="s">
        <v>1398</v>
      </c>
      <c r="S56" s="953" t="s">
        <v>1399</v>
      </c>
      <c r="T56" s="1001" t="s">
        <v>1400</v>
      </c>
      <c r="U56" s="953" t="s">
        <v>1401</v>
      </c>
      <c r="V56" s="1001" t="s">
        <v>1402</v>
      </c>
      <c r="W56" s="953" t="s">
        <v>1403</v>
      </c>
      <c r="X56" s="1001" t="s">
        <v>1404</v>
      </c>
      <c r="Y56" s="953" t="s">
        <v>1405</v>
      </c>
      <c r="Z56" s="1001" t="s">
        <v>1406</v>
      </c>
      <c r="AA56" s="953" t="s">
        <v>1407</v>
      </c>
      <c r="AB56" s="1001" t="s">
        <v>1408</v>
      </c>
      <c r="AC56" s="953" t="s">
        <v>1409</v>
      </c>
      <c r="AD56" s="1001" t="s">
        <v>1410</v>
      </c>
      <c r="AE56" s="953" t="s">
        <v>1411</v>
      </c>
      <c r="AF56" s="1001" t="s">
        <v>1412</v>
      </c>
      <c r="AG56" s="953" t="s">
        <v>1413</v>
      </c>
      <c r="AH56" s="1001" t="s">
        <v>1414</v>
      </c>
      <c r="AI56" s="953" t="s">
        <v>1415</v>
      </c>
      <c r="AJ56" s="1001" t="s">
        <v>1416</v>
      </c>
      <c r="AK56" s="953" t="s">
        <v>1417</v>
      </c>
      <c r="AL56" s="1001" t="s">
        <v>1418</v>
      </c>
      <c r="AM56" s="953" t="s">
        <v>1419</v>
      </c>
      <c r="AN56" s="1001" t="s">
        <v>1420</v>
      </c>
      <c r="CJ56" s="470"/>
      <c r="CK56" s="470"/>
      <c r="CL56" s="470"/>
      <c r="CM56" s="470"/>
      <c r="CN56" s="470"/>
      <c r="CO56" s="470"/>
      <c r="CP56" s="470"/>
    </row>
    <row r="57" spans="1:96" ht="21" customHeight="1" x14ac:dyDescent="0.25">
      <c r="A57" s="1773" t="s">
        <v>1007</v>
      </c>
      <c r="B57" s="2095"/>
      <c r="C57" s="180" t="s">
        <v>358</v>
      </c>
      <c r="D57" s="938" t="s">
        <v>1384</v>
      </c>
      <c r="E57" s="939" t="s">
        <v>1385</v>
      </c>
      <c r="F57" s="940" t="s">
        <v>1386</v>
      </c>
      <c r="G57" s="977" t="s">
        <v>1387</v>
      </c>
      <c r="H57" s="978" t="s">
        <v>1388</v>
      </c>
      <c r="I57" s="977" t="s">
        <v>1389</v>
      </c>
      <c r="J57" s="978" t="s">
        <v>1390</v>
      </c>
      <c r="K57" s="977" t="s">
        <v>1391</v>
      </c>
      <c r="L57" s="978" t="s">
        <v>1392</v>
      </c>
      <c r="M57" s="977" t="s">
        <v>1393</v>
      </c>
      <c r="N57" s="978" t="s">
        <v>1394</v>
      </c>
      <c r="O57" s="977" t="s">
        <v>1395</v>
      </c>
      <c r="P57" s="1001" t="s">
        <v>1396</v>
      </c>
      <c r="Q57" s="977" t="s">
        <v>1397</v>
      </c>
      <c r="R57" s="1001" t="s">
        <v>1398</v>
      </c>
      <c r="S57" s="977" t="s">
        <v>1399</v>
      </c>
      <c r="T57" s="1001" t="s">
        <v>1400</v>
      </c>
      <c r="U57" s="977" t="s">
        <v>1401</v>
      </c>
      <c r="V57" s="1001" t="s">
        <v>1402</v>
      </c>
      <c r="W57" s="977" t="s">
        <v>1403</v>
      </c>
      <c r="X57" s="1001" t="s">
        <v>1404</v>
      </c>
      <c r="Y57" s="977" t="s">
        <v>1405</v>
      </c>
      <c r="Z57" s="1001" t="s">
        <v>1406</v>
      </c>
      <c r="AA57" s="977" t="s">
        <v>1407</v>
      </c>
      <c r="AB57" s="1001" t="s">
        <v>1408</v>
      </c>
      <c r="AC57" s="977" t="s">
        <v>1409</v>
      </c>
      <c r="AD57" s="1001" t="s">
        <v>1410</v>
      </c>
      <c r="AE57" s="977" t="s">
        <v>1411</v>
      </c>
      <c r="AF57" s="1001" t="s">
        <v>1412</v>
      </c>
      <c r="AG57" s="977" t="s">
        <v>1413</v>
      </c>
      <c r="AH57" s="1001" t="s">
        <v>1414</v>
      </c>
      <c r="AI57" s="977" t="s">
        <v>1415</v>
      </c>
      <c r="AJ57" s="1001" t="s">
        <v>1416</v>
      </c>
      <c r="AK57" s="977" t="s">
        <v>1417</v>
      </c>
      <c r="AL57" s="1001" t="s">
        <v>1418</v>
      </c>
      <c r="AM57" s="977" t="s">
        <v>1419</v>
      </c>
      <c r="AN57" s="1001" t="s">
        <v>1420</v>
      </c>
      <c r="CJ57" s="470"/>
      <c r="CK57" s="470"/>
      <c r="CL57" s="470"/>
      <c r="CM57" s="470"/>
      <c r="CN57" s="470"/>
      <c r="CO57" s="470"/>
      <c r="CP57" s="470"/>
    </row>
    <row r="58" spans="1:96" ht="21" customHeight="1" x14ac:dyDescent="0.25">
      <c r="A58" s="1773" t="s">
        <v>1008</v>
      </c>
      <c r="B58" s="2095"/>
      <c r="C58" s="180" t="s">
        <v>359</v>
      </c>
      <c r="D58" s="938" t="s">
        <v>1384</v>
      </c>
      <c r="E58" s="939" t="s">
        <v>1385</v>
      </c>
      <c r="F58" s="940" t="s">
        <v>1386</v>
      </c>
      <c r="G58" s="977" t="s">
        <v>1387</v>
      </c>
      <c r="H58" s="978" t="s">
        <v>1388</v>
      </c>
      <c r="I58" s="977" t="s">
        <v>1389</v>
      </c>
      <c r="J58" s="978" t="s">
        <v>1390</v>
      </c>
      <c r="K58" s="977" t="s">
        <v>1391</v>
      </c>
      <c r="L58" s="978" t="s">
        <v>1392</v>
      </c>
      <c r="M58" s="977" t="s">
        <v>1393</v>
      </c>
      <c r="N58" s="978" t="s">
        <v>1394</v>
      </c>
      <c r="O58" s="977" t="s">
        <v>1395</v>
      </c>
      <c r="P58" s="1001" t="s">
        <v>1396</v>
      </c>
      <c r="Q58" s="977" t="s">
        <v>1397</v>
      </c>
      <c r="R58" s="1001" t="s">
        <v>1398</v>
      </c>
      <c r="S58" s="977" t="s">
        <v>1399</v>
      </c>
      <c r="T58" s="1001" t="s">
        <v>1400</v>
      </c>
      <c r="U58" s="977" t="s">
        <v>1401</v>
      </c>
      <c r="V58" s="1001" t="s">
        <v>1402</v>
      </c>
      <c r="W58" s="977" t="s">
        <v>1403</v>
      </c>
      <c r="X58" s="1001" t="s">
        <v>1404</v>
      </c>
      <c r="Y58" s="977" t="s">
        <v>1405</v>
      </c>
      <c r="Z58" s="1001" t="s">
        <v>1406</v>
      </c>
      <c r="AA58" s="977" t="s">
        <v>1407</v>
      </c>
      <c r="AB58" s="1001" t="s">
        <v>1408</v>
      </c>
      <c r="AC58" s="977" t="s">
        <v>1409</v>
      </c>
      <c r="AD58" s="1001" t="s">
        <v>1410</v>
      </c>
      <c r="AE58" s="977" t="s">
        <v>1411</v>
      </c>
      <c r="AF58" s="1001" t="s">
        <v>1412</v>
      </c>
      <c r="AG58" s="977" t="s">
        <v>1413</v>
      </c>
      <c r="AH58" s="1001" t="s">
        <v>1414</v>
      </c>
      <c r="AI58" s="977" t="s">
        <v>1415</v>
      </c>
      <c r="AJ58" s="1001" t="s">
        <v>1416</v>
      </c>
      <c r="AK58" s="977" t="s">
        <v>1417</v>
      </c>
      <c r="AL58" s="1001" t="s">
        <v>1418</v>
      </c>
      <c r="AM58" s="977" t="s">
        <v>1419</v>
      </c>
      <c r="AN58" s="1001" t="s">
        <v>1420</v>
      </c>
      <c r="CJ58" s="470"/>
      <c r="CK58" s="470"/>
      <c r="CL58" s="470"/>
      <c r="CM58" s="470"/>
      <c r="CN58" s="470"/>
      <c r="CO58" s="470"/>
      <c r="CP58" s="470"/>
    </row>
    <row r="59" spans="1:96" ht="21" customHeight="1" x14ac:dyDescent="0.25">
      <c r="A59" s="1773" t="s">
        <v>1009</v>
      </c>
      <c r="B59" s="2094"/>
      <c r="C59" s="180" t="s">
        <v>360</v>
      </c>
      <c r="D59" s="941" t="s">
        <v>1384</v>
      </c>
      <c r="E59" s="942" t="s">
        <v>1385</v>
      </c>
      <c r="F59" s="943" t="s">
        <v>1386</v>
      </c>
      <c r="G59" s="977" t="s">
        <v>1387</v>
      </c>
      <c r="H59" s="978" t="s">
        <v>1388</v>
      </c>
      <c r="I59" s="977" t="s">
        <v>1389</v>
      </c>
      <c r="J59" s="978" t="s">
        <v>1390</v>
      </c>
      <c r="K59" s="977" t="s">
        <v>1391</v>
      </c>
      <c r="L59" s="978" t="s">
        <v>1392</v>
      </c>
      <c r="M59" s="977" t="s">
        <v>1393</v>
      </c>
      <c r="N59" s="978" t="s">
        <v>1394</v>
      </c>
      <c r="O59" s="973" t="s">
        <v>1395</v>
      </c>
      <c r="P59" s="1001" t="s">
        <v>1396</v>
      </c>
      <c r="Q59" s="977" t="s">
        <v>1397</v>
      </c>
      <c r="R59" s="1001" t="s">
        <v>1398</v>
      </c>
      <c r="S59" s="977" t="s">
        <v>1399</v>
      </c>
      <c r="T59" s="1001" t="s">
        <v>1400</v>
      </c>
      <c r="U59" s="977" t="s">
        <v>1401</v>
      </c>
      <c r="V59" s="1001" t="s">
        <v>1402</v>
      </c>
      <c r="W59" s="977" t="s">
        <v>1403</v>
      </c>
      <c r="X59" s="1001" t="s">
        <v>1404</v>
      </c>
      <c r="Y59" s="977" t="s">
        <v>1405</v>
      </c>
      <c r="Z59" s="1001" t="s">
        <v>1406</v>
      </c>
      <c r="AA59" s="977" t="s">
        <v>1407</v>
      </c>
      <c r="AB59" s="1001" t="s">
        <v>1408</v>
      </c>
      <c r="AC59" s="977" t="s">
        <v>1409</v>
      </c>
      <c r="AD59" s="1001" t="s">
        <v>1410</v>
      </c>
      <c r="AE59" s="977" t="s">
        <v>1411</v>
      </c>
      <c r="AF59" s="1001" t="s">
        <v>1412</v>
      </c>
      <c r="AG59" s="977" t="s">
        <v>1413</v>
      </c>
      <c r="AH59" s="1001" t="s">
        <v>1414</v>
      </c>
      <c r="AI59" s="977" t="s">
        <v>1415</v>
      </c>
      <c r="AJ59" s="1001" t="s">
        <v>1416</v>
      </c>
      <c r="AK59" s="977" t="s">
        <v>1417</v>
      </c>
      <c r="AL59" s="1001" t="s">
        <v>1418</v>
      </c>
      <c r="AM59" s="977" t="s">
        <v>1419</v>
      </c>
      <c r="AN59" s="1001" t="s">
        <v>1420</v>
      </c>
      <c r="AO59" s="457" t="str">
        <f>CC59</f>
        <v/>
      </c>
      <c r="CC59" s="465" t="str">
        <f>IF(SUM(D15:D17)&gt;=SUM(D56:D59),"","* El total de Asma Bronquial en ambos sexo no puede ser mayor al total de Asma Bronquial de ambos sexo de la Sección A. ")</f>
        <v/>
      </c>
      <c r="CJ59" s="470"/>
      <c r="CK59" s="486">
        <f>IF(SUM(D15:D17)&gt;=SUM(D56:D59),0,1)</f>
        <v>0</v>
      </c>
      <c r="CL59" s="470"/>
      <c r="CM59" s="470"/>
      <c r="CN59" s="470"/>
      <c r="CO59" s="470"/>
      <c r="CP59" s="470"/>
    </row>
    <row r="60" spans="1:96" ht="21" customHeight="1" x14ac:dyDescent="0.25">
      <c r="A60" s="1773" t="s">
        <v>1010</v>
      </c>
      <c r="B60" s="2092" t="s">
        <v>149</v>
      </c>
      <c r="C60" s="181" t="s">
        <v>361</v>
      </c>
      <c r="D60" s="944" t="s">
        <v>1384</v>
      </c>
      <c r="E60" s="945" t="s">
        <v>1385</v>
      </c>
      <c r="F60" s="946" t="s">
        <v>1386</v>
      </c>
      <c r="G60" s="1002" t="s">
        <v>1387</v>
      </c>
      <c r="H60" s="1003" t="s">
        <v>1388</v>
      </c>
      <c r="I60" s="1002" t="s">
        <v>1389</v>
      </c>
      <c r="J60" s="1003" t="s">
        <v>1390</v>
      </c>
      <c r="K60" s="1002" t="s">
        <v>1391</v>
      </c>
      <c r="L60" s="1003" t="s">
        <v>1392</v>
      </c>
      <c r="M60" s="1002" t="s">
        <v>1393</v>
      </c>
      <c r="N60" s="1003" t="s">
        <v>1394</v>
      </c>
      <c r="O60" s="1002" t="s">
        <v>1395</v>
      </c>
      <c r="P60" s="1004" t="s">
        <v>1396</v>
      </c>
      <c r="Q60" s="1002" t="s">
        <v>1397</v>
      </c>
      <c r="R60" s="1004" t="s">
        <v>1398</v>
      </c>
      <c r="S60" s="1002" t="s">
        <v>1399</v>
      </c>
      <c r="T60" s="1004" t="s">
        <v>1400</v>
      </c>
      <c r="U60" s="1002" t="s">
        <v>1401</v>
      </c>
      <c r="V60" s="1004" t="s">
        <v>1402</v>
      </c>
      <c r="W60" s="977" t="s">
        <v>1403</v>
      </c>
      <c r="X60" s="1001" t="s">
        <v>1404</v>
      </c>
      <c r="Y60" s="977" t="s">
        <v>1405</v>
      </c>
      <c r="Z60" s="1001" t="s">
        <v>1406</v>
      </c>
      <c r="AA60" s="977" t="s">
        <v>1407</v>
      </c>
      <c r="AB60" s="1001" t="s">
        <v>1408</v>
      </c>
      <c r="AC60" s="977" t="s">
        <v>1409</v>
      </c>
      <c r="AD60" s="1001" t="s">
        <v>1410</v>
      </c>
      <c r="AE60" s="977" t="s">
        <v>1411</v>
      </c>
      <c r="AF60" s="1001" t="s">
        <v>1412</v>
      </c>
      <c r="AG60" s="977" t="s">
        <v>1413</v>
      </c>
      <c r="AH60" s="1001" t="s">
        <v>1414</v>
      </c>
      <c r="AI60" s="977" t="s">
        <v>1415</v>
      </c>
      <c r="AJ60" s="1001" t="s">
        <v>1416</v>
      </c>
      <c r="AK60" s="977" t="s">
        <v>1417</v>
      </c>
      <c r="AL60" s="1001" t="s">
        <v>1418</v>
      </c>
      <c r="AM60" s="977" t="s">
        <v>1419</v>
      </c>
      <c r="AN60" s="1001" t="s">
        <v>1420</v>
      </c>
      <c r="CJ60" s="470"/>
      <c r="CK60" s="470"/>
      <c r="CL60" s="470"/>
      <c r="CM60" s="470"/>
      <c r="CN60" s="470"/>
      <c r="CO60" s="470"/>
      <c r="CP60" s="470"/>
    </row>
    <row r="61" spans="1:96" ht="21" customHeight="1" x14ac:dyDescent="0.25">
      <c r="A61" s="1773" t="s">
        <v>1011</v>
      </c>
      <c r="B61" s="2093"/>
      <c r="C61" s="163" t="s">
        <v>362</v>
      </c>
      <c r="D61" s="947" t="s">
        <v>1384</v>
      </c>
      <c r="E61" s="948" t="s">
        <v>1385</v>
      </c>
      <c r="F61" s="949" t="s">
        <v>1386</v>
      </c>
      <c r="G61" s="1005" t="s">
        <v>1387</v>
      </c>
      <c r="H61" s="1006" t="s">
        <v>1388</v>
      </c>
      <c r="I61" s="1005" t="s">
        <v>1389</v>
      </c>
      <c r="J61" s="1006" t="s">
        <v>1390</v>
      </c>
      <c r="K61" s="1005" t="s">
        <v>1391</v>
      </c>
      <c r="L61" s="1006" t="s">
        <v>1392</v>
      </c>
      <c r="M61" s="1005" t="s">
        <v>1393</v>
      </c>
      <c r="N61" s="1006" t="s">
        <v>1394</v>
      </c>
      <c r="O61" s="1005" t="s">
        <v>1395</v>
      </c>
      <c r="P61" s="1007" t="s">
        <v>1396</v>
      </c>
      <c r="Q61" s="1005" t="s">
        <v>1397</v>
      </c>
      <c r="R61" s="1007" t="s">
        <v>1398</v>
      </c>
      <c r="S61" s="1005" t="s">
        <v>1399</v>
      </c>
      <c r="T61" s="1007" t="s">
        <v>1400</v>
      </c>
      <c r="U61" s="1005" t="s">
        <v>1401</v>
      </c>
      <c r="V61" s="1007" t="s">
        <v>1402</v>
      </c>
      <c r="W61" s="977" t="s">
        <v>1403</v>
      </c>
      <c r="X61" s="1001" t="s">
        <v>1404</v>
      </c>
      <c r="Y61" s="977" t="s">
        <v>1405</v>
      </c>
      <c r="Z61" s="1001" t="s">
        <v>1406</v>
      </c>
      <c r="AA61" s="977" t="s">
        <v>1407</v>
      </c>
      <c r="AB61" s="1001" t="s">
        <v>1408</v>
      </c>
      <c r="AC61" s="977" t="s">
        <v>1409</v>
      </c>
      <c r="AD61" s="1001" t="s">
        <v>1410</v>
      </c>
      <c r="AE61" s="977" t="s">
        <v>1411</v>
      </c>
      <c r="AF61" s="1001" t="s">
        <v>1412</v>
      </c>
      <c r="AG61" s="977" t="s">
        <v>1413</v>
      </c>
      <c r="AH61" s="1001" t="s">
        <v>1414</v>
      </c>
      <c r="AI61" s="977" t="s">
        <v>1415</v>
      </c>
      <c r="AJ61" s="1001" t="s">
        <v>1416</v>
      </c>
      <c r="AK61" s="977" t="s">
        <v>1417</v>
      </c>
      <c r="AL61" s="1001" t="s">
        <v>1418</v>
      </c>
      <c r="AM61" s="977" t="s">
        <v>1419</v>
      </c>
      <c r="AN61" s="1001" t="s">
        <v>1420</v>
      </c>
      <c r="CJ61" s="470"/>
      <c r="CK61" s="470"/>
      <c r="CL61" s="470"/>
      <c r="CM61" s="470"/>
      <c r="CN61" s="470"/>
      <c r="CO61" s="470"/>
      <c r="CP61" s="470"/>
    </row>
    <row r="62" spans="1:96" ht="21" customHeight="1" x14ac:dyDescent="0.25">
      <c r="A62" s="1773" t="s">
        <v>1012</v>
      </c>
      <c r="B62" s="2094"/>
      <c r="C62" s="182" t="s">
        <v>360</v>
      </c>
      <c r="D62" s="941" t="s">
        <v>1384</v>
      </c>
      <c r="E62" s="950" t="s">
        <v>1385</v>
      </c>
      <c r="F62" s="943" t="s">
        <v>1386</v>
      </c>
      <c r="G62" s="1008" t="s">
        <v>1387</v>
      </c>
      <c r="H62" s="1009" t="s">
        <v>1388</v>
      </c>
      <c r="I62" s="1008" t="s">
        <v>1389</v>
      </c>
      <c r="J62" s="1009" t="s">
        <v>1390</v>
      </c>
      <c r="K62" s="1008" t="s">
        <v>1391</v>
      </c>
      <c r="L62" s="1009" t="s">
        <v>1392</v>
      </c>
      <c r="M62" s="1008" t="s">
        <v>1393</v>
      </c>
      <c r="N62" s="1009" t="s">
        <v>1394</v>
      </c>
      <c r="O62" s="1008" t="s">
        <v>1395</v>
      </c>
      <c r="P62" s="1010" t="s">
        <v>1396</v>
      </c>
      <c r="Q62" s="1008" t="s">
        <v>1397</v>
      </c>
      <c r="R62" s="1010" t="s">
        <v>1398</v>
      </c>
      <c r="S62" s="1008" t="s">
        <v>1399</v>
      </c>
      <c r="T62" s="1010" t="s">
        <v>1400</v>
      </c>
      <c r="U62" s="1008" t="s">
        <v>1401</v>
      </c>
      <c r="V62" s="1010" t="s">
        <v>1402</v>
      </c>
      <c r="W62" s="962" t="s">
        <v>1403</v>
      </c>
      <c r="X62" s="1011" t="s">
        <v>1404</v>
      </c>
      <c r="Y62" s="962" t="s">
        <v>1405</v>
      </c>
      <c r="Z62" s="1011" t="s">
        <v>1406</v>
      </c>
      <c r="AA62" s="962" t="s">
        <v>1407</v>
      </c>
      <c r="AB62" s="1011" t="s">
        <v>1408</v>
      </c>
      <c r="AC62" s="962" t="s">
        <v>1409</v>
      </c>
      <c r="AD62" s="1011" t="s">
        <v>1410</v>
      </c>
      <c r="AE62" s="962" t="s">
        <v>1411</v>
      </c>
      <c r="AF62" s="1011" t="s">
        <v>1412</v>
      </c>
      <c r="AG62" s="962" t="s">
        <v>1413</v>
      </c>
      <c r="AH62" s="1011" t="s">
        <v>1414</v>
      </c>
      <c r="AI62" s="962" t="s">
        <v>1415</v>
      </c>
      <c r="AJ62" s="1011" t="s">
        <v>1416</v>
      </c>
      <c r="AK62" s="962" t="s">
        <v>1417</v>
      </c>
      <c r="AL62" s="1011" t="s">
        <v>1418</v>
      </c>
      <c r="AM62" s="962" t="s">
        <v>1419</v>
      </c>
      <c r="AN62" s="1011" t="s">
        <v>1420</v>
      </c>
      <c r="AO62" s="457" t="str">
        <f>CC62</f>
        <v/>
      </c>
      <c r="CC62" s="465" t="str">
        <f>IF(SUM(D60:D62)&gt;SUM(D18:D19),"* El total de EPOC en ambos sexos no puede ser superior al total de EPOC en ambos sexos de la sección A. ","")</f>
        <v/>
      </c>
      <c r="CJ62" s="470"/>
      <c r="CK62" s="486">
        <f>IF(SUM(D60:D62)&gt;SUM(D18:D19),1,0)</f>
        <v>0</v>
      </c>
      <c r="CL62" s="470"/>
      <c r="CM62" s="470"/>
      <c r="CN62" s="470"/>
      <c r="CO62" s="470"/>
      <c r="CP62" s="470"/>
    </row>
    <row r="63" spans="1:96" ht="25.5" customHeight="1" x14ac:dyDescent="0.25">
      <c r="B63" s="1719" t="s">
        <v>751</v>
      </c>
      <c r="C63" s="1720"/>
      <c r="D63" s="1721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CJ63" s="470"/>
      <c r="CK63" s="470"/>
      <c r="CL63" s="470"/>
      <c r="CM63" s="470"/>
      <c r="CN63" s="470"/>
      <c r="CO63" s="470"/>
      <c r="CP63" s="470"/>
    </row>
    <row r="64" spans="1:96" x14ac:dyDescent="0.25">
      <c r="B64" s="2158" t="s">
        <v>770</v>
      </c>
      <c r="C64" s="2158"/>
      <c r="D64" s="2159" t="s">
        <v>771</v>
      </c>
      <c r="E64" s="2160" t="s">
        <v>15</v>
      </c>
      <c r="F64" s="2160"/>
      <c r="G64" s="2160"/>
      <c r="H64" s="2165" t="s">
        <v>752</v>
      </c>
      <c r="I64" s="2166"/>
      <c r="J64" s="2166"/>
      <c r="K64" s="2166"/>
      <c r="L64" s="2166"/>
      <c r="M64" s="2166"/>
      <c r="N64" s="2166"/>
      <c r="O64" s="2166"/>
      <c r="P64" s="2166"/>
      <c r="Q64" s="2166"/>
      <c r="R64" s="2166"/>
      <c r="S64" s="2166"/>
      <c r="T64" s="2166"/>
      <c r="U64" s="2166"/>
      <c r="V64" s="2166"/>
      <c r="W64" s="2166"/>
      <c r="X64" s="2166"/>
      <c r="Y64" s="2166"/>
      <c r="Z64" s="2166"/>
      <c r="AA64" s="2166"/>
      <c r="AB64" s="2166"/>
      <c r="AC64" s="2166"/>
      <c r="AD64" s="2166"/>
      <c r="AE64" s="2166"/>
      <c r="AF64" s="2166"/>
      <c r="AG64" s="2166"/>
      <c r="AH64" s="2166"/>
      <c r="AI64" s="2166"/>
      <c r="AJ64" s="2166"/>
      <c r="AK64" s="2166"/>
      <c r="AL64" s="2166"/>
      <c r="AM64" s="2166"/>
      <c r="AN64" s="2166"/>
      <c r="AO64" s="2167"/>
      <c r="AP64" s="386"/>
      <c r="AR64" s="481"/>
      <c r="AT64" s="457"/>
      <c r="BA64" s="386"/>
      <c r="BB64" s="386"/>
      <c r="BC64" s="598"/>
      <c r="BQ64"/>
      <c r="BR64"/>
      <c r="BS64" s="356"/>
      <c r="CB64" s="215"/>
      <c r="CC64" s="215"/>
      <c r="CL64" s="470"/>
      <c r="CM64" s="470"/>
      <c r="CN64" s="470"/>
      <c r="CO64" s="470"/>
      <c r="CP64" s="470"/>
      <c r="CQ64" s="470"/>
      <c r="CR64" s="470"/>
    </row>
    <row r="65" spans="1:96" ht="16.5" customHeight="1" x14ac:dyDescent="0.25">
      <c r="B65" s="2158"/>
      <c r="C65" s="2158"/>
      <c r="D65" s="2159"/>
      <c r="E65" s="2160"/>
      <c r="F65" s="2160"/>
      <c r="G65" s="2160"/>
      <c r="H65" s="2172" t="s">
        <v>232</v>
      </c>
      <c r="I65" s="2173"/>
      <c r="J65" s="2172" t="s">
        <v>753</v>
      </c>
      <c r="K65" s="2173"/>
      <c r="L65" s="2174" t="s">
        <v>754</v>
      </c>
      <c r="M65" s="2174"/>
      <c r="N65" s="2172" t="s">
        <v>755</v>
      </c>
      <c r="O65" s="2173"/>
      <c r="P65" s="2171" t="s">
        <v>756</v>
      </c>
      <c r="Q65" s="2171"/>
      <c r="R65" s="2171" t="s">
        <v>21</v>
      </c>
      <c r="S65" s="2171"/>
      <c r="T65" s="2171" t="s">
        <v>22</v>
      </c>
      <c r="U65" s="2171"/>
      <c r="V65" s="2171" t="s">
        <v>23</v>
      </c>
      <c r="W65" s="2171"/>
      <c r="X65" s="2168" t="s">
        <v>757</v>
      </c>
      <c r="Y65" s="2169"/>
      <c r="Z65" s="2171" t="s">
        <v>758</v>
      </c>
      <c r="AA65" s="2171"/>
      <c r="AB65" s="2168" t="s">
        <v>759</v>
      </c>
      <c r="AC65" s="2169"/>
      <c r="AD65" s="2171" t="s">
        <v>760</v>
      </c>
      <c r="AE65" s="2171"/>
      <c r="AF65" s="2168" t="s">
        <v>761</v>
      </c>
      <c r="AG65" s="2169"/>
      <c r="AH65" s="2171" t="s">
        <v>762</v>
      </c>
      <c r="AI65" s="2171"/>
      <c r="AJ65" s="2168" t="s">
        <v>763</v>
      </c>
      <c r="AK65" s="2169"/>
      <c r="AL65" s="2171" t="s">
        <v>764</v>
      </c>
      <c r="AM65" s="2171"/>
      <c r="AN65" s="2168" t="s">
        <v>765</v>
      </c>
      <c r="AO65" s="2169"/>
      <c r="AP65" s="386"/>
      <c r="AR65" s="481"/>
      <c r="AT65" s="457"/>
      <c r="BA65" s="386"/>
      <c r="BB65" s="386"/>
      <c r="BC65" s="598"/>
      <c r="BQ65"/>
      <c r="BR65"/>
      <c r="BS65" s="356"/>
      <c r="CB65" s="215"/>
      <c r="CC65" s="215"/>
      <c r="CL65" s="470"/>
      <c r="CM65" s="470"/>
      <c r="CN65" s="470"/>
      <c r="CO65" s="470"/>
      <c r="CP65" s="470"/>
      <c r="CQ65" s="470"/>
      <c r="CR65" s="470"/>
    </row>
    <row r="66" spans="1:96" ht="18" customHeight="1" x14ac:dyDescent="0.25">
      <c r="B66" s="2158"/>
      <c r="C66" s="2158"/>
      <c r="D66" s="2159"/>
      <c r="E66" s="1751" t="s">
        <v>409</v>
      </c>
      <c r="F66" s="1722" t="s">
        <v>33</v>
      </c>
      <c r="G66" s="1723" t="s">
        <v>100</v>
      </c>
      <c r="H66" s="1724" t="s">
        <v>33</v>
      </c>
      <c r="I66" s="1725" t="s">
        <v>100</v>
      </c>
      <c r="J66" s="1724" t="s">
        <v>33</v>
      </c>
      <c r="K66" s="1725" t="s">
        <v>100</v>
      </c>
      <c r="L66" s="1724" t="s">
        <v>33</v>
      </c>
      <c r="M66" s="1725" t="s">
        <v>100</v>
      </c>
      <c r="N66" s="1724" t="s">
        <v>33</v>
      </c>
      <c r="O66" s="1725" t="s">
        <v>100</v>
      </c>
      <c r="P66" s="1724" t="s">
        <v>33</v>
      </c>
      <c r="Q66" s="1725" t="s">
        <v>100</v>
      </c>
      <c r="R66" s="1724" t="s">
        <v>33</v>
      </c>
      <c r="S66" s="1725" t="s">
        <v>100</v>
      </c>
      <c r="T66" s="1724" t="s">
        <v>33</v>
      </c>
      <c r="U66" s="1725" t="s">
        <v>100</v>
      </c>
      <c r="V66" s="1724" t="s">
        <v>33</v>
      </c>
      <c r="W66" s="1725" t="s">
        <v>100</v>
      </c>
      <c r="X66" s="1724" t="s">
        <v>33</v>
      </c>
      <c r="Y66" s="1725" t="s">
        <v>100</v>
      </c>
      <c r="Z66" s="1724" t="s">
        <v>33</v>
      </c>
      <c r="AA66" s="1725" t="s">
        <v>100</v>
      </c>
      <c r="AB66" s="1724" t="s">
        <v>33</v>
      </c>
      <c r="AC66" s="1725" t="s">
        <v>100</v>
      </c>
      <c r="AD66" s="1724" t="s">
        <v>33</v>
      </c>
      <c r="AE66" s="1725" t="s">
        <v>100</v>
      </c>
      <c r="AF66" s="1724" t="s">
        <v>33</v>
      </c>
      <c r="AG66" s="1725" t="s">
        <v>100</v>
      </c>
      <c r="AH66" s="1724" t="s">
        <v>33</v>
      </c>
      <c r="AI66" s="1725" t="s">
        <v>100</v>
      </c>
      <c r="AJ66" s="1724" t="s">
        <v>33</v>
      </c>
      <c r="AK66" s="1725" t="s">
        <v>100</v>
      </c>
      <c r="AL66" s="1724" t="s">
        <v>33</v>
      </c>
      <c r="AM66" s="1725" t="s">
        <v>100</v>
      </c>
      <c r="AN66" s="1724" t="s">
        <v>33</v>
      </c>
      <c r="AO66" s="1726" t="s">
        <v>100</v>
      </c>
      <c r="AP66" s="386"/>
      <c r="AR66" s="481"/>
      <c r="AT66" s="457"/>
      <c r="BA66" s="386"/>
      <c r="BB66" s="386"/>
      <c r="BC66" s="598"/>
      <c r="BQ66"/>
      <c r="BR66"/>
      <c r="BS66" s="356"/>
      <c r="CB66" s="215"/>
      <c r="CC66" s="215"/>
      <c r="CL66" s="470"/>
      <c r="CM66" s="470"/>
      <c r="CN66" s="470"/>
      <c r="CO66" s="470"/>
      <c r="CP66" s="470"/>
      <c r="CQ66" s="470"/>
      <c r="CR66" s="470"/>
    </row>
    <row r="67" spans="1:96" ht="24.75" customHeight="1" x14ac:dyDescent="0.25">
      <c r="A67" s="1794" t="s">
        <v>1307</v>
      </c>
      <c r="B67" s="2170" t="s">
        <v>149</v>
      </c>
      <c r="C67" s="2170"/>
      <c r="D67" s="1727" t="s">
        <v>774</v>
      </c>
      <c r="E67" s="1747" t="s">
        <v>1384</v>
      </c>
      <c r="F67" s="1752" t="s">
        <v>1385</v>
      </c>
      <c r="G67" s="1743" t="s">
        <v>1386</v>
      </c>
      <c r="H67" s="1737" t="s">
        <v>1387</v>
      </c>
      <c r="I67" s="1738" t="s">
        <v>1388</v>
      </c>
      <c r="J67" s="1737" t="s">
        <v>1389</v>
      </c>
      <c r="K67" s="1738" t="s">
        <v>1390</v>
      </c>
      <c r="L67" s="1737" t="s">
        <v>1391</v>
      </c>
      <c r="M67" s="1738" t="s">
        <v>1392</v>
      </c>
      <c r="N67" s="1737" t="s">
        <v>1393</v>
      </c>
      <c r="O67" s="1738" t="s">
        <v>1394</v>
      </c>
      <c r="P67" s="1737" t="s">
        <v>1395</v>
      </c>
      <c r="Q67" s="1738" t="s">
        <v>1396</v>
      </c>
      <c r="R67" s="1737" t="s">
        <v>1397</v>
      </c>
      <c r="S67" s="1738" t="s">
        <v>1398</v>
      </c>
      <c r="T67" s="1737" t="s">
        <v>1399</v>
      </c>
      <c r="U67" s="1738" t="s">
        <v>1400</v>
      </c>
      <c r="V67" s="1737" t="s">
        <v>1401</v>
      </c>
      <c r="W67" s="1738" t="s">
        <v>1402</v>
      </c>
      <c r="X67" s="1589" t="s">
        <v>1403</v>
      </c>
      <c r="Y67" s="1728" t="s">
        <v>1404</v>
      </c>
      <c r="Z67" s="1589" t="s">
        <v>1405</v>
      </c>
      <c r="AA67" s="1728" t="s">
        <v>1406</v>
      </c>
      <c r="AB67" s="1589" t="s">
        <v>1407</v>
      </c>
      <c r="AC67" s="1728" t="s">
        <v>1408</v>
      </c>
      <c r="AD67" s="1589" t="s">
        <v>1409</v>
      </c>
      <c r="AE67" s="1728" t="s">
        <v>1410</v>
      </c>
      <c r="AF67" s="1589" t="s">
        <v>1411</v>
      </c>
      <c r="AG67" s="1728" t="s">
        <v>1412</v>
      </c>
      <c r="AH67" s="1589" t="s">
        <v>1413</v>
      </c>
      <c r="AI67" s="1728" t="s">
        <v>1414</v>
      </c>
      <c r="AJ67" s="1589" t="s">
        <v>1415</v>
      </c>
      <c r="AK67" s="1728" t="s">
        <v>1416</v>
      </c>
      <c r="AL67" s="1589" t="s">
        <v>1417</v>
      </c>
      <c r="AM67" s="1728" t="s">
        <v>1418</v>
      </c>
      <c r="AN67" s="1597" t="s">
        <v>1419</v>
      </c>
      <c r="AO67" s="1728" t="s">
        <v>1420</v>
      </c>
      <c r="AP67" s="386"/>
      <c r="AR67" s="481"/>
      <c r="AT67" s="457"/>
      <c r="BA67" s="386"/>
      <c r="BB67" s="386"/>
      <c r="BC67" s="598"/>
      <c r="BQ67"/>
      <c r="BR67"/>
      <c r="BS67" s="356"/>
      <c r="CB67" s="215"/>
      <c r="CC67" s="215"/>
      <c r="CL67" s="470"/>
      <c r="CM67" s="470"/>
      <c r="CN67" s="470"/>
      <c r="CO67" s="470"/>
      <c r="CP67" s="470"/>
      <c r="CQ67" s="470"/>
      <c r="CR67" s="470"/>
    </row>
    <row r="68" spans="1:96" ht="35.25" customHeight="1" x14ac:dyDescent="0.25">
      <c r="A68" s="1794" t="s">
        <v>1308</v>
      </c>
      <c r="B68" s="2170"/>
      <c r="C68" s="2170"/>
      <c r="D68" s="1756" t="s">
        <v>772</v>
      </c>
      <c r="E68" s="1748" t="s">
        <v>1384</v>
      </c>
      <c r="F68" s="1753" t="s">
        <v>1385</v>
      </c>
      <c r="G68" s="1744" t="s">
        <v>1386</v>
      </c>
      <c r="H68" s="1739" t="s">
        <v>1387</v>
      </c>
      <c r="I68" s="1740" t="s">
        <v>1388</v>
      </c>
      <c r="J68" s="1739" t="s">
        <v>1389</v>
      </c>
      <c r="K68" s="1740" t="s">
        <v>1390</v>
      </c>
      <c r="L68" s="1739" t="s">
        <v>1391</v>
      </c>
      <c r="M68" s="1740" t="s">
        <v>1392</v>
      </c>
      <c r="N68" s="1739" t="s">
        <v>1393</v>
      </c>
      <c r="O68" s="1740" t="s">
        <v>1394</v>
      </c>
      <c r="P68" s="1739" t="s">
        <v>1395</v>
      </c>
      <c r="Q68" s="1740" t="s">
        <v>1396</v>
      </c>
      <c r="R68" s="1739" t="s">
        <v>1397</v>
      </c>
      <c r="S68" s="1740" t="s">
        <v>1398</v>
      </c>
      <c r="T68" s="1739" t="s">
        <v>1399</v>
      </c>
      <c r="U68" s="1740" t="s">
        <v>1400</v>
      </c>
      <c r="V68" s="1739" t="s">
        <v>1401</v>
      </c>
      <c r="W68" s="1740" t="s">
        <v>1402</v>
      </c>
      <c r="X68" s="1729" t="s">
        <v>1403</v>
      </c>
      <c r="Y68" s="1730" t="s">
        <v>1404</v>
      </c>
      <c r="Z68" s="1729" t="s">
        <v>1405</v>
      </c>
      <c r="AA68" s="1730" t="s">
        <v>1406</v>
      </c>
      <c r="AB68" s="1729" t="s">
        <v>1407</v>
      </c>
      <c r="AC68" s="1730" t="s">
        <v>1408</v>
      </c>
      <c r="AD68" s="1729" t="s">
        <v>1409</v>
      </c>
      <c r="AE68" s="1730" t="s">
        <v>1410</v>
      </c>
      <c r="AF68" s="1729" t="s">
        <v>1411</v>
      </c>
      <c r="AG68" s="1730" t="s">
        <v>1412</v>
      </c>
      <c r="AH68" s="1729" t="s">
        <v>1413</v>
      </c>
      <c r="AI68" s="1730" t="s">
        <v>1414</v>
      </c>
      <c r="AJ68" s="1729" t="s">
        <v>1415</v>
      </c>
      <c r="AK68" s="1730" t="s">
        <v>1416</v>
      </c>
      <c r="AL68" s="1729" t="s">
        <v>1417</v>
      </c>
      <c r="AM68" s="1730" t="s">
        <v>1418</v>
      </c>
      <c r="AN68" s="1729" t="s">
        <v>1419</v>
      </c>
      <c r="AO68" s="1730" t="s">
        <v>1420</v>
      </c>
      <c r="AP68" s="386"/>
      <c r="AR68" s="481"/>
      <c r="AT68" s="457"/>
      <c r="BA68" s="386"/>
      <c r="BB68" s="386"/>
      <c r="BC68" s="598"/>
      <c r="BQ68"/>
      <c r="BR68"/>
      <c r="BS68" s="356"/>
      <c r="CB68" s="215"/>
      <c r="CC68" s="215"/>
      <c r="CL68" s="470"/>
      <c r="CM68" s="470"/>
      <c r="CN68" s="470"/>
      <c r="CO68" s="470"/>
      <c r="CP68" s="470"/>
      <c r="CQ68" s="470"/>
      <c r="CR68" s="470"/>
    </row>
    <row r="69" spans="1:96" ht="31.5" customHeight="1" x14ac:dyDescent="0.25">
      <c r="A69" s="1794" t="s">
        <v>1309</v>
      </c>
      <c r="B69" s="2170"/>
      <c r="C69" s="2170"/>
      <c r="D69" s="1757" t="s">
        <v>773</v>
      </c>
      <c r="E69" s="1749" t="s">
        <v>1384</v>
      </c>
      <c r="F69" s="1754" t="s">
        <v>1385</v>
      </c>
      <c r="G69" s="1745" t="s">
        <v>1386</v>
      </c>
      <c r="H69" s="1741" t="s">
        <v>1387</v>
      </c>
      <c r="I69" s="1742" t="s">
        <v>1388</v>
      </c>
      <c r="J69" s="1741" t="s">
        <v>1389</v>
      </c>
      <c r="K69" s="1742" t="s">
        <v>1390</v>
      </c>
      <c r="L69" s="1741" t="s">
        <v>1391</v>
      </c>
      <c r="M69" s="1742" t="s">
        <v>1392</v>
      </c>
      <c r="N69" s="1741" t="s">
        <v>1393</v>
      </c>
      <c r="O69" s="1742" t="s">
        <v>1394</v>
      </c>
      <c r="P69" s="1741" t="s">
        <v>1395</v>
      </c>
      <c r="Q69" s="1742" t="s">
        <v>1396</v>
      </c>
      <c r="R69" s="1741" t="s">
        <v>1397</v>
      </c>
      <c r="S69" s="1742" t="s">
        <v>1398</v>
      </c>
      <c r="T69" s="1741" t="s">
        <v>1399</v>
      </c>
      <c r="U69" s="1742" t="s">
        <v>1400</v>
      </c>
      <c r="V69" s="1741" t="s">
        <v>1401</v>
      </c>
      <c r="W69" s="1742" t="s">
        <v>1402</v>
      </c>
      <c r="X69" s="1731" t="s">
        <v>1403</v>
      </c>
      <c r="Y69" s="1732" t="s">
        <v>1404</v>
      </c>
      <c r="Z69" s="1731" t="s">
        <v>1405</v>
      </c>
      <c r="AA69" s="1732" t="s">
        <v>1406</v>
      </c>
      <c r="AB69" s="1731" t="s">
        <v>1407</v>
      </c>
      <c r="AC69" s="1732" t="s">
        <v>1408</v>
      </c>
      <c r="AD69" s="1731" t="s">
        <v>1409</v>
      </c>
      <c r="AE69" s="1732" t="s">
        <v>1410</v>
      </c>
      <c r="AF69" s="1731" t="s">
        <v>1411</v>
      </c>
      <c r="AG69" s="1732" t="s">
        <v>1412</v>
      </c>
      <c r="AH69" s="1731" t="s">
        <v>1413</v>
      </c>
      <c r="AI69" s="1732" t="s">
        <v>1414</v>
      </c>
      <c r="AJ69" s="1731" t="s">
        <v>1415</v>
      </c>
      <c r="AK69" s="1732" t="s">
        <v>1416</v>
      </c>
      <c r="AL69" s="1731" t="s">
        <v>1417</v>
      </c>
      <c r="AM69" s="1732" t="s">
        <v>1418</v>
      </c>
      <c r="AN69" s="1731" t="s">
        <v>1419</v>
      </c>
      <c r="AO69" s="1732" t="s">
        <v>1420</v>
      </c>
      <c r="AP69" s="386"/>
      <c r="AR69" s="481"/>
      <c r="AT69" s="457"/>
      <c r="BA69" s="386"/>
      <c r="BB69" s="386"/>
      <c r="BC69" s="598"/>
      <c r="BQ69"/>
      <c r="BR69"/>
      <c r="BS69" s="356"/>
      <c r="CB69" s="215"/>
      <c r="CC69" s="215"/>
      <c r="CL69" s="470"/>
      <c r="CM69" s="470"/>
      <c r="CN69" s="470"/>
      <c r="CO69" s="470"/>
      <c r="CP69" s="470"/>
      <c r="CQ69" s="470"/>
      <c r="CR69" s="470"/>
    </row>
    <row r="70" spans="1:96" ht="24.75" customHeight="1" x14ac:dyDescent="0.25">
      <c r="A70" s="1794" t="s">
        <v>1310</v>
      </c>
      <c r="B70" s="2170" t="s">
        <v>148</v>
      </c>
      <c r="C70" s="2170"/>
      <c r="D70" s="1727" t="s">
        <v>774</v>
      </c>
      <c r="E70" s="1747" t="s">
        <v>1384</v>
      </c>
      <c r="F70" s="1752" t="s">
        <v>1385</v>
      </c>
      <c r="G70" s="1743" t="s">
        <v>1386</v>
      </c>
      <c r="H70" s="1589" t="s">
        <v>1387</v>
      </c>
      <c r="I70" s="1733" t="s">
        <v>1388</v>
      </c>
      <c r="J70" s="1589" t="s">
        <v>1389</v>
      </c>
      <c r="K70" s="1733" t="s">
        <v>1390</v>
      </c>
      <c r="L70" s="1589" t="s">
        <v>1391</v>
      </c>
      <c r="M70" s="1733" t="s">
        <v>1392</v>
      </c>
      <c r="N70" s="1589" t="s">
        <v>1393</v>
      </c>
      <c r="O70" s="1733" t="s">
        <v>1394</v>
      </c>
      <c r="P70" s="1589" t="s">
        <v>1395</v>
      </c>
      <c r="Q70" s="1733" t="s">
        <v>1396</v>
      </c>
      <c r="R70" s="1589" t="s">
        <v>1397</v>
      </c>
      <c r="S70" s="1733" t="s">
        <v>1398</v>
      </c>
      <c r="T70" s="1589" t="s">
        <v>1399</v>
      </c>
      <c r="U70" s="1733" t="s">
        <v>1400</v>
      </c>
      <c r="V70" s="1589" t="s">
        <v>1401</v>
      </c>
      <c r="W70" s="1733" t="s">
        <v>1402</v>
      </c>
      <c r="X70" s="1589" t="s">
        <v>1403</v>
      </c>
      <c r="Y70" s="1733" t="s">
        <v>1404</v>
      </c>
      <c r="Z70" s="1589" t="s">
        <v>1405</v>
      </c>
      <c r="AA70" s="1733" t="s">
        <v>1406</v>
      </c>
      <c r="AB70" s="1589" t="s">
        <v>1407</v>
      </c>
      <c r="AC70" s="1733" t="s">
        <v>1408</v>
      </c>
      <c r="AD70" s="1589" t="s">
        <v>1409</v>
      </c>
      <c r="AE70" s="1733" t="s">
        <v>1410</v>
      </c>
      <c r="AF70" s="1589" t="s">
        <v>1411</v>
      </c>
      <c r="AG70" s="1733" t="s">
        <v>1412</v>
      </c>
      <c r="AH70" s="1589" t="s">
        <v>1413</v>
      </c>
      <c r="AI70" s="1733" t="s">
        <v>1414</v>
      </c>
      <c r="AJ70" s="1589" t="s">
        <v>1415</v>
      </c>
      <c r="AK70" s="1733" t="s">
        <v>1416</v>
      </c>
      <c r="AL70" s="1589" t="s">
        <v>1417</v>
      </c>
      <c r="AM70" s="1733" t="s">
        <v>1418</v>
      </c>
      <c r="AN70" s="1589" t="s">
        <v>1419</v>
      </c>
      <c r="AO70" s="1733" t="s">
        <v>1420</v>
      </c>
      <c r="AP70" s="386"/>
      <c r="AR70" s="481"/>
      <c r="AT70" s="457"/>
      <c r="BA70" s="386"/>
      <c r="BB70" s="386"/>
      <c r="BC70" s="598"/>
      <c r="BQ70"/>
      <c r="BR70"/>
      <c r="BS70" s="356"/>
      <c r="CB70" s="215"/>
      <c r="CC70" s="215"/>
      <c r="CL70" s="470"/>
      <c r="CM70" s="470"/>
      <c r="CN70" s="470"/>
      <c r="CO70" s="470"/>
      <c r="CP70" s="470"/>
      <c r="CQ70" s="470"/>
      <c r="CR70" s="470"/>
    </row>
    <row r="71" spans="1:96" ht="36" customHeight="1" x14ac:dyDescent="0.25">
      <c r="A71" s="1794" t="s">
        <v>1311</v>
      </c>
      <c r="B71" s="2170"/>
      <c r="C71" s="2170"/>
      <c r="D71" s="1756" t="s">
        <v>772</v>
      </c>
      <c r="E71" s="1750" t="s">
        <v>1384</v>
      </c>
      <c r="F71" s="1755" t="s">
        <v>1385</v>
      </c>
      <c r="G71" s="1746" t="s">
        <v>1386</v>
      </c>
      <c r="H71" s="1729" t="s">
        <v>1387</v>
      </c>
      <c r="I71" s="1730" t="s">
        <v>1388</v>
      </c>
      <c r="J71" s="1729" t="s">
        <v>1389</v>
      </c>
      <c r="K71" s="1730" t="s">
        <v>1390</v>
      </c>
      <c r="L71" s="1729" t="s">
        <v>1391</v>
      </c>
      <c r="M71" s="1730" t="s">
        <v>1392</v>
      </c>
      <c r="N71" s="1729" t="s">
        <v>1393</v>
      </c>
      <c r="O71" s="1730" t="s">
        <v>1394</v>
      </c>
      <c r="P71" s="1729" t="s">
        <v>1395</v>
      </c>
      <c r="Q71" s="1730" t="s">
        <v>1396</v>
      </c>
      <c r="R71" s="1729" t="s">
        <v>1397</v>
      </c>
      <c r="S71" s="1730" t="s">
        <v>1398</v>
      </c>
      <c r="T71" s="1729" t="s">
        <v>1399</v>
      </c>
      <c r="U71" s="1730" t="s">
        <v>1400</v>
      </c>
      <c r="V71" s="1729" t="s">
        <v>1401</v>
      </c>
      <c r="W71" s="1730" t="s">
        <v>1402</v>
      </c>
      <c r="X71" s="1729" t="s">
        <v>1403</v>
      </c>
      <c r="Y71" s="1730" t="s">
        <v>1404</v>
      </c>
      <c r="Z71" s="1729" t="s">
        <v>1405</v>
      </c>
      <c r="AA71" s="1730" t="s">
        <v>1406</v>
      </c>
      <c r="AB71" s="1729" t="s">
        <v>1407</v>
      </c>
      <c r="AC71" s="1730" t="s">
        <v>1408</v>
      </c>
      <c r="AD71" s="1729" t="s">
        <v>1409</v>
      </c>
      <c r="AE71" s="1730" t="s">
        <v>1410</v>
      </c>
      <c r="AF71" s="1729" t="s">
        <v>1411</v>
      </c>
      <c r="AG71" s="1730" t="s">
        <v>1412</v>
      </c>
      <c r="AH71" s="1729" t="s">
        <v>1413</v>
      </c>
      <c r="AI71" s="1730" t="s">
        <v>1414</v>
      </c>
      <c r="AJ71" s="1729" t="s">
        <v>1415</v>
      </c>
      <c r="AK71" s="1730" t="s">
        <v>1416</v>
      </c>
      <c r="AL71" s="1729" t="s">
        <v>1417</v>
      </c>
      <c r="AM71" s="1730" t="s">
        <v>1418</v>
      </c>
      <c r="AN71" s="1729" t="s">
        <v>1419</v>
      </c>
      <c r="AO71" s="1730" t="s">
        <v>1420</v>
      </c>
      <c r="AP71" s="386"/>
      <c r="AR71" s="481"/>
      <c r="AT71" s="457"/>
      <c r="BA71" s="386"/>
      <c r="BB71" s="386"/>
      <c r="BC71" s="598"/>
      <c r="BQ71"/>
      <c r="BR71"/>
      <c r="BS71" s="356"/>
      <c r="CB71" s="215"/>
      <c r="CC71" s="215"/>
      <c r="CL71" s="470"/>
      <c r="CM71" s="470"/>
      <c r="CN71" s="470"/>
      <c r="CO71" s="470"/>
      <c r="CP71" s="470"/>
      <c r="CQ71" s="470"/>
      <c r="CR71" s="470"/>
    </row>
    <row r="72" spans="1:96" ht="32.25" customHeight="1" x14ac:dyDescent="0.25">
      <c r="A72" s="1794" t="s">
        <v>1312</v>
      </c>
      <c r="B72" s="2170"/>
      <c r="C72" s="2170"/>
      <c r="D72" s="1757" t="s">
        <v>773</v>
      </c>
      <c r="E72" s="1749" t="s">
        <v>1384</v>
      </c>
      <c r="F72" s="1754" t="s">
        <v>1385</v>
      </c>
      <c r="G72" s="1745" t="s">
        <v>1386</v>
      </c>
      <c r="H72" s="1731" t="s">
        <v>1387</v>
      </c>
      <c r="I72" s="1732" t="s">
        <v>1388</v>
      </c>
      <c r="J72" s="1731" t="s">
        <v>1389</v>
      </c>
      <c r="K72" s="1732" t="s">
        <v>1390</v>
      </c>
      <c r="L72" s="1731" t="s">
        <v>1391</v>
      </c>
      <c r="M72" s="1732" t="s">
        <v>1392</v>
      </c>
      <c r="N72" s="1731" t="s">
        <v>1393</v>
      </c>
      <c r="O72" s="1732" t="s">
        <v>1394</v>
      </c>
      <c r="P72" s="1731" t="s">
        <v>1395</v>
      </c>
      <c r="Q72" s="1732" t="s">
        <v>1396</v>
      </c>
      <c r="R72" s="1731" t="s">
        <v>1397</v>
      </c>
      <c r="S72" s="1732" t="s">
        <v>1398</v>
      </c>
      <c r="T72" s="1731" t="s">
        <v>1399</v>
      </c>
      <c r="U72" s="1732" t="s">
        <v>1400</v>
      </c>
      <c r="V72" s="1731" t="s">
        <v>1401</v>
      </c>
      <c r="W72" s="1732" t="s">
        <v>1402</v>
      </c>
      <c r="X72" s="1731" t="s">
        <v>1403</v>
      </c>
      <c r="Y72" s="1732" t="s">
        <v>1404</v>
      </c>
      <c r="Z72" s="1731" t="s">
        <v>1405</v>
      </c>
      <c r="AA72" s="1732" t="s">
        <v>1406</v>
      </c>
      <c r="AB72" s="1731" t="s">
        <v>1407</v>
      </c>
      <c r="AC72" s="1732" t="s">
        <v>1408</v>
      </c>
      <c r="AD72" s="1731" t="s">
        <v>1409</v>
      </c>
      <c r="AE72" s="1732" t="s">
        <v>1410</v>
      </c>
      <c r="AF72" s="1731" t="s">
        <v>1411</v>
      </c>
      <c r="AG72" s="1732" t="s">
        <v>1412</v>
      </c>
      <c r="AH72" s="1731" t="s">
        <v>1413</v>
      </c>
      <c r="AI72" s="1732" t="s">
        <v>1414</v>
      </c>
      <c r="AJ72" s="1731" t="s">
        <v>1415</v>
      </c>
      <c r="AK72" s="1732" t="s">
        <v>1416</v>
      </c>
      <c r="AL72" s="1731" t="s">
        <v>1417</v>
      </c>
      <c r="AM72" s="1732" t="s">
        <v>1418</v>
      </c>
      <c r="AN72" s="1731" t="s">
        <v>1419</v>
      </c>
      <c r="AO72" s="1732" t="s">
        <v>1420</v>
      </c>
      <c r="AP72" s="386"/>
      <c r="AR72" s="481"/>
      <c r="AT72" s="457"/>
      <c r="BA72" s="386"/>
      <c r="BB72" s="386"/>
      <c r="BC72" s="598"/>
      <c r="BQ72"/>
      <c r="BR72"/>
      <c r="BS72" s="356"/>
      <c r="CB72" s="215"/>
      <c r="CC72" s="215"/>
      <c r="CL72" s="470"/>
      <c r="CM72" s="470"/>
      <c r="CN72" s="470"/>
      <c r="CO72" s="470"/>
      <c r="CP72" s="470"/>
      <c r="CQ72" s="470"/>
      <c r="CR72" s="470"/>
    </row>
    <row r="73" spans="1:96" ht="27" customHeight="1" x14ac:dyDescent="0.25">
      <c r="A73" s="1794" t="s">
        <v>1313</v>
      </c>
      <c r="B73" s="2159" t="s">
        <v>776</v>
      </c>
      <c r="C73" s="2159"/>
      <c r="D73" s="1727" t="s">
        <v>774</v>
      </c>
      <c r="E73" s="1747" t="s">
        <v>1384</v>
      </c>
      <c r="F73" s="1752" t="s">
        <v>1385</v>
      </c>
      <c r="G73" s="1743" t="s">
        <v>1386</v>
      </c>
      <c r="H73" s="1589" t="s">
        <v>1387</v>
      </c>
      <c r="I73" s="1728" t="s">
        <v>1388</v>
      </c>
      <c r="J73" s="1589" t="s">
        <v>1389</v>
      </c>
      <c r="K73" s="1728" t="s">
        <v>1390</v>
      </c>
      <c r="L73" s="1589" t="s">
        <v>1391</v>
      </c>
      <c r="M73" s="1728" t="s">
        <v>1392</v>
      </c>
      <c r="N73" s="1589" t="s">
        <v>1393</v>
      </c>
      <c r="O73" s="1728" t="s">
        <v>1394</v>
      </c>
      <c r="P73" s="1589" t="s">
        <v>1395</v>
      </c>
      <c r="Q73" s="1728" t="s">
        <v>1396</v>
      </c>
      <c r="R73" s="1589" t="s">
        <v>1397</v>
      </c>
      <c r="S73" s="1728" t="s">
        <v>1398</v>
      </c>
      <c r="T73" s="1589" t="s">
        <v>1399</v>
      </c>
      <c r="U73" s="1728" t="s">
        <v>1400</v>
      </c>
      <c r="V73" s="1589" t="s">
        <v>1401</v>
      </c>
      <c r="W73" s="1728" t="s">
        <v>1402</v>
      </c>
      <c r="X73" s="1589" t="s">
        <v>1403</v>
      </c>
      <c r="Y73" s="1728" t="s">
        <v>1404</v>
      </c>
      <c r="Z73" s="1589" t="s">
        <v>1405</v>
      </c>
      <c r="AA73" s="1728" t="s">
        <v>1406</v>
      </c>
      <c r="AB73" s="1589" t="s">
        <v>1407</v>
      </c>
      <c r="AC73" s="1728" t="s">
        <v>1408</v>
      </c>
      <c r="AD73" s="1589" t="s">
        <v>1409</v>
      </c>
      <c r="AE73" s="1728" t="s">
        <v>1410</v>
      </c>
      <c r="AF73" s="1589" t="s">
        <v>1411</v>
      </c>
      <c r="AG73" s="1728" t="s">
        <v>1412</v>
      </c>
      <c r="AH73" s="1589" t="s">
        <v>1413</v>
      </c>
      <c r="AI73" s="1728" t="s">
        <v>1414</v>
      </c>
      <c r="AJ73" s="1589" t="s">
        <v>1415</v>
      </c>
      <c r="AK73" s="1728" t="s">
        <v>1416</v>
      </c>
      <c r="AL73" s="1589" t="s">
        <v>1417</v>
      </c>
      <c r="AM73" s="1728" t="s">
        <v>1418</v>
      </c>
      <c r="AN73" s="1597" t="s">
        <v>1419</v>
      </c>
      <c r="AO73" s="1728" t="s">
        <v>1420</v>
      </c>
      <c r="AP73" s="386"/>
      <c r="AR73" s="481"/>
      <c r="AT73" s="457"/>
      <c r="BA73" s="386"/>
      <c r="BB73" s="386"/>
      <c r="BC73" s="598"/>
      <c r="BQ73"/>
      <c r="BR73"/>
      <c r="BS73" s="356"/>
      <c r="CB73" s="215"/>
      <c r="CC73" s="215"/>
      <c r="CL73" s="470"/>
      <c r="CM73" s="470"/>
      <c r="CN73" s="470"/>
      <c r="CO73" s="470"/>
      <c r="CP73" s="470"/>
      <c r="CQ73" s="470"/>
      <c r="CR73" s="470"/>
    </row>
    <row r="74" spans="1:96" ht="34.5" customHeight="1" x14ac:dyDescent="0.25">
      <c r="A74" s="1794" t="s">
        <v>1314</v>
      </c>
      <c r="B74" s="2159"/>
      <c r="C74" s="2159"/>
      <c r="D74" s="1756" t="s">
        <v>772</v>
      </c>
      <c r="E74" s="1748" t="s">
        <v>1384</v>
      </c>
      <c r="F74" s="1753" t="s">
        <v>1385</v>
      </c>
      <c r="G74" s="1744" t="s">
        <v>1386</v>
      </c>
      <c r="H74" s="1734" t="s">
        <v>1387</v>
      </c>
      <c r="I74" s="1735" t="s">
        <v>1388</v>
      </c>
      <c r="J74" s="1734" t="s">
        <v>1389</v>
      </c>
      <c r="K74" s="1735" t="s">
        <v>1390</v>
      </c>
      <c r="L74" s="1734" t="s">
        <v>1391</v>
      </c>
      <c r="M74" s="1735" t="s">
        <v>1392</v>
      </c>
      <c r="N74" s="1734" t="s">
        <v>1393</v>
      </c>
      <c r="O74" s="1735" t="s">
        <v>1394</v>
      </c>
      <c r="P74" s="1734" t="s">
        <v>1395</v>
      </c>
      <c r="Q74" s="1735" t="s">
        <v>1396</v>
      </c>
      <c r="R74" s="1734" t="s">
        <v>1397</v>
      </c>
      <c r="S74" s="1735" t="s">
        <v>1398</v>
      </c>
      <c r="T74" s="1734" t="s">
        <v>1399</v>
      </c>
      <c r="U74" s="1735" t="s">
        <v>1400</v>
      </c>
      <c r="V74" s="1734" t="s">
        <v>1401</v>
      </c>
      <c r="W74" s="1735" t="s">
        <v>1402</v>
      </c>
      <c r="X74" s="1734" t="s">
        <v>1403</v>
      </c>
      <c r="Y74" s="1735" t="s">
        <v>1404</v>
      </c>
      <c r="Z74" s="1734" t="s">
        <v>1405</v>
      </c>
      <c r="AA74" s="1735" t="s">
        <v>1406</v>
      </c>
      <c r="AB74" s="1734" t="s">
        <v>1407</v>
      </c>
      <c r="AC74" s="1735" t="s">
        <v>1408</v>
      </c>
      <c r="AD74" s="1734" t="s">
        <v>1409</v>
      </c>
      <c r="AE74" s="1735" t="s">
        <v>1410</v>
      </c>
      <c r="AF74" s="1734" t="s">
        <v>1411</v>
      </c>
      <c r="AG74" s="1735" t="s">
        <v>1412</v>
      </c>
      <c r="AH74" s="1734" t="s">
        <v>1413</v>
      </c>
      <c r="AI74" s="1735" t="s">
        <v>1414</v>
      </c>
      <c r="AJ74" s="1734" t="s">
        <v>1415</v>
      </c>
      <c r="AK74" s="1735" t="s">
        <v>1416</v>
      </c>
      <c r="AL74" s="1734" t="s">
        <v>1417</v>
      </c>
      <c r="AM74" s="1735" t="s">
        <v>1418</v>
      </c>
      <c r="AN74" s="1734" t="s">
        <v>1419</v>
      </c>
      <c r="AO74" s="1735" t="s">
        <v>1420</v>
      </c>
      <c r="AP74" s="386"/>
      <c r="AR74" s="481"/>
      <c r="AT74" s="457"/>
      <c r="BA74" s="386"/>
      <c r="BB74" s="386"/>
      <c r="BC74" s="598"/>
      <c r="BQ74"/>
      <c r="BR74"/>
      <c r="BS74" s="356"/>
      <c r="CB74" s="215"/>
      <c r="CC74" s="215"/>
      <c r="CL74" s="470"/>
      <c r="CM74" s="470"/>
      <c r="CN74" s="470"/>
      <c r="CO74" s="470"/>
      <c r="CP74" s="470"/>
      <c r="CQ74" s="470"/>
      <c r="CR74" s="470"/>
    </row>
    <row r="75" spans="1:96" ht="37.5" customHeight="1" x14ac:dyDescent="0.25">
      <c r="A75" s="1794" t="s">
        <v>1315</v>
      </c>
      <c r="B75" s="2159"/>
      <c r="C75" s="2159"/>
      <c r="D75" s="1757" t="s">
        <v>773</v>
      </c>
      <c r="E75" s="1749" t="s">
        <v>1384</v>
      </c>
      <c r="F75" s="1754" t="s">
        <v>1385</v>
      </c>
      <c r="G75" s="1745" t="s">
        <v>1386</v>
      </c>
      <c r="H75" s="1605" t="s">
        <v>1387</v>
      </c>
      <c r="I75" s="1736" t="s">
        <v>1388</v>
      </c>
      <c r="J75" s="1605" t="s">
        <v>1389</v>
      </c>
      <c r="K75" s="1736" t="s">
        <v>1390</v>
      </c>
      <c r="L75" s="1605" t="s">
        <v>1391</v>
      </c>
      <c r="M75" s="1736" t="s">
        <v>1392</v>
      </c>
      <c r="N75" s="1605" t="s">
        <v>1393</v>
      </c>
      <c r="O75" s="1736" t="s">
        <v>1394</v>
      </c>
      <c r="P75" s="1605" t="s">
        <v>1395</v>
      </c>
      <c r="Q75" s="1736" t="s">
        <v>1396</v>
      </c>
      <c r="R75" s="1605" t="s">
        <v>1397</v>
      </c>
      <c r="S75" s="1736" t="s">
        <v>1398</v>
      </c>
      <c r="T75" s="1605" t="s">
        <v>1399</v>
      </c>
      <c r="U75" s="1736" t="s">
        <v>1400</v>
      </c>
      <c r="V75" s="1605" t="s">
        <v>1401</v>
      </c>
      <c r="W75" s="1736" t="s">
        <v>1402</v>
      </c>
      <c r="X75" s="1605" t="s">
        <v>1403</v>
      </c>
      <c r="Y75" s="1736" t="s">
        <v>1404</v>
      </c>
      <c r="Z75" s="1605" t="s">
        <v>1405</v>
      </c>
      <c r="AA75" s="1736" t="s">
        <v>1406</v>
      </c>
      <c r="AB75" s="1605" t="s">
        <v>1407</v>
      </c>
      <c r="AC75" s="1736" t="s">
        <v>1408</v>
      </c>
      <c r="AD75" s="1605" t="s">
        <v>1409</v>
      </c>
      <c r="AE75" s="1736" t="s">
        <v>1410</v>
      </c>
      <c r="AF75" s="1605" t="s">
        <v>1411</v>
      </c>
      <c r="AG75" s="1736" t="s">
        <v>1412</v>
      </c>
      <c r="AH75" s="1605" t="s">
        <v>1413</v>
      </c>
      <c r="AI75" s="1736" t="s">
        <v>1414</v>
      </c>
      <c r="AJ75" s="1605" t="s">
        <v>1415</v>
      </c>
      <c r="AK75" s="1736" t="s">
        <v>1416</v>
      </c>
      <c r="AL75" s="1605" t="s">
        <v>1417</v>
      </c>
      <c r="AM75" s="1736" t="s">
        <v>1418</v>
      </c>
      <c r="AN75" s="1605" t="s">
        <v>1419</v>
      </c>
      <c r="AO75" s="1736" t="s">
        <v>1420</v>
      </c>
      <c r="AP75" s="386"/>
      <c r="AR75" s="481"/>
      <c r="AT75" s="457"/>
      <c r="BA75" s="386"/>
      <c r="BB75" s="386"/>
      <c r="BC75" s="598"/>
      <c r="BQ75"/>
      <c r="BR75"/>
      <c r="BS75" s="356"/>
      <c r="CB75" s="215"/>
      <c r="CC75" s="215"/>
      <c r="CL75" s="470"/>
      <c r="CM75" s="470"/>
      <c r="CN75" s="470"/>
      <c r="CO75" s="470"/>
      <c r="CP75" s="470"/>
      <c r="CQ75" s="470"/>
      <c r="CR75" s="470"/>
    </row>
    <row r="80" spans="1:96" x14ac:dyDescent="0.25">
      <c r="A80" s="1806" t="s">
        <v>865</v>
      </c>
    </row>
    <row r="81" spans="1:86" x14ac:dyDescent="0.25">
      <c r="A81" s="1773" t="s">
        <v>1005</v>
      </c>
    </row>
    <row r="82" spans="1:86" ht="27" customHeight="1" x14ac:dyDescent="0.25">
      <c r="AK82" s="215"/>
      <c r="AL82" s="215"/>
      <c r="AM82" s="215"/>
      <c r="AN82" s="215"/>
      <c r="AO82" s="215"/>
      <c r="AQ82" s="215"/>
      <c r="AS82" s="215"/>
      <c r="AT82" s="215"/>
      <c r="AU82" s="215"/>
      <c r="AV82" s="215"/>
      <c r="AW82" s="215"/>
      <c r="AX82" s="215"/>
      <c r="AY82" s="215"/>
      <c r="AZ82" s="215"/>
      <c r="BA82" s="356"/>
    </row>
    <row r="83" spans="1:86" hidden="1" x14ac:dyDescent="0.25">
      <c r="A83" s="237"/>
    </row>
    <row r="84" spans="1:86" s="474" customFormat="1" ht="10.5" hidden="1" x14ac:dyDescent="0.15">
      <c r="A84" s="478"/>
      <c r="B84" s="1805">
        <f>SUM(D12:AQ37,D43:H43,E48:AO48,D56:AN62)</f>
        <v>0</v>
      </c>
      <c r="C84" s="465" t="s">
        <v>350</v>
      </c>
      <c r="AK84" s="406"/>
      <c r="AL84" s="406"/>
      <c r="AM84" s="406"/>
      <c r="AN84" s="406"/>
      <c r="AO84" s="406"/>
      <c r="AP84" s="414"/>
      <c r="AQ84" s="406"/>
      <c r="AR84" s="466"/>
      <c r="AS84" s="406"/>
      <c r="AT84" s="406"/>
      <c r="AU84" s="406"/>
      <c r="AV84" s="406"/>
      <c r="AW84" s="406"/>
      <c r="AX84" s="406"/>
      <c r="AY84" s="406"/>
      <c r="AZ84" s="406"/>
      <c r="BA84" s="406"/>
      <c r="CH84" s="473"/>
    </row>
    <row r="85" spans="1:86" s="474" customFormat="1" ht="18.75" hidden="1" customHeight="1" x14ac:dyDescent="0.15">
      <c r="A85" s="478"/>
      <c r="B85" s="1805" t="e">
        <f>SUM(CJ11:CP75)</f>
        <v>#VALUE!</v>
      </c>
      <c r="C85" s="465" t="s">
        <v>351</v>
      </c>
      <c r="AK85" s="406"/>
      <c r="AL85" s="406"/>
      <c r="AM85" s="406"/>
      <c r="AN85" s="406"/>
      <c r="AO85" s="406"/>
      <c r="AP85" s="414"/>
      <c r="AQ85" s="406"/>
      <c r="AR85" s="466"/>
      <c r="AS85" s="406"/>
      <c r="AT85" s="406"/>
      <c r="AU85" s="406"/>
      <c r="AV85" s="406"/>
      <c r="AW85" s="406"/>
      <c r="AX85" s="406"/>
      <c r="AY85" s="406"/>
      <c r="AZ85" s="406"/>
      <c r="BA85" s="406"/>
    </row>
    <row r="86" spans="1:86" hidden="1" x14ac:dyDescent="0.25">
      <c r="A86" s="237"/>
    </row>
    <row r="87" spans="1:86" x14ac:dyDescent="0.25">
      <c r="A87" s="237"/>
    </row>
    <row r="88" spans="1:86" x14ac:dyDescent="0.25">
      <c r="A88" s="1806" t="s">
        <v>1200</v>
      </c>
    </row>
    <row r="89" spans="1:86" x14ac:dyDescent="0.25">
      <c r="A89" s="1807" t="s">
        <v>1303</v>
      </c>
    </row>
    <row r="90" spans="1:86" x14ac:dyDescent="0.25">
      <c r="A90" s="1807" t="s">
        <v>1304</v>
      </c>
    </row>
    <row r="91" spans="1:86" x14ac:dyDescent="0.25">
      <c r="A91" s="1807" t="s">
        <v>1305</v>
      </c>
    </row>
    <row r="92" spans="1:86" ht="13.5" customHeight="1" x14ac:dyDescent="0.25">
      <c r="A92" s="1807" t="s">
        <v>1306</v>
      </c>
    </row>
    <row r="93" spans="1:86" ht="18.75" customHeight="1" x14ac:dyDescent="0.25">
      <c r="A93" s="1807" t="s">
        <v>1307</v>
      </c>
    </row>
    <row r="94" spans="1:86" x14ac:dyDescent="0.25">
      <c r="A94" s="1807" t="s">
        <v>1308</v>
      </c>
    </row>
    <row r="95" spans="1:86" x14ac:dyDescent="0.25">
      <c r="A95" s="1807" t="s">
        <v>1309</v>
      </c>
    </row>
    <row r="96" spans="1:86" x14ac:dyDescent="0.25">
      <c r="A96" s="1807" t="s">
        <v>1310</v>
      </c>
    </row>
    <row r="97" spans="1:1" x14ac:dyDescent="0.25">
      <c r="A97" s="1807" t="s">
        <v>1311</v>
      </c>
    </row>
    <row r="98" spans="1:1" x14ac:dyDescent="0.25">
      <c r="A98" s="1807" t="s">
        <v>1312</v>
      </c>
    </row>
    <row r="99" spans="1:1" x14ac:dyDescent="0.25">
      <c r="A99" s="1807" t="s">
        <v>1313</v>
      </c>
    </row>
    <row r="100" spans="1:1" x14ac:dyDescent="0.25">
      <c r="A100" s="1807" t="s">
        <v>1314</v>
      </c>
    </row>
    <row r="101" spans="1:1" x14ac:dyDescent="0.25">
      <c r="A101" s="1807" t="s">
        <v>1315</v>
      </c>
    </row>
  </sheetData>
  <mergeCells count="113">
    <mergeCell ref="H64:AO64"/>
    <mergeCell ref="AN65:AO65"/>
    <mergeCell ref="B67:C69"/>
    <mergeCell ref="B70:C72"/>
    <mergeCell ref="B73:C75"/>
    <mergeCell ref="T65:U65"/>
    <mergeCell ref="V65:W65"/>
    <mergeCell ref="H65:I65"/>
    <mergeCell ref="J65:K65"/>
    <mergeCell ref="L65:M65"/>
    <mergeCell ref="N65:O65"/>
    <mergeCell ref="P65:Q65"/>
    <mergeCell ref="R65:S65"/>
    <mergeCell ref="X65:Y65"/>
    <mergeCell ref="Z65:AA65"/>
    <mergeCell ref="AB65:AC65"/>
    <mergeCell ref="AD65:AE65"/>
    <mergeCell ref="AF65:AG65"/>
    <mergeCell ref="AH65:AI65"/>
    <mergeCell ref="AJ65:AK65"/>
    <mergeCell ref="AL65:AM65"/>
    <mergeCell ref="AP9:AQ10"/>
    <mergeCell ref="B48:C51"/>
    <mergeCell ref="B45:D47"/>
    <mergeCell ref="B64:C66"/>
    <mergeCell ref="D64:D66"/>
    <mergeCell ref="E64:G65"/>
    <mergeCell ref="B7:Z7"/>
    <mergeCell ref="B9:C11"/>
    <mergeCell ref="D9:F10"/>
    <mergeCell ref="U10:V10"/>
    <mergeCell ref="G10:H10"/>
    <mergeCell ref="Y10:Z10"/>
    <mergeCell ref="W10:X10"/>
    <mergeCell ref="B44:AN44"/>
    <mergeCell ref="P46:Q46"/>
    <mergeCell ref="AL46:AM46"/>
    <mergeCell ref="Z46:AA46"/>
    <mergeCell ref="V46:W46"/>
    <mergeCell ref="X46:Y46"/>
    <mergeCell ref="AB46:AC46"/>
    <mergeCell ref="R46:S46"/>
    <mergeCell ref="AN46:AO46"/>
    <mergeCell ref="H45:AO45"/>
    <mergeCell ref="AD46:AE46"/>
    <mergeCell ref="D41:D42"/>
    <mergeCell ref="B29:C29"/>
    <mergeCell ref="B30:C30"/>
    <mergeCell ref="B22:C22"/>
    <mergeCell ref="B23:C23"/>
    <mergeCell ref="B24:C24"/>
    <mergeCell ref="B32:B34"/>
    <mergeCell ref="B27:C27"/>
    <mergeCell ref="B28:C28"/>
    <mergeCell ref="B40:AQ40"/>
    <mergeCell ref="E41:H41"/>
    <mergeCell ref="B20:C20"/>
    <mergeCell ref="B12:B14"/>
    <mergeCell ref="B15:B17"/>
    <mergeCell ref="B18:B19"/>
    <mergeCell ref="B41:C42"/>
    <mergeCell ref="B26:C26"/>
    <mergeCell ref="B31:C31"/>
    <mergeCell ref="B21:C21"/>
    <mergeCell ref="B35:B38"/>
    <mergeCell ref="AO9:AO11"/>
    <mergeCell ref="I10:J10"/>
    <mergeCell ref="K10:L10"/>
    <mergeCell ref="M10:N10"/>
    <mergeCell ref="O10:P10"/>
    <mergeCell ref="AG10:AH10"/>
    <mergeCell ref="AI10:AJ10"/>
    <mergeCell ref="G9:AN9"/>
    <mergeCell ref="AK10:AL10"/>
    <mergeCell ref="S10:T10"/>
    <mergeCell ref="AM10:AN10"/>
    <mergeCell ref="Q10:R10"/>
    <mergeCell ref="AE10:AF10"/>
    <mergeCell ref="AA10:AB10"/>
    <mergeCell ref="AC10:AD10"/>
    <mergeCell ref="B43:C43"/>
    <mergeCell ref="N46:O46"/>
    <mergeCell ref="B52:AN52"/>
    <mergeCell ref="L46:M46"/>
    <mergeCell ref="B60:B62"/>
    <mergeCell ref="AC54:AD54"/>
    <mergeCell ref="AE54:AF54"/>
    <mergeCell ref="I54:J54"/>
    <mergeCell ref="K54:L54"/>
    <mergeCell ref="M54:N54"/>
    <mergeCell ref="O54:P54"/>
    <mergeCell ref="Q54:R54"/>
    <mergeCell ref="S54:T54"/>
    <mergeCell ref="U54:V54"/>
    <mergeCell ref="B56:B59"/>
    <mergeCell ref="G54:H54"/>
    <mergeCell ref="J46:K46"/>
    <mergeCell ref="AG54:AH54"/>
    <mergeCell ref="AI54:AJ54"/>
    <mergeCell ref="B53:C55"/>
    <mergeCell ref="D53:F54"/>
    <mergeCell ref="G53:AN53"/>
    <mergeCell ref="AF46:AG46"/>
    <mergeCell ref="E45:G46"/>
    <mergeCell ref="H46:I46"/>
    <mergeCell ref="Y54:Z54"/>
    <mergeCell ref="AA54:AB54"/>
    <mergeCell ref="AK54:AL54"/>
    <mergeCell ref="AM54:AN54"/>
    <mergeCell ref="T46:U46"/>
    <mergeCell ref="W54:X54"/>
    <mergeCell ref="AH46:AI46"/>
    <mergeCell ref="AJ46:AK46"/>
  </mergeCells>
  <phoneticPr fontId="27" type="noConversion"/>
  <dataValidations count="1">
    <dataValidation allowBlank="1" showInputMessage="1" showErrorMessage="1" errorTitle=" Error de ingreso" error="Debe ingresar sólo números enteros positivos." sqref="B1:XFD1048576 A1:A11 A39:A42 A115:A1048576 A63:A80 A44:A55 A83:A101"/>
  </dataValidations>
  <pageMargins left="0.70866141732283472" right="0.70866141732283472" top="0.74803149606299213" bottom="0.74803149606299213" header="0.31496062992125984" footer="0.31496062992125984"/>
  <pageSetup scale="50" pageOrder="overThenDown" orientation="landscape" r:id="rId1"/>
  <rowBreaks count="1" manualBreakCount="1">
    <brk id="39" max="16383" man="1"/>
  </rowBreaks>
  <colBreaks count="1" manualBreakCount="1">
    <brk id="20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0" tint="-0.14999847407452621"/>
  </sheetPr>
  <dimension ref="A1:EA98"/>
  <sheetViews>
    <sheetView showGridLines="0" zoomScaleNormal="100" workbookViewId="0"/>
  </sheetViews>
  <sheetFormatPr baseColWidth="10" defaultColWidth="11.42578125" defaultRowHeight="10.5" x14ac:dyDescent="0.15"/>
  <cols>
    <col min="1" max="1" width="20.28515625" style="216" customWidth="1"/>
    <col min="2" max="2" width="32.28515625" style="215" customWidth="1"/>
    <col min="3" max="3" width="52.5703125" style="215" customWidth="1"/>
    <col min="4" max="4" width="12.5703125" style="215" customWidth="1"/>
    <col min="5" max="5" width="10.140625" style="215" customWidth="1"/>
    <col min="6" max="6" width="9.7109375" style="215" customWidth="1"/>
    <col min="7" max="16" width="8.85546875" style="215" customWidth="1"/>
    <col min="17" max="17" width="8.85546875" style="237" customWidth="1"/>
    <col min="18" max="26" width="8.85546875" style="215" customWidth="1"/>
    <col min="27" max="37" width="8.85546875" style="216" customWidth="1"/>
    <col min="38" max="38" width="9.5703125" style="216" customWidth="1"/>
    <col min="39" max="39" width="16.42578125" style="594" customWidth="1"/>
    <col min="40" max="40" width="22" style="594" customWidth="1"/>
    <col min="41" max="50" width="11.42578125" style="594" customWidth="1"/>
    <col min="51" max="51" width="10.85546875" style="594" customWidth="1"/>
    <col min="52" max="53" width="11.42578125" style="594" customWidth="1"/>
    <col min="54" max="55" width="16.42578125" style="406" hidden="1" customWidth="1"/>
    <col min="56" max="124" width="16.42578125" style="474" hidden="1" customWidth="1"/>
    <col min="125" max="125" width="16.42578125" style="216" hidden="1" customWidth="1"/>
    <col min="126" max="131" width="11.42578125" style="216" hidden="1" customWidth="1"/>
    <col min="132" max="16384" width="11.42578125" style="216"/>
  </cols>
  <sheetData>
    <row r="1" spans="1:131" s="481" customFormat="1" ht="13.5" customHeight="1" x14ac:dyDescent="0.15">
      <c r="B1" s="148" t="s">
        <v>0</v>
      </c>
      <c r="C1" s="149"/>
      <c r="D1" s="149"/>
      <c r="E1" s="149"/>
      <c r="F1" s="149"/>
      <c r="G1" s="149"/>
      <c r="H1" s="149"/>
      <c r="I1" s="149"/>
      <c r="J1" s="70"/>
      <c r="K1" s="70"/>
      <c r="L1" s="460"/>
      <c r="M1" s="460"/>
      <c r="N1" s="460"/>
      <c r="O1" s="460"/>
      <c r="P1" s="460"/>
      <c r="Q1" s="460"/>
      <c r="R1" s="460"/>
      <c r="S1" s="46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BB1" s="414"/>
      <c r="BC1" s="414"/>
      <c r="BD1" s="391"/>
      <c r="BE1" s="391"/>
      <c r="BF1" s="391"/>
      <c r="BG1" s="391"/>
      <c r="BH1" s="391"/>
      <c r="BI1" s="391"/>
      <c r="BJ1" s="391"/>
      <c r="BK1" s="391"/>
      <c r="BL1" s="391"/>
      <c r="BM1" s="391"/>
      <c r="BN1" s="391"/>
      <c r="BO1" s="391"/>
      <c r="BP1" s="391"/>
      <c r="BQ1" s="391"/>
      <c r="BR1" s="391"/>
      <c r="BS1" s="391"/>
      <c r="BT1" s="391"/>
      <c r="BU1" s="391"/>
      <c r="BV1" s="391"/>
      <c r="BW1" s="391"/>
      <c r="BX1" s="391"/>
      <c r="BY1" s="391"/>
      <c r="BZ1" s="391"/>
      <c r="CA1" s="391"/>
      <c r="CB1" s="391"/>
      <c r="CC1" s="391"/>
      <c r="CD1" s="391"/>
      <c r="CE1" s="391"/>
      <c r="CF1" s="391"/>
      <c r="CG1" s="391"/>
      <c r="CH1" s="391"/>
      <c r="CI1" s="391"/>
      <c r="CJ1" s="391"/>
      <c r="CK1" s="391"/>
      <c r="CL1" s="391"/>
      <c r="CM1" s="391"/>
      <c r="CN1" s="391"/>
      <c r="CO1" s="391"/>
      <c r="CP1" s="391"/>
      <c r="CQ1" s="391"/>
      <c r="CR1" s="391"/>
      <c r="CS1" s="391"/>
      <c r="CT1" s="391"/>
      <c r="CU1" s="391"/>
      <c r="CV1" s="391"/>
      <c r="CW1" s="391"/>
      <c r="CX1" s="391"/>
      <c r="CY1" s="391"/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70"/>
      <c r="DV1" s="70"/>
      <c r="DW1" s="70"/>
      <c r="DX1" s="70"/>
      <c r="DY1" s="70"/>
      <c r="DZ1" s="70"/>
      <c r="EA1" s="70"/>
    </row>
    <row r="2" spans="1:131" s="481" customFormat="1" ht="13.5" customHeight="1" x14ac:dyDescent="0.15">
      <c r="B2" s="148" t="str">
        <f>CONCATENATE("COMUNA: ",NOMBRE!$B$2," - ","( ",NOMBRE!$C$2,NOMBRE!$D$2,NOMBRE!$E$2,NOMBRE!$F$2,NOMBRE!$G$2," )")</f>
        <v>COMUNA:  - (  )</v>
      </c>
      <c r="C2" s="149"/>
      <c r="D2" s="149"/>
      <c r="E2" s="149"/>
      <c r="F2" s="149"/>
      <c r="G2" s="149"/>
      <c r="H2" s="149"/>
      <c r="I2" s="149"/>
      <c r="J2" s="70"/>
      <c r="K2" s="70"/>
      <c r="L2" s="460"/>
      <c r="M2" s="460"/>
      <c r="N2" s="460"/>
      <c r="O2" s="460"/>
      <c r="P2" s="460"/>
      <c r="Q2" s="460"/>
      <c r="R2" s="460"/>
      <c r="S2" s="46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BB2" s="414"/>
      <c r="BC2" s="414"/>
      <c r="BD2" s="391"/>
      <c r="BE2" s="391"/>
      <c r="BF2" s="391"/>
      <c r="BG2" s="391"/>
      <c r="BH2" s="391"/>
      <c r="BI2" s="391"/>
      <c r="BJ2" s="391"/>
      <c r="BK2" s="391"/>
      <c r="BL2" s="391"/>
      <c r="BM2" s="391"/>
      <c r="BN2" s="391"/>
      <c r="BO2" s="391"/>
      <c r="BP2" s="391"/>
      <c r="BQ2" s="391"/>
      <c r="BR2" s="391"/>
      <c r="BS2" s="391"/>
      <c r="BT2" s="391"/>
      <c r="BU2" s="391"/>
      <c r="BV2" s="391"/>
      <c r="BW2" s="391"/>
      <c r="BX2" s="391"/>
      <c r="BY2" s="391"/>
      <c r="BZ2" s="391"/>
      <c r="CA2" s="391"/>
      <c r="CB2" s="391"/>
      <c r="CC2" s="391"/>
      <c r="CD2" s="391"/>
      <c r="CE2" s="391"/>
      <c r="CF2" s="391"/>
      <c r="CG2" s="391"/>
      <c r="CH2" s="391"/>
      <c r="CI2" s="391"/>
      <c r="CJ2" s="391"/>
      <c r="CK2" s="391"/>
      <c r="CL2" s="391"/>
      <c r="CM2" s="391"/>
      <c r="CN2" s="391"/>
      <c r="CO2" s="391"/>
      <c r="CP2" s="391"/>
      <c r="CQ2" s="391"/>
      <c r="CR2" s="391"/>
      <c r="CS2" s="391"/>
      <c r="CT2" s="391"/>
      <c r="CU2" s="391"/>
      <c r="CV2" s="391"/>
      <c r="CW2" s="391"/>
      <c r="CX2" s="391"/>
      <c r="CY2" s="391"/>
      <c r="CZ2" s="391"/>
      <c r="DA2" s="391"/>
      <c r="DB2" s="391"/>
      <c r="DC2" s="391"/>
      <c r="DD2" s="391"/>
      <c r="DE2" s="391"/>
      <c r="DF2" s="391"/>
      <c r="DG2" s="391"/>
      <c r="DH2" s="391"/>
      <c r="DI2" s="391"/>
      <c r="DJ2" s="391"/>
      <c r="DK2" s="391"/>
      <c r="DL2" s="391"/>
      <c r="DM2" s="391"/>
      <c r="DN2" s="391"/>
      <c r="DO2" s="391"/>
      <c r="DP2" s="391"/>
      <c r="DQ2" s="391"/>
      <c r="DR2" s="391"/>
      <c r="DS2" s="391"/>
      <c r="DT2" s="391"/>
      <c r="DU2" s="70"/>
      <c r="DV2" s="70"/>
      <c r="DW2" s="70"/>
      <c r="DX2" s="70"/>
      <c r="DY2" s="70"/>
      <c r="DZ2" s="70"/>
      <c r="EA2" s="70"/>
    </row>
    <row r="3" spans="1:131" s="481" customFormat="1" ht="13.5" customHeight="1" x14ac:dyDescent="0.15">
      <c r="B3" s="148" t="str">
        <f>CONCATENATE("ESTABLECIMIENTO/ESTRATEGIA: ",NOMBRE!$B$3," - ","( ",NOMBRE!$C$3,NOMBRE!$D$3,NOMBRE!$E$3,NOMBRE!$F$3,NOMBRE!$G$3,NOMBRE!$H$3," )")</f>
        <v>ESTABLECIMIENTO/ESTRATEGIA:  - (  )</v>
      </c>
      <c r="C3" s="149"/>
      <c r="D3" s="149"/>
      <c r="E3" s="150"/>
      <c r="F3" s="149"/>
      <c r="G3" s="149"/>
      <c r="H3" s="149"/>
      <c r="I3" s="149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BB3" s="414"/>
      <c r="BC3" s="414"/>
      <c r="BD3" s="391"/>
      <c r="BE3" s="391"/>
      <c r="BF3" s="391"/>
      <c r="BG3" s="391"/>
      <c r="BH3" s="391"/>
      <c r="BI3" s="391"/>
      <c r="BJ3" s="391"/>
      <c r="BK3" s="391"/>
      <c r="BL3" s="391"/>
      <c r="BM3" s="391"/>
      <c r="BN3" s="391"/>
      <c r="BO3" s="391"/>
      <c r="BP3" s="391"/>
      <c r="BQ3" s="391"/>
      <c r="BR3" s="391"/>
      <c r="BS3" s="391"/>
      <c r="BT3" s="391"/>
      <c r="BU3" s="391"/>
      <c r="BV3" s="391"/>
      <c r="BW3" s="391"/>
      <c r="BX3" s="391"/>
      <c r="BY3" s="391"/>
      <c r="BZ3" s="391"/>
      <c r="CA3" s="391"/>
      <c r="CB3" s="391"/>
      <c r="CC3" s="391"/>
      <c r="CD3" s="391"/>
      <c r="CE3" s="391"/>
      <c r="CF3" s="391"/>
      <c r="CG3" s="391"/>
      <c r="CH3" s="391"/>
      <c r="CI3" s="391"/>
      <c r="CJ3" s="391"/>
      <c r="CK3" s="391"/>
      <c r="CL3" s="391"/>
      <c r="CM3" s="391"/>
      <c r="CN3" s="391"/>
      <c r="CO3" s="391"/>
      <c r="CP3" s="391"/>
      <c r="CQ3" s="391"/>
      <c r="CR3" s="391"/>
      <c r="CS3" s="391"/>
      <c r="CT3" s="391"/>
      <c r="CU3" s="391"/>
      <c r="CV3" s="391"/>
      <c r="CW3" s="391"/>
      <c r="CX3" s="391"/>
      <c r="CY3" s="391"/>
      <c r="CZ3" s="391"/>
      <c r="DA3" s="391"/>
      <c r="DB3" s="391"/>
      <c r="DC3" s="391"/>
      <c r="DD3" s="391"/>
      <c r="DE3" s="391"/>
      <c r="DF3" s="391"/>
      <c r="DG3" s="391"/>
      <c r="DH3" s="391"/>
      <c r="DI3" s="391"/>
      <c r="DJ3" s="391"/>
      <c r="DK3" s="391"/>
      <c r="DL3" s="391"/>
      <c r="DM3" s="391"/>
      <c r="DN3" s="391"/>
      <c r="DO3" s="391"/>
      <c r="DP3" s="391"/>
      <c r="DQ3" s="391"/>
      <c r="DR3" s="391"/>
      <c r="DS3" s="391"/>
      <c r="DT3" s="391"/>
      <c r="DU3" s="70"/>
      <c r="DV3" s="70"/>
      <c r="DW3" s="70"/>
      <c r="DX3" s="70"/>
      <c r="DY3" s="70"/>
      <c r="DZ3" s="70"/>
      <c r="EA3" s="70"/>
    </row>
    <row r="4" spans="1:131" s="481" customFormat="1" ht="13.5" customHeight="1" x14ac:dyDescent="0.15">
      <c r="B4" s="148" t="str">
        <f>CONCATENATE("MES: ",NOMBRE!$B$6," - ","( ",NOMBRE!$C$6,NOMBRE!$D$6," )")</f>
        <v>MES:  - (  )</v>
      </c>
      <c r="C4" s="149"/>
      <c r="D4" s="149"/>
      <c r="E4" s="149"/>
      <c r="F4" s="149"/>
      <c r="G4" s="149"/>
      <c r="H4" s="149"/>
      <c r="I4" s="149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BB4" s="414"/>
      <c r="BC4" s="414"/>
      <c r="BD4" s="391"/>
      <c r="BE4" s="391"/>
      <c r="BF4" s="391"/>
      <c r="BG4" s="391"/>
      <c r="BH4" s="391"/>
      <c r="BI4" s="391"/>
      <c r="BJ4" s="391"/>
      <c r="BK4" s="391"/>
      <c r="BL4" s="391"/>
      <c r="BM4" s="391"/>
      <c r="BN4" s="391"/>
      <c r="BO4" s="391"/>
      <c r="BP4" s="391"/>
      <c r="BQ4" s="391"/>
      <c r="BR4" s="391"/>
      <c r="BS4" s="391"/>
      <c r="BT4" s="391"/>
      <c r="BU4" s="391"/>
      <c r="BV4" s="391"/>
      <c r="BW4" s="391"/>
      <c r="BX4" s="391"/>
      <c r="BY4" s="391"/>
      <c r="BZ4" s="391"/>
      <c r="CA4" s="391"/>
      <c r="CB4" s="391"/>
      <c r="CC4" s="391"/>
      <c r="CD4" s="391"/>
      <c r="CE4" s="391"/>
      <c r="CF4" s="391"/>
      <c r="CG4" s="391"/>
      <c r="CH4" s="391"/>
      <c r="CI4" s="391"/>
      <c r="CJ4" s="391"/>
      <c r="CK4" s="391"/>
      <c r="CL4" s="391"/>
      <c r="CM4" s="391"/>
      <c r="CN4" s="391"/>
      <c r="CO4" s="391"/>
      <c r="CP4" s="391"/>
      <c r="CQ4" s="391"/>
      <c r="CR4" s="391"/>
      <c r="CS4" s="391"/>
      <c r="CT4" s="391"/>
      <c r="CU4" s="391"/>
      <c r="CV4" s="391"/>
      <c r="CW4" s="391"/>
      <c r="CX4" s="391"/>
      <c r="CY4" s="391"/>
      <c r="CZ4" s="391"/>
      <c r="DA4" s="391"/>
      <c r="DB4" s="391"/>
      <c r="DC4" s="391"/>
      <c r="DD4" s="391"/>
      <c r="DE4" s="391"/>
      <c r="DF4" s="391"/>
      <c r="DG4" s="391"/>
      <c r="DH4" s="391"/>
      <c r="DI4" s="391"/>
      <c r="DJ4" s="391"/>
      <c r="DK4" s="391"/>
      <c r="DL4" s="391"/>
      <c r="DM4" s="391"/>
      <c r="DN4" s="391"/>
      <c r="DO4" s="391"/>
      <c r="DP4" s="391"/>
      <c r="DQ4" s="391"/>
      <c r="DR4" s="391"/>
      <c r="DS4" s="391"/>
      <c r="DT4" s="391"/>
      <c r="DU4" s="70"/>
      <c r="DV4" s="70"/>
      <c r="DW4" s="70"/>
      <c r="DX4" s="70"/>
      <c r="DY4" s="70"/>
      <c r="DZ4" s="70"/>
      <c r="EA4" s="70"/>
    </row>
    <row r="5" spans="1:131" s="481" customFormat="1" ht="13.5" customHeight="1" x14ac:dyDescent="0.15">
      <c r="B5" s="148" t="str">
        <f>CONCATENATE("AÑO: ",NOMBRE!$B$7)</f>
        <v>AÑO: 2021</v>
      </c>
      <c r="C5" s="149"/>
      <c r="D5" s="149"/>
      <c r="E5" s="149"/>
      <c r="F5" s="149"/>
      <c r="G5" s="149"/>
      <c r="H5" s="149"/>
      <c r="I5" s="149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BB5" s="414"/>
      <c r="BC5" s="414"/>
      <c r="BD5" s="391"/>
      <c r="BE5" s="391"/>
      <c r="BF5" s="391"/>
      <c r="BG5" s="391"/>
      <c r="BH5" s="391"/>
      <c r="BI5" s="391"/>
      <c r="BJ5" s="391"/>
      <c r="BK5" s="391"/>
      <c r="BL5" s="391"/>
      <c r="BM5" s="391"/>
      <c r="BN5" s="391"/>
      <c r="BO5" s="391"/>
      <c r="BP5" s="391"/>
      <c r="BQ5" s="391"/>
      <c r="BR5" s="391"/>
      <c r="BS5" s="391"/>
      <c r="BT5" s="391"/>
      <c r="BU5" s="391"/>
      <c r="BV5" s="391"/>
      <c r="BW5" s="391"/>
      <c r="BX5" s="391"/>
      <c r="BY5" s="391"/>
      <c r="BZ5" s="391"/>
      <c r="CA5" s="391"/>
      <c r="CB5" s="391"/>
      <c r="CC5" s="391"/>
      <c r="CD5" s="391"/>
      <c r="CE5" s="391"/>
      <c r="CF5" s="391"/>
      <c r="CG5" s="391"/>
      <c r="CH5" s="391"/>
      <c r="CI5" s="391"/>
      <c r="CJ5" s="391"/>
      <c r="CK5" s="391"/>
      <c r="CL5" s="391"/>
      <c r="CM5" s="391"/>
      <c r="CN5" s="391"/>
      <c r="CO5" s="391"/>
      <c r="CP5" s="391"/>
      <c r="CQ5" s="391"/>
      <c r="CR5" s="391"/>
      <c r="CS5" s="391"/>
      <c r="CT5" s="391"/>
      <c r="CU5" s="391"/>
      <c r="CV5" s="391"/>
      <c r="CW5" s="391"/>
      <c r="CX5" s="391"/>
      <c r="CY5" s="391"/>
      <c r="CZ5" s="391"/>
      <c r="DA5" s="391"/>
      <c r="DB5" s="391"/>
      <c r="DC5" s="391"/>
      <c r="DD5" s="391"/>
      <c r="DE5" s="391"/>
      <c r="DF5" s="391"/>
      <c r="DG5" s="391"/>
      <c r="DH5" s="391"/>
      <c r="DI5" s="391"/>
      <c r="DJ5" s="391"/>
      <c r="DK5" s="391"/>
      <c r="DL5" s="391"/>
      <c r="DM5" s="391"/>
      <c r="DN5" s="391"/>
      <c r="DO5" s="391"/>
      <c r="DP5" s="391"/>
      <c r="DQ5" s="391"/>
      <c r="DR5" s="391"/>
      <c r="DS5" s="391"/>
      <c r="DT5" s="391"/>
      <c r="DU5" s="70"/>
      <c r="DV5" s="70"/>
      <c r="DW5" s="70"/>
      <c r="DX5" s="70"/>
      <c r="DY5" s="70"/>
      <c r="DZ5" s="70"/>
      <c r="EA5" s="70"/>
    </row>
    <row r="6" spans="1:131" s="481" customFormat="1" ht="15" customHeight="1" x14ac:dyDescent="0.15">
      <c r="B6" s="183"/>
      <c r="C6" s="149"/>
      <c r="D6" s="149"/>
      <c r="E6" s="149"/>
      <c r="F6" s="149"/>
      <c r="G6" s="149"/>
      <c r="H6" s="149"/>
      <c r="I6" s="149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460"/>
      <c r="X6" s="70"/>
      <c r="Y6" s="70"/>
      <c r="Z6" s="70"/>
      <c r="AA6" s="215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BB6" s="414"/>
      <c r="BC6" s="414"/>
      <c r="BD6" s="391"/>
      <c r="BE6" s="391"/>
      <c r="BF6" s="391"/>
      <c r="BG6" s="391"/>
      <c r="BH6" s="391"/>
      <c r="BI6" s="391"/>
      <c r="BJ6" s="391"/>
      <c r="BK6" s="391"/>
      <c r="BL6" s="391"/>
      <c r="BM6" s="391"/>
      <c r="BN6" s="391"/>
      <c r="BO6" s="391"/>
      <c r="BP6" s="391"/>
      <c r="BQ6" s="391"/>
      <c r="BR6" s="391"/>
      <c r="BS6" s="391"/>
      <c r="BT6" s="391"/>
      <c r="BU6" s="391"/>
      <c r="BV6" s="391"/>
      <c r="BW6" s="391"/>
      <c r="BX6" s="391"/>
      <c r="BY6" s="391"/>
      <c r="BZ6" s="391"/>
      <c r="CA6" s="391"/>
      <c r="CB6" s="391"/>
      <c r="CC6" s="391"/>
      <c r="CD6" s="391"/>
      <c r="CE6" s="391"/>
      <c r="CF6" s="391"/>
      <c r="CG6" s="391"/>
      <c r="CH6" s="391"/>
      <c r="CI6" s="391"/>
      <c r="CJ6" s="391"/>
      <c r="CK6" s="391"/>
      <c r="CL6" s="391"/>
      <c r="CM6" s="391"/>
      <c r="CN6" s="391"/>
      <c r="CO6" s="391"/>
      <c r="CP6" s="391"/>
      <c r="CQ6" s="391"/>
      <c r="CR6" s="391"/>
      <c r="CS6" s="391"/>
      <c r="CT6" s="391"/>
      <c r="CU6" s="391"/>
      <c r="CV6" s="391"/>
      <c r="CW6" s="391"/>
      <c r="CX6" s="391"/>
      <c r="CY6" s="391"/>
      <c r="CZ6" s="391"/>
      <c r="DA6" s="391"/>
      <c r="DB6" s="391"/>
      <c r="DC6" s="391"/>
      <c r="DD6" s="391"/>
      <c r="DE6" s="391"/>
      <c r="DF6" s="391"/>
      <c r="DG6" s="391"/>
      <c r="DH6" s="391"/>
      <c r="DI6" s="391"/>
      <c r="DJ6" s="391"/>
      <c r="DK6" s="391"/>
      <c r="DL6" s="391"/>
      <c r="DM6" s="391"/>
      <c r="DN6" s="391"/>
      <c r="DO6" s="391"/>
      <c r="DP6" s="391"/>
      <c r="DQ6" s="391"/>
      <c r="DR6" s="391"/>
      <c r="DS6" s="391"/>
      <c r="DT6" s="391"/>
      <c r="DU6" s="70"/>
      <c r="DV6" s="70"/>
      <c r="DW6" s="70"/>
      <c r="DX6" s="70"/>
      <c r="DY6" s="70"/>
      <c r="DZ6" s="70"/>
      <c r="EA6" s="70"/>
    </row>
    <row r="7" spans="1:131" ht="21.75" customHeight="1" x14ac:dyDescent="0.15">
      <c r="B7" s="2255" t="s">
        <v>584</v>
      </c>
      <c r="C7" s="2255"/>
      <c r="D7" s="2255"/>
      <c r="E7" s="2255"/>
      <c r="F7" s="2255"/>
      <c r="G7" s="2255"/>
      <c r="H7" s="2255"/>
      <c r="I7" s="2255"/>
      <c r="J7" s="2255"/>
      <c r="K7" s="2255"/>
      <c r="L7" s="2255"/>
      <c r="M7" s="2255"/>
      <c r="N7" s="2255"/>
      <c r="O7" s="2255"/>
      <c r="P7" s="2255"/>
      <c r="Q7" s="2255"/>
      <c r="R7" s="2255"/>
      <c r="S7" s="2255"/>
      <c r="T7" s="2255"/>
      <c r="U7" s="2255"/>
      <c r="V7" s="2255"/>
      <c r="AA7" s="215"/>
    </row>
    <row r="8" spans="1:131" ht="43.5" customHeight="1" x14ac:dyDescent="0.2">
      <c r="B8" s="1285" t="s">
        <v>175</v>
      </c>
      <c r="C8" s="655"/>
      <c r="D8" s="645"/>
      <c r="E8" s="645"/>
      <c r="F8" s="645"/>
      <c r="G8" s="645"/>
      <c r="H8" s="645"/>
      <c r="I8" s="645"/>
      <c r="J8" s="645"/>
      <c r="K8" s="645"/>
      <c r="L8" s="645"/>
      <c r="M8" s="645"/>
      <c r="N8" s="645"/>
      <c r="O8" s="186"/>
      <c r="P8" s="645"/>
      <c r="Q8" s="645"/>
      <c r="R8" s="173"/>
      <c r="U8" s="646"/>
      <c r="AA8" s="215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474"/>
      <c r="BC8" s="474"/>
    </row>
    <row r="9" spans="1:131" ht="13.5" customHeight="1" x14ac:dyDescent="0.15">
      <c r="B9" s="2209" t="s">
        <v>170</v>
      </c>
      <c r="C9" s="2252"/>
      <c r="D9" s="2251" t="s">
        <v>222</v>
      </c>
      <c r="E9" s="2210"/>
      <c r="F9" s="2252"/>
      <c r="G9" s="2103" t="s">
        <v>142</v>
      </c>
      <c r="H9" s="2202"/>
      <c r="I9" s="2202"/>
      <c r="J9" s="2202"/>
      <c r="K9" s="2202"/>
      <c r="L9" s="2202"/>
      <c r="M9" s="2202"/>
      <c r="N9" s="2202"/>
      <c r="O9" s="2202"/>
      <c r="P9" s="2202"/>
      <c r="Q9" s="2202"/>
      <c r="R9" s="2202"/>
      <c r="S9" s="2202"/>
      <c r="T9" s="2202"/>
      <c r="U9" s="2202"/>
      <c r="V9" s="2202"/>
      <c r="W9" s="2202"/>
      <c r="X9" s="2202"/>
      <c r="Y9" s="2202"/>
      <c r="Z9" s="2202"/>
      <c r="AA9" s="2202"/>
      <c r="AB9" s="2202"/>
      <c r="AC9" s="2202"/>
      <c r="AD9" s="2202"/>
      <c r="AE9" s="2202"/>
      <c r="AF9" s="2202"/>
      <c r="AG9" s="2202"/>
      <c r="AH9" s="2202"/>
      <c r="AI9" s="2235" t="s">
        <v>17</v>
      </c>
      <c r="AJ9" s="2236"/>
      <c r="AK9" s="1993" t="s">
        <v>527</v>
      </c>
      <c r="AL9" s="1993"/>
      <c r="AM9" s="2073" t="s">
        <v>176</v>
      </c>
      <c r="AN9" s="487"/>
      <c r="AO9" s="412"/>
      <c r="AP9" s="412"/>
      <c r="AQ9" s="412"/>
      <c r="AR9" s="412"/>
      <c r="AS9" s="412"/>
      <c r="AT9" s="412"/>
      <c r="AU9" s="412"/>
      <c r="AV9" s="412"/>
      <c r="AW9" s="412"/>
      <c r="AX9" s="412"/>
      <c r="AY9" s="412"/>
      <c r="AZ9" s="412"/>
      <c r="BA9" s="412"/>
      <c r="BB9" s="488"/>
      <c r="BC9" s="488"/>
      <c r="BD9" s="406"/>
      <c r="BE9" s="2222" t="s">
        <v>17</v>
      </c>
      <c r="BF9" s="2222"/>
      <c r="BG9" s="2254" t="s">
        <v>527</v>
      </c>
      <c r="BH9" s="2254"/>
      <c r="BI9" s="2222" t="s">
        <v>176</v>
      </c>
      <c r="BK9" s="2222" t="s">
        <v>17</v>
      </c>
      <c r="BL9" s="2222" t="s">
        <v>527</v>
      </c>
    </row>
    <row r="10" spans="1:131" ht="13.5" customHeight="1" x14ac:dyDescent="0.15">
      <c r="B10" s="2256"/>
      <c r="C10" s="2257"/>
      <c r="D10" s="2212"/>
      <c r="E10" s="2213"/>
      <c r="F10" s="2214"/>
      <c r="G10" s="2217" t="s">
        <v>19</v>
      </c>
      <c r="H10" s="2253"/>
      <c r="I10" s="2217" t="s">
        <v>20</v>
      </c>
      <c r="J10" s="2253"/>
      <c r="K10" s="2084" t="s">
        <v>21</v>
      </c>
      <c r="L10" s="2084"/>
      <c r="M10" s="2085" t="s">
        <v>22</v>
      </c>
      <c r="N10" s="2086"/>
      <c r="O10" s="2084" t="s">
        <v>23</v>
      </c>
      <c r="P10" s="2084"/>
      <c r="Q10" s="2085" t="s">
        <v>24</v>
      </c>
      <c r="R10" s="2086"/>
      <c r="S10" s="2084" t="s">
        <v>25</v>
      </c>
      <c r="T10" s="2084"/>
      <c r="U10" s="2085" t="s">
        <v>26</v>
      </c>
      <c r="V10" s="2086"/>
      <c r="W10" s="2084" t="s">
        <v>234</v>
      </c>
      <c r="X10" s="2084"/>
      <c r="Y10" s="2085" t="s">
        <v>235</v>
      </c>
      <c r="Z10" s="2086"/>
      <c r="AA10" s="2087" t="s">
        <v>207</v>
      </c>
      <c r="AB10" s="2088"/>
      <c r="AC10" s="2087" t="s">
        <v>208</v>
      </c>
      <c r="AD10" s="2088"/>
      <c r="AE10" s="2087" t="s">
        <v>209</v>
      </c>
      <c r="AF10" s="2088"/>
      <c r="AG10" s="2087" t="s">
        <v>221</v>
      </c>
      <c r="AH10" s="2104"/>
      <c r="AI10" s="2237"/>
      <c r="AJ10" s="2094"/>
      <c r="AK10" s="1995"/>
      <c r="AL10" s="1995"/>
      <c r="AM10" s="2175"/>
      <c r="AN10" s="445"/>
      <c r="AO10" s="445"/>
      <c r="AP10" s="412"/>
      <c r="AQ10" s="412"/>
      <c r="AR10" s="412"/>
      <c r="AS10" s="412"/>
      <c r="AT10" s="412"/>
      <c r="AU10" s="412"/>
      <c r="AV10" s="412"/>
      <c r="AW10" s="412"/>
      <c r="AX10" s="412"/>
      <c r="AY10" s="412"/>
      <c r="AZ10" s="412"/>
      <c r="BA10" s="412"/>
      <c r="BB10" s="488"/>
      <c r="BC10" s="488"/>
      <c r="BD10" s="406"/>
      <c r="BE10" s="2222"/>
      <c r="BF10" s="2222"/>
      <c r="BG10" s="2254"/>
      <c r="BH10" s="2254"/>
      <c r="BI10" s="2222"/>
      <c r="BK10" s="2222"/>
      <c r="BL10" s="2222"/>
    </row>
    <row r="11" spans="1:131" ht="23.25" customHeight="1" x14ac:dyDescent="0.15">
      <c r="B11" s="2212"/>
      <c r="C11" s="2214"/>
      <c r="D11" s="154" t="s">
        <v>412</v>
      </c>
      <c r="E11" s="184" t="s">
        <v>33</v>
      </c>
      <c r="F11" s="439" t="s">
        <v>100</v>
      </c>
      <c r="G11" s="177" t="s">
        <v>33</v>
      </c>
      <c r="H11" s="439" t="s">
        <v>100</v>
      </c>
      <c r="I11" s="177" t="s">
        <v>33</v>
      </c>
      <c r="J11" s="439" t="s">
        <v>100</v>
      </c>
      <c r="K11" s="177" t="s">
        <v>33</v>
      </c>
      <c r="L11" s="439" t="s">
        <v>100</v>
      </c>
      <c r="M11" s="177" t="s">
        <v>33</v>
      </c>
      <c r="N11" s="439" t="s">
        <v>100</v>
      </c>
      <c r="O11" s="177" t="s">
        <v>33</v>
      </c>
      <c r="P11" s="439" t="s">
        <v>100</v>
      </c>
      <c r="Q11" s="177" t="s">
        <v>33</v>
      </c>
      <c r="R11" s="439" t="s">
        <v>100</v>
      </c>
      <c r="S11" s="177" t="s">
        <v>33</v>
      </c>
      <c r="T11" s="439" t="s">
        <v>100</v>
      </c>
      <c r="U11" s="177" t="s">
        <v>33</v>
      </c>
      <c r="V11" s="439" t="s">
        <v>100</v>
      </c>
      <c r="W11" s="177" t="s">
        <v>33</v>
      </c>
      <c r="X11" s="439" t="s">
        <v>100</v>
      </c>
      <c r="Y11" s="177" t="s">
        <v>33</v>
      </c>
      <c r="Z11" s="439" t="s">
        <v>100</v>
      </c>
      <c r="AA11" s="177" t="s">
        <v>145</v>
      </c>
      <c r="AB11" s="439" t="s">
        <v>100</v>
      </c>
      <c r="AC11" s="177" t="s">
        <v>145</v>
      </c>
      <c r="AD11" s="439" t="s">
        <v>100</v>
      </c>
      <c r="AE11" s="177" t="s">
        <v>145</v>
      </c>
      <c r="AF11" s="439" t="s">
        <v>100</v>
      </c>
      <c r="AG11" s="160" t="s">
        <v>145</v>
      </c>
      <c r="AH11" s="162" t="s">
        <v>100</v>
      </c>
      <c r="AI11" s="1515" t="s">
        <v>33</v>
      </c>
      <c r="AJ11" s="1516" t="s">
        <v>100</v>
      </c>
      <c r="AK11" s="1516" t="s">
        <v>33</v>
      </c>
      <c r="AL11" s="1516" t="s">
        <v>100</v>
      </c>
      <c r="AM11" s="2075"/>
      <c r="AN11" s="186"/>
      <c r="AO11" s="186"/>
      <c r="AP11" s="412"/>
      <c r="AQ11" s="412"/>
      <c r="AR11" s="412"/>
      <c r="AS11" s="412"/>
      <c r="AT11" s="412"/>
      <c r="AU11" s="412"/>
      <c r="AV11" s="412"/>
      <c r="AW11" s="412"/>
      <c r="AX11" s="412"/>
      <c r="AY11" s="412"/>
      <c r="AZ11" s="412"/>
      <c r="BA11" s="412"/>
      <c r="BB11" s="488"/>
      <c r="BC11" s="488"/>
      <c r="BD11" s="406"/>
      <c r="BE11" s="1251" t="s">
        <v>33</v>
      </c>
      <c r="BF11" s="1251" t="s">
        <v>100</v>
      </c>
      <c r="BG11" s="1251" t="s">
        <v>33</v>
      </c>
      <c r="BH11" s="1251" t="s">
        <v>100</v>
      </c>
      <c r="BI11" s="2222"/>
      <c r="BK11" s="1249" t="s">
        <v>625</v>
      </c>
      <c r="BL11" s="1249" t="s">
        <v>625</v>
      </c>
    </row>
    <row r="12" spans="1:131" ht="22.5" customHeight="1" x14ac:dyDescent="0.2">
      <c r="A12" s="1775" t="s">
        <v>1326</v>
      </c>
      <c r="B12" s="2233" t="s">
        <v>177</v>
      </c>
      <c r="C12" s="2234"/>
      <c r="D12" s="998" t="s">
        <v>1384</v>
      </c>
      <c r="E12" s="1012" t="s">
        <v>1385</v>
      </c>
      <c r="F12" s="1013" t="s">
        <v>1386</v>
      </c>
      <c r="G12" s="998" t="s">
        <v>1387</v>
      </c>
      <c r="H12" s="1013" t="s">
        <v>1388</v>
      </c>
      <c r="I12" s="998" t="s">
        <v>1389</v>
      </c>
      <c r="J12" s="1013" t="s">
        <v>1390</v>
      </c>
      <c r="K12" s="998" t="s">
        <v>1391</v>
      </c>
      <c r="L12" s="1013" t="s">
        <v>1392</v>
      </c>
      <c r="M12" s="998" t="s">
        <v>1393</v>
      </c>
      <c r="N12" s="1013" t="s">
        <v>1394</v>
      </c>
      <c r="O12" s="998" t="s">
        <v>1395</v>
      </c>
      <c r="P12" s="1013" t="s">
        <v>1396</v>
      </c>
      <c r="Q12" s="998" t="s">
        <v>1397</v>
      </c>
      <c r="R12" s="1013" t="s">
        <v>1398</v>
      </c>
      <c r="S12" s="998" t="s">
        <v>1399</v>
      </c>
      <c r="T12" s="1013" t="s">
        <v>1400</v>
      </c>
      <c r="U12" s="998" t="s">
        <v>1401</v>
      </c>
      <c r="V12" s="1013" t="s">
        <v>1402</v>
      </c>
      <c r="W12" s="998" t="s">
        <v>1403</v>
      </c>
      <c r="X12" s="1013" t="s">
        <v>1404</v>
      </c>
      <c r="Y12" s="998" t="s">
        <v>1405</v>
      </c>
      <c r="Z12" s="1013" t="s">
        <v>1406</v>
      </c>
      <c r="AA12" s="998" t="s">
        <v>1407</v>
      </c>
      <c r="AB12" s="1013" t="s">
        <v>1408</v>
      </c>
      <c r="AC12" s="998" t="s">
        <v>1409</v>
      </c>
      <c r="AD12" s="1013" t="s">
        <v>1410</v>
      </c>
      <c r="AE12" s="998" t="s">
        <v>1411</v>
      </c>
      <c r="AF12" s="1013" t="s">
        <v>1412</v>
      </c>
      <c r="AG12" s="998" t="s">
        <v>1413</v>
      </c>
      <c r="AH12" s="1014" t="s">
        <v>1414</v>
      </c>
      <c r="AI12" s="1034" t="s">
        <v>1415</v>
      </c>
      <c r="AJ12" s="1517" t="s">
        <v>1416</v>
      </c>
      <c r="AK12" s="1517" t="s">
        <v>1417</v>
      </c>
      <c r="AL12" s="1517" t="s">
        <v>1418</v>
      </c>
      <c r="AM12" s="1509" t="s">
        <v>1419</v>
      </c>
      <c r="AN12" s="81"/>
      <c r="AO12" s="153"/>
      <c r="AP12" s="217"/>
      <c r="AQ12" s="217"/>
      <c r="AR12" s="217"/>
      <c r="AS12" s="217"/>
      <c r="AT12" s="217"/>
      <c r="AU12" s="217"/>
      <c r="AV12" s="217"/>
      <c r="AW12" s="217"/>
      <c r="AX12" s="217"/>
      <c r="AY12" s="217"/>
      <c r="AZ12" s="217"/>
      <c r="BA12" s="217"/>
      <c r="BB12" s="478"/>
      <c r="BC12" s="478"/>
      <c r="BD12" s="406"/>
      <c r="BY12" s="478"/>
      <c r="BZ12" s="478"/>
      <c r="CA12" s="478"/>
      <c r="CB12" s="478"/>
      <c r="CC12" s="478"/>
      <c r="CD12" s="478"/>
      <c r="CE12" s="478"/>
      <c r="CF12" s="478"/>
      <c r="CG12" s="478"/>
      <c r="CH12" s="478"/>
      <c r="CI12" s="478"/>
      <c r="CJ12" s="478"/>
      <c r="CK12" s="478"/>
      <c r="CL12" s="478"/>
      <c r="CM12" s="478"/>
      <c r="CN12" s="478"/>
      <c r="DI12" s="478"/>
      <c r="DJ12" s="478"/>
      <c r="DK12" s="478"/>
      <c r="DL12" s="478"/>
      <c r="DM12" s="478"/>
      <c r="DN12" s="478"/>
      <c r="DO12" s="478"/>
      <c r="DP12" s="478"/>
      <c r="DQ12" s="478"/>
      <c r="DR12" s="478"/>
      <c r="DS12" s="478"/>
      <c r="DT12" s="478"/>
      <c r="DU12" s="217"/>
    </row>
    <row r="13" spans="1:131" ht="22.5" customHeight="1" x14ac:dyDescent="0.2">
      <c r="A13" s="1775" t="s">
        <v>1327</v>
      </c>
      <c r="B13" s="2228" t="s">
        <v>178</v>
      </c>
      <c r="C13" s="187" t="s">
        <v>179</v>
      </c>
      <c r="D13" s="944" t="s">
        <v>1384</v>
      </c>
      <c r="E13" s="1015" t="s">
        <v>1385</v>
      </c>
      <c r="F13" s="1016" t="s">
        <v>1386</v>
      </c>
      <c r="G13" s="953" t="s">
        <v>1387</v>
      </c>
      <c r="H13" s="954" t="s">
        <v>1388</v>
      </c>
      <c r="I13" s="953" t="s">
        <v>1389</v>
      </c>
      <c r="J13" s="954" t="s">
        <v>1390</v>
      </c>
      <c r="K13" s="953" t="s">
        <v>1391</v>
      </c>
      <c r="L13" s="954" t="s">
        <v>1392</v>
      </c>
      <c r="M13" s="953" t="s">
        <v>1393</v>
      </c>
      <c r="N13" s="954" t="s">
        <v>1394</v>
      </c>
      <c r="O13" s="953" t="s">
        <v>1395</v>
      </c>
      <c r="P13" s="954" t="s">
        <v>1396</v>
      </c>
      <c r="Q13" s="953" t="s">
        <v>1397</v>
      </c>
      <c r="R13" s="954" t="s">
        <v>1398</v>
      </c>
      <c r="S13" s="953" t="s">
        <v>1399</v>
      </c>
      <c r="T13" s="954" t="s">
        <v>1400</v>
      </c>
      <c r="U13" s="953" t="s">
        <v>1401</v>
      </c>
      <c r="V13" s="954" t="s">
        <v>1402</v>
      </c>
      <c r="W13" s="953" t="s">
        <v>1403</v>
      </c>
      <c r="X13" s="954" t="s">
        <v>1404</v>
      </c>
      <c r="Y13" s="953" t="s">
        <v>1405</v>
      </c>
      <c r="Z13" s="954" t="s">
        <v>1406</v>
      </c>
      <c r="AA13" s="953" t="s">
        <v>1407</v>
      </c>
      <c r="AB13" s="954" t="s">
        <v>1408</v>
      </c>
      <c r="AC13" s="953" t="s">
        <v>1409</v>
      </c>
      <c r="AD13" s="954" t="s">
        <v>1410</v>
      </c>
      <c r="AE13" s="953" t="s">
        <v>1411</v>
      </c>
      <c r="AF13" s="954" t="s">
        <v>1412</v>
      </c>
      <c r="AG13" s="953" t="s">
        <v>1413</v>
      </c>
      <c r="AH13" s="965" t="s">
        <v>1414</v>
      </c>
      <c r="AI13" s="1518" t="s">
        <v>1415</v>
      </c>
      <c r="AJ13" s="1519" t="s">
        <v>1416</v>
      </c>
      <c r="AK13" s="1519" t="s">
        <v>1417</v>
      </c>
      <c r="AL13" s="1519" t="s">
        <v>1418</v>
      </c>
      <c r="AM13" s="1510" t="s">
        <v>1419</v>
      </c>
      <c r="AN13" s="81" t="str">
        <f xml:space="preserve"> BE13 &amp; BF13 &amp; BG13 &amp; BH13 &amp; BI13 &amp; BK13 &amp; BL13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* El numero de Personas en PSCV de ambos sexo debe ser igua al total de detección y prevención de la progresión de la enfermedad renal crónica de ambos sexo. </v>
      </c>
      <c r="AO13" s="153"/>
      <c r="AP13" s="217"/>
      <c r="AQ13" s="217"/>
      <c r="AR13" s="217"/>
      <c r="AS13" s="217"/>
      <c r="AT13" s="217"/>
      <c r="AU13" s="217"/>
      <c r="AV13" s="217"/>
      <c r="AW13" s="217"/>
      <c r="AX13" s="217"/>
      <c r="AY13" s="217"/>
      <c r="AZ13" s="217"/>
      <c r="BA13" s="217"/>
      <c r="BB13" s="478"/>
      <c r="BC13" s="478"/>
      <c r="BD13" s="406"/>
      <c r="BE13" s="489" t="str">
        <f t="shared" ref="BE13:BE27" si="0">IF($E13&gt;=$AI13,"","* Pueblos Originarios-Hombres no debe ser mayor al Total de personas en PSCV. ")</f>
        <v xml:space="preserve">* Pueblos Originarios-Hombres no debe ser mayor al Total de personas en PSCV. </v>
      </c>
      <c r="BF13" s="489" t="str">
        <f t="shared" ref="BF13:BF27" si="1">IF($F13&gt;=$AJ13,"","* Pueblos Originarios-Mujeres no debe ser mayor al Total de personas en PSCV. ")</f>
        <v xml:space="preserve">* Pueblos Originarios-Mujeres no debe ser mayor al Total de personas en PSCV. </v>
      </c>
      <c r="BG13" s="489" t="str">
        <f t="shared" ref="BG13:BG27" si="2">IF($E13&gt;=$AK13,"","* Población Migrantes-Hombres no debe ser mayor al Total de personas en PSCV. ")</f>
        <v xml:space="preserve">* Población Migrantes-Hombres no debe ser mayor al Total de personas en PSCV. </v>
      </c>
      <c r="BH13" s="489" t="str">
        <f t="shared" ref="BH13:BH27" si="3">IF($F13&gt;=$AL13,"","* Población Migrantes-Mujeres no debe ser mayor al Total de personas en PSCV. ")</f>
        <v xml:space="preserve">* Población Migrantes-Mujeres no debe ser mayor al Total de personas en PSCV. </v>
      </c>
      <c r="BI13" s="465" t="str">
        <f>IF(D12&lt;&gt;D28, "* El numero de Personas en PSCV de ambos sexo debe ser igua al total de detección y prevención de la progresión de la enfermedad renal crónica de ambos sexo. ","")</f>
        <v xml:space="preserve">* El numero de Personas en PSCV de ambos sexo debe ser igua al total de detección y prevención de la progresión de la enfermedad renal crónica de ambos sexo. </v>
      </c>
      <c r="BK13" s="465" t="str">
        <f t="shared" ref="BK13:BK27" si="4">IF(AND(E13&lt;&gt;0,AI13=""),"* No olvide escribir en la celda de 'Pueblos Originarios' (Digite CERO si no tiene). ",IF(AND(F13&lt;&gt;0,AJ13=""),"* No olvide escribir en la celda de 'Pueblos Originarios' (Digite CERO si no tiene). ",""))</f>
        <v/>
      </c>
      <c r="BL13" s="465" t="str">
        <f t="shared" ref="BL13:BL27" si="5">IF(AND(E13&lt;&gt;0,AK13=""),"* No olvide escribir en la celda de 'Población Migrantes' (Digite CERO si no tiene). ",IF(AND(F13&lt;&gt;0,AL13=""),"* No olvide escribir en la celda de 'Población Migrantes' (Digite CERO si no tiene). ",""))</f>
        <v/>
      </c>
      <c r="BP13" s="478"/>
      <c r="BQ13" s="478"/>
      <c r="BR13" s="478"/>
      <c r="BS13" s="478"/>
      <c r="BT13" s="478"/>
      <c r="BU13" s="478"/>
      <c r="BV13" s="478"/>
      <c r="BW13" s="478"/>
      <c r="BX13" s="478"/>
      <c r="BY13" s="478"/>
      <c r="BZ13" s="478"/>
      <c r="CA13" s="478"/>
      <c r="CB13" s="478"/>
      <c r="CC13" s="478"/>
      <c r="CD13" s="478"/>
      <c r="CE13" s="478"/>
      <c r="CF13" s="478"/>
      <c r="CG13" s="478"/>
      <c r="CH13" s="478"/>
      <c r="CI13" s="478"/>
      <c r="CJ13" s="478"/>
      <c r="CK13" s="478"/>
      <c r="CL13" s="478"/>
      <c r="CM13" s="479"/>
      <c r="CN13" s="479"/>
      <c r="CO13" s="486">
        <f>IF($E13&gt;=$AI13,0,1)</f>
        <v>1</v>
      </c>
      <c r="CP13" s="486">
        <f>IF($F13&gt;=$AJ13,0,1)</f>
        <v>1</v>
      </c>
      <c r="CQ13" s="486">
        <f>IF($E13&gt;=$AK13,0,1)</f>
        <v>1</v>
      </c>
      <c r="CR13" s="486">
        <f>IF($F13&gt;=$AL13,0,1)</f>
        <v>1</v>
      </c>
      <c r="CS13" s="486">
        <f>IF(D12&lt;&gt;D28, 1,0)</f>
        <v>1</v>
      </c>
      <c r="CT13" s="470"/>
      <c r="CU13" s="470"/>
      <c r="CV13" s="470"/>
      <c r="CW13" s="613">
        <f>IF(AND(E15&lt;&gt;0,AI15=""),1,IF(AND(F15&lt;&gt;0,AJ15=""),1,0))</f>
        <v>0</v>
      </c>
      <c r="CX13" s="613">
        <f>IF(AND(E15&lt;&gt;0,AK15=""),1,IF(AND(F15&lt;&gt;0,AL15=""),1,0))</f>
        <v>0</v>
      </c>
      <c r="CY13" s="470"/>
      <c r="CZ13" s="479"/>
      <c r="DA13" s="479"/>
      <c r="DB13" s="479"/>
      <c r="DC13" s="479"/>
      <c r="DD13" s="479"/>
      <c r="DE13" s="479"/>
      <c r="DF13" s="479"/>
      <c r="DG13" s="479"/>
      <c r="DH13" s="479"/>
      <c r="DI13" s="479"/>
      <c r="DJ13" s="479"/>
      <c r="DK13" s="479"/>
      <c r="DL13" s="479"/>
      <c r="DM13" s="479"/>
      <c r="DN13" s="479"/>
      <c r="DO13" s="479"/>
      <c r="DP13" s="479"/>
      <c r="DQ13" s="479"/>
      <c r="DR13" s="479"/>
      <c r="DS13" s="479"/>
      <c r="DT13" s="479"/>
      <c r="DU13" s="217"/>
    </row>
    <row r="14" spans="1:131" ht="22.5" customHeight="1" x14ac:dyDescent="0.2">
      <c r="A14" s="1775" t="s">
        <v>1328</v>
      </c>
      <c r="B14" s="2228"/>
      <c r="C14" s="188" t="s">
        <v>120</v>
      </c>
      <c r="D14" s="938" t="s">
        <v>1384</v>
      </c>
      <c r="E14" s="939" t="s">
        <v>1385</v>
      </c>
      <c r="F14" s="1017" t="s">
        <v>1386</v>
      </c>
      <c r="G14" s="977" t="s">
        <v>1387</v>
      </c>
      <c r="H14" s="978" t="s">
        <v>1388</v>
      </c>
      <c r="I14" s="977" t="s">
        <v>1389</v>
      </c>
      <c r="J14" s="978" t="s">
        <v>1390</v>
      </c>
      <c r="K14" s="977" t="s">
        <v>1391</v>
      </c>
      <c r="L14" s="978" t="s">
        <v>1392</v>
      </c>
      <c r="M14" s="977" t="s">
        <v>1393</v>
      </c>
      <c r="N14" s="978" t="s">
        <v>1394</v>
      </c>
      <c r="O14" s="977" t="s">
        <v>1395</v>
      </c>
      <c r="P14" s="978" t="s">
        <v>1396</v>
      </c>
      <c r="Q14" s="977" t="s">
        <v>1397</v>
      </c>
      <c r="R14" s="978" t="s">
        <v>1398</v>
      </c>
      <c r="S14" s="977" t="s">
        <v>1399</v>
      </c>
      <c r="T14" s="978" t="s">
        <v>1400</v>
      </c>
      <c r="U14" s="977" t="s">
        <v>1401</v>
      </c>
      <c r="V14" s="978" t="s">
        <v>1402</v>
      </c>
      <c r="W14" s="977" t="s">
        <v>1403</v>
      </c>
      <c r="X14" s="978" t="s">
        <v>1404</v>
      </c>
      <c r="Y14" s="977" t="s">
        <v>1405</v>
      </c>
      <c r="Z14" s="978" t="s">
        <v>1406</v>
      </c>
      <c r="AA14" s="977" t="s">
        <v>1407</v>
      </c>
      <c r="AB14" s="978" t="s">
        <v>1408</v>
      </c>
      <c r="AC14" s="977" t="s">
        <v>1409</v>
      </c>
      <c r="AD14" s="978" t="s">
        <v>1410</v>
      </c>
      <c r="AE14" s="977" t="s">
        <v>1411</v>
      </c>
      <c r="AF14" s="978" t="s">
        <v>1412</v>
      </c>
      <c r="AG14" s="977" t="s">
        <v>1413</v>
      </c>
      <c r="AH14" s="979" t="s">
        <v>1414</v>
      </c>
      <c r="AI14" s="1030" t="s">
        <v>1415</v>
      </c>
      <c r="AJ14" s="1520" t="s">
        <v>1416</v>
      </c>
      <c r="AK14" s="1520" t="s">
        <v>1417</v>
      </c>
      <c r="AL14" s="1520" t="s">
        <v>1418</v>
      </c>
      <c r="AM14" s="1511" t="s">
        <v>1419</v>
      </c>
      <c r="AN14" s="81" t="str">
        <f t="shared" ref="AN14:AN21" si="6" xml:space="preserve"> BE14 &amp; BF14 &amp; BG14 &amp; BH14 &amp; BK14 &amp; BL14</f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4" s="153"/>
      <c r="AP14" s="217"/>
      <c r="AQ14" s="217"/>
      <c r="AR14" s="217"/>
      <c r="AS14" s="217"/>
      <c r="AT14" s="217"/>
      <c r="AU14" s="217"/>
      <c r="AV14" s="217"/>
      <c r="AW14" s="217"/>
      <c r="AX14" s="217"/>
      <c r="AY14" s="217"/>
      <c r="AZ14" s="217"/>
      <c r="BA14" s="217"/>
      <c r="BB14" s="478"/>
      <c r="BC14" s="478"/>
      <c r="BD14" s="406"/>
      <c r="BE14" s="489" t="str">
        <f t="shared" si="0"/>
        <v xml:space="preserve">* Pueblos Originarios-Hombres no debe ser mayor al Total de personas en PSCV. </v>
      </c>
      <c r="BF14" s="489" t="str">
        <f t="shared" si="1"/>
        <v xml:space="preserve">* Pueblos Originarios-Mujeres no debe ser mayor al Total de personas en PSCV. </v>
      </c>
      <c r="BG14" s="489" t="str">
        <f t="shared" si="2"/>
        <v xml:space="preserve">* Población Migrantes-Hombres no debe ser mayor al Total de personas en PSCV. </v>
      </c>
      <c r="BH14" s="489" t="str">
        <f t="shared" si="3"/>
        <v xml:space="preserve">* Población Migrantes-Mujeres no debe ser mayor al Total de personas en PSCV. </v>
      </c>
      <c r="BK14" s="465" t="str">
        <f t="shared" si="4"/>
        <v/>
      </c>
      <c r="BL14" s="465" t="str">
        <f t="shared" si="5"/>
        <v/>
      </c>
      <c r="BO14" s="478"/>
      <c r="BP14" s="478"/>
      <c r="BQ14" s="478"/>
      <c r="BR14" s="478"/>
      <c r="BS14" s="478"/>
      <c r="BT14" s="478"/>
      <c r="BU14" s="478"/>
      <c r="BV14" s="478"/>
      <c r="BW14" s="478"/>
      <c r="BX14" s="478"/>
      <c r="BY14" s="478"/>
      <c r="BZ14" s="478"/>
      <c r="CA14" s="478"/>
      <c r="CB14" s="478"/>
      <c r="CC14" s="478"/>
      <c r="CD14" s="478"/>
      <c r="CE14" s="478"/>
      <c r="CF14" s="478"/>
      <c r="CG14" s="478"/>
      <c r="CH14" s="478"/>
      <c r="CI14" s="478"/>
      <c r="CJ14" s="478"/>
      <c r="CK14" s="478"/>
      <c r="CL14" s="478"/>
      <c r="CM14" s="479"/>
      <c r="CN14" s="479"/>
      <c r="CO14" s="486">
        <f t="shared" ref="CO14:CO27" si="7">IF($E14&gt;=$AI14,0,1)</f>
        <v>1</v>
      </c>
      <c r="CP14" s="486">
        <f t="shared" ref="CP14:CP27" si="8">IF($F14&gt;=$AJ14,0,1)</f>
        <v>1</v>
      </c>
      <c r="CQ14" s="486">
        <f t="shared" ref="CQ14:CQ27" si="9">IF($E14&gt;=$AK14,0,1)</f>
        <v>1</v>
      </c>
      <c r="CR14" s="486">
        <f t="shared" ref="CR14:CR27" si="10">IF($F14&gt;=$AL14,0,1)</f>
        <v>1</v>
      </c>
      <c r="CS14" s="470"/>
      <c r="CT14" s="470"/>
      <c r="CU14" s="470"/>
      <c r="CV14" s="470"/>
      <c r="CW14" s="613">
        <f t="shared" ref="CW14:CW27" si="11">IF(AND(E16&lt;&gt;0,AI16=""),1,IF(AND(F16&lt;&gt;0,AJ16=""),1,0))</f>
        <v>0</v>
      </c>
      <c r="CX14" s="613">
        <f t="shared" ref="CX14:CX27" si="12">IF(AND(E16&lt;&gt;0,AK16=""),1,IF(AND(F16&lt;&gt;0,AL16=""),1,0))</f>
        <v>0</v>
      </c>
      <c r="CY14" s="479"/>
      <c r="CZ14" s="479"/>
      <c r="DA14" s="479"/>
      <c r="DB14" s="479"/>
      <c r="DC14" s="479"/>
      <c r="DD14" s="479"/>
      <c r="DE14" s="479"/>
      <c r="DF14" s="479"/>
      <c r="DG14" s="479"/>
      <c r="DH14" s="479"/>
      <c r="DI14" s="479"/>
      <c r="DJ14" s="479"/>
      <c r="DK14" s="479"/>
      <c r="DL14" s="479"/>
      <c r="DM14" s="479"/>
      <c r="DN14" s="479"/>
      <c r="DO14" s="479"/>
      <c r="DP14" s="479"/>
      <c r="DQ14" s="479"/>
      <c r="DR14" s="479"/>
      <c r="DS14" s="479"/>
      <c r="DT14" s="479"/>
      <c r="DU14" s="217"/>
    </row>
    <row r="15" spans="1:131" ht="22.5" customHeight="1" x14ac:dyDescent="0.2">
      <c r="A15" s="1775" t="s">
        <v>1329</v>
      </c>
      <c r="B15" s="2228"/>
      <c r="C15" s="189" t="s">
        <v>355</v>
      </c>
      <c r="D15" s="941" t="s">
        <v>1384</v>
      </c>
      <c r="E15" s="942" t="s">
        <v>1385</v>
      </c>
      <c r="F15" s="1019" t="s">
        <v>1386</v>
      </c>
      <c r="G15" s="973" t="s">
        <v>1387</v>
      </c>
      <c r="H15" s="974" t="s">
        <v>1388</v>
      </c>
      <c r="I15" s="973" t="s">
        <v>1389</v>
      </c>
      <c r="J15" s="974" t="s">
        <v>1390</v>
      </c>
      <c r="K15" s="973" t="s">
        <v>1391</v>
      </c>
      <c r="L15" s="974" t="s">
        <v>1392</v>
      </c>
      <c r="M15" s="973" t="s">
        <v>1393</v>
      </c>
      <c r="N15" s="974" t="s">
        <v>1394</v>
      </c>
      <c r="O15" s="973" t="s">
        <v>1395</v>
      </c>
      <c r="P15" s="974" t="s">
        <v>1396</v>
      </c>
      <c r="Q15" s="973" t="s">
        <v>1397</v>
      </c>
      <c r="R15" s="974" t="s">
        <v>1398</v>
      </c>
      <c r="S15" s="973" t="s">
        <v>1399</v>
      </c>
      <c r="T15" s="974" t="s">
        <v>1400</v>
      </c>
      <c r="U15" s="973" t="s">
        <v>1401</v>
      </c>
      <c r="V15" s="974" t="s">
        <v>1402</v>
      </c>
      <c r="W15" s="973" t="s">
        <v>1403</v>
      </c>
      <c r="X15" s="974" t="s">
        <v>1404</v>
      </c>
      <c r="Y15" s="973" t="s">
        <v>1405</v>
      </c>
      <c r="Z15" s="974" t="s">
        <v>1406</v>
      </c>
      <c r="AA15" s="973" t="s">
        <v>1407</v>
      </c>
      <c r="AB15" s="974" t="s">
        <v>1408</v>
      </c>
      <c r="AC15" s="973" t="s">
        <v>1409</v>
      </c>
      <c r="AD15" s="974" t="s">
        <v>1410</v>
      </c>
      <c r="AE15" s="973" t="s">
        <v>1411</v>
      </c>
      <c r="AF15" s="974" t="s">
        <v>1412</v>
      </c>
      <c r="AG15" s="973" t="s">
        <v>1413</v>
      </c>
      <c r="AH15" s="975" t="s">
        <v>1414</v>
      </c>
      <c r="AI15" s="1521" t="s">
        <v>1415</v>
      </c>
      <c r="AJ15" s="1522" t="s">
        <v>1416</v>
      </c>
      <c r="AK15" s="1522" t="s">
        <v>1417</v>
      </c>
      <c r="AL15" s="1522" t="s">
        <v>1418</v>
      </c>
      <c r="AM15" s="1512" t="s">
        <v>1419</v>
      </c>
      <c r="AN15" s="81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5" s="153"/>
      <c r="AP15" s="217"/>
      <c r="AQ15" s="217"/>
      <c r="AR15" s="217"/>
      <c r="AS15" s="217"/>
      <c r="AT15" s="217"/>
      <c r="AU15" s="217"/>
      <c r="AV15" s="217"/>
      <c r="AW15" s="217"/>
      <c r="AX15" s="217"/>
      <c r="AY15" s="217"/>
      <c r="AZ15" s="217"/>
      <c r="BA15" s="217"/>
      <c r="BB15" s="478"/>
      <c r="BC15" s="478"/>
      <c r="BD15" s="406"/>
      <c r="BE15" s="489" t="str">
        <f t="shared" si="0"/>
        <v xml:space="preserve">* Pueblos Originarios-Hombres no debe ser mayor al Total de personas en PSCV. </v>
      </c>
      <c r="BF15" s="489" t="str">
        <f t="shared" si="1"/>
        <v xml:space="preserve">* Pueblos Originarios-Mujeres no debe ser mayor al Total de personas en PSCV. </v>
      </c>
      <c r="BG15" s="489" t="str">
        <f t="shared" si="2"/>
        <v xml:space="preserve">* Población Migrantes-Hombres no debe ser mayor al Total de personas en PSCV. </v>
      </c>
      <c r="BH15" s="489" t="str">
        <f t="shared" si="3"/>
        <v xml:space="preserve">* Población Migrantes-Mujeres no debe ser mayor al Total de personas en PSCV. </v>
      </c>
      <c r="BK15" s="465" t="str">
        <f t="shared" si="4"/>
        <v/>
      </c>
      <c r="BL15" s="465" t="str">
        <f t="shared" si="5"/>
        <v/>
      </c>
      <c r="BO15" s="478"/>
      <c r="BP15" s="478"/>
      <c r="BQ15" s="478"/>
      <c r="BR15" s="478"/>
      <c r="BS15" s="478"/>
      <c r="BT15" s="478"/>
      <c r="BU15" s="478"/>
      <c r="BV15" s="478"/>
      <c r="BW15" s="478"/>
      <c r="BX15" s="478"/>
      <c r="BY15" s="478"/>
      <c r="BZ15" s="478"/>
      <c r="CA15" s="478"/>
      <c r="CB15" s="478"/>
      <c r="CC15" s="478"/>
      <c r="CD15" s="478"/>
      <c r="CE15" s="478"/>
      <c r="CF15" s="478"/>
      <c r="CG15" s="478"/>
      <c r="CH15" s="478"/>
      <c r="CI15" s="478"/>
      <c r="CJ15" s="478"/>
      <c r="CK15" s="478"/>
      <c r="CL15" s="478"/>
      <c r="CM15" s="479"/>
      <c r="CN15" s="479"/>
      <c r="CO15" s="486">
        <f t="shared" si="7"/>
        <v>1</v>
      </c>
      <c r="CP15" s="486">
        <f t="shared" si="8"/>
        <v>1</v>
      </c>
      <c r="CQ15" s="486">
        <f t="shared" si="9"/>
        <v>1</v>
      </c>
      <c r="CR15" s="486">
        <f t="shared" si="10"/>
        <v>1</v>
      </c>
      <c r="CS15" s="470"/>
      <c r="CT15" s="470"/>
      <c r="CU15" s="470"/>
      <c r="CV15" s="470"/>
      <c r="CW15" s="613">
        <f t="shared" si="11"/>
        <v>0</v>
      </c>
      <c r="CX15" s="613">
        <f t="shared" si="12"/>
        <v>0</v>
      </c>
      <c r="CY15" s="479"/>
      <c r="CZ15" s="479"/>
      <c r="DA15" s="479"/>
      <c r="DB15" s="479"/>
      <c r="DC15" s="479"/>
      <c r="DD15" s="479"/>
      <c r="DE15" s="479"/>
      <c r="DF15" s="479"/>
      <c r="DG15" s="479"/>
      <c r="DH15" s="479"/>
      <c r="DI15" s="479"/>
      <c r="DJ15" s="479"/>
      <c r="DK15" s="479"/>
      <c r="DL15" s="479"/>
      <c r="DM15" s="479"/>
      <c r="DN15" s="479"/>
      <c r="DO15" s="479"/>
      <c r="DP15" s="479"/>
      <c r="DQ15" s="479"/>
      <c r="DR15" s="479"/>
      <c r="DS15" s="479"/>
      <c r="DT15" s="479"/>
      <c r="DU15" s="217"/>
    </row>
    <row r="16" spans="1:131" ht="22.5" customHeight="1" x14ac:dyDescent="0.2">
      <c r="A16" s="1775" t="s">
        <v>1330</v>
      </c>
      <c r="B16" s="2230" t="s">
        <v>180</v>
      </c>
      <c r="C16" s="190" t="s">
        <v>181</v>
      </c>
      <c r="D16" s="936" t="s">
        <v>1384</v>
      </c>
      <c r="E16" s="937" t="s">
        <v>1385</v>
      </c>
      <c r="F16" s="1020" t="s">
        <v>1386</v>
      </c>
      <c r="G16" s="953" t="s">
        <v>1387</v>
      </c>
      <c r="H16" s="954" t="s">
        <v>1388</v>
      </c>
      <c r="I16" s="953" t="s">
        <v>1389</v>
      </c>
      <c r="J16" s="954" t="s">
        <v>1390</v>
      </c>
      <c r="K16" s="953" t="s">
        <v>1391</v>
      </c>
      <c r="L16" s="954" t="s">
        <v>1392</v>
      </c>
      <c r="M16" s="953" t="s">
        <v>1393</v>
      </c>
      <c r="N16" s="954" t="s">
        <v>1394</v>
      </c>
      <c r="O16" s="953" t="s">
        <v>1395</v>
      </c>
      <c r="P16" s="954" t="s">
        <v>1396</v>
      </c>
      <c r="Q16" s="953" t="s">
        <v>1397</v>
      </c>
      <c r="R16" s="954" t="s">
        <v>1398</v>
      </c>
      <c r="S16" s="953" t="s">
        <v>1399</v>
      </c>
      <c r="T16" s="954" t="s">
        <v>1400</v>
      </c>
      <c r="U16" s="953" t="s">
        <v>1401</v>
      </c>
      <c r="V16" s="954" t="s">
        <v>1402</v>
      </c>
      <c r="W16" s="953" t="s">
        <v>1403</v>
      </c>
      <c r="X16" s="954" t="s">
        <v>1404</v>
      </c>
      <c r="Y16" s="953" t="s">
        <v>1405</v>
      </c>
      <c r="Z16" s="954" t="s">
        <v>1406</v>
      </c>
      <c r="AA16" s="953" t="s">
        <v>1407</v>
      </c>
      <c r="AB16" s="954" t="s">
        <v>1408</v>
      </c>
      <c r="AC16" s="953" t="s">
        <v>1409</v>
      </c>
      <c r="AD16" s="954" t="s">
        <v>1410</v>
      </c>
      <c r="AE16" s="953" t="s">
        <v>1411</v>
      </c>
      <c r="AF16" s="954" t="s">
        <v>1412</v>
      </c>
      <c r="AG16" s="953" t="s">
        <v>1413</v>
      </c>
      <c r="AH16" s="965" t="s">
        <v>1414</v>
      </c>
      <c r="AI16" s="1518" t="s">
        <v>1415</v>
      </c>
      <c r="AJ16" s="1519" t="s">
        <v>1416</v>
      </c>
      <c r="AK16" s="1519" t="s">
        <v>1417</v>
      </c>
      <c r="AL16" s="1519" t="s">
        <v>1418</v>
      </c>
      <c r="AM16" s="1513" t="s">
        <v>1419</v>
      </c>
      <c r="AN16" s="81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6" s="153"/>
      <c r="AP16" s="217"/>
      <c r="AQ16" s="217"/>
      <c r="AR16" s="217"/>
      <c r="AS16" s="217"/>
      <c r="AT16" s="217"/>
      <c r="AU16" s="217"/>
      <c r="AV16" s="217"/>
      <c r="AW16" s="217"/>
      <c r="AX16" s="217"/>
      <c r="AY16" s="217"/>
      <c r="AZ16" s="217"/>
      <c r="BA16" s="217"/>
      <c r="BB16" s="478"/>
      <c r="BC16" s="478"/>
      <c r="BD16" s="406"/>
      <c r="BE16" s="489" t="str">
        <f t="shared" si="0"/>
        <v xml:space="preserve">* Pueblos Originarios-Hombres no debe ser mayor al Total de personas en PSCV. </v>
      </c>
      <c r="BF16" s="489" t="str">
        <f t="shared" si="1"/>
        <v xml:space="preserve">* Pueblos Originarios-Mujeres no debe ser mayor al Total de personas en PSCV. </v>
      </c>
      <c r="BG16" s="489" t="str">
        <f t="shared" si="2"/>
        <v xml:space="preserve">* Población Migrantes-Hombres no debe ser mayor al Total de personas en PSCV. </v>
      </c>
      <c r="BH16" s="489" t="str">
        <f t="shared" si="3"/>
        <v xml:space="preserve">* Población Migrantes-Mujeres no debe ser mayor al Total de personas en PSCV. </v>
      </c>
      <c r="BK16" s="465" t="str">
        <f t="shared" si="4"/>
        <v/>
      </c>
      <c r="BL16" s="465" t="str">
        <f t="shared" si="5"/>
        <v/>
      </c>
      <c r="BO16" s="478"/>
      <c r="BP16" s="478"/>
      <c r="BQ16" s="478"/>
      <c r="BR16" s="478"/>
      <c r="BS16" s="478"/>
      <c r="BT16" s="478"/>
      <c r="BU16" s="478"/>
      <c r="BV16" s="478"/>
      <c r="BW16" s="478"/>
      <c r="BX16" s="478"/>
      <c r="BY16" s="478"/>
      <c r="BZ16" s="478"/>
      <c r="CA16" s="478"/>
      <c r="CB16" s="478"/>
      <c r="CC16" s="478"/>
      <c r="CD16" s="478"/>
      <c r="CE16" s="478"/>
      <c r="CF16" s="478"/>
      <c r="CG16" s="478"/>
      <c r="CH16" s="478"/>
      <c r="CI16" s="478"/>
      <c r="CJ16" s="478"/>
      <c r="CK16" s="478"/>
      <c r="CL16" s="478"/>
      <c r="CM16" s="479"/>
      <c r="CN16" s="479"/>
      <c r="CO16" s="486">
        <f t="shared" si="7"/>
        <v>1</v>
      </c>
      <c r="CP16" s="486">
        <f t="shared" si="8"/>
        <v>1</v>
      </c>
      <c r="CQ16" s="486">
        <f t="shared" si="9"/>
        <v>1</v>
      </c>
      <c r="CR16" s="486">
        <f t="shared" si="10"/>
        <v>1</v>
      </c>
      <c r="CS16" s="470"/>
      <c r="CT16" s="470"/>
      <c r="CU16" s="470"/>
      <c r="CV16" s="470"/>
      <c r="CW16" s="613">
        <f t="shared" si="11"/>
        <v>0</v>
      </c>
      <c r="CX16" s="613">
        <f t="shared" si="12"/>
        <v>0</v>
      </c>
      <c r="CY16" s="479"/>
      <c r="CZ16" s="479"/>
      <c r="DA16" s="479"/>
      <c r="DB16" s="479"/>
      <c r="DC16" s="479"/>
      <c r="DD16" s="479"/>
      <c r="DE16" s="479"/>
      <c r="DF16" s="479"/>
      <c r="DG16" s="479"/>
      <c r="DH16" s="479"/>
      <c r="DI16" s="479"/>
      <c r="DJ16" s="479"/>
      <c r="DK16" s="479"/>
      <c r="DL16" s="479"/>
      <c r="DM16" s="479"/>
      <c r="DN16" s="479"/>
      <c r="DO16" s="479"/>
      <c r="DP16" s="479"/>
      <c r="DQ16" s="479"/>
      <c r="DR16" s="479"/>
      <c r="DS16" s="479"/>
      <c r="DT16" s="479"/>
      <c r="DU16" s="217"/>
    </row>
    <row r="17" spans="1:125" ht="22.5" customHeight="1" x14ac:dyDescent="0.2">
      <c r="A17" s="1775" t="s">
        <v>1331</v>
      </c>
      <c r="B17" s="2231"/>
      <c r="C17" s="191" t="s">
        <v>182</v>
      </c>
      <c r="D17" s="938" t="s">
        <v>1384</v>
      </c>
      <c r="E17" s="939" t="s">
        <v>1385</v>
      </c>
      <c r="F17" s="1021" t="s">
        <v>1386</v>
      </c>
      <c r="G17" s="957" t="s">
        <v>1387</v>
      </c>
      <c r="H17" s="958" t="s">
        <v>1388</v>
      </c>
      <c r="I17" s="957" t="s">
        <v>1389</v>
      </c>
      <c r="J17" s="958" t="s">
        <v>1390</v>
      </c>
      <c r="K17" s="957" t="s">
        <v>1391</v>
      </c>
      <c r="L17" s="958" t="s">
        <v>1392</v>
      </c>
      <c r="M17" s="957" t="s">
        <v>1393</v>
      </c>
      <c r="N17" s="958" t="s">
        <v>1394</v>
      </c>
      <c r="O17" s="957" t="s">
        <v>1395</v>
      </c>
      <c r="P17" s="958" t="s">
        <v>1396</v>
      </c>
      <c r="Q17" s="957" t="s">
        <v>1397</v>
      </c>
      <c r="R17" s="958" t="s">
        <v>1398</v>
      </c>
      <c r="S17" s="957" t="s">
        <v>1399</v>
      </c>
      <c r="T17" s="958" t="s">
        <v>1400</v>
      </c>
      <c r="U17" s="957" t="s">
        <v>1401</v>
      </c>
      <c r="V17" s="958" t="s">
        <v>1402</v>
      </c>
      <c r="W17" s="957" t="s">
        <v>1403</v>
      </c>
      <c r="X17" s="958" t="s">
        <v>1404</v>
      </c>
      <c r="Y17" s="957" t="s">
        <v>1405</v>
      </c>
      <c r="Z17" s="958" t="s">
        <v>1406</v>
      </c>
      <c r="AA17" s="957" t="s">
        <v>1407</v>
      </c>
      <c r="AB17" s="958" t="s">
        <v>1408</v>
      </c>
      <c r="AC17" s="957" t="s">
        <v>1409</v>
      </c>
      <c r="AD17" s="958" t="s">
        <v>1410</v>
      </c>
      <c r="AE17" s="957" t="s">
        <v>1411</v>
      </c>
      <c r="AF17" s="958" t="s">
        <v>1412</v>
      </c>
      <c r="AG17" s="957" t="s">
        <v>1413</v>
      </c>
      <c r="AH17" s="966" t="s">
        <v>1414</v>
      </c>
      <c r="AI17" s="1030" t="s">
        <v>1415</v>
      </c>
      <c r="AJ17" s="1520" t="s">
        <v>1416</v>
      </c>
      <c r="AK17" s="1523" t="s">
        <v>1417</v>
      </c>
      <c r="AL17" s="1520" t="s">
        <v>1418</v>
      </c>
      <c r="AM17" s="1511" t="s">
        <v>1419</v>
      </c>
      <c r="AN17" s="81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7" s="153"/>
      <c r="AP17" s="217"/>
      <c r="AQ17" s="217"/>
      <c r="AR17" s="217"/>
      <c r="AS17" s="217"/>
      <c r="AT17" s="217"/>
      <c r="AU17" s="217"/>
      <c r="AV17" s="217"/>
      <c r="AW17" s="217"/>
      <c r="AX17" s="217"/>
      <c r="AY17" s="217"/>
      <c r="AZ17" s="217"/>
      <c r="BA17" s="217"/>
      <c r="BB17" s="478"/>
      <c r="BC17" s="478"/>
      <c r="BD17" s="406"/>
      <c r="BE17" s="489" t="str">
        <f t="shared" si="0"/>
        <v xml:space="preserve">* Pueblos Originarios-Hombres no debe ser mayor al Total de personas en PSCV. </v>
      </c>
      <c r="BF17" s="489" t="str">
        <f t="shared" si="1"/>
        <v xml:space="preserve">* Pueblos Originarios-Mujeres no debe ser mayor al Total de personas en PSCV. </v>
      </c>
      <c r="BG17" s="489" t="str">
        <f t="shared" si="2"/>
        <v xml:space="preserve">* Población Migrantes-Hombres no debe ser mayor al Total de personas en PSCV. </v>
      </c>
      <c r="BH17" s="489" t="str">
        <f t="shared" si="3"/>
        <v xml:space="preserve">* Población Migrantes-Mujeres no debe ser mayor al Total de personas en PSCV. </v>
      </c>
      <c r="BK17" s="465" t="str">
        <f t="shared" si="4"/>
        <v/>
      </c>
      <c r="BL17" s="465" t="str">
        <f t="shared" si="5"/>
        <v/>
      </c>
      <c r="BO17" s="478"/>
      <c r="BP17" s="478"/>
      <c r="BQ17" s="478"/>
      <c r="BR17" s="478"/>
      <c r="BS17" s="478"/>
      <c r="BT17" s="478"/>
      <c r="BU17" s="478"/>
      <c r="BV17" s="478"/>
      <c r="BW17" s="478"/>
      <c r="BX17" s="478"/>
      <c r="BY17" s="478"/>
      <c r="BZ17" s="478"/>
      <c r="CA17" s="478"/>
      <c r="CB17" s="478"/>
      <c r="CC17" s="478"/>
      <c r="CD17" s="478"/>
      <c r="CE17" s="478"/>
      <c r="CF17" s="478"/>
      <c r="CG17" s="478"/>
      <c r="CH17" s="478"/>
      <c r="CI17" s="478"/>
      <c r="CJ17" s="478"/>
      <c r="CK17" s="478"/>
      <c r="CL17" s="478"/>
      <c r="CM17" s="479"/>
      <c r="CN17" s="479"/>
      <c r="CO17" s="486">
        <f t="shared" si="7"/>
        <v>1</v>
      </c>
      <c r="CP17" s="486">
        <f t="shared" si="8"/>
        <v>1</v>
      </c>
      <c r="CQ17" s="486">
        <f t="shared" si="9"/>
        <v>1</v>
      </c>
      <c r="CR17" s="486">
        <f t="shared" si="10"/>
        <v>1</v>
      </c>
      <c r="CS17" s="470"/>
      <c r="CT17" s="470"/>
      <c r="CU17" s="470"/>
      <c r="CV17" s="470"/>
      <c r="CW17" s="613">
        <f t="shared" si="11"/>
        <v>0</v>
      </c>
      <c r="CX17" s="613">
        <f t="shared" si="12"/>
        <v>0</v>
      </c>
      <c r="CY17" s="479"/>
      <c r="CZ17" s="479"/>
      <c r="DA17" s="479"/>
      <c r="DB17" s="479"/>
      <c r="DC17" s="479"/>
      <c r="DD17" s="479"/>
      <c r="DE17" s="479"/>
      <c r="DF17" s="479"/>
      <c r="DG17" s="479"/>
      <c r="DH17" s="479"/>
      <c r="DI17" s="479"/>
      <c r="DJ17" s="479"/>
      <c r="DK17" s="479"/>
      <c r="DL17" s="479"/>
      <c r="DM17" s="479"/>
      <c r="DN17" s="479"/>
      <c r="DO17" s="479"/>
      <c r="DP17" s="479"/>
      <c r="DQ17" s="479"/>
      <c r="DR17" s="479"/>
      <c r="DS17" s="479"/>
      <c r="DT17" s="479"/>
      <c r="DU17" s="217"/>
    </row>
    <row r="18" spans="1:125" ht="22.5" customHeight="1" x14ac:dyDescent="0.2">
      <c r="A18" s="1775" t="s">
        <v>1332</v>
      </c>
      <c r="B18" s="2231"/>
      <c r="C18" s="191" t="s">
        <v>183</v>
      </c>
      <c r="D18" s="938" t="s">
        <v>1384</v>
      </c>
      <c r="E18" s="939" t="s">
        <v>1385</v>
      </c>
      <c r="F18" s="1021" t="s">
        <v>1386</v>
      </c>
      <c r="G18" s="957" t="s">
        <v>1387</v>
      </c>
      <c r="H18" s="958" t="s">
        <v>1388</v>
      </c>
      <c r="I18" s="957" t="s">
        <v>1389</v>
      </c>
      <c r="J18" s="958" t="s">
        <v>1390</v>
      </c>
      <c r="K18" s="957" t="s">
        <v>1391</v>
      </c>
      <c r="L18" s="958" t="s">
        <v>1392</v>
      </c>
      <c r="M18" s="957" t="s">
        <v>1393</v>
      </c>
      <c r="N18" s="958" t="s">
        <v>1394</v>
      </c>
      <c r="O18" s="957" t="s">
        <v>1395</v>
      </c>
      <c r="P18" s="958" t="s">
        <v>1396</v>
      </c>
      <c r="Q18" s="957" t="s">
        <v>1397</v>
      </c>
      <c r="R18" s="958" t="s">
        <v>1398</v>
      </c>
      <c r="S18" s="957" t="s">
        <v>1399</v>
      </c>
      <c r="T18" s="958" t="s">
        <v>1400</v>
      </c>
      <c r="U18" s="957" t="s">
        <v>1401</v>
      </c>
      <c r="V18" s="958" t="s">
        <v>1402</v>
      </c>
      <c r="W18" s="957" t="s">
        <v>1403</v>
      </c>
      <c r="X18" s="958" t="s">
        <v>1404</v>
      </c>
      <c r="Y18" s="957" t="s">
        <v>1405</v>
      </c>
      <c r="Z18" s="958" t="s">
        <v>1406</v>
      </c>
      <c r="AA18" s="957" t="s">
        <v>1407</v>
      </c>
      <c r="AB18" s="958" t="s">
        <v>1408</v>
      </c>
      <c r="AC18" s="957" t="s">
        <v>1409</v>
      </c>
      <c r="AD18" s="958" t="s">
        <v>1410</v>
      </c>
      <c r="AE18" s="957" t="s">
        <v>1411</v>
      </c>
      <c r="AF18" s="958" t="s">
        <v>1412</v>
      </c>
      <c r="AG18" s="957" t="s">
        <v>1413</v>
      </c>
      <c r="AH18" s="966" t="s">
        <v>1414</v>
      </c>
      <c r="AI18" s="1030" t="s">
        <v>1415</v>
      </c>
      <c r="AJ18" s="1520" t="s">
        <v>1416</v>
      </c>
      <c r="AK18" s="1520" t="s">
        <v>1417</v>
      </c>
      <c r="AL18" s="1520" t="s">
        <v>1418</v>
      </c>
      <c r="AM18" s="1511" t="s">
        <v>1419</v>
      </c>
      <c r="AN18" s="81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8" s="153"/>
      <c r="AP18" s="217"/>
      <c r="AQ18" s="217"/>
      <c r="AR18" s="217"/>
      <c r="AS18" s="217"/>
      <c r="AT18" s="217"/>
      <c r="AU18" s="217"/>
      <c r="AV18" s="217"/>
      <c r="AW18" s="217"/>
      <c r="AX18" s="217"/>
      <c r="AY18" s="217"/>
      <c r="AZ18" s="217"/>
      <c r="BA18" s="217"/>
      <c r="BB18" s="478"/>
      <c r="BC18" s="478"/>
      <c r="BD18" s="406"/>
      <c r="BE18" s="489" t="str">
        <f t="shared" si="0"/>
        <v xml:space="preserve">* Pueblos Originarios-Hombres no debe ser mayor al Total de personas en PSCV. </v>
      </c>
      <c r="BF18" s="489" t="str">
        <f t="shared" si="1"/>
        <v xml:space="preserve">* Pueblos Originarios-Mujeres no debe ser mayor al Total de personas en PSCV. </v>
      </c>
      <c r="BG18" s="489" t="str">
        <f t="shared" si="2"/>
        <v xml:space="preserve">* Población Migrantes-Hombres no debe ser mayor al Total de personas en PSCV. </v>
      </c>
      <c r="BH18" s="489" t="str">
        <f t="shared" si="3"/>
        <v xml:space="preserve">* Población Migrantes-Mujeres no debe ser mayor al Total de personas en PSCV. </v>
      </c>
      <c r="BK18" s="465" t="str">
        <f t="shared" si="4"/>
        <v/>
      </c>
      <c r="BL18" s="465" t="str">
        <f t="shared" si="5"/>
        <v/>
      </c>
      <c r="BO18" s="478"/>
      <c r="BP18" s="478"/>
      <c r="BQ18" s="478"/>
      <c r="BR18" s="478"/>
      <c r="BS18" s="478"/>
      <c r="BT18" s="478"/>
      <c r="BU18" s="478"/>
      <c r="BV18" s="478"/>
      <c r="BW18" s="478"/>
      <c r="BX18" s="478"/>
      <c r="BY18" s="478"/>
      <c r="BZ18" s="478"/>
      <c r="CA18" s="478"/>
      <c r="CB18" s="478"/>
      <c r="CC18" s="478"/>
      <c r="CD18" s="478"/>
      <c r="CE18" s="478"/>
      <c r="CF18" s="478"/>
      <c r="CG18" s="478"/>
      <c r="CH18" s="478"/>
      <c r="CI18" s="478"/>
      <c r="CJ18" s="478"/>
      <c r="CK18" s="478"/>
      <c r="CL18" s="478"/>
      <c r="CM18" s="479"/>
      <c r="CN18" s="479"/>
      <c r="CO18" s="486">
        <f t="shared" si="7"/>
        <v>1</v>
      </c>
      <c r="CP18" s="486">
        <f t="shared" si="8"/>
        <v>1</v>
      </c>
      <c r="CQ18" s="486">
        <f t="shared" si="9"/>
        <v>1</v>
      </c>
      <c r="CR18" s="486">
        <f t="shared" si="10"/>
        <v>1</v>
      </c>
      <c r="CS18" s="470"/>
      <c r="CT18" s="470"/>
      <c r="CU18" s="470"/>
      <c r="CV18" s="470"/>
      <c r="CW18" s="613">
        <f t="shared" si="11"/>
        <v>0</v>
      </c>
      <c r="CX18" s="613">
        <f t="shared" si="12"/>
        <v>0</v>
      </c>
      <c r="CY18" s="479"/>
      <c r="CZ18" s="479"/>
      <c r="DA18" s="479"/>
      <c r="DB18" s="479"/>
      <c r="DC18" s="479"/>
      <c r="DD18" s="479"/>
      <c r="DE18" s="479"/>
      <c r="DF18" s="479"/>
      <c r="DG18" s="479"/>
      <c r="DH18" s="479"/>
      <c r="DI18" s="479"/>
      <c r="DJ18" s="479"/>
      <c r="DK18" s="479"/>
      <c r="DL18" s="479"/>
      <c r="DM18" s="479"/>
      <c r="DN18" s="479"/>
      <c r="DO18" s="479"/>
      <c r="DP18" s="479"/>
      <c r="DQ18" s="479"/>
      <c r="DR18" s="479"/>
      <c r="DS18" s="479"/>
      <c r="DT18" s="479"/>
      <c r="DU18" s="217"/>
    </row>
    <row r="19" spans="1:125" ht="22.5" customHeight="1" x14ac:dyDescent="0.2">
      <c r="A19" s="1775" t="s">
        <v>1333</v>
      </c>
      <c r="B19" s="2231"/>
      <c r="C19" s="191" t="s">
        <v>373</v>
      </c>
      <c r="D19" s="938" t="s">
        <v>1384</v>
      </c>
      <c r="E19" s="939" t="s">
        <v>1385</v>
      </c>
      <c r="F19" s="1021" t="s">
        <v>1386</v>
      </c>
      <c r="G19" s="1824" t="s">
        <v>1387</v>
      </c>
      <c r="H19" s="1828" t="s">
        <v>1388</v>
      </c>
      <c r="I19" s="1824" t="s">
        <v>1389</v>
      </c>
      <c r="J19" s="1828" t="s">
        <v>1390</v>
      </c>
      <c r="K19" s="1824" t="s">
        <v>1391</v>
      </c>
      <c r="L19" s="1828" t="s">
        <v>1392</v>
      </c>
      <c r="M19" s="1824" t="s">
        <v>1393</v>
      </c>
      <c r="N19" s="1828" t="s">
        <v>1394</v>
      </c>
      <c r="O19" s="1824" t="s">
        <v>1395</v>
      </c>
      <c r="P19" s="1828" t="s">
        <v>1396</v>
      </c>
      <c r="Q19" s="1824" t="s">
        <v>1397</v>
      </c>
      <c r="R19" s="1828" t="s">
        <v>1398</v>
      </c>
      <c r="S19" s="1824" t="s">
        <v>1399</v>
      </c>
      <c r="T19" s="1828" t="s">
        <v>1400</v>
      </c>
      <c r="U19" s="1824" t="s">
        <v>1401</v>
      </c>
      <c r="V19" s="1828" t="s">
        <v>1402</v>
      </c>
      <c r="W19" s="977" t="s">
        <v>1403</v>
      </c>
      <c r="X19" s="978" t="s">
        <v>1404</v>
      </c>
      <c r="Y19" s="977" t="s">
        <v>1405</v>
      </c>
      <c r="Z19" s="978" t="s">
        <v>1406</v>
      </c>
      <c r="AA19" s="977" t="s">
        <v>1407</v>
      </c>
      <c r="AB19" s="978" t="s">
        <v>1408</v>
      </c>
      <c r="AC19" s="977" t="s">
        <v>1409</v>
      </c>
      <c r="AD19" s="978" t="s">
        <v>1410</v>
      </c>
      <c r="AE19" s="977" t="s">
        <v>1411</v>
      </c>
      <c r="AF19" s="978" t="s">
        <v>1412</v>
      </c>
      <c r="AG19" s="977" t="s">
        <v>1413</v>
      </c>
      <c r="AH19" s="979" t="s">
        <v>1414</v>
      </c>
      <c r="AI19" s="1030" t="s">
        <v>1415</v>
      </c>
      <c r="AJ19" s="1520" t="s">
        <v>1416</v>
      </c>
      <c r="AK19" s="1523" t="s">
        <v>1417</v>
      </c>
      <c r="AL19" s="1520" t="s">
        <v>1418</v>
      </c>
      <c r="AM19" s="1511" t="s">
        <v>1419</v>
      </c>
      <c r="AN19" s="81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19" s="153"/>
      <c r="AP19" s="217"/>
      <c r="AQ19" s="217"/>
      <c r="AR19" s="217"/>
      <c r="AS19" s="217"/>
      <c r="AT19" s="217"/>
      <c r="AU19" s="217"/>
      <c r="AV19" s="217"/>
      <c r="AW19" s="217"/>
      <c r="AX19" s="217"/>
      <c r="AY19" s="217"/>
      <c r="AZ19" s="217"/>
      <c r="BA19" s="217"/>
      <c r="BB19" s="478"/>
      <c r="BC19" s="478"/>
      <c r="BD19" s="406"/>
      <c r="BE19" s="489" t="str">
        <f t="shared" si="0"/>
        <v xml:space="preserve">* Pueblos Originarios-Hombres no debe ser mayor al Total de personas en PSCV. </v>
      </c>
      <c r="BF19" s="489" t="str">
        <f t="shared" si="1"/>
        <v xml:space="preserve">* Pueblos Originarios-Mujeres no debe ser mayor al Total de personas en PSCV. </v>
      </c>
      <c r="BG19" s="489" t="str">
        <f t="shared" si="2"/>
        <v xml:space="preserve">* Población Migrantes-Hombres no debe ser mayor al Total de personas en PSCV. </v>
      </c>
      <c r="BH19" s="489" t="str">
        <f t="shared" si="3"/>
        <v xml:space="preserve">* Población Migrantes-Mujeres no debe ser mayor al Total de personas en PSCV. </v>
      </c>
      <c r="BK19" s="465" t="str">
        <f t="shared" si="4"/>
        <v/>
      </c>
      <c r="BL19" s="465" t="str">
        <f t="shared" si="5"/>
        <v/>
      </c>
      <c r="BO19" s="478"/>
      <c r="BP19" s="478"/>
      <c r="BQ19" s="478"/>
      <c r="BR19" s="478"/>
      <c r="BS19" s="478"/>
      <c r="BT19" s="478"/>
      <c r="BU19" s="478"/>
      <c r="BV19" s="478"/>
      <c r="BW19" s="478"/>
      <c r="BX19" s="478"/>
      <c r="BY19" s="478"/>
      <c r="BZ19" s="478"/>
      <c r="CA19" s="478"/>
      <c r="CB19" s="478"/>
      <c r="CC19" s="478"/>
      <c r="CD19" s="478"/>
      <c r="CE19" s="478"/>
      <c r="CF19" s="478"/>
      <c r="CG19" s="478"/>
      <c r="CH19" s="478"/>
      <c r="CI19" s="478"/>
      <c r="CJ19" s="478"/>
      <c r="CK19" s="478"/>
      <c r="CL19" s="478"/>
      <c r="CM19" s="479"/>
      <c r="CN19" s="479"/>
      <c r="CO19" s="486">
        <f t="shared" si="7"/>
        <v>1</v>
      </c>
      <c r="CP19" s="486">
        <f t="shared" si="8"/>
        <v>1</v>
      </c>
      <c r="CQ19" s="486">
        <f t="shared" si="9"/>
        <v>1</v>
      </c>
      <c r="CR19" s="486">
        <f t="shared" si="10"/>
        <v>1</v>
      </c>
      <c r="CS19" s="470"/>
      <c r="CT19" s="470"/>
      <c r="CU19" s="470"/>
      <c r="CV19" s="470"/>
      <c r="CW19" s="613">
        <f t="shared" si="11"/>
        <v>0</v>
      </c>
      <c r="CX19" s="613">
        <f t="shared" si="12"/>
        <v>0</v>
      </c>
      <c r="CY19" s="479"/>
      <c r="CZ19" s="479"/>
      <c r="DA19" s="479"/>
      <c r="DB19" s="479"/>
      <c r="DC19" s="479"/>
      <c r="DD19" s="479"/>
      <c r="DE19" s="479"/>
      <c r="DF19" s="479"/>
      <c r="DG19" s="479"/>
      <c r="DH19" s="479"/>
      <c r="DI19" s="479"/>
      <c r="DJ19" s="479"/>
      <c r="DK19" s="479"/>
      <c r="DL19" s="479"/>
      <c r="DM19" s="479"/>
      <c r="DN19" s="479"/>
      <c r="DO19" s="479"/>
      <c r="DP19" s="479"/>
      <c r="DQ19" s="479"/>
      <c r="DR19" s="479"/>
      <c r="DS19" s="479"/>
      <c r="DT19" s="479"/>
      <c r="DU19" s="217"/>
    </row>
    <row r="20" spans="1:125" ht="22.5" customHeight="1" x14ac:dyDescent="0.2">
      <c r="A20" s="1775" t="s">
        <v>1334</v>
      </c>
      <c r="B20" s="2231"/>
      <c r="C20" s="192" t="s">
        <v>374</v>
      </c>
      <c r="D20" s="938" t="s">
        <v>1384</v>
      </c>
      <c r="E20" s="939" t="s">
        <v>1385</v>
      </c>
      <c r="F20" s="1021" t="s">
        <v>1386</v>
      </c>
      <c r="G20" s="1023" t="s">
        <v>1387</v>
      </c>
      <c r="H20" s="1024" t="s">
        <v>1388</v>
      </c>
      <c r="I20" s="1023" t="s">
        <v>1389</v>
      </c>
      <c r="J20" s="1024" t="s">
        <v>1390</v>
      </c>
      <c r="K20" s="1023" t="s">
        <v>1391</v>
      </c>
      <c r="L20" s="1024" t="s">
        <v>1392</v>
      </c>
      <c r="M20" s="1023" t="s">
        <v>1393</v>
      </c>
      <c r="N20" s="1024" t="s">
        <v>1394</v>
      </c>
      <c r="O20" s="1023" t="s">
        <v>1395</v>
      </c>
      <c r="P20" s="1024" t="s">
        <v>1396</v>
      </c>
      <c r="Q20" s="1023" t="s">
        <v>1397</v>
      </c>
      <c r="R20" s="1024" t="s">
        <v>1398</v>
      </c>
      <c r="S20" s="1023" t="s">
        <v>1399</v>
      </c>
      <c r="T20" s="1024" t="s">
        <v>1400</v>
      </c>
      <c r="U20" s="1023" t="s">
        <v>1401</v>
      </c>
      <c r="V20" s="1024" t="s">
        <v>1402</v>
      </c>
      <c r="W20" s="1023" t="s">
        <v>1403</v>
      </c>
      <c r="X20" s="1024" t="s">
        <v>1404</v>
      </c>
      <c r="Y20" s="1023" t="s">
        <v>1405</v>
      </c>
      <c r="Z20" s="1024" t="s">
        <v>1406</v>
      </c>
      <c r="AA20" s="1023" t="s">
        <v>1407</v>
      </c>
      <c r="AB20" s="1024" t="s">
        <v>1408</v>
      </c>
      <c r="AC20" s="1023" t="s">
        <v>1409</v>
      </c>
      <c r="AD20" s="1024" t="s">
        <v>1410</v>
      </c>
      <c r="AE20" s="1023" t="s">
        <v>1411</v>
      </c>
      <c r="AF20" s="1024" t="s">
        <v>1412</v>
      </c>
      <c r="AG20" s="1023" t="s">
        <v>1413</v>
      </c>
      <c r="AH20" s="1025" t="s">
        <v>1414</v>
      </c>
      <c r="AI20" s="1524" t="s">
        <v>1415</v>
      </c>
      <c r="AJ20" s="1525" t="s">
        <v>1416</v>
      </c>
      <c r="AK20" s="1520" t="s">
        <v>1417</v>
      </c>
      <c r="AL20" s="1520" t="s">
        <v>1418</v>
      </c>
      <c r="AM20" s="1511" t="s">
        <v>1419</v>
      </c>
      <c r="AN20" s="81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20" s="153"/>
      <c r="AP20" s="217"/>
      <c r="AQ20" s="217"/>
      <c r="AR20" s="217"/>
      <c r="AS20" s="217"/>
      <c r="AT20" s="217"/>
      <c r="AU20" s="217"/>
      <c r="AV20" s="217"/>
      <c r="AW20" s="217"/>
      <c r="AX20" s="217"/>
      <c r="AY20" s="217"/>
      <c r="AZ20" s="217"/>
      <c r="BA20" s="217"/>
      <c r="BB20" s="478"/>
      <c r="BC20" s="478"/>
      <c r="BD20" s="406"/>
      <c r="BE20" s="489" t="str">
        <f t="shared" si="0"/>
        <v xml:space="preserve">* Pueblos Originarios-Hombres no debe ser mayor al Total de personas en PSCV. </v>
      </c>
      <c r="BF20" s="489" t="str">
        <f t="shared" si="1"/>
        <v xml:space="preserve">* Pueblos Originarios-Mujeres no debe ser mayor al Total de personas en PSCV. </v>
      </c>
      <c r="BG20" s="489" t="str">
        <f t="shared" si="2"/>
        <v xml:space="preserve">* Población Migrantes-Hombres no debe ser mayor al Total de personas en PSCV. </v>
      </c>
      <c r="BH20" s="489" t="str">
        <f t="shared" si="3"/>
        <v xml:space="preserve">* Población Migrantes-Mujeres no debe ser mayor al Total de personas en PSCV. </v>
      </c>
      <c r="BK20" s="465" t="str">
        <f t="shared" si="4"/>
        <v/>
      </c>
      <c r="BL20" s="465" t="str">
        <f t="shared" si="5"/>
        <v/>
      </c>
      <c r="BO20" s="478"/>
      <c r="BP20" s="478"/>
      <c r="BQ20" s="478"/>
      <c r="BR20" s="478"/>
      <c r="BS20" s="478"/>
      <c r="BT20" s="478"/>
      <c r="BU20" s="478"/>
      <c r="BV20" s="478"/>
      <c r="BW20" s="478"/>
      <c r="BX20" s="478"/>
      <c r="BY20" s="478"/>
      <c r="BZ20" s="478"/>
      <c r="CA20" s="478"/>
      <c r="CB20" s="478"/>
      <c r="CC20" s="478"/>
      <c r="CD20" s="478"/>
      <c r="CE20" s="478"/>
      <c r="CF20" s="478"/>
      <c r="CG20" s="478"/>
      <c r="CH20" s="478"/>
      <c r="CI20" s="478"/>
      <c r="CJ20" s="478"/>
      <c r="CK20" s="478"/>
      <c r="CL20" s="478"/>
      <c r="CM20" s="479"/>
      <c r="CN20" s="479"/>
      <c r="CO20" s="486">
        <f t="shared" si="7"/>
        <v>1</v>
      </c>
      <c r="CP20" s="486">
        <f t="shared" si="8"/>
        <v>1</v>
      </c>
      <c r="CQ20" s="486">
        <f t="shared" si="9"/>
        <v>1</v>
      </c>
      <c r="CR20" s="486">
        <f t="shared" si="10"/>
        <v>1</v>
      </c>
      <c r="CS20" s="470"/>
      <c r="CT20" s="470"/>
      <c r="CU20" s="470"/>
      <c r="CV20" s="470"/>
      <c r="CW20" s="613">
        <f t="shared" si="11"/>
        <v>0</v>
      </c>
      <c r="CX20" s="613">
        <f t="shared" si="12"/>
        <v>0</v>
      </c>
      <c r="CY20" s="479"/>
      <c r="CZ20" s="479"/>
      <c r="DA20" s="479"/>
      <c r="DB20" s="479"/>
      <c r="DC20" s="479"/>
      <c r="DD20" s="479"/>
      <c r="DE20" s="479"/>
      <c r="DF20" s="479"/>
      <c r="DG20" s="479"/>
      <c r="DH20" s="479"/>
      <c r="DI20" s="479"/>
      <c r="DJ20" s="479"/>
      <c r="DK20" s="479"/>
      <c r="DL20" s="479"/>
      <c r="DM20" s="479"/>
      <c r="DN20" s="479"/>
      <c r="DO20" s="479"/>
      <c r="DP20" s="479"/>
      <c r="DQ20" s="479"/>
      <c r="DR20" s="479"/>
      <c r="DS20" s="479"/>
      <c r="DT20" s="479"/>
      <c r="DU20" s="217"/>
    </row>
    <row r="21" spans="1:125" ht="22.5" customHeight="1" x14ac:dyDescent="0.2">
      <c r="A21" s="1775" t="s">
        <v>1335</v>
      </c>
      <c r="B21" s="2232"/>
      <c r="C21" s="193" t="s">
        <v>184</v>
      </c>
      <c r="D21" s="941" t="s">
        <v>1384</v>
      </c>
      <c r="E21" s="942" t="s">
        <v>1385</v>
      </c>
      <c r="F21" s="1019" t="s">
        <v>1386</v>
      </c>
      <c r="G21" s="962" t="s">
        <v>1387</v>
      </c>
      <c r="H21" s="963" t="s">
        <v>1388</v>
      </c>
      <c r="I21" s="962" t="s">
        <v>1389</v>
      </c>
      <c r="J21" s="963" t="s">
        <v>1390</v>
      </c>
      <c r="K21" s="962" t="s">
        <v>1391</v>
      </c>
      <c r="L21" s="963" t="s">
        <v>1392</v>
      </c>
      <c r="M21" s="962" t="s">
        <v>1393</v>
      </c>
      <c r="N21" s="963" t="s">
        <v>1394</v>
      </c>
      <c r="O21" s="962" t="s">
        <v>1395</v>
      </c>
      <c r="P21" s="963" t="s">
        <v>1396</v>
      </c>
      <c r="Q21" s="962" t="s">
        <v>1397</v>
      </c>
      <c r="R21" s="963" t="s">
        <v>1398</v>
      </c>
      <c r="S21" s="962" t="s">
        <v>1399</v>
      </c>
      <c r="T21" s="963" t="s">
        <v>1400</v>
      </c>
      <c r="U21" s="962" t="s">
        <v>1401</v>
      </c>
      <c r="V21" s="963" t="s">
        <v>1402</v>
      </c>
      <c r="W21" s="962" t="s">
        <v>1403</v>
      </c>
      <c r="X21" s="963" t="s">
        <v>1404</v>
      </c>
      <c r="Y21" s="962" t="s">
        <v>1405</v>
      </c>
      <c r="Z21" s="963" t="s">
        <v>1406</v>
      </c>
      <c r="AA21" s="962" t="s">
        <v>1407</v>
      </c>
      <c r="AB21" s="963" t="s">
        <v>1408</v>
      </c>
      <c r="AC21" s="962" t="s">
        <v>1409</v>
      </c>
      <c r="AD21" s="963" t="s">
        <v>1410</v>
      </c>
      <c r="AE21" s="962" t="s">
        <v>1411</v>
      </c>
      <c r="AF21" s="963" t="s">
        <v>1412</v>
      </c>
      <c r="AG21" s="962" t="s">
        <v>1413</v>
      </c>
      <c r="AH21" s="993" t="s">
        <v>1414</v>
      </c>
      <c r="AI21" s="1521" t="s">
        <v>1415</v>
      </c>
      <c r="AJ21" s="1522" t="s">
        <v>1416</v>
      </c>
      <c r="AK21" s="1522" t="s">
        <v>1417</v>
      </c>
      <c r="AL21" s="1522" t="s">
        <v>1418</v>
      </c>
      <c r="AM21" s="1026" t="s">
        <v>1419</v>
      </c>
      <c r="AN21" s="81" t="str">
        <f t="shared" si="6"/>
        <v xml:space="preserve">* Pueblos Originarios-Hombres no debe ser mayor al Total de personas en PSCV. * Pueblos Originarios-Mujeres no debe ser mayor al Total de personas en PSCV. * Población Migrantes-Hombres no debe ser mayor al Total de personas en PSCV. * Población Migrantes-Mujeres no debe ser mayor al Total de personas en PSCV. </v>
      </c>
      <c r="AO21" s="153"/>
      <c r="AP21" s="217"/>
      <c r="AQ21" s="217"/>
      <c r="AR21" s="217"/>
      <c r="AS21" s="217"/>
      <c r="AT21" s="217"/>
      <c r="AU21" s="217"/>
      <c r="AV21" s="217"/>
      <c r="AW21" s="217"/>
      <c r="AX21" s="217"/>
      <c r="AY21" s="217"/>
      <c r="AZ21" s="217"/>
      <c r="BA21" s="217"/>
      <c r="BB21" s="478"/>
      <c r="BC21" s="478"/>
      <c r="BD21" s="406"/>
      <c r="BE21" s="489" t="str">
        <f t="shared" si="0"/>
        <v xml:space="preserve">* Pueblos Originarios-Hombres no debe ser mayor al Total de personas en PSCV. </v>
      </c>
      <c r="BF21" s="489" t="str">
        <f t="shared" si="1"/>
        <v xml:space="preserve">* Pueblos Originarios-Mujeres no debe ser mayor al Total de personas en PSCV. </v>
      </c>
      <c r="BG21" s="489" t="str">
        <f t="shared" si="2"/>
        <v xml:space="preserve">* Población Migrantes-Hombres no debe ser mayor al Total de personas en PSCV. </v>
      </c>
      <c r="BH21" s="489" t="str">
        <f t="shared" si="3"/>
        <v xml:space="preserve">* Población Migrantes-Mujeres no debe ser mayor al Total de personas en PSCV. </v>
      </c>
      <c r="BK21" s="465" t="str">
        <f t="shared" si="4"/>
        <v/>
      </c>
      <c r="BL21" s="465" t="str">
        <f t="shared" si="5"/>
        <v/>
      </c>
      <c r="BO21" s="478"/>
      <c r="BP21" s="478"/>
      <c r="BQ21" s="478"/>
      <c r="BR21" s="478"/>
      <c r="BS21" s="478"/>
      <c r="BT21" s="478"/>
      <c r="BU21" s="478"/>
      <c r="BV21" s="478"/>
      <c r="BW21" s="478"/>
      <c r="BX21" s="478"/>
      <c r="BY21" s="478"/>
      <c r="BZ21" s="478"/>
      <c r="CA21" s="478"/>
      <c r="CB21" s="478"/>
      <c r="CC21" s="478"/>
      <c r="CD21" s="478"/>
      <c r="CE21" s="478"/>
      <c r="CF21" s="478"/>
      <c r="CG21" s="478"/>
      <c r="CH21" s="478"/>
      <c r="CI21" s="478"/>
      <c r="CJ21" s="478"/>
      <c r="CK21" s="478"/>
      <c r="CL21" s="478"/>
      <c r="CM21" s="479"/>
      <c r="CN21" s="479"/>
      <c r="CO21" s="486">
        <f t="shared" si="7"/>
        <v>1</v>
      </c>
      <c r="CP21" s="486">
        <f t="shared" si="8"/>
        <v>1</v>
      </c>
      <c r="CQ21" s="486">
        <f t="shared" si="9"/>
        <v>1</v>
      </c>
      <c r="CR21" s="486">
        <f t="shared" si="10"/>
        <v>1</v>
      </c>
      <c r="CS21" s="470"/>
      <c r="CT21" s="470"/>
      <c r="CU21" s="470"/>
      <c r="CV21" s="470"/>
      <c r="CW21" s="613">
        <f t="shared" si="11"/>
        <v>0</v>
      </c>
      <c r="CX21" s="613">
        <f t="shared" si="12"/>
        <v>0</v>
      </c>
      <c r="CY21" s="479"/>
      <c r="CZ21" s="479"/>
      <c r="DA21" s="479"/>
      <c r="DB21" s="479"/>
      <c r="DC21" s="479"/>
      <c r="DD21" s="479"/>
      <c r="DE21" s="479"/>
      <c r="DF21" s="479"/>
      <c r="DG21" s="479"/>
      <c r="DH21" s="479"/>
      <c r="DI21" s="479"/>
      <c r="DJ21" s="479"/>
      <c r="DK21" s="479"/>
      <c r="DL21" s="479"/>
      <c r="DM21" s="479"/>
      <c r="DN21" s="479"/>
      <c r="DO21" s="479"/>
      <c r="DP21" s="479"/>
      <c r="DQ21" s="479"/>
      <c r="DR21" s="479"/>
      <c r="DS21" s="479"/>
      <c r="DT21" s="479"/>
      <c r="DU21" s="217"/>
    </row>
    <row r="22" spans="1:125" ht="22.5" customHeight="1" x14ac:dyDescent="0.2">
      <c r="A22" s="1775" t="s">
        <v>1336</v>
      </c>
      <c r="B22" s="2228" t="s">
        <v>185</v>
      </c>
      <c r="C22" s="194" t="s">
        <v>186</v>
      </c>
      <c r="D22" s="944" t="s">
        <v>1384</v>
      </c>
      <c r="E22" s="1015" t="s">
        <v>1385</v>
      </c>
      <c r="F22" s="1027" t="s">
        <v>1386</v>
      </c>
      <c r="G22" s="977" t="s">
        <v>1387</v>
      </c>
      <c r="H22" s="978" t="s">
        <v>1388</v>
      </c>
      <c r="I22" s="977" t="s">
        <v>1389</v>
      </c>
      <c r="J22" s="978" t="s">
        <v>1390</v>
      </c>
      <c r="K22" s="977" t="s">
        <v>1391</v>
      </c>
      <c r="L22" s="978" t="s">
        <v>1392</v>
      </c>
      <c r="M22" s="977" t="s">
        <v>1393</v>
      </c>
      <c r="N22" s="978" t="s">
        <v>1394</v>
      </c>
      <c r="O22" s="977" t="s">
        <v>1395</v>
      </c>
      <c r="P22" s="978" t="s">
        <v>1396</v>
      </c>
      <c r="Q22" s="977" t="s">
        <v>1397</v>
      </c>
      <c r="R22" s="978" t="s">
        <v>1398</v>
      </c>
      <c r="S22" s="977" t="s">
        <v>1399</v>
      </c>
      <c r="T22" s="978" t="s">
        <v>1400</v>
      </c>
      <c r="U22" s="977" t="s">
        <v>1401</v>
      </c>
      <c r="V22" s="978" t="s">
        <v>1402</v>
      </c>
      <c r="W22" s="977" t="s">
        <v>1403</v>
      </c>
      <c r="X22" s="978" t="s">
        <v>1404</v>
      </c>
      <c r="Y22" s="977" t="s">
        <v>1405</v>
      </c>
      <c r="Z22" s="978" t="s">
        <v>1406</v>
      </c>
      <c r="AA22" s="977" t="s">
        <v>1407</v>
      </c>
      <c r="AB22" s="978" t="s">
        <v>1408</v>
      </c>
      <c r="AC22" s="977" t="s">
        <v>1409</v>
      </c>
      <c r="AD22" s="978" t="s">
        <v>1410</v>
      </c>
      <c r="AE22" s="977" t="s">
        <v>1411</v>
      </c>
      <c r="AF22" s="978" t="s">
        <v>1412</v>
      </c>
      <c r="AG22" s="977" t="s">
        <v>1413</v>
      </c>
      <c r="AH22" s="979" t="s">
        <v>1414</v>
      </c>
      <c r="AI22" s="1029" t="s">
        <v>1415</v>
      </c>
      <c r="AJ22" s="1526" t="s">
        <v>1416</v>
      </c>
      <c r="AK22" s="1526" t="s">
        <v>1417</v>
      </c>
      <c r="AL22" s="1526" t="s">
        <v>1418</v>
      </c>
      <c r="AM22" s="1001" t="s">
        <v>1419</v>
      </c>
      <c r="AN22" s="81" t="str">
        <f t="shared" ref="AN22:AN27" si="13" xml:space="preserve"> BE22 &amp; BF22 &amp; BI22 &amp; BG22 &amp; BH22 &amp; BK22 &amp; BL22</f>
        <v xml:space="preserve">* Pueblos Originarios-Hombres no debe ser mayor al Total de personas en PSCV. * Pueblos Originarios-Mujeres no debe ser mayor al Total de personas en PSCV. * Personas diabéticas 'Sin enfermedad renal' no debe ser mayor que el Total pacientes evaluados. * Población Migrantes-Hombres no debe ser mayor al Total de personas en PSCV. * Población Migrantes-Mujeres no debe ser mayor al Total de personas en PSCV. </v>
      </c>
      <c r="AO22" s="153"/>
      <c r="AP22" s="153"/>
      <c r="AQ22" s="153"/>
      <c r="AR22" s="153"/>
      <c r="AS22" s="153"/>
      <c r="AT22" s="153"/>
      <c r="AU22" s="153"/>
      <c r="AV22" s="153"/>
      <c r="AW22" s="153"/>
      <c r="AX22" s="153"/>
      <c r="AY22" s="153"/>
      <c r="AZ22" s="153"/>
      <c r="BA22" s="153"/>
      <c r="BB22" s="395"/>
      <c r="BC22" s="395"/>
      <c r="BD22" s="406"/>
      <c r="BE22" s="489" t="str">
        <f t="shared" si="0"/>
        <v xml:space="preserve">* Pueblos Originarios-Hombres no debe ser mayor al Total de personas en PSCV. </v>
      </c>
      <c r="BF22" s="489" t="str">
        <f t="shared" si="1"/>
        <v xml:space="preserve">* Pueblos Originarios-Mujeres no debe ser mayor al Total de personas en PSCV. </v>
      </c>
      <c r="BG22" s="489" t="str">
        <f t="shared" si="2"/>
        <v xml:space="preserve">* Población Migrantes-Hombres no debe ser mayor al Total de personas en PSCV. </v>
      </c>
      <c r="BH22" s="489" t="str">
        <f t="shared" si="3"/>
        <v xml:space="preserve">* Población Migrantes-Mujeres no debe ser mayor al Total de personas en PSCV. </v>
      </c>
      <c r="BI22" s="489" t="str">
        <f>IF($AM22&lt;=$D22,"","* Personas diabéticas 'Sin enfermedad renal' no debe ser mayor que el Total pacientes evaluados. ")</f>
        <v xml:space="preserve">* Personas diabéticas 'Sin enfermedad renal' no debe ser mayor que el Total pacientes evaluados. </v>
      </c>
      <c r="BK22" s="465" t="str">
        <f t="shared" si="4"/>
        <v/>
      </c>
      <c r="BL22" s="465" t="str">
        <f t="shared" si="5"/>
        <v/>
      </c>
      <c r="BP22" s="478"/>
      <c r="BQ22" s="478"/>
      <c r="BR22" s="478"/>
      <c r="BS22" s="478"/>
      <c r="BT22" s="478"/>
      <c r="BU22" s="478"/>
      <c r="BV22" s="478"/>
      <c r="BW22" s="478"/>
      <c r="BX22" s="478"/>
      <c r="BY22" s="478"/>
      <c r="BZ22" s="478"/>
      <c r="CA22" s="478"/>
      <c r="CB22" s="478"/>
      <c r="CC22" s="478"/>
      <c r="CD22" s="478"/>
      <c r="CE22" s="478"/>
      <c r="CF22" s="478"/>
      <c r="CG22" s="478"/>
      <c r="CH22" s="478"/>
      <c r="CI22" s="478"/>
      <c r="CJ22" s="478"/>
      <c r="CK22" s="478"/>
      <c r="CL22" s="478"/>
      <c r="CM22" s="479"/>
      <c r="CN22" s="479"/>
      <c r="CO22" s="486">
        <f t="shared" si="7"/>
        <v>1</v>
      </c>
      <c r="CP22" s="486">
        <f t="shared" si="8"/>
        <v>1</v>
      </c>
      <c r="CQ22" s="486">
        <f t="shared" si="9"/>
        <v>1</v>
      </c>
      <c r="CR22" s="486">
        <f t="shared" si="10"/>
        <v>1</v>
      </c>
      <c r="CS22" s="486">
        <f t="shared" ref="CS22:CS27" si="14">IF($AM22&lt;=$D22,0,1)</f>
        <v>1</v>
      </c>
      <c r="CT22" s="470"/>
      <c r="CU22" s="470"/>
      <c r="CV22" s="470"/>
      <c r="CW22" s="613">
        <f t="shared" si="11"/>
        <v>0</v>
      </c>
      <c r="CX22" s="613">
        <f t="shared" si="12"/>
        <v>0</v>
      </c>
      <c r="CY22" s="470"/>
      <c r="CZ22" s="479"/>
      <c r="DA22" s="479"/>
      <c r="DB22" s="479"/>
      <c r="DC22" s="479"/>
      <c r="DD22" s="479"/>
      <c r="DE22" s="479"/>
      <c r="DF22" s="479"/>
      <c r="DG22" s="479"/>
      <c r="DH22" s="479"/>
      <c r="DI22" s="479"/>
      <c r="DJ22" s="479"/>
      <c r="DK22" s="479"/>
      <c r="DL22" s="479"/>
      <c r="DM22" s="479"/>
      <c r="DN22" s="479"/>
      <c r="DO22" s="479"/>
      <c r="DP22" s="479"/>
      <c r="DQ22" s="479"/>
      <c r="DR22" s="479"/>
      <c r="DS22" s="479"/>
      <c r="DT22" s="479"/>
      <c r="DU22" s="217"/>
    </row>
    <row r="23" spans="1:125" ht="22.5" customHeight="1" x14ac:dyDescent="0.2">
      <c r="A23" s="1775" t="s">
        <v>1337</v>
      </c>
      <c r="B23" s="2228"/>
      <c r="C23" s="195" t="s">
        <v>375</v>
      </c>
      <c r="D23" s="938" t="s">
        <v>1384</v>
      </c>
      <c r="E23" s="939" t="s">
        <v>1385</v>
      </c>
      <c r="F23" s="1021" t="s">
        <v>1386</v>
      </c>
      <c r="G23" s="957" t="s">
        <v>1387</v>
      </c>
      <c r="H23" s="958" t="s">
        <v>1388</v>
      </c>
      <c r="I23" s="957" t="s">
        <v>1389</v>
      </c>
      <c r="J23" s="958" t="s">
        <v>1390</v>
      </c>
      <c r="K23" s="957" t="s">
        <v>1391</v>
      </c>
      <c r="L23" s="958" t="s">
        <v>1392</v>
      </c>
      <c r="M23" s="957" t="s">
        <v>1393</v>
      </c>
      <c r="N23" s="958" t="s">
        <v>1394</v>
      </c>
      <c r="O23" s="957" t="s">
        <v>1395</v>
      </c>
      <c r="P23" s="958" t="s">
        <v>1396</v>
      </c>
      <c r="Q23" s="957" t="s">
        <v>1397</v>
      </c>
      <c r="R23" s="958" t="s">
        <v>1398</v>
      </c>
      <c r="S23" s="957" t="s">
        <v>1399</v>
      </c>
      <c r="T23" s="958" t="s">
        <v>1400</v>
      </c>
      <c r="U23" s="957" t="s">
        <v>1401</v>
      </c>
      <c r="V23" s="958" t="s">
        <v>1402</v>
      </c>
      <c r="W23" s="957" t="s">
        <v>1403</v>
      </c>
      <c r="X23" s="958" t="s">
        <v>1404</v>
      </c>
      <c r="Y23" s="957" t="s">
        <v>1405</v>
      </c>
      <c r="Z23" s="958" t="s">
        <v>1406</v>
      </c>
      <c r="AA23" s="957" t="s">
        <v>1407</v>
      </c>
      <c r="AB23" s="958" t="s">
        <v>1408</v>
      </c>
      <c r="AC23" s="957" t="s">
        <v>1409</v>
      </c>
      <c r="AD23" s="958" t="s">
        <v>1410</v>
      </c>
      <c r="AE23" s="957" t="s">
        <v>1411</v>
      </c>
      <c r="AF23" s="958" t="s">
        <v>1412</v>
      </c>
      <c r="AG23" s="957" t="s">
        <v>1413</v>
      </c>
      <c r="AH23" s="966" t="s">
        <v>1414</v>
      </c>
      <c r="AI23" s="1030" t="s">
        <v>1415</v>
      </c>
      <c r="AJ23" s="1520" t="s">
        <v>1416</v>
      </c>
      <c r="AK23" s="1523" t="s">
        <v>1417</v>
      </c>
      <c r="AL23" s="1520" t="s">
        <v>1418</v>
      </c>
      <c r="AM23" s="1148" t="s">
        <v>1419</v>
      </c>
      <c r="AN23" s="81" t="str">
        <f t="shared" si="13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3" s="153"/>
      <c r="AP23" s="153"/>
      <c r="AQ23" s="153"/>
      <c r="AR23" s="153"/>
      <c r="AS23" s="153"/>
      <c r="AT23" s="153"/>
      <c r="AU23" s="153"/>
      <c r="AV23" s="153"/>
      <c r="AW23" s="153"/>
      <c r="AX23" s="153"/>
      <c r="AY23" s="153"/>
      <c r="AZ23" s="153"/>
      <c r="BA23" s="153"/>
      <c r="BB23" s="395"/>
      <c r="BC23" s="395"/>
      <c r="BD23" s="406"/>
      <c r="BE23" s="489" t="str">
        <f t="shared" si="0"/>
        <v xml:space="preserve">* Pueblos Originarios-Hombres no debe ser mayor al Total de personas en PSCV. </v>
      </c>
      <c r="BF23" s="489" t="str">
        <f t="shared" si="1"/>
        <v xml:space="preserve">* Pueblos Originarios-Mujeres no debe ser mayor al Total de personas en PSCV. </v>
      </c>
      <c r="BG23" s="489" t="str">
        <f t="shared" si="2"/>
        <v xml:space="preserve">* Población Migrantes-Hombres no debe ser mayor al Total de personas en PSCV. </v>
      </c>
      <c r="BH23" s="489" t="str">
        <f t="shared" si="3"/>
        <v xml:space="preserve">* Población Migrantes-Mujeres no debe ser mayor al Total de personas en PSCV. </v>
      </c>
      <c r="BI23" s="489" t="str">
        <f>IF($AM23&lt;=$D23,"","* Personas diabéticas 'Etapa 1 y 2' no debe ser mayor que el Total pacientes evaluados. ")</f>
        <v xml:space="preserve">* Personas diabéticas 'Etapa 1 y 2' no debe ser mayor que el Total pacientes evaluados. </v>
      </c>
      <c r="BK23" s="465" t="str">
        <f t="shared" si="4"/>
        <v/>
      </c>
      <c r="BL23" s="465" t="str">
        <f t="shared" si="5"/>
        <v/>
      </c>
      <c r="BP23" s="478"/>
      <c r="BQ23" s="478"/>
      <c r="BR23" s="478"/>
      <c r="BS23" s="478"/>
      <c r="BT23" s="478"/>
      <c r="BU23" s="478"/>
      <c r="BV23" s="478"/>
      <c r="BW23" s="478"/>
      <c r="BX23" s="478"/>
      <c r="BY23" s="478"/>
      <c r="BZ23" s="478"/>
      <c r="CA23" s="478"/>
      <c r="CB23" s="478"/>
      <c r="CC23" s="478"/>
      <c r="CD23" s="478"/>
      <c r="CE23" s="478"/>
      <c r="CF23" s="478"/>
      <c r="CG23" s="478"/>
      <c r="CH23" s="478"/>
      <c r="CI23" s="478"/>
      <c r="CJ23" s="478"/>
      <c r="CK23" s="478"/>
      <c r="CL23" s="478"/>
      <c r="CM23" s="479"/>
      <c r="CN23" s="479"/>
      <c r="CO23" s="486">
        <f t="shared" si="7"/>
        <v>1</v>
      </c>
      <c r="CP23" s="486">
        <f t="shared" si="8"/>
        <v>1</v>
      </c>
      <c r="CQ23" s="486">
        <f t="shared" si="9"/>
        <v>1</v>
      </c>
      <c r="CR23" s="486">
        <f t="shared" si="10"/>
        <v>1</v>
      </c>
      <c r="CS23" s="486">
        <f t="shared" si="14"/>
        <v>1</v>
      </c>
      <c r="CT23" s="470"/>
      <c r="CU23" s="470"/>
      <c r="CV23" s="470"/>
      <c r="CW23" s="613">
        <f t="shared" si="11"/>
        <v>0</v>
      </c>
      <c r="CX23" s="613">
        <f t="shared" si="12"/>
        <v>0</v>
      </c>
      <c r="CY23" s="470"/>
      <c r="CZ23" s="479"/>
      <c r="DA23" s="479"/>
      <c r="DB23" s="479"/>
      <c r="DC23" s="479"/>
      <c r="DD23" s="479"/>
      <c r="DE23" s="479"/>
      <c r="DF23" s="479"/>
      <c r="DG23" s="479"/>
      <c r="DH23" s="479"/>
      <c r="DI23" s="479"/>
      <c r="DJ23" s="479"/>
      <c r="DK23" s="479"/>
      <c r="DL23" s="479"/>
      <c r="DM23" s="479"/>
      <c r="DN23" s="479"/>
      <c r="DO23" s="479"/>
      <c r="DP23" s="479"/>
      <c r="DQ23" s="479"/>
      <c r="DR23" s="479"/>
      <c r="DS23" s="479"/>
      <c r="DT23" s="479"/>
      <c r="DU23" s="217"/>
    </row>
    <row r="24" spans="1:125" ht="22.5" customHeight="1" x14ac:dyDescent="0.2">
      <c r="A24" s="1775" t="s">
        <v>1338</v>
      </c>
      <c r="B24" s="2228"/>
      <c r="C24" s="195" t="s">
        <v>585</v>
      </c>
      <c r="D24" s="938" t="s">
        <v>1384</v>
      </c>
      <c r="E24" s="939" t="s">
        <v>1385</v>
      </c>
      <c r="F24" s="1021" t="s">
        <v>1386</v>
      </c>
      <c r="G24" s="957" t="s">
        <v>1387</v>
      </c>
      <c r="H24" s="958" t="s">
        <v>1388</v>
      </c>
      <c r="I24" s="957" t="s">
        <v>1389</v>
      </c>
      <c r="J24" s="958" t="s">
        <v>1390</v>
      </c>
      <c r="K24" s="957" t="s">
        <v>1391</v>
      </c>
      <c r="L24" s="958" t="s">
        <v>1392</v>
      </c>
      <c r="M24" s="957" t="s">
        <v>1393</v>
      </c>
      <c r="N24" s="958" t="s">
        <v>1394</v>
      </c>
      <c r="O24" s="957" t="s">
        <v>1395</v>
      </c>
      <c r="P24" s="958" t="s">
        <v>1396</v>
      </c>
      <c r="Q24" s="957" t="s">
        <v>1397</v>
      </c>
      <c r="R24" s="958" t="s">
        <v>1398</v>
      </c>
      <c r="S24" s="957" t="s">
        <v>1399</v>
      </c>
      <c r="T24" s="958" t="s">
        <v>1400</v>
      </c>
      <c r="U24" s="957" t="s">
        <v>1401</v>
      </c>
      <c r="V24" s="958" t="s">
        <v>1402</v>
      </c>
      <c r="W24" s="957" t="s">
        <v>1403</v>
      </c>
      <c r="X24" s="958" t="s">
        <v>1404</v>
      </c>
      <c r="Y24" s="957" t="s">
        <v>1405</v>
      </c>
      <c r="Z24" s="958" t="s">
        <v>1406</v>
      </c>
      <c r="AA24" s="957" t="s">
        <v>1407</v>
      </c>
      <c r="AB24" s="958" t="s">
        <v>1408</v>
      </c>
      <c r="AC24" s="957" t="s">
        <v>1409</v>
      </c>
      <c r="AD24" s="958" t="s">
        <v>1410</v>
      </c>
      <c r="AE24" s="957" t="s">
        <v>1411</v>
      </c>
      <c r="AF24" s="958" t="s">
        <v>1412</v>
      </c>
      <c r="AG24" s="957" t="s">
        <v>1413</v>
      </c>
      <c r="AH24" s="966" t="s">
        <v>1414</v>
      </c>
      <c r="AI24" s="1030" t="s">
        <v>1415</v>
      </c>
      <c r="AJ24" s="1520" t="s">
        <v>1416</v>
      </c>
      <c r="AK24" s="1520" t="s">
        <v>1417</v>
      </c>
      <c r="AL24" s="1520" t="s">
        <v>1418</v>
      </c>
      <c r="AM24" s="1148" t="s">
        <v>1419</v>
      </c>
      <c r="AN24" s="81" t="str">
        <f t="shared" si="13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4" s="153"/>
      <c r="AP24" s="153"/>
      <c r="AQ24" s="153"/>
      <c r="AR24" s="153"/>
      <c r="AS24" s="153"/>
      <c r="AT24" s="153"/>
      <c r="AU24" s="153"/>
      <c r="AV24" s="153"/>
      <c r="AW24" s="153"/>
      <c r="AX24" s="153"/>
      <c r="AY24" s="153"/>
      <c r="AZ24" s="153"/>
      <c r="BA24" s="153"/>
      <c r="BB24" s="395"/>
      <c r="BC24" s="395"/>
      <c r="BD24" s="406"/>
      <c r="BE24" s="489" t="str">
        <f t="shared" si="0"/>
        <v xml:space="preserve">* Pueblos Originarios-Hombres no debe ser mayor al Total de personas en PSCV. </v>
      </c>
      <c r="BF24" s="489" t="str">
        <f t="shared" si="1"/>
        <v xml:space="preserve">* Pueblos Originarios-Mujeres no debe ser mayor al Total de personas en PSCV. </v>
      </c>
      <c r="BG24" s="489" t="str">
        <f t="shared" si="2"/>
        <v xml:space="preserve">* Población Migrantes-Hombres no debe ser mayor al Total de personas en PSCV. </v>
      </c>
      <c r="BH24" s="489" t="str">
        <f t="shared" si="3"/>
        <v xml:space="preserve">* Población Migrantes-Mujeres no debe ser mayor al Total de personas en PSCV. </v>
      </c>
      <c r="BI24" s="489" t="str">
        <f>IF($AM24&lt;=$D24,"","* Personas diabéticas 'Etapa 1 y 2' no debe ser mayor que el Total pacientes evaluados. ")</f>
        <v xml:space="preserve">* Personas diabéticas 'Etapa 1 y 2' no debe ser mayor que el Total pacientes evaluados. </v>
      </c>
      <c r="BK24" s="465" t="str">
        <f t="shared" si="4"/>
        <v/>
      </c>
      <c r="BL24" s="465" t="str">
        <f t="shared" si="5"/>
        <v/>
      </c>
      <c r="BP24" s="478"/>
      <c r="BQ24" s="478"/>
      <c r="BR24" s="478"/>
      <c r="BS24" s="478"/>
      <c r="BT24" s="478"/>
      <c r="BU24" s="478"/>
      <c r="BV24" s="478"/>
      <c r="BW24" s="478"/>
      <c r="BX24" s="478"/>
      <c r="BY24" s="478"/>
      <c r="BZ24" s="478"/>
      <c r="CA24" s="478"/>
      <c r="CB24" s="478"/>
      <c r="CC24" s="478"/>
      <c r="CD24" s="478"/>
      <c r="CE24" s="478"/>
      <c r="CF24" s="478"/>
      <c r="CG24" s="478"/>
      <c r="CH24" s="478"/>
      <c r="CI24" s="478"/>
      <c r="CJ24" s="478"/>
      <c r="CK24" s="478"/>
      <c r="CL24" s="478"/>
      <c r="CM24" s="479"/>
      <c r="CN24" s="479"/>
      <c r="CO24" s="486">
        <f t="shared" si="7"/>
        <v>1</v>
      </c>
      <c r="CP24" s="486">
        <f t="shared" si="8"/>
        <v>1</v>
      </c>
      <c r="CQ24" s="486">
        <f t="shared" si="9"/>
        <v>1</v>
      </c>
      <c r="CR24" s="486">
        <f t="shared" si="10"/>
        <v>1</v>
      </c>
      <c r="CS24" s="486">
        <f t="shared" si="14"/>
        <v>1</v>
      </c>
      <c r="CT24" s="470"/>
      <c r="CU24" s="470"/>
      <c r="CV24" s="470"/>
      <c r="CW24" s="613">
        <f t="shared" si="11"/>
        <v>0</v>
      </c>
      <c r="CX24" s="613">
        <f t="shared" si="12"/>
        <v>0</v>
      </c>
      <c r="CY24" s="470"/>
      <c r="CZ24" s="479"/>
      <c r="DA24" s="479"/>
      <c r="DB24" s="479"/>
      <c r="DC24" s="479"/>
      <c r="DD24" s="479"/>
      <c r="DE24" s="479"/>
      <c r="DF24" s="479"/>
      <c r="DG24" s="479"/>
      <c r="DH24" s="479"/>
      <c r="DI24" s="479"/>
      <c r="DJ24" s="479"/>
      <c r="DK24" s="479"/>
      <c r="DL24" s="479"/>
      <c r="DM24" s="479"/>
      <c r="DN24" s="479"/>
      <c r="DO24" s="479"/>
      <c r="DP24" s="479"/>
      <c r="DQ24" s="479"/>
      <c r="DR24" s="479"/>
      <c r="DS24" s="479"/>
      <c r="DT24" s="479"/>
      <c r="DU24" s="217"/>
    </row>
    <row r="25" spans="1:125" ht="22.5" customHeight="1" x14ac:dyDescent="0.2">
      <c r="A25" s="1775" t="s">
        <v>1339</v>
      </c>
      <c r="B25" s="2228"/>
      <c r="C25" s="195" t="s">
        <v>586</v>
      </c>
      <c r="D25" s="938" t="s">
        <v>1384</v>
      </c>
      <c r="E25" s="939" t="s">
        <v>1385</v>
      </c>
      <c r="F25" s="1021" t="s">
        <v>1386</v>
      </c>
      <c r="G25" s="957" t="s">
        <v>1387</v>
      </c>
      <c r="H25" s="958" t="s">
        <v>1388</v>
      </c>
      <c r="I25" s="957" t="s">
        <v>1389</v>
      </c>
      <c r="J25" s="958" t="s">
        <v>1390</v>
      </c>
      <c r="K25" s="957" t="s">
        <v>1391</v>
      </c>
      <c r="L25" s="958" t="s">
        <v>1392</v>
      </c>
      <c r="M25" s="957" t="s">
        <v>1393</v>
      </c>
      <c r="N25" s="958" t="s">
        <v>1394</v>
      </c>
      <c r="O25" s="957" t="s">
        <v>1395</v>
      </c>
      <c r="P25" s="958" t="s">
        <v>1396</v>
      </c>
      <c r="Q25" s="957" t="s">
        <v>1397</v>
      </c>
      <c r="R25" s="958" t="s">
        <v>1398</v>
      </c>
      <c r="S25" s="957" t="s">
        <v>1399</v>
      </c>
      <c r="T25" s="958" t="s">
        <v>1400</v>
      </c>
      <c r="U25" s="957" t="s">
        <v>1401</v>
      </c>
      <c r="V25" s="958" t="s">
        <v>1402</v>
      </c>
      <c r="W25" s="957" t="s">
        <v>1403</v>
      </c>
      <c r="X25" s="958" t="s">
        <v>1404</v>
      </c>
      <c r="Y25" s="957" t="s">
        <v>1405</v>
      </c>
      <c r="Z25" s="958" t="s">
        <v>1406</v>
      </c>
      <c r="AA25" s="957" t="s">
        <v>1407</v>
      </c>
      <c r="AB25" s="958" t="s">
        <v>1408</v>
      </c>
      <c r="AC25" s="957" t="s">
        <v>1409</v>
      </c>
      <c r="AD25" s="958" t="s">
        <v>1410</v>
      </c>
      <c r="AE25" s="957" t="s">
        <v>1411</v>
      </c>
      <c r="AF25" s="958" t="s">
        <v>1412</v>
      </c>
      <c r="AG25" s="957" t="s">
        <v>1413</v>
      </c>
      <c r="AH25" s="966" t="s">
        <v>1414</v>
      </c>
      <c r="AI25" s="1030" t="s">
        <v>1415</v>
      </c>
      <c r="AJ25" s="1520" t="s">
        <v>1416</v>
      </c>
      <c r="AK25" s="1523" t="s">
        <v>1417</v>
      </c>
      <c r="AL25" s="1520" t="s">
        <v>1418</v>
      </c>
      <c r="AM25" s="1148" t="s">
        <v>1419</v>
      </c>
      <c r="AN25" s="81" t="str">
        <f t="shared" si="13"/>
        <v xml:space="preserve">* Pueblos Originarios-Hombres no debe ser mayor al Total de personas en PSCV. * Pueblos Originarios-Mujeres no debe ser mayor al Total de personas en PSCV. * Personas diabéticas 'Etapa 1 y 2' no debe ser mayor que el Total pacientes evaluados. * Población Migrantes-Hombres no debe ser mayor al Total de personas en PSCV. * Población Migrantes-Mujeres no debe ser mayor al Total de personas en PSCV. </v>
      </c>
      <c r="AO25" s="153"/>
      <c r="AP25" s="153"/>
      <c r="AQ25" s="153"/>
      <c r="AR25" s="153"/>
      <c r="AS25" s="153"/>
      <c r="AT25" s="153"/>
      <c r="AU25" s="153"/>
      <c r="AV25" s="153"/>
      <c r="AW25" s="153"/>
      <c r="AX25" s="153"/>
      <c r="AY25" s="153"/>
      <c r="AZ25" s="153"/>
      <c r="BA25" s="153"/>
      <c r="BB25" s="395"/>
      <c r="BC25" s="395"/>
      <c r="BD25" s="406"/>
      <c r="BE25" s="489" t="str">
        <f t="shared" si="0"/>
        <v xml:space="preserve">* Pueblos Originarios-Hombres no debe ser mayor al Total de personas en PSCV. </v>
      </c>
      <c r="BF25" s="489" t="str">
        <f t="shared" si="1"/>
        <v xml:space="preserve">* Pueblos Originarios-Mujeres no debe ser mayor al Total de personas en PSCV. </v>
      </c>
      <c r="BG25" s="489" t="str">
        <f t="shared" si="2"/>
        <v xml:space="preserve">* Población Migrantes-Hombres no debe ser mayor al Total de personas en PSCV. </v>
      </c>
      <c r="BH25" s="489" t="str">
        <f t="shared" si="3"/>
        <v xml:space="preserve">* Población Migrantes-Mujeres no debe ser mayor al Total de personas en PSCV. </v>
      </c>
      <c r="BI25" s="489" t="str">
        <f>IF($AM25&lt;=$D25,"","* Personas diabéticas 'Etapa 1 y 2' no debe ser mayor que el Total pacientes evaluados. ")</f>
        <v xml:space="preserve">* Personas diabéticas 'Etapa 1 y 2' no debe ser mayor que el Total pacientes evaluados. </v>
      </c>
      <c r="BK25" s="465" t="str">
        <f t="shared" si="4"/>
        <v/>
      </c>
      <c r="BL25" s="465" t="str">
        <f t="shared" si="5"/>
        <v/>
      </c>
      <c r="BP25" s="478"/>
      <c r="BQ25" s="478"/>
      <c r="BR25" s="478"/>
      <c r="BS25" s="478"/>
      <c r="BT25" s="478"/>
      <c r="BU25" s="478"/>
      <c r="BV25" s="478"/>
      <c r="BW25" s="478"/>
      <c r="BX25" s="478"/>
      <c r="BY25" s="478"/>
      <c r="BZ25" s="478"/>
      <c r="CA25" s="478"/>
      <c r="CB25" s="478"/>
      <c r="CC25" s="478"/>
      <c r="CD25" s="478"/>
      <c r="CE25" s="478"/>
      <c r="CF25" s="478"/>
      <c r="CG25" s="478"/>
      <c r="CH25" s="478"/>
      <c r="CI25" s="478"/>
      <c r="CJ25" s="478"/>
      <c r="CK25" s="478"/>
      <c r="CL25" s="478"/>
      <c r="CM25" s="479"/>
      <c r="CN25" s="479"/>
      <c r="CO25" s="486">
        <f t="shared" si="7"/>
        <v>1</v>
      </c>
      <c r="CP25" s="486">
        <f t="shared" si="8"/>
        <v>1</v>
      </c>
      <c r="CQ25" s="486">
        <f t="shared" si="9"/>
        <v>1</v>
      </c>
      <c r="CR25" s="486">
        <f t="shared" si="10"/>
        <v>1</v>
      </c>
      <c r="CS25" s="486">
        <f t="shared" si="14"/>
        <v>1</v>
      </c>
      <c r="CT25" s="470"/>
      <c r="CU25" s="470"/>
      <c r="CV25" s="470"/>
      <c r="CW25" s="613">
        <f t="shared" si="11"/>
        <v>0</v>
      </c>
      <c r="CX25" s="613">
        <f t="shared" si="12"/>
        <v>0</v>
      </c>
      <c r="CY25" s="470"/>
      <c r="CZ25" s="479"/>
      <c r="DA25" s="479"/>
      <c r="DB25" s="479"/>
      <c r="DC25" s="479"/>
      <c r="DD25" s="479"/>
      <c r="DE25" s="479"/>
      <c r="DF25" s="479"/>
      <c r="DG25" s="479"/>
      <c r="DH25" s="479"/>
      <c r="DI25" s="479"/>
      <c r="DJ25" s="479"/>
      <c r="DK25" s="479"/>
      <c r="DL25" s="479"/>
      <c r="DM25" s="479"/>
      <c r="DN25" s="479"/>
      <c r="DO25" s="479"/>
      <c r="DP25" s="479"/>
      <c r="DQ25" s="479"/>
      <c r="DR25" s="479"/>
      <c r="DS25" s="479"/>
      <c r="DT25" s="479"/>
      <c r="DU25" s="217"/>
    </row>
    <row r="26" spans="1:125" ht="22.5" customHeight="1" x14ac:dyDescent="0.2">
      <c r="A26" s="1775" t="s">
        <v>1340</v>
      </c>
      <c r="B26" s="2228"/>
      <c r="C26" s="195" t="s">
        <v>376</v>
      </c>
      <c r="D26" s="938" t="s">
        <v>1384</v>
      </c>
      <c r="E26" s="939" t="s">
        <v>1385</v>
      </c>
      <c r="F26" s="1021" t="s">
        <v>1386</v>
      </c>
      <c r="G26" s="957" t="s">
        <v>1387</v>
      </c>
      <c r="H26" s="958" t="s">
        <v>1388</v>
      </c>
      <c r="I26" s="957" t="s">
        <v>1389</v>
      </c>
      <c r="J26" s="958" t="s">
        <v>1390</v>
      </c>
      <c r="K26" s="957" t="s">
        <v>1391</v>
      </c>
      <c r="L26" s="958" t="s">
        <v>1392</v>
      </c>
      <c r="M26" s="957" t="s">
        <v>1393</v>
      </c>
      <c r="N26" s="958" t="s">
        <v>1394</v>
      </c>
      <c r="O26" s="957" t="s">
        <v>1395</v>
      </c>
      <c r="P26" s="958" t="s">
        <v>1396</v>
      </c>
      <c r="Q26" s="957" t="s">
        <v>1397</v>
      </c>
      <c r="R26" s="958" t="s">
        <v>1398</v>
      </c>
      <c r="S26" s="957" t="s">
        <v>1399</v>
      </c>
      <c r="T26" s="958" t="s">
        <v>1400</v>
      </c>
      <c r="U26" s="957" t="s">
        <v>1401</v>
      </c>
      <c r="V26" s="958" t="s">
        <v>1402</v>
      </c>
      <c r="W26" s="957" t="s">
        <v>1403</v>
      </c>
      <c r="X26" s="958" t="s">
        <v>1404</v>
      </c>
      <c r="Y26" s="957" t="s">
        <v>1405</v>
      </c>
      <c r="Z26" s="958" t="s">
        <v>1406</v>
      </c>
      <c r="AA26" s="957" t="s">
        <v>1407</v>
      </c>
      <c r="AB26" s="958" t="s">
        <v>1408</v>
      </c>
      <c r="AC26" s="957" t="s">
        <v>1409</v>
      </c>
      <c r="AD26" s="958" t="s">
        <v>1410</v>
      </c>
      <c r="AE26" s="957" t="s">
        <v>1411</v>
      </c>
      <c r="AF26" s="958" t="s">
        <v>1412</v>
      </c>
      <c r="AG26" s="957" t="s">
        <v>1413</v>
      </c>
      <c r="AH26" s="966" t="s">
        <v>1414</v>
      </c>
      <c r="AI26" s="1030" t="s">
        <v>1415</v>
      </c>
      <c r="AJ26" s="1520" t="s">
        <v>1416</v>
      </c>
      <c r="AK26" s="1520" t="s">
        <v>1417</v>
      </c>
      <c r="AL26" s="1520" t="s">
        <v>1418</v>
      </c>
      <c r="AM26" s="1148" t="s">
        <v>1419</v>
      </c>
      <c r="AN26" s="81" t="str">
        <f t="shared" si="13"/>
        <v xml:space="preserve">* Pueblos Originarios-Hombres no debe ser mayor al Total de personas en PSCV. * Pueblos Originarios-Mujeres no debe ser mayor al Total de personas en PSCV. * Personas diabéticas 'Etapa 4' no debe ser mayor que el Total pacientes evaluados. * Población Migrantes-Hombres no debe ser mayor al Total de personas en PSCV. * Población Migrantes-Mujeres no debe ser mayor al Total de personas en PSCV. </v>
      </c>
      <c r="AO26" s="153"/>
      <c r="AP26" s="153"/>
      <c r="AQ26" s="153"/>
      <c r="AR26" s="153"/>
      <c r="AS26" s="153"/>
      <c r="AT26" s="153"/>
      <c r="AU26" s="153"/>
      <c r="AV26" s="153"/>
      <c r="AW26" s="153"/>
      <c r="AX26" s="153"/>
      <c r="AY26" s="153"/>
      <c r="AZ26" s="153"/>
      <c r="BA26" s="153"/>
      <c r="BB26" s="395"/>
      <c r="BC26" s="395"/>
      <c r="BD26" s="406"/>
      <c r="BE26" s="489" t="str">
        <f t="shared" si="0"/>
        <v xml:space="preserve">* Pueblos Originarios-Hombres no debe ser mayor al Total de personas en PSCV. </v>
      </c>
      <c r="BF26" s="489" t="str">
        <f t="shared" si="1"/>
        <v xml:space="preserve">* Pueblos Originarios-Mujeres no debe ser mayor al Total de personas en PSCV. </v>
      </c>
      <c r="BG26" s="489" t="str">
        <f t="shared" si="2"/>
        <v xml:space="preserve">* Población Migrantes-Hombres no debe ser mayor al Total de personas en PSCV. </v>
      </c>
      <c r="BH26" s="489" t="str">
        <f t="shared" si="3"/>
        <v xml:space="preserve">* Población Migrantes-Mujeres no debe ser mayor al Total de personas en PSCV. </v>
      </c>
      <c r="BI26" s="489" t="str">
        <f>IF($AM26&lt;=$D26,"","* Personas diabéticas 'Etapa 4' no debe ser mayor que el Total pacientes evaluados. ")</f>
        <v xml:space="preserve">* Personas diabéticas 'Etapa 4' no debe ser mayor que el Total pacientes evaluados. </v>
      </c>
      <c r="BK26" s="465" t="str">
        <f t="shared" si="4"/>
        <v/>
      </c>
      <c r="BL26" s="465" t="str">
        <f t="shared" si="5"/>
        <v/>
      </c>
      <c r="BP26" s="478"/>
      <c r="BQ26" s="478"/>
      <c r="BR26" s="478"/>
      <c r="BS26" s="478"/>
      <c r="BT26" s="478"/>
      <c r="BU26" s="478"/>
      <c r="BV26" s="478"/>
      <c r="BW26" s="478"/>
      <c r="BX26" s="478"/>
      <c r="BY26" s="478"/>
      <c r="BZ26" s="478"/>
      <c r="CA26" s="478"/>
      <c r="CB26" s="478"/>
      <c r="CC26" s="478"/>
      <c r="CD26" s="478"/>
      <c r="CE26" s="478"/>
      <c r="CF26" s="478"/>
      <c r="CG26" s="478"/>
      <c r="CH26" s="478"/>
      <c r="CI26" s="478"/>
      <c r="CJ26" s="478"/>
      <c r="CK26" s="478"/>
      <c r="CL26" s="478"/>
      <c r="CM26" s="479"/>
      <c r="CN26" s="479"/>
      <c r="CO26" s="486">
        <f t="shared" si="7"/>
        <v>1</v>
      </c>
      <c r="CP26" s="486">
        <f t="shared" si="8"/>
        <v>1</v>
      </c>
      <c r="CQ26" s="486">
        <f t="shared" si="9"/>
        <v>1</v>
      </c>
      <c r="CR26" s="486">
        <f t="shared" si="10"/>
        <v>1</v>
      </c>
      <c r="CS26" s="486">
        <f t="shared" si="14"/>
        <v>1</v>
      </c>
      <c r="CT26" s="470"/>
      <c r="CU26" s="470"/>
      <c r="CV26" s="470"/>
      <c r="CW26" s="613">
        <f t="shared" si="11"/>
        <v>0</v>
      </c>
      <c r="CX26" s="613">
        <f t="shared" si="12"/>
        <v>0</v>
      </c>
      <c r="CY26" s="470"/>
      <c r="CZ26" s="479"/>
      <c r="DA26" s="479"/>
      <c r="DB26" s="479"/>
      <c r="DC26" s="479"/>
      <c r="DD26" s="479"/>
      <c r="DE26" s="479"/>
      <c r="DF26" s="479"/>
      <c r="DG26" s="479"/>
      <c r="DH26" s="479"/>
      <c r="DI26" s="479"/>
      <c r="DJ26" s="479"/>
      <c r="DK26" s="479"/>
      <c r="DL26" s="479"/>
      <c r="DM26" s="479"/>
      <c r="DN26" s="479"/>
      <c r="DO26" s="479"/>
      <c r="DP26" s="479"/>
      <c r="DQ26" s="479"/>
      <c r="DR26" s="479"/>
      <c r="DS26" s="479"/>
      <c r="DT26" s="479"/>
      <c r="DU26" s="217"/>
    </row>
    <row r="27" spans="1:125" ht="22.5" customHeight="1" x14ac:dyDescent="0.2">
      <c r="A27" s="1775" t="s">
        <v>1341</v>
      </c>
      <c r="B27" s="2228"/>
      <c r="C27" s="196" t="s">
        <v>377</v>
      </c>
      <c r="D27" s="941" t="s">
        <v>1384</v>
      </c>
      <c r="E27" s="942" t="s">
        <v>1385</v>
      </c>
      <c r="F27" s="1031" t="s">
        <v>1386</v>
      </c>
      <c r="G27" s="962" t="s">
        <v>1387</v>
      </c>
      <c r="H27" s="963" t="s">
        <v>1388</v>
      </c>
      <c r="I27" s="962" t="s">
        <v>1389</v>
      </c>
      <c r="J27" s="963" t="s">
        <v>1390</v>
      </c>
      <c r="K27" s="962" t="s">
        <v>1391</v>
      </c>
      <c r="L27" s="963" t="s">
        <v>1392</v>
      </c>
      <c r="M27" s="962" t="s">
        <v>1393</v>
      </c>
      <c r="N27" s="963" t="s">
        <v>1394</v>
      </c>
      <c r="O27" s="962" t="s">
        <v>1395</v>
      </c>
      <c r="P27" s="963" t="s">
        <v>1396</v>
      </c>
      <c r="Q27" s="962" t="s">
        <v>1397</v>
      </c>
      <c r="R27" s="963" t="s">
        <v>1398</v>
      </c>
      <c r="S27" s="962" t="s">
        <v>1399</v>
      </c>
      <c r="T27" s="963" t="s">
        <v>1400</v>
      </c>
      <c r="U27" s="962" t="s">
        <v>1401</v>
      </c>
      <c r="V27" s="963" t="s">
        <v>1402</v>
      </c>
      <c r="W27" s="962" t="s">
        <v>1403</v>
      </c>
      <c r="X27" s="963" t="s">
        <v>1404</v>
      </c>
      <c r="Y27" s="962" t="s">
        <v>1405</v>
      </c>
      <c r="Z27" s="963" t="s">
        <v>1406</v>
      </c>
      <c r="AA27" s="962" t="s">
        <v>1407</v>
      </c>
      <c r="AB27" s="963" t="s">
        <v>1408</v>
      </c>
      <c r="AC27" s="962" t="s">
        <v>1409</v>
      </c>
      <c r="AD27" s="963" t="s">
        <v>1410</v>
      </c>
      <c r="AE27" s="962" t="s">
        <v>1411</v>
      </c>
      <c r="AF27" s="963" t="s">
        <v>1412</v>
      </c>
      <c r="AG27" s="962" t="s">
        <v>1413</v>
      </c>
      <c r="AH27" s="993" t="s">
        <v>1414</v>
      </c>
      <c r="AI27" s="1521" t="s">
        <v>1415</v>
      </c>
      <c r="AJ27" s="1522" t="s">
        <v>1416</v>
      </c>
      <c r="AK27" s="1523" t="s">
        <v>1417</v>
      </c>
      <c r="AL27" s="1520" t="s">
        <v>1418</v>
      </c>
      <c r="AM27" s="1154" t="s">
        <v>1419</v>
      </c>
      <c r="AN27" s="81" t="str">
        <f t="shared" si="13"/>
        <v xml:space="preserve">* Pueblos Originarios-Hombres no debe ser mayor al Total de personas en PSCV. * Pueblos Originarios-Mujeres no debe ser mayor al Total de personas en PSCV. * Personas diabéticas 'Etapa 5' no debe ser mayor que el Total pacientes evaluados. * Población Migrantes-Hombres no debe ser mayor al Total de personas en PSCV. * Población Migrantes-Mujeres no debe ser mayor al Total de personas en PSCV. </v>
      </c>
      <c r="AO27" s="153"/>
      <c r="AP27" s="153"/>
      <c r="AQ27" s="153"/>
      <c r="AR27" s="153"/>
      <c r="AS27" s="153"/>
      <c r="AT27" s="153"/>
      <c r="AU27" s="153"/>
      <c r="AV27" s="153"/>
      <c r="AW27" s="153"/>
      <c r="AX27" s="153"/>
      <c r="AY27" s="153"/>
      <c r="AZ27" s="153"/>
      <c r="BA27" s="153"/>
      <c r="BB27" s="395"/>
      <c r="BC27" s="395"/>
      <c r="BD27" s="406"/>
      <c r="BE27" s="489" t="str">
        <f t="shared" si="0"/>
        <v xml:space="preserve">* Pueblos Originarios-Hombres no debe ser mayor al Total de personas en PSCV. </v>
      </c>
      <c r="BF27" s="489" t="str">
        <f t="shared" si="1"/>
        <v xml:space="preserve">* Pueblos Originarios-Mujeres no debe ser mayor al Total de personas en PSCV. </v>
      </c>
      <c r="BG27" s="489" t="str">
        <f t="shared" si="2"/>
        <v xml:space="preserve">* Población Migrantes-Hombres no debe ser mayor al Total de personas en PSCV. </v>
      </c>
      <c r="BH27" s="489" t="str">
        <f t="shared" si="3"/>
        <v xml:space="preserve">* Población Migrantes-Mujeres no debe ser mayor al Total de personas en PSCV. </v>
      </c>
      <c r="BI27" s="489" t="str">
        <f>IF($AM27&lt;=$D27,"","* Personas diabéticas 'Etapa 5' no debe ser mayor que el Total pacientes evaluados. ")</f>
        <v xml:space="preserve">* Personas diabéticas 'Etapa 5' no debe ser mayor que el Total pacientes evaluados. </v>
      </c>
      <c r="BK27" s="465" t="str">
        <f t="shared" si="4"/>
        <v/>
      </c>
      <c r="BL27" s="465" t="str">
        <f t="shared" si="5"/>
        <v/>
      </c>
      <c r="BP27" s="478"/>
      <c r="BQ27" s="478"/>
      <c r="BR27" s="478"/>
      <c r="BS27" s="478"/>
      <c r="BT27" s="478"/>
      <c r="BU27" s="478"/>
      <c r="BV27" s="478"/>
      <c r="BW27" s="478"/>
      <c r="BX27" s="478"/>
      <c r="BY27" s="478"/>
      <c r="BZ27" s="478"/>
      <c r="CA27" s="478"/>
      <c r="CB27" s="478"/>
      <c r="CC27" s="478"/>
      <c r="CD27" s="478"/>
      <c r="CE27" s="478"/>
      <c r="CF27" s="478"/>
      <c r="CG27" s="478"/>
      <c r="CH27" s="478"/>
      <c r="CI27" s="478"/>
      <c r="CJ27" s="478"/>
      <c r="CK27" s="478"/>
      <c r="CL27" s="478"/>
      <c r="CM27" s="479"/>
      <c r="CN27" s="479"/>
      <c r="CO27" s="486">
        <f t="shared" si="7"/>
        <v>1</v>
      </c>
      <c r="CP27" s="486">
        <f t="shared" si="8"/>
        <v>1</v>
      </c>
      <c r="CQ27" s="486">
        <f t="shared" si="9"/>
        <v>1</v>
      </c>
      <c r="CR27" s="486">
        <f t="shared" si="10"/>
        <v>1</v>
      </c>
      <c r="CS27" s="486">
        <f t="shared" si="14"/>
        <v>1</v>
      </c>
      <c r="CT27" s="470"/>
      <c r="CU27" s="470"/>
      <c r="CV27" s="470"/>
      <c r="CW27" s="613">
        <f t="shared" si="11"/>
        <v>0</v>
      </c>
      <c r="CX27" s="613">
        <f t="shared" si="12"/>
        <v>0</v>
      </c>
      <c r="CY27" s="470"/>
      <c r="CZ27" s="479"/>
      <c r="DA27" s="479"/>
      <c r="DB27" s="479"/>
      <c r="DC27" s="479"/>
      <c r="DD27" s="479"/>
      <c r="DE27" s="479"/>
      <c r="DF27" s="479"/>
      <c r="DG27" s="479"/>
      <c r="DH27" s="479"/>
      <c r="DI27" s="479"/>
      <c r="DJ27" s="479"/>
      <c r="DK27" s="479"/>
      <c r="DL27" s="479"/>
      <c r="DM27" s="479"/>
      <c r="DN27" s="479"/>
      <c r="DO27" s="479"/>
      <c r="DP27" s="479"/>
      <c r="DQ27" s="479"/>
      <c r="DR27" s="479"/>
      <c r="DS27" s="479"/>
      <c r="DT27" s="479"/>
      <c r="DU27" s="217"/>
    </row>
    <row r="28" spans="1:125" ht="22.5" customHeight="1" x14ac:dyDescent="0.2">
      <c r="A28" s="1779"/>
      <c r="B28" s="2228"/>
      <c r="C28" s="196" t="s">
        <v>15</v>
      </c>
      <c r="D28" s="941">
        <f>SUM(E28:F28)</f>
        <v>0</v>
      </c>
      <c r="E28" s="942">
        <f>+G28+I28+K28+M28+O28+Q28+S28+U28+W28+Y28+AA28+AC28+AE28+AG28</f>
        <v>0</v>
      </c>
      <c r="F28" s="1031">
        <f>+H28+J28+L28+N28+P28+R28+T28+V28+X28+Z28+AB28+AD28+AF28+AH28</f>
        <v>0</v>
      </c>
      <c r="G28" s="998">
        <f>SUM(G22:G27)</f>
        <v>0</v>
      </c>
      <c r="H28" s="1000">
        <f t="shared" ref="H28:AL28" si="15">SUM(H22:H27)</f>
        <v>0</v>
      </c>
      <c r="I28" s="998">
        <f t="shared" si="15"/>
        <v>0</v>
      </c>
      <c r="J28" s="1000">
        <f t="shared" si="15"/>
        <v>0</v>
      </c>
      <c r="K28" s="998">
        <f t="shared" si="15"/>
        <v>0</v>
      </c>
      <c r="L28" s="1000">
        <f t="shared" si="15"/>
        <v>0</v>
      </c>
      <c r="M28" s="998">
        <f t="shared" si="15"/>
        <v>0</v>
      </c>
      <c r="N28" s="1000">
        <f t="shared" si="15"/>
        <v>0</v>
      </c>
      <c r="O28" s="998">
        <f t="shared" si="15"/>
        <v>0</v>
      </c>
      <c r="P28" s="1000">
        <f t="shared" si="15"/>
        <v>0</v>
      </c>
      <c r="Q28" s="998">
        <f t="shared" si="15"/>
        <v>0</v>
      </c>
      <c r="R28" s="1000">
        <f t="shared" si="15"/>
        <v>0</v>
      </c>
      <c r="S28" s="998">
        <f t="shared" si="15"/>
        <v>0</v>
      </c>
      <c r="T28" s="1000">
        <f t="shared" si="15"/>
        <v>0</v>
      </c>
      <c r="U28" s="998">
        <f t="shared" si="15"/>
        <v>0</v>
      </c>
      <c r="V28" s="1000">
        <f t="shared" si="15"/>
        <v>0</v>
      </c>
      <c r="W28" s="998">
        <f t="shared" si="15"/>
        <v>0</v>
      </c>
      <c r="X28" s="1000">
        <f t="shared" si="15"/>
        <v>0</v>
      </c>
      <c r="Y28" s="998">
        <f t="shared" si="15"/>
        <v>0</v>
      </c>
      <c r="Z28" s="1000">
        <f t="shared" si="15"/>
        <v>0</v>
      </c>
      <c r="AA28" s="998">
        <f t="shared" si="15"/>
        <v>0</v>
      </c>
      <c r="AB28" s="1000">
        <f t="shared" si="15"/>
        <v>0</v>
      </c>
      <c r="AC28" s="998">
        <f t="shared" si="15"/>
        <v>0</v>
      </c>
      <c r="AD28" s="1000">
        <f t="shared" si="15"/>
        <v>0</v>
      </c>
      <c r="AE28" s="998">
        <f t="shared" si="15"/>
        <v>0</v>
      </c>
      <c r="AF28" s="1000">
        <f t="shared" si="15"/>
        <v>0</v>
      </c>
      <c r="AG28" s="998">
        <f t="shared" si="15"/>
        <v>0</v>
      </c>
      <c r="AH28" s="1033">
        <f t="shared" si="15"/>
        <v>0</v>
      </c>
      <c r="AI28" s="1034">
        <f t="shared" si="15"/>
        <v>0</v>
      </c>
      <c r="AJ28" s="1517">
        <f t="shared" si="15"/>
        <v>0</v>
      </c>
      <c r="AK28" s="1517">
        <f t="shared" si="15"/>
        <v>0</v>
      </c>
      <c r="AL28" s="1517">
        <f t="shared" si="15"/>
        <v>0</v>
      </c>
      <c r="AM28" s="1514">
        <f>SUM(AM22:AM27)</f>
        <v>0</v>
      </c>
      <c r="AN28" s="81"/>
      <c r="AO28" s="153"/>
      <c r="AP28" s="153"/>
      <c r="AQ28" s="153"/>
      <c r="AR28" s="153"/>
      <c r="AS28" s="153"/>
      <c r="AT28" s="153"/>
      <c r="AU28" s="153"/>
      <c r="AV28" s="153"/>
      <c r="AW28" s="153"/>
      <c r="AX28" s="153"/>
      <c r="AY28" s="153"/>
      <c r="AZ28" s="153"/>
      <c r="BA28" s="153"/>
      <c r="BB28" s="395"/>
      <c r="BC28" s="395"/>
      <c r="BP28" s="478"/>
      <c r="BQ28" s="478"/>
      <c r="BR28" s="478"/>
      <c r="BS28" s="478"/>
      <c r="BT28" s="478"/>
      <c r="BU28" s="478"/>
      <c r="BV28" s="478"/>
      <c r="BW28" s="478"/>
      <c r="BX28" s="478"/>
      <c r="BY28" s="478"/>
      <c r="BZ28" s="478"/>
      <c r="CA28" s="478"/>
      <c r="CB28" s="478"/>
      <c r="CC28" s="478"/>
      <c r="CD28" s="478"/>
      <c r="CE28" s="478"/>
      <c r="CF28" s="478"/>
      <c r="CG28" s="478"/>
      <c r="CH28" s="478"/>
      <c r="CI28" s="478"/>
      <c r="CJ28" s="478"/>
      <c r="CK28" s="478"/>
      <c r="CL28" s="478"/>
      <c r="CM28" s="479"/>
      <c r="CN28" s="479"/>
      <c r="CO28" s="470"/>
      <c r="CP28" s="470"/>
      <c r="CQ28" s="470"/>
      <c r="CR28" s="470"/>
      <c r="CS28" s="470"/>
      <c r="CT28" s="470"/>
      <c r="CU28" s="470"/>
      <c r="CV28" s="470"/>
      <c r="CW28" s="470"/>
      <c r="CX28" s="470"/>
      <c r="CY28" s="470"/>
      <c r="CZ28" s="479"/>
      <c r="DA28" s="479"/>
      <c r="DB28" s="479"/>
      <c r="DC28" s="479"/>
      <c r="DD28" s="479"/>
      <c r="DE28" s="479"/>
      <c r="DF28" s="479"/>
      <c r="DG28" s="479"/>
      <c r="DH28" s="479"/>
      <c r="DI28" s="479"/>
      <c r="DJ28" s="479"/>
      <c r="DK28" s="479"/>
      <c r="DL28" s="479"/>
      <c r="DM28" s="479"/>
      <c r="DN28" s="479"/>
      <c r="DO28" s="479"/>
      <c r="DP28" s="479"/>
      <c r="DQ28" s="479"/>
      <c r="DR28" s="479"/>
      <c r="DS28" s="479"/>
      <c r="DT28" s="479"/>
      <c r="DU28" s="217"/>
    </row>
    <row r="29" spans="1:125" ht="32.25" customHeight="1" x14ac:dyDescent="0.2">
      <c r="B29" s="2229" t="s">
        <v>187</v>
      </c>
      <c r="C29" s="2229"/>
      <c r="D29" s="647"/>
      <c r="E29" s="648"/>
      <c r="F29" s="648"/>
      <c r="G29" s="648"/>
      <c r="H29" s="648"/>
      <c r="I29" s="648"/>
      <c r="J29" s="648"/>
      <c r="K29" s="648"/>
      <c r="L29" s="648"/>
      <c r="M29" s="648"/>
      <c r="N29" s="648"/>
      <c r="O29" s="648"/>
      <c r="P29" s="648"/>
      <c r="Q29" s="645"/>
      <c r="R29" s="645"/>
      <c r="S29" s="645"/>
      <c r="T29" s="645"/>
      <c r="U29" s="646"/>
      <c r="AM29" s="216"/>
      <c r="AN29" s="216"/>
      <c r="AO29" s="216"/>
      <c r="AP29" s="216"/>
      <c r="AQ29" s="216"/>
      <c r="AR29" s="216"/>
      <c r="AS29" s="216"/>
      <c r="AT29" s="216"/>
      <c r="AU29" s="216"/>
      <c r="AV29" s="216"/>
      <c r="AW29" s="216"/>
      <c r="AX29" s="216"/>
      <c r="AY29" s="216"/>
      <c r="AZ29" s="216"/>
      <c r="BA29" s="216"/>
      <c r="BB29" s="474"/>
      <c r="BC29" s="474"/>
      <c r="CM29" s="470"/>
      <c r="CN29" s="470"/>
      <c r="CO29" s="470"/>
      <c r="CP29" s="470"/>
      <c r="CQ29" s="470"/>
      <c r="CR29" s="470"/>
      <c r="CS29" s="470"/>
      <c r="CT29" s="470"/>
      <c r="CU29" s="470"/>
      <c r="CV29" s="470"/>
      <c r="CW29" s="470"/>
      <c r="CX29" s="470"/>
      <c r="CY29" s="470"/>
      <c r="CZ29" s="470"/>
      <c r="DA29" s="470"/>
      <c r="DB29" s="470"/>
      <c r="DC29" s="470"/>
      <c r="DD29" s="470"/>
      <c r="DE29" s="470"/>
      <c r="DF29" s="470"/>
      <c r="DG29" s="470"/>
      <c r="DH29" s="470"/>
      <c r="DI29" s="470"/>
      <c r="DJ29" s="470"/>
      <c r="DK29" s="470"/>
      <c r="DL29" s="470"/>
      <c r="DM29" s="470"/>
      <c r="DN29" s="470"/>
      <c r="DO29" s="470"/>
      <c r="DP29" s="470"/>
      <c r="DQ29" s="470"/>
      <c r="DR29" s="470"/>
      <c r="DS29" s="470"/>
      <c r="DT29" s="470"/>
    </row>
    <row r="30" spans="1:125" ht="13.7" customHeight="1" x14ac:dyDescent="0.15">
      <c r="B30" s="2230" t="s">
        <v>170</v>
      </c>
      <c r="C30" s="2230"/>
      <c r="D30" s="2251" t="s">
        <v>222</v>
      </c>
      <c r="E30" s="2210"/>
      <c r="F30" s="2252"/>
      <c r="G30" s="2103" t="s">
        <v>142</v>
      </c>
      <c r="H30" s="2202"/>
      <c r="I30" s="2202"/>
      <c r="J30" s="2202"/>
      <c r="K30" s="2202"/>
      <c r="L30" s="2202"/>
      <c r="M30" s="2202"/>
      <c r="N30" s="2202"/>
      <c r="O30" s="2202"/>
      <c r="P30" s="2202"/>
      <c r="Q30" s="2202"/>
      <c r="R30" s="2202"/>
      <c r="S30" s="2202"/>
      <c r="T30" s="2202"/>
      <c r="U30" s="2202"/>
      <c r="V30" s="2202"/>
      <c r="W30" s="2202"/>
      <c r="X30" s="2202"/>
      <c r="Y30" s="2202"/>
      <c r="Z30" s="2202"/>
      <c r="AA30" s="2202"/>
      <c r="AB30" s="2202"/>
      <c r="AC30" s="2202"/>
      <c r="AD30" s="2202"/>
      <c r="AE30" s="2202"/>
      <c r="AF30" s="2202"/>
      <c r="AG30" s="2202"/>
      <c r="AH30" s="2203"/>
      <c r="AI30" s="2049" t="s">
        <v>17</v>
      </c>
      <c r="AJ30" s="2073"/>
      <c r="AK30" s="2053" t="s">
        <v>527</v>
      </c>
      <c r="AL30" s="2054"/>
      <c r="AM30" s="216"/>
      <c r="AN30" s="216"/>
      <c r="AO30" s="216"/>
      <c r="AP30" s="216"/>
      <c r="AQ30" s="216"/>
      <c r="AR30" s="216"/>
      <c r="AS30" s="216"/>
      <c r="AT30" s="216"/>
      <c r="AU30" s="216"/>
      <c r="AV30" s="216"/>
      <c r="AW30" s="216"/>
      <c r="AX30" s="216"/>
      <c r="AY30" s="216"/>
      <c r="AZ30" s="216"/>
      <c r="BA30" s="216"/>
      <c r="BB30" s="474"/>
      <c r="BC30" s="474"/>
      <c r="BD30" s="406"/>
      <c r="CM30" s="470"/>
      <c r="CN30" s="470"/>
      <c r="CO30" s="470"/>
      <c r="CP30" s="470"/>
      <c r="CQ30" s="470"/>
      <c r="CR30" s="470"/>
      <c r="CS30" s="470"/>
      <c r="CT30" s="470"/>
      <c r="CU30" s="470"/>
      <c r="CV30" s="470"/>
      <c r="CW30" s="470"/>
      <c r="CX30" s="470"/>
      <c r="CY30" s="470"/>
      <c r="CZ30" s="470"/>
      <c r="DA30" s="470"/>
      <c r="DB30" s="470"/>
      <c r="DC30" s="470"/>
      <c r="DD30" s="470"/>
      <c r="DE30" s="470"/>
      <c r="DF30" s="470"/>
      <c r="DG30" s="470"/>
      <c r="DH30" s="470"/>
      <c r="DI30" s="470"/>
      <c r="DJ30" s="470"/>
      <c r="DK30" s="470"/>
      <c r="DL30" s="470"/>
      <c r="DM30" s="470"/>
      <c r="DN30" s="470"/>
      <c r="DO30" s="470"/>
      <c r="DP30" s="470"/>
      <c r="DQ30" s="470"/>
      <c r="DR30" s="470"/>
      <c r="DS30" s="470"/>
      <c r="DT30" s="470"/>
    </row>
    <row r="31" spans="1:125" ht="13.7" customHeight="1" x14ac:dyDescent="0.15">
      <c r="B31" s="2231"/>
      <c r="C31" s="2231"/>
      <c r="D31" s="2212"/>
      <c r="E31" s="2213"/>
      <c r="F31" s="2214"/>
      <c r="G31" s="2217" t="s">
        <v>19</v>
      </c>
      <c r="H31" s="2253"/>
      <c r="I31" s="2207" t="s">
        <v>20</v>
      </c>
      <c r="J31" s="2208"/>
      <c r="K31" s="2084" t="s">
        <v>21</v>
      </c>
      <c r="L31" s="2084"/>
      <c r="M31" s="2085" t="s">
        <v>22</v>
      </c>
      <c r="N31" s="2086"/>
      <c r="O31" s="2084" t="s">
        <v>23</v>
      </c>
      <c r="P31" s="2084"/>
      <c r="Q31" s="2085" t="s">
        <v>24</v>
      </c>
      <c r="R31" s="2086"/>
      <c r="S31" s="2084" t="s">
        <v>25</v>
      </c>
      <c r="T31" s="2084"/>
      <c r="U31" s="2085" t="s">
        <v>26</v>
      </c>
      <c r="V31" s="2086"/>
      <c r="W31" s="2084" t="s">
        <v>234</v>
      </c>
      <c r="X31" s="2084"/>
      <c r="Y31" s="2085" t="s">
        <v>235</v>
      </c>
      <c r="Z31" s="2086"/>
      <c r="AA31" s="2087" t="s">
        <v>207</v>
      </c>
      <c r="AB31" s="2088"/>
      <c r="AC31" s="2087" t="s">
        <v>208</v>
      </c>
      <c r="AD31" s="2088"/>
      <c r="AE31" s="2087" t="s">
        <v>209</v>
      </c>
      <c r="AF31" s="2088"/>
      <c r="AG31" s="2087" t="s">
        <v>221</v>
      </c>
      <c r="AH31" s="2206"/>
      <c r="AI31" s="2051"/>
      <c r="AJ31" s="2075"/>
      <c r="AK31" s="2055"/>
      <c r="AL31" s="1924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474"/>
      <c r="BC31" s="474"/>
      <c r="BD31" s="406"/>
      <c r="BG31" s="396"/>
      <c r="BH31" s="396"/>
      <c r="BI31" s="397"/>
      <c r="BJ31" s="397"/>
      <c r="BK31" s="396"/>
      <c r="BL31" s="396"/>
      <c r="BM31" s="408"/>
      <c r="BN31" s="408"/>
      <c r="BO31" s="396"/>
      <c r="BP31" s="396"/>
      <c r="BQ31" s="408"/>
      <c r="BR31" s="408"/>
      <c r="BS31" s="396"/>
      <c r="BT31" s="396"/>
      <c r="BU31" s="408"/>
      <c r="BV31" s="408"/>
      <c r="BW31" s="396"/>
      <c r="BX31" s="396"/>
      <c r="BY31" s="408"/>
      <c r="BZ31" s="408"/>
      <c r="CA31" s="409"/>
      <c r="CB31" s="409"/>
      <c r="CC31" s="409"/>
      <c r="CD31" s="409"/>
      <c r="CE31" s="409"/>
      <c r="CF31" s="409"/>
      <c r="CG31" s="409"/>
      <c r="CH31" s="409"/>
      <c r="CI31" s="478"/>
      <c r="CJ31" s="478"/>
      <c r="CK31" s="478"/>
      <c r="CL31" s="478"/>
      <c r="CM31" s="479"/>
      <c r="CN31" s="479"/>
      <c r="CO31" s="479"/>
      <c r="CP31" s="479"/>
      <c r="CQ31" s="649"/>
      <c r="CR31" s="649"/>
      <c r="CS31" s="650"/>
      <c r="CT31" s="650"/>
      <c r="CU31" s="649"/>
      <c r="CV31" s="649"/>
      <c r="CW31" s="606"/>
      <c r="CX31" s="606"/>
      <c r="CY31" s="649"/>
      <c r="CZ31" s="649"/>
      <c r="DA31" s="606"/>
      <c r="DB31" s="606"/>
      <c r="DC31" s="649"/>
      <c r="DD31" s="649"/>
      <c r="DE31" s="606"/>
      <c r="DF31" s="606"/>
      <c r="DG31" s="649"/>
      <c r="DH31" s="649"/>
      <c r="DI31" s="606"/>
      <c r="DJ31" s="606"/>
      <c r="DK31" s="651"/>
      <c r="DL31" s="651"/>
      <c r="DM31" s="651"/>
      <c r="DN31" s="651"/>
      <c r="DO31" s="651"/>
      <c r="DP31" s="651"/>
      <c r="DQ31" s="651"/>
      <c r="DR31" s="651"/>
      <c r="DS31" s="470"/>
      <c r="DT31" s="470"/>
    </row>
    <row r="32" spans="1:125" ht="21.75" customHeight="1" x14ac:dyDescent="0.15">
      <c r="B32" s="2231"/>
      <c r="C32" s="2232"/>
      <c r="D32" s="154" t="s">
        <v>412</v>
      </c>
      <c r="E32" s="184" t="s">
        <v>33</v>
      </c>
      <c r="F32" s="439" t="s">
        <v>100</v>
      </c>
      <c r="G32" s="177" t="s">
        <v>33</v>
      </c>
      <c r="H32" s="439" t="s">
        <v>100</v>
      </c>
      <c r="I32" s="177" t="s">
        <v>33</v>
      </c>
      <c r="J32" s="439" t="s">
        <v>100</v>
      </c>
      <c r="K32" s="177" t="s">
        <v>33</v>
      </c>
      <c r="L32" s="439" t="s">
        <v>100</v>
      </c>
      <c r="M32" s="177" t="s">
        <v>33</v>
      </c>
      <c r="N32" s="439" t="s">
        <v>100</v>
      </c>
      <c r="O32" s="177" t="s">
        <v>33</v>
      </c>
      <c r="P32" s="439" t="s">
        <v>100</v>
      </c>
      <c r="Q32" s="177" t="s">
        <v>33</v>
      </c>
      <c r="R32" s="439" t="s">
        <v>100</v>
      </c>
      <c r="S32" s="177" t="s">
        <v>33</v>
      </c>
      <c r="T32" s="439" t="s">
        <v>100</v>
      </c>
      <c r="U32" s="177" t="s">
        <v>33</v>
      </c>
      <c r="V32" s="439" t="s">
        <v>100</v>
      </c>
      <c r="W32" s="177" t="s">
        <v>33</v>
      </c>
      <c r="X32" s="439" t="s">
        <v>100</v>
      </c>
      <c r="Y32" s="177" t="s">
        <v>33</v>
      </c>
      <c r="Z32" s="439" t="s">
        <v>100</v>
      </c>
      <c r="AA32" s="177" t="s">
        <v>145</v>
      </c>
      <c r="AB32" s="439" t="s">
        <v>100</v>
      </c>
      <c r="AC32" s="177" t="s">
        <v>145</v>
      </c>
      <c r="AD32" s="439" t="s">
        <v>100</v>
      </c>
      <c r="AE32" s="177" t="s">
        <v>145</v>
      </c>
      <c r="AF32" s="439" t="s">
        <v>100</v>
      </c>
      <c r="AG32" s="160" t="s">
        <v>145</v>
      </c>
      <c r="AH32" s="162" t="s">
        <v>100</v>
      </c>
      <c r="AI32" s="185" t="s">
        <v>33</v>
      </c>
      <c r="AJ32" s="178" t="s">
        <v>100</v>
      </c>
      <c r="AK32" s="197" t="s">
        <v>33</v>
      </c>
      <c r="AL32" s="178" t="s">
        <v>100</v>
      </c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474"/>
      <c r="BC32" s="474"/>
      <c r="BD32" s="406"/>
      <c r="BG32" s="398"/>
      <c r="BH32" s="398"/>
      <c r="BI32" s="398"/>
      <c r="BJ32" s="398"/>
      <c r="BK32" s="398"/>
      <c r="BL32" s="398"/>
      <c r="BM32" s="398"/>
      <c r="BN32" s="398"/>
      <c r="BO32" s="398"/>
      <c r="BP32" s="398"/>
      <c r="BQ32" s="398"/>
      <c r="BR32" s="398"/>
      <c r="BS32" s="398"/>
      <c r="BT32" s="398"/>
      <c r="BU32" s="398"/>
      <c r="BV32" s="398"/>
      <c r="BW32" s="398"/>
      <c r="BX32" s="398"/>
      <c r="BY32" s="398"/>
      <c r="BZ32" s="398"/>
      <c r="CA32" s="398"/>
      <c r="CB32" s="398"/>
      <c r="CC32" s="398"/>
      <c r="CD32" s="398"/>
      <c r="CE32" s="398"/>
      <c r="CF32" s="398"/>
      <c r="CG32" s="398"/>
      <c r="CH32" s="398"/>
      <c r="CI32" s="478"/>
      <c r="CJ32" s="478"/>
      <c r="CK32" s="478"/>
      <c r="CL32" s="478"/>
      <c r="CM32" s="479"/>
      <c r="CN32" s="479"/>
      <c r="CO32" s="479"/>
      <c r="CP32" s="479"/>
      <c r="CQ32" s="652"/>
      <c r="CR32" s="652"/>
      <c r="CS32" s="652"/>
      <c r="CT32" s="652"/>
      <c r="CU32" s="652"/>
      <c r="CV32" s="652"/>
      <c r="CW32" s="652"/>
      <c r="CX32" s="652"/>
      <c r="CY32" s="652"/>
      <c r="CZ32" s="652"/>
      <c r="DA32" s="652"/>
      <c r="DB32" s="652"/>
      <c r="DC32" s="652"/>
      <c r="DD32" s="652"/>
      <c r="DE32" s="652"/>
      <c r="DF32" s="652"/>
      <c r="DG32" s="652"/>
      <c r="DH32" s="652"/>
      <c r="DI32" s="652"/>
      <c r="DJ32" s="652"/>
      <c r="DK32" s="652"/>
      <c r="DL32" s="652"/>
      <c r="DM32" s="652"/>
      <c r="DN32" s="652"/>
      <c r="DO32" s="652"/>
      <c r="DP32" s="652"/>
      <c r="DQ32" s="652"/>
      <c r="DR32" s="652"/>
      <c r="DS32" s="470"/>
      <c r="DT32" s="470"/>
    </row>
    <row r="33" spans="1:124" ht="25.5" customHeight="1" x14ac:dyDescent="0.2">
      <c r="A33" s="1775" t="s">
        <v>1342</v>
      </c>
      <c r="B33" s="2227" t="s">
        <v>188</v>
      </c>
      <c r="C33" s="190" t="s">
        <v>189</v>
      </c>
      <c r="D33" s="936" t="s">
        <v>1384</v>
      </c>
      <c r="E33" s="937" t="s">
        <v>1385</v>
      </c>
      <c r="F33" s="1035" t="s">
        <v>1386</v>
      </c>
      <c r="G33" s="953" t="s">
        <v>1387</v>
      </c>
      <c r="H33" s="954" t="s">
        <v>1388</v>
      </c>
      <c r="I33" s="953" t="s">
        <v>1389</v>
      </c>
      <c r="J33" s="954" t="s">
        <v>1390</v>
      </c>
      <c r="K33" s="953" t="s">
        <v>1391</v>
      </c>
      <c r="L33" s="1036" t="s">
        <v>1392</v>
      </c>
      <c r="M33" s="953" t="s">
        <v>1393</v>
      </c>
      <c r="N33" s="954" t="s">
        <v>1394</v>
      </c>
      <c r="O33" s="953" t="s">
        <v>1395</v>
      </c>
      <c r="P33" s="954" t="s">
        <v>1396</v>
      </c>
      <c r="Q33" s="953" t="s">
        <v>1397</v>
      </c>
      <c r="R33" s="1036" t="s">
        <v>1398</v>
      </c>
      <c r="S33" s="953" t="s">
        <v>1399</v>
      </c>
      <c r="T33" s="954" t="s">
        <v>1400</v>
      </c>
      <c r="U33" s="953" t="s">
        <v>1401</v>
      </c>
      <c r="V33" s="954" t="s">
        <v>1402</v>
      </c>
      <c r="W33" s="953" t="s">
        <v>1403</v>
      </c>
      <c r="X33" s="954" t="s">
        <v>1404</v>
      </c>
      <c r="Y33" s="953" t="s">
        <v>1405</v>
      </c>
      <c r="Z33" s="954" t="s">
        <v>1406</v>
      </c>
      <c r="AA33" s="953" t="s">
        <v>1407</v>
      </c>
      <c r="AB33" s="954" t="s">
        <v>1408</v>
      </c>
      <c r="AC33" s="953" t="s">
        <v>1409</v>
      </c>
      <c r="AD33" s="954" t="s">
        <v>1410</v>
      </c>
      <c r="AE33" s="953" t="s">
        <v>1411</v>
      </c>
      <c r="AF33" s="954" t="s">
        <v>1412</v>
      </c>
      <c r="AG33" s="1818" t="s">
        <v>1413</v>
      </c>
      <c r="AH33" s="1819" t="s">
        <v>1414</v>
      </c>
      <c r="AI33" s="972" t="s">
        <v>1415</v>
      </c>
      <c r="AJ33" s="954" t="s">
        <v>1416</v>
      </c>
      <c r="AK33" s="1037" t="s">
        <v>1417</v>
      </c>
      <c r="AL33" s="954" t="s">
        <v>1418</v>
      </c>
      <c r="AM33" s="410" t="str">
        <f xml:space="preserve"> BE33 &amp; BF33 &amp; BI33 &amp; BJ33 &amp; BK33 &amp; BL33 &amp; BM33 &amp; BN33 &amp; BO33 &amp; BP33 &amp; BQ33 &amp; BR33 &amp; BS33 &amp; BT33 &amp; BU33 &amp; BV33 &amp; BW33 &amp; BX33 &amp; BY33 &amp; BZ33 &amp; CA33 &amp; CB33 &amp; CC33 &amp; CD33 &amp; CE33 &amp; CF33 &amp; CG33 &amp; CI33 &amp; CJ33 &amp; CH33 &amp; BG33 &amp; BH33 &amp; BC33 &amp; BD33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474"/>
      <c r="BC33" s="465" t="str">
        <f t="shared" ref="BC33:BC40" si="16">IF(AND(E33&lt;&gt;0,AI33=""),"* No olvide escribir en la celda de 'Pueblos Originarios' (Digite CERO si no tiene). ",IF(AND(F33&lt;&gt;0,AJ33=""),"* No olvide escribir en la celda de 'Pueblos Originarios' (Digite CERO si no tiene). ",""))</f>
        <v/>
      </c>
      <c r="BD33" s="490" t="str">
        <f t="shared" ref="BD33:BD40" si="17">IF(AND(E33&lt;&gt;0,AK33=""),"* No olvide escribir en la celda de 'Población Migrantes' (Digite CERO si no tiene). ",IF(AND(F33&lt;&gt;0,AL33=""),"* No olvide escribir en la celda de 'Población Migrantes' (Digite CERO si no tiene). ",""))</f>
        <v/>
      </c>
      <c r="BE33" s="465" t="str">
        <f>IF($E$33&gt;=$AI$33,"","* Pueblos Originarios-Hombres no debe ser mayor al Total de personas Hombres. ")</f>
        <v xml:space="preserve">* Pueblos Originarios-Hombres no debe ser mayor al Total de personas Hombres. </v>
      </c>
      <c r="BF33" s="465" t="str">
        <f>IF($F$33&gt;=$AJ$33,"","* Pueblos Originarios-Mujeres no debe ser mayor al Total de personas Mujeres. ")</f>
        <v xml:space="preserve">* Pueblos Originarios-Mujeres no debe ser mayor al Total de personas Mujeres. </v>
      </c>
      <c r="BG33" s="465" t="str">
        <f t="shared" ref="BG33:BG40" si="18">IF($E33&gt;=$AK33,"","* Población Migrantes-Hombres no debe ser mayor al Total de personas Hombres. ")</f>
        <v xml:space="preserve">* Población Migrantes-Hombres no debe ser mayor al Total de personas Hombres. </v>
      </c>
      <c r="BH33" s="465" t="str">
        <f t="shared" ref="BH33:BH40" si="19">IF($F33&gt;=$AL33,"","* Pueblos Originarios-Mujeres no debe ser mayor al Total de personas Mujeres. ")</f>
        <v xml:space="preserve">* Pueblos Originarios-Mujeres no debe ser mayor al Total de personas Mujeres. </v>
      </c>
      <c r="BI33" s="465" t="str">
        <f>IF($G$33&lt;=$G$16,"","* Pacientes 15 a 19 años (Hombres) con PA&lt;140/90 mmHg debe ser menor o igual a Hipertensos en Sección A. ")</f>
        <v/>
      </c>
      <c r="BJ33" s="465" t="str">
        <f>IF($H$33&lt;=$H$16,"","* Pacientes 15 a 19 años (Mujeres) con PA&lt;140/90 mmHg debe ser menor o igual a Hipertensos en Sección A. ")</f>
        <v/>
      </c>
      <c r="BK33" s="465" t="str">
        <f>IF($I$33&lt;=$I$16,"","* Pacientes 20 a 24 años (Hombres) con PA&lt;140/90 mmHg debe ser menor o igual a Hipertensos en Sección A. ")</f>
        <v/>
      </c>
      <c r="BL33" s="465" t="str">
        <f>IF($J$33&lt;=$J$16,"","* Pacientes 20 a 24 años (Mujeres) con PA&lt;140/90 mmHg debe ser menor o igual a Hipertensos en Sección A. ")</f>
        <v/>
      </c>
      <c r="BM33" s="465" t="str">
        <f>IF($K$33&lt;=$K$16,"","* Pacientes 25 a 29 años (Hombres) con PA&lt;140/90 mmHg debe ser menor o igual a Hipertensos en Sección A. ")</f>
        <v/>
      </c>
      <c r="BN33" s="465" t="str">
        <f>IF($L$33&lt;=$L$16,"","* Pacientes 25 a 29 años (Mujeres) con PA&lt;140/90 mmHg debe ser menor o igual a Hipertensos en Sección A. ")</f>
        <v/>
      </c>
      <c r="BO33" s="465" t="str">
        <f>IF($M$33&lt;=$M$16,"","* Pacientes 30 a 34 años (Hombres) con PA&lt;140/90 mmHg debe ser menor o igual a Hipertensos en Sección A. ")</f>
        <v/>
      </c>
      <c r="BP33" s="465" t="str">
        <f>IF($N$33&lt;=$N$16,"","* Pacientes 30 a 34 años (Mujeres) con PA&lt;140/90 mmHg debe ser menor o igual a Hipertensos en Sección A. ")</f>
        <v/>
      </c>
      <c r="BQ33" s="465" t="str">
        <f>IF($O$33&lt;=$O$16,"","* Pacientes 35 a 39 años (Hombres) con PA&lt;140/90 mmHg debe ser menor o igual a Hipertensos en Sección A. ")</f>
        <v/>
      </c>
      <c r="BR33" s="465" t="str">
        <f>IF($P$33&lt;=$P$16,"","* Pacientes 35 a 39 años (Mujeres) con PA&lt;140/90 mmHg debe ser menor o igual a Hipertensos en Sección A. ")</f>
        <v/>
      </c>
      <c r="BS33" s="465" t="str">
        <f>IF($Q$33&lt;=$Q$16,"","* Pacientes 40 a 44 años (Hombres) con PA&lt;140/90 mmHg debe ser menor o igual a Hipertensos en Sección A. ")</f>
        <v/>
      </c>
      <c r="BT33" s="465" t="str">
        <f>IF($R$33&lt;=$R$16,"","* Pacientes 40 a 44 años (Mujeres) con PA&lt;140/90 mmHg debe ser menor o igual a Hipertensos en Sección A. ")</f>
        <v/>
      </c>
      <c r="BU33" s="465" t="str">
        <f>IF($S$33&lt;=$S$16,"","* Pacientes 45 a 49 años (Hombres) con PA&lt;140/90 mmHg debe ser menor o igual a Hipertensos en Sección A. ")</f>
        <v/>
      </c>
      <c r="BV33" s="465" t="str">
        <f>IF($T$33&lt;=$T$16,"","* Pacientes 45 a 49 años (Mujeres) con PA&lt;140/90 mmHg debe ser menor o igual a Hipertensos en Sección A. ")</f>
        <v/>
      </c>
      <c r="BW33" s="465" t="str">
        <f>IF($U$33&lt;=$U$16,"","* Pacientes 50 a 54 años (Hombres) con PA&lt;140/90 mmHg debe ser menor o igual a Hipertensos en Sección A. ")</f>
        <v/>
      </c>
      <c r="BX33" s="465" t="str">
        <f>IF($V$33&lt;=$V$16,"","* Pacientes 50 a 54 años (Mujeres) con PA&lt;140/90 mmHg debe ser menor o igual a Hipertensos en Sección A. ")</f>
        <v/>
      </c>
      <c r="BY33" s="465" t="str">
        <f>IF($W$33&lt;=$W$16,"","* Pacientes 55 a 59 años (Hombres) con PA&lt;140/90 mmHg debe ser menor o igual a Hipertensos en Sección A. ")</f>
        <v/>
      </c>
      <c r="BZ33" s="465" t="str">
        <f>IF($X$33&lt;=$X$16,"","* Pacientes 55 a 59 años (Mujeres) con PA&lt;140/90 mmHg debe ser menor o igual a Hipertensos en Sección A. ")</f>
        <v/>
      </c>
      <c r="CA33" s="465" t="str">
        <f>IF($Y$33&lt;=$Y$16,"","* Pacientes 60 a 64 años (Hombres) con PA&lt;140/90 mmHg debe ser menor o igual a Hipertensos en Sección A. ")</f>
        <v/>
      </c>
      <c r="CB33" s="465" t="str">
        <f>IF($Z$33&lt;=$Z$16,"","* Pacientes 60 a 64 años (Mujeres) con PA&lt;140/90 mmHg debe ser menor o igual a Hipertensos en Sección A. ")</f>
        <v/>
      </c>
      <c r="CC33" s="465" t="str">
        <f>IF($AA$33&lt;=$AA$16,"","* Pacientes 65 a 69 años (Hombres) con PA&lt;140/90 mmHg debe ser menor o igual a Hipertensos en Sección A. ")</f>
        <v/>
      </c>
      <c r="CD33" s="465" t="str">
        <f>IF($AB$33&lt;=$AB$16,"","* Pacientes 65 a 69 años (Mujeres) con PA&lt;140/90 mmHg debe ser menor o igual a Hipertensos en Sección A. ")</f>
        <v/>
      </c>
      <c r="CE33" s="465" t="str">
        <f>IF($AC$33&lt;=$AC$16,"","* Pacientes 70 a 74 años (Hombres) con PA&lt;140/90 mmHg debe ser menor o igual a Hipertensos en Sección A. ")</f>
        <v/>
      </c>
      <c r="CF33" s="465" t="str">
        <f>IF($AD$33&lt;=$AD$16,"","* Pacientes 70 a 74 años (Mujeres) con PA&lt;140/90 mmHg debe ser menor o igual a Hipertensos en Sección A. ")</f>
        <v/>
      </c>
      <c r="CG33" s="465" t="str">
        <f>IF($AE$33&lt;=$AE$16,"","* Pacientes 75 a 79 años (Hombres) con PA&lt;140/90 mmHg debe ser menor o igual a Hipertensos en Sección A. ")</f>
        <v/>
      </c>
      <c r="CH33" s="465" t="str">
        <f>IF($AF$33&lt;=$AF$16,"","* Pacientes 75 a 79 años (Mujeres) con PA&lt;140/90 mmHg debe ser menor o igual a Hipertensos en Sección A. ")</f>
        <v/>
      </c>
      <c r="CI33" s="465" t="str">
        <f>IF($AG$33&lt;=$AG$16,"","* Pacientes 80 y más años (Hombres) con PA&lt;140/90 mmHg debe ser menor o igual a Hipertensos en Sección A. ")</f>
        <v/>
      </c>
      <c r="CJ33" s="465" t="str">
        <f>IF($AH$33&lt;=$AH$16,"","* Pacientes 80 y más años (Mujeres) con PA&lt;140/90 mmHg debe ser menor o igual a Hipertensos en Sección A. ")</f>
        <v/>
      </c>
      <c r="CM33" s="486">
        <f>IF(AND(E33&lt;&gt;0,AI33=""),1,IF(AND(F33&lt;&gt;0,AJ33=""),1,0))</f>
        <v>0</v>
      </c>
      <c r="CN33" s="486">
        <f>IF(AND(E33&lt;&gt;0,AK33=""),1,IF(AND(F33&lt;&gt;0,AL33=""),1,0))</f>
        <v>0</v>
      </c>
      <c r="CO33" s="486">
        <f>IF($E$33&gt;=$AI$33,0,1)</f>
        <v>1</v>
      </c>
      <c r="CP33" s="486">
        <f>IF($F$33&gt;=$AJ$33,0,1)</f>
        <v>1</v>
      </c>
      <c r="CQ33" s="486">
        <f t="shared" ref="CQ33:CQ40" si="20">IF($E33&gt;=$AK33,0,1)</f>
        <v>1</v>
      </c>
      <c r="CR33" s="486">
        <f>IF($F33&gt;=$AL33,0,1)</f>
        <v>1</v>
      </c>
      <c r="CS33" s="486">
        <f t="shared" ref="CS33:DT33" si="21">IF(G$33&lt;=G$16,0,1)</f>
        <v>0</v>
      </c>
      <c r="CT33" s="486">
        <f t="shared" si="21"/>
        <v>0</v>
      </c>
      <c r="CU33" s="486">
        <f t="shared" si="21"/>
        <v>0</v>
      </c>
      <c r="CV33" s="486">
        <f t="shared" si="21"/>
        <v>0</v>
      </c>
      <c r="CW33" s="486">
        <f t="shared" si="21"/>
        <v>0</v>
      </c>
      <c r="CX33" s="486">
        <f t="shared" si="21"/>
        <v>0</v>
      </c>
      <c r="CY33" s="486">
        <f t="shared" si="21"/>
        <v>0</v>
      </c>
      <c r="CZ33" s="486">
        <f t="shared" si="21"/>
        <v>0</v>
      </c>
      <c r="DA33" s="486">
        <f t="shared" si="21"/>
        <v>0</v>
      </c>
      <c r="DB33" s="486">
        <f t="shared" si="21"/>
        <v>0</v>
      </c>
      <c r="DC33" s="486">
        <f t="shared" si="21"/>
        <v>0</v>
      </c>
      <c r="DD33" s="486">
        <f t="shared" si="21"/>
        <v>0</v>
      </c>
      <c r="DE33" s="486">
        <f t="shared" si="21"/>
        <v>0</v>
      </c>
      <c r="DF33" s="486">
        <f t="shared" si="21"/>
        <v>0</v>
      </c>
      <c r="DG33" s="486">
        <f t="shared" si="21"/>
        <v>0</v>
      </c>
      <c r="DH33" s="486">
        <f t="shared" si="21"/>
        <v>0</v>
      </c>
      <c r="DI33" s="486">
        <f t="shared" si="21"/>
        <v>0</v>
      </c>
      <c r="DJ33" s="486">
        <f t="shared" si="21"/>
        <v>0</v>
      </c>
      <c r="DK33" s="486">
        <f t="shared" si="21"/>
        <v>0</v>
      </c>
      <c r="DL33" s="486">
        <f t="shared" si="21"/>
        <v>0</v>
      </c>
      <c r="DM33" s="486">
        <f t="shared" si="21"/>
        <v>0</v>
      </c>
      <c r="DN33" s="486">
        <f t="shared" si="21"/>
        <v>0</v>
      </c>
      <c r="DO33" s="486">
        <f t="shared" si="21"/>
        <v>0</v>
      </c>
      <c r="DP33" s="486">
        <f t="shared" si="21"/>
        <v>0</v>
      </c>
      <c r="DQ33" s="486">
        <f t="shared" si="21"/>
        <v>0</v>
      </c>
      <c r="DR33" s="486">
        <f t="shared" si="21"/>
        <v>0</v>
      </c>
      <c r="DS33" s="486">
        <f t="shared" si="21"/>
        <v>0</v>
      </c>
      <c r="DT33" s="486">
        <f t="shared" si="21"/>
        <v>0</v>
      </c>
    </row>
    <row r="34" spans="1:124" ht="25.5" customHeight="1" x14ac:dyDescent="0.2">
      <c r="A34" s="1775" t="s">
        <v>1343</v>
      </c>
      <c r="B34" s="2094"/>
      <c r="C34" s="300" t="s">
        <v>404</v>
      </c>
      <c r="D34" s="967" t="s">
        <v>1384</v>
      </c>
      <c r="E34" s="1038" t="s">
        <v>1385</v>
      </c>
      <c r="F34" s="1039" t="s">
        <v>1386</v>
      </c>
      <c r="G34" s="1820" t="s">
        <v>1387</v>
      </c>
      <c r="H34" s="1821" t="s">
        <v>1388</v>
      </c>
      <c r="I34" s="1820" t="s">
        <v>1389</v>
      </c>
      <c r="J34" s="1822" t="s">
        <v>1390</v>
      </c>
      <c r="K34" s="1820" t="s">
        <v>1391</v>
      </c>
      <c r="L34" s="1822" t="s">
        <v>1392</v>
      </c>
      <c r="M34" s="1820" t="s">
        <v>1393</v>
      </c>
      <c r="N34" s="1823" t="s">
        <v>1394</v>
      </c>
      <c r="O34" s="1820" t="s">
        <v>1395</v>
      </c>
      <c r="P34" s="1823" t="s">
        <v>1396</v>
      </c>
      <c r="Q34" s="1820" t="s">
        <v>1397</v>
      </c>
      <c r="R34" s="1822" t="s">
        <v>1398</v>
      </c>
      <c r="S34" s="1820" t="s">
        <v>1399</v>
      </c>
      <c r="T34" s="1823" t="s">
        <v>1400</v>
      </c>
      <c r="U34" s="1820" t="s">
        <v>1401</v>
      </c>
      <c r="V34" s="1823" t="s">
        <v>1402</v>
      </c>
      <c r="W34" s="1820" t="s">
        <v>1403</v>
      </c>
      <c r="X34" s="1823" t="s">
        <v>1404</v>
      </c>
      <c r="Y34" s="1820" t="s">
        <v>1405</v>
      </c>
      <c r="Z34" s="1823" t="s">
        <v>1406</v>
      </c>
      <c r="AA34" s="1820" t="s">
        <v>1407</v>
      </c>
      <c r="AB34" s="1823" t="s">
        <v>1408</v>
      </c>
      <c r="AC34" s="1820" t="s">
        <v>1409</v>
      </c>
      <c r="AD34" s="1823" t="s">
        <v>1410</v>
      </c>
      <c r="AE34" s="1820" t="s">
        <v>1411</v>
      </c>
      <c r="AF34" s="1823" t="s">
        <v>1412</v>
      </c>
      <c r="AG34" s="1040" t="s">
        <v>1413</v>
      </c>
      <c r="AH34" s="975" t="s">
        <v>1414</v>
      </c>
      <c r="AI34" s="976" t="s">
        <v>1415</v>
      </c>
      <c r="AJ34" s="963" t="s">
        <v>1416</v>
      </c>
      <c r="AK34" s="1041" t="s">
        <v>1417</v>
      </c>
      <c r="AL34" s="963" t="s">
        <v>1418</v>
      </c>
      <c r="AM34" s="410" t="str">
        <f xml:space="preserve"> BE34 &amp; BF34 &amp; BG34 &amp; BH34 &amp; BC34 &amp; BD34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474"/>
      <c r="BC34" s="465" t="str">
        <f t="shared" si="16"/>
        <v/>
      </c>
      <c r="BD34" s="490" t="str">
        <f t="shared" si="17"/>
        <v/>
      </c>
      <c r="BE34" s="465" t="str">
        <f>IF($E$34&gt;=$AI$34,"","* Pueblos Originarios-Hombres no debe ser mayor al Total de personas Hombres. ")</f>
        <v xml:space="preserve">* Pueblos Originarios-Hombres no debe ser mayor al Total de personas Hombres. </v>
      </c>
      <c r="BF34" s="465" t="str">
        <f>IF($F$34&gt;=$AJ$34,"","* Pueblos Originarios-Mujeres no debe ser mayor al Total de personas Mujeres. ")</f>
        <v xml:space="preserve">* Pueblos Originarios-Mujeres no debe ser mayor al Total de personas Mujeres. </v>
      </c>
      <c r="BG34" s="465" t="str">
        <f t="shared" si="18"/>
        <v xml:space="preserve">* Población Migrantes-Hombres no debe ser mayor al Total de personas Hombres. </v>
      </c>
      <c r="BH34" s="465" t="str">
        <f t="shared" si="19"/>
        <v xml:space="preserve">* Pueblos Originarios-Mujeres no debe ser mayor al Total de personas Mujeres. </v>
      </c>
      <c r="CM34" s="486">
        <f t="shared" ref="CM34:CM40" si="22">IF(AND(E34&lt;&gt;0,AI34=""),1,IF(AND(F34&lt;&gt;0,AJ34=""),1,0))</f>
        <v>0</v>
      </c>
      <c r="CN34" s="486">
        <f t="shared" ref="CN34:CN40" si="23">IF(AND(E34&lt;&gt;0,AK34=""),1,IF(AND(F34&lt;&gt;0,AL34=""),1,0))</f>
        <v>0</v>
      </c>
      <c r="CO34" s="486">
        <f>IF($E$34&gt;=$AI$34,0,1)</f>
        <v>1</v>
      </c>
      <c r="CP34" s="486">
        <f>IF($F$34&gt;=$AJ$34,0,1)</f>
        <v>1</v>
      </c>
      <c r="CQ34" s="486">
        <f t="shared" si="20"/>
        <v>1</v>
      </c>
      <c r="CR34" s="486">
        <f>IF($F34&gt;=$AL34,0,1)</f>
        <v>1</v>
      </c>
      <c r="CS34" s="470"/>
      <c r="CT34" s="470"/>
      <c r="CU34" s="470"/>
      <c r="CV34" s="470"/>
      <c r="CW34" s="470"/>
      <c r="CX34" s="470"/>
      <c r="CY34" s="470"/>
      <c r="CZ34" s="470"/>
      <c r="DA34" s="470"/>
      <c r="DB34" s="470"/>
      <c r="DC34" s="470"/>
      <c r="DD34" s="470"/>
      <c r="DE34" s="470"/>
      <c r="DF34" s="470"/>
      <c r="DG34" s="470"/>
      <c r="DH34" s="470"/>
      <c r="DI34" s="470"/>
      <c r="DJ34" s="470"/>
      <c r="DK34" s="470"/>
      <c r="DL34" s="470"/>
      <c r="DM34" s="470"/>
      <c r="DN34" s="470"/>
      <c r="DO34" s="470"/>
      <c r="DP34" s="470"/>
      <c r="DQ34" s="470"/>
      <c r="DR34" s="470"/>
      <c r="DS34" s="470"/>
      <c r="DT34" s="470"/>
    </row>
    <row r="35" spans="1:124" ht="25.5" customHeight="1" x14ac:dyDescent="0.2">
      <c r="A35" s="1775" t="s">
        <v>1344</v>
      </c>
      <c r="B35" s="2176" t="s">
        <v>190</v>
      </c>
      <c r="C35" s="198" t="s">
        <v>191</v>
      </c>
      <c r="D35" s="936" t="s">
        <v>1384</v>
      </c>
      <c r="E35" s="937" t="s">
        <v>1385</v>
      </c>
      <c r="F35" s="1020" t="s">
        <v>1386</v>
      </c>
      <c r="G35" s="953" t="s">
        <v>1387</v>
      </c>
      <c r="H35" s="954" t="s">
        <v>1388</v>
      </c>
      <c r="I35" s="953" t="s">
        <v>1389</v>
      </c>
      <c r="J35" s="954" t="s">
        <v>1390</v>
      </c>
      <c r="K35" s="953" t="s">
        <v>1391</v>
      </c>
      <c r="L35" s="954" t="s">
        <v>1392</v>
      </c>
      <c r="M35" s="953" t="s">
        <v>1393</v>
      </c>
      <c r="N35" s="954" t="s">
        <v>1394</v>
      </c>
      <c r="O35" s="953" t="s">
        <v>1395</v>
      </c>
      <c r="P35" s="954" t="s">
        <v>1396</v>
      </c>
      <c r="Q35" s="953" t="s">
        <v>1397</v>
      </c>
      <c r="R35" s="954" t="s">
        <v>1398</v>
      </c>
      <c r="S35" s="953" t="s">
        <v>1399</v>
      </c>
      <c r="T35" s="954" t="s">
        <v>1400</v>
      </c>
      <c r="U35" s="953" t="s">
        <v>1401</v>
      </c>
      <c r="V35" s="954" t="s">
        <v>1402</v>
      </c>
      <c r="W35" s="953" t="s">
        <v>1403</v>
      </c>
      <c r="X35" s="954" t="s">
        <v>1404</v>
      </c>
      <c r="Y35" s="953" t="s">
        <v>1405</v>
      </c>
      <c r="Z35" s="954" t="s">
        <v>1406</v>
      </c>
      <c r="AA35" s="953" t="s">
        <v>1407</v>
      </c>
      <c r="AB35" s="954" t="s">
        <v>1408</v>
      </c>
      <c r="AC35" s="953" t="s">
        <v>1409</v>
      </c>
      <c r="AD35" s="954" t="s">
        <v>1410</v>
      </c>
      <c r="AE35" s="953" t="s">
        <v>1411</v>
      </c>
      <c r="AF35" s="954" t="s">
        <v>1412</v>
      </c>
      <c r="AG35" s="1818" t="s">
        <v>1413</v>
      </c>
      <c r="AH35" s="1818" t="s">
        <v>1414</v>
      </c>
      <c r="AI35" s="972" t="s">
        <v>1415</v>
      </c>
      <c r="AJ35" s="954" t="s">
        <v>1416</v>
      </c>
      <c r="AK35" s="1037" t="s">
        <v>1417</v>
      </c>
      <c r="AL35" s="954" t="s">
        <v>1418</v>
      </c>
      <c r="AM35" s="410" t="str">
        <f xml:space="preserve"> BE35 &amp; BF35 &amp; BI35 &amp; BJ35 &amp; BK35 &amp; BL35 &amp; BM35 &amp; BN35 &amp; BO35 &amp; BP35 &amp; BQ35 &amp; BR35 &amp; BS35 &amp; BT35 &amp; BU35 &amp; BV35 &amp; BW35 &amp; BX35 &amp; BY35 &amp; BZ35 &amp; CA35 &amp; CB35 &amp; CC35 &amp; CD35 &amp; CE35 &amp; CF35 &amp; CG35 &amp; CI35 &amp; CJ35 &amp; CH35 &amp; BG35 &amp; BH35 &amp; BC35 &amp; BD35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474"/>
      <c r="BC35" s="465" t="str">
        <f t="shared" si="16"/>
        <v/>
      </c>
      <c r="BD35" s="490" t="str">
        <f t="shared" si="17"/>
        <v/>
      </c>
      <c r="BE35" s="465" t="str">
        <f>IF($E$35&gt;=$AI$35,"","* Pueblos Originarios-Hombres no debe ser mayor al Total de personas Hombres. ")</f>
        <v xml:space="preserve">* Pueblos Originarios-Hombres no debe ser mayor al Total de personas Hombres. </v>
      </c>
      <c r="BF35" s="465" t="str">
        <f>IF($F$35&gt;=$AJ$35,"","* Pueblos Originarios-Mujeres no debe ser mayor al Total de personas Mujeres. ")</f>
        <v xml:space="preserve">* Pueblos Originarios-Mujeres no debe ser mayor al Total de personas Mujeres. </v>
      </c>
      <c r="BG35" s="465" t="str">
        <f t="shared" si="18"/>
        <v xml:space="preserve">* Población Migrantes-Hombres no debe ser mayor al Total de personas Hombres. </v>
      </c>
      <c r="BH35" s="465" t="str">
        <f t="shared" si="19"/>
        <v xml:space="preserve">* Pueblos Originarios-Mujeres no debe ser mayor al Total de personas Mujeres. </v>
      </c>
      <c r="BI35" s="465" t="str">
        <f>IF($G$35&lt;=$G$17,"","* Pacientes 15 a 19 años (Hombres) con HbA1C&lt;7% debe ser menor o igual a Diabéticos en Sección A. ")</f>
        <v/>
      </c>
      <c r="BJ35" s="465" t="str">
        <f>IF($H$35&lt;=$H$17,"","* Pacientes 15 a 19 años (Mujeres) con HbA1C&lt;7% debe ser menor o igual a Diabéticos en Sección A. ")</f>
        <v/>
      </c>
      <c r="BK35" s="465" t="str">
        <f>IF($I$35&lt;=$I$17,"","* Pacientes 20 a 24 años (Hombres) con HbA1C&lt;7% debe ser menor o igual a Diabéticos en Sección A. ")</f>
        <v/>
      </c>
      <c r="BL35" s="465" t="str">
        <f>IF($J$35&lt;=$J$17,"","* Pacientes 20 a 24 años (Mujeres) con HbA1C&lt;7% debe ser menor o igual a Diabéticos en Sección A. ")</f>
        <v/>
      </c>
      <c r="BM35" s="465" t="str">
        <f>IF($K$35&lt;=$K$17,"","* Pacientes 25 a 29 años (Hombres) con HbA1C&lt;7% debe ser menor o igual a Diabéticos en Sección A. ")</f>
        <v/>
      </c>
      <c r="BN35" s="465" t="str">
        <f>IF($L$35&lt;=$L$17,"","* Pacientes 25 a 29 años (Mujeres) con HbA1C&lt;7% debe ser menor o igual a Diabéticos en Sección A. ")</f>
        <v/>
      </c>
      <c r="BO35" s="465" t="str">
        <f>IF($M$35&lt;=$M$17,"","* Pacientes 30 a 34 años (Hombres) con HbA1C&lt;7% debe ser menor o igual a Diabéticos en Sección A. ")</f>
        <v/>
      </c>
      <c r="BP35" s="465" t="str">
        <f>IF($N$35&lt;=$N$17,"","* Pacientes 30 a 34 años (Mujeres) con HbA1C&lt;7% debe ser menor o igual a Diabéticos en Sección A. ")</f>
        <v/>
      </c>
      <c r="BQ35" s="465" t="str">
        <f>IF($O$35&lt;=$O$17,"","* Pacientes 35 a 39 años (Hombres) con HbA1C&lt;7% debe ser menor o igual a Diabéticos en Sección A. ")</f>
        <v/>
      </c>
      <c r="BR35" s="465" t="str">
        <f>IF($P$35&lt;=$P$17,"","* Pacientes 35 a 39 años (Mujeres) con HbA1C&lt;7% debe ser menor o igual a Diabéticos en Sección A. ")</f>
        <v/>
      </c>
      <c r="BS35" s="465" t="str">
        <f>IF($Q$35&lt;=$Q$17,"","* Pacientes 40 a 44 años (Hombres) con HbA1C&lt;7% debe ser menor o igual a Diabéticos en Sección A. ")</f>
        <v/>
      </c>
      <c r="BT35" s="465" t="str">
        <f>IF($R$35&lt;=$R$17,"","* Pacientes 40 a 44 años (Mujeres) con HbA1C&lt;7% debe ser menor o igual a Diabéticos en Sección A. ")</f>
        <v/>
      </c>
      <c r="BU35" s="465" t="str">
        <f>IF($S$35&lt;=$S$17,"","* Pacientes 45 a 49 años (Hombres) con HbA1C&lt;7% debe ser menor o igual a Diabéticos en Sección A. ")</f>
        <v/>
      </c>
      <c r="BV35" s="465" t="str">
        <f>IF($T$35&lt;=$T$17,"","* Pacientes 45 a 49 años (Mujeres) con HbA1C&lt;7% debe ser menor o igual a Diabéticos en Sección A. ")</f>
        <v/>
      </c>
      <c r="BW35" s="465" t="str">
        <f>IF($U$35&lt;=$U$17,"","* Pacientes 50 a 54 años (Hombres) con HbA1C&lt;7% debe ser menor o igual a Diabéticos en Sección A. ")</f>
        <v/>
      </c>
      <c r="BX35" s="465" t="str">
        <f>IF($V$35&lt;=$V$17,"","* Pacientes 50 a 54 años (Mujeres) con HbA1C&lt;7% debe ser menor o igual a Diabéticos en Sección A. ")</f>
        <v/>
      </c>
      <c r="BY35" s="465" t="str">
        <f>IF($W$35&lt;=$W$17,"","* Pacientes 55 a 59 años (Hombres) con HbA1C&lt;7% debe ser menor o igual a Diabéticos en Sección A. ")</f>
        <v/>
      </c>
      <c r="BZ35" s="465" t="str">
        <f>IF($X$35&lt;=$X$17,"","* Pacientes 55 a 59 años (Mujeres) con HbA1C&lt;7% debe ser menor o igual a Diabéticos en Sección A. ")</f>
        <v/>
      </c>
      <c r="CA35" s="465" t="str">
        <f>IF($Y$35&lt;=$Y$17,"","* Pacientes 60 a 64 años (Hombres) con HbA1C&lt;7% debe ser menor o igual a Diabéticos en Sección A. ")</f>
        <v/>
      </c>
      <c r="CB35" s="465" t="str">
        <f>IF($Z$35&lt;=$Z$17,"","* Pacientes 60 a 64 años (Mujeres) con HbA1C&lt;7% debe ser menor o igual a Diabéticos en Sección A. ")</f>
        <v/>
      </c>
      <c r="CC35" s="465" t="str">
        <f>IF($AA$35&lt;=$AA$17,"","* Pacientes 65 a 69 años (Hombres) con HbA1C&lt;7% debe ser menor o igual a Diabéticos en Sección A. ")</f>
        <v/>
      </c>
      <c r="CD35" s="465" t="str">
        <f>IF($AB$35&lt;=$AB$17,"","* Pacientes 65 a 69 años (Mujeres) con HbA1C&lt;7% debe ser menor o igual a Diabéticos en Sección A. ")</f>
        <v/>
      </c>
      <c r="CE35" s="465" t="str">
        <f>IF($AC$35&lt;=$AC$17,"","* Pacientes 70 a 74 años (Hombres) con HbA1C&lt;7% debe ser menor o igual a Diabéticos en Sección A. ")</f>
        <v/>
      </c>
      <c r="CF35" s="465" t="str">
        <f>IF($AD$35&lt;=$AD$17,"","* Pacientes 70 a 74 años (Mujeres) con HbA1C&lt;7% debe ser menor o igual a Diabéticos en Sección A. ")</f>
        <v/>
      </c>
      <c r="CG35" s="465" t="str">
        <f>IF($AE$35&lt;=$AE$17,"","* Pacientes 75 a 79 años (Hombres) con HbA1C&lt;7% debe ser menor o igual a Diabéticos en Sección A. ")</f>
        <v/>
      </c>
      <c r="CH35" s="465" t="str">
        <f>IF($AF$35&lt;=$AF$17,"","* Pacientes 75 a 79 años (Mujeres) con HbA1C&lt;7% debe ser menor o igual a Diabéticos en Sección A. ")</f>
        <v/>
      </c>
      <c r="CI35" s="465" t="str">
        <f>IF($AG$35&lt;=$AG$17,"","* Pacientes 80 y más años (Hombres) con HbA1C&lt;7% debe ser menor o igual a Diabéticos en Sección A. ")</f>
        <v/>
      </c>
      <c r="CJ35" s="465" t="str">
        <f>IF($AH$36&lt;=$AH$17,"","* Pacientes 80 y más años (Mujeres) con HbA1C&lt;8% debe ser menor o igual a Diabéticos en Sección A. ")</f>
        <v/>
      </c>
      <c r="CM35" s="486">
        <f t="shared" si="22"/>
        <v>0</v>
      </c>
      <c r="CN35" s="486">
        <f t="shared" si="23"/>
        <v>0</v>
      </c>
      <c r="CO35" s="486">
        <f>IF($E$35&gt;=$AI$35,0,1)</f>
        <v>1</v>
      </c>
      <c r="CP35" s="486">
        <f>IF($F$35&gt;=$AJ$35,0,1)</f>
        <v>1</v>
      </c>
      <c r="CQ35" s="486">
        <f t="shared" si="20"/>
        <v>1</v>
      </c>
      <c r="CR35" s="486">
        <f>IF($F35&gt;=$AL35,0,1)</f>
        <v>1</v>
      </c>
      <c r="CS35" s="486">
        <f t="shared" ref="CS35:DT35" si="24">IF(G$35&lt;=G$17,0,1)</f>
        <v>0</v>
      </c>
      <c r="CT35" s="486">
        <f t="shared" si="24"/>
        <v>0</v>
      </c>
      <c r="CU35" s="486">
        <f t="shared" si="24"/>
        <v>0</v>
      </c>
      <c r="CV35" s="486">
        <f t="shared" si="24"/>
        <v>0</v>
      </c>
      <c r="CW35" s="486">
        <f t="shared" si="24"/>
        <v>0</v>
      </c>
      <c r="CX35" s="486">
        <f t="shared" si="24"/>
        <v>0</v>
      </c>
      <c r="CY35" s="486">
        <f t="shared" si="24"/>
        <v>0</v>
      </c>
      <c r="CZ35" s="486">
        <f t="shared" si="24"/>
        <v>0</v>
      </c>
      <c r="DA35" s="486">
        <f t="shared" si="24"/>
        <v>0</v>
      </c>
      <c r="DB35" s="486">
        <f t="shared" si="24"/>
        <v>0</v>
      </c>
      <c r="DC35" s="486">
        <f t="shared" si="24"/>
        <v>0</v>
      </c>
      <c r="DD35" s="486">
        <f t="shared" si="24"/>
        <v>0</v>
      </c>
      <c r="DE35" s="486">
        <f t="shared" si="24"/>
        <v>0</v>
      </c>
      <c r="DF35" s="486">
        <f t="shared" si="24"/>
        <v>0</v>
      </c>
      <c r="DG35" s="486">
        <f t="shared" si="24"/>
        <v>0</v>
      </c>
      <c r="DH35" s="486">
        <f t="shared" si="24"/>
        <v>0</v>
      </c>
      <c r="DI35" s="486">
        <f t="shared" si="24"/>
        <v>0</v>
      </c>
      <c r="DJ35" s="486">
        <f t="shared" si="24"/>
        <v>0</v>
      </c>
      <c r="DK35" s="486">
        <f t="shared" si="24"/>
        <v>0</v>
      </c>
      <c r="DL35" s="486">
        <f t="shared" si="24"/>
        <v>0</v>
      </c>
      <c r="DM35" s="486">
        <f t="shared" si="24"/>
        <v>0</v>
      </c>
      <c r="DN35" s="486">
        <f t="shared" si="24"/>
        <v>0</v>
      </c>
      <c r="DO35" s="486">
        <f t="shared" si="24"/>
        <v>0</v>
      </c>
      <c r="DP35" s="486">
        <f t="shared" si="24"/>
        <v>0</v>
      </c>
      <c r="DQ35" s="486">
        <f t="shared" si="24"/>
        <v>0</v>
      </c>
      <c r="DR35" s="486">
        <f t="shared" si="24"/>
        <v>0</v>
      </c>
      <c r="DS35" s="486">
        <f t="shared" si="24"/>
        <v>0</v>
      </c>
      <c r="DT35" s="486">
        <f t="shared" si="24"/>
        <v>0</v>
      </c>
    </row>
    <row r="36" spans="1:124" ht="25.5" customHeight="1" x14ac:dyDescent="0.2">
      <c r="A36" s="1775" t="s">
        <v>1345</v>
      </c>
      <c r="B36" s="2177"/>
      <c r="C36" s="301" t="s">
        <v>405</v>
      </c>
      <c r="D36" s="947" t="s">
        <v>1384</v>
      </c>
      <c r="E36" s="1042" t="s">
        <v>1385</v>
      </c>
      <c r="F36" s="1043" t="s">
        <v>1386</v>
      </c>
      <c r="G36" s="1824" t="s">
        <v>1387</v>
      </c>
      <c r="H36" s="1825" t="s">
        <v>1388</v>
      </c>
      <c r="I36" s="1824" t="s">
        <v>1389</v>
      </c>
      <c r="J36" s="1826" t="s">
        <v>1390</v>
      </c>
      <c r="K36" s="1824" t="s">
        <v>1391</v>
      </c>
      <c r="L36" s="1826" t="s">
        <v>1392</v>
      </c>
      <c r="M36" s="1824" t="s">
        <v>1393</v>
      </c>
      <c r="N36" s="1827" t="s">
        <v>1394</v>
      </c>
      <c r="O36" s="1824" t="s">
        <v>1395</v>
      </c>
      <c r="P36" s="1827" t="s">
        <v>1396</v>
      </c>
      <c r="Q36" s="1824" t="s">
        <v>1397</v>
      </c>
      <c r="R36" s="1826" t="s">
        <v>1398</v>
      </c>
      <c r="S36" s="1824" t="s">
        <v>1399</v>
      </c>
      <c r="T36" s="1827" t="s">
        <v>1400</v>
      </c>
      <c r="U36" s="1824" t="s">
        <v>1401</v>
      </c>
      <c r="V36" s="1827" t="s">
        <v>1402</v>
      </c>
      <c r="W36" s="1824" t="s">
        <v>1403</v>
      </c>
      <c r="X36" s="1827" t="s">
        <v>1404</v>
      </c>
      <c r="Y36" s="1824" t="s">
        <v>1405</v>
      </c>
      <c r="Z36" s="1827" t="s">
        <v>1406</v>
      </c>
      <c r="AA36" s="1824" t="s">
        <v>1407</v>
      </c>
      <c r="AB36" s="1827" t="s">
        <v>1408</v>
      </c>
      <c r="AC36" s="1824" t="s">
        <v>1409</v>
      </c>
      <c r="AD36" s="1827" t="s">
        <v>1410</v>
      </c>
      <c r="AE36" s="1824" t="s">
        <v>1411</v>
      </c>
      <c r="AF36" s="1827" t="s">
        <v>1412</v>
      </c>
      <c r="AG36" s="1044" t="s">
        <v>1413</v>
      </c>
      <c r="AH36" s="966" t="s">
        <v>1414</v>
      </c>
      <c r="AI36" s="1018" t="s">
        <v>1415</v>
      </c>
      <c r="AJ36" s="958" t="s">
        <v>1416</v>
      </c>
      <c r="AK36" s="1044" t="s">
        <v>1417</v>
      </c>
      <c r="AL36" s="958" t="s">
        <v>1418</v>
      </c>
      <c r="AM36" s="410" t="str">
        <f xml:space="preserve"> BE36 &amp; BF36 &amp; BG36 &amp; BH36 &amp; BC36 &amp; BD36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474"/>
      <c r="BC36" s="465" t="str">
        <f t="shared" si="16"/>
        <v/>
      </c>
      <c r="BD36" s="490" t="str">
        <f t="shared" si="17"/>
        <v/>
      </c>
      <c r="BE36" s="465" t="str">
        <f>IF($E$36&gt;=$AI$36,"","* Pueblos Originarios-Hombres no debe ser mayor al Total de personas Hombres. ")</f>
        <v xml:space="preserve">* Pueblos Originarios-Hombres no debe ser mayor al Total de personas Hombres. </v>
      </c>
      <c r="BF36" s="465" t="str">
        <f>IF($F$36&gt;=$AJ$36,"","* Pueblos Originarios-Mujeres no debe ser mayor al Total de personas Mujeres. ")</f>
        <v xml:space="preserve">* Pueblos Originarios-Mujeres no debe ser mayor al Total de personas Mujeres. </v>
      </c>
      <c r="BG36" s="465" t="str">
        <f t="shared" si="18"/>
        <v xml:space="preserve">* Población Migrantes-Hombres no debe ser mayor al Total de personas Hombres. </v>
      </c>
      <c r="BH36" s="465" t="str">
        <f t="shared" si="19"/>
        <v xml:space="preserve">* Pueblos Originarios-Mujeres no debe ser mayor al Total de personas Mujeres. </v>
      </c>
      <c r="CM36" s="486">
        <f t="shared" si="22"/>
        <v>0</v>
      </c>
      <c r="CN36" s="486">
        <f t="shared" si="23"/>
        <v>0</v>
      </c>
      <c r="CO36" s="486">
        <f>IF($E$36&gt;=$AI$36,0,1)</f>
        <v>1</v>
      </c>
      <c r="CP36" s="486">
        <f>IF($F$36&gt;=$AJ$36,0,1)</f>
        <v>1</v>
      </c>
      <c r="CQ36" s="486">
        <f>IF($E36&gt;=$AK36,0,1)</f>
        <v>1</v>
      </c>
      <c r="CR36" s="486">
        <f>IF($F36&gt;=$AL36,0,1)</f>
        <v>1</v>
      </c>
      <c r="CS36" s="470"/>
      <c r="CT36" s="470"/>
      <c r="CU36" s="470"/>
      <c r="CV36" s="470"/>
      <c r="CW36" s="470"/>
      <c r="CX36" s="470"/>
      <c r="CY36" s="470"/>
      <c r="CZ36" s="470"/>
      <c r="DA36" s="470"/>
      <c r="DB36" s="470"/>
      <c r="DC36" s="470"/>
      <c r="DD36" s="470"/>
      <c r="DE36" s="470"/>
      <c r="DF36" s="470"/>
      <c r="DG36" s="470"/>
      <c r="DH36" s="470"/>
      <c r="DI36" s="470"/>
      <c r="DJ36" s="470"/>
      <c r="DK36" s="470"/>
      <c r="DL36" s="470"/>
      <c r="DM36" s="470"/>
      <c r="DN36" s="470"/>
      <c r="DO36" s="470"/>
      <c r="DP36" s="470"/>
      <c r="DQ36" s="470"/>
      <c r="DR36" s="470"/>
      <c r="DS36" s="470"/>
      <c r="DT36" s="470"/>
    </row>
    <row r="37" spans="1:124" ht="25.5" customHeight="1" x14ac:dyDescent="0.2">
      <c r="A37" s="1775" t="s">
        <v>1346</v>
      </c>
      <c r="B37" s="2178"/>
      <c r="C37" s="1631" t="s">
        <v>378</v>
      </c>
      <c r="D37" s="941" t="s">
        <v>1384</v>
      </c>
      <c r="E37" s="942" t="s">
        <v>1385</v>
      </c>
      <c r="F37" s="1031" t="s">
        <v>1386</v>
      </c>
      <c r="G37" s="962" t="s">
        <v>1387</v>
      </c>
      <c r="H37" s="963" t="s">
        <v>1388</v>
      </c>
      <c r="I37" s="962" t="s">
        <v>1389</v>
      </c>
      <c r="J37" s="963" t="s">
        <v>1390</v>
      </c>
      <c r="K37" s="962" t="s">
        <v>1391</v>
      </c>
      <c r="L37" s="963" t="s">
        <v>1392</v>
      </c>
      <c r="M37" s="962" t="s">
        <v>1393</v>
      </c>
      <c r="N37" s="963" t="s">
        <v>1394</v>
      </c>
      <c r="O37" s="962" t="s">
        <v>1395</v>
      </c>
      <c r="P37" s="963" t="s">
        <v>1396</v>
      </c>
      <c r="Q37" s="962" t="s">
        <v>1397</v>
      </c>
      <c r="R37" s="963" t="s">
        <v>1398</v>
      </c>
      <c r="S37" s="962" t="s">
        <v>1399</v>
      </c>
      <c r="T37" s="963" t="s">
        <v>1400</v>
      </c>
      <c r="U37" s="962" t="s">
        <v>1401</v>
      </c>
      <c r="V37" s="963" t="s">
        <v>1402</v>
      </c>
      <c r="W37" s="962" t="s">
        <v>1403</v>
      </c>
      <c r="X37" s="963" t="s">
        <v>1404</v>
      </c>
      <c r="Y37" s="962" t="s">
        <v>1405</v>
      </c>
      <c r="Z37" s="963" t="s">
        <v>1406</v>
      </c>
      <c r="AA37" s="962" t="s">
        <v>1407</v>
      </c>
      <c r="AB37" s="963" t="s">
        <v>1408</v>
      </c>
      <c r="AC37" s="962" t="s">
        <v>1409</v>
      </c>
      <c r="AD37" s="963" t="s">
        <v>1410</v>
      </c>
      <c r="AE37" s="962" t="s">
        <v>1411</v>
      </c>
      <c r="AF37" s="963" t="s">
        <v>1412</v>
      </c>
      <c r="AG37" s="1041" t="s">
        <v>1413</v>
      </c>
      <c r="AH37" s="1050" t="s">
        <v>1414</v>
      </c>
      <c r="AI37" s="976" t="s">
        <v>1415</v>
      </c>
      <c r="AJ37" s="963" t="s">
        <v>1416</v>
      </c>
      <c r="AK37" s="1041" t="s">
        <v>1417</v>
      </c>
      <c r="AL37" s="963" t="s">
        <v>1418</v>
      </c>
      <c r="AM37" s="410" t="str">
        <f xml:space="preserve"> BE37 &amp; BF37 &amp; BI37 &amp; BJ37 &amp; BK37 &amp; BL37 &amp; BM37 &amp; BN37 &amp; BO37 &amp; BP37 &amp; BQ37 &amp; BR37 &amp; BS37 &amp; BT37 &amp; BU37 &amp; BV37 &amp; BW37 &amp; BX37 &amp; BY37 &amp; BZ37 &amp; CA37 &amp; CB37 &amp; CC37 &amp; CD37 &amp; CE37 &amp; CF37 &amp; CG37 &amp; CI37 &amp; CJ37 &amp; CH37 &amp; BG37 &amp; BH37 &amp; BC37 &amp; BD37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474"/>
      <c r="BC37" s="465" t="str">
        <f t="shared" si="16"/>
        <v/>
      </c>
      <c r="BD37" s="490" t="str">
        <f t="shared" si="17"/>
        <v/>
      </c>
      <c r="BE37" s="465" t="str">
        <f>IF($E$37&gt;=$AI$37,"","* Pueblos Originarios-Hombres no debe ser mayor al Total de personas Hombres. ")</f>
        <v xml:space="preserve">* Pueblos Originarios-Hombres no debe ser mayor al Total de personas Hombres. </v>
      </c>
      <c r="BF37" s="465" t="str">
        <f>IF($F$37&gt;=$AJ$37,"","* Pueblos Originarios-Mujeres no debe ser mayor al Total de personas Mujeres. ")</f>
        <v xml:space="preserve">* Pueblos Originarios-Mujeres no debe ser mayor al Total de personas Mujeres. </v>
      </c>
      <c r="BG37" s="465" t="str">
        <f t="shared" si="18"/>
        <v xml:space="preserve">* Población Migrantes-Hombres no debe ser mayor al Total de personas Hombres. </v>
      </c>
      <c r="BH37" s="465" t="str">
        <f t="shared" si="19"/>
        <v xml:space="preserve">* Pueblos Originarios-Mujeres no debe ser mayor al Total de personas Mujeres. </v>
      </c>
      <c r="BI37" s="465" t="str">
        <f>IF($G$37&lt;=$G$35,"","* Pacientes 15 a 19 años (Hombres) con HbA1C&lt;7% - PA&lt;140/90mmHg debe ser menor o igual a los con HbA1C&lt;7%. ")</f>
        <v/>
      </c>
      <c r="BJ37" s="465" t="str">
        <f>IF($H$37&lt;=$H$35,"","* Pacientes 15 a 19 años (Mujeres) con HbA1C&lt;7% - PA&lt;140/90mmHg debe ser menor o igual a los con HbA1C&lt;7%. ")</f>
        <v/>
      </c>
      <c r="BK37" s="465" t="str">
        <f>IF($I$37&lt;=$I$35,"","* Pacientes 20 a 24 años (Hombres) con HbA1C&lt;7% - PA&lt;140/90mmHg debe ser menor o igual a los con HbA1C&lt;7%. ")</f>
        <v/>
      </c>
      <c r="BL37" s="465" t="str">
        <f>IF($J$37&lt;=$J$35,"","* Pacientes 20 a 24 años (Mujeres) con HbA1C&lt;7% - PA&lt;140/90mmHg debe ser menor o igual a los con HbA1C&lt;7%. ")</f>
        <v/>
      </c>
      <c r="BM37" s="465" t="str">
        <f>IF($K$37&lt;=$K$35,"","* Pacientes 25 a 29 años (Hombres) con HbA1C&lt;7% - PA&lt;140/90mmHg debe ser menor o igual a los con HbA1C&lt;7%. ")</f>
        <v/>
      </c>
      <c r="BN37" s="465" t="str">
        <f>IF($L$37&lt;=$L$35,"","* Pacientes 25 a 29 años (Mujeres) con HbA1C&lt;7% - PA&lt;140/90mmHg debe ser menor o igual a los con HbA1C&lt;7%. ")</f>
        <v/>
      </c>
      <c r="BO37" s="465" t="str">
        <f>IF($M$37&lt;=$M$35,"","* Pacientes 30 a 34 años (Hombres) con HbA1C&lt;7% - PA&lt;140/90mmHg debe ser menor o igual a los con HbA1C&lt;7%. ")</f>
        <v/>
      </c>
      <c r="BP37" s="465" t="str">
        <f>IF($N$37&lt;=$N$35,"","* Pacientes 30 a 34 años (Mujeres) con HbA1C&lt;7% - PA&lt;140/90mmHg debe ser menor o igual a los con HbA1C&lt;7%. ")</f>
        <v/>
      </c>
      <c r="BQ37" s="465" t="str">
        <f>IF($O$37&lt;=$O$35,"","* Pacientes 35 a 39 años (Hombres) con HbA1C&lt;7% - PA&lt;140/90mmHg debe ser menor o igual a los con HbA1C&lt;7%. ")</f>
        <v/>
      </c>
      <c r="BR37" s="465" t="str">
        <f>IF($P$37&lt;=$P$35,"","* Pacientes 35 a 39 años (Mujeres) con HbA1C&lt;7% - PA&lt;140/90mmHg debe ser menor o igual a los con HbA1C&lt;7%. ")</f>
        <v/>
      </c>
      <c r="BS37" s="465" t="str">
        <f>IF($Q$37&lt;=$Q$35,"","* Pacientes 40 a 44 años (Hombres) con HbA1C&lt;7% - PA&lt;140/90mmHg debe ser menor o igual a los con HbA1C&lt;7%. ")</f>
        <v/>
      </c>
      <c r="BT37" s="465" t="str">
        <f>IF($R$37&lt;=$R$35,"","* Pacientes 40 a 44 años (Mujeres) con HbA1C&lt;7% - PA&lt;140/90mmHg debe ser menor o igual a los con HbA1C&lt;7%. ")</f>
        <v/>
      </c>
      <c r="BU37" s="465" t="str">
        <f>IF($S$37&lt;=$S$35,"","* Pacientes 45 a 49 años (Hombres) con HbA1C&lt;7% - PA&lt;140/90mmHg debe ser menor o igual a los con HbA1C&lt;7%. ")</f>
        <v/>
      </c>
      <c r="BV37" s="465" t="str">
        <f>IF($T$37&lt;=$T$35,"","* Pacientes 45 a 49 años (Mujeres) con HbA1C&lt;7% - PA&lt;140/90mmHg debe ser menor o igual a los con HbA1C&lt;7%. ")</f>
        <v/>
      </c>
      <c r="BW37" s="465" t="str">
        <f>IF($U$37&lt;=$U$35,"","* Pacientes 50 a 54 años (Hombres) con HbA1C&lt;7% - PA&lt;140/90mmHg debe ser menor o igual a los con HbA1C&lt;7%. ")</f>
        <v/>
      </c>
      <c r="BX37" s="465" t="str">
        <f>IF($V$37&lt;=$V$35,"","* Pacientes 50 a 54 años (Mujeres) con HbA1C&lt;7% - PA&lt;140/90mmHg debe ser menor o igual a los con HbA1C&lt;7%. ")</f>
        <v/>
      </c>
      <c r="BY37" s="465" t="str">
        <f>IF($W$37&lt;=$W$35,"","* Pacientes 55 a 59 años (Hombres) con HbA1C&lt;7% - PA&lt;140/90mmHg debe ser menor o igual a los con HbA1C&lt;7%. ")</f>
        <v/>
      </c>
      <c r="BZ37" s="465" t="str">
        <f>IF($X$37&lt;=$X$35,"","* Pacientes 55 a 59 años (Mujeres) con HbA1C&lt;7% - PA&lt;140/90mmHg debe ser menor o igual a los con HbA1C&lt;7%. ")</f>
        <v/>
      </c>
      <c r="CA37" s="465" t="str">
        <f>IF($Y$37&lt;=$Y$35,"","* Pacientes 60 a 64 años (Hombres) con HbA1C&lt;7% - PA&lt;140/90mmHg debe ser menor o igual a los con HbA1C&lt;7%. ")</f>
        <v/>
      </c>
      <c r="CB37" s="465" t="str">
        <f>IF($Z$37&lt;=$Z$35,"","* Pacientes 60 a 64 años (Mujeres) con HbA1C&lt;7% - PA&lt;140/90mmHg debe ser menor o igual a los con HbA1C&lt;7%. ")</f>
        <v/>
      </c>
      <c r="CC37" s="465" t="str">
        <f>IF($AA$37&lt;=$AA$35,"","* Pacientes 65 a 69 años (Hombres) con HbA1C&lt;7% - PA&lt;140/90mmHg debe ser menor o igual a los con HbA1C&lt;7%. ")</f>
        <v/>
      </c>
      <c r="CD37" s="465" t="str">
        <f>IF($AB$37&lt;=$AB$35,"","* Pacientes 65 a 69 años (Mujeres) con HbA1C&lt;7% - PA&lt;140/90mmHg debe ser menor o igual a los con HbA1C&lt;7%. ")</f>
        <v/>
      </c>
      <c r="CE37" s="465" t="str">
        <f>IF($AC$37&lt;=$AC$35,"","* Pacientes 70 a 74 años (Hombres) con HbA1C&lt;7% - PA&lt;140/90mmHg debe ser menor o igual a los con HbA1C&lt;7%. ")</f>
        <v/>
      </c>
      <c r="CF37" s="465" t="str">
        <f>IF($AD$37&lt;=$AD$35,"","* Pacientes 70 a 74 años (Mujeres) con HbA1C&lt;7% - PA&lt;140/90mmHg debe ser menor o igual a los con HbA1C&lt;7%. ")</f>
        <v/>
      </c>
      <c r="CG37" s="465" t="str">
        <f>IF($AE$37&lt;=$AE$35,"","* Pacientes 75 a 79 años (Hombres) con HbA1C&lt;7% - PA&lt;140/90mmHg debe ser menor o igual a los con HbA1C&lt;7%. ")</f>
        <v/>
      </c>
      <c r="CH37" s="465" t="str">
        <f>IF($AF$37&lt;=$AF$35,"","* Pacientes 75 a 79 años (Mujeres) con HbA1C&lt;7% - PA&lt;140/70mmHg debe ser menor o igual a los con HbA1C&lt;7%. ")</f>
        <v/>
      </c>
      <c r="CM37" s="486">
        <f t="shared" si="22"/>
        <v>0</v>
      </c>
      <c r="CN37" s="486">
        <f t="shared" si="23"/>
        <v>0</v>
      </c>
      <c r="CO37" s="486">
        <f>IF($E$37&gt;=$AI$37,0,1)</f>
        <v>1</v>
      </c>
      <c r="CP37" s="486">
        <f>IF($F$37&gt;=$AJ$37,0,1)</f>
        <v>1</v>
      </c>
      <c r="CQ37" s="486">
        <f t="shared" si="20"/>
        <v>1</v>
      </c>
      <c r="CR37" s="486">
        <f>IF($F37&gt;=$AL37,0,1)</f>
        <v>1</v>
      </c>
      <c r="CS37" s="486">
        <f t="shared" ref="CS37:DR37" si="25">IF(G$37&lt;=G$35,0,1)</f>
        <v>0</v>
      </c>
      <c r="CT37" s="486">
        <f t="shared" si="25"/>
        <v>0</v>
      </c>
      <c r="CU37" s="486">
        <f t="shared" si="25"/>
        <v>0</v>
      </c>
      <c r="CV37" s="486">
        <f t="shared" si="25"/>
        <v>0</v>
      </c>
      <c r="CW37" s="486">
        <f t="shared" si="25"/>
        <v>0</v>
      </c>
      <c r="CX37" s="486">
        <f t="shared" si="25"/>
        <v>0</v>
      </c>
      <c r="CY37" s="486">
        <f t="shared" si="25"/>
        <v>0</v>
      </c>
      <c r="CZ37" s="486">
        <f t="shared" si="25"/>
        <v>0</v>
      </c>
      <c r="DA37" s="486">
        <f t="shared" si="25"/>
        <v>0</v>
      </c>
      <c r="DB37" s="486">
        <f t="shared" si="25"/>
        <v>0</v>
      </c>
      <c r="DC37" s="486">
        <f t="shared" si="25"/>
        <v>0</v>
      </c>
      <c r="DD37" s="486">
        <f t="shared" si="25"/>
        <v>0</v>
      </c>
      <c r="DE37" s="486">
        <f t="shared" si="25"/>
        <v>0</v>
      </c>
      <c r="DF37" s="486">
        <f t="shared" si="25"/>
        <v>0</v>
      </c>
      <c r="DG37" s="486">
        <f t="shared" si="25"/>
        <v>0</v>
      </c>
      <c r="DH37" s="486">
        <f t="shared" si="25"/>
        <v>0</v>
      </c>
      <c r="DI37" s="486">
        <f t="shared" si="25"/>
        <v>0</v>
      </c>
      <c r="DJ37" s="486">
        <f t="shared" si="25"/>
        <v>0</v>
      </c>
      <c r="DK37" s="486">
        <f t="shared" si="25"/>
        <v>0</v>
      </c>
      <c r="DL37" s="486">
        <f t="shared" si="25"/>
        <v>0</v>
      </c>
      <c r="DM37" s="486">
        <f t="shared" si="25"/>
        <v>0</v>
      </c>
      <c r="DN37" s="486">
        <f t="shared" si="25"/>
        <v>0</v>
      </c>
      <c r="DO37" s="486">
        <f t="shared" si="25"/>
        <v>0</v>
      </c>
      <c r="DP37" s="486">
        <f t="shared" si="25"/>
        <v>0</v>
      </c>
      <c r="DQ37" s="486">
        <f t="shared" si="25"/>
        <v>0</v>
      </c>
      <c r="DR37" s="486">
        <f t="shared" si="25"/>
        <v>0</v>
      </c>
      <c r="DS37" s="470"/>
      <c r="DT37" s="470"/>
    </row>
    <row r="38" spans="1:124" ht="27.75" customHeight="1" x14ac:dyDescent="0.2">
      <c r="A38" s="1775" t="s">
        <v>1347</v>
      </c>
      <c r="B38" s="1632" t="s">
        <v>739</v>
      </c>
      <c r="C38" s="390" t="s">
        <v>587</v>
      </c>
      <c r="D38" s="967" t="s">
        <v>1384</v>
      </c>
      <c r="E38" s="1038" t="s">
        <v>1385</v>
      </c>
      <c r="F38" s="1046" t="s">
        <v>1386</v>
      </c>
      <c r="G38" s="973" t="s">
        <v>1387</v>
      </c>
      <c r="H38" s="974" t="s">
        <v>1388</v>
      </c>
      <c r="I38" s="973" t="s">
        <v>1389</v>
      </c>
      <c r="J38" s="974" t="s">
        <v>1390</v>
      </c>
      <c r="K38" s="973" t="s">
        <v>1391</v>
      </c>
      <c r="L38" s="974" t="s">
        <v>1392</v>
      </c>
      <c r="M38" s="973" t="s">
        <v>1393</v>
      </c>
      <c r="N38" s="974" t="s">
        <v>1394</v>
      </c>
      <c r="O38" s="973" t="s">
        <v>1395</v>
      </c>
      <c r="P38" s="974" t="s">
        <v>1396</v>
      </c>
      <c r="Q38" s="973" t="s">
        <v>1397</v>
      </c>
      <c r="R38" s="974" t="s">
        <v>1398</v>
      </c>
      <c r="S38" s="973" t="s">
        <v>1399</v>
      </c>
      <c r="T38" s="974" t="s">
        <v>1400</v>
      </c>
      <c r="U38" s="973" t="s">
        <v>1401</v>
      </c>
      <c r="V38" s="974" t="s">
        <v>1402</v>
      </c>
      <c r="W38" s="973" t="s">
        <v>1403</v>
      </c>
      <c r="X38" s="974" t="s">
        <v>1404</v>
      </c>
      <c r="Y38" s="973" t="s">
        <v>1405</v>
      </c>
      <c r="Z38" s="974" t="s">
        <v>1406</v>
      </c>
      <c r="AA38" s="973" t="s">
        <v>1407</v>
      </c>
      <c r="AB38" s="974" t="s">
        <v>1408</v>
      </c>
      <c r="AC38" s="973" t="s">
        <v>1409</v>
      </c>
      <c r="AD38" s="974" t="s">
        <v>1410</v>
      </c>
      <c r="AE38" s="973" t="s">
        <v>1411</v>
      </c>
      <c r="AF38" s="974" t="s">
        <v>1412</v>
      </c>
      <c r="AG38" s="1040" t="s">
        <v>1413</v>
      </c>
      <c r="AH38" s="975" t="s">
        <v>1414</v>
      </c>
      <c r="AI38" s="1047" t="s">
        <v>1415</v>
      </c>
      <c r="AJ38" s="974" t="s">
        <v>1416</v>
      </c>
      <c r="AK38" s="1040" t="s">
        <v>1417</v>
      </c>
      <c r="AL38" s="974" t="s">
        <v>1418</v>
      </c>
      <c r="AM38" s="410" t="str">
        <f xml:space="preserve"> BE38 &amp; BF38 &amp; BI38 &amp; BJ38 &amp; BK38 &amp; BL38 &amp; BM38 &amp; BN38 &amp; BO38 &amp; BP38 &amp; BQ38 &amp; BR38 &amp; BS38 &amp; BT38 &amp; BU38 &amp; BV38 &amp; BW38 &amp; BX38 &amp; BY38 &amp; BZ38 &amp; CA38 &amp; CB38 &amp; CC38 &amp; CD38 &amp; CE38 &amp; CF38 &amp; CG38 &amp; CI38 &amp; CJ38 &amp; CH38 &amp; BG38 &amp; BH38 &amp; BC38 &amp; BD38</f>
        <v xml:space="preserve">* Pueblos Originarios-Hombres no debe ser mayor al Total de personas Hombres. * Pueblos Originarios-Mujeres no debe ser mayor al Total de personas Mujeres. * Población Migrantes-Hombres no debe ser mayor al Total de personas Hombres. * Pueblos Originarios-Mujeres no debe ser mayor al Total de personas Mujeres. </v>
      </c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474"/>
      <c r="BC38" s="465" t="str">
        <f t="shared" si="16"/>
        <v/>
      </c>
      <c r="BD38" s="490" t="str">
        <f t="shared" si="17"/>
        <v/>
      </c>
      <c r="BE38" s="465" t="str">
        <f>IF($E$38&gt;=$AI$38,"","* Pueblos Originarios-Hombres no debe ser mayor al Total de personas Hombres. ")</f>
        <v xml:space="preserve">* Pueblos Originarios-Hombres no debe ser mayor al Total de personas Hombres. </v>
      </c>
      <c r="BF38" s="465" t="str">
        <f>IF($F$38&gt;=$AJ$38,"","* Pueblos Originarios-Mujeres no debe ser mayor al Total de personas Mujeres. ")</f>
        <v xml:space="preserve">* Pueblos Originarios-Mujeres no debe ser mayor al Total de personas Mujeres. </v>
      </c>
      <c r="BG38" s="465" t="str">
        <f t="shared" si="18"/>
        <v xml:space="preserve">* Población Migrantes-Hombres no debe ser mayor al Total de personas Hombres. </v>
      </c>
      <c r="BH38" s="465" t="str">
        <f t="shared" si="19"/>
        <v xml:space="preserve">* Pueblos Originarios-Mujeres no debe ser mayor al Total de personas Mujeres. </v>
      </c>
      <c r="BI38" s="465" t="str">
        <f>IF($G$38&lt;=$G$15,"","* Pacientes 15 a 19 años (Hombres) con RCV Alto con Colesterol LDL &lt;100 mg/dl no debe ser mayor al Total RCV Alto de Sección A. ")</f>
        <v/>
      </c>
      <c r="BJ38" s="465" t="str">
        <f>IF($H$38&lt;=$H$15,"","* Pacientes 15 a 19 años (Mujeres) con RCV Alto con Colesterol LDL &lt;100 mg/dl no debe ser mayor al Total RCV Alto de Sección A. ")</f>
        <v/>
      </c>
      <c r="BK38" s="465" t="str">
        <f>IF($I$38&lt;=+$I$15,"","* Pacientes 20 a 24 años (Hombres) con RCV Alto con Colesterol LDL &lt;100 mg/dl no debe ser mayor al Total RCV Alto de Sección A. ")</f>
        <v/>
      </c>
      <c r="BL38" s="465" t="str">
        <f>IF($J$38&lt;=+$J$15,"","* Pacientes 20 a 24 años (Mujeres) con RCV Alto con Colesterol LDL &lt;100 mg/dl no debe ser mayor al Total RCV Alto de Sección A. ")</f>
        <v/>
      </c>
      <c r="BM38" s="465" t="str">
        <f>IF($K$38&lt;=+$K$15,"","* Pacientes 25 a 29 años (Hombres) con RCV Alto con Colesterol LDL &lt;100 mg/dl no debe ser mayor al Total RCV Alto de Sección A. ")</f>
        <v/>
      </c>
      <c r="BN38" s="465" t="str">
        <f>IF($L$38&lt;=+$L$15,"","* Pacientes 25 a 29 años (Mujeres) con RCV Alto con Colesterol LDL &lt;100 mg/dl no debe ser mayor al Total RCV Alto de Sección A. ")</f>
        <v/>
      </c>
      <c r="BO38" s="465" t="str">
        <f>IF($M$38&lt;=+$M$15,"","* Pacientes 30 a 34 años (Hombres) con RCV Alto con Colesterol LDL &lt;100 mg/dl no debe ser mayor al Total RCV Alto de Sección A. ")</f>
        <v/>
      </c>
      <c r="BP38" s="465" t="str">
        <f>IF($N$38&lt;=+$N$15,"","* Pacientes 30 a 34 años (Mujeres) con RCV Alto con Colesterol LDL &lt;100 mg/dl no debe ser mayor al Total RCV Alto de Sección A. ")</f>
        <v/>
      </c>
      <c r="BQ38" s="465" t="str">
        <f>IF($O$38&lt;=+$O$15,"","* Pacientes 35 a 39 años (Hombres) con RCV Alto con Colesterol LDL &lt;100 mg/dl no debe ser mayor al Total RCV Alto de Sección A. ")</f>
        <v/>
      </c>
      <c r="BR38" s="465" t="str">
        <f>IF($P$38&lt;=+$P$15,"","* Pacientes 35 a 39 años (Mujeres) con RCV Alto con Colesterol LDL &lt;100 mg/dl no debe ser mayor al Total RCV Alto de Sección A. ")</f>
        <v/>
      </c>
      <c r="BS38" s="465" t="str">
        <f>IF($Q$38&lt;=+$Q$15,"","* Pacientes 40 a 44 años (Hombres) con RCV Alto con Colesterol LDL &lt;100 mg/dl no debe ser mayor al Total RCV Alto de Sección A. ")</f>
        <v/>
      </c>
      <c r="BT38" s="465" t="str">
        <f>IF($R$38&lt;=+$R$15,"","* Pacientes 40 a 44 años (Mujeres) con RCV Alto con Colesterol LDL &lt;100 mg/dl no debe ser mayor al Total RCV Alto de Sección A. ")</f>
        <v/>
      </c>
      <c r="BU38" s="465" t="str">
        <f>IF($S$38&lt;=+$S$15,"","* Pacientes 45 a 49 años (Hombres) con RCV Alto con Colesterol LDL &lt;100 mg/dl no debe ser mayor al Total RCV Alto de Sección A. ")</f>
        <v/>
      </c>
      <c r="BV38" s="465" t="str">
        <f>IF($T$38&lt;=+$T$15,"","* Pacientes 45 a 49 años (Mujeres) con RCV Alto con Colesterol LDL &lt;100 mg/dl no debe ser mayor al Total RCV Alto de Sección A. ")</f>
        <v/>
      </c>
      <c r="BW38" s="465" t="str">
        <f>IF($U$38&lt;=+$U$15,"","* Pacientes 50 a 54 años (Hombres) con RCV Alto con Colesterol LDL &lt;100 mg/dl no debe ser mayor al Total RCV Alto de Sección A. ")</f>
        <v/>
      </c>
      <c r="BX38" s="465" t="str">
        <f>IF($V$38&lt;=+$V$15,"","* Pacientes 50 a 54 años (Mujeres) con RCV Alto con Colesterol LDL &lt;100 mg/dl no debe ser mayor al Total RCV Alto de Sección A. ")</f>
        <v/>
      </c>
      <c r="BY38" s="465" t="str">
        <f>IF($W$38&lt;=+$W$15,"","* Pacientes 55 a 59 años (Hombres) con RCV Alto con Colesterol LDL &lt;100 mg/dl no debe ser mayor al Total RCV Alto de Sección A. ")</f>
        <v/>
      </c>
      <c r="BZ38" s="465" t="str">
        <f>IF($X$38&lt;=+$X$15,"","* Pacientes 55 a 59 años (Mujeres) con RCV Alto con Colesterol LDL &lt;100 mg/dl no debe ser mayor al Total RCV Alto de Sección A. ")</f>
        <v/>
      </c>
      <c r="CA38" s="465" t="str">
        <f>IF($Y$38&lt;=+$Y$15,"","* Pacientes 60 a 64 años (Hombres) con RCV Alto con Colesterol LDL &lt;100 mg/dl no debe ser mayor al Total RCV Alto de Sección A. ")</f>
        <v/>
      </c>
      <c r="CB38" s="465" t="str">
        <f>IF($Z$38&lt;=+$Z$15,"","* Pacientes 60 a 64 años (Mujeres) con RCV Alto con Colesterol LDL &lt;100 mg/dl no debe ser mayor al Total RCV Alto de Sección A. ")</f>
        <v/>
      </c>
      <c r="CC38" s="465" t="str">
        <f>IF($AA$38&lt;=+$AA$15,"","* Pacientes 65 a 69 años (Hombres) con RCV Alto con Colesterol LDL &lt;100 mg/dl no debe ser mayor al Total RCV Alto de Sección A. ")</f>
        <v/>
      </c>
      <c r="CD38" s="465" t="str">
        <f>IF($AB$38&lt;=+$AB$15,"","* Pacientes 65 a 69 años (Mujeres) con RCV Alto con Colesterol LDL &lt;100 mg/dl no debe ser mayor al Total RCV Alto de Sección A. ")</f>
        <v/>
      </c>
      <c r="CE38" s="465" t="str">
        <f>IF($AC$38&lt;=+$AC$15,"","* Pacientes 70 a 74 años (Hombres) con RCV Alto con Colesterol LDL &lt;100 mg/dl no debe ser mayor al Total RCV Alto de Sección A. ")</f>
        <v/>
      </c>
      <c r="CF38" s="465" t="str">
        <f>IF($AD$38&lt;=+$AD$15,"","* Pacientes 70 a 74 años (Mujeres) con RCV Alto con Colesterol LDL &lt;100 mg/dl no debe ser mayor al Total RCV Alto de Sección A. ")</f>
        <v/>
      </c>
      <c r="CG38" s="465" t="str">
        <f>IF($AE$38&lt;=+$AE$15,"","* Pacientes 75 a 79 años (Hombres) con RCV Alto con Colesterol LDL &lt;100 mg/dl no debe ser mayor al Total RCV Alto de Sección A. ")</f>
        <v/>
      </c>
      <c r="CH38" s="465" t="str">
        <f>IF($AF$38&lt;=+$AF$15,"","* Pacientes 75 a 79 años (Mujeres) con RCV Alto con Colesterol LDL &lt;100 mg/dl no debe ser mayor al Total RCV Alto de Sección A. ")</f>
        <v/>
      </c>
      <c r="CI38" s="465" t="str">
        <f>IF($AG$38&lt;=+$AG$15,"","* Pacientes 80 y más años (Hombres) con RCV Alto con Colesterol LDL &lt;100 mg/dl no debe ser mayor al Total RCV Alto de Sección A. ")</f>
        <v/>
      </c>
      <c r="CJ38" s="465" t="str">
        <f>IF($AH$38&lt;=+$AH$15,"","* Pacientes 80 y más años (Mujeres) con RCV Alto con Colesterol LDL &lt;100 mg/dl no debe ser mayor al Total RCV Alto de Sección A. ")</f>
        <v/>
      </c>
      <c r="CM38" s="486">
        <f t="shared" si="22"/>
        <v>0</v>
      </c>
      <c r="CN38" s="486">
        <f t="shared" si="23"/>
        <v>0</v>
      </c>
      <c r="CO38" s="486">
        <f>IF($E$38&gt;=$AI$38,0,1)</f>
        <v>1</v>
      </c>
      <c r="CP38" s="486">
        <f>IF($F$38&gt;=$AJ$38,0,1)</f>
        <v>1</v>
      </c>
      <c r="CQ38" s="486">
        <f t="shared" si="20"/>
        <v>1</v>
      </c>
      <c r="CR38" s="486">
        <f>IF($F38&gt;=$AK38,0,1)</f>
        <v>1</v>
      </c>
      <c r="CS38" s="486">
        <f t="shared" ref="CS38:DT38" si="26">IF(G$38&lt;=+G$15,0,1)</f>
        <v>0</v>
      </c>
      <c r="CT38" s="486">
        <f t="shared" si="26"/>
        <v>0</v>
      </c>
      <c r="CU38" s="486">
        <f t="shared" si="26"/>
        <v>0</v>
      </c>
      <c r="CV38" s="486">
        <f t="shared" si="26"/>
        <v>0</v>
      </c>
      <c r="CW38" s="486">
        <f t="shared" si="26"/>
        <v>0</v>
      </c>
      <c r="CX38" s="486">
        <f t="shared" si="26"/>
        <v>0</v>
      </c>
      <c r="CY38" s="486">
        <f t="shared" si="26"/>
        <v>0</v>
      </c>
      <c r="CZ38" s="486">
        <f t="shared" si="26"/>
        <v>0</v>
      </c>
      <c r="DA38" s="486">
        <f t="shared" si="26"/>
        <v>0</v>
      </c>
      <c r="DB38" s="486">
        <f t="shared" si="26"/>
        <v>0</v>
      </c>
      <c r="DC38" s="486">
        <f t="shared" si="26"/>
        <v>0</v>
      </c>
      <c r="DD38" s="486">
        <f t="shared" si="26"/>
        <v>0</v>
      </c>
      <c r="DE38" s="486">
        <f t="shared" si="26"/>
        <v>0</v>
      </c>
      <c r="DF38" s="486">
        <f t="shared" si="26"/>
        <v>0</v>
      </c>
      <c r="DG38" s="486">
        <f t="shared" si="26"/>
        <v>0</v>
      </c>
      <c r="DH38" s="486">
        <f t="shared" si="26"/>
        <v>0</v>
      </c>
      <c r="DI38" s="486">
        <f t="shared" si="26"/>
        <v>0</v>
      </c>
      <c r="DJ38" s="486">
        <f t="shared" si="26"/>
        <v>0</v>
      </c>
      <c r="DK38" s="486">
        <f t="shared" si="26"/>
        <v>0</v>
      </c>
      <c r="DL38" s="486">
        <f t="shared" si="26"/>
        <v>0</v>
      </c>
      <c r="DM38" s="486">
        <f t="shared" si="26"/>
        <v>0</v>
      </c>
      <c r="DN38" s="486">
        <f t="shared" si="26"/>
        <v>0</v>
      </c>
      <c r="DO38" s="486">
        <f t="shared" si="26"/>
        <v>0</v>
      </c>
      <c r="DP38" s="486">
        <f t="shared" si="26"/>
        <v>0</v>
      </c>
      <c r="DQ38" s="486">
        <f t="shared" si="26"/>
        <v>0</v>
      </c>
      <c r="DR38" s="486">
        <f t="shared" si="26"/>
        <v>0</v>
      </c>
      <c r="DS38" s="486">
        <f t="shared" si="26"/>
        <v>0</v>
      </c>
      <c r="DT38" s="486">
        <f t="shared" si="26"/>
        <v>0</v>
      </c>
    </row>
    <row r="39" spans="1:124" ht="23.25" customHeight="1" x14ac:dyDescent="0.2">
      <c r="A39" s="1775" t="s">
        <v>1348</v>
      </c>
      <c r="B39" s="2223" t="s">
        <v>192</v>
      </c>
      <c r="C39" s="1630" t="s">
        <v>738</v>
      </c>
      <c r="D39" s="944" t="s">
        <v>1384</v>
      </c>
      <c r="E39" s="1015" t="s">
        <v>1385</v>
      </c>
      <c r="F39" s="1027" t="s">
        <v>1386</v>
      </c>
      <c r="G39" s="977" t="s">
        <v>1387</v>
      </c>
      <c r="H39" s="978" t="s">
        <v>1388</v>
      </c>
      <c r="I39" s="977" t="s">
        <v>1389</v>
      </c>
      <c r="J39" s="978" t="s">
        <v>1390</v>
      </c>
      <c r="K39" s="977" t="s">
        <v>1391</v>
      </c>
      <c r="L39" s="978" t="s">
        <v>1392</v>
      </c>
      <c r="M39" s="977" t="s">
        <v>1393</v>
      </c>
      <c r="N39" s="978" t="s">
        <v>1394</v>
      </c>
      <c r="O39" s="977" t="s">
        <v>1395</v>
      </c>
      <c r="P39" s="978" t="s">
        <v>1396</v>
      </c>
      <c r="Q39" s="977" t="s">
        <v>1397</v>
      </c>
      <c r="R39" s="978" t="s">
        <v>1398</v>
      </c>
      <c r="S39" s="977" t="s">
        <v>1399</v>
      </c>
      <c r="T39" s="978" t="s">
        <v>1400</v>
      </c>
      <c r="U39" s="977" t="s">
        <v>1401</v>
      </c>
      <c r="V39" s="978" t="s">
        <v>1402</v>
      </c>
      <c r="W39" s="977" t="s">
        <v>1403</v>
      </c>
      <c r="X39" s="978" t="s">
        <v>1404</v>
      </c>
      <c r="Y39" s="977" t="s">
        <v>1405</v>
      </c>
      <c r="Z39" s="978" t="s">
        <v>1406</v>
      </c>
      <c r="AA39" s="977" t="s">
        <v>1407</v>
      </c>
      <c r="AB39" s="978" t="s">
        <v>1408</v>
      </c>
      <c r="AC39" s="977" t="s">
        <v>1409</v>
      </c>
      <c r="AD39" s="978" t="s">
        <v>1410</v>
      </c>
      <c r="AE39" s="977" t="s">
        <v>1411</v>
      </c>
      <c r="AF39" s="978" t="s">
        <v>1412</v>
      </c>
      <c r="AG39" s="1048" t="s">
        <v>1413</v>
      </c>
      <c r="AH39" s="1049" t="s">
        <v>1414</v>
      </c>
      <c r="AI39" s="972" t="s">
        <v>1415</v>
      </c>
      <c r="AJ39" s="954" t="s">
        <v>1416</v>
      </c>
      <c r="AK39" s="1037" t="s">
        <v>1417</v>
      </c>
      <c r="AL39" s="954" t="s">
        <v>1418</v>
      </c>
      <c r="AM39" s="410" t="e">
        <f xml:space="preserve"> BE39 &amp; BF39 &amp; BI39 &amp; BJ39 &amp; BK39 &amp; BL39 &amp; BM39 &amp; BN39 &amp; BO39 &amp; BP39 &amp; BQ39 &amp; BR39 &amp; BS39 &amp; BT39 &amp; BU39 &amp; BV39 &amp; BW39 &amp; BX39 &amp; BY39 &amp; BZ39 &amp; CA39 &amp; CB39 &amp; CC39 &amp; CD39 &amp; CE39 &amp; CF39 &amp; CG39 &amp; CI39 &amp; CJ39 &amp; CH39 &amp; BG39 &amp; BH39 &amp; BC39 &amp; BD39</f>
        <v>#VALUE!</v>
      </c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474"/>
      <c r="BC39" s="465" t="str">
        <f t="shared" si="16"/>
        <v/>
      </c>
      <c r="BD39" s="490" t="str">
        <f t="shared" si="17"/>
        <v/>
      </c>
      <c r="BE39" s="465" t="str">
        <f>IF($E$39&gt;=$AI$39,"","* Pueblos Originarios-Hombres no debe ser mayor al Total de personas Hombres. ")</f>
        <v xml:space="preserve">* Pueblos Originarios-Hombres no debe ser mayor al Total de personas Hombres. </v>
      </c>
      <c r="BF39" s="465" t="str">
        <f>IF($F$39&gt;=$AJ$39,"","* Pueblos Originarios-Mujeres no debe ser mayor al Total de personas Mujeres. ")</f>
        <v xml:space="preserve">* Pueblos Originarios-Mujeres no debe ser mayor al Total de personas Mujeres. </v>
      </c>
      <c r="BG39" s="465" t="str">
        <f t="shared" si="18"/>
        <v xml:space="preserve">* Población Migrantes-Hombres no debe ser mayor al Total de personas Hombres. </v>
      </c>
      <c r="BH39" s="465" t="str">
        <f t="shared" si="19"/>
        <v xml:space="preserve">* Pueblos Originarios-Mujeres no debe ser mayor al Total de personas Mujeres. </v>
      </c>
      <c r="BI39" s="465" t="e">
        <f>IF($G$39&lt;=$G$20+$G$21,"","* Pacientes 15 a 19 años (Hombres) con con antecedentes ECV con tto. Acido Acetilsalicílico no debe ser mayor al Total Población con Antecedentes de IAM y ECV de Sección A. ")</f>
        <v>#VALUE!</v>
      </c>
      <c r="BJ39" s="465" t="e">
        <f>IF($H$39&lt;=$H$20+$H$21,"","* Pacientes 15 a 19 años (Mujeres) con con antecedentes ECV con tto. Acido Acetilsalicílico no debe ser mayor al Total Población con Antecedentes de IAM y ECV de Sección A. ")</f>
        <v>#VALUE!</v>
      </c>
      <c r="BK39" s="465" t="e">
        <f>IF($I$39&lt;=$I$20+$I$21,"","* Pacientes 20 a 24 años (Hombres) con con antecedentes ECV con tto. Acido Acetilsalicílico no debe ser mayor al Total Población con Antecedentes de IAM y ECV de Sección A. ")</f>
        <v>#VALUE!</v>
      </c>
      <c r="BL39" s="465" t="e">
        <f>IF($J$39&lt;=$J$20+$J$21,"","* Pacientes 20 a 24 años (Mujeres) con con antecedentes ECV con tto. Acido Acetilsalicílico no debe ser mayor al Total Población con Antecedentes de IAM y ECV de Sección A. ")</f>
        <v>#VALUE!</v>
      </c>
      <c r="BM39" s="465" t="e">
        <f>IF($K$39&lt;=$K$20+$K$21,"","* Pacientes 25 a 29 años (Hombres) con con antecedentes ECV con tto. Acido Acetilsalicílico no debe ser mayor al Total Población con Antecedentes de IAM y ECV de Sección A. ")</f>
        <v>#VALUE!</v>
      </c>
      <c r="BN39" s="465" t="e">
        <f>IF($L$39&lt;=$L$20+$L$21,"","* Pacientes 25 a 29 años (Mujeres) con con antecedentes ECV con tto. Acido Acetilsalicílico no debe ser mayor al Total Población con Antecedentes de IAM y ECV de Sección A. ")</f>
        <v>#VALUE!</v>
      </c>
      <c r="BO39" s="465" t="e">
        <f>IF($M$39&lt;=$M$20+$M$21,"","* Pacientes 30 a 34 años (Hombres) con con antecedentes ECV con tto. Acido Acetilsalicílico no debe ser mayor al Total Población con Antecedentes de IAM y ECV de Sección A. ")</f>
        <v>#VALUE!</v>
      </c>
      <c r="BP39" s="465" t="e">
        <f>IF($N$39&lt;=$N$20+$N$21,"","* Pacientes 30 a 34 años (Mujeres) con con antecedentes ECV con tto. Acido Acetilsalicílico no debe ser mayor al Total Población con Antecedentes de IAM y ECV de Sección A. ")</f>
        <v>#VALUE!</v>
      </c>
      <c r="BQ39" s="465" t="e">
        <f>IF($O$39&lt;=$O$20+$O$21,"","* Pacientes 35 a 39 años (Hombres) con con antecedentes ECV con tto. Acido Acetilsalicílico no debe ser mayor al Total Población con Antecedentes de IAM y ECV de Sección A. ")</f>
        <v>#VALUE!</v>
      </c>
      <c r="BR39" s="465" t="e">
        <f>IF($P$39&lt;=$P$20+$P$21,"","* Pacientes 35 a 39 años (Mujeres) con con antecedentes ECV con tto. Acido Acetilsalicílico no debe ser mayor al Total Población con Antecedentes de IAM y ECV de Sección A. ")</f>
        <v>#VALUE!</v>
      </c>
      <c r="BS39" s="465" t="e">
        <f>IF($Q$39&lt;=$Q$20+$Q$21,"","* Pacientes 40 a 44 años (Hombres) con con antecedentes ECV con tto. Acido Acetilsalicílico no debe ser mayor al Total Población con Antecedentes de IAM y ECV de Sección A. ")</f>
        <v>#VALUE!</v>
      </c>
      <c r="BT39" s="465" t="e">
        <f>IF($R$39&lt;=$R$20+$R$21,"","* Pacientes 40 a 44 años (Mujeres) con con antecedentes ECV con tto. Acido Acetilsalicílico no debe ser mayor al Total Población con Antecedentes de IAM y ECV de Sección A. ")</f>
        <v>#VALUE!</v>
      </c>
      <c r="BU39" s="465" t="e">
        <f>IF($S$39&lt;=$S$20+$S$21,"","* Pacientes 45 a 49 años (Hombres) con con antecedentes ECV con tto. Acido Acetilsalicílico no debe ser mayor al Total Población con Antecedentes de IAM y ECV de Sección A. ")</f>
        <v>#VALUE!</v>
      </c>
      <c r="BV39" s="465" t="e">
        <f>IF($T$39&lt;=$T$20+$T$21,"","* Pacientes 45 a 49 años (Mujeres) con con antecedentes ECV con tto. Acido Acetilsalicílico no debe ser mayor al Total Población con Antecedentes de IAM y ECV de Sección A. ")</f>
        <v>#VALUE!</v>
      </c>
      <c r="BW39" s="465" t="e">
        <f>IF($U$39&lt;=$U$20+$U$21,"","* Pacientes 50 a 54 años (Hombres) con con antecedentes ECV con tto. Acido Acetilsalicílico no debe ser mayor al Total Población con Antecedentes de IAM y ECV de Sección A. ")</f>
        <v>#VALUE!</v>
      </c>
      <c r="BX39" s="465" t="e">
        <f>IF($V$39&lt;=$V$20+$V$21,"","* Pacientes 50 a 54 años (Mujeres) con con antecedentes ECV con tto. Acido Acetilsalicílico no debe ser mayor al Total Población con Antecedentes de IAM y ECV de Sección A. ")</f>
        <v>#VALUE!</v>
      </c>
      <c r="BY39" s="465" t="e">
        <f>IF($W$39&lt;=$W$20+$W$21,"","* Pacientes 55 a 59 años (Hombres) con con antecedentes ECV con tto. Acido Acetilsalicílico no debe ser mayor al Total Población con Antecedentes de IAM y ECV de Sección A. ")</f>
        <v>#VALUE!</v>
      </c>
      <c r="BZ39" s="465" t="e">
        <f>IF($X$39&lt;=$X$20+$X$21,"","* Pacientes 55 a 59 años (Mujeres) con con antecedentes ECV con tto. Acido Acetilsalicílico no debe ser mayor al Total Población con Antecedentes de IAM y ECV de Sección A. ")</f>
        <v>#VALUE!</v>
      </c>
      <c r="CA39" s="465" t="e">
        <f>IF($Y$39&lt;=$Y$20+$Y$21,"","* Pacientes 60 a 64 años (Hombres) con con antecedentes ECV con tto. Acido Acetilsalicílico no debe ser mayor al Total Población con Antecedentes de IAM y ECV de Sección A. ")</f>
        <v>#VALUE!</v>
      </c>
      <c r="CB39" s="465" t="e">
        <f>IF($Z$39&lt;=$Z$20+$Z$21,"","* Pacientes 60 a 64 años (Mujeres) con con antecedentes ECV con tto. Acido Acetilsalicílico no debe ser mayor al Total Población con Antecedentes de IAM y ECV de Sección A. ")</f>
        <v>#VALUE!</v>
      </c>
      <c r="CC39" s="465" t="e">
        <f>IF($AA$39&lt;=$AA$20+$AA$21,"","* Pacientes 65 a 69 años (Hombres) con con antecedentes ECV con tto. Acido Acetilsalicílico no debe ser mayor al Total Población con Antecedentes de IAM y ECV de Sección A. ")</f>
        <v>#VALUE!</v>
      </c>
      <c r="CD39" s="465" t="e">
        <f>IF($AB$39&lt;=$AB$20+$AB$21,"","* Pacientes 65 a 69 años (Mujeres) con con antecedentes ECV con tto. Acido Acetilsalicílico no debe ser mayor al Total Población con Antecedentes de IAM y ECV de Sección A. ")</f>
        <v>#VALUE!</v>
      </c>
      <c r="CE39" s="465" t="e">
        <f>IF($AC$39&lt;=$AC$20+$AC$21,"","* Pacientes 70 a 74 años (Hombres) con con antecedentes ECV con tto. Acido Acetilsalicílico no debe ser mayor al Total Población con Antecedentes de IAM y ECV de Sección A. ")</f>
        <v>#VALUE!</v>
      </c>
      <c r="CF39" s="465" t="e">
        <f>IF($AD$39&lt;=$AD$20+$AD$21,"","* Pacientes 70 a 74 años (Mujeres) con con antecedentes ECV con tto. Acido Acetilsalicílico no debe ser mayor al Total Población con Antecedentes de IAM y ECV de Sección A. ")</f>
        <v>#VALUE!</v>
      </c>
      <c r="CG39" s="465" t="e">
        <f>IF($AE$39&lt;=$AE$20+$AE$21,"","* Pacientes 75 a 79 años (Hombres) con con antecedentes ECV con tto. Acido Acetilsalicílico no debe ser mayor al Total Población con Antecedentes de IAM y ECV de Sección A. ")</f>
        <v>#VALUE!</v>
      </c>
      <c r="CH39" s="465" t="e">
        <f>IF($AF$39&lt;=$AF$20+$AF$21,"","* Pacientes 75 a 79 años (Mujeres) con con antecedentes ECV con tto. Acido Acetilsalicílico no debe ser mayor al Total Población con Antecedentes de IAM y ECV de Sección A. ")</f>
        <v>#VALUE!</v>
      </c>
      <c r="CI39" s="465" t="e">
        <f>IF($AG$39&lt;=$AG$20+$AG$21,"","* Pacientes 80 y más años (Hombres) con con antecedentes ECV con tto. Acido Acetilsalicílico no debe ser mayor al Total Población con Antecedentes de IAM y ECV de Sección A. ")</f>
        <v>#VALUE!</v>
      </c>
      <c r="CJ39" s="465" t="e">
        <f>IF($AH$39&lt;=$AH$20+$AH$21,"","* Pacientes 80 y más años (Mujeres) con con antecedentes ECV con tto. Acido Acetilsalicílico no debe ser mayor al Total Población con Antecedentes de IAM y ECV de Sección A. ")</f>
        <v>#VALUE!</v>
      </c>
      <c r="CM39" s="486">
        <f t="shared" si="22"/>
        <v>0</v>
      </c>
      <c r="CN39" s="486">
        <f t="shared" si="23"/>
        <v>0</v>
      </c>
      <c r="CO39" s="486">
        <f>IF($E$39&gt;=$AI$39,0,1)</f>
        <v>1</v>
      </c>
      <c r="CP39" s="486">
        <f>IF($F$39&gt;=$AJ$39,0,1)</f>
        <v>1</v>
      </c>
      <c r="CQ39" s="486">
        <f t="shared" si="20"/>
        <v>1</v>
      </c>
      <c r="CR39" s="486">
        <f>IF($F39&gt;=$AK39,0,1)</f>
        <v>1</v>
      </c>
      <c r="CS39" s="486" t="e">
        <f t="shared" ref="CS39:DT39" si="27">IF(G$39&lt;=G$20+G$21,0,1)</f>
        <v>#VALUE!</v>
      </c>
      <c r="CT39" s="486" t="e">
        <f t="shared" si="27"/>
        <v>#VALUE!</v>
      </c>
      <c r="CU39" s="486" t="e">
        <f t="shared" si="27"/>
        <v>#VALUE!</v>
      </c>
      <c r="CV39" s="486" t="e">
        <f t="shared" si="27"/>
        <v>#VALUE!</v>
      </c>
      <c r="CW39" s="486" t="e">
        <f t="shared" si="27"/>
        <v>#VALUE!</v>
      </c>
      <c r="CX39" s="486" t="e">
        <f t="shared" si="27"/>
        <v>#VALUE!</v>
      </c>
      <c r="CY39" s="486" t="e">
        <f t="shared" si="27"/>
        <v>#VALUE!</v>
      </c>
      <c r="CZ39" s="486" t="e">
        <f t="shared" si="27"/>
        <v>#VALUE!</v>
      </c>
      <c r="DA39" s="486" t="e">
        <f t="shared" si="27"/>
        <v>#VALUE!</v>
      </c>
      <c r="DB39" s="486" t="e">
        <f t="shared" si="27"/>
        <v>#VALUE!</v>
      </c>
      <c r="DC39" s="486" t="e">
        <f t="shared" si="27"/>
        <v>#VALUE!</v>
      </c>
      <c r="DD39" s="486" t="e">
        <f t="shared" si="27"/>
        <v>#VALUE!</v>
      </c>
      <c r="DE39" s="486" t="e">
        <f t="shared" si="27"/>
        <v>#VALUE!</v>
      </c>
      <c r="DF39" s="486" t="e">
        <f t="shared" si="27"/>
        <v>#VALUE!</v>
      </c>
      <c r="DG39" s="486" t="e">
        <f t="shared" si="27"/>
        <v>#VALUE!</v>
      </c>
      <c r="DH39" s="486" t="e">
        <f t="shared" si="27"/>
        <v>#VALUE!</v>
      </c>
      <c r="DI39" s="486" t="e">
        <f t="shared" si="27"/>
        <v>#VALUE!</v>
      </c>
      <c r="DJ39" s="486" t="e">
        <f t="shared" si="27"/>
        <v>#VALUE!</v>
      </c>
      <c r="DK39" s="486" t="e">
        <f t="shared" si="27"/>
        <v>#VALUE!</v>
      </c>
      <c r="DL39" s="486" t="e">
        <f t="shared" si="27"/>
        <v>#VALUE!</v>
      </c>
      <c r="DM39" s="486" t="e">
        <f t="shared" si="27"/>
        <v>#VALUE!</v>
      </c>
      <c r="DN39" s="486" t="e">
        <f t="shared" si="27"/>
        <v>#VALUE!</v>
      </c>
      <c r="DO39" s="486" t="e">
        <f t="shared" si="27"/>
        <v>#VALUE!</v>
      </c>
      <c r="DP39" s="486" t="e">
        <f t="shared" si="27"/>
        <v>#VALUE!</v>
      </c>
      <c r="DQ39" s="486" t="e">
        <f t="shared" si="27"/>
        <v>#VALUE!</v>
      </c>
      <c r="DR39" s="486" t="e">
        <f t="shared" si="27"/>
        <v>#VALUE!</v>
      </c>
      <c r="DS39" s="486" t="e">
        <f t="shared" si="27"/>
        <v>#VALUE!</v>
      </c>
      <c r="DT39" s="486" t="e">
        <f t="shared" si="27"/>
        <v>#VALUE!</v>
      </c>
    </row>
    <row r="40" spans="1:124" ht="23.25" customHeight="1" x14ac:dyDescent="0.2">
      <c r="A40" s="1775" t="s">
        <v>1349</v>
      </c>
      <c r="B40" s="2224"/>
      <c r="C40" s="438" t="s">
        <v>193</v>
      </c>
      <c r="D40" s="941" t="s">
        <v>1384</v>
      </c>
      <c r="E40" s="942" t="s">
        <v>1385</v>
      </c>
      <c r="F40" s="1031" t="s">
        <v>1386</v>
      </c>
      <c r="G40" s="962" t="s">
        <v>1387</v>
      </c>
      <c r="H40" s="963" t="s">
        <v>1388</v>
      </c>
      <c r="I40" s="962" t="s">
        <v>1389</v>
      </c>
      <c r="J40" s="963" t="s">
        <v>1390</v>
      </c>
      <c r="K40" s="962" t="s">
        <v>1391</v>
      </c>
      <c r="L40" s="963" t="s">
        <v>1392</v>
      </c>
      <c r="M40" s="962" t="s">
        <v>1393</v>
      </c>
      <c r="N40" s="963" t="s">
        <v>1394</v>
      </c>
      <c r="O40" s="962" t="s">
        <v>1395</v>
      </c>
      <c r="P40" s="963" t="s">
        <v>1396</v>
      </c>
      <c r="Q40" s="962" t="s">
        <v>1397</v>
      </c>
      <c r="R40" s="963" t="s">
        <v>1398</v>
      </c>
      <c r="S40" s="962" t="s">
        <v>1399</v>
      </c>
      <c r="T40" s="963" t="s">
        <v>1400</v>
      </c>
      <c r="U40" s="962" t="s">
        <v>1401</v>
      </c>
      <c r="V40" s="963" t="s">
        <v>1402</v>
      </c>
      <c r="W40" s="962" t="s">
        <v>1403</v>
      </c>
      <c r="X40" s="963" t="s">
        <v>1404</v>
      </c>
      <c r="Y40" s="962" t="s">
        <v>1405</v>
      </c>
      <c r="Z40" s="963" t="s">
        <v>1406</v>
      </c>
      <c r="AA40" s="962" t="s">
        <v>1407</v>
      </c>
      <c r="AB40" s="963" t="s">
        <v>1408</v>
      </c>
      <c r="AC40" s="962" t="s">
        <v>1409</v>
      </c>
      <c r="AD40" s="963" t="s">
        <v>1410</v>
      </c>
      <c r="AE40" s="962" t="s">
        <v>1411</v>
      </c>
      <c r="AF40" s="963" t="s">
        <v>1412</v>
      </c>
      <c r="AG40" s="1041" t="s">
        <v>1413</v>
      </c>
      <c r="AH40" s="1050" t="s">
        <v>1414</v>
      </c>
      <c r="AI40" s="976" t="s">
        <v>1415</v>
      </c>
      <c r="AJ40" s="963" t="s">
        <v>1416</v>
      </c>
      <c r="AK40" s="1041" t="s">
        <v>1417</v>
      </c>
      <c r="AL40" s="963" t="s">
        <v>1418</v>
      </c>
      <c r="AM40" s="410" t="e">
        <f xml:space="preserve"> BE40 &amp; BF40 &amp; BI40 &amp; BJ40 &amp; BK40 &amp; BL40 &amp; BM40 &amp; BN40 &amp; BO40 &amp; BP40 &amp; BQ40 &amp; BR40 &amp; BS40 &amp; BT40 &amp; BU40 &amp; BV40 &amp; BW40 &amp; BX40 &amp; BY40 &amp; BZ40 &amp; CA40 &amp; CB40 &amp; CC40 &amp; CD40 &amp; CE40 &amp; CF40 &amp; CG40 &amp; CI40 &amp; CJ40 &amp; CH40 &amp; BH40 &amp; BG40 &amp; BC40 &amp; BD40</f>
        <v>#VALUE!</v>
      </c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474"/>
      <c r="BC40" s="465" t="str">
        <f t="shared" si="16"/>
        <v/>
      </c>
      <c r="BD40" s="490" t="str">
        <f t="shared" si="17"/>
        <v/>
      </c>
      <c r="BE40" s="465" t="str">
        <f>IF($E$40&gt;=$AI$40,"","* Pueblos Originarios-Hombres no debe ser mayor al Total de personas Hombres. ")</f>
        <v xml:space="preserve">* Pueblos Originarios-Hombres no debe ser mayor al Total de personas Hombres. </v>
      </c>
      <c r="BF40" s="465" t="str">
        <f>IF($F$40&gt;=$AJ$40,"","* Pueblos Originarios-Mujeres no debe ser mayor al Total de personas Mujeres. ")</f>
        <v xml:space="preserve">* Pueblos Originarios-Mujeres no debe ser mayor al Total de personas Mujeres. </v>
      </c>
      <c r="BG40" s="465" t="str">
        <f t="shared" si="18"/>
        <v xml:space="preserve">* Población Migrantes-Hombres no debe ser mayor al Total de personas Hombres. </v>
      </c>
      <c r="BH40" s="465" t="str">
        <f t="shared" si="19"/>
        <v xml:space="preserve">* Pueblos Originarios-Mujeres no debe ser mayor al Total de personas Mujeres. </v>
      </c>
      <c r="BI40" s="465" t="e">
        <f>IF($G$40&lt;=$G$20+$G$21,"","* Pacientes 15 a 19 años (Hombres) con con antecedentes ECV con Estatina no debe ser mayor al Total Población con Antecedentes de IAM y ECV de Sección A. ")</f>
        <v>#VALUE!</v>
      </c>
      <c r="BJ40" s="465" t="e">
        <f>IF($H$40&lt;=$H$20+$H$21,"","* Pacientes 15 a 19 años (Mujeres) con con antecedentes ECV con Estatina no debe ser mayor al Total Población con Antecedentes de IAM y ECV de Sección A. ")</f>
        <v>#VALUE!</v>
      </c>
      <c r="BK40" s="465" t="e">
        <f>IF($I$40&lt;=$I$20+$I$21,"","* Pacientes 20 a 24 años (Hombres) con con antecedentes ECV con Estatina no debe ser mayor al Total Población con Antecedentes de IAM y ECV de Sección A. ")</f>
        <v>#VALUE!</v>
      </c>
      <c r="BL40" s="465" t="e">
        <f>IF($J$40&lt;=$J$20+$J$21,"","* Pacientes 20 a 24 años (Mujeres) con con antecedentes ECV con Estatina no debe ser mayor al Total Población con Antecedentes de IAM y ECV de Sección A. ")</f>
        <v>#VALUE!</v>
      </c>
      <c r="BM40" s="465" t="e">
        <f>IF($K$40&lt;=$K$20+$K$21,"","* Pacientes 25 a 29 años (Hombres) con con antecedentes ECV con Estatina no debe ser mayor al Total Población con Antecedentes de IAM y ECV de Sección A. ")</f>
        <v>#VALUE!</v>
      </c>
      <c r="BN40" s="465" t="e">
        <f>IF($L$40&lt;=$L$20+$L$21,"","* Pacientes 25 a 29 años (Mujeres) con con antecedentes ECV con Estatina no debe ser mayor al Total Población con Antecedentes de IAM y ECV de Sección A. ")</f>
        <v>#VALUE!</v>
      </c>
      <c r="BO40" s="465" t="e">
        <f>IF($M$40&lt;=$M$20+$M$21,"","* Pacientes 30 a 34 años (Hombres) con con antecedentes ECV con Estatina no debe ser mayor al Total Población con Antecedentes de IAM y ECV de Sección A. ")</f>
        <v>#VALUE!</v>
      </c>
      <c r="BP40" s="465" t="e">
        <f>IF($N$40&lt;=$N$20+$N$21,"","* Pacientes 30 a 34 años (Mujeres) con con antecedentes ECV con Estatina no debe ser mayor al Total Población con Antecedentes de IAM y ECV de Sección A. ")</f>
        <v>#VALUE!</v>
      </c>
      <c r="BQ40" s="465" t="e">
        <f>IF($O$40&lt;=$O$20+$O$21,"","* Pacientes 35 a 39 años (Hombres) con con antecedentes ECV con Estatina no debe ser mayor al Total Población con Antecedentes de IAM y ECV de Sección A. ")</f>
        <v>#VALUE!</v>
      </c>
      <c r="BR40" s="465" t="e">
        <f>IF($P$40&lt;=$P$20+$P$21,"","* Pacientes 35 a 39 años (Mujeres) con con antecedentes ECV con Estatina no debe ser mayor al Total Población con Antecedentes de IAM y ECV de Sección A. ")</f>
        <v>#VALUE!</v>
      </c>
      <c r="BS40" s="465" t="e">
        <f>IF($Q$40&lt;=$Q$20+$Q$21,"","* Pacientes 40 a 44 años (Hombres) con con antecedentes ECV con Estatina no debe ser mayor al Total Población con Antecedentes de IAM y ECV de Sección A. ")</f>
        <v>#VALUE!</v>
      </c>
      <c r="BT40" s="465" t="e">
        <f>IF($R$40&lt;=$R$20+$R$21,"","* Pacientes 40 a 44 años (Mujeres) con con antecedentes ECV con Estatina no debe ser mayor al Total Población con Antecedentes de IAM y ECV de Sección A. ")</f>
        <v>#VALUE!</v>
      </c>
      <c r="BU40" s="465" t="e">
        <f>IF($S$40&lt;=$S$20+$S$21,"","* Pacientes 45 a 49 años (Hombres) con con antecedentes ECV con Estatina no debe ser mayor al Total Población con Antecedentes de IAM y ECV de Sección A. ")</f>
        <v>#VALUE!</v>
      </c>
      <c r="BV40" s="465" t="e">
        <f>IF($T$40&lt;=$T$20+$T$21,"","* Pacientes 45 a 49 años (Mujeres) con con antecedentes ECV con Estatina no debe ser mayor al Total Población con Antecedentes de IAM y ECV de Sección A. ")</f>
        <v>#VALUE!</v>
      </c>
      <c r="BW40" s="465" t="e">
        <f>IF($U$40&lt;=$U$20+$U$21,"","* Pacientes 50 a 54 años (Hombres) con con antecedentes ECV con Estatina no debe ser mayor al Total Población con Antecedentes de IAM y ECV de Sección A. ")</f>
        <v>#VALUE!</v>
      </c>
      <c r="BX40" s="465" t="e">
        <f>IF($V$40&lt;=$V$20+$V$21,"","* Pacientes 50 a 54 años (Mujeres) con con antecedentes ECV con Estatina no debe ser mayor al Total Población con Antecedentes de IAM y ECV de Sección A. ")</f>
        <v>#VALUE!</v>
      </c>
      <c r="BY40" s="465" t="e">
        <f>IF($W$40&lt;=$W$20+$W$21,"","* Pacientes 55 a 59 años (Hombres) con con antecedentes ECV con Estatina no debe ser mayor al Total Población con Antecedentes de IAM y ECV de Sección A. ")</f>
        <v>#VALUE!</v>
      </c>
      <c r="BZ40" s="465" t="e">
        <f>IF($X$40&lt;=$X$20+$X$21,"","* Pacientes 55 a 59 años (Mujeres) con con antecedentes ECV con Estatina no debe ser mayor al Total Población con Antecedentes de IAM y ECV de Sección A. ")</f>
        <v>#VALUE!</v>
      </c>
      <c r="CA40" s="465" t="e">
        <f>IF($Y$40&lt;=$Y$20+$Y$21,"","* Pacientes 60 a 64 años (Hombres) con con antecedentes ECV con Estatina no debe ser mayor al Total Población con Antecedentes de IAM y ECV de Sección A. ")</f>
        <v>#VALUE!</v>
      </c>
      <c r="CB40" s="465" t="e">
        <f>IF($Z$40&lt;=$Z$20+$Z$21,"","* Pacientes 60 a 64 años (Mujeres) con con antecedentes ECV con Estatina no debe ser mayor al Total Población con Antecedentes de IAM y ECV de Sección A. ")</f>
        <v>#VALUE!</v>
      </c>
      <c r="CC40" s="465" t="e">
        <f>IF($AA$40&lt;=$AA$20+$AA$21,"","* Pacientes 65 a 69 años (Hombres) con con antecedentes ECV con Estatina no debe ser mayor al Total Población con Antecedentes de IAM y ECV de Sección A. ")</f>
        <v>#VALUE!</v>
      </c>
      <c r="CD40" s="465" t="e">
        <f>IF($AB$40&lt;=$AB$20+$AB$21,"","* Pacientes 65 a 69 años (Mujeres) con con antecedentes ECV con Estatina no debe ser mayor al Total Población con Antecedentes de IAM y ECV de Sección A. ")</f>
        <v>#VALUE!</v>
      </c>
      <c r="CE40" s="465" t="e">
        <f>IF($AC$40&lt;=$AC$20+$AC$21,"","* Pacientes 70 a 74 años (Hombres) con con antecedentes ECV con Estatina no debe ser mayor al Total Población con Antecedentes de IAM y ECV de Sección A. ")</f>
        <v>#VALUE!</v>
      </c>
      <c r="CF40" s="465" t="e">
        <f>IF($AD$40&lt;=$AD$20+$AD$21,"","* Pacientes 70 a 74 años (Mujeres) con con antecedentes ECV con Estatina no debe ser mayor al Total Población con Antecedentes de IAM y ECV de Sección A. ")</f>
        <v>#VALUE!</v>
      </c>
      <c r="CG40" s="465" t="e">
        <f>IF($AE$40&lt;=$AE$20+$AE$21,"","* Pacientes 75 a 79 años (Hombres) con con antecedentes ECV con Estatina no debe ser mayor al Total Población con Antecedentes de IAM y ECV de Sección A. ")</f>
        <v>#VALUE!</v>
      </c>
      <c r="CH40" s="465" t="e">
        <f>IF($AF$40&lt;=$AF$20+$AF$21,"","* Pacientes 75 a 79 años (Mujeres) con con antecedentes ECV con Estatina no debe ser mayor al Total Población con Antecedentes de IAM y ECV de Sección A. ")</f>
        <v>#VALUE!</v>
      </c>
      <c r="CI40" s="465" t="e">
        <f>IF($AG$40&lt;=$AG$20+$AG$21,"","* Pacientes 80 y más años (Hombres) con con antecedentes ECV con Estatina no debe ser mayor al Total Población con Antecedentes de IAM y ECV de Sección A. ")</f>
        <v>#VALUE!</v>
      </c>
      <c r="CJ40" s="465" t="e">
        <f>IF($AH$40&lt;=$AH$20+$AH$21,"","* Pacientes 80 y más años (Mujeres) con con antecedentes ECV con Estatina no debe ser mayor al Total Población con Antecedentes de IAM y ECV de Sección A. ")</f>
        <v>#VALUE!</v>
      </c>
      <c r="CM40" s="486">
        <f t="shared" si="22"/>
        <v>0</v>
      </c>
      <c r="CN40" s="486">
        <f t="shared" si="23"/>
        <v>0</v>
      </c>
      <c r="CO40" s="486">
        <f>IF($E$40&gt;=$AI$40,0,1)</f>
        <v>1</v>
      </c>
      <c r="CP40" s="486">
        <f>IF($F$40&gt;=$AJ$40,0,1)</f>
        <v>1</v>
      </c>
      <c r="CQ40" s="486">
        <f t="shared" si="20"/>
        <v>1</v>
      </c>
      <c r="CR40" s="486">
        <f>IF($F40&gt;=$AK40,0,1)</f>
        <v>1</v>
      </c>
      <c r="CS40" s="486" t="e">
        <f t="shared" ref="CS40:DT40" si="28">IF(G$40&lt;=G$20+G$21,0,1)</f>
        <v>#VALUE!</v>
      </c>
      <c r="CT40" s="486" t="e">
        <f t="shared" si="28"/>
        <v>#VALUE!</v>
      </c>
      <c r="CU40" s="486" t="e">
        <f t="shared" si="28"/>
        <v>#VALUE!</v>
      </c>
      <c r="CV40" s="486" t="e">
        <f t="shared" si="28"/>
        <v>#VALUE!</v>
      </c>
      <c r="CW40" s="486" t="e">
        <f t="shared" si="28"/>
        <v>#VALUE!</v>
      </c>
      <c r="CX40" s="486" t="e">
        <f t="shared" si="28"/>
        <v>#VALUE!</v>
      </c>
      <c r="CY40" s="486" t="e">
        <f t="shared" si="28"/>
        <v>#VALUE!</v>
      </c>
      <c r="CZ40" s="486" t="e">
        <f t="shared" si="28"/>
        <v>#VALUE!</v>
      </c>
      <c r="DA40" s="486" t="e">
        <f t="shared" si="28"/>
        <v>#VALUE!</v>
      </c>
      <c r="DB40" s="486" t="e">
        <f t="shared" si="28"/>
        <v>#VALUE!</v>
      </c>
      <c r="DC40" s="486" t="e">
        <f t="shared" si="28"/>
        <v>#VALUE!</v>
      </c>
      <c r="DD40" s="486" t="e">
        <f t="shared" si="28"/>
        <v>#VALUE!</v>
      </c>
      <c r="DE40" s="486" t="e">
        <f t="shared" si="28"/>
        <v>#VALUE!</v>
      </c>
      <c r="DF40" s="486" t="e">
        <f t="shared" si="28"/>
        <v>#VALUE!</v>
      </c>
      <c r="DG40" s="486" t="e">
        <f t="shared" si="28"/>
        <v>#VALUE!</v>
      </c>
      <c r="DH40" s="486" t="e">
        <f t="shared" si="28"/>
        <v>#VALUE!</v>
      </c>
      <c r="DI40" s="486" t="e">
        <f t="shared" si="28"/>
        <v>#VALUE!</v>
      </c>
      <c r="DJ40" s="486" t="e">
        <f t="shared" si="28"/>
        <v>#VALUE!</v>
      </c>
      <c r="DK40" s="486" t="e">
        <f t="shared" si="28"/>
        <v>#VALUE!</v>
      </c>
      <c r="DL40" s="486" t="e">
        <f t="shared" si="28"/>
        <v>#VALUE!</v>
      </c>
      <c r="DM40" s="486" t="e">
        <f t="shared" si="28"/>
        <v>#VALUE!</v>
      </c>
      <c r="DN40" s="486" t="e">
        <f t="shared" si="28"/>
        <v>#VALUE!</v>
      </c>
      <c r="DO40" s="486" t="e">
        <f t="shared" si="28"/>
        <v>#VALUE!</v>
      </c>
      <c r="DP40" s="486" t="e">
        <f t="shared" si="28"/>
        <v>#VALUE!</v>
      </c>
      <c r="DQ40" s="486" t="e">
        <f t="shared" si="28"/>
        <v>#VALUE!</v>
      </c>
      <c r="DR40" s="486" t="e">
        <f t="shared" si="28"/>
        <v>#VALUE!</v>
      </c>
      <c r="DS40" s="486" t="e">
        <f t="shared" si="28"/>
        <v>#VALUE!</v>
      </c>
      <c r="DT40" s="486" t="e">
        <f t="shared" si="28"/>
        <v>#VALUE!</v>
      </c>
    </row>
    <row r="41" spans="1:124" ht="43.5" customHeight="1" x14ac:dyDescent="0.2">
      <c r="B41" s="1377" t="s">
        <v>194</v>
      </c>
      <c r="C41" s="1378"/>
      <c r="D41" s="1379"/>
      <c r="E41" s="173"/>
      <c r="F41" s="173"/>
      <c r="G41" s="173"/>
      <c r="H41" s="173"/>
      <c r="I41" s="173"/>
      <c r="J41" s="173"/>
      <c r="K41" s="173"/>
      <c r="L41" s="173"/>
      <c r="M41" s="173"/>
      <c r="N41" s="173"/>
      <c r="O41" s="173"/>
      <c r="P41" s="173"/>
      <c r="Q41" s="173"/>
      <c r="R41" s="173"/>
      <c r="AA41" s="215"/>
      <c r="AB41" s="215"/>
      <c r="AC41" s="215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474"/>
      <c r="BC41" s="474"/>
      <c r="CM41" s="470"/>
      <c r="CN41" s="470"/>
      <c r="CO41" s="470"/>
      <c r="CP41" s="470"/>
      <c r="CQ41" s="470"/>
      <c r="CR41" s="470"/>
      <c r="CS41" s="470"/>
      <c r="CT41" s="470"/>
      <c r="CU41" s="470"/>
      <c r="CV41" s="470"/>
      <c r="CW41" s="470"/>
      <c r="CX41" s="470"/>
      <c r="CY41" s="470"/>
      <c r="CZ41" s="470"/>
      <c r="DA41" s="470"/>
      <c r="DB41" s="470"/>
      <c r="DC41" s="470"/>
      <c r="DD41" s="470"/>
      <c r="DE41" s="470"/>
      <c r="DF41" s="470"/>
      <c r="DG41" s="470"/>
      <c r="DH41" s="470"/>
      <c r="DI41" s="470"/>
      <c r="DJ41" s="470"/>
      <c r="DK41" s="470"/>
      <c r="DL41" s="470"/>
      <c r="DM41" s="470"/>
      <c r="DN41" s="470"/>
      <c r="DO41" s="470"/>
      <c r="DP41" s="470"/>
      <c r="DQ41" s="470"/>
      <c r="DR41" s="470"/>
      <c r="DS41" s="470"/>
      <c r="DT41" s="470"/>
    </row>
    <row r="42" spans="1:124" ht="20.25" customHeight="1" x14ac:dyDescent="0.15">
      <c r="B42" s="2189" t="s">
        <v>195</v>
      </c>
      <c r="C42" s="2190"/>
      <c r="D42" s="2209" t="s">
        <v>222</v>
      </c>
      <c r="E42" s="2210"/>
      <c r="F42" s="2211"/>
      <c r="G42" s="2103" t="s">
        <v>142</v>
      </c>
      <c r="H42" s="2215"/>
      <c r="I42" s="2215"/>
      <c r="J42" s="2215"/>
      <c r="K42" s="2215"/>
      <c r="L42" s="2215"/>
      <c r="M42" s="2215"/>
      <c r="N42" s="2215"/>
      <c r="O42" s="2215"/>
      <c r="P42" s="2215"/>
      <c r="Q42" s="2215"/>
      <c r="R42" s="2215"/>
      <c r="S42" s="2215"/>
      <c r="T42" s="2215"/>
      <c r="U42" s="2215"/>
      <c r="V42" s="2215"/>
      <c r="W42" s="2215"/>
      <c r="X42" s="2215"/>
      <c r="Y42" s="2215"/>
      <c r="Z42" s="2215"/>
      <c r="AA42" s="2215"/>
      <c r="AB42" s="2215"/>
      <c r="AC42" s="2215"/>
      <c r="AD42" s="2215"/>
      <c r="AE42" s="2215"/>
      <c r="AF42" s="2215"/>
      <c r="AG42" s="2215"/>
      <c r="AH42" s="2216"/>
      <c r="AI42" s="2196" t="s">
        <v>17</v>
      </c>
      <c r="AJ42" s="2197"/>
      <c r="AK42" s="2200" t="s">
        <v>527</v>
      </c>
      <c r="AL42" s="2197"/>
      <c r="AX42" s="406"/>
      <c r="AY42" s="406"/>
      <c r="AZ42" s="474"/>
      <c r="BA42" s="474"/>
      <c r="BB42" s="474"/>
      <c r="BC42" s="474"/>
      <c r="CI42" s="470"/>
      <c r="CJ42" s="470"/>
      <c r="CK42" s="470"/>
      <c r="CL42" s="470"/>
      <c r="CM42" s="470"/>
      <c r="CN42" s="470"/>
      <c r="CO42" s="470"/>
      <c r="CP42" s="470"/>
      <c r="CQ42" s="470"/>
      <c r="CR42" s="470"/>
      <c r="CS42" s="470"/>
      <c r="CT42" s="470"/>
      <c r="CU42" s="470"/>
      <c r="CV42" s="470"/>
      <c r="CW42" s="470"/>
      <c r="CX42" s="470"/>
      <c r="CY42" s="470"/>
      <c r="CZ42" s="470"/>
      <c r="DA42" s="470"/>
      <c r="DB42" s="470"/>
      <c r="DC42" s="470"/>
      <c r="DD42" s="470"/>
      <c r="DE42" s="470"/>
      <c r="DF42" s="470"/>
      <c r="DG42" s="470"/>
      <c r="DH42" s="470"/>
      <c r="DI42" s="470"/>
      <c r="DJ42" s="470"/>
      <c r="DK42" s="470"/>
      <c r="DL42" s="470"/>
      <c r="DM42" s="470"/>
      <c r="DN42" s="470"/>
      <c r="DO42" s="470"/>
      <c r="DP42" s="470"/>
      <c r="DQ42" s="216"/>
      <c r="DR42" s="216"/>
      <c r="DS42" s="216"/>
      <c r="DT42" s="216"/>
    </row>
    <row r="43" spans="1:124" ht="18.75" customHeight="1" x14ac:dyDescent="0.15">
      <c r="B43" s="2191"/>
      <c r="C43" s="2192"/>
      <c r="D43" s="2212"/>
      <c r="E43" s="2213"/>
      <c r="F43" s="2214"/>
      <c r="G43" s="2217" t="s">
        <v>19</v>
      </c>
      <c r="H43" s="2218"/>
      <c r="I43" s="2207" t="s">
        <v>20</v>
      </c>
      <c r="J43" s="2219"/>
      <c r="K43" s="2084" t="s">
        <v>21</v>
      </c>
      <c r="L43" s="2084"/>
      <c r="M43" s="2085" t="s">
        <v>22</v>
      </c>
      <c r="N43" s="2220"/>
      <c r="O43" s="2084" t="s">
        <v>23</v>
      </c>
      <c r="P43" s="2084"/>
      <c r="Q43" s="2085" t="s">
        <v>24</v>
      </c>
      <c r="R43" s="2220"/>
      <c r="S43" s="2084" t="s">
        <v>25</v>
      </c>
      <c r="T43" s="2084"/>
      <c r="U43" s="2085" t="s">
        <v>26</v>
      </c>
      <c r="V43" s="2220"/>
      <c r="W43" s="2084" t="s">
        <v>234</v>
      </c>
      <c r="X43" s="2084"/>
      <c r="Y43" s="2085" t="s">
        <v>235</v>
      </c>
      <c r="Z43" s="2220"/>
      <c r="AA43" s="2087" t="s">
        <v>207</v>
      </c>
      <c r="AB43" s="2221"/>
      <c r="AC43" s="2087" t="s">
        <v>208</v>
      </c>
      <c r="AD43" s="2221"/>
      <c r="AE43" s="2087" t="s">
        <v>209</v>
      </c>
      <c r="AF43" s="2221"/>
      <c r="AG43" s="2087" t="s">
        <v>221</v>
      </c>
      <c r="AH43" s="2221"/>
      <c r="AI43" s="2198"/>
      <c r="AJ43" s="2199"/>
      <c r="AK43" s="2201"/>
      <c r="AL43" s="2199"/>
      <c r="AX43" s="406"/>
      <c r="AY43" s="406"/>
      <c r="AZ43" s="474"/>
      <c r="BA43" s="474"/>
      <c r="BB43" s="474"/>
      <c r="BC43" s="474"/>
      <c r="CI43" s="470"/>
      <c r="CJ43" s="470"/>
      <c r="CK43" s="470"/>
      <c r="CL43" s="470"/>
      <c r="CM43" s="470"/>
      <c r="CN43" s="470"/>
      <c r="CO43" s="470"/>
      <c r="CP43" s="470"/>
      <c r="CQ43" s="470"/>
      <c r="CR43" s="470"/>
      <c r="CS43" s="470"/>
      <c r="CT43" s="470"/>
      <c r="CU43" s="470"/>
      <c r="CV43" s="470"/>
      <c r="CW43" s="470"/>
      <c r="CX43" s="470"/>
      <c r="CY43" s="470"/>
      <c r="CZ43" s="470"/>
      <c r="DA43" s="470"/>
      <c r="DB43" s="470"/>
      <c r="DC43" s="470"/>
      <c r="DD43" s="470"/>
      <c r="DE43" s="470"/>
      <c r="DF43" s="470"/>
      <c r="DG43" s="470"/>
      <c r="DH43" s="470"/>
      <c r="DI43" s="470"/>
      <c r="DJ43" s="470"/>
      <c r="DK43" s="470"/>
      <c r="DL43" s="470"/>
      <c r="DM43" s="470"/>
      <c r="DN43" s="470"/>
      <c r="DO43" s="470"/>
      <c r="DP43" s="470"/>
      <c r="DQ43" s="216"/>
      <c r="DR43" s="216"/>
      <c r="DS43" s="216"/>
      <c r="DT43" s="216"/>
    </row>
    <row r="44" spans="1:124" s="462" customFormat="1" ht="32.25" customHeight="1" x14ac:dyDescent="0.15">
      <c r="B44" s="2193"/>
      <c r="C44" s="2194"/>
      <c r="D44" s="154" t="s">
        <v>99</v>
      </c>
      <c r="E44" s="184" t="s">
        <v>33</v>
      </c>
      <c r="F44" s="1637" t="s">
        <v>100</v>
      </c>
      <c r="G44" s="177" t="s">
        <v>33</v>
      </c>
      <c r="H44" s="1637" t="s">
        <v>100</v>
      </c>
      <c r="I44" s="177" t="s">
        <v>33</v>
      </c>
      <c r="J44" s="1637" t="s">
        <v>100</v>
      </c>
      <c r="K44" s="177" t="s">
        <v>33</v>
      </c>
      <c r="L44" s="1637" t="s">
        <v>100</v>
      </c>
      <c r="M44" s="177" t="s">
        <v>33</v>
      </c>
      <c r="N44" s="1637" t="s">
        <v>100</v>
      </c>
      <c r="O44" s="177" t="s">
        <v>33</v>
      </c>
      <c r="P44" s="1637" t="s">
        <v>100</v>
      </c>
      <c r="Q44" s="177" t="s">
        <v>33</v>
      </c>
      <c r="R44" s="1637" t="s">
        <v>100</v>
      </c>
      <c r="S44" s="177" t="s">
        <v>33</v>
      </c>
      <c r="T44" s="1637" t="s">
        <v>100</v>
      </c>
      <c r="U44" s="177" t="s">
        <v>33</v>
      </c>
      <c r="V44" s="1637" t="s">
        <v>100</v>
      </c>
      <c r="W44" s="177" t="s">
        <v>33</v>
      </c>
      <c r="X44" s="1637" t="s">
        <v>100</v>
      </c>
      <c r="Y44" s="177" t="s">
        <v>33</v>
      </c>
      <c r="Z44" s="1637" t="s">
        <v>100</v>
      </c>
      <c r="AA44" s="177" t="s">
        <v>145</v>
      </c>
      <c r="AB44" s="1637" t="s">
        <v>100</v>
      </c>
      <c r="AC44" s="177" t="s">
        <v>145</v>
      </c>
      <c r="AD44" s="1637" t="s">
        <v>100</v>
      </c>
      <c r="AE44" s="177" t="s">
        <v>145</v>
      </c>
      <c r="AF44" s="1637" t="s">
        <v>100</v>
      </c>
      <c r="AG44" s="160" t="s">
        <v>145</v>
      </c>
      <c r="AH44" s="161" t="s">
        <v>100</v>
      </c>
      <c r="AI44" s="1704" t="s">
        <v>33</v>
      </c>
      <c r="AJ44" s="1705" t="s">
        <v>100</v>
      </c>
      <c r="AK44" s="1706" t="s">
        <v>33</v>
      </c>
      <c r="AL44" s="1705" t="s">
        <v>100</v>
      </c>
      <c r="AX44" s="466"/>
      <c r="AY44" s="466"/>
      <c r="AZ44" s="466"/>
      <c r="BA44" s="466"/>
      <c r="BB44" s="466"/>
      <c r="BC44" s="491" t="e">
        <f>IF(#REF!+#REF!&lt;&gt;$D$44,"* La suma de Sexo debe ser igual al TOTAL de personas Diabéticas en PSCV. ","")</f>
        <v>#REF!</v>
      </c>
      <c r="BD44" s="466"/>
      <c r="BE44" s="466"/>
      <c r="BF44" s="466"/>
      <c r="BG44" s="466"/>
      <c r="BH44" s="466"/>
      <c r="BI44" s="466"/>
      <c r="BJ44" s="466"/>
      <c r="BK44" s="466"/>
      <c r="BL44" s="466"/>
      <c r="BM44" s="466"/>
      <c r="BN44" s="466"/>
      <c r="BO44" s="466"/>
      <c r="BP44" s="466"/>
      <c r="BQ44" s="466"/>
      <c r="BR44" s="466"/>
      <c r="BS44" s="466"/>
      <c r="BT44" s="466"/>
      <c r="BU44" s="466"/>
      <c r="BV44" s="466"/>
      <c r="BW44" s="466"/>
      <c r="BX44" s="466"/>
      <c r="BY44" s="466"/>
      <c r="BZ44" s="466"/>
      <c r="CA44" s="466"/>
      <c r="CB44" s="466"/>
      <c r="CC44" s="466"/>
      <c r="CD44" s="466"/>
      <c r="CE44" s="466"/>
      <c r="CF44" s="466"/>
      <c r="CG44" s="466"/>
      <c r="CH44" s="466"/>
      <c r="CI44" s="653"/>
      <c r="CJ44" s="653"/>
      <c r="CK44" s="653"/>
      <c r="CL44" s="653"/>
      <c r="CM44" s="486" t="e">
        <f>IF(#REF!+#REF!&lt;&gt;$D$44,1,0)</f>
        <v>#REF!</v>
      </c>
      <c r="CN44" s="653"/>
      <c r="CO44" s="653"/>
      <c r="CP44" s="653"/>
      <c r="CQ44" s="653"/>
      <c r="CR44" s="653"/>
      <c r="CS44" s="653"/>
      <c r="CT44" s="653"/>
      <c r="CU44" s="653"/>
      <c r="CV44" s="653"/>
      <c r="CW44" s="653"/>
      <c r="CX44" s="653"/>
      <c r="CY44" s="653"/>
      <c r="CZ44" s="653"/>
      <c r="DA44" s="653"/>
      <c r="DB44" s="653"/>
      <c r="DC44" s="653"/>
      <c r="DD44" s="653"/>
      <c r="DE44" s="653"/>
      <c r="DF44" s="653"/>
      <c r="DG44" s="653"/>
      <c r="DH44" s="653"/>
      <c r="DI44" s="653"/>
      <c r="DJ44" s="653"/>
      <c r="DK44" s="653"/>
      <c r="DL44" s="653"/>
      <c r="DM44" s="653"/>
      <c r="DN44" s="653"/>
      <c r="DO44" s="653"/>
      <c r="DP44" s="653"/>
    </row>
    <row r="45" spans="1:124" s="462" customFormat="1" ht="20.25" customHeight="1" x14ac:dyDescent="0.15">
      <c r="B45" s="1636" t="s">
        <v>740</v>
      </c>
      <c r="C45" s="1638"/>
      <c r="D45" s="1639"/>
      <c r="E45" s="186"/>
      <c r="F45" s="186"/>
      <c r="G45" s="1645"/>
      <c r="H45" s="1645"/>
      <c r="I45" s="1645"/>
      <c r="J45" s="1645"/>
      <c r="K45" s="1645"/>
      <c r="L45" s="1645"/>
      <c r="M45" s="1645"/>
      <c r="N45" s="1645"/>
      <c r="O45" s="1645"/>
      <c r="P45" s="1645"/>
      <c r="Q45" s="1645"/>
      <c r="R45" s="1645"/>
      <c r="S45" s="1645"/>
      <c r="T45" s="1645"/>
      <c r="U45" s="1645"/>
      <c r="V45" s="1645"/>
      <c r="W45" s="1645"/>
      <c r="X45" s="1645"/>
      <c r="Y45" s="1645"/>
      <c r="Z45" s="1645"/>
      <c r="AA45" s="1645"/>
      <c r="AB45" s="1645"/>
      <c r="AC45" s="1645"/>
      <c r="AD45" s="1645"/>
      <c r="AE45" s="1645"/>
      <c r="AF45" s="1645"/>
      <c r="AG45" s="1646"/>
      <c r="AH45" s="1646"/>
      <c r="AI45" s="1698"/>
      <c r="AJ45" s="1698"/>
      <c r="AK45" s="1698"/>
      <c r="AL45" s="1698"/>
      <c r="AX45" s="466"/>
      <c r="AY45" s="466"/>
      <c r="AZ45" s="466"/>
      <c r="BA45" s="466"/>
      <c r="BB45" s="466"/>
      <c r="BC45" s="491"/>
      <c r="BD45" s="466"/>
      <c r="BE45" s="466"/>
      <c r="BF45" s="466"/>
      <c r="BG45" s="466"/>
      <c r="BH45" s="466"/>
      <c r="BI45" s="466"/>
      <c r="BJ45" s="466"/>
      <c r="BK45" s="466"/>
      <c r="BL45" s="466"/>
      <c r="BM45" s="466"/>
      <c r="BN45" s="466"/>
      <c r="BO45" s="466"/>
      <c r="BP45" s="466"/>
      <c r="BQ45" s="466"/>
      <c r="BR45" s="466"/>
      <c r="BS45" s="466"/>
      <c r="BT45" s="466"/>
      <c r="BU45" s="466"/>
      <c r="BV45" s="466"/>
      <c r="BW45" s="466"/>
      <c r="BX45" s="466"/>
      <c r="BY45" s="466"/>
      <c r="BZ45" s="466"/>
      <c r="CA45" s="466"/>
      <c r="CB45" s="466"/>
      <c r="CC45" s="466"/>
      <c r="CD45" s="466"/>
      <c r="CE45" s="466"/>
      <c r="CF45" s="466"/>
      <c r="CG45" s="466"/>
      <c r="CH45" s="466"/>
      <c r="CI45" s="653"/>
      <c r="CJ45" s="653"/>
      <c r="CK45" s="653"/>
      <c r="CL45" s="653"/>
      <c r="CM45" s="486"/>
      <c r="CN45" s="653"/>
      <c r="CO45" s="653"/>
      <c r="CP45" s="653"/>
      <c r="CQ45" s="653"/>
      <c r="CR45" s="653"/>
      <c r="CS45" s="653"/>
      <c r="CT45" s="653"/>
      <c r="CU45" s="653"/>
      <c r="CV45" s="653"/>
      <c r="CW45" s="653"/>
      <c r="CX45" s="653"/>
      <c r="CY45" s="653"/>
      <c r="CZ45" s="653"/>
      <c r="DA45" s="653"/>
      <c r="DB45" s="653"/>
      <c r="DC45" s="653"/>
      <c r="DD45" s="653"/>
      <c r="DE45" s="653"/>
      <c r="DF45" s="653"/>
      <c r="DG45" s="653"/>
      <c r="DH45" s="653"/>
      <c r="DI45" s="653"/>
      <c r="DJ45" s="653"/>
      <c r="DK45" s="653"/>
      <c r="DL45" s="653"/>
      <c r="DM45" s="653"/>
      <c r="DN45" s="653"/>
      <c r="DO45" s="653"/>
      <c r="DP45" s="653"/>
    </row>
    <row r="46" spans="1:124" ht="18.75" customHeight="1" x14ac:dyDescent="0.2">
      <c r="A46" s="1775" t="s">
        <v>1350</v>
      </c>
      <c r="B46" s="2204" t="s">
        <v>346</v>
      </c>
      <c r="C46" s="2205"/>
      <c r="D46" s="936" t="s">
        <v>1384</v>
      </c>
      <c r="E46" s="937" t="s">
        <v>1385</v>
      </c>
      <c r="F46" s="1035" t="s">
        <v>1386</v>
      </c>
      <c r="G46" s="977" t="s">
        <v>1387</v>
      </c>
      <c r="H46" s="978" t="s">
        <v>1388</v>
      </c>
      <c r="I46" s="977" t="s">
        <v>1389</v>
      </c>
      <c r="J46" s="978" t="s">
        <v>1390</v>
      </c>
      <c r="K46" s="977" t="s">
        <v>1391</v>
      </c>
      <c r="L46" s="978" t="s">
        <v>1392</v>
      </c>
      <c r="M46" s="977" t="s">
        <v>1393</v>
      </c>
      <c r="N46" s="978" t="s">
        <v>1394</v>
      </c>
      <c r="O46" s="977" t="s">
        <v>1395</v>
      </c>
      <c r="P46" s="978" t="s">
        <v>1396</v>
      </c>
      <c r="Q46" s="977" t="s">
        <v>1397</v>
      </c>
      <c r="R46" s="978" t="s">
        <v>1398</v>
      </c>
      <c r="S46" s="977" t="s">
        <v>1399</v>
      </c>
      <c r="T46" s="978" t="s">
        <v>1400</v>
      </c>
      <c r="U46" s="977" t="s">
        <v>1401</v>
      </c>
      <c r="V46" s="978" t="s">
        <v>1402</v>
      </c>
      <c r="W46" s="977" t="s">
        <v>1403</v>
      </c>
      <c r="X46" s="978" t="s">
        <v>1404</v>
      </c>
      <c r="Y46" s="977" t="s">
        <v>1405</v>
      </c>
      <c r="Z46" s="978" t="s">
        <v>1406</v>
      </c>
      <c r="AA46" s="977" t="s">
        <v>1407</v>
      </c>
      <c r="AB46" s="978" t="s">
        <v>1408</v>
      </c>
      <c r="AC46" s="977" t="s">
        <v>1409</v>
      </c>
      <c r="AD46" s="978" t="s">
        <v>1410</v>
      </c>
      <c r="AE46" s="977" t="s">
        <v>1411</v>
      </c>
      <c r="AF46" s="978" t="s">
        <v>1412</v>
      </c>
      <c r="AG46" s="1048" t="s">
        <v>1413</v>
      </c>
      <c r="AH46" s="965" t="s">
        <v>1414</v>
      </c>
      <c r="AI46" s="1048" t="s">
        <v>1415</v>
      </c>
      <c r="AJ46" s="978" t="s">
        <v>1416</v>
      </c>
      <c r="AK46" s="1048" t="s">
        <v>1417</v>
      </c>
      <c r="AL46" s="978" t="s">
        <v>1418</v>
      </c>
      <c r="AX46" s="406"/>
      <c r="AY46" s="406"/>
      <c r="AZ46" s="478"/>
      <c r="BA46" s="465" t="e">
        <f>IF(#REF!&lt;=SUM($G$17:$Z$17),"","* Los pacientes diabéticos de 15 a 64 años con razón albúmina creatinina (RAC) no deben ser mayor a los pacientes Diabéticos en Control de la sección A de la misma edad. ")</f>
        <v>#REF!</v>
      </c>
      <c r="BB46" s="465" t="e">
        <f>IF(#REF!&lt;=SUM($AA$17:$AH$17),"","* Los pacientes diabéticos de 65+ años con razón albúmina creatinina (RAC) no deben ser mayor a los pacientes Diabéticos en Control de la sección A de la misma edad. ")</f>
        <v>#REF!</v>
      </c>
      <c r="BC46" s="465" t="e">
        <f>IF(#REF!+#REF!&lt;&gt;$D$46,"* La suma de Sexo debe ser igual al TOTAL de pacientes con razón albúmina creatinina (RAC). ","")</f>
        <v>#REF!</v>
      </c>
      <c r="CI46" s="470"/>
      <c r="CJ46" s="470"/>
      <c r="CK46" s="486" t="e">
        <f>IF(#REF!&lt;=SUM($G$17:$Z$17),0,1)</f>
        <v>#REF!</v>
      </c>
      <c r="CL46" s="486" t="e">
        <f>IF(#REF!&lt;=SUM($AA$17:$AH$17),0,1)</f>
        <v>#REF!</v>
      </c>
      <c r="CM46" s="486" t="e">
        <f>IF(#REF!+#REF!&lt;&gt;$D$46,1,0)</f>
        <v>#REF!</v>
      </c>
      <c r="CN46" s="470"/>
      <c r="CO46" s="470"/>
      <c r="CP46" s="470"/>
      <c r="CQ46" s="470"/>
      <c r="CR46" s="470"/>
      <c r="CS46" s="470"/>
      <c r="CT46" s="470"/>
      <c r="CU46" s="470"/>
      <c r="CV46" s="470"/>
      <c r="CW46" s="470"/>
      <c r="CX46" s="470"/>
      <c r="CY46" s="470"/>
      <c r="CZ46" s="470"/>
      <c r="DA46" s="470"/>
      <c r="DB46" s="470"/>
      <c r="DC46" s="470"/>
      <c r="DD46" s="470"/>
      <c r="DE46" s="470"/>
      <c r="DF46" s="470"/>
      <c r="DG46" s="470"/>
      <c r="DH46" s="470"/>
      <c r="DI46" s="470"/>
      <c r="DJ46" s="470"/>
      <c r="DK46" s="470"/>
      <c r="DL46" s="470"/>
      <c r="DM46" s="470"/>
      <c r="DN46" s="470"/>
      <c r="DO46" s="470"/>
      <c r="DP46" s="470"/>
      <c r="DQ46" s="216"/>
      <c r="DR46" s="216"/>
      <c r="DS46" s="216"/>
      <c r="DT46" s="216"/>
    </row>
    <row r="47" spans="1:124" ht="18.75" customHeight="1" x14ac:dyDescent="0.2">
      <c r="A47" s="1775" t="s">
        <v>1351</v>
      </c>
      <c r="B47" s="2225" t="s">
        <v>347</v>
      </c>
      <c r="C47" s="2226"/>
      <c r="D47" s="938" t="s">
        <v>1384</v>
      </c>
      <c r="E47" s="939" t="s">
        <v>1385</v>
      </c>
      <c r="F47" s="1017" t="s">
        <v>1386</v>
      </c>
      <c r="G47" s="957" t="s">
        <v>1387</v>
      </c>
      <c r="H47" s="958" t="s">
        <v>1388</v>
      </c>
      <c r="I47" s="957" t="s">
        <v>1389</v>
      </c>
      <c r="J47" s="958" t="s">
        <v>1390</v>
      </c>
      <c r="K47" s="957" t="s">
        <v>1391</v>
      </c>
      <c r="L47" s="958" t="s">
        <v>1392</v>
      </c>
      <c r="M47" s="957" t="s">
        <v>1393</v>
      </c>
      <c r="N47" s="958" t="s">
        <v>1394</v>
      </c>
      <c r="O47" s="957" t="s">
        <v>1395</v>
      </c>
      <c r="P47" s="958" t="s">
        <v>1396</v>
      </c>
      <c r="Q47" s="957" t="s">
        <v>1397</v>
      </c>
      <c r="R47" s="958" t="s">
        <v>1398</v>
      </c>
      <c r="S47" s="957" t="s">
        <v>1399</v>
      </c>
      <c r="T47" s="958" t="s">
        <v>1400</v>
      </c>
      <c r="U47" s="957" t="s">
        <v>1401</v>
      </c>
      <c r="V47" s="958" t="s">
        <v>1402</v>
      </c>
      <c r="W47" s="957" t="s">
        <v>1403</v>
      </c>
      <c r="X47" s="958" t="s">
        <v>1404</v>
      </c>
      <c r="Y47" s="957" t="s">
        <v>1405</v>
      </c>
      <c r="Z47" s="958" t="s">
        <v>1406</v>
      </c>
      <c r="AA47" s="957" t="s">
        <v>1407</v>
      </c>
      <c r="AB47" s="958" t="s">
        <v>1408</v>
      </c>
      <c r="AC47" s="957" t="s">
        <v>1409</v>
      </c>
      <c r="AD47" s="958" t="s">
        <v>1410</v>
      </c>
      <c r="AE47" s="957" t="s">
        <v>1411</v>
      </c>
      <c r="AF47" s="958" t="s">
        <v>1412</v>
      </c>
      <c r="AG47" s="1044" t="s">
        <v>1413</v>
      </c>
      <c r="AH47" s="966" t="s">
        <v>1414</v>
      </c>
      <c r="AI47" s="1048" t="s">
        <v>1415</v>
      </c>
      <c r="AJ47" s="978" t="s">
        <v>1416</v>
      </c>
      <c r="AK47" s="1048" t="s">
        <v>1417</v>
      </c>
      <c r="AL47" s="978" t="s">
        <v>1418</v>
      </c>
      <c r="AX47" s="406"/>
      <c r="AY47" s="406"/>
      <c r="AZ47" s="478"/>
      <c r="BA47" s="465" t="e">
        <f>IF(#REF!&lt;=SUM($G$17:$Z$17),"","* Los pacientes diabéticos de 15 a 64 años con velocidad de filtración glomerular (VFG) no deben ser mayor a los pacientes Diabéticos en Control de la sección A de la misma edad. ")</f>
        <v>#REF!</v>
      </c>
      <c r="BB47" s="465" t="e">
        <f>IF(#REF!&lt;=SUM($AA$17:$AH$17),"","* Los pacientes diabéticos de 65+ años con velocidad de filtración glomerular (VFG) no deben ser mayor a los pacientes Diabéticos en Control de la sección A de la misma edad. ")</f>
        <v>#REF!</v>
      </c>
      <c r="BC47" s="465" t="e">
        <f>IF(#REF!+#REF!&lt;&gt;$D$47,"* La suma de Sexo debe ser igual al TOTAL de pacientes con velocidad de filtración glomerular (VFG). ","")</f>
        <v>#REF!</v>
      </c>
      <c r="CH47" s="478"/>
      <c r="CI47" s="479"/>
      <c r="CJ47" s="479"/>
      <c r="CK47" s="486" t="e">
        <f>IF(#REF!&lt;=SUM($G$17:$Z$17),0,1)</f>
        <v>#REF!</v>
      </c>
      <c r="CL47" s="486" t="e">
        <f>IF(#REF!&lt;=SUM($AA$17:$AH$17),0,1)</f>
        <v>#REF!</v>
      </c>
      <c r="CM47" s="486" t="e">
        <f>IF(#REF!+#REF!&lt;&gt;$D$47,1,0)</f>
        <v>#REF!</v>
      </c>
      <c r="CN47" s="470"/>
      <c r="CO47" s="470"/>
      <c r="CP47" s="470"/>
      <c r="CQ47" s="470"/>
      <c r="CR47" s="470"/>
      <c r="CS47" s="470"/>
      <c r="CT47" s="470"/>
      <c r="CU47" s="470"/>
      <c r="CV47" s="470"/>
      <c r="CW47" s="470"/>
      <c r="CX47" s="470"/>
      <c r="CY47" s="470"/>
      <c r="CZ47" s="470"/>
      <c r="DA47" s="470"/>
      <c r="DB47" s="470"/>
      <c r="DC47" s="470"/>
      <c r="DD47" s="470"/>
      <c r="DE47" s="470"/>
      <c r="DF47" s="470"/>
      <c r="DG47" s="470"/>
      <c r="DH47" s="470"/>
      <c r="DI47" s="470"/>
      <c r="DJ47" s="470"/>
      <c r="DK47" s="470"/>
      <c r="DL47" s="470"/>
      <c r="DM47" s="470"/>
      <c r="DN47" s="470"/>
      <c r="DO47" s="470"/>
      <c r="DP47" s="470"/>
      <c r="DQ47" s="216"/>
      <c r="DR47" s="216"/>
      <c r="DS47" s="216"/>
      <c r="DT47" s="216"/>
    </row>
    <row r="48" spans="1:124" ht="18.75" customHeight="1" x14ac:dyDescent="0.2">
      <c r="A48" s="1775" t="s">
        <v>1352</v>
      </c>
      <c r="B48" s="2246" t="s">
        <v>348</v>
      </c>
      <c r="C48" s="2247"/>
      <c r="D48" s="944" t="s">
        <v>1384</v>
      </c>
      <c r="E48" s="1015" t="s">
        <v>1385</v>
      </c>
      <c r="F48" s="1027" t="s">
        <v>1386</v>
      </c>
      <c r="G48" s="957" t="s">
        <v>1387</v>
      </c>
      <c r="H48" s="958" t="s">
        <v>1388</v>
      </c>
      <c r="I48" s="957" t="s">
        <v>1389</v>
      </c>
      <c r="J48" s="958" t="s">
        <v>1390</v>
      </c>
      <c r="K48" s="957" t="s">
        <v>1391</v>
      </c>
      <c r="L48" s="958" t="s">
        <v>1392</v>
      </c>
      <c r="M48" s="957" t="s">
        <v>1393</v>
      </c>
      <c r="N48" s="958" t="s">
        <v>1394</v>
      </c>
      <c r="O48" s="957" t="s">
        <v>1395</v>
      </c>
      <c r="P48" s="958" t="s">
        <v>1396</v>
      </c>
      <c r="Q48" s="957" t="s">
        <v>1397</v>
      </c>
      <c r="R48" s="958" t="s">
        <v>1398</v>
      </c>
      <c r="S48" s="957" t="s">
        <v>1399</v>
      </c>
      <c r="T48" s="958" t="s">
        <v>1400</v>
      </c>
      <c r="U48" s="957" t="s">
        <v>1401</v>
      </c>
      <c r="V48" s="958" t="s">
        <v>1402</v>
      </c>
      <c r="W48" s="957" t="s">
        <v>1403</v>
      </c>
      <c r="X48" s="958" t="s">
        <v>1404</v>
      </c>
      <c r="Y48" s="957" t="s">
        <v>1405</v>
      </c>
      <c r="Z48" s="958" t="s">
        <v>1406</v>
      </c>
      <c r="AA48" s="957" t="s">
        <v>1407</v>
      </c>
      <c r="AB48" s="958" t="s">
        <v>1408</v>
      </c>
      <c r="AC48" s="957" t="s">
        <v>1409</v>
      </c>
      <c r="AD48" s="958" t="s">
        <v>1410</v>
      </c>
      <c r="AE48" s="957" t="s">
        <v>1411</v>
      </c>
      <c r="AF48" s="958" t="s">
        <v>1412</v>
      </c>
      <c r="AG48" s="1044" t="s">
        <v>1413</v>
      </c>
      <c r="AH48" s="966" t="s">
        <v>1414</v>
      </c>
      <c r="AI48" s="1048" t="s">
        <v>1415</v>
      </c>
      <c r="AJ48" s="978" t="s">
        <v>1416</v>
      </c>
      <c r="AK48" s="1048" t="s">
        <v>1417</v>
      </c>
      <c r="AL48" s="978" t="s">
        <v>1418</v>
      </c>
      <c r="AX48" s="406"/>
      <c r="AY48" s="406"/>
      <c r="AZ48" s="478"/>
      <c r="BA48" s="465" t="e">
        <f>IF(#REF!&lt;=SUM($G$17:$Z$17),"","* Los pacientes diabéticos de 15 a 64 años con Fondo de ojo no deben ser mayor a los pacientes Diabéticos en Control de la sección A. ")</f>
        <v>#REF!</v>
      </c>
      <c r="BB48" s="465" t="e">
        <f>IF(#REF!&lt;=SUM($AA$17:$AH$17),"","* Los pacientes diabéticos de 65+ años con Fondo de ojo no deben ser mayor a los pacientes Diabéticos en Control de la sección A. ")</f>
        <v>#REF!</v>
      </c>
      <c r="BC48" s="465" t="e">
        <f>IF(#REF!+#REF!&lt;&gt;$D$48,"* La suma de Sexo debe ser igual al TOTAL de pacientes con Fondo de ojo. ","")</f>
        <v>#REF!</v>
      </c>
      <c r="CH48" s="478"/>
      <c r="CI48" s="479"/>
      <c r="CJ48" s="479"/>
      <c r="CK48" s="486" t="e">
        <f>IF(#REF!&lt;=SUM($G$17:$Z$17),0,1)</f>
        <v>#REF!</v>
      </c>
      <c r="CL48" s="486" t="e">
        <f>IF(#REF!&lt;=SUM($AA$17:$AH$17),0,1)</f>
        <v>#REF!</v>
      </c>
      <c r="CM48" s="486" t="e">
        <f>IF(#REF!+#REF!&lt;&gt;$D$48,1,0)</f>
        <v>#REF!</v>
      </c>
      <c r="CN48" s="470"/>
      <c r="CO48" s="470"/>
      <c r="CP48" s="470"/>
      <c r="CQ48" s="470"/>
      <c r="CR48" s="470"/>
      <c r="CS48" s="470"/>
      <c r="CT48" s="470"/>
      <c r="CU48" s="470"/>
      <c r="CV48" s="470"/>
      <c r="CW48" s="470"/>
      <c r="CX48" s="470"/>
      <c r="CY48" s="470"/>
      <c r="CZ48" s="470"/>
      <c r="DA48" s="470"/>
      <c r="DB48" s="470"/>
      <c r="DC48" s="470"/>
      <c r="DD48" s="470"/>
      <c r="DE48" s="470"/>
      <c r="DF48" s="470"/>
      <c r="DG48" s="470"/>
      <c r="DH48" s="470"/>
      <c r="DI48" s="470"/>
      <c r="DJ48" s="470"/>
      <c r="DK48" s="470"/>
      <c r="DL48" s="470"/>
      <c r="DM48" s="470"/>
      <c r="DN48" s="470"/>
      <c r="DO48" s="470"/>
      <c r="DP48" s="470"/>
      <c r="DQ48" s="216"/>
      <c r="DR48" s="216"/>
      <c r="DS48" s="216"/>
      <c r="DT48" s="216"/>
    </row>
    <row r="49" spans="1:124" ht="18.75" customHeight="1" x14ac:dyDescent="0.2">
      <c r="A49" s="1775" t="s">
        <v>1353</v>
      </c>
      <c r="B49" s="2179" t="s">
        <v>643</v>
      </c>
      <c r="C49" s="2180"/>
      <c r="D49" s="947" t="s">
        <v>1384</v>
      </c>
      <c r="E49" s="1042" t="s">
        <v>1385</v>
      </c>
      <c r="F49" s="1043" t="s">
        <v>1386</v>
      </c>
      <c r="G49" s="957" t="s">
        <v>1387</v>
      </c>
      <c r="H49" s="958" t="s">
        <v>1388</v>
      </c>
      <c r="I49" s="957" t="s">
        <v>1389</v>
      </c>
      <c r="J49" s="958" t="s">
        <v>1390</v>
      </c>
      <c r="K49" s="957" t="s">
        <v>1391</v>
      </c>
      <c r="L49" s="958" t="s">
        <v>1392</v>
      </c>
      <c r="M49" s="957" t="s">
        <v>1393</v>
      </c>
      <c r="N49" s="958" t="s">
        <v>1394</v>
      </c>
      <c r="O49" s="957" t="s">
        <v>1395</v>
      </c>
      <c r="P49" s="958" t="s">
        <v>1396</v>
      </c>
      <c r="Q49" s="957" t="s">
        <v>1397</v>
      </c>
      <c r="R49" s="958" t="s">
        <v>1398</v>
      </c>
      <c r="S49" s="957" t="s">
        <v>1399</v>
      </c>
      <c r="T49" s="958" t="s">
        <v>1400</v>
      </c>
      <c r="U49" s="957" t="s">
        <v>1401</v>
      </c>
      <c r="V49" s="958" t="s">
        <v>1402</v>
      </c>
      <c r="W49" s="957" t="s">
        <v>1403</v>
      </c>
      <c r="X49" s="958" t="s">
        <v>1404</v>
      </c>
      <c r="Y49" s="957" t="s">
        <v>1405</v>
      </c>
      <c r="Z49" s="958" t="s">
        <v>1406</v>
      </c>
      <c r="AA49" s="957" t="s">
        <v>1407</v>
      </c>
      <c r="AB49" s="958" t="s">
        <v>1408</v>
      </c>
      <c r="AC49" s="957" t="s">
        <v>1409</v>
      </c>
      <c r="AD49" s="958" t="s">
        <v>1410</v>
      </c>
      <c r="AE49" s="957" t="s">
        <v>1411</v>
      </c>
      <c r="AF49" s="958" t="s">
        <v>1412</v>
      </c>
      <c r="AG49" s="1044" t="s">
        <v>1413</v>
      </c>
      <c r="AH49" s="966" t="s">
        <v>1414</v>
      </c>
      <c r="AI49" s="1048" t="s">
        <v>1415</v>
      </c>
      <c r="AJ49" s="978" t="s">
        <v>1416</v>
      </c>
      <c r="AK49" s="1048" t="s">
        <v>1417</v>
      </c>
      <c r="AL49" s="978" t="s">
        <v>1418</v>
      </c>
      <c r="AX49" s="406"/>
      <c r="AY49" s="406"/>
      <c r="AZ49" s="478"/>
      <c r="BA49" s="465" t="e">
        <f>IF(#REF!&lt;=SUM($G$17:$Z$17),"","* Los pacientes diabéticos de 15 a 64 años con Atención Podológica Vigente no deben ser mayor a los pacientes Diabéticos en Control de la sección A. ")</f>
        <v>#REF!</v>
      </c>
      <c r="BB49" s="465" t="e">
        <f>IF(#REF!&lt;=SUM($AA$17:$AH$17),"","* Los pacientes diabéticos de 65+ años con Atención Podológica vigente no deben ser mayor a los pacientes Diabéticos en Control de la sección A. ")</f>
        <v>#REF!</v>
      </c>
      <c r="BC49" s="465" t="e">
        <f>IF(#REF!+#REF!&lt;&gt;$D$49,"* La suma de Sexo debe ser igual al TOTAL de pacientes con Atención Podológica vigente. ","")</f>
        <v>#REF!</v>
      </c>
      <c r="CH49" s="478"/>
      <c r="CI49" s="479"/>
      <c r="CJ49" s="479"/>
      <c r="CK49" s="486" t="e">
        <f>IF(#REF!&lt;=SUM($G$17:$Z$17),0,1)</f>
        <v>#REF!</v>
      </c>
      <c r="CL49" s="486" t="e">
        <f>IF(#REF!&lt;=SUM($AA$17:$AH$17),0,1)</f>
        <v>#REF!</v>
      </c>
      <c r="CM49" s="486" t="e">
        <f>IF(#REF!+#REF!&lt;&gt;$D$49,1,0)</f>
        <v>#REF!</v>
      </c>
      <c r="CN49" s="470"/>
      <c r="CO49" s="470"/>
      <c r="CP49" s="470"/>
      <c r="CQ49" s="470"/>
      <c r="CR49" s="470"/>
      <c r="CS49" s="470"/>
      <c r="CT49" s="470"/>
      <c r="CU49" s="470"/>
      <c r="CV49" s="470"/>
      <c r="CW49" s="470"/>
      <c r="CX49" s="470"/>
      <c r="CY49" s="470"/>
      <c r="CZ49" s="470"/>
      <c r="DA49" s="470"/>
      <c r="DB49" s="470"/>
      <c r="DC49" s="470"/>
      <c r="DD49" s="470"/>
      <c r="DE49" s="470"/>
      <c r="DF49" s="470"/>
      <c r="DG49" s="470"/>
      <c r="DH49" s="470"/>
      <c r="DI49" s="470"/>
      <c r="DJ49" s="470"/>
      <c r="DK49" s="470"/>
      <c r="DL49" s="470"/>
      <c r="DM49" s="470"/>
      <c r="DN49" s="470"/>
      <c r="DO49" s="470"/>
      <c r="DP49" s="470"/>
      <c r="DQ49" s="216"/>
      <c r="DR49" s="216"/>
      <c r="DS49" s="216"/>
      <c r="DT49" s="216"/>
    </row>
    <row r="50" spans="1:124" ht="18.75" customHeight="1" x14ac:dyDescent="0.2">
      <c r="A50" s="1775" t="s">
        <v>1354</v>
      </c>
      <c r="B50" s="2179" t="s">
        <v>406</v>
      </c>
      <c r="C50" s="2180"/>
      <c r="D50" s="938" t="s">
        <v>1384</v>
      </c>
      <c r="E50" s="939" t="s">
        <v>1385</v>
      </c>
      <c r="F50" s="1021" t="s">
        <v>1386</v>
      </c>
      <c r="G50" s="957" t="s">
        <v>1387</v>
      </c>
      <c r="H50" s="958" t="s">
        <v>1388</v>
      </c>
      <c r="I50" s="957" t="s">
        <v>1389</v>
      </c>
      <c r="J50" s="958" t="s">
        <v>1390</v>
      </c>
      <c r="K50" s="957" t="s">
        <v>1391</v>
      </c>
      <c r="L50" s="958" t="s">
        <v>1392</v>
      </c>
      <c r="M50" s="957" t="s">
        <v>1393</v>
      </c>
      <c r="N50" s="958" t="s">
        <v>1394</v>
      </c>
      <c r="O50" s="957" t="s">
        <v>1395</v>
      </c>
      <c r="P50" s="958" t="s">
        <v>1396</v>
      </c>
      <c r="Q50" s="957" t="s">
        <v>1397</v>
      </c>
      <c r="R50" s="958" t="s">
        <v>1398</v>
      </c>
      <c r="S50" s="957" t="s">
        <v>1399</v>
      </c>
      <c r="T50" s="958" t="s">
        <v>1400</v>
      </c>
      <c r="U50" s="957" t="s">
        <v>1401</v>
      </c>
      <c r="V50" s="958" t="s">
        <v>1402</v>
      </c>
      <c r="W50" s="957" t="s">
        <v>1403</v>
      </c>
      <c r="X50" s="958" t="s">
        <v>1404</v>
      </c>
      <c r="Y50" s="957" t="s">
        <v>1405</v>
      </c>
      <c r="Z50" s="958" t="s">
        <v>1406</v>
      </c>
      <c r="AA50" s="957" t="s">
        <v>1407</v>
      </c>
      <c r="AB50" s="958" t="s">
        <v>1408</v>
      </c>
      <c r="AC50" s="957" t="s">
        <v>1409</v>
      </c>
      <c r="AD50" s="958" t="s">
        <v>1410</v>
      </c>
      <c r="AE50" s="957" t="s">
        <v>1411</v>
      </c>
      <c r="AF50" s="958" t="s">
        <v>1412</v>
      </c>
      <c r="AG50" s="1044" t="s">
        <v>1413</v>
      </c>
      <c r="AH50" s="966" t="s">
        <v>1414</v>
      </c>
      <c r="AI50" s="1048" t="s">
        <v>1415</v>
      </c>
      <c r="AJ50" s="978" t="s">
        <v>1416</v>
      </c>
      <c r="AK50" s="1048" t="s">
        <v>1417</v>
      </c>
      <c r="AL50" s="978" t="s">
        <v>1418</v>
      </c>
      <c r="AX50" s="406"/>
      <c r="AY50" s="406"/>
      <c r="AZ50" s="478"/>
      <c r="BA50" s="465" t="e">
        <f>IF(#REF!&lt;=SUM($G$17:$Z$17),"","* Los pacientes diabéticos de 15 a 64 años con ECG no deben ser mayor a los pacientes Diabéticos en Control de la sección A. ")</f>
        <v>#REF!</v>
      </c>
      <c r="BB50" s="465" t="e">
        <f>IF(#REF!&lt;=SUM($AA$17:$AH$17),"","* Los pacientes diabéticos de 65+ años con ECG no deben ser mayor a los pacientes Diabéticos en Control de la sección A. ")</f>
        <v>#REF!</v>
      </c>
      <c r="BC50" s="465" t="e">
        <f>IF(#REF!+#REF!&lt;&gt;$D$50,"* La suma de Sexo debe ser igual al TOTAL de pacientes con ECG. ","")</f>
        <v>#REF!</v>
      </c>
      <c r="CH50" s="478"/>
      <c r="CI50" s="479"/>
      <c r="CJ50" s="479"/>
      <c r="CK50" s="486" t="e">
        <f>IF(#REF!&lt;=SUM($G$17:$Z$17),0,1)</f>
        <v>#REF!</v>
      </c>
      <c r="CL50" s="486" t="e">
        <f>IF(#REF!&lt;=SUM($AA$17:$AH$17),0,1)</f>
        <v>#REF!</v>
      </c>
      <c r="CM50" s="486" t="e">
        <f>IF(#REF!+#REF!&lt;&gt;$D$50,1,0)</f>
        <v>#REF!</v>
      </c>
      <c r="CN50" s="470"/>
      <c r="CO50" s="470"/>
      <c r="CP50" s="470"/>
      <c r="CQ50" s="470"/>
      <c r="CR50" s="470"/>
      <c r="CS50" s="470"/>
      <c r="CT50" s="470"/>
      <c r="CU50" s="470"/>
      <c r="CV50" s="470"/>
      <c r="CW50" s="470"/>
      <c r="CX50" s="470"/>
      <c r="CY50" s="470"/>
      <c r="CZ50" s="470"/>
      <c r="DA50" s="470"/>
      <c r="DB50" s="470"/>
      <c r="DC50" s="470"/>
      <c r="DD50" s="470"/>
      <c r="DE50" s="470"/>
      <c r="DF50" s="470"/>
      <c r="DG50" s="470"/>
      <c r="DH50" s="470"/>
      <c r="DI50" s="470"/>
      <c r="DJ50" s="470"/>
      <c r="DK50" s="470"/>
      <c r="DL50" s="470"/>
      <c r="DM50" s="470"/>
      <c r="DN50" s="470"/>
      <c r="DO50" s="470"/>
      <c r="DP50" s="470"/>
      <c r="DQ50" s="216"/>
      <c r="DR50" s="216"/>
      <c r="DS50" s="216"/>
      <c r="DT50" s="216"/>
    </row>
    <row r="51" spans="1:124" ht="18.75" customHeight="1" x14ac:dyDescent="0.2">
      <c r="A51" s="1775" t="s">
        <v>1355</v>
      </c>
      <c r="B51" s="2179" t="s">
        <v>196</v>
      </c>
      <c r="C51" s="2180"/>
      <c r="D51" s="938" t="s">
        <v>1384</v>
      </c>
      <c r="E51" s="939" t="s">
        <v>1385</v>
      </c>
      <c r="F51" s="1021" t="s">
        <v>1386</v>
      </c>
      <c r="G51" s="957" t="s">
        <v>1387</v>
      </c>
      <c r="H51" s="958" t="s">
        <v>1388</v>
      </c>
      <c r="I51" s="957" t="s">
        <v>1389</v>
      </c>
      <c r="J51" s="958" t="s">
        <v>1390</v>
      </c>
      <c r="K51" s="957" t="s">
        <v>1391</v>
      </c>
      <c r="L51" s="958" t="s">
        <v>1392</v>
      </c>
      <c r="M51" s="957" t="s">
        <v>1393</v>
      </c>
      <c r="N51" s="958" t="s">
        <v>1394</v>
      </c>
      <c r="O51" s="957" t="s">
        <v>1395</v>
      </c>
      <c r="P51" s="958" t="s">
        <v>1396</v>
      </c>
      <c r="Q51" s="957" t="s">
        <v>1397</v>
      </c>
      <c r="R51" s="958" t="s">
        <v>1398</v>
      </c>
      <c r="S51" s="957" t="s">
        <v>1399</v>
      </c>
      <c r="T51" s="958" t="s">
        <v>1400</v>
      </c>
      <c r="U51" s="957" t="s">
        <v>1401</v>
      </c>
      <c r="V51" s="958" t="s">
        <v>1402</v>
      </c>
      <c r="W51" s="957" t="s">
        <v>1403</v>
      </c>
      <c r="X51" s="958" t="s">
        <v>1404</v>
      </c>
      <c r="Y51" s="957" t="s">
        <v>1405</v>
      </c>
      <c r="Z51" s="958" t="s">
        <v>1406</v>
      </c>
      <c r="AA51" s="957" t="s">
        <v>1407</v>
      </c>
      <c r="AB51" s="958" t="s">
        <v>1408</v>
      </c>
      <c r="AC51" s="957" t="s">
        <v>1409</v>
      </c>
      <c r="AD51" s="958" t="s">
        <v>1410</v>
      </c>
      <c r="AE51" s="957" t="s">
        <v>1411</v>
      </c>
      <c r="AF51" s="958" t="s">
        <v>1412</v>
      </c>
      <c r="AG51" s="1044" t="s">
        <v>1413</v>
      </c>
      <c r="AH51" s="966" t="s">
        <v>1414</v>
      </c>
      <c r="AI51" s="1048" t="s">
        <v>1415</v>
      </c>
      <c r="AJ51" s="978" t="s">
        <v>1416</v>
      </c>
      <c r="AK51" s="1048" t="s">
        <v>1417</v>
      </c>
      <c r="AL51" s="978" t="s">
        <v>1418</v>
      </c>
      <c r="AX51" s="406"/>
      <c r="AY51" s="406"/>
      <c r="AZ51" s="478"/>
      <c r="BA51" s="465" t="e">
        <f>IF(#REF!&lt;=SUM($G$17:$Z$17),"","* Los pacientes diabéticos de 15 a 64 años en tratamiento con insulina no deben ser mayor a los pacientes Diabéticos en Control de la sección A. ")</f>
        <v>#REF!</v>
      </c>
      <c r="BB51" s="465" t="e">
        <f>IF(#REF!&lt;=SUM($AA$17:$AH$17),"","* Los pacientes diabéticos de 65+ años en tratamiento con insulina no deben ser mayor a los pacientes Diabéticos en Control de la sección A. ")</f>
        <v>#REF!</v>
      </c>
      <c r="BC51" s="465" t="e">
        <f>IF(#REF!+#REF!&lt;&gt;$D$51,"* La suma de Sexo debe ser igual al TOTAL de pacientes en tratamiento con insulina. ","")</f>
        <v>#REF!</v>
      </c>
      <c r="CH51" s="478"/>
      <c r="CI51" s="479"/>
      <c r="CJ51" s="479"/>
      <c r="CK51" s="486" t="e">
        <f>IF(#REF!&lt;=SUM($G$17:$Z$17),0,1)</f>
        <v>#REF!</v>
      </c>
      <c r="CL51" s="486" t="e">
        <f>IF(#REF!&lt;=SUM($AA$17:$AH$17),0,1)</f>
        <v>#REF!</v>
      </c>
      <c r="CM51" s="486" t="e">
        <f>IF(#REF!+#REF!&lt;&gt;$D$51,1,0)</f>
        <v>#REF!</v>
      </c>
      <c r="CN51" s="470"/>
      <c r="CO51" s="470"/>
      <c r="CP51" s="470"/>
      <c r="CQ51" s="470"/>
      <c r="CR51" s="470"/>
      <c r="CS51" s="470"/>
      <c r="CT51" s="470"/>
      <c r="CU51" s="470"/>
      <c r="CV51" s="470"/>
      <c r="CW51" s="470"/>
      <c r="CX51" s="470"/>
      <c r="CY51" s="470"/>
      <c r="CZ51" s="470"/>
      <c r="DA51" s="470"/>
      <c r="DB51" s="470"/>
      <c r="DC51" s="470"/>
      <c r="DD51" s="470"/>
      <c r="DE51" s="470"/>
      <c r="DF51" s="470"/>
      <c r="DG51" s="470"/>
      <c r="DH51" s="470"/>
      <c r="DI51" s="470"/>
      <c r="DJ51" s="470"/>
      <c r="DK51" s="470"/>
      <c r="DL51" s="470"/>
      <c r="DM51" s="470"/>
      <c r="DN51" s="470"/>
      <c r="DO51" s="470"/>
      <c r="DP51" s="470"/>
      <c r="DQ51" s="216"/>
      <c r="DR51" s="216"/>
      <c r="DS51" s="216"/>
      <c r="DT51" s="216"/>
    </row>
    <row r="52" spans="1:124" ht="18.75" customHeight="1" x14ac:dyDescent="0.2">
      <c r="A52" s="1775" t="s">
        <v>1356</v>
      </c>
      <c r="B52" s="2179" t="s">
        <v>663</v>
      </c>
      <c r="C52" s="2180"/>
      <c r="D52" s="944" t="s">
        <v>1384</v>
      </c>
      <c r="E52" s="1015" t="s">
        <v>1385</v>
      </c>
      <c r="F52" s="1027" t="s">
        <v>1386</v>
      </c>
      <c r="G52" s="977" t="s">
        <v>1387</v>
      </c>
      <c r="H52" s="978" t="s">
        <v>1388</v>
      </c>
      <c r="I52" s="977" t="s">
        <v>1389</v>
      </c>
      <c r="J52" s="978" t="s">
        <v>1390</v>
      </c>
      <c r="K52" s="977" t="s">
        <v>1391</v>
      </c>
      <c r="L52" s="978" t="s">
        <v>1392</v>
      </c>
      <c r="M52" s="977" t="s">
        <v>1393</v>
      </c>
      <c r="N52" s="978" t="s">
        <v>1394</v>
      </c>
      <c r="O52" s="977" t="s">
        <v>1395</v>
      </c>
      <c r="P52" s="978" t="s">
        <v>1396</v>
      </c>
      <c r="Q52" s="977" t="s">
        <v>1397</v>
      </c>
      <c r="R52" s="978" t="s">
        <v>1398</v>
      </c>
      <c r="S52" s="977" t="s">
        <v>1399</v>
      </c>
      <c r="T52" s="978" t="s">
        <v>1400</v>
      </c>
      <c r="U52" s="977" t="s">
        <v>1401</v>
      </c>
      <c r="V52" s="978" t="s">
        <v>1402</v>
      </c>
      <c r="W52" s="977" t="s">
        <v>1403</v>
      </c>
      <c r="X52" s="978" t="s">
        <v>1404</v>
      </c>
      <c r="Y52" s="977" t="s">
        <v>1405</v>
      </c>
      <c r="Z52" s="978" t="s">
        <v>1406</v>
      </c>
      <c r="AA52" s="977" t="s">
        <v>1407</v>
      </c>
      <c r="AB52" s="978" t="s">
        <v>1408</v>
      </c>
      <c r="AC52" s="977" t="s">
        <v>1409</v>
      </c>
      <c r="AD52" s="978" t="s">
        <v>1410</v>
      </c>
      <c r="AE52" s="977" t="s">
        <v>1411</v>
      </c>
      <c r="AF52" s="978" t="s">
        <v>1412</v>
      </c>
      <c r="AG52" s="1048" t="s">
        <v>1413</v>
      </c>
      <c r="AH52" s="979" t="s">
        <v>1414</v>
      </c>
      <c r="AI52" s="1048" t="s">
        <v>1415</v>
      </c>
      <c r="AJ52" s="978" t="s">
        <v>1416</v>
      </c>
      <c r="AK52" s="1048" t="s">
        <v>1417</v>
      </c>
      <c r="AL52" s="978" t="s">
        <v>1418</v>
      </c>
      <c r="AX52" s="406"/>
      <c r="AY52" s="406"/>
      <c r="AZ52" s="478"/>
      <c r="BA52" s="465" t="e">
        <f>IF(#REF!&lt;=SUM($G$17:$Z$17),"","* Los pacientes diabéticos de 15 a 64 años en tratamiento con insulina no deben ser mayor a los pacientes Diabéticos en Control de la sección A. ")</f>
        <v>#REF!</v>
      </c>
      <c r="BB52" s="465" t="e">
        <f>IF(#REF!&lt;=SUM($AA$17:$AH$17),"","* Los pacientes diabéticos de 65+ años en tratamiento con insulina no deben ser mayor a los pacientes Diabéticos en Control de la sección A. ")</f>
        <v>#REF!</v>
      </c>
      <c r="BC52" s="465" t="e">
        <f>IF(#REF!+#REF!&lt;&gt;$D$52,"* La suma de Sexo debe ser igual al TOTAL de pacientes en tratamiento con insulina. ","")</f>
        <v>#REF!</v>
      </c>
      <c r="CH52" s="478"/>
      <c r="CI52" s="479"/>
      <c r="CJ52" s="479"/>
      <c r="CK52" s="486" t="e">
        <f>IF(#REF!&lt;=SUM($G$17:$Z$17),0,1)</f>
        <v>#REF!</v>
      </c>
      <c r="CL52" s="486" t="e">
        <f>IF(#REF!&lt;=SUM($AA$17:$AH$17),0,1)</f>
        <v>#REF!</v>
      </c>
      <c r="CM52" s="486" t="e">
        <f>IF(#REF!+#REF!&lt;&gt;$D$52,1,0)</f>
        <v>#REF!</v>
      </c>
      <c r="CN52" s="470"/>
      <c r="CO52" s="470"/>
      <c r="CP52" s="470"/>
      <c r="CQ52" s="470"/>
      <c r="CR52" s="470"/>
      <c r="CS52" s="470"/>
      <c r="CT52" s="470"/>
      <c r="CU52" s="470"/>
      <c r="CV52" s="470"/>
      <c r="CW52" s="470"/>
      <c r="CX52" s="470"/>
      <c r="CY52" s="470"/>
      <c r="CZ52" s="470"/>
      <c r="DA52" s="470"/>
      <c r="DB52" s="470"/>
      <c r="DC52" s="470"/>
      <c r="DD52" s="470"/>
      <c r="DE52" s="470"/>
      <c r="DF52" s="470"/>
      <c r="DG52" s="470"/>
      <c r="DH52" s="470"/>
      <c r="DI52" s="470"/>
      <c r="DJ52" s="470"/>
      <c r="DK52" s="470"/>
      <c r="DL52" s="470"/>
      <c r="DM52" s="470"/>
      <c r="DN52" s="470"/>
      <c r="DO52" s="470"/>
      <c r="DP52" s="470"/>
      <c r="DQ52" s="216"/>
      <c r="DR52" s="216"/>
      <c r="DS52" s="216"/>
      <c r="DT52" s="216"/>
    </row>
    <row r="53" spans="1:124" ht="18.75" customHeight="1" x14ac:dyDescent="0.2">
      <c r="A53" s="1775" t="s">
        <v>1357</v>
      </c>
      <c r="B53" s="2248" t="s">
        <v>197</v>
      </c>
      <c r="C53" s="2249"/>
      <c r="D53" s="938" t="s">
        <v>1384</v>
      </c>
      <c r="E53" s="939" t="s">
        <v>1385</v>
      </c>
      <c r="F53" s="1021" t="s">
        <v>1386</v>
      </c>
      <c r="G53" s="957" t="s">
        <v>1387</v>
      </c>
      <c r="H53" s="958" t="s">
        <v>1388</v>
      </c>
      <c r="I53" s="957" t="s">
        <v>1389</v>
      </c>
      <c r="J53" s="958" t="s">
        <v>1390</v>
      </c>
      <c r="K53" s="957" t="s">
        <v>1391</v>
      </c>
      <c r="L53" s="958" t="s">
        <v>1392</v>
      </c>
      <c r="M53" s="957" t="s">
        <v>1393</v>
      </c>
      <c r="N53" s="958" t="s">
        <v>1394</v>
      </c>
      <c r="O53" s="957" t="s">
        <v>1395</v>
      </c>
      <c r="P53" s="958" t="s">
        <v>1396</v>
      </c>
      <c r="Q53" s="957" t="s">
        <v>1397</v>
      </c>
      <c r="R53" s="958" t="s">
        <v>1398</v>
      </c>
      <c r="S53" s="957" t="s">
        <v>1399</v>
      </c>
      <c r="T53" s="958" t="s">
        <v>1400</v>
      </c>
      <c r="U53" s="957" t="s">
        <v>1401</v>
      </c>
      <c r="V53" s="958" t="s">
        <v>1402</v>
      </c>
      <c r="W53" s="957" t="s">
        <v>1403</v>
      </c>
      <c r="X53" s="958" t="s">
        <v>1404</v>
      </c>
      <c r="Y53" s="957" t="s">
        <v>1405</v>
      </c>
      <c r="Z53" s="958" t="s">
        <v>1406</v>
      </c>
      <c r="AA53" s="957" t="s">
        <v>1407</v>
      </c>
      <c r="AB53" s="958" t="s">
        <v>1408</v>
      </c>
      <c r="AC53" s="957" t="s">
        <v>1409</v>
      </c>
      <c r="AD53" s="958" t="s">
        <v>1410</v>
      </c>
      <c r="AE53" s="957" t="s">
        <v>1411</v>
      </c>
      <c r="AF53" s="958" t="s">
        <v>1412</v>
      </c>
      <c r="AG53" s="1044" t="s">
        <v>1413</v>
      </c>
      <c r="AH53" s="966" t="s">
        <v>1414</v>
      </c>
      <c r="AI53" s="1048" t="s">
        <v>1415</v>
      </c>
      <c r="AJ53" s="978" t="s">
        <v>1416</v>
      </c>
      <c r="AK53" s="1048" t="s">
        <v>1417</v>
      </c>
      <c r="AL53" s="978" t="s">
        <v>1418</v>
      </c>
      <c r="AX53" s="406"/>
      <c r="AY53" s="406"/>
      <c r="AZ53" s="478"/>
      <c r="BA53" s="465"/>
      <c r="BB53" s="465"/>
      <c r="BC53" s="465"/>
      <c r="CH53" s="478"/>
      <c r="CI53" s="479"/>
      <c r="CJ53" s="479"/>
      <c r="CK53" s="486"/>
      <c r="CL53" s="486"/>
      <c r="CM53" s="486"/>
      <c r="CN53" s="470"/>
      <c r="CO53" s="470"/>
      <c r="CP53" s="470"/>
      <c r="CQ53" s="470"/>
      <c r="CR53" s="470"/>
      <c r="CS53" s="470"/>
      <c r="CT53" s="470"/>
      <c r="CU53" s="470"/>
      <c r="CV53" s="470"/>
      <c r="CW53" s="470"/>
      <c r="CX53" s="470"/>
      <c r="CY53" s="470"/>
      <c r="CZ53" s="470"/>
      <c r="DA53" s="470"/>
      <c r="DB53" s="470"/>
      <c r="DC53" s="470"/>
      <c r="DD53" s="470"/>
      <c r="DE53" s="470"/>
      <c r="DF53" s="470"/>
      <c r="DG53" s="470"/>
      <c r="DH53" s="470"/>
      <c r="DI53" s="470"/>
      <c r="DJ53" s="470"/>
      <c r="DK53" s="470"/>
      <c r="DL53" s="470"/>
      <c r="DM53" s="470"/>
      <c r="DN53" s="470"/>
      <c r="DO53" s="470"/>
      <c r="DP53" s="470"/>
      <c r="DQ53" s="216"/>
      <c r="DR53" s="216"/>
      <c r="DS53" s="216"/>
      <c r="DT53" s="216"/>
    </row>
    <row r="54" spans="1:124" ht="18.75" customHeight="1" x14ac:dyDescent="0.2">
      <c r="A54" s="1775" t="s">
        <v>1358</v>
      </c>
      <c r="B54" s="2242" t="s">
        <v>741</v>
      </c>
      <c r="C54" s="2243"/>
      <c r="D54" s="944" t="s">
        <v>1384</v>
      </c>
      <c r="E54" s="1015" t="s">
        <v>1385</v>
      </c>
      <c r="F54" s="1016" t="s">
        <v>1386</v>
      </c>
      <c r="G54" s="977" t="s">
        <v>1387</v>
      </c>
      <c r="H54" s="978" t="s">
        <v>1388</v>
      </c>
      <c r="I54" s="977" t="s">
        <v>1389</v>
      </c>
      <c r="J54" s="978" t="s">
        <v>1390</v>
      </c>
      <c r="K54" s="977" t="s">
        <v>1391</v>
      </c>
      <c r="L54" s="978" t="s">
        <v>1392</v>
      </c>
      <c r="M54" s="977" t="s">
        <v>1393</v>
      </c>
      <c r="N54" s="978" t="s">
        <v>1394</v>
      </c>
      <c r="O54" s="977" t="s">
        <v>1395</v>
      </c>
      <c r="P54" s="978" t="s">
        <v>1396</v>
      </c>
      <c r="Q54" s="977" t="s">
        <v>1397</v>
      </c>
      <c r="R54" s="978" t="s">
        <v>1398</v>
      </c>
      <c r="S54" s="977" t="s">
        <v>1399</v>
      </c>
      <c r="T54" s="978" t="s">
        <v>1400</v>
      </c>
      <c r="U54" s="977" t="s">
        <v>1401</v>
      </c>
      <c r="V54" s="978" t="s">
        <v>1402</v>
      </c>
      <c r="W54" s="977" t="s">
        <v>1403</v>
      </c>
      <c r="X54" s="978" t="s">
        <v>1404</v>
      </c>
      <c r="Y54" s="977" t="s">
        <v>1405</v>
      </c>
      <c r="Z54" s="978" t="s">
        <v>1406</v>
      </c>
      <c r="AA54" s="977" t="s">
        <v>1407</v>
      </c>
      <c r="AB54" s="978" t="s">
        <v>1408</v>
      </c>
      <c r="AC54" s="977" t="s">
        <v>1409</v>
      </c>
      <c r="AD54" s="978" t="s">
        <v>1410</v>
      </c>
      <c r="AE54" s="977" t="s">
        <v>1411</v>
      </c>
      <c r="AF54" s="978" t="s">
        <v>1412</v>
      </c>
      <c r="AG54" s="1048" t="s">
        <v>1413</v>
      </c>
      <c r="AH54" s="979" t="s">
        <v>1414</v>
      </c>
      <c r="AI54" s="1048" t="s">
        <v>1415</v>
      </c>
      <c r="AJ54" s="978" t="s">
        <v>1416</v>
      </c>
      <c r="AK54" s="1048" t="s">
        <v>1417</v>
      </c>
      <c r="AL54" s="978" t="s">
        <v>1418</v>
      </c>
      <c r="AX54" s="406"/>
      <c r="AY54" s="406"/>
      <c r="AZ54" s="478"/>
      <c r="BA54" s="465" t="e">
        <f>IF(#REF!&lt;=SUM($G$17:$Z$17),"","* Los pacientes diabéticos de 15 a 64 años en tratamiento con IECA o ARA II no deben ser mayor a los pacientes Diabéticos en Control de la sección A. ")</f>
        <v>#REF!</v>
      </c>
      <c r="BB54" s="465" t="e">
        <f>IF(#REF!&lt;=SUM($AA$17:$AH$17),"","* Los pacientes diabéticos de 65+ años y más en tratamiento con IECA o ARA II no deben ser mayor a los pacientes Diabéticos en Control de la sección A. ")</f>
        <v>#REF!</v>
      </c>
      <c r="BC54" s="465" t="e">
        <f>IF(#REF!+#REF!&lt;&gt;$D$54,"* La suma de Sexo debe ser igual al TOTAL de pacientes en tratamiento con IECA o ARA II .","")</f>
        <v>#REF!</v>
      </c>
      <c r="BE54" s="478"/>
      <c r="BF54" s="478"/>
      <c r="BG54" s="478"/>
      <c r="BH54" s="478"/>
      <c r="BI54" s="478"/>
      <c r="BJ54" s="478"/>
      <c r="BK54" s="478"/>
      <c r="BL54" s="478"/>
      <c r="BM54" s="478"/>
      <c r="BN54" s="478"/>
      <c r="BO54" s="478"/>
      <c r="BP54" s="478"/>
      <c r="BQ54" s="478"/>
      <c r="BR54" s="478"/>
      <c r="BS54" s="478"/>
      <c r="BT54" s="478"/>
      <c r="BU54" s="478"/>
      <c r="BV54" s="478"/>
      <c r="BW54" s="478"/>
      <c r="BX54" s="478"/>
      <c r="BY54" s="478"/>
      <c r="BZ54" s="478"/>
      <c r="CA54" s="478"/>
      <c r="CB54" s="478"/>
      <c r="CC54" s="478"/>
      <c r="CD54" s="478"/>
      <c r="CE54" s="478"/>
      <c r="CF54" s="478"/>
      <c r="CG54" s="478"/>
      <c r="CH54" s="478"/>
      <c r="CI54" s="479"/>
      <c r="CJ54" s="479"/>
      <c r="CK54" s="486" t="e">
        <f>IF(#REF!&lt;=SUM($G$17:$Z$17),0,1)</f>
        <v>#REF!</v>
      </c>
      <c r="CL54" s="486" t="e">
        <f>IF(#REF!&lt;=SUM($AA$17:$AH$17),0,1)</f>
        <v>#REF!</v>
      </c>
      <c r="CM54" s="486" t="e">
        <f>IF(#REF!+#REF!&lt;&gt;$D$54,1,0)</f>
        <v>#REF!</v>
      </c>
      <c r="CN54" s="470"/>
      <c r="CO54" s="479"/>
      <c r="CP54" s="479"/>
      <c r="CQ54" s="479"/>
      <c r="CR54" s="479"/>
      <c r="CS54" s="479"/>
      <c r="CT54" s="479"/>
      <c r="CU54" s="479"/>
      <c r="CV54" s="479"/>
      <c r="CW54" s="479"/>
      <c r="CX54" s="479"/>
      <c r="CY54" s="479"/>
      <c r="CZ54" s="479"/>
      <c r="DA54" s="479"/>
      <c r="DB54" s="479"/>
      <c r="DC54" s="479"/>
      <c r="DD54" s="479"/>
      <c r="DE54" s="479"/>
      <c r="DF54" s="479"/>
      <c r="DG54" s="479"/>
      <c r="DH54" s="479"/>
      <c r="DI54" s="479"/>
      <c r="DJ54" s="479"/>
      <c r="DK54" s="479"/>
      <c r="DL54" s="479"/>
      <c r="DM54" s="479"/>
      <c r="DN54" s="479"/>
      <c r="DO54" s="479"/>
      <c r="DP54" s="479"/>
      <c r="DQ54" s="216"/>
      <c r="DR54" s="216"/>
      <c r="DS54" s="216"/>
      <c r="DT54" s="216"/>
    </row>
    <row r="55" spans="1:124" ht="18.75" customHeight="1" x14ac:dyDescent="0.2">
      <c r="A55" s="1775" t="s">
        <v>1359</v>
      </c>
      <c r="B55" s="2244" t="s">
        <v>198</v>
      </c>
      <c r="C55" s="2245"/>
      <c r="D55" s="967" t="s">
        <v>1384</v>
      </c>
      <c r="E55" s="1038" t="s">
        <v>1385</v>
      </c>
      <c r="F55" s="1039" t="s">
        <v>1386</v>
      </c>
      <c r="G55" s="962" t="s">
        <v>1387</v>
      </c>
      <c r="H55" s="963" t="s">
        <v>1388</v>
      </c>
      <c r="I55" s="962" t="s">
        <v>1389</v>
      </c>
      <c r="J55" s="963" t="s">
        <v>1390</v>
      </c>
      <c r="K55" s="962" t="s">
        <v>1391</v>
      </c>
      <c r="L55" s="963" t="s">
        <v>1392</v>
      </c>
      <c r="M55" s="962" t="s">
        <v>1393</v>
      </c>
      <c r="N55" s="963" t="s">
        <v>1394</v>
      </c>
      <c r="O55" s="962" t="s">
        <v>1395</v>
      </c>
      <c r="P55" s="963" t="s">
        <v>1396</v>
      </c>
      <c r="Q55" s="962" t="s">
        <v>1397</v>
      </c>
      <c r="R55" s="963" t="s">
        <v>1398</v>
      </c>
      <c r="S55" s="962" t="s">
        <v>1399</v>
      </c>
      <c r="T55" s="963" t="s">
        <v>1400</v>
      </c>
      <c r="U55" s="962" t="s">
        <v>1401</v>
      </c>
      <c r="V55" s="963" t="s">
        <v>1402</v>
      </c>
      <c r="W55" s="962" t="s">
        <v>1403</v>
      </c>
      <c r="X55" s="963" t="s">
        <v>1404</v>
      </c>
      <c r="Y55" s="962" t="s">
        <v>1405</v>
      </c>
      <c r="Z55" s="963" t="s">
        <v>1406</v>
      </c>
      <c r="AA55" s="962" t="s">
        <v>1407</v>
      </c>
      <c r="AB55" s="963" t="s">
        <v>1408</v>
      </c>
      <c r="AC55" s="962" t="s">
        <v>1409</v>
      </c>
      <c r="AD55" s="963" t="s">
        <v>1410</v>
      </c>
      <c r="AE55" s="962" t="s">
        <v>1411</v>
      </c>
      <c r="AF55" s="963" t="s">
        <v>1412</v>
      </c>
      <c r="AG55" s="1041" t="s">
        <v>1413</v>
      </c>
      <c r="AH55" s="993" t="s">
        <v>1414</v>
      </c>
      <c r="AI55" s="1041" t="s">
        <v>1415</v>
      </c>
      <c r="AJ55" s="963" t="s">
        <v>1416</v>
      </c>
      <c r="AK55" s="1041" t="s">
        <v>1417</v>
      </c>
      <c r="AL55" s="963" t="s">
        <v>1418</v>
      </c>
      <c r="AX55" s="406"/>
      <c r="AY55" s="406"/>
      <c r="AZ55" s="478"/>
      <c r="BA55" s="465" t="e">
        <f>IF(#REF!&lt;=SUM($G$17:$Z$17),"","* Los pacientes diabéticos de 15 a 64 años con exámen de colesterol LDL vigente no deben ser mayor a los pacientes Diabéticos en Control de la sección A. ")</f>
        <v>#REF!</v>
      </c>
      <c r="BB55" s="465" t="e">
        <f>IF(#REF!&lt;=SUM($AA$17:$AH$17),"","* Los pacientes diabéticos de 65+ años y más con exámen de colesterol LDL vigente no deben ser mayor a los pacientes Diabéticos en Control de la sección A. ")</f>
        <v>#REF!</v>
      </c>
      <c r="BC55" s="465" t="e">
        <f>IF(#REF!+#REF!&lt;&gt;$D$55,"* La suma de Sexo debe ser igual al TOTAL de pacientes con exámen de colesterol LDL vigente. ","")</f>
        <v>#REF!</v>
      </c>
      <c r="BE55" s="478"/>
      <c r="BF55" s="478"/>
      <c r="BG55" s="478"/>
      <c r="BH55" s="478"/>
      <c r="BI55" s="478"/>
      <c r="BJ55" s="478"/>
      <c r="BK55" s="478"/>
      <c r="BL55" s="478"/>
      <c r="BM55" s="478"/>
      <c r="BN55" s="478"/>
      <c r="BO55" s="478"/>
      <c r="BP55" s="478"/>
      <c r="BQ55" s="478"/>
      <c r="BR55" s="478"/>
      <c r="BS55" s="478"/>
      <c r="BT55" s="478"/>
      <c r="BU55" s="478"/>
      <c r="BV55" s="478"/>
      <c r="BW55" s="478"/>
      <c r="BX55" s="478"/>
      <c r="BY55" s="478"/>
      <c r="BZ55" s="478"/>
      <c r="CA55" s="478"/>
      <c r="CB55" s="478"/>
      <c r="CC55" s="478"/>
      <c r="CD55" s="478"/>
      <c r="CE55" s="478"/>
      <c r="CF55" s="478"/>
      <c r="CG55" s="478"/>
      <c r="CH55" s="478"/>
      <c r="CI55" s="479"/>
      <c r="CJ55" s="479"/>
      <c r="CK55" s="486" t="e">
        <f>IF(#REF!&lt;=SUM($G$17:$Z$17),0,1)</f>
        <v>#REF!</v>
      </c>
      <c r="CL55" s="486" t="e">
        <f>IF(#REF!&lt;=SUM($AA$17:$AH$17),0,1)</f>
        <v>#REF!</v>
      </c>
      <c r="CM55" s="486" t="e">
        <f>IF(#REF!+#REF!&lt;&gt;$D$55,1,0)</f>
        <v>#REF!</v>
      </c>
      <c r="CN55" s="470"/>
      <c r="CO55" s="479"/>
      <c r="CP55" s="479"/>
      <c r="CQ55" s="479"/>
      <c r="CR55" s="479"/>
      <c r="CS55" s="479"/>
      <c r="CT55" s="479"/>
      <c r="CU55" s="479"/>
      <c r="CV55" s="479"/>
      <c r="CW55" s="479"/>
      <c r="CX55" s="479"/>
      <c r="CY55" s="479"/>
      <c r="CZ55" s="479"/>
      <c r="DA55" s="479"/>
      <c r="DB55" s="479"/>
      <c r="DC55" s="479"/>
      <c r="DD55" s="479"/>
      <c r="DE55" s="479"/>
      <c r="DF55" s="479"/>
      <c r="DG55" s="479"/>
      <c r="DH55" s="479"/>
      <c r="DI55" s="479"/>
      <c r="DJ55" s="479"/>
      <c r="DK55" s="479"/>
      <c r="DL55" s="479"/>
      <c r="DM55" s="479"/>
      <c r="DN55" s="479"/>
      <c r="DO55" s="479"/>
      <c r="DP55" s="479"/>
      <c r="DQ55" s="216"/>
      <c r="DR55" s="216"/>
      <c r="DS55" s="216"/>
      <c r="DT55" s="216"/>
    </row>
    <row r="56" spans="1:124" ht="18.75" customHeight="1" x14ac:dyDescent="0.2">
      <c r="A56" s="1775" t="s">
        <v>1360</v>
      </c>
      <c r="B56" s="2250" t="s">
        <v>707</v>
      </c>
      <c r="C56" s="1380" t="s">
        <v>199</v>
      </c>
      <c r="D56" s="944" t="s">
        <v>1384</v>
      </c>
      <c r="E56" s="1015" t="s">
        <v>1385</v>
      </c>
      <c r="F56" s="1027" t="s">
        <v>1386</v>
      </c>
      <c r="G56" s="977" t="s">
        <v>1387</v>
      </c>
      <c r="H56" s="978" t="s">
        <v>1388</v>
      </c>
      <c r="I56" s="977" t="s">
        <v>1389</v>
      </c>
      <c r="J56" s="978" t="s">
        <v>1390</v>
      </c>
      <c r="K56" s="977" t="s">
        <v>1391</v>
      </c>
      <c r="L56" s="978" t="s">
        <v>1392</v>
      </c>
      <c r="M56" s="977" t="s">
        <v>1393</v>
      </c>
      <c r="N56" s="978" t="s">
        <v>1394</v>
      </c>
      <c r="O56" s="977" t="s">
        <v>1395</v>
      </c>
      <c r="P56" s="978" t="s">
        <v>1396</v>
      </c>
      <c r="Q56" s="977" t="s">
        <v>1397</v>
      </c>
      <c r="R56" s="978" t="s">
        <v>1398</v>
      </c>
      <c r="S56" s="977" t="s">
        <v>1399</v>
      </c>
      <c r="T56" s="978" t="s">
        <v>1400</v>
      </c>
      <c r="U56" s="977" t="s">
        <v>1401</v>
      </c>
      <c r="V56" s="978" t="s">
        <v>1402</v>
      </c>
      <c r="W56" s="977" t="s">
        <v>1403</v>
      </c>
      <c r="X56" s="978" t="s">
        <v>1404</v>
      </c>
      <c r="Y56" s="977" t="s">
        <v>1405</v>
      </c>
      <c r="Z56" s="978" t="s">
        <v>1406</v>
      </c>
      <c r="AA56" s="977" t="s">
        <v>1407</v>
      </c>
      <c r="AB56" s="978" t="s">
        <v>1408</v>
      </c>
      <c r="AC56" s="977" t="s">
        <v>1409</v>
      </c>
      <c r="AD56" s="978" t="s">
        <v>1410</v>
      </c>
      <c r="AE56" s="977" t="s">
        <v>1411</v>
      </c>
      <c r="AF56" s="978" t="s">
        <v>1412</v>
      </c>
      <c r="AG56" s="1048" t="s">
        <v>1413</v>
      </c>
      <c r="AH56" s="979" t="s">
        <v>1414</v>
      </c>
      <c r="AI56" s="1048" t="s">
        <v>1415</v>
      </c>
      <c r="AJ56" s="978" t="s">
        <v>1416</v>
      </c>
      <c r="AK56" s="1048" t="s">
        <v>1417</v>
      </c>
      <c r="AL56" s="978" t="s">
        <v>1418</v>
      </c>
      <c r="AX56" s="406"/>
      <c r="AY56" s="406"/>
      <c r="AZ56" s="478"/>
      <c r="BA56" s="465" t="e">
        <f>IF(SUM(#REF!)&lt;=SUM($G$17:$Z$17),"","* Los pacientes diabéticos de 15 a 64 años con evaluación vigente de pie clasificados como riesgo bajo no deben ser mayor a los pacientes Diabéticos en Control de la sección A. ")</f>
        <v>#REF!</v>
      </c>
      <c r="BB56" s="465" t="e">
        <f>IF(SUM(#REF!)&lt;=SUM($AA$17:$AH$17),"","* Los pacientes diabéticos de 65+ años y más con evaluación vigente de pie clasificados como riesgo bajo no deben ser mayor a los pacientes Diabéticos en Control de la sección A. ")</f>
        <v>#REF!</v>
      </c>
      <c r="BC56" s="465" t="e">
        <f>IF(#REF!+#REF!&lt;&gt;$D$56,"* La suma de Sexo debe ser igual al TOTAL de pacientes con Rbajo. ","")</f>
        <v>#REF!</v>
      </c>
      <c r="BE56" s="478"/>
      <c r="BF56" s="478"/>
      <c r="BG56" s="478"/>
      <c r="BH56" s="478"/>
      <c r="BI56" s="478"/>
      <c r="BJ56" s="478"/>
      <c r="BK56" s="478"/>
      <c r="BL56" s="478"/>
      <c r="BM56" s="478"/>
      <c r="BN56" s="478"/>
      <c r="BO56" s="478"/>
      <c r="BP56" s="478"/>
      <c r="BQ56" s="478"/>
      <c r="BR56" s="478"/>
      <c r="BS56" s="478"/>
      <c r="BT56" s="478"/>
      <c r="BU56" s="478"/>
      <c r="BV56" s="478"/>
      <c r="BW56" s="478"/>
      <c r="BX56" s="478"/>
      <c r="BY56" s="478"/>
      <c r="BZ56" s="478"/>
      <c r="CA56" s="478"/>
      <c r="CB56" s="478"/>
      <c r="CC56" s="478"/>
      <c r="CD56" s="478"/>
      <c r="CE56" s="478"/>
      <c r="CF56" s="478"/>
      <c r="CG56" s="478"/>
      <c r="CH56" s="478"/>
      <c r="CI56" s="479"/>
      <c r="CJ56" s="479"/>
      <c r="CK56" s="486" t="e">
        <f>IF(SUM(#REF!)&lt;=SUM($G$17:$Z$17),0,1)</f>
        <v>#REF!</v>
      </c>
      <c r="CL56" s="486" t="e">
        <f>IF(SUM(#REF!)&lt;=SUM($AA$17:$AH$17),0,1)</f>
        <v>#REF!</v>
      </c>
      <c r="CM56" s="486" t="e">
        <f>IF(#REF!+#REF!&lt;&gt;$D$56,1,0)</f>
        <v>#REF!</v>
      </c>
      <c r="CN56" s="470"/>
      <c r="CO56" s="479"/>
      <c r="CP56" s="479"/>
      <c r="CQ56" s="479"/>
      <c r="CR56" s="479"/>
      <c r="CS56" s="479"/>
      <c r="CT56" s="479"/>
      <c r="CU56" s="479"/>
      <c r="CV56" s="479"/>
      <c r="CW56" s="479"/>
      <c r="CX56" s="479"/>
      <c r="CY56" s="479"/>
      <c r="CZ56" s="479"/>
      <c r="DA56" s="479"/>
      <c r="DB56" s="479"/>
      <c r="DC56" s="479"/>
      <c r="DD56" s="479"/>
      <c r="DE56" s="479"/>
      <c r="DF56" s="479"/>
      <c r="DG56" s="479"/>
      <c r="DH56" s="479"/>
      <c r="DI56" s="479"/>
      <c r="DJ56" s="479"/>
      <c r="DK56" s="479"/>
      <c r="DL56" s="479"/>
      <c r="DM56" s="479"/>
      <c r="DN56" s="479"/>
      <c r="DO56" s="479"/>
      <c r="DP56" s="479"/>
      <c r="DQ56" s="216"/>
      <c r="DR56" s="216"/>
      <c r="DS56" s="216"/>
      <c r="DT56" s="216"/>
    </row>
    <row r="57" spans="1:124" ht="18.75" customHeight="1" x14ac:dyDescent="0.2">
      <c r="A57" s="1775" t="s">
        <v>1361</v>
      </c>
      <c r="B57" s="2250"/>
      <c r="C57" s="1381" t="s">
        <v>200</v>
      </c>
      <c r="D57" s="938" t="s">
        <v>1384</v>
      </c>
      <c r="E57" s="939" t="s">
        <v>1385</v>
      </c>
      <c r="F57" s="1017" t="s">
        <v>1386</v>
      </c>
      <c r="G57" s="957" t="s">
        <v>1387</v>
      </c>
      <c r="H57" s="958" t="s">
        <v>1388</v>
      </c>
      <c r="I57" s="957" t="s">
        <v>1389</v>
      </c>
      <c r="J57" s="958" t="s">
        <v>1390</v>
      </c>
      <c r="K57" s="957" t="s">
        <v>1391</v>
      </c>
      <c r="L57" s="958" t="s">
        <v>1392</v>
      </c>
      <c r="M57" s="957" t="s">
        <v>1393</v>
      </c>
      <c r="N57" s="958" t="s">
        <v>1394</v>
      </c>
      <c r="O57" s="957" t="s">
        <v>1395</v>
      </c>
      <c r="P57" s="958" t="s">
        <v>1396</v>
      </c>
      <c r="Q57" s="957" t="s">
        <v>1397</v>
      </c>
      <c r="R57" s="958" t="s">
        <v>1398</v>
      </c>
      <c r="S57" s="957" t="s">
        <v>1399</v>
      </c>
      <c r="T57" s="958" t="s">
        <v>1400</v>
      </c>
      <c r="U57" s="957" t="s">
        <v>1401</v>
      </c>
      <c r="V57" s="958" t="s">
        <v>1402</v>
      </c>
      <c r="W57" s="957" t="s">
        <v>1403</v>
      </c>
      <c r="X57" s="958" t="s">
        <v>1404</v>
      </c>
      <c r="Y57" s="957" t="s">
        <v>1405</v>
      </c>
      <c r="Z57" s="958" t="s">
        <v>1406</v>
      </c>
      <c r="AA57" s="957" t="s">
        <v>1407</v>
      </c>
      <c r="AB57" s="958" t="s">
        <v>1408</v>
      </c>
      <c r="AC57" s="957" t="s">
        <v>1409</v>
      </c>
      <c r="AD57" s="958" t="s">
        <v>1410</v>
      </c>
      <c r="AE57" s="957" t="s">
        <v>1411</v>
      </c>
      <c r="AF57" s="958" t="s">
        <v>1412</v>
      </c>
      <c r="AG57" s="1044" t="s">
        <v>1413</v>
      </c>
      <c r="AH57" s="966" t="s">
        <v>1414</v>
      </c>
      <c r="AI57" s="1048" t="s">
        <v>1415</v>
      </c>
      <c r="AJ57" s="978" t="s">
        <v>1416</v>
      </c>
      <c r="AK57" s="1048" t="s">
        <v>1417</v>
      </c>
      <c r="AL57" s="978" t="s">
        <v>1418</v>
      </c>
      <c r="AX57" s="406"/>
      <c r="AY57" s="406"/>
      <c r="AZ57" s="478"/>
      <c r="BA57" s="474"/>
      <c r="BB57" s="474"/>
      <c r="BC57" s="465" t="e">
        <f>IF(#REF!+#REF!&lt;&gt;$D$57,"* La suma de Sexo debe ser igual al TOTAL de pacientes con Rmoderado. ","")</f>
        <v>#REF!</v>
      </c>
      <c r="BE57" s="478"/>
      <c r="BF57" s="478"/>
      <c r="BG57" s="478"/>
      <c r="BH57" s="478"/>
      <c r="BI57" s="478"/>
      <c r="BJ57" s="478"/>
      <c r="BK57" s="478"/>
      <c r="BL57" s="478"/>
      <c r="BM57" s="478"/>
      <c r="BN57" s="478"/>
      <c r="BO57" s="478"/>
      <c r="BP57" s="478"/>
      <c r="BQ57" s="478"/>
      <c r="BR57" s="478"/>
      <c r="BS57" s="478"/>
      <c r="BT57" s="478"/>
      <c r="BU57" s="478"/>
      <c r="BV57" s="478"/>
      <c r="BW57" s="478"/>
      <c r="BX57" s="478"/>
      <c r="BY57" s="478"/>
      <c r="BZ57" s="478"/>
      <c r="CA57" s="478"/>
      <c r="CB57" s="478"/>
      <c r="CC57" s="478"/>
      <c r="CD57" s="478"/>
      <c r="CE57" s="478"/>
      <c r="CF57" s="478"/>
      <c r="CG57" s="478"/>
      <c r="CH57" s="478"/>
      <c r="CI57" s="479"/>
      <c r="CJ57" s="479"/>
      <c r="CK57" s="470"/>
      <c r="CL57" s="470"/>
      <c r="CM57" s="486" t="e">
        <f>IF(#REF!+#REF!&lt;&gt;$D$57,1,0)</f>
        <v>#REF!</v>
      </c>
      <c r="CN57" s="470"/>
      <c r="CO57" s="479"/>
      <c r="CP57" s="479"/>
      <c r="CQ57" s="479"/>
      <c r="CR57" s="479"/>
      <c r="CS57" s="479"/>
      <c r="CT57" s="479"/>
      <c r="CU57" s="479"/>
      <c r="CV57" s="479"/>
      <c r="CW57" s="479"/>
      <c r="CX57" s="479"/>
      <c r="CY57" s="479"/>
      <c r="CZ57" s="479"/>
      <c r="DA57" s="479"/>
      <c r="DB57" s="479"/>
      <c r="DC57" s="479"/>
      <c r="DD57" s="479"/>
      <c r="DE57" s="479"/>
      <c r="DF57" s="479"/>
      <c r="DG57" s="479"/>
      <c r="DH57" s="479"/>
      <c r="DI57" s="479"/>
      <c r="DJ57" s="479"/>
      <c r="DK57" s="479"/>
      <c r="DL57" s="479"/>
      <c r="DM57" s="479"/>
      <c r="DN57" s="479"/>
      <c r="DO57" s="479"/>
      <c r="DP57" s="479"/>
      <c r="DQ57" s="216"/>
      <c r="DR57" s="216"/>
      <c r="DS57" s="216"/>
      <c r="DT57" s="216"/>
    </row>
    <row r="58" spans="1:124" ht="18.75" customHeight="1" x14ac:dyDescent="0.2">
      <c r="A58" s="1775" t="s">
        <v>1362</v>
      </c>
      <c r="B58" s="2250"/>
      <c r="C58" s="1382" t="s">
        <v>201</v>
      </c>
      <c r="D58" s="944" t="s">
        <v>1384</v>
      </c>
      <c r="E58" s="1015" t="s">
        <v>1385</v>
      </c>
      <c r="F58" s="1016" t="s">
        <v>1386</v>
      </c>
      <c r="G58" s="957" t="s">
        <v>1387</v>
      </c>
      <c r="H58" s="958" t="s">
        <v>1388</v>
      </c>
      <c r="I58" s="957" t="s">
        <v>1389</v>
      </c>
      <c r="J58" s="958" t="s">
        <v>1390</v>
      </c>
      <c r="K58" s="957" t="s">
        <v>1391</v>
      </c>
      <c r="L58" s="958" t="s">
        <v>1392</v>
      </c>
      <c r="M58" s="957" t="s">
        <v>1393</v>
      </c>
      <c r="N58" s="958" t="s">
        <v>1394</v>
      </c>
      <c r="O58" s="957" t="s">
        <v>1395</v>
      </c>
      <c r="P58" s="958" t="s">
        <v>1396</v>
      </c>
      <c r="Q58" s="957" t="s">
        <v>1397</v>
      </c>
      <c r="R58" s="958" t="s">
        <v>1398</v>
      </c>
      <c r="S58" s="957" t="s">
        <v>1399</v>
      </c>
      <c r="T58" s="958" t="s">
        <v>1400</v>
      </c>
      <c r="U58" s="957" t="s">
        <v>1401</v>
      </c>
      <c r="V58" s="958" t="s">
        <v>1402</v>
      </c>
      <c r="W58" s="957" t="s">
        <v>1403</v>
      </c>
      <c r="X58" s="958" t="s">
        <v>1404</v>
      </c>
      <c r="Y58" s="957" t="s">
        <v>1405</v>
      </c>
      <c r="Z58" s="958" t="s">
        <v>1406</v>
      </c>
      <c r="AA58" s="957" t="s">
        <v>1407</v>
      </c>
      <c r="AB58" s="958" t="s">
        <v>1408</v>
      </c>
      <c r="AC58" s="957" t="s">
        <v>1409</v>
      </c>
      <c r="AD58" s="958" t="s">
        <v>1410</v>
      </c>
      <c r="AE58" s="957" t="s">
        <v>1411</v>
      </c>
      <c r="AF58" s="958" t="s">
        <v>1412</v>
      </c>
      <c r="AG58" s="1044" t="s">
        <v>1413</v>
      </c>
      <c r="AH58" s="966" t="s">
        <v>1414</v>
      </c>
      <c r="AI58" s="1048" t="s">
        <v>1415</v>
      </c>
      <c r="AJ58" s="978" t="s">
        <v>1416</v>
      </c>
      <c r="AK58" s="1048" t="s">
        <v>1417</v>
      </c>
      <c r="AL58" s="978" t="s">
        <v>1418</v>
      </c>
      <c r="AX58" s="406"/>
      <c r="AY58" s="406"/>
      <c r="AZ58" s="478"/>
      <c r="BA58" s="474"/>
      <c r="BB58" s="474"/>
      <c r="BC58" s="465" t="e">
        <f>IF(#REF!+#REF!&lt;&gt;$D$58,"* La suma de Sexo debe ser igual al TOTAL de pacientes con Ralto. ","")</f>
        <v>#REF!</v>
      </c>
      <c r="BE58" s="478"/>
      <c r="BF58" s="478"/>
      <c r="BG58" s="478"/>
      <c r="BH58" s="478"/>
      <c r="BI58" s="478"/>
      <c r="BJ58" s="478"/>
      <c r="BK58" s="478"/>
      <c r="BL58" s="478"/>
      <c r="BM58" s="478"/>
      <c r="BN58" s="478"/>
      <c r="BO58" s="478"/>
      <c r="BP58" s="478"/>
      <c r="BQ58" s="478"/>
      <c r="BR58" s="478"/>
      <c r="BS58" s="478"/>
      <c r="BT58" s="478"/>
      <c r="BU58" s="478"/>
      <c r="BV58" s="478"/>
      <c r="BW58" s="478"/>
      <c r="BX58" s="478"/>
      <c r="BY58" s="478"/>
      <c r="BZ58" s="478"/>
      <c r="CA58" s="478"/>
      <c r="CB58" s="478"/>
      <c r="CC58" s="478"/>
      <c r="CD58" s="478"/>
      <c r="CE58" s="478"/>
      <c r="CF58" s="478"/>
      <c r="CG58" s="478"/>
      <c r="CH58" s="478"/>
      <c r="CI58" s="479"/>
      <c r="CJ58" s="479"/>
      <c r="CK58" s="470"/>
      <c r="CL58" s="470"/>
      <c r="CM58" s="486" t="e">
        <f>IF(#REF!+#REF!&lt;&gt;$D$58,1,0)</f>
        <v>#REF!</v>
      </c>
      <c r="CN58" s="470"/>
      <c r="CO58" s="479"/>
      <c r="CP58" s="479"/>
      <c r="CQ58" s="479"/>
      <c r="CR58" s="479"/>
      <c r="CS58" s="479"/>
      <c r="CT58" s="479"/>
      <c r="CU58" s="479"/>
      <c r="CV58" s="479"/>
      <c r="CW58" s="479"/>
      <c r="CX58" s="479"/>
      <c r="CY58" s="479"/>
      <c r="CZ58" s="479"/>
      <c r="DA58" s="479"/>
      <c r="DB58" s="479"/>
      <c r="DC58" s="479"/>
      <c r="DD58" s="479"/>
      <c r="DE58" s="479"/>
      <c r="DF58" s="479"/>
      <c r="DG58" s="479"/>
      <c r="DH58" s="479"/>
      <c r="DI58" s="479"/>
      <c r="DJ58" s="479"/>
      <c r="DK58" s="479"/>
      <c r="DL58" s="479"/>
      <c r="DM58" s="479"/>
      <c r="DN58" s="479"/>
      <c r="DO58" s="479"/>
      <c r="DP58" s="479"/>
      <c r="DQ58" s="216"/>
      <c r="DR58" s="216"/>
      <c r="DS58" s="216"/>
      <c r="DT58" s="216"/>
    </row>
    <row r="59" spans="1:124" ht="18.75" customHeight="1" x14ac:dyDescent="0.2">
      <c r="A59" s="1775" t="s">
        <v>1363</v>
      </c>
      <c r="B59" s="2250"/>
      <c r="C59" s="1383" t="s">
        <v>202</v>
      </c>
      <c r="D59" s="941" t="s">
        <v>1384</v>
      </c>
      <c r="E59" s="942" t="s">
        <v>1385</v>
      </c>
      <c r="F59" s="1019" t="s">
        <v>1386</v>
      </c>
      <c r="G59" s="962" t="s">
        <v>1387</v>
      </c>
      <c r="H59" s="963" t="s">
        <v>1388</v>
      </c>
      <c r="I59" s="962" t="s">
        <v>1389</v>
      </c>
      <c r="J59" s="963" t="s">
        <v>1390</v>
      </c>
      <c r="K59" s="962" t="s">
        <v>1391</v>
      </c>
      <c r="L59" s="963" t="s">
        <v>1392</v>
      </c>
      <c r="M59" s="962" t="s">
        <v>1393</v>
      </c>
      <c r="N59" s="963" t="s">
        <v>1394</v>
      </c>
      <c r="O59" s="962" t="s">
        <v>1395</v>
      </c>
      <c r="P59" s="963" t="s">
        <v>1396</v>
      </c>
      <c r="Q59" s="962" t="s">
        <v>1397</v>
      </c>
      <c r="R59" s="963" t="s">
        <v>1398</v>
      </c>
      <c r="S59" s="962" t="s">
        <v>1399</v>
      </c>
      <c r="T59" s="963" t="s">
        <v>1400</v>
      </c>
      <c r="U59" s="962" t="s">
        <v>1401</v>
      </c>
      <c r="V59" s="963" t="s">
        <v>1402</v>
      </c>
      <c r="W59" s="962" t="s">
        <v>1403</v>
      </c>
      <c r="X59" s="963" t="s">
        <v>1404</v>
      </c>
      <c r="Y59" s="962" t="s">
        <v>1405</v>
      </c>
      <c r="Z59" s="963" t="s">
        <v>1406</v>
      </c>
      <c r="AA59" s="962" t="s">
        <v>1407</v>
      </c>
      <c r="AB59" s="963" t="s">
        <v>1408</v>
      </c>
      <c r="AC59" s="962" t="s">
        <v>1409</v>
      </c>
      <c r="AD59" s="963" t="s">
        <v>1410</v>
      </c>
      <c r="AE59" s="962" t="s">
        <v>1411</v>
      </c>
      <c r="AF59" s="963" t="s">
        <v>1412</v>
      </c>
      <c r="AG59" s="1041" t="s">
        <v>1413</v>
      </c>
      <c r="AH59" s="993" t="s">
        <v>1414</v>
      </c>
      <c r="AI59" s="1041" t="s">
        <v>1415</v>
      </c>
      <c r="AJ59" s="963" t="s">
        <v>1416</v>
      </c>
      <c r="AK59" s="1041" t="s">
        <v>1417</v>
      </c>
      <c r="AL59" s="963" t="s">
        <v>1418</v>
      </c>
      <c r="AX59" s="406"/>
      <c r="AY59" s="406"/>
      <c r="AZ59" s="478"/>
      <c r="BA59" s="474"/>
      <c r="BB59" s="474"/>
      <c r="BC59" s="465" t="e">
        <f>IF(#REF!+#REF!&lt;&gt;$D$59,"* La suma de Sexo debe ser igual al TOTAL de pacientes con Rmáximo. ","")</f>
        <v>#REF!</v>
      </c>
      <c r="BE59" s="478"/>
      <c r="BF59" s="478"/>
      <c r="BG59" s="478"/>
      <c r="BH59" s="478"/>
      <c r="BI59" s="478"/>
      <c r="BJ59" s="478"/>
      <c r="BK59" s="478"/>
      <c r="BL59" s="478"/>
      <c r="BM59" s="478"/>
      <c r="BN59" s="478"/>
      <c r="BO59" s="478"/>
      <c r="BP59" s="478"/>
      <c r="BQ59" s="478"/>
      <c r="BR59" s="478"/>
      <c r="BS59" s="478"/>
      <c r="BT59" s="478"/>
      <c r="BU59" s="478"/>
      <c r="BV59" s="478"/>
      <c r="BW59" s="478"/>
      <c r="BX59" s="478"/>
      <c r="BY59" s="478"/>
      <c r="BZ59" s="478"/>
      <c r="CA59" s="478"/>
      <c r="CB59" s="478"/>
      <c r="CC59" s="478"/>
      <c r="CD59" s="478"/>
      <c r="CE59" s="478"/>
      <c r="CF59" s="478"/>
      <c r="CG59" s="478"/>
      <c r="CH59" s="478"/>
      <c r="CI59" s="479"/>
      <c r="CJ59" s="479"/>
      <c r="CK59" s="470"/>
      <c r="CL59" s="470"/>
      <c r="CM59" s="486" t="e">
        <f>IF(#REF!+#REF!&lt;&gt;$D$59,1,0)</f>
        <v>#REF!</v>
      </c>
      <c r="CN59" s="470"/>
      <c r="CO59" s="479"/>
      <c r="CP59" s="479"/>
      <c r="CQ59" s="479"/>
      <c r="CR59" s="479"/>
      <c r="CS59" s="479"/>
      <c r="CT59" s="479"/>
      <c r="CU59" s="479"/>
      <c r="CV59" s="479"/>
      <c r="CW59" s="479"/>
      <c r="CX59" s="479"/>
      <c r="CY59" s="479"/>
      <c r="CZ59" s="479"/>
      <c r="DA59" s="479"/>
      <c r="DB59" s="479"/>
      <c r="DC59" s="479"/>
      <c r="DD59" s="479"/>
      <c r="DE59" s="479"/>
      <c r="DF59" s="479"/>
      <c r="DG59" s="479"/>
      <c r="DH59" s="479"/>
      <c r="DI59" s="479"/>
      <c r="DJ59" s="479"/>
      <c r="DK59" s="479"/>
      <c r="DL59" s="479"/>
      <c r="DM59" s="479"/>
      <c r="DN59" s="479"/>
      <c r="DO59" s="479"/>
      <c r="DP59" s="479"/>
      <c r="DQ59" s="216"/>
      <c r="DR59" s="216"/>
      <c r="DS59" s="216"/>
      <c r="DT59" s="216"/>
    </row>
    <row r="60" spans="1:124" ht="18.75" customHeight="1" x14ac:dyDescent="0.2">
      <c r="A60" s="1775" t="s">
        <v>1364</v>
      </c>
      <c r="B60" s="2240" t="s">
        <v>203</v>
      </c>
      <c r="C60" s="1382" t="s">
        <v>204</v>
      </c>
      <c r="D60" s="944" t="s">
        <v>1384</v>
      </c>
      <c r="E60" s="1015" t="s">
        <v>1385</v>
      </c>
      <c r="F60" s="1027" t="s">
        <v>1386</v>
      </c>
      <c r="G60" s="977" t="s">
        <v>1387</v>
      </c>
      <c r="H60" s="978" t="s">
        <v>1388</v>
      </c>
      <c r="I60" s="977" t="s">
        <v>1389</v>
      </c>
      <c r="J60" s="978" t="s">
        <v>1390</v>
      </c>
      <c r="K60" s="977" t="s">
        <v>1391</v>
      </c>
      <c r="L60" s="978" t="s">
        <v>1392</v>
      </c>
      <c r="M60" s="977" t="s">
        <v>1393</v>
      </c>
      <c r="N60" s="978" t="s">
        <v>1394</v>
      </c>
      <c r="O60" s="977" t="s">
        <v>1395</v>
      </c>
      <c r="P60" s="978" t="s">
        <v>1396</v>
      </c>
      <c r="Q60" s="977" t="s">
        <v>1397</v>
      </c>
      <c r="R60" s="978" t="s">
        <v>1398</v>
      </c>
      <c r="S60" s="977" t="s">
        <v>1399</v>
      </c>
      <c r="T60" s="978" t="s">
        <v>1400</v>
      </c>
      <c r="U60" s="977" t="s">
        <v>1401</v>
      </c>
      <c r="V60" s="978" t="s">
        <v>1402</v>
      </c>
      <c r="W60" s="977" t="s">
        <v>1403</v>
      </c>
      <c r="X60" s="978" t="s">
        <v>1404</v>
      </c>
      <c r="Y60" s="977" t="s">
        <v>1405</v>
      </c>
      <c r="Z60" s="978" t="s">
        <v>1406</v>
      </c>
      <c r="AA60" s="977" t="s">
        <v>1407</v>
      </c>
      <c r="AB60" s="978" t="s">
        <v>1408</v>
      </c>
      <c r="AC60" s="977" t="s">
        <v>1409</v>
      </c>
      <c r="AD60" s="978" t="s">
        <v>1410</v>
      </c>
      <c r="AE60" s="977" t="s">
        <v>1411</v>
      </c>
      <c r="AF60" s="978" t="s">
        <v>1412</v>
      </c>
      <c r="AG60" s="1048" t="s">
        <v>1413</v>
      </c>
      <c r="AH60" s="979" t="s">
        <v>1414</v>
      </c>
      <c r="AI60" s="1048" t="s">
        <v>1415</v>
      </c>
      <c r="AJ60" s="978" t="s">
        <v>1416</v>
      </c>
      <c r="AK60" s="1048" t="s">
        <v>1417</v>
      </c>
      <c r="AL60" s="978" t="s">
        <v>1418</v>
      </c>
      <c r="AX60" s="406"/>
      <c r="AY60" s="406"/>
      <c r="AZ60" s="474"/>
      <c r="BA60" s="465" t="e">
        <f>IF((#REF!+#REF!)&lt;=SUM($G$17:$Z$17),"","* Los pacientes diabéticos de 15 a 64 años con úlceras activas de pie tratadas con curación convencional 0 avanzada no deben ser mayor a los pacientes Diabéticos en Control de la sección A. ")</f>
        <v>#REF!</v>
      </c>
      <c r="BB60" s="465" t="e">
        <f>IF((#REF!+#REF!)&lt;=SUM($AA$17:$AH$17),"","* Los pacientes diabéticos de 65+ años con úlceras activas de pie tratadas con curación convencional o avanzada no deben ser mayor a los pacientes Diabéticos en Control de la sección A. ")</f>
        <v>#REF!</v>
      </c>
      <c r="BC60" s="465" t="e">
        <f>IF(#REF!+#REF!&lt;&gt;$D$60,"* La suma de Sexo debe ser igual al TOTAL de pacientes con úlceras activas de pie tratadas con curación convencional de heridas. ","")</f>
        <v>#REF!</v>
      </c>
      <c r="BG60" s="478"/>
      <c r="BH60" s="478"/>
      <c r="BI60" s="478"/>
      <c r="BJ60" s="478"/>
      <c r="BK60" s="478"/>
      <c r="BL60" s="478"/>
      <c r="BM60" s="478"/>
      <c r="BN60" s="478"/>
      <c r="BO60" s="478"/>
      <c r="BP60" s="478"/>
      <c r="BQ60" s="478"/>
      <c r="BR60" s="478"/>
      <c r="BS60" s="478"/>
      <c r="BT60" s="478"/>
      <c r="BU60" s="478"/>
      <c r="BV60" s="478"/>
      <c r="BW60" s="478"/>
      <c r="BX60" s="478"/>
      <c r="BY60" s="478"/>
      <c r="BZ60" s="478"/>
      <c r="CA60" s="478"/>
      <c r="CB60" s="478"/>
      <c r="CC60" s="478"/>
      <c r="CD60" s="478"/>
      <c r="CE60" s="478"/>
      <c r="CF60" s="478"/>
      <c r="CG60" s="478"/>
      <c r="CH60" s="478"/>
      <c r="CI60" s="479"/>
      <c r="CJ60" s="479"/>
      <c r="CK60" s="486" t="e">
        <f>IF((#REF!+#REF!)&lt;=SUM($G$17:$Z$17),0,1)</f>
        <v>#REF!</v>
      </c>
      <c r="CL60" s="486" t="e">
        <f>IF((#REF!+#REF!)&lt;=SUM($AA$17:$AH$17),0,1)</f>
        <v>#REF!</v>
      </c>
      <c r="CM60" s="486" t="e">
        <f>IF(#REF!+#REF!&lt;&gt;$D$60,1,0)</f>
        <v>#REF!</v>
      </c>
      <c r="CN60" s="470"/>
      <c r="CO60" s="470"/>
      <c r="CP60" s="470"/>
      <c r="CQ60" s="479"/>
      <c r="CR60" s="479"/>
      <c r="CS60" s="479"/>
      <c r="CT60" s="479"/>
      <c r="CU60" s="479"/>
      <c r="CV60" s="479"/>
      <c r="CW60" s="479"/>
      <c r="CX60" s="479"/>
      <c r="CY60" s="479"/>
      <c r="CZ60" s="479"/>
      <c r="DA60" s="479"/>
      <c r="DB60" s="479"/>
      <c r="DC60" s="479"/>
      <c r="DD60" s="479"/>
      <c r="DE60" s="479"/>
      <c r="DF60" s="479"/>
      <c r="DG60" s="479"/>
      <c r="DH60" s="479"/>
      <c r="DI60" s="479"/>
      <c r="DJ60" s="479"/>
      <c r="DK60" s="479"/>
      <c r="DL60" s="479"/>
      <c r="DM60" s="479"/>
      <c r="DN60" s="479"/>
      <c r="DO60" s="479"/>
      <c r="DP60" s="479"/>
      <c r="DQ60" s="216"/>
      <c r="DR60" s="216"/>
      <c r="DS60" s="216"/>
      <c r="DT60" s="216"/>
    </row>
    <row r="61" spans="1:124" ht="18.75" customHeight="1" x14ac:dyDescent="0.2">
      <c r="A61" s="1775" t="s">
        <v>1365</v>
      </c>
      <c r="B61" s="2241"/>
      <c r="C61" s="1383" t="s">
        <v>205</v>
      </c>
      <c r="D61" s="941" t="s">
        <v>1384</v>
      </c>
      <c r="E61" s="942" t="s">
        <v>1385</v>
      </c>
      <c r="F61" s="1031" t="s">
        <v>1386</v>
      </c>
      <c r="G61" s="962" t="s">
        <v>1387</v>
      </c>
      <c r="H61" s="963" t="s">
        <v>1388</v>
      </c>
      <c r="I61" s="962" t="s">
        <v>1389</v>
      </c>
      <c r="J61" s="963" t="s">
        <v>1390</v>
      </c>
      <c r="K61" s="962" t="s">
        <v>1391</v>
      </c>
      <c r="L61" s="963" t="s">
        <v>1392</v>
      </c>
      <c r="M61" s="962" t="s">
        <v>1393</v>
      </c>
      <c r="N61" s="963" t="s">
        <v>1394</v>
      </c>
      <c r="O61" s="962" t="s">
        <v>1395</v>
      </c>
      <c r="P61" s="963" t="s">
        <v>1396</v>
      </c>
      <c r="Q61" s="962" t="s">
        <v>1397</v>
      </c>
      <c r="R61" s="963" t="s">
        <v>1398</v>
      </c>
      <c r="S61" s="962" t="s">
        <v>1399</v>
      </c>
      <c r="T61" s="963" t="s">
        <v>1400</v>
      </c>
      <c r="U61" s="962" t="s">
        <v>1401</v>
      </c>
      <c r="V61" s="963" t="s">
        <v>1402</v>
      </c>
      <c r="W61" s="962" t="s">
        <v>1403</v>
      </c>
      <c r="X61" s="963" t="s">
        <v>1404</v>
      </c>
      <c r="Y61" s="962" t="s">
        <v>1405</v>
      </c>
      <c r="Z61" s="963" t="s">
        <v>1406</v>
      </c>
      <c r="AA61" s="962" t="s">
        <v>1407</v>
      </c>
      <c r="AB61" s="963" t="s">
        <v>1408</v>
      </c>
      <c r="AC61" s="962" t="s">
        <v>1409</v>
      </c>
      <c r="AD61" s="963" t="s">
        <v>1410</v>
      </c>
      <c r="AE61" s="962" t="s">
        <v>1411</v>
      </c>
      <c r="AF61" s="963" t="s">
        <v>1412</v>
      </c>
      <c r="AG61" s="1041" t="s">
        <v>1413</v>
      </c>
      <c r="AH61" s="993" t="s">
        <v>1414</v>
      </c>
      <c r="AI61" s="1041" t="s">
        <v>1415</v>
      </c>
      <c r="AJ61" s="963" t="s">
        <v>1416</v>
      </c>
      <c r="AK61" s="1041" t="s">
        <v>1417</v>
      </c>
      <c r="AL61" s="963" t="s">
        <v>1418</v>
      </c>
      <c r="AX61" s="406"/>
      <c r="AY61" s="406"/>
      <c r="AZ61" s="474"/>
      <c r="BA61" s="474"/>
      <c r="BB61" s="474"/>
      <c r="BC61" s="465" t="e">
        <f>IF(#REF!+#REF!&lt;&gt;$D61,"* La suma de Sexo debe ser igual al TOTAL de pacientes con úlceras activas de pie tratadas con curación avanzada de heridas. ","")</f>
        <v>#REF!</v>
      </c>
      <c r="BE61" s="478"/>
      <c r="BF61" s="478"/>
      <c r="BG61" s="478"/>
      <c r="BH61" s="478"/>
      <c r="BI61" s="478"/>
      <c r="BJ61" s="478"/>
      <c r="BK61" s="478"/>
      <c r="BL61" s="478"/>
      <c r="BM61" s="478"/>
      <c r="BN61" s="478"/>
      <c r="BO61" s="478"/>
      <c r="BP61" s="478"/>
      <c r="BQ61" s="478"/>
      <c r="BR61" s="478"/>
      <c r="BS61" s="478"/>
      <c r="BT61" s="478"/>
      <c r="BU61" s="478"/>
      <c r="BV61" s="478"/>
      <c r="BW61" s="478"/>
      <c r="BX61" s="478"/>
      <c r="BY61" s="478"/>
      <c r="BZ61" s="478"/>
      <c r="CA61" s="478"/>
      <c r="CB61" s="478"/>
      <c r="CC61" s="478"/>
      <c r="CD61" s="478"/>
      <c r="CE61" s="478"/>
      <c r="CF61" s="478"/>
      <c r="CG61" s="478"/>
      <c r="CI61" s="470"/>
      <c r="CJ61" s="470"/>
      <c r="CK61" s="470"/>
      <c r="CL61" s="470"/>
      <c r="CM61" s="486" t="e">
        <f>IF(#REF!+#REF!&lt;&gt;$D61,1,0)</f>
        <v>#REF!</v>
      </c>
      <c r="CN61" s="470"/>
      <c r="CO61" s="479"/>
      <c r="CP61" s="479"/>
      <c r="CQ61" s="479"/>
      <c r="CR61" s="479"/>
      <c r="CS61" s="479"/>
      <c r="CT61" s="479"/>
      <c r="CU61" s="479"/>
      <c r="CV61" s="479"/>
      <c r="CW61" s="479"/>
      <c r="CX61" s="479"/>
      <c r="CY61" s="479"/>
      <c r="CZ61" s="479"/>
      <c r="DA61" s="479"/>
      <c r="DB61" s="479"/>
      <c r="DC61" s="479"/>
      <c r="DD61" s="479"/>
      <c r="DE61" s="479"/>
      <c r="DF61" s="479"/>
      <c r="DG61" s="479"/>
      <c r="DH61" s="479"/>
      <c r="DI61" s="479"/>
      <c r="DJ61" s="479"/>
      <c r="DK61" s="479"/>
      <c r="DL61" s="479"/>
      <c r="DM61" s="479"/>
      <c r="DN61" s="479"/>
      <c r="DO61" s="479"/>
      <c r="DP61" s="479"/>
      <c r="DQ61" s="216"/>
      <c r="DR61" s="216"/>
      <c r="DS61" s="216"/>
      <c r="DT61" s="216"/>
    </row>
    <row r="62" spans="1:124" ht="18.75" customHeight="1" x14ac:dyDescent="0.2">
      <c r="A62" s="1775" t="s">
        <v>1366</v>
      </c>
      <c r="B62" s="2183" t="s">
        <v>656</v>
      </c>
      <c r="C62" s="2184"/>
      <c r="D62" s="944" t="s">
        <v>1384</v>
      </c>
      <c r="E62" s="1015" t="s">
        <v>1385</v>
      </c>
      <c r="F62" s="1027" t="s">
        <v>1386</v>
      </c>
      <c r="G62" s="977" t="s">
        <v>1387</v>
      </c>
      <c r="H62" s="978" t="s">
        <v>1388</v>
      </c>
      <c r="I62" s="977" t="s">
        <v>1389</v>
      </c>
      <c r="J62" s="978" t="s">
        <v>1390</v>
      </c>
      <c r="K62" s="977" t="s">
        <v>1391</v>
      </c>
      <c r="L62" s="978" t="s">
        <v>1392</v>
      </c>
      <c r="M62" s="977" t="s">
        <v>1393</v>
      </c>
      <c r="N62" s="978" t="s">
        <v>1394</v>
      </c>
      <c r="O62" s="977" t="s">
        <v>1395</v>
      </c>
      <c r="P62" s="978" t="s">
        <v>1396</v>
      </c>
      <c r="Q62" s="977" t="s">
        <v>1397</v>
      </c>
      <c r="R62" s="978" t="s">
        <v>1398</v>
      </c>
      <c r="S62" s="977" t="s">
        <v>1399</v>
      </c>
      <c r="T62" s="978" t="s">
        <v>1400</v>
      </c>
      <c r="U62" s="977" t="s">
        <v>1401</v>
      </c>
      <c r="V62" s="978" t="s">
        <v>1402</v>
      </c>
      <c r="W62" s="977" t="s">
        <v>1403</v>
      </c>
      <c r="X62" s="978" t="s">
        <v>1404</v>
      </c>
      <c r="Y62" s="977" t="s">
        <v>1405</v>
      </c>
      <c r="Z62" s="978" t="s">
        <v>1406</v>
      </c>
      <c r="AA62" s="977" t="s">
        <v>1407</v>
      </c>
      <c r="AB62" s="978" t="s">
        <v>1408</v>
      </c>
      <c r="AC62" s="977" t="s">
        <v>1409</v>
      </c>
      <c r="AD62" s="978" t="s">
        <v>1410</v>
      </c>
      <c r="AE62" s="977" t="s">
        <v>1411</v>
      </c>
      <c r="AF62" s="978" t="s">
        <v>1412</v>
      </c>
      <c r="AG62" s="1048" t="s">
        <v>1413</v>
      </c>
      <c r="AH62" s="979" t="s">
        <v>1414</v>
      </c>
      <c r="AI62" s="1048" t="s">
        <v>1415</v>
      </c>
      <c r="AJ62" s="978" t="s">
        <v>1416</v>
      </c>
      <c r="AK62" s="1048" t="s">
        <v>1417</v>
      </c>
      <c r="AL62" s="978" t="s">
        <v>1418</v>
      </c>
      <c r="AX62" s="406"/>
      <c r="AY62" s="406"/>
      <c r="AZ62" s="474"/>
      <c r="BA62" s="474"/>
      <c r="BB62" s="474"/>
      <c r="BC62" s="465" t="e">
        <f>IF(#REF!+#REF!&lt;&gt;$D62,"* La suma de Sexo debe ser igual al TOTAL de pacientes con amputación por pie diabético. ","")</f>
        <v>#REF!</v>
      </c>
      <c r="BE62" s="478"/>
      <c r="BF62" s="478"/>
      <c r="BG62" s="478"/>
      <c r="BH62" s="478"/>
      <c r="BI62" s="478"/>
      <c r="BJ62" s="478"/>
      <c r="BK62" s="478"/>
      <c r="BL62" s="478"/>
      <c r="BM62" s="478"/>
      <c r="BN62" s="478"/>
      <c r="BO62" s="478"/>
      <c r="BP62" s="478"/>
      <c r="BQ62" s="478"/>
      <c r="BR62" s="478"/>
      <c r="BS62" s="478"/>
      <c r="BT62" s="478"/>
      <c r="BU62" s="478"/>
      <c r="BV62" s="478"/>
      <c r="BW62" s="478"/>
      <c r="BX62" s="478"/>
      <c r="BY62" s="478"/>
      <c r="BZ62" s="478"/>
      <c r="CA62" s="478"/>
      <c r="CB62" s="478"/>
      <c r="CC62" s="478"/>
      <c r="CD62" s="478"/>
      <c r="CE62" s="478"/>
      <c r="CF62" s="478"/>
      <c r="CG62" s="478"/>
      <c r="CI62" s="470"/>
      <c r="CJ62" s="470"/>
      <c r="CK62" s="470"/>
      <c r="CL62" s="470"/>
      <c r="CM62" s="486" t="e">
        <f>IF(#REF!+#REF!&lt;&gt;$D62,1,0)</f>
        <v>#REF!</v>
      </c>
      <c r="CN62" s="470"/>
      <c r="CO62" s="479"/>
      <c r="CP62" s="479"/>
      <c r="CQ62" s="479"/>
      <c r="CR62" s="479"/>
      <c r="CS62" s="479"/>
      <c r="CT62" s="479"/>
      <c r="CU62" s="479"/>
      <c r="CV62" s="479"/>
      <c r="CW62" s="479"/>
      <c r="CX62" s="479"/>
      <c r="CY62" s="479"/>
      <c r="CZ62" s="479"/>
      <c r="DA62" s="479"/>
      <c r="DB62" s="479"/>
      <c r="DC62" s="479"/>
      <c r="DD62" s="479"/>
      <c r="DE62" s="479"/>
      <c r="DF62" s="479"/>
      <c r="DG62" s="479"/>
      <c r="DH62" s="479"/>
      <c r="DI62" s="479"/>
      <c r="DJ62" s="479"/>
      <c r="DK62" s="479"/>
      <c r="DL62" s="479"/>
      <c r="DM62" s="479"/>
      <c r="DN62" s="479"/>
      <c r="DO62" s="479"/>
      <c r="DP62" s="479"/>
      <c r="DQ62" s="216"/>
      <c r="DR62" s="216"/>
      <c r="DS62" s="216"/>
      <c r="DT62" s="216"/>
    </row>
    <row r="63" spans="1:124" ht="18.75" customHeight="1" x14ac:dyDescent="0.2">
      <c r="A63" s="1775" t="s">
        <v>1367</v>
      </c>
      <c r="B63" s="2185" t="s">
        <v>659</v>
      </c>
      <c r="C63" s="2186"/>
      <c r="D63" s="938" t="s">
        <v>1384</v>
      </c>
      <c r="E63" s="939" t="s">
        <v>1385</v>
      </c>
      <c r="F63" s="1021" t="s">
        <v>1386</v>
      </c>
      <c r="G63" s="957" t="s">
        <v>1387</v>
      </c>
      <c r="H63" s="958" t="s">
        <v>1388</v>
      </c>
      <c r="I63" s="957" t="s">
        <v>1389</v>
      </c>
      <c r="J63" s="958" t="s">
        <v>1390</v>
      </c>
      <c r="K63" s="957" t="s">
        <v>1391</v>
      </c>
      <c r="L63" s="958" t="s">
        <v>1392</v>
      </c>
      <c r="M63" s="957" t="s">
        <v>1393</v>
      </c>
      <c r="N63" s="958" t="s">
        <v>1394</v>
      </c>
      <c r="O63" s="957" t="s">
        <v>1395</v>
      </c>
      <c r="P63" s="958" t="s">
        <v>1396</v>
      </c>
      <c r="Q63" s="957" t="s">
        <v>1397</v>
      </c>
      <c r="R63" s="958" t="s">
        <v>1398</v>
      </c>
      <c r="S63" s="957" t="s">
        <v>1399</v>
      </c>
      <c r="T63" s="958" t="s">
        <v>1400</v>
      </c>
      <c r="U63" s="957" t="s">
        <v>1401</v>
      </c>
      <c r="V63" s="958" t="s">
        <v>1402</v>
      </c>
      <c r="W63" s="957" t="s">
        <v>1403</v>
      </c>
      <c r="X63" s="958" t="s">
        <v>1404</v>
      </c>
      <c r="Y63" s="957" t="s">
        <v>1405</v>
      </c>
      <c r="Z63" s="958" t="s">
        <v>1406</v>
      </c>
      <c r="AA63" s="957" t="s">
        <v>1407</v>
      </c>
      <c r="AB63" s="958" t="s">
        <v>1408</v>
      </c>
      <c r="AC63" s="957" t="s">
        <v>1409</v>
      </c>
      <c r="AD63" s="958" t="s">
        <v>1410</v>
      </c>
      <c r="AE63" s="957" t="s">
        <v>1411</v>
      </c>
      <c r="AF63" s="958" t="s">
        <v>1412</v>
      </c>
      <c r="AG63" s="1044" t="s">
        <v>1413</v>
      </c>
      <c r="AH63" s="966" t="s">
        <v>1414</v>
      </c>
      <c r="AI63" s="1048" t="s">
        <v>1415</v>
      </c>
      <c r="AJ63" s="978" t="s">
        <v>1416</v>
      </c>
      <c r="AK63" s="1048" t="s">
        <v>1417</v>
      </c>
      <c r="AL63" s="978" t="s">
        <v>1418</v>
      </c>
      <c r="AX63" s="406"/>
      <c r="AY63" s="406"/>
      <c r="AZ63" s="474"/>
      <c r="BA63" s="474"/>
      <c r="BB63" s="474"/>
      <c r="BC63" s="465" t="e">
        <f>IF(#REF!+#REF!&lt;&gt;$D63,"* La suma de Sexo debe ser igual al TOTAL de pacientes con diagnóstico asociado de hipertensión arterial. ","")</f>
        <v>#REF!</v>
      </c>
      <c r="BE63" s="478"/>
      <c r="BF63" s="478"/>
      <c r="BG63" s="478"/>
      <c r="BH63" s="478"/>
      <c r="BI63" s="478"/>
      <c r="BJ63" s="478"/>
      <c r="BK63" s="478"/>
      <c r="BL63" s="478"/>
      <c r="BM63" s="478"/>
      <c r="BN63" s="478"/>
      <c r="BO63" s="478"/>
      <c r="BP63" s="478"/>
      <c r="BQ63" s="478"/>
      <c r="BR63" s="478"/>
      <c r="BS63" s="478"/>
      <c r="BT63" s="478"/>
      <c r="BU63" s="478"/>
      <c r="BV63" s="478"/>
      <c r="BW63" s="478"/>
      <c r="BX63" s="478"/>
      <c r="BY63" s="478"/>
      <c r="BZ63" s="478"/>
      <c r="CA63" s="478"/>
      <c r="CB63" s="478"/>
      <c r="CC63" s="478"/>
      <c r="CD63" s="478"/>
      <c r="CE63" s="478"/>
      <c r="CF63" s="478"/>
      <c r="CG63" s="478"/>
      <c r="CI63" s="470"/>
      <c r="CJ63" s="470"/>
      <c r="CK63" s="470"/>
      <c r="CL63" s="470"/>
      <c r="CM63" s="486" t="e">
        <f>IF(#REF!+#REF!&lt;&gt;$D63,1,0)</f>
        <v>#REF!</v>
      </c>
      <c r="CN63" s="470"/>
      <c r="CO63" s="479"/>
      <c r="CP63" s="479"/>
      <c r="CQ63" s="479"/>
      <c r="CR63" s="479"/>
      <c r="CS63" s="479"/>
      <c r="CT63" s="479"/>
      <c r="CU63" s="479"/>
      <c r="CV63" s="479"/>
      <c r="CW63" s="479"/>
      <c r="CX63" s="479"/>
      <c r="CY63" s="479"/>
      <c r="CZ63" s="479"/>
      <c r="DA63" s="479"/>
      <c r="DB63" s="479"/>
      <c r="DC63" s="479"/>
      <c r="DD63" s="479"/>
      <c r="DE63" s="479"/>
      <c r="DF63" s="479"/>
      <c r="DG63" s="479"/>
      <c r="DH63" s="479"/>
      <c r="DI63" s="479"/>
      <c r="DJ63" s="479"/>
      <c r="DK63" s="479"/>
      <c r="DL63" s="479"/>
      <c r="DM63" s="479"/>
      <c r="DN63" s="479"/>
      <c r="DO63" s="479"/>
      <c r="DP63" s="479"/>
      <c r="DQ63" s="216"/>
      <c r="DR63" s="216"/>
      <c r="DS63" s="216"/>
      <c r="DT63" s="216"/>
    </row>
    <row r="64" spans="1:124" ht="18.75" customHeight="1" x14ac:dyDescent="0.2">
      <c r="A64" s="1775" t="s">
        <v>1368</v>
      </c>
      <c r="B64" s="1633" t="s">
        <v>742</v>
      </c>
      <c r="C64" s="1384"/>
      <c r="D64" s="944" t="s">
        <v>1384</v>
      </c>
      <c r="E64" s="1015" t="s">
        <v>1385</v>
      </c>
      <c r="F64" s="1027" t="s">
        <v>1386</v>
      </c>
      <c r="G64" s="977" t="s">
        <v>1387</v>
      </c>
      <c r="H64" s="978" t="s">
        <v>1388</v>
      </c>
      <c r="I64" s="977" t="s">
        <v>1389</v>
      </c>
      <c r="J64" s="978" t="s">
        <v>1390</v>
      </c>
      <c r="K64" s="977" t="s">
        <v>1391</v>
      </c>
      <c r="L64" s="978" t="s">
        <v>1392</v>
      </c>
      <c r="M64" s="977" t="s">
        <v>1393</v>
      </c>
      <c r="N64" s="978" t="s">
        <v>1394</v>
      </c>
      <c r="O64" s="977" t="s">
        <v>1395</v>
      </c>
      <c r="P64" s="978" t="s">
        <v>1396</v>
      </c>
      <c r="Q64" s="977" t="s">
        <v>1397</v>
      </c>
      <c r="R64" s="978" t="s">
        <v>1398</v>
      </c>
      <c r="S64" s="977" t="s">
        <v>1399</v>
      </c>
      <c r="T64" s="978" t="s">
        <v>1400</v>
      </c>
      <c r="U64" s="977" t="s">
        <v>1401</v>
      </c>
      <c r="V64" s="978" t="s">
        <v>1402</v>
      </c>
      <c r="W64" s="977" t="s">
        <v>1403</v>
      </c>
      <c r="X64" s="978" t="s">
        <v>1404</v>
      </c>
      <c r="Y64" s="977" t="s">
        <v>1405</v>
      </c>
      <c r="Z64" s="978" t="s">
        <v>1406</v>
      </c>
      <c r="AA64" s="977" t="s">
        <v>1407</v>
      </c>
      <c r="AB64" s="978" t="s">
        <v>1408</v>
      </c>
      <c r="AC64" s="977" t="s">
        <v>1409</v>
      </c>
      <c r="AD64" s="978" t="s">
        <v>1410</v>
      </c>
      <c r="AE64" s="977" t="s">
        <v>1411</v>
      </c>
      <c r="AF64" s="978" t="s">
        <v>1412</v>
      </c>
      <c r="AG64" s="1048" t="s">
        <v>1413</v>
      </c>
      <c r="AH64" s="979" t="s">
        <v>1414</v>
      </c>
      <c r="AI64" s="1048" t="s">
        <v>1415</v>
      </c>
      <c r="AJ64" s="978" t="s">
        <v>1416</v>
      </c>
      <c r="AK64" s="1048" t="s">
        <v>1417</v>
      </c>
      <c r="AL64" s="978" t="s">
        <v>1418</v>
      </c>
      <c r="AX64" s="406"/>
      <c r="AY64" s="406"/>
      <c r="AZ64" s="474"/>
      <c r="BA64" s="474"/>
      <c r="BB64" s="474"/>
      <c r="BC64" s="465" t="e">
        <f>IF(#REF!+#REF!&lt;&gt;$D64,"* La suma de Sexo debe ser igual al TOTAL de pacientes con antecedente de ataque cerebro vascular. ","")</f>
        <v>#REF!</v>
      </c>
      <c r="BE64" s="478"/>
      <c r="BF64" s="478"/>
      <c r="BG64" s="478"/>
      <c r="BH64" s="478"/>
      <c r="BI64" s="478"/>
      <c r="BJ64" s="478"/>
      <c r="BK64" s="478"/>
      <c r="BL64" s="478"/>
      <c r="BM64" s="478"/>
      <c r="BN64" s="478"/>
      <c r="BO64" s="478"/>
      <c r="BP64" s="478"/>
      <c r="BQ64" s="478"/>
      <c r="BR64" s="478"/>
      <c r="BS64" s="478"/>
      <c r="BT64" s="478"/>
      <c r="BU64" s="478"/>
      <c r="BV64" s="478"/>
      <c r="BW64" s="478"/>
      <c r="BX64" s="478"/>
      <c r="BY64" s="478"/>
      <c r="BZ64" s="478"/>
      <c r="CA64" s="478"/>
      <c r="CB64" s="478"/>
      <c r="CC64" s="478"/>
      <c r="CD64" s="478"/>
      <c r="CE64" s="478"/>
      <c r="CF64" s="478"/>
      <c r="CG64" s="478"/>
      <c r="CI64" s="470"/>
      <c r="CJ64" s="470"/>
      <c r="CK64" s="470"/>
      <c r="CL64" s="470"/>
      <c r="CM64" s="486" t="e">
        <f>IF(#REF!+#REF!&lt;&gt;$D64,1,0)</f>
        <v>#REF!</v>
      </c>
      <c r="CN64" s="470"/>
      <c r="CO64" s="479"/>
      <c r="CP64" s="479"/>
      <c r="CQ64" s="479"/>
      <c r="CR64" s="479"/>
      <c r="CS64" s="479"/>
      <c r="CT64" s="479"/>
      <c r="CU64" s="479"/>
      <c r="CV64" s="479"/>
      <c r="CW64" s="479"/>
      <c r="CX64" s="479"/>
      <c r="CY64" s="479"/>
      <c r="CZ64" s="479"/>
      <c r="DA64" s="479"/>
      <c r="DB64" s="479"/>
      <c r="DC64" s="479"/>
      <c r="DD64" s="479"/>
      <c r="DE64" s="479"/>
      <c r="DF64" s="479"/>
      <c r="DG64" s="479"/>
      <c r="DH64" s="479"/>
      <c r="DI64" s="479"/>
      <c r="DJ64" s="479"/>
      <c r="DK64" s="479"/>
      <c r="DL64" s="479"/>
      <c r="DM64" s="479"/>
      <c r="DN64" s="479"/>
      <c r="DO64" s="479"/>
      <c r="DP64" s="479"/>
      <c r="DQ64" s="216"/>
      <c r="DR64" s="216"/>
      <c r="DS64" s="216"/>
      <c r="DT64" s="216"/>
    </row>
    <row r="65" spans="1:124" ht="18.75" customHeight="1" x14ac:dyDescent="0.2">
      <c r="A65" s="1775" t="s">
        <v>1369</v>
      </c>
      <c r="B65" s="1634" t="s">
        <v>743</v>
      </c>
      <c r="C65" s="1385"/>
      <c r="D65" s="941" t="s">
        <v>1384</v>
      </c>
      <c r="E65" s="942" t="s">
        <v>1385</v>
      </c>
      <c r="F65" s="1031" t="s">
        <v>1386</v>
      </c>
      <c r="G65" s="962" t="s">
        <v>1387</v>
      </c>
      <c r="H65" s="963" t="s">
        <v>1388</v>
      </c>
      <c r="I65" s="962" t="s">
        <v>1389</v>
      </c>
      <c r="J65" s="963" t="s">
        <v>1390</v>
      </c>
      <c r="K65" s="962" t="s">
        <v>1391</v>
      </c>
      <c r="L65" s="963" t="s">
        <v>1392</v>
      </c>
      <c r="M65" s="962" t="s">
        <v>1393</v>
      </c>
      <c r="N65" s="963" t="s">
        <v>1394</v>
      </c>
      <c r="O65" s="962" t="s">
        <v>1395</v>
      </c>
      <c r="P65" s="963" t="s">
        <v>1396</v>
      </c>
      <c r="Q65" s="962" t="s">
        <v>1397</v>
      </c>
      <c r="R65" s="963" t="s">
        <v>1398</v>
      </c>
      <c r="S65" s="962" t="s">
        <v>1399</v>
      </c>
      <c r="T65" s="963" t="s">
        <v>1400</v>
      </c>
      <c r="U65" s="962" t="s">
        <v>1401</v>
      </c>
      <c r="V65" s="963" t="s">
        <v>1402</v>
      </c>
      <c r="W65" s="962" t="s">
        <v>1403</v>
      </c>
      <c r="X65" s="963" t="s">
        <v>1404</v>
      </c>
      <c r="Y65" s="962" t="s">
        <v>1405</v>
      </c>
      <c r="Z65" s="963" t="s">
        <v>1406</v>
      </c>
      <c r="AA65" s="962" t="s">
        <v>1407</v>
      </c>
      <c r="AB65" s="963" t="s">
        <v>1408</v>
      </c>
      <c r="AC65" s="962" t="s">
        <v>1409</v>
      </c>
      <c r="AD65" s="963" t="s">
        <v>1410</v>
      </c>
      <c r="AE65" s="962" t="s">
        <v>1411</v>
      </c>
      <c r="AF65" s="963" t="s">
        <v>1412</v>
      </c>
      <c r="AG65" s="1041" t="s">
        <v>1413</v>
      </c>
      <c r="AH65" s="993" t="s">
        <v>1414</v>
      </c>
      <c r="AI65" s="1552" t="s">
        <v>1415</v>
      </c>
      <c r="AJ65" s="1024" t="s">
        <v>1416</v>
      </c>
      <c r="AK65" s="1552" t="s">
        <v>1417</v>
      </c>
      <c r="AL65" s="1024" t="s">
        <v>1418</v>
      </c>
      <c r="AX65" s="406"/>
      <c r="AY65" s="406"/>
      <c r="AZ65" s="474"/>
      <c r="BA65" s="474"/>
      <c r="BB65" s="474"/>
      <c r="BC65" s="465" t="e">
        <f>IF(#REF!+#REF!&lt;&gt;$D65,"* La suma de Sexo debe ser igual al TOTAL de pacientes con antecedentes de infarto agudo al miocardio. ","")</f>
        <v>#REF!</v>
      </c>
      <c r="BE65" s="478"/>
      <c r="BF65" s="478"/>
      <c r="BG65" s="478"/>
      <c r="BH65" s="478"/>
      <c r="BI65" s="478"/>
      <c r="BJ65" s="478"/>
      <c r="BK65" s="478"/>
      <c r="BL65" s="478"/>
      <c r="BM65" s="478"/>
      <c r="BN65" s="478"/>
      <c r="BO65" s="478"/>
      <c r="BP65" s="478"/>
      <c r="BQ65" s="478"/>
      <c r="BR65" s="478"/>
      <c r="BS65" s="478"/>
      <c r="BT65" s="478"/>
      <c r="BU65" s="478"/>
      <c r="BV65" s="478"/>
      <c r="BW65" s="478"/>
      <c r="BX65" s="478"/>
      <c r="BY65" s="478"/>
      <c r="BZ65" s="478"/>
      <c r="CA65" s="478"/>
      <c r="CB65" s="478"/>
      <c r="CC65" s="478"/>
      <c r="CD65" s="478"/>
      <c r="CE65" s="478"/>
      <c r="CF65" s="478"/>
      <c r="CG65" s="478"/>
      <c r="CI65" s="470"/>
      <c r="CJ65" s="470"/>
      <c r="CK65" s="470"/>
      <c r="CL65" s="470"/>
      <c r="CM65" s="486" t="e">
        <f>IF(#REF!+#REF!&lt;&gt;$D65,1,0)</f>
        <v>#REF!</v>
      </c>
      <c r="CN65" s="470"/>
      <c r="CO65" s="479"/>
      <c r="CP65" s="479"/>
      <c r="CQ65" s="479"/>
      <c r="CR65" s="479"/>
      <c r="CS65" s="479"/>
      <c r="CT65" s="479"/>
      <c r="CU65" s="479"/>
      <c r="CV65" s="479"/>
      <c r="CW65" s="479"/>
      <c r="CX65" s="479"/>
      <c r="CY65" s="479"/>
      <c r="CZ65" s="479"/>
      <c r="DA65" s="479"/>
      <c r="DB65" s="479"/>
      <c r="DC65" s="479"/>
      <c r="DD65" s="479"/>
      <c r="DE65" s="479"/>
      <c r="DF65" s="479"/>
      <c r="DG65" s="479"/>
      <c r="DH65" s="479"/>
      <c r="DI65" s="479"/>
      <c r="DJ65" s="479"/>
      <c r="DK65" s="479"/>
      <c r="DL65" s="479"/>
      <c r="DM65" s="479"/>
      <c r="DN65" s="479"/>
      <c r="DO65" s="479"/>
      <c r="DP65" s="479"/>
      <c r="DQ65" s="216"/>
      <c r="DR65" s="216"/>
      <c r="DS65" s="216"/>
      <c r="DT65" s="216"/>
    </row>
    <row r="66" spans="1:124" ht="18.75" customHeight="1" x14ac:dyDescent="0.15">
      <c r="B66" s="1635" t="s">
        <v>749</v>
      </c>
      <c r="C66" s="1386"/>
      <c r="D66" s="1387"/>
      <c r="E66" s="1388"/>
      <c r="F66" s="1388"/>
      <c r="G66" s="1388"/>
      <c r="H66" s="1389"/>
      <c r="I66" s="1640"/>
      <c r="J66" s="1641"/>
      <c r="K66" s="1641"/>
      <c r="L66" s="1641"/>
      <c r="M66" s="1641"/>
      <c r="N66" s="1641"/>
      <c r="O66" s="1641"/>
      <c r="P66" s="1641"/>
      <c r="Q66" s="1641"/>
      <c r="R66" s="1641"/>
      <c r="S66" s="1642"/>
      <c r="T66" s="1642"/>
      <c r="U66" s="1642"/>
      <c r="V66" s="1642"/>
      <c r="W66" s="1642"/>
      <c r="X66" s="1642"/>
      <c r="Y66" s="1642"/>
      <c r="Z66" s="1642"/>
      <c r="AA66" s="1643"/>
      <c r="AB66" s="1643"/>
      <c r="AC66" s="1643"/>
      <c r="AD66" s="1643"/>
      <c r="AE66" s="1643"/>
      <c r="AF66" s="1643"/>
      <c r="AG66" s="1643"/>
      <c r="AH66" s="1700"/>
      <c r="AI66" s="1699"/>
      <c r="AJ66" s="1699"/>
      <c r="AK66" s="1699"/>
      <c r="AL66" s="1699"/>
      <c r="AX66" s="406"/>
      <c r="AY66" s="406"/>
      <c r="AZ66" s="474"/>
      <c r="BA66" s="474"/>
      <c r="BB66" s="474"/>
      <c r="BC66" s="474"/>
      <c r="CI66" s="470"/>
      <c r="CJ66" s="470"/>
      <c r="CK66" s="470"/>
      <c r="CL66" s="470"/>
      <c r="CM66" s="470"/>
      <c r="CN66" s="470"/>
      <c r="CO66" s="470"/>
      <c r="CP66" s="470"/>
      <c r="CQ66" s="470"/>
      <c r="CR66" s="470"/>
      <c r="CS66" s="470"/>
      <c r="CT66" s="470"/>
      <c r="CU66" s="470"/>
      <c r="CV66" s="470"/>
      <c r="CW66" s="470"/>
      <c r="CX66" s="470"/>
      <c r="CY66" s="470"/>
      <c r="CZ66" s="470"/>
      <c r="DA66" s="470"/>
      <c r="DB66" s="470"/>
      <c r="DC66" s="470"/>
      <c r="DD66" s="470"/>
      <c r="DE66" s="470"/>
      <c r="DF66" s="470"/>
      <c r="DG66" s="470"/>
      <c r="DH66" s="470"/>
      <c r="DI66" s="470"/>
      <c r="DJ66" s="470"/>
      <c r="DK66" s="470"/>
      <c r="DL66" s="470"/>
      <c r="DM66" s="470"/>
      <c r="DN66" s="470"/>
      <c r="DO66" s="470"/>
      <c r="DP66" s="470"/>
      <c r="DQ66" s="216"/>
      <c r="DR66" s="216"/>
      <c r="DS66" s="216"/>
      <c r="DT66" s="216"/>
    </row>
    <row r="67" spans="1:124" ht="20.25" customHeight="1" x14ac:dyDescent="0.2">
      <c r="A67" s="1775" t="s">
        <v>1370</v>
      </c>
      <c r="B67" s="2204" t="s">
        <v>346</v>
      </c>
      <c r="C67" s="2205"/>
      <c r="D67" s="944" t="s">
        <v>1384</v>
      </c>
      <c r="E67" s="1015" t="s">
        <v>1385</v>
      </c>
      <c r="F67" s="1027" t="s">
        <v>1386</v>
      </c>
      <c r="G67" s="977" t="s">
        <v>1387</v>
      </c>
      <c r="H67" s="978" t="s">
        <v>1388</v>
      </c>
      <c r="I67" s="977" t="s">
        <v>1389</v>
      </c>
      <c r="J67" s="978" t="s">
        <v>1390</v>
      </c>
      <c r="K67" s="977" t="s">
        <v>1391</v>
      </c>
      <c r="L67" s="978" t="s">
        <v>1392</v>
      </c>
      <c r="M67" s="977" t="s">
        <v>1393</v>
      </c>
      <c r="N67" s="978" t="s">
        <v>1394</v>
      </c>
      <c r="O67" s="977" t="s">
        <v>1395</v>
      </c>
      <c r="P67" s="978" t="s">
        <v>1396</v>
      </c>
      <c r="Q67" s="977" t="s">
        <v>1397</v>
      </c>
      <c r="R67" s="978" t="s">
        <v>1398</v>
      </c>
      <c r="S67" s="977" t="s">
        <v>1399</v>
      </c>
      <c r="T67" s="978" t="s">
        <v>1400</v>
      </c>
      <c r="U67" s="977" t="s">
        <v>1401</v>
      </c>
      <c r="V67" s="978" t="s">
        <v>1402</v>
      </c>
      <c r="W67" s="977" t="s">
        <v>1403</v>
      </c>
      <c r="X67" s="978" t="s">
        <v>1404</v>
      </c>
      <c r="Y67" s="977" t="s">
        <v>1405</v>
      </c>
      <c r="Z67" s="978" t="s">
        <v>1406</v>
      </c>
      <c r="AA67" s="977" t="s">
        <v>1407</v>
      </c>
      <c r="AB67" s="978" t="s">
        <v>1408</v>
      </c>
      <c r="AC67" s="977" t="s">
        <v>1409</v>
      </c>
      <c r="AD67" s="978" t="s">
        <v>1410</v>
      </c>
      <c r="AE67" s="977" t="s">
        <v>1411</v>
      </c>
      <c r="AF67" s="978" t="s">
        <v>1412</v>
      </c>
      <c r="AG67" s="1048" t="s">
        <v>1413</v>
      </c>
      <c r="AH67" s="979" t="s">
        <v>1414</v>
      </c>
      <c r="AI67" s="1048" t="s">
        <v>1415</v>
      </c>
      <c r="AJ67" s="978" t="s">
        <v>1416</v>
      </c>
      <c r="AK67" s="1048" t="s">
        <v>1417</v>
      </c>
      <c r="AL67" s="978" t="s">
        <v>1418</v>
      </c>
      <c r="AX67" s="406"/>
      <c r="AY67" s="406"/>
      <c r="AZ67" s="478"/>
      <c r="BA67" s="465" t="e">
        <f>IF(#REF!&lt;=SUM($G$16:$Z$16),"","* Los pacientes Hipertensos de 15 a 64 años con razón albúmina creatinina (RAC) no deben ser mayor a los pacientes Hipertensos en Control de la sección A de la misma edad. ")</f>
        <v>#REF!</v>
      </c>
      <c r="BB67" s="465" t="e">
        <f>IF(#REF!&lt;=SUM($AA$16:$AH$16),"","* Los pacientes Hipertensos de 65+ años con razón albúmina creatinina (RAC) no deben ser mayor a los pacientes Hipertensos en Control de la sección A de la misma edad. ")</f>
        <v>#REF!</v>
      </c>
      <c r="BC67" s="465" t="e">
        <f>IF(#REF!+#REF!&lt;&gt;$D$67,"* La suma de Sexo debe ser igual al TOTAL de pacientes con razón albúmina creatinina (RAC). ","")</f>
        <v>#REF!</v>
      </c>
      <c r="CI67" s="470"/>
      <c r="CJ67" s="470"/>
      <c r="CK67" s="486" t="e">
        <f>IF(#REF!&lt;=SUM($G$16:$Z$16),0,1)</f>
        <v>#REF!</v>
      </c>
      <c r="CL67" s="486" t="e">
        <f>IF(#REF!&lt;=SUM($AA$16:$AH$16),0,1)</f>
        <v>#REF!</v>
      </c>
      <c r="CM67" s="486" t="e">
        <f>IF(#REF!+#REF!&lt;&gt;$D$67,1,0)</f>
        <v>#REF!</v>
      </c>
      <c r="CN67" s="470"/>
      <c r="CO67" s="470"/>
      <c r="CP67" s="470"/>
      <c r="CQ67" s="470"/>
      <c r="CR67" s="470"/>
      <c r="CS67" s="470"/>
      <c r="CT67" s="470"/>
      <c r="CU67" s="470"/>
      <c r="CV67" s="470"/>
      <c r="CW67" s="470"/>
      <c r="CX67" s="470"/>
      <c r="CY67" s="470"/>
      <c r="CZ67" s="470"/>
      <c r="DA67" s="470"/>
      <c r="DB67" s="470"/>
      <c r="DC67" s="470"/>
      <c r="DD67" s="470"/>
      <c r="DE67" s="470"/>
      <c r="DF67" s="470"/>
      <c r="DG67" s="470"/>
      <c r="DH67" s="470"/>
      <c r="DI67" s="470"/>
      <c r="DJ67" s="470"/>
      <c r="DK67" s="470"/>
      <c r="DL67" s="470"/>
      <c r="DM67" s="470"/>
      <c r="DN67" s="470"/>
      <c r="DO67" s="470"/>
      <c r="DP67" s="470"/>
      <c r="DQ67" s="216"/>
      <c r="DR67" s="216"/>
      <c r="DS67" s="216"/>
      <c r="DT67" s="216"/>
    </row>
    <row r="68" spans="1:124" ht="20.25" customHeight="1" x14ac:dyDescent="0.2">
      <c r="A68" s="1775" t="s">
        <v>1371</v>
      </c>
      <c r="B68" s="2179" t="s">
        <v>511</v>
      </c>
      <c r="C68" s="2180"/>
      <c r="D68" s="938" t="s">
        <v>1384</v>
      </c>
      <c r="E68" s="939" t="s">
        <v>1385</v>
      </c>
      <c r="F68" s="1021" t="s">
        <v>1386</v>
      </c>
      <c r="G68" s="957" t="s">
        <v>1387</v>
      </c>
      <c r="H68" s="958" t="s">
        <v>1388</v>
      </c>
      <c r="I68" s="957" t="s">
        <v>1389</v>
      </c>
      <c r="J68" s="958" t="s">
        <v>1390</v>
      </c>
      <c r="K68" s="957" t="s">
        <v>1391</v>
      </c>
      <c r="L68" s="958" t="s">
        <v>1392</v>
      </c>
      <c r="M68" s="957" t="s">
        <v>1393</v>
      </c>
      <c r="N68" s="958" t="s">
        <v>1394</v>
      </c>
      <c r="O68" s="957" t="s">
        <v>1395</v>
      </c>
      <c r="P68" s="958" t="s">
        <v>1396</v>
      </c>
      <c r="Q68" s="957" t="s">
        <v>1397</v>
      </c>
      <c r="R68" s="958" t="s">
        <v>1398</v>
      </c>
      <c r="S68" s="957" t="s">
        <v>1399</v>
      </c>
      <c r="T68" s="958" t="s">
        <v>1400</v>
      </c>
      <c r="U68" s="957" t="s">
        <v>1401</v>
      </c>
      <c r="V68" s="958" t="s">
        <v>1402</v>
      </c>
      <c r="W68" s="957" t="s">
        <v>1403</v>
      </c>
      <c r="X68" s="958" t="s">
        <v>1404</v>
      </c>
      <c r="Y68" s="957" t="s">
        <v>1405</v>
      </c>
      <c r="Z68" s="958" t="s">
        <v>1406</v>
      </c>
      <c r="AA68" s="957" t="s">
        <v>1407</v>
      </c>
      <c r="AB68" s="958" t="s">
        <v>1408</v>
      </c>
      <c r="AC68" s="957" t="s">
        <v>1409</v>
      </c>
      <c r="AD68" s="958" t="s">
        <v>1410</v>
      </c>
      <c r="AE68" s="957" t="s">
        <v>1411</v>
      </c>
      <c r="AF68" s="958" t="s">
        <v>1412</v>
      </c>
      <c r="AG68" s="1044" t="s">
        <v>1413</v>
      </c>
      <c r="AH68" s="966" t="s">
        <v>1414</v>
      </c>
      <c r="AI68" s="1048" t="s">
        <v>1415</v>
      </c>
      <c r="AJ68" s="978" t="s">
        <v>1416</v>
      </c>
      <c r="AK68" s="1048" t="s">
        <v>1417</v>
      </c>
      <c r="AL68" s="978" t="s">
        <v>1418</v>
      </c>
      <c r="AX68" s="406"/>
      <c r="AY68" s="406"/>
      <c r="AZ68" s="478"/>
      <c r="BA68" s="465" t="e">
        <f>IF(#REF!&lt;=SUM($G$16:$Z$16),"","* Los pacientes Hipertensos de 15 a 64 años con PRESIÓN ARTERIAL igual o Mayor 160/100 mmHg no deben ser mayor a los Hipertensos en Control de la sección A de la misma edad. ")</f>
        <v>#REF!</v>
      </c>
      <c r="BB68" s="465" t="e">
        <f>IF(#REF!&lt;=SUM($AA$16:$AH$16),"","* Los pacientes Hipertensos de 65+ años con PRESIÓN ARTERIAL igual o Mayor 160/100 mmHg no deben ser mayor a los pacientes Hipertensos en Control de la sección A de la misma edad. ")</f>
        <v>#REF!</v>
      </c>
      <c r="BC68" s="465" t="e">
        <f>IF(#REF!+#REF!&lt;&gt;$D$68,"* La suma de Sexo debe ser igual al TOTAL de pacientes con presión arterial igual o Mayor 160/100 mmHg. ","")</f>
        <v>#REF!</v>
      </c>
      <c r="CI68" s="470"/>
      <c r="CJ68" s="470"/>
      <c r="CK68" s="654" t="e">
        <f>IF(#REF!&lt;=SUM($G$16:$Z$16),0,1)</f>
        <v>#REF!</v>
      </c>
      <c r="CL68" s="654" t="e">
        <f>IF(#REF!&lt;=SUM($AA$16:$AH$16),0,1)</f>
        <v>#REF!</v>
      </c>
      <c r="CM68" s="654" t="e">
        <f>IF(#REF!+#REF!&lt;&gt;$D$68,1,0)</f>
        <v>#REF!</v>
      </c>
      <c r="CN68" s="470"/>
      <c r="CO68" s="470"/>
      <c r="CP68" s="470"/>
      <c r="CQ68" s="470"/>
      <c r="CR68" s="470"/>
      <c r="CS68" s="470"/>
      <c r="CT68" s="470"/>
      <c r="CU68" s="470"/>
      <c r="CV68" s="470"/>
      <c r="CW68" s="470"/>
      <c r="CX68" s="470"/>
      <c r="CY68" s="470"/>
      <c r="CZ68" s="470"/>
      <c r="DA68" s="470"/>
      <c r="DB68" s="470"/>
      <c r="DC68" s="470"/>
      <c r="DD68" s="470"/>
      <c r="DE68" s="470"/>
      <c r="DF68" s="470"/>
      <c r="DG68" s="470"/>
      <c r="DH68" s="470"/>
      <c r="DI68" s="470"/>
      <c r="DJ68" s="470"/>
      <c r="DK68" s="470"/>
      <c r="DL68" s="470"/>
      <c r="DM68" s="470"/>
      <c r="DN68" s="470"/>
      <c r="DO68" s="470"/>
      <c r="DP68" s="470"/>
      <c r="DQ68" s="216"/>
      <c r="DR68" s="216"/>
      <c r="DS68" s="216"/>
      <c r="DT68" s="216"/>
    </row>
    <row r="69" spans="1:124" ht="20.25" customHeight="1" x14ac:dyDescent="0.25">
      <c r="A69" s="1807" t="s">
        <v>1383</v>
      </c>
      <c r="B69" s="2195" t="s">
        <v>744</v>
      </c>
      <c r="C69" s="2195"/>
      <c r="D69" s="967" t="s">
        <v>1384</v>
      </c>
      <c r="E69" s="1038" t="s">
        <v>1385</v>
      </c>
      <c r="F69" s="1046" t="s">
        <v>1386</v>
      </c>
      <c r="G69" s="973" t="s">
        <v>1387</v>
      </c>
      <c r="H69" s="974" t="s">
        <v>1388</v>
      </c>
      <c r="I69" s="973" t="s">
        <v>1389</v>
      </c>
      <c r="J69" s="974" t="s">
        <v>1390</v>
      </c>
      <c r="K69" s="973" t="s">
        <v>1391</v>
      </c>
      <c r="L69" s="974" t="s">
        <v>1392</v>
      </c>
      <c r="M69" s="973" t="s">
        <v>1393</v>
      </c>
      <c r="N69" s="974" t="s">
        <v>1394</v>
      </c>
      <c r="O69" s="973" t="s">
        <v>1395</v>
      </c>
      <c r="P69" s="974" t="s">
        <v>1396</v>
      </c>
      <c r="Q69" s="973" t="s">
        <v>1397</v>
      </c>
      <c r="R69" s="974" t="s">
        <v>1398</v>
      </c>
      <c r="S69" s="973" t="s">
        <v>1399</v>
      </c>
      <c r="T69" s="974" t="s">
        <v>1400</v>
      </c>
      <c r="U69" s="973" t="s">
        <v>1401</v>
      </c>
      <c r="V69" s="974" t="s">
        <v>1402</v>
      </c>
      <c r="W69" s="973" t="s">
        <v>1403</v>
      </c>
      <c r="X69" s="974" t="s">
        <v>1404</v>
      </c>
      <c r="Y69" s="973" t="s">
        <v>1405</v>
      </c>
      <c r="Z69" s="974" t="s">
        <v>1406</v>
      </c>
      <c r="AA69" s="973" t="s">
        <v>1407</v>
      </c>
      <c r="AB69" s="974" t="s">
        <v>1408</v>
      </c>
      <c r="AC69" s="973" t="s">
        <v>1409</v>
      </c>
      <c r="AD69" s="974" t="s">
        <v>1410</v>
      </c>
      <c r="AE69" s="973" t="s">
        <v>1411</v>
      </c>
      <c r="AF69" s="974" t="s">
        <v>1412</v>
      </c>
      <c r="AG69" s="1040" t="s">
        <v>1413</v>
      </c>
      <c r="AH69" s="975" t="s">
        <v>1414</v>
      </c>
      <c r="AI69" s="1041" t="s">
        <v>1415</v>
      </c>
      <c r="AJ69" s="963" t="s">
        <v>1416</v>
      </c>
      <c r="AK69" s="1041" t="s">
        <v>1417</v>
      </c>
      <c r="AL69" s="963" t="s">
        <v>1418</v>
      </c>
      <c r="AX69" s="406"/>
      <c r="AY69" s="406"/>
      <c r="AZ69" s="478"/>
      <c r="BA69" s="465"/>
      <c r="BB69" s="465"/>
      <c r="BC69" s="465"/>
      <c r="CI69" s="470"/>
      <c r="CJ69" s="470"/>
      <c r="CK69" s="654"/>
      <c r="CL69" s="654"/>
      <c r="CM69" s="654"/>
      <c r="CN69" s="470"/>
      <c r="CO69" s="470"/>
      <c r="CP69" s="470"/>
      <c r="CQ69" s="470"/>
      <c r="CR69" s="470"/>
      <c r="CS69" s="470"/>
      <c r="CT69" s="470"/>
      <c r="CU69" s="470"/>
      <c r="CV69" s="470"/>
      <c r="CW69" s="470"/>
      <c r="CX69" s="470"/>
      <c r="CY69" s="470"/>
      <c r="CZ69" s="470"/>
      <c r="DA69" s="470"/>
      <c r="DB69" s="470"/>
      <c r="DC69" s="470"/>
      <c r="DD69" s="470"/>
      <c r="DE69" s="470"/>
      <c r="DF69" s="470"/>
      <c r="DG69" s="470"/>
      <c r="DH69" s="470"/>
      <c r="DI69" s="470"/>
      <c r="DJ69" s="470"/>
      <c r="DK69" s="470"/>
      <c r="DL69" s="470"/>
      <c r="DM69" s="470"/>
      <c r="DN69" s="470"/>
      <c r="DO69" s="470"/>
      <c r="DP69" s="470"/>
      <c r="DQ69" s="216"/>
      <c r="DR69" s="216"/>
      <c r="DS69" s="216"/>
      <c r="DT69" s="216"/>
    </row>
    <row r="70" spans="1:124" ht="20.25" customHeight="1" x14ac:dyDescent="0.15">
      <c r="B70" s="2238" t="s">
        <v>407</v>
      </c>
      <c r="C70" s="2239"/>
      <c r="D70" s="216"/>
      <c r="E70" s="216"/>
      <c r="F70" s="216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1701"/>
      <c r="AI70" s="1643"/>
      <c r="AJ70" s="1643"/>
      <c r="AK70" s="1643"/>
      <c r="AL70" s="1644"/>
      <c r="AX70" s="406"/>
      <c r="AY70" s="406"/>
      <c r="AZ70" s="478"/>
      <c r="BA70" s="474"/>
      <c r="BB70" s="474"/>
      <c r="BC70" s="474"/>
      <c r="CI70" s="470"/>
      <c r="CJ70" s="470"/>
      <c r="CK70" s="470"/>
      <c r="CL70" s="470"/>
      <c r="CM70" s="470"/>
      <c r="CN70" s="470"/>
      <c r="CO70" s="470"/>
      <c r="CP70" s="470"/>
      <c r="CQ70" s="470"/>
      <c r="CR70" s="470"/>
      <c r="CS70" s="470"/>
      <c r="CT70" s="470"/>
      <c r="CU70" s="470"/>
      <c r="CV70" s="470"/>
      <c r="CW70" s="470"/>
      <c r="CX70" s="470"/>
      <c r="CY70" s="470"/>
      <c r="CZ70" s="470"/>
      <c r="DA70" s="470"/>
      <c r="DB70" s="470"/>
      <c r="DC70" s="470"/>
      <c r="DD70" s="470"/>
      <c r="DE70" s="470"/>
      <c r="DF70" s="470"/>
      <c r="DG70" s="470"/>
      <c r="DH70" s="470"/>
      <c r="DI70" s="470"/>
      <c r="DJ70" s="470"/>
      <c r="DK70" s="470"/>
      <c r="DL70" s="470"/>
      <c r="DM70" s="470"/>
      <c r="DN70" s="470"/>
      <c r="DO70" s="470"/>
      <c r="DP70" s="470"/>
      <c r="DQ70" s="216"/>
      <c r="DR70" s="216"/>
      <c r="DS70" s="216"/>
      <c r="DT70" s="216"/>
    </row>
    <row r="71" spans="1:124" ht="20.25" customHeight="1" x14ac:dyDescent="0.2">
      <c r="A71" s="1775" t="s">
        <v>1372</v>
      </c>
      <c r="B71" s="2187" t="s">
        <v>700</v>
      </c>
      <c r="C71" s="2188"/>
      <c r="D71" s="936" t="s">
        <v>1384</v>
      </c>
      <c r="E71" s="937" t="s">
        <v>1385</v>
      </c>
      <c r="F71" s="1020" t="s">
        <v>1386</v>
      </c>
      <c r="G71" s="953" t="s">
        <v>1387</v>
      </c>
      <c r="H71" s="954" t="s">
        <v>1388</v>
      </c>
      <c r="I71" s="953" t="s">
        <v>1389</v>
      </c>
      <c r="J71" s="954" t="s">
        <v>1390</v>
      </c>
      <c r="K71" s="953" t="s">
        <v>1391</v>
      </c>
      <c r="L71" s="954" t="s">
        <v>1392</v>
      </c>
      <c r="M71" s="953" t="s">
        <v>1393</v>
      </c>
      <c r="N71" s="954" t="s">
        <v>1394</v>
      </c>
      <c r="O71" s="953" t="s">
        <v>1395</v>
      </c>
      <c r="P71" s="954" t="s">
        <v>1396</v>
      </c>
      <c r="Q71" s="953" t="s">
        <v>1397</v>
      </c>
      <c r="R71" s="954" t="s">
        <v>1398</v>
      </c>
      <c r="S71" s="953" t="s">
        <v>1399</v>
      </c>
      <c r="T71" s="954" t="s">
        <v>1400</v>
      </c>
      <c r="U71" s="953" t="s">
        <v>1401</v>
      </c>
      <c r="V71" s="954" t="s">
        <v>1402</v>
      </c>
      <c r="W71" s="953" t="s">
        <v>1403</v>
      </c>
      <c r="X71" s="954" t="s">
        <v>1404</v>
      </c>
      <c r="Y71" s="953" t="s">
        <v>1405</v>
      </c>
      <c r="Z71" s="954" t="s">
        <v>1406</v>
      </c>
      <c r="AA71" s="1690" t="s">
        <v>1407</v>
      </c>
      <c r="AB71" s="1691" t="s">
        <v>1408</v>
      </c>
      <c r="AC71" s="1690" t="s">
        <v>1409</v>
      </c>
      <c r="AD71" s="1691" t="s">
        <v>1410</v>
      </c>
      <c r="AE71" s="1690" t="s">
        <v>1411</v>
      </c>
      <c r="AF71" s="1691" t="s">
        <v>1412</v>
      </c>
      <c r="AG71" s="1692" t="s">
        <v>1413</v>
      </c>
      <c r="AH71" s="1702" t="s">
        <v>1414</v>
      </c>
      <c r="AI71" s="1048" t="s">
        <v>1415</v>
      </c>
      <c r="AJ71" s="978" t="s">
        <v>1416</v>
      </c>
      <c r="AK71" s="1048" t="s">
        <v>1417</v>
      </c>
      <c r="AL71" s="978" t="s">
        <v>1418</v>
      </c>
      <c r="AX71" s="406"/>
      <c r="AY71" s="406"/>
      <c r="AZ71" s="478"/>
      <c r="BA71" s="474"/>
      <c r="BB71" s="474"/>
      <c r="BC71" s="465" t="e">
        <f>IF(#REF!+#REF!&lt;&gt;#REF!,"* La suma de Sexo debe ser igual al TOTAL de pacientes con IMC entre 25 y 29.9. ","")</f>
        <v>#REF!</v>
      </c>
      <c r="CI71" s="470"/>
      <c r="CJ71" s="470"/>
      <c r="CK71" s="470"/>
      <c r="CL71" s="470"/>
      <c r="CM71" s="654" t="e">
        <f>IF(#REF!+#REF!&lt;&gt;#REF!,1,0)</f>
        <v>#REF!</v>
      </c>
      <c r="CN71" s="470"/>
      <c r="CO71" s="470"/>
      <c r="CP71" s="470"/>
      <c r="CQ71" s="470"/>
      <c r="CR71" s="470"/>
      <c r="CS71" s="470"/>
      <c r="CT71" s="470"/>
      <c r="CU71" s="470"/>
      <c r="CV71" s="470"/>
      <c r="CW71" s="470"/>
      <c r="CX71" s="470"/>
      <c r="CY71" s="470"/>
      <c r="CZ71" s="470"/>
      <c r="DA71" s="470"/>
      <c r="DB71" s="470"/>
      <c r="DC71" s="470"/>
      <c r="DD71" s="470"/>
      <c r="DE71" s="470"/>
      <c r="DF71" s="470"/>
      <c r="DG71" s="470"/>
      <c r="DH71" s="470"/>
      <c r="DI71" s="470"/>
      <c r="DJ71" s="470"/>
      <c r="DK71" s="470"/>
      <c r="DL71" s="470"/>
      <c r="DM71" s="470"/>
      <c r="DN71" s="470"/>
      <c r="DO71" s="470"/>
      <c r="DP71" s="470"/>
      <c r="DQ71" s="216"/>
      <c r="DR71" s="216"/>
      <c r="DS71" s="216"/>
      <c r="DT71" s="216"/>
    </row>
    <row r="72" spans="1:124" ht="20.25" customHeight="1" x14ac:dyDescent="0.2">
      <c r="A72" s="1775" t="s">
        <v>1373</v>
      </c>
      <c r="B72" s="2179" t="s">
        <v>701</v>
      </c>
      <c r="C72" s="2180"/>
      <c r="D72" s="944" t="s">
        <v>1384</v>
      </c>
      <c r="E72" s="1015" t="s">
        <v>1385</v>
      </c>
      <c r="F72" s="1027" t="s">
        <v>1386</v>
      </c>
      <c r="G72" s="1688" t="s">
        <v>1387</v>
      </c>
      <c r="H72" s="1689" t="s">
        <v>1388</v>
      </c>
      <c r="I72" s="1688" t="s">
        <v>1389</v>
      </c>
      <c r="J72" s="1689" t="s">
        <v>1390</v>
      </c>
      <c r="K72" s="1688" t="s">
        <v>1391</v>
      </c>
      <c r="L72" s="1689" t="s">
        <v>1392</v>
      </c>
      <c r="M72" s="1688" t="s">
        <v>1393</v>
      </c>
      <c r="N72" s="1689" t="s">
        <v>1394</v>
      </c>
      <c r="O72" s="1688" t="s">
        <v>1395</v>
      </c>
      <c r="P72" s="1689" t="s">
        <v>1396</v>
      </c>
      <c r="Q72" s="1688" t="s">
        <v>1397</v>
      </c>
      <c r="R72" s="1689" t="s">
        <v>1398</v>
      </c>
      <c r="S72" s="1688" t="s">
        <v>1399</v>
      </c>
      <c r="T72" s="1689" t="s">
        <v>1400</v>
      </c>
      <c r="U72" s="1688" t="s">
        <v>1401</v>
      </c>
      <c r="V72" s="1689" t="s">
        <v>1402</v>
      </c>
      <c r="W72" s="1688" t="s">
        <v>1403</v>
      </c>
      <c r="X72" s="1689" t="s">
        <v>1404</v>
      </c>
      <c r="Y72" s="1688" t="s">
        <v>1405</v>
      </c>
      <c r="Z72" s="1689" t="s">
        <v>1406</v>
      </c>
      <c r="AA72" s="977" t="s">
        <v>1407</v>
      </c>
      <c r="AB72" s="978" t="s">
        <v>1408</v>
      </c>
      <c r="AC72" s="977" t="s">
        <v>1409</v>
      </c>
      <c r="AD72" s="978" t="s">
        <v>1410</v>
      </c>
      <c r="AE72" s="977" t="s">
        <v>1411</v>
      </c>
      <c r="AF72" s="978" t="s">
        <v>1412</v>
      </c>
      <c r="AG72" s="1048" t="s">
        <v>1413</v>
      </c>
      <c r="AH72" s="979" t="s">
        <v>1414</v>
      </c>
      <c r="AI72" s="1048" t="s">
        <v>1415</v>
      </c>
      <c r="AJ72" s="978" t="s">
        <v>1416</v>
      </c>
      <c r="AK72" s="1048" t="s">
        <v>1417</v>
      </c>
      <c r="AL72" s="978" t="s">
        <v>1418</v>
      </c>
      <c r="AX72" s="406"/>
      <c r="AY72" s="406"/>
      <c r="AZ72" s="478"/>
      <c r="BA72" s="474"/>
      <c r="BB72" s="474"/>
      <c r="BC72" s="465" t="e">
        <f>IF(#REF!+#REF!&lt;&gt;$D72,"* La suma de Sexo debe ser igual al TOTAL de pacientes con IMC entre 28 y 31.9. ","")</f>
        <v>#REF!</v>
      </c>
      <c r="CI72" s="470"/>
      <c r="CJ72" s="470"/>
      <c r="CK72" s="470"/>
      <c r="CL72" s="470"/>
      <c r="CM72" s="654" t="e">
        <f>IF(#REF!+#REF!&lt;&gt;$D72,1,0)</f>
        <v>#REF!</v>
      </c>
      <c r="CN72" s="470"/>
      <c r="CO72" s="470"/>
      <c r="CP72" s="470"/>
      <c r="CQ72" s="470"/>
      <c r="CR72" s="470"/>
      <c r="CS72" s="470"/>
      <c r="CT72" s="470"/>
      <c r="CU72" s="470"/>
      <c r="CV72" s="470"/>
      <c r="CW72" s="470"/>
      <c r="CX72" s="470"/>
      <c r="CY72" s="470"/>
      <c r="CZ72" s="470"/>
      <c r="DA72" s="470"/>
      <c r="DB72" s="470"/>
      <c r="DC72" s="470"/>
      <c r="DD72" s="470"/>
      <c r="DE72" s="470"/>
      <c r="DF72" s="470"/>
      <c r="DG72" s="470"/>
      <c r="DH72" s="470"/>
      <c r="DI72" s="470"/>
      <c r="DJ72" s="470"/>
      <c r="DK72" s="470"/>
      <c r="DL72" s="470"/>
      <c r="DM72" s="470"/>
      <c r="DN72" s="470"/>
      <c r="DO72" s="470"/>
      <c r="DP72" s="470"/>
      <c r="DQ72" s="216"/>
      <c r="DR72" s="216"/>
      <c r="DS72" s="216"/>
      <c r="DT72" s="216"/>
    </row>
    <row r="73" spans="1:124" ht="20.25" customHeight="1" x14ac:dyDescent="0.2">
      <c r="A73" s="1775" t="s">
        <v>1374</v>
      </c>
      <c r="B73" s="2179" t="s">
        <v>702</v>
      </c>
      <c r="C73" s="2180"/>
      <c r="D73" s="938" t="s">
        <v>1384</v>
      </c>
      <c r="E73" s="939" t="s">
        <v>1385</v>
      </c>
      <c r="F73" s="1021" t="s">
        <v>1386</v>
      </c>
      <c r="G73" s="957" t="s">
        <v>1387</v>
      </c>
      <c r="H73" s="958" t="s">
        <v>1388</v>
      </c>
      <c r="I73" s="957" t="s">
        <v>1389</v>
      </c>
      <c r="J73" s="958" t="s">
        <v>1390</v>
      </c>
      <c r="K73" s="957" t="s">
        <v>1391</v>
      </c>
      <c r="L73" s="958" t="s">
        <v>1392</v>
      </c>
      <c r="M73" s="957" t="s">
        <v>1393</v>
      </c>
      <c r="N73" s="958" t="s">
        <v>1394</v>
      </c>
      <c r="O73" s="957" t="s">
        <v>1395</v>
      </c>
      <c r="P73" s="958" t="s">
        <v>1396</v>
      </c>
      <c r="Q73" s="957" t="s">
        <v>1397</v>
      </c>
      <c r="R73" s="958" t="s">
        <v>1398</v>
      </c>
      <c r="S73" s="957" t="s">
        <v>1399</v>
      </c>
      <c r="T73" s="958" t="s">
        <v>1400</v>
      </c>
      <c r="U73" s="957" t="s">
        <v>1401</v>
      </c>
      <c r="V73" s="958" t="s">
        <v>1402</v>
      </c>
      <c r="W73" s="957" t="s">
        <v>1403</v>
      </c>
      <c r="X73" s="958" t="s">
        <v>1404</v>
      </c>
      <c r="Y73" s="957" t="s">
        <v>1405</v>
      </c>
      <c r="Z73" s="958" t="s">
        <v>1406</v>
      </c>
      <c r="AA73" s="1695" t="s">
        <v>1407</v>
      </c>
      <c r="AB73" s="1696" t="s">
        <v>1408</v>
      </c>
      <c r="AC73" s="1695" t="s">
        <v>1409</v>
      </c>
      <c r="AD73" s="1696" t="s">
        <v>1410</v>
      </c>
      <c r="AE73" s="1695" t="s">
        <v>1411</v>
      </c>
      <c r="AF73" s="1696" t="s">
        <v>1412</v>
      </c>
      <c r="AG73" s="1697" t="s">
        <v>1413</v>
      </c>
      <c r="AH73" s="1703" t="s">
        <v>1414</v>
      </c>
      <c r="AI73" s="1048" t="s">
        <v>1415</v>
      </c>
      <c r="AJ73" s="978" t="s">
        <v>1416</v>
      </c>
      <c r="AK73" s="1048" t="s">
        <v>1417</v>
      </c>
      <c r="AL73" s="978" t="s">
        <v>1418</v>
      </c>
      <c r="AX73" s="406"/>
      <c r="AY73" s="406"/>
      <c r="AZ73" s="478"/>
      <c r="BA73" s="474"/>
      <c r="BB73" s="474"/>
      <c r="BC73" s="465" t="e">
        <f>IF(#REF!+#REF!&lt;&gt;$D73,"* La suma de Sexo debe ser igual al TOTAL de pacientes con IMC igual o mayor a 30KG/M2. ","")</f>
        <v>#REF!</v>
      </c>
      <c r="CI73" s="470"/>
      <c r="CJ73" s="470"/>
      <c r="CK73" s="470"/>
      <c r="CL73" s="470"/>
      <c r="CM73" s="654" t="e">
        <f>IF(#REF!+#REF!&lt;&gt;$D73,1,0)</f>
        <v>#REF!</v>
      </c>
      <c r="CN73" s="470"/>
      <c r="CO73" s="470"/>
      <c r="CP73" s="470"/>
      <c r="CQ73" s="470"/>
      <c r="CR73" s="470"/>
      <c r="CS73" s="470"/>
      <c r="CT73" s="470"/>
      <c r="CU73" s="470"/>
      <c r="CV73" s="470"/>
      <c r="CW73" s="470"/>
      <c r="CX73" s="470"/>
      <c r="CY73" s="470"/>
      <c r="CZ73" s="470"/>
      <c r="DA73" s="470"/>
      <c r="DB73" s="470"/>
      <c r="DC73" s="470"/>
      <c r="DD73" s="470"/>
      <c r="DE73" s="470"/>
      <c r="DF73" s="470"/>
      <c r="DG73" s="470"/>
      <c r="DH73" s="470"/>
      <c r="DI73" s="470"/>
      <c r="DJ73" s="470"/>
      <c r="DK73" s="470"/>
      <c r="DL73" s="470"/>
      <c r="DM73" s="470"/>
      <c r="DN73" s="470"/>
      <c r="DO73" s="470"/>
      <c r="DP73" s="470"/>
      <c r="DQ73" s="216"/>
      <c r="DR73" s="216"/>
      <c r="DS73" s="216"/>
      <c r="DT73" s="216"/>
    </row>
    <row r="74" spans="1:124" ht="20.25" customHeight="1" x14ac:dyDescent="0.2">
      <c r="A74" s="1775" t="s">
        <v>1375</v>
      </c>
      <c r="B74" s="2181" t="s">
        <v>703</v>
      </c>
      <c r="C74" s="2182"/>
      <c r="D74" s="967" t="s">
        <v>1384</v>
      </c>
      <c r="E74" s="1038" t="s">
        <v>1385</v>
      </c>
      <c r="F74" s="1046" t="s">
        <v>1386</v>
      </c>
      <c r="G74" s="1693" t="s">
        <v>1387</v>
      </c>
      <c r="H74" s="1694" t="s">
        <v>1388</v>
      </c>
      <c r="I74" s="1693" t="s">
        <v>1389</v>
      </c>
      <c r="J74" s="1694" t="s">
        <v>1390</v>
      </c>
      <c r="K74" s="1693" t="s">
        <v>1391</v>
      </c>
      <c r="L74" s="1694" t="s">
        <v>1392</v>
      </c>
      <c r="M74" s="1693" t="s">
        <v>1393</v>
      </c>
      <c r="N74" s="1694" t="s">
        <v>1394</v>
      </c>
      <c r="O74" s="1693" t="s">
        <v>1395</v>
      </c>
      <c r="P74" s="1694" t="s">
        <v>1396</v>
      </c>
      <c r="Q74" s="1693" t="s">
        <v>1397</v>
      </c>
      <c r="R74" s="1694" t="s">
        <v>1398</v>
      </c>
      <c r="S74" s="1693" t="s">
        <v>1399</v>
      </c>
      <c r="T74" s="1694" t="s">
        <v>1400</v>
      </c>
      <c r="U74" s="1693" t="s">
        <v>1401</v>
      </c>
      <c r="V74" s="1694" t="s">
        <v>1402</v>
      </c>
      <c r="W74" s="1693" t="s">
        <v>1403</v>
      </c>
      <c r="X74" s="1694" t="s">
        <v>1404</v>
      </c>
      <c r="Y74" s="1693" t="s">
        <v>1405</v>
      </c>
      <c r="Z74" s="1694" t="s">
        <v>1406</v>
      </c>
      <c r="AA74" s="973" t="s">
        <v>1407</v>
      </c>
      <c r="AB74" s="974" t="s">
        <v>1408</v>
      </c>
      <c r="AC74" s="973" t="s">
        <v>1409</v>
      </c>
      <c r="AD74" s="974" t="s">
        <v>1410</v>
      </c>
      <c r="AE74" s="973" t="s">
        <v>1411</v>
      </c>
      <c r="AF74" s="974" t="s">
        <v>1412</v>
      </c>
      <c r="AG74" s="1040" t="s">
        <v>1413</v>
      </c>
      <c r="AH74" s="975" t="s">
        <v>1414</v>
      </c>
      <c r="AI74" s="1041" t="s">
        <v>1415</v>
      </c>
      <c r="AJ74" s="963" t="s">
        <v>1416</v>
      </c>
      <c r="AK74" s="1041" t="s">
        <v>1417</v>
      </c>
      <c r="AL74" s="963" t="s">
        <v>1418</v>
      </c>
      <c r="AX74" s="406"/>
      <c r="AY74" s="406"/>
      <c r="AZ74" s="478"/>
      <c r="BA74" s="474"/>
      <c r="BB74" s="474"/>
      <c r="BC74" s="465" t="e">
        <f>IF(#REF!+#REF!&lt;&gt;#REF!,"* La suma de Sexo debe ser igual al TOTAL de pacientes con IMC igual o mayor a 32KG/M2. ","")</f>
        <v>#REF!</v>
      </c>
      <c r="CI74" s="470"/>
      <c r="CJ74" s="470"/>
      <c r="CK74" s="470"/>
      <c r="CL74" s="470"/>
      <c r="CM74" s="654" t="e">
        <f>IF(#REF!+#REF!&lt;&gt;#REF!,1,0)</f>
        <v>#REF!</v>
      </c>
      <c r="CN74" s="470"/>
      <c r="CO74" s="470"/>
      <c r="CP74" s="470"/>
      <c r="CQ74" s="470"/>
      <c r="CR74" s="470"/>
      <c r="CS74" s="470"/>
      <c r="CT74" s="470"/>
      <c r="CU74" s="470"/>
      <c r="CV74" s="470"/>
      <c r="CW74" s="470"/>
      <c r="CX74" s="470"/>
      <c r="CY74" s="470"/>
      <c r="CZ74" s="470"/>
      <c r="DA74" s="470"/>
      <c r="DB74" s="470"/>
      <c r="DC74" s="470"/>
      <c r="DD74" s="470"/>
      <c r="DE74" s="470"/>
      <c r="DF74" s="470"/>
      <c r="DG74" s="470"/>
      <c r="DH74" s="470"/>
      <c r="DI74" s="470"/>
      <c r="DJ74" s="470"/>
      <c r="DK74" s="470"/>
      <c r="DL74" s="470"/>
      <c r="DM74" s="470"/>
      <c r="DN74" s="470"/>
      <c r="DO74" s="470"/>
      <c r="DP74" s="470"/>
      <c r="DQ74" s="216"/>
      <c r="DR74" s="216"/>
      <c r="DS74" s="216"/>
      <c r="DT74" s="216"/>
    </row>
    <row r="75" spans="1:124" ht="16.5" customHeight="1" x14ac:dyDescent="0.15">
      <c r="B75" s="215" t="s">
        <v>706</v>
      </c>
      <c r="D75" s="216"/>
      <c r="E75" s="216"/>
      <c r="F75" s="216"/>
      <c r="G75" s="216"/>
      <c r="H75" s="216"/>
      <c r="I75" s="216"/>
      <c r="J75" s="216"/>
      <c r="K75" s="216"/>
      <c r="L75" s="216"/>
      <c r="M75" s="216"/>
      <c r="N75" s="216"/>
      <c r="O75" s="216"/>
      <c r="P75" s="216"/>
      <c r="Q75" s="216"/>
      <c r="R75" s="216"/>
      <c r="S75" s="216"/>
      <c r="T75" s="216"/>
      <c r="U75" s="216"/>
      <c r="V75" s="216"/>
      <c r="W75" s="216"/>
      <c r="X75" s="216"/>
      <c r="Y75" s="216"/>
      <c r="Z75" s="216"/>
      <c r="BI75" s="478"/>
      <c r="BJ75" s="478"/>
      <c r="BK75" s="478"/>
      <c r="BL75" s="478"/>
      <c r="BM75" s="478"/>
      <c r="BN75" s="478"/>
      <c r="BO75" s="478"/>
      <c r="BP75" s="478"/>
      <c r="BQ75" s="478"/>
      <c r="BR75" s="478"/>
      <c r="BS75" s="478"/>
      <c r="BT75" s="478"/>
      <c r="BU75" s="478"/>
      <c r="BV75" s="478"/>
      <c r="BW75" s="478"/>
      <c r="BX75" s="478"/>
      <c r="BY75" s="478"/>
      <c r="BZ75" s="478"/>
      <c r="CA75" s="478"/>
      <c r="CB75" s="478"/>
      <c r="CC75" s="478"/>
      <c r="CD75" s="478"/>
      <c r="CE75" s="478"/>
      <c r="CF75" s="478"/>
      <c r="CG75" s="478"/>
      <c r="CH75" s="478"/>
      <c r="CI75" s="478"/>
      <c r="CJ75" s="478"/>
      <c r="CK75" s="478"/>
      <c r="CM75" s="470"/>
      <c r="CN75" s="470"/>
      <c r="CO75" s="470"/>
      <c r="CP75" s="470"/>
      <c r="CQ75" s="470"/>
      <c r="CR75" s="470"/>
      <c r="CS75" s="479"/>
      <c r="CT75" s="479"/>
      <c r="CU75" s="479"/>
      <c r="CV75" s="479"/>
      <c r="CW75" s="479"/>
      <c r="CX75" s="479"/>
      <c r="CY75" s="479"/>
      <c r="CZ75" s="479"/>
      <c r="DA75" s="479"/>
      <c r="DB75" s="479"/>
      <c r="DC75" s="479"/>
      <c r="DD75" s="479"/>
      <c r="DE75" s="479"/>
      <c r="DF75" s="479"/>
      <c r="DG75" s="479"/>
      <c r="DH75" s="479"/>
      <c r="DI75" s="479"/>
      <c r="DJ75" s="479"/>
      <c r="DK75" s="479"/>
      <c r="DL75" s="479"/>
      <c r="DM75" s="479"/>
      <c r="DN75" s="479"/>
      <c r="DO75" s="479"/>
      <c r="DP75" s="479"/>
      <c r="DQ75" s="479"/>
      <c r="DR75" s="479"/>
      <c r="DS75" s="479"/>
      <c r="DT75" s="479"/>
    </row>
    <row r="76" spans="1:124" ht="14.25" customHeight="1" x14ac:dyDescent="0.15">
      <c r="BI76" s="478"/>
      <c r="BJ76" s="478"/>
      <c r="BK76" s="478"/>
      <c r="BL76" s="478"/>
      <c r="BM76" s="478"/>
      <c r="BN76" s="478"/>
      <c r="BO76" s="478"/>
      <c r="BP76" s="478"/>
      <c r="BQ76" s="478"/>
      <c r="BR76" s="478"/>
      <c r="BS76" s="478"/>
      <c r="BT76" s="478"/>
      <c r="BU76" s="478"/>
      <c r="BV76" s="478"/>
      <c r="BW76" s="478"/>
      <c r="BX76" s="478"/>
      <c r="BY76" s="478"/>
      <c r="BZ76" s="478"/>
      <c r="CA76" s="478"/>
      <c r="CB76" s="478"/>
      <c r="CC76" s="478"/>
      <c r="CD76" s="478"/>
      <c r="CE76" s="478"/>
      <c r="CF76" s="478"/>
      <c r="CG76" s="478"/>
      <c r="CH76" s="478"/>
      <c r="CI76" s="478"/>
      <c r="CJ76" s="478"/>
      <c r="CK76" s="478"/>
      <c r="CM76" s="470"/>
      <c r="CN76" s="470"/>
      <c r="CO76" s="470"/>
      <c r="CP76" s="470"/>
      <c r="CQ76" s="470"/>
      <c r="CR76" s="470"/>
      <c r="CS76" s="479"/>
      <c r="CT76" s="479"/>
      <c r="CU76" s="479"/>
      <c r="CV76" s="479"/>
      <c r="CW76" s="479"/>
      <c r="CX76" s="479"/>
      <c r="CY76" s="479"/>
      <c r="CZ76" s="479"/>
      <c r="DA76" s="479"/>
      <c r="DB76" s="479"/>
      <c r="DC76" s="479"/>
      <c r="DD76" s="479"/>
      <c r="DE76" s="479"/>
      <c r="DF76" s="479"/>
      <c r="DG76" s="479"/>
      <c r="DH76" s="479"/>
      <c r="DI76" s="479"/>
      <c r="DJ76" s="479"/>
      <c r="DK76" s="479"/>
      <c r="DL76" s="479"/>
      <c r="DM76" s="479"/>
      <c r="DN76" s="479"/>
      <c r="DO76" s="479"/>
      <c r="DP76" s="479"/>
      <c r="DQ76" s="479"/>
      <c r="DR76" s="479"/>
      <c r="DS76" s="479"/>
      <c r="DT76" s="479"/>
    </row>
    <row r="77" spans="1:124" x14ac:dyDescent="0.15">
      <c r="AA77" s="81"/>
      <c r="CM77" s="470"/>
      <c r="CN77" s="470"/>
      <c r="CO77" s="470"/>
      <c r="CP77" s="470"/>
      <c r="CQ77" s="470"/>
      <c r="CR77" s="470"/>
      <c r="CS77" s="470"/>
      <c r="CT77" s="470"/>
      <c r="CU77" s="470"/>
      <c r="CV77" s="470"/>
      <c r="CW77" s="470"/>
      <c r="CX77" s="470"/>
      <c r="CY77" s="470"/>
      <c r="CZ77" s="470"/>
      <c r="DA77" s="470"/>
      <c r="DB77" s="470"/>
      <c r="DC77" s="470"/>
      <c r="DD77" s="470"/>
      <c r="DE77" s="470"/>
      <c r="DF77" s="470"/>
      <c r="DG77" s="470"/>
      <c r="DH77" s="470"/>
      <c r="DI77" s="470"/>
      <c r="DJ77" s="470"/>
      <c r="DK77" s="470"/>
      <c r="DL77" s="470"/>
      <c r="DM77" s="470"/>
      <c r="DN77" s="470"/>
      <c r="DO77" s="470"/>
      <c r="DP77" s="470"/>
      <c r="DQ77" s="470"/>
      <c r="DR77" s="470"/>
      <c r="DS77" s="470"/>
      <c r="DT77" s="470"/>
    </row>
    <row r="78" spans="1:124" x14ac:dyDescent="0.15">
      <c r="CM78" s="470"/>
      <c r="CN78" s="470"/>
      <c r="CO78" s="470"/>
      <c r="CP78" s="470"/>
      <c r="CQ78" s="470"/>
      <c r="CR78" s="470"/>
      <c r="CS78" s="470"/>
      <c r="CT78" s="470"/>
      <c r="CU78" s="470"/>
      <c r="CV78" s="470"/>
      <c r="CW78" s="470"/>
      <c r="CX78" s="470"/>
      <c r="CY78" s="470"/>
      <c r="CZ78" s="470"/>
      <c r="DA78" s="470"/>
      <c r="DB78" s="470"/>
      <c r="DC78" s="470"/>
      <c r="DD78" s="470"/>
      <c r="DE78" s="470"/>
      <c r="DF78" s="470"/>
      <c r="DG78" s="470"/>
      <c r="DH78" s="470"/>
      <c r="DI78" s="470"/>
      <c r="DJ78" s="470"/>
      <c r="DK78" s="470"/>
      <c r="DL78" s="470"/>
      <c r="DM78" s="470"/>
      <c r="DN78" s="470"/>
      <c r="DO78" s="470"/>
      <c r="DP78" s="470"/>
      <c r="DQ78" s="470"/>
      <c r="DR78" s="470"/>
      <c r="DS78" s="470"/>
      <c r="DT78" s="470"/>
    </row>
    <row r="79" spans="1:124" x14ac:dyDescent="0.15">
      <c r="A79" s="216" t="s">
        <v>865</v>
      </c>
      <c r="CM79" s="470"/>
      <c r="CN79" s="470"/>
      <c r="CO79" s="470"/>
      <c r="CP79" s="470"/>
      <c r="CQ79" s="470"/>
      <c r="CR79" s="470"/>
      <c r="CS79" s="470"/>
      <c r="CT79" s="470"/>
      <c r="CU79" s="470"/>
      <c r="CV79" s="470"/>
      <c r="CW79" s="470"/>
      <c r="CX79" s="470"/>
      <c r="CY79" s="470"/>
      <c r="CZ79" s="470"/>
      <c r="DA79" s="470"/>
      <c r="DB79" s="470"/>
      <c r="DC79" s="470"/>
      <c r="DD79" s="470"/>
      <c r="DE79" s="470"/>
      <c r="DF79" s="470"/>
      <c r="DG79" s="470"/>
      <c r="DH79" s="470"/>
      <c r="DI79" s="470"/>
      <c r="DJ79" s="470"/>
      <c r="DK79" s="470"/>
      <c r="DL79" s="470"/>
      <c r="DM79" s="470"/>
      <c r="DN79" s="470"/>
      <c r="DO79" s="470"/>
      <c r="DP79" s="470"/>
      <c r="DQ79" s="470"/>
      <c r="DR79" s="470"/>
      <c r="DS79" s="470"/>
      <c r="DT79" s="470"/>
    </row>
    <row r="80" spans="1:124" x14ac:dyDescent="0.15">
      <c r="B80" s="457"/>
      <c r="CM80" s="470"/>
      <c r="CN80" s="470"/>
      <c r="CO80" s="470"/>
      <c r="CP80" s="470"/>
      <c r="CQ80" s="470"/>
      <c r="CR80" s="470"/>
      <c r="CS80" s="470"/>
      <c r="CT80" s="470"/>
      <c r="CU80" s="470"/>
      <c r="CV80" s="470"/>
      <c r="CW80" s="470"/>
      <c r="CX80" s="470"/>
      <c r="CY80" s="470"/>
      <c r="CZ80" s="470"/>
      <c r="DA80" s="470"/>
      <c r="DB80" s="470"/>
      <c r="DC80" s="470"/>
      <c r="DD80" s="470"/>
      <c r="DE80" s="470"/>
      <c r="DF80" s="470"/>
      <c r="DG80" s="470"/>
      <c r="DH80" s="470"/>
      <c r="DI80" s="470"/>
      <c r="DJ80" s="470"/>
      <c r="DK80" s="470"/>
      <c r="DL80" s="470"/>
      <c r="DM80" s="470"/>
      <c r="DN80" s="470"/>
      <c r="DO80" s="470"/>
      <c r="DP80" s="470"/>
      <c r="DQ80" s="470"/>
      <c r="DR80" s="470"/>
      <c r="DS80" s="470"/>
      <c r="DT80" s="470"/>
    </row>
    <row r="81" spans="1:124" ht="14.25" x14ac:dyDescent="0.2">
      <c r="A81" s="1775" t="s">
        <v>1376</v>
      </c>
      <c r="CM81" s="470"/>
      <c r="CN81" s="470"/>
      <c r="CO81" s="470"/>
      <c r="CP81" s="470"/>
      <c r="CQ81" s="470"/>
      <c r="CR81" s="470"/>
      <c r="CS81" s="470"/>
      <c r="CT81" s="470"/>
      <c r="CU81" s="470"/>
      <c r="CV81" s="470"/>
      <c r="CW81" s="470"/>
      <c r="CX81" s="470"/>
      <c r="CY81" s="470"/>
      <c r="CZ81" s="470"/>
      <c r="DA81" s="470"/>
      <c r="DB81" s="470"/>
      <c r="DC81" s="470"/>
      <c r="DD81" s="470"/>
      <c r="DE81" s="470"/>
      <c r="DF81" s="470"/>
      <c r="DG81" s="470"/>
      <c r="DH81" s="470"/>
      <c r="DI81" s="470"/>
      <c r="DJ81" s="470"/>
      <c r="DK81" s="470"/>
      <c r="DL81" s="470"/>
      <c r="DM81" s="470"/>
      <c r="DN81" s="470"/>
      <c r="DO81" s="470"/>
      <c r="DP81" s="470"/>
      <c r="DQ81" s="470"/>
      <c r="DR81" s="470"/>
      <c r="DS81" s="470"/>
      <c r="DT81" s="470"/>
    </row>
    <row r="82" spans="1:124" ht="14.25" x14ac:dyDescent="0.2">
      <c r="A82" s="1775" t="s">
        <v>1377</v>
      </c>
      <c r="CM82" s="470"/>
      <c r="CN82" s="470"/>
      <c r="CO82" s="470"/>
      <c r="CP82" s="470"/>
      <c r="CQ82" s="470"/>
      <c r="CR82" s="470"/>
      <c r="CS82" s="470"/>
      <c r="CT82" s="470"/>
      <c r="CU82" s="470"/>
      <c r="CV82" s="470"/>
      <c r="CW82" s="470"/>
      <c r="CX82" s="470"/>
      <c r="CY82" s="470"/>
      <c r="CZ82" s="470"/>
      <c r="DA82" s="470"/>
      <c r="DB82" s="470"/>
      <c r="DC82" s="470"/>
      <c r="DD82" s="470"/>
      <c r="DE82" s="470"/>
      <c r="DF82" s="470"/>
      <c r="DG82" s="470"/>
      <c r="DH82" s="470"/>
      <c r="DI82" s="470"/>
      <c r="DJ82" s="470"/>
      <c r="DK82" s="470"/>
      <c r="DL82" s="470"/>
      <c r="DM82" s="470"/>
      <c r="DN82" s="470"/>
      <c r="DO82" s="470"/>
      <c r="DP82" s="470"/>
      <c r="DQ82" s="470"/>
      <c r="DR82" s="470"/>
      <c r="DS82" s="470"/>
      <c r="DT82" s="470"/>
    </row>
    <row r="83" spans="1:124" ht="14.25" x14ac:dyDescent="0.2">
      <c r="A83" s="1775" t="s">
        <v>1378</v>
      </c>
      <c r="CM83" s="470"/>
      <c r="CN83" s="470"/>
      <c r="CO83" s="470"/>
      <c r="CP83" s="470"/>
      <c r="CQ83" s="470"/>
      <c r="CR83" s="470"/>
      <c r="CS83" s="470"/>
      <c r="CT83" s="470"/>
      <c r="CU83" s="470"/>
      <c r="CV83" s="470"/>
      <c r="CW83" s="470"/>
      <c r="CX83" s="470"/>
      <c r="CY83" s="470"/>
      <c r="CZ83" s="470"/>
      <c r="DA83" s="470"/>
      <c r="DB83" s="470"/>
      <c r="DC83" s="470"/>
      <c r="DD83" s="470"/>
      <c r="DE83" s="470"/>
      <c r="DF83" s="470"/>
      <c r="DG83" s="470"/>
      <c r="DH83" s="470"/>
      <c r="DI83" s="470"/>
      <c r="DJ83" s="470"/>
      <c r="DK83" s="470"/>
      <c r="DL83" s="470"/>
      <c r="DM83" s="470"/>
      <c r="DN83" s="470"/>
      <c r="DO83" s="470"/>
      <c r="DP83" s="470"/>
      <c r="DQ83" s="470"/>
      <c r="DR83" s="470"/>
      <c r="DS83" s="470"/>
      <c r="DT83" s="470"/>
    </row>
    <row r="84" spans="1:124" ht="14.25" x14ac:dyDescent="0.2">
      <c r="A84" s="1775" t="s">
        <v>1379</v>
      </c>
    </row>
    <row r="85" spans="1:124" ht="14.25" x14ac:dyDescent="0.2">
      <c r="A85" s="1775" t="s">
        <v>1380</v>
      </c>
    </row>
    <row r="86" spans="1:124" ht="14.25" x14ac:dyDescent="0.2">
      <c r="A86" s="1775" t="s">
        <v>1381</v>
      </c>
    </row>
    <row r="87" spans="1:124" ht="14.25" x14ac:dyDescent="0.2">
      <c r="A87" s="1775" t="s">
        <v>1382</v>
      </c>
    </row>
    <row r="89" spans="1:124" s="474" customFormat="1" hidden="1" x14ac:dyDescent="0.15">
      <c r="B89" s="464" t="e">
        <f>SUM(D12:AM28,D33:AL40,D46:D61,D67:D68,#REF!)</f>
        <v>#REF!</v>
      </c>
      <c r="C89" s="465" t="s">
        <v>350</v>
      </c>
      <c r="Q89" s="478"/>
      <c r="AM89" s="406"/>
      <c r="AN89" s="406"/>
      <c r="AO89" s="406"/>
      <c r="AP89" s="406"/>
      <c r="AQ89" s="406"/>
      <c r="AR89" s="406"/>
      <c r="AS89" s="406"/>
      <c r="AT89" s="406"/>
      <c r="AU89" s="406"/>
      <c r="AV89" s="406"/>
      <c r="AW89" s="406"/>
      <c r="AX89" s="406"/>
      <c r="AY89" s="406"/>
      <c r="AZ89" s="406"/>
      <c r="BA89" s="406"/>
      <c r="BB89" s="406"/>
      <c r="BC89" s="406"/>
    </row>
    <row r="90" spans="1:124" s="474" customFormat="1" hidden="1" x14ac:dyDescent="0.15">
      <c r="B90" s="464" t="e">
        <f>SUM(CM13:DT83)</f>
        <v>#VALUE!</v>
      </c>
      <c r="C90" s="465" t="s">
        <v>351</v>
      </c>
      <c r="Q90" s="478"/>
      <c r="AM90" s="406"/>
      <c r="AN90" s="406"/>
      <c r="AO90" s="406"/>
      <c r="AP90" s="406"/>
      <c r="AQ90" s="406"/>
      <c r="AR90" s="406"/>
      <c r="AS90" s="406"/>
      <c r="AT90" s="406"/>
      <c r="AU90" s="406"/>
      <c r="AV90" s="406"/>
      <c r="AW90" s="406"/>
      <c r="AX90" s="406"/>
      <c r="AY90" s="406"/>
      <c r="AZ90" s="406"/>
      <c r="BA90" s="406"/>
      <c r="BB90" s="406"/>
      <c r="BC90" s="406"/>
    </row>
    <row r="91" spans="1:124" hidden="1" x14ac:dyDescent="0.15"/>
    <row r="92" spans="1:124" hidden="1" x14ac:dyDescent="0.15"/>
    <row r="93" spans="1:124" hidden="1" x14ac:dyDescent="0.15"/>
    <row r="94" spans="1:124" hidden="1" x14ac:dyDescent="0.15"/>
    <row r="95" spans="1:124" hidden="1" x14ac:dyDescent="0.15"/>
    <row r="96" spans="1:124" hidden="1" x14ac:dyDescent="0.15"/>
    <row r="97" hidden="1" x14ac:dyDescent="0.15"/>
    <row r="98" hidden="1" x14ac:dyDescent="0.15"/>
  </sheetData>
  <mergeCells count="94">
    <mergeCell ref="AG43:AH43"/>
    <mergeCell ref="U43:V43"/>
    <mergeCell ref="W43:X43"/>
    <mergeCell ref="Y43:Z43"/>
    <mergeCell ref="AA43:AB43"/>
    <mergeCell ref="AC43:AD43"/>
    <mergeCell ref="AK9:AL10"/>
    <mergeCell ref="U31:V31"/>
    <mergeCell ref="G9:AH9"/>
    <mergeCell ref="G10:H10"/>
    <mergeCell ref="I10:J10"/>
    <mergeCell ref="Q31:R31"/>
    <mergeCell ref="O31:P31"/>
    <mergeCell ref="AC10:AD10"/>
    <mergeCell ref="W10:X10"/>
    <mergeCell ref="AI30:AJ31"/>
    <mergeCell ref="AK30:AL31"/>
    <mergeCell ref="AE10:AF10"/>
    <mergeCell ref="AG10:AH10"/>
    <mergeCell ref="Y10:Z10"/>
    <mergeCell ref="S31:T31"/>
    <mergeCell ref="B7:V7"/>
    <mergeCell ref="B9:C11"/>
    <mergeCell ref="D9:F10"/>
    <mergeCell ref="Q10:R10"/>
    <mergeCell ref="S10:T10"/>
    <mergeCell ref="U10:V10"/>
    <mergeCell ref="K10:L10"/>
    <mergeCell ref="M10:N10"/>
    <mergeCell ref="O10:P10"/>
    <mergeCell ref="BL9:BL10"/>
    <mergeCell ref="B70:C70"/>
    <mergeCell ref="B73:C73"/>
    <mergeCell ref="B68:C68"/>
    <mergeCell ref="B60:B61"/>
    <mergeCell ref="B54:C54"/>
    <mergeCell ref="B55:C55"/>
    <mergeCell ref="B67:C67"/>
    <mergeCell ref="K31:L31"/>
    <mergeCell ref="B16:B21"/>
    <mergeCell ref="B48:C48"/>
    <mergeCell ref="B53:C53"/>
    <mergeCell ref="B56:B59"/>
    <mergeCell ref="D30:F31"/>
    <mergeCell ref="G31:H31"/>
    <mergeCell ref="BG9:BH10"/>
    <mergeCell ref="BI9:BI11"/>
    <mergeCell ref="BK9:BK10"/>
    <mergeCell ref="B50:C50"/>
    <mergeCell ref="B39:B40"/>
    <mergeCell ref="B47:C47"/>
    <mergeCell ref="B33:B34"/>
    <mergeCell ref="W31:X31"/>
    <mergeCell ref="Y31:Z31"/>
    <mergeCell ref="B22:B28"/>
    <mergeCell ref="B29:C29"/>
    <mergeCell ref="B30:C32"/>
    <mergeCell ref="B13:B15"/>
    <mergeCell ref="BE9:BF10"/>
    <mergeCell ref="B12:C12"/>
    <mergeCell ref="AA10:AB10"/>
    <mergeCell ref="AI9:AJ10"/>
    <mergeCell ref="B46:C46"/>
    <mergeCell ref="AG31:AH31"/>
    <mergeCell ref="AA31:AB31"/>
    <mergeCell ref="AE31:AF31"/>
    <mergeCell ref="M31:N31"/>
    <mergeCell ref="I31:J31"/>
    <mergeCell ref="D42:F43"/>
    <mergeCell ref="G42:AH42"/>
    <mergeCell ref="G43:H43"/>
    <mergeCell ref="I43:J43"/>
    <mergeCell ref="K43:L43"/>
    <mergeCell ref="M43:N43"/>
    <mergeCell ref="O43:P43"/>
    <mergeCell ref="Q43:R43"/>
    <mergeCell ref="S43:T43"/>
    <mergeCell ref="AE43:AF43"/>
    <mergeCell ref="AM9:AM11"/>
    <mergeCell ref="B35:B37"/>
    <mergeCell ref="B72:C72"/>
    <mergeCell ref="B74:C74"/>
    <mergeCell ref="B62:C62"/>
    <mergeCell ref="B63:C63"/>
    <mergeCell ref="B49:C49"/>
    <mergeCell ref="B71:C71"/>
    <mergeCell ref="B52:C52"/>
    <mergeCell ref="B42:C44"/>
    <mergeCell ref="B69:C69"/>
    <mergeCell ref="AI42:AJ43"/>
    <mergeCell ref="AK42:AL43"/>
    <mergeCell ref="B51:C51"/>
    <mergeCell ref="G30:AH30"/>
    <mergeCell ref="AC31:AD31"/>
  </mergeCells>
  <phoneticPr fontId="27" type="noConversion"/>
  <dataValidations count="1">
    <dataValidation allowBlank="1" showInputMessage="1" showErrorMessage="1" errorTitle=" Error de ingreso" error="Debe ingresar sólo números enteros positivos." sqref="B1:B35 B70:C1048576 C1:C41 B38:B42 B45:C68 D76:AH1048576 D1:AH69 D71:AH74 AI1:XFD1048576"/>
  </dataValidations>
  <pageMargins left="0.70866141732283472" right="0.70866141732283472" top="0.74803149606299213" bottom="0.74803149606299213" header="0.31496062992125984" footer="0.31496062992125984"/>
  <pageSetup scale="65" pageOrder="overThenDown" orientation="landscape" r:id="rId1"/>
  <rowBreaks count="1" manualBreakCount="1">
    <brk id="40" min="1" max="36" man="1"/>
  </rowBreaks>
  <colBreaks count="2" manualBreakCount="2">
    <brk id="16" max="57" man="1"/>
    <brk id="37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A89"/>
  <sheetViews>
    <sheetView showGridLines="0" zoomScaleNormal="100" workbookViewId="0"/>
  </sheetViews>
  <sheetFormatPr baseColWidth="10" defaultColWidth="11.42578125" defaultRowHeight="10.5" x14ac:dyDescent="0.15"/>
  <cols>
    <col min="1" max="1" width="19.5703125" style="215" customWidth="1"/>
    <col min="2" max="2" width="13.5703125" style="215" customWidth="1"/>
    <col min="3" max="3" width="18.140625" style="215" customWidth="1"/>
    <col min="4" max="4" width="12.85546875" style="215" customWidth="1"/>
    <col min="5" max="5" width="11.42578125" style="215"/>
    <col min="6" max="6" width="12.42578125" style="215" bestFit="1" customWidth="1"/>
    <col min="7" max="7" width="12" style="215" bestFit="1" customWidth="1"/>
    <col min="8" max="8" width="11.42578125" style="215"/>
    <col min="9" max="9" width="10.85546875" style="215" customWidth="1"/>
    <col min="10" max="18" width="11.42578125" style="215"/>
    <col min="19" max="21" width="11.42578125" style="216"/>
    <col min="22" max="22" width="11.42578125" style="216" customWidth="1"/>
    <col min="23" max="26" width="11.42578125" style="216"/>
    <col min="27" max="27" width="11.42578125" style="216" customWidth="1"/>
    <col min="28" max="28" width="11.7109375" style="216" customWidth="1"/>
    <col min="29" max="45" width="11.7109375" style="474" hidden="1" customWidth="1"/>
    <col min="46" max="46" width="11.7109375" style="216" customWidth="1"/>
    <col min="47" max="48" width="11.5703125" style="215" customWidth="1"/>
    <col min="49" max="52" width="11.42578125" style="215" customWidth="1"/>
    <col min="53" max="16384" width="11.42578125" style="215"/>
  </cols>
  <sheetData>
    <row r="1" spans="1:53" s="460" customFormat="1" ht="13.5" customHeight="1" x14ac:dyDescent="0.15">
      <c r="B1" s="148" t="s">
        <v>0</v>
      </c>
      <c r="C1" s="149"/>
      <c r="D1" s="149"/>
      <c r="E1" s="149"/>
      <c r="F1" s="149"/>
      <c r="G1" s="149"/>
      <c r="H1" s="149"/>
      <c r="I1" s="149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70"/>
      <c r="AU1" s="70"/>
      <c r="AV1" s="70"/>
      <c r="AW1" s="70"/>
      <c r="AX1" s="70"/>
      <c r="AY1" s="70"/>
      <c r="AZ1" s="70"/>
      <c r="BA1" s="70"/>
    </row>
    <row r="2" spans="1:53" s="460" customFormat="1" ht="13.5" customHeight="1" x14ac:dyDescent="0.15">
      <c r="B2" s="148" t="str">
        <f>CONCATENATE("COMUNA: ",NOMBRE!$B$2," - ","( ",NOMBRE!$C$2,NOMBRE!$D$2,NOMBRE!$E$2,NOMBRE!$F$2,NOMBRE!$G$2," )")</f>
        <v>COMUNA:  - (  )</v>
      </c>
      <c r="C2" s="149"/>
      <c r="D2" s="149"/>
      <c r="E2" s="149"/>
      <c r="F2" s="149"/>
      <c r="G2" s="149"/>
      <c r="H2" s="149"/>
      <c r="I2" s="149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391"/>
      <c r="AR2" s="391"/>
      <c r="AS2" s="391"/>
      <c r="AT2" s="70"/>
      <c r="AU2" s="70"/>
      <c r="AV2" s="70"/>
      <c r="AW2" s="70"/>
      <c r="AX2" s="70"/>
      <c r="AY2" s="70"/>
      <c r="AZ2" s="70"/>
      <c r="BA2" s="70"/>
    </row>
    <row r="3" spans="1:53" s="460" customFormat="1" ht="13.5" customHeight="1" x14ac:dyDescent="0.15">
      <c r="B3" s="148" t="str">
        <f>CONCATENATE("ESTABLECIMIENTO/ESTRATEGIA: ",NOMBRE!$B$3," - ","( ",NOMBRE!$C$3,NOMBRE!$D$3,NOMBRE!$E$3,NOMBRE!$F$3,NOMBRE!$G$3,NOMBRE!$H$3," )")</f>
        <v>ESTABLECIMIENTO/ESTRATEGIA:  - (  )</v>
      </c>
      <c r="C3" s="149"/>
      <c r="D3" s="149"/>
      <c r="E3" s="150"/>
      <c r="F3" s="149"/>
      <c r="G3" s="149"/>
      <c r="H3" s="149"/>
      <c r="I3" s="149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1"/>
      <c r="AP3" s="391"/>
      <c r="AQ3" s="391"/>
      <c r="AR3" s="391"/>
      <c r="AS3" s="391"/>
      <c r="AT3" s="70"/>
      <c r="AU3" s="70"/>
      <c r="AV3" s="70"/>
      <c r="AW3" s="70"/>
      <c r="AX3" s="70"/>
      <c r="AY3" s="70"/>
      <c r="AZ3" s="70"/>
      <c r="BA3" s="70"/>
    </row>
    <row r="4" spans="1:53" s="460" customFormat="1" ht="13.5" customHeight="1" x14ac:dyDescent="0.15">
      <c r="B4" s="148" t="str">
        <f>CONCATENATE("MES: ",NOMBRE!$B$6," - ","( ",NOMBRE!$C$6,NOMBRE!$D$6," )")</f>
        <v>MES:  - (  )</v>
      </c>
      <c r="C4" s="149"/>
      <c r="D4" s="149"/>
      <c r="E4" s="149"/>
      <c r="F4" s="149"/>
      <c r="G4" s="149"/>
      <c r="H4" s="149"/>
      <c r="I4" s="149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391"/>
      <c r="AD4" s="391"/>
      <c r="AE4" s="391"/>
      <c r="AF4" s="391"/>
      <c r="AG4" s="391"/>
      <c r="AH4" s="391"/>
      <c r="AI4" s="391"/>
      <c r="AJ4" s="391"/>
      <c r="AK4" s="391"/>
      <c r="AL4" s="391"/>
      <c r="AM4" s="391"/>
      <c r="AN4" s="391"/>
      <c r="AO4" s="391"/>
      <c r="AP4" s="391"/>
      <c r="AQ4" s="391"/>
      <c r="AR4" s="391"/>
      <c r="AS4" s="391"/>
      <c r="AT4" s="70"/>
      <c r="AU4" s="70"/>
      <c r="AV4" s="70"/>
      <c r="AW4" s="70"/>
      <c r="AX4" s="70"/>
      <c r="AY4" s="70"/>
      <c r="AZ4" s="70"/>
      <c r="BA4" s="70"/>
    </row>
    <row r="5" spans="1:53" s="460" customFormat="1" ht="13.5" customHeight="1" x14ac:dyDescent="0.15">
      <c r="B5" s="148" t="str">
        <f>CONCATENATE("AÑO: ",NOMBRE!$B$7)</f>
        <v>AÑO: 2021</v>
      </c>
      <c r="C5" s="149"/>
      <c r="D5" s="149"/>
      <c r="E5" s="149"/>
      <c r="F5" s="149"/>
      <c r="G5" s="149"/>
      <c r="H5" s="149"/>
      <c r="I5" s="149"/>
      <c r="J5" s="70"/>
      <c r="K5" s="70"/>
      <c r="L5" s="70"/>
      <c r="M5" s="70"/>
      <c r="S5" s="481"/>
      <c r="T5" s="481"/>
      <c r="U5" s="481"/>
      <c r="V5" s="70"/>
      <c r="W5" s="70"/>
      <c r="X5" s="70"/>
      <c r="Y5" s="70"/>
      <c r="Z5" s="70"/>
      <c r="AA5" s="70"/>
      <c r="AB5" s="70"/>
      <c r="AC5" s="391"/>
      <c r="AD5" s="391"/>
      <c r="AE5" s="391"/>
      <c r="AF5" s="391"/>
      <c r="AG5" s="391"/>
      <c r="AH5" s="391"/>
      <c r="AI5" s="391"/>
      <c r="AJ5" s="391"/>
      <c r="AK5" s="391"/>
      <c r="AL5" s="391"/>
      <c r="AM5" s="391"/>
      <c r="AN5" s="391"/>
      <c r="AO5" s="391"/>
      <c r="AP5" s="391"/>
      <c r="AQ5" s="391"/>
      <c r="AR5" s="391"/>
      <c r="AS5" s="391"/>
      <c r="AT5" s="70"/>
      <c r="AU5" s="70"/>
      <c r="AV5" s="70"/>
      <c r="AW5" s="70"/>
      <c r="AX5" s="70"/>
      <c r="AY5" s="70"/>
      <c r="AZ5" s="70"/>
      <c r="BA5" s="70"/>
    </row>
    <row r="6" spans="1:53" s="460" customFormat="1" ht="15" customHeight="1" x14ac:dyDescent="0.15">
      <c r="B6" s="148"/>
      <c r="C6" s="149"/>
      <c r="D6" s="149"/>
      <c r="E6" s="149"/>
      <c r="F6" s="149"/>
      <c r="G6" s="149"/>
      <c r="H6" s="149"/>
      <c r="I6" s="149"/>
      <c r="J6" s="70"/>
      <c r="K6" s="70"/>
      <c r="L6" s="70"/>
      <c r="M6" s="70"/>
      <c r="S6" s="481"/>
      <c r="T6" s="481"/>
      <c r="U6" s="481"/>
      <c r="V6" s="70"/>
      <c r="W6" s="70"/>
      <c r="X6" s="70"/>
      <c r="Y6" s="70"/>
      <c r="Z6" s="70"/>
      <c r="AA6" s="70"/>
      <c r="AB6" s="70"/>
      <c r="AC6" s="391"/>
      <c r="AD6" s="391"/>
      <c r="AE6" s="391"/>
      <c r="AF6" s="391"/>
      <c r="AG6" s="391"/>
      <c r="AH6" s="391"/>
      <c r="AI6" s="391"/>
      <c r="AJ6" s="391"/>
      <c r="AK6" s="391"/>
      <c r="AL6" s="391"/>
      <c r="AM6" s="391"/>
      <c r="AN6" s="391"/>
      <c r="AO6" s="391"/>
      <c r="AP6" s="391"/>
      <c r="AQ6" s="391"/>
      <c r="AR6" s="391"/>
      <c r="AS6" s="391"/>
      <c r="AT6" s="70"/>
      <c r="AU6" s="70"/>
      <c r="AV6" s="70"/>
      <c r="AW6" s="70"/>
      <c r="AX6" s="70"/>
      <c r="AY6" s="70"/>
      <c r="AZ6" s="70"/>
      <c r="BA6" s="70"/>
    </row>
    <row r="7" spans="1:53" ht="33" customHeight="1" x14ac:dyDescent="0.15">
      <c r="C7" s="656"/>
      <c r="D7" s="656"/>
      <c r="E7" s="656"/>
      <c r="F7" s="2259" t="s">
        <v>686</v>
      </c>
      <c r="G7" s="2259"/>
      <c r="H7" s="2259"/>
      <c r="I7" s="2259"/>
      <c r="J7" s="2259"/>
      <c r="K7" s="2259"/>
      <c r="L7" s="2259"/>
      <c r="M7" s="2259"/>
      <c r="N7" s="2259"/>
      <c r="O7" s="2259"/>
      <c r="P7" s="2259"/>
      <c r="Q7" s="2259"/>
      <c r="R7" s="2259"/>
      <c r="S7" s="2259"/>
      <c r="T7" s="656"/>
      <c r="U7" s="656"/>
    </row>
    <row r="8" spans="1:53" ht="43.5" customHeight="1" x14ac:dyDescent="0.2">
      <c r="B8" s="659" t="s">
        <v>588</v>
      </c>
      <c r="C8" s="657"/>
      <c r="D8" s="659"/>
      <c r="E8" s="657"/>
      <c r="F8" s="199"/>
      <c r="G8" s="199"/>
      <c r="H8" s="199"/>
      <c r="I8" s="200"/>
      <c r="N8" s="475"/>
      <c r="AE8" s="2222" t="s">
        <v>17</v>
      </c>
      <c r="AF8" s="2222"/>
      <c r="AG8" s="2222" t="s">
        <v>527</v>
      </c>
      <c r="AH8" s="2222"/>
      <c r="AI8" s="2222" t="s">
        <v>17</v>
      </c>
      <c r="AJ8" s="2222" t="s">
        <v>527</v>
      </c>
      <c r="AL8" s="2222" t="s">
        <v>17</v>
      </c>
      <c r="AM8" s="2222"/>
      <c r="AN8" s="2222" t="s">
        <v>527</v>
      </c>
      <c r="AO8" s="2222"/>
      <c r="AP8" s="2222" t="s">
        <v>17</v>
      </c>
      <c r="AQ8" s="2222" t="s">
        <v>527</v>
      </c>
    </row>
    <row r="9" spans="1:53" ht="27" customHeight="1" x14ac:dyDescent="0.15">
      <c r="B9" s="2261" t="s">
        <v>206</v>
      </c>
      <c r="C9" s="2261"/>
      <c r="D9" s="2261"/>
      <c r="E9" s="2264" t="s">
        <v>15</v>
      </c>
      <c r="F9" s="2264"/>
      <c r="G9" s="2264"/>
      <c r="H9" s="2265" t="s">
        <v>589</v>
      </c>
      <c r="I9" s="2266"/>
      <c r="J9" s="2266"/>
      <c r="K9" s="2266"/>
      <c r="L9" s="2266"/>
      <c r="M9" s="2266"/>
      <c r="N9" s="2266"/>
      <c r="O9" s="2268"/>
      <c r="P9" s="2005" t="s">
        <v>17</v>
      </c>
      <c r="Q9" s="2288"/>
      <c r="R9" s="2287" t="s">
        <v>527</v>
      </c>
      <c r="S9" s="2288"/>
      <c r="T9" s="215"/>
      <c r="AE9" s="2222"/>
      <c r="AF9" s="2222"/>
      <c r="AG9" s="2222"/>
      <c r="AH9" s="2222"/>
      <c r="AI9" s="2222"/>
      <c r="AJ9" s="2222"/>
      <c r="AL9" s="2222"/>
      <c r="AM9" s="2222"/>
      <c r="AN9" s="2222"/>
      <c r="AO9" s="2222"/>
      <c r="AP9" s="2222"/>
      <c r="AQ9" s="2222"/>
    </row>
    <row r="10" spans="1:53" ht="25.5" customHeight="1" x14ac:dyDescent="0.15">
      <c r="B10" s="2261"/>
      <c r="C10" s="2261"/>
      <c r="D10" s="2261"/>
      <c r="E10" s="2264"/>
      <c r="F10" s="2264"/>
      <c r="G10" s="2264"/>
      <c r="H10" s="2104" t="s">
        <v>207</v>
      </c>
      <c r="I10" s="2088"/>
      <c r="J10" s="2087" t="s">
        <v>208</v>
      </c>
      <c r="K10" s="2088"/>
      <c r="L10" s="2087" t="s">
        <v>209</v>
      </c>
      <c r="M10" s="2088"/>
      <c r="N10" s="2087" t="s">
        <v>221</v>
      </c>
      <c r="O10" s="2104"/>
      <c r="P10" s="2005"/>
      <c r="Q10" s="2288"/>
      <c r="R10" s="2287"/>
      <c r="S10" s="2288"/>
      <c r="T10" s="215"/>
      <c r="AE10" s="1250" t="s">
        <v>33</v>
      </c>
      <c r="AF10" s="1250" t="s">
        <v>100</v>
      </c>
      <c r="AG10" s="1250" t="s">
        <v>33</v>
      </c>
      <c r="AH10" s="1250" t="s">
        <v>100</v>
      </c>
      <c r="AI10" s="1249" t="s">
        <v>625</v>
      </c>
      <c r="AJ10" s="1249" t="s">
        <v>625</v>
      </c>
      <c r="AL10" s="1250" t="s">
        <v>33</v>
      </c>
      <c r="AM10" s="1250" t="s">
        <v>100</v>
      </c>
      <c r="AN10" s="1250" t="s">
        <v>33</v>
      </c>
      <c r="AO10" s="1250" t="s">
        <v>100</v>
      </c>
      <c r="AP10" s="1249" t="s">
        <v>625</v>
      </c>
      <c r="AQ10" s="1249" t="s">
        <v>625</v>
      </c>
    </row>
    <row r="11" spans="1:53" ht="21" x14ac:dyDescent="0.15">
      <c r="B11" s="2261"/>
      <c r="C11" s="2261"/>
      <c r="D11" s="2261"/>
      <c r="E11" s="154" t="s">
        <v>99</v>
      </c>
      <c r="F11" s="201" t="s">
        <v>33</v>
      </c>
      <c r="G11" s="202" t="s">
        <v>100</v>
      </c>
      <c r="H11" s="160" t="s">
        <v>145</v>
      </c>
      <c r="I11" s="161" t="s">
        <v>100</v>
      </c>
      <c r="J11" s="160" t="s">
        <v>145</v>
      </c>
      <c r="K11" s="161" t="s">
        <v>100</v>
      </c>
      <c r="L11" s="160" t="s">
        <v>145</v>
      </c>
      <c r="M11" s="161" t="s">
        <v>100</v>
      </c>
      <c r="N11" s="160" t="s">
        <v>145</v>
      </c>
      <c r="O11" s="162" t="s">
        <v>100</v>
      </c>
      <c r="P11" s="468" t="s">
        <v>33</v>
      </c>
      <c r="Q11" s="1493" t="s">
        <v>100</v>
      </c>
      <c r="R11" s="1501" t="s">
        <v>33</v>
      </c>
      <c r="S11" s="429" t="s">
        <v>100</v>
      </c>
      <c r="T11" s="215"/>
    </row>
    <row r="12" spans="1:53" ht="21" customHeight="1" x14ac:dyDescent="0.2">
      <c r="A12" s="1773" t="s">
        <v>1013</v>
      </c>
      <c r="B12" s="2269" t="s">
        <v>210</v>
      </c>
      <c r="C12" s="2269"/>
      <c r="D12" s="2269"/>
      <c r="E12" s="1054" t="s">
        <v>1384</v>
      </c>
      <c r="F12" s="1055" t="s">
        <v>1385</v>
      </c>
      <c r="G12" s="1056" t="s">
        <v>1386</v>
      </c>
      <c r="H12" s="1057" t="s">
        <v>1387</v>
      </c>
      <c r="I12" s="1058" t="s">
        <v>1388</v>
      </c>
      <c r="J12" s="1057" t="s">
        <v>1389</v>
      </c>
      <c r="K12" s="1058" t="s">
        <v>1390</v>
      </c>
      <c r="L12" s="1057" t="s">
        <v>1391</v>
      </c>
      <c r="M12" s="1058" t="s">
        <v>1392</v>
      </c>
      <c r="N12" s="1057" t="s">
        <v>1393</v>
      </c>
      <c r="O12" s="1059" t="s">
        <v>1394</v>
      </c>
      <c r="P12" s="1060" t="s">
        <v>1395</v>
      </c>
      <c r="Q12" s="1058" t="s">
        <v>1396</v>
      </c>
      <c r="R12" s="1061" t="s">
        <v>1397</v>
      </c>
      <c r="S12" s="1058" t="s">
        <v>1398</v>
      </c>
      <c r="T12" s="81" t="str">
        <f xml:space="preserve"> AE12 &amp; AF12 &amp; AG12 &amp; AH12 &amp; AI12 &amp; AJ12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2" s="465" t="str">
        <f>IF($F12&gt;=$P12,"","* La celda 'Pueblos Originarios / Hombres' debe ser menor o igual al Total de Hombres en control. ")</f>
        <v xml:space="preserve">* La celda 'Pueblos Originarios / Hombres' debe ser menor o igual al Total de Hombres en control. </v>
      </c>
      <c r="AF12" s="465" t="str">
        <f>IF($G12&gt;=$Q12,"","* La celda 'Pueblos Originarios / Mujeres' debe ser menor o igual al Total de Mujeres en control. ")</f>
        <v xml:space="preserve">* La celda 'Pueblos Originarios / Mujeres' debe ser menor o igual al Total de Mujeres en control. </v>
      </c>
      <c r="AG12" s="465" t="str">
        <f>IF($F12&gt;=$R12,"","* La celda 'Población Migrantes / Hombres' debe ser menor o igual al Total de Hombres en control. ")</f>
        <v xml:space="preserve">* La celda 'Población Migrantes / Hombres' debe ser menor o igual al Total de Hombres en control. </v>
      </c>
      <c r="AH12" s="465" t="str">
        <f>IF($G12&gt;=$S12,"","* La celda 'Población Migrantes / Mujeres' debe ser menor o igual al Total de Mujeres en control. ")</f>
        <v xml:space="preserve">* La celda 'Población Migrantes / Mujeres' debe ser menor o igual al Total de Mujeres en control. </v>
      </c>
      <c r="AI12" s="465" t="str">
        <f>IF(AND($F12&lt;&gt;0,$P12=""),"* No olvide escribir en las celdas de 'Pueblos Originarios' (Digite CERO si no tiene). ",IF(AND(G12&lt;&gt;0,Q12=""),"* No olvide escribir en las celdas de 'Pueblos Originarios' (Digite CERO si no tiene). ",""))</f>
        <v/>
      </c>
      <c r="AJ12" s="465" t="str">
        <f>IF(AND($F12&lt;&gt;0,$R12=""),"* No olvide escribir en las celdas de 'Población Migrantes' (Digite CERO si no tiene). ",IF(AND(G12&lt;&gt;0,S12=""),"* No olvide escribir en las celdas de 'Población Migrantes' (Digite CERO si no tiene). ",""))</f>
        <v/>
      </c>
      <c r="AL12" s="486">
        <f>IF($F12&gt;=$P12,0,1)</f>
        <v>1</v>
      </c>
      <c r="AM12" s="486">
        <f>IF($G12&gt;=$Q12,0,1)</f>
        <v>1</v>
      </c>
      <c r="AN12" s="486">
        <f>IF($F12&gt;=$R12,0,1)</f>
        <v>1</v>
      </c>
      <c r="AO12" s="486">
        <f>IF($G12&gt;=$S12,0,1)</f>
        <v>1</v>
      </c>
      <c r="AP12" s="486">
        <f>IF(AND(F12&lt;&gt;0,P12=""),1,IF(AND(G12&lt;&gt;0,Q12=""),1,0))</f>
        <v>0</v>
      </c>
      <c r="AQ12" s="486">
        <f>IF(AND(F12&lt;&gt;0,R12=""),1,IF(AND(G12&lt;&gt;0,S12=""),1,0))</f>
        <v>0</v>
      </c>
      <c r="AR12" s="470"/>
      <c r="AS12" s="470"/>
    </row>
    <row r="13" spans="1:53" ht="21" customHeight="1" x14ac:dyDescent="0.2">
      <c r="A13" s="1773" t="s">
        <v>1014</v>
      </c>
      <c r="B13" s="2270" t="s">
        <v>211</v>
      </c>
      <c r="C13" s="2270"/>
      <c r="D13" s="2270"/>
      <c r="E13" s="1062" t="s">
        <v>1384</v>
      </c>
      <c r="F13" s="1063" t="s">
        <v>1385</v>
      </c>
      <c r="G13" s="1064" t="s">
        <v>1386</v>
      </c>
      <c r="H13" s="1065" t="s">
        <v>1387</v>
      </c>
      <c r="I13" s="1066" t="s">
        <v>1388</v>
      </c>
      <c r="J13" s="1065" t="s">
        <v>1389</v>
      </c>
      <c r="K13" s="1066" t="s">
        <v>1390</v>
      </c>
      <c r="L13" s="1065" t="s">
        <v>1391</v>
      </c>
      <c r="M13" s="1066" t="s">
        <v>1392</v>
      </c>
      <c r="N13" s="1065" t="s">
        <v>1393</v>
      </c>
      <c r="O13" s="1067" t="s">
        <v>1394</v>
      </c>
      <c r="P13" s="1068" t="s">
        <v>1395</v>
      </c>
      <c r="Q13" s="1066" t="s">
        <v>1396</v>
      </c>
      <c r="R13" s="1069" t="s">
        <v>1397</v>
      </c>
      <c r="S13" s="1066" t="s">
        <v>1398</v>
      </c>
      <c r="T13" s="81" t="str">
        <f xml:space="preserve"> AE13 &amp; AF13 &amp; AG13 &amp; AH13 &amp; AI13 &amp; AJ13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3" s="465" t="str">
        <f>IF($F13&gt;=$P13,"","* La celda 'Pueblos Originarios / Hombres' debe ser menor o igual al Total de Hombres en control. ")</f>
        <v xml:space="preserve">* La celda 'Pueblos Originarios / Hombres' debe ser menor o igual al Total de Hombres en control. </v>
      </c>
      <c r="AF13" s="465" t="str">
        <f>IF($G13&gt;=$Q13,"","* La celda 'Pueblos Originarios / Mujeres' debe ser menor o igual al Total de Mujeres en control. ")</f>
        <v xml:space="preserve">* La celda 'Pueblos Originarios / Mujeres' debe ser menor o igual al Total de Mujeres en control. </v>
      </c>
      <c r="AG13" s="465" t="str">
        <f>IF($F13&gt;=$R13,"","* La celda 'Población Migrantes / Hombres' debe ser menor o igual al Total de Hombres en control. ")</f>
        <v xml:space="preserve">* La celda 'Población Migrantes / Hombres' debe ser menor o igual al Total de Hombres en control. </v>
      </c>
      <c r="AH13" s="465" t="str">
        <f>IF($G13&gt;=$S13,"","* La celda 'Población Migrantes / Mujeres' debe ser menor o igual al Total de Mujeres en control. ")</f>
        <v xml:space="preserve">* La celda 'Población Migrantes / Mujeres' debe ser menor o igual al Total de Mujeres en control. </v>
      </c>
      <c r="AI13" s="465" t="str">
        <f>IF(AND($F13&lt;&gt;0,$P13=""),"* No olvide escribir en las celdas de 'Pueblos Originarios' (Digite CERO si no tiene). ",IF(AND(G13&lt;&gt;0,Q13=""),"* No olvide escribir en las celdas de 'Pueblos Originarios' (Digite CERO si no tiene). ",""))</f>
        <v/>
      </c>
      <c r="AJ13" s="465" t="str">
        <f>IF(AND($F13&lt;&gt;0,$R13=""),"* No olvide escribir en las celdas de 'Población Migrantes' (Digite CERO si no tiene). ",IF(AND(G13&lt;&gt;0,S13=""),"* No olvide escribir en las celdas de 'Población Migrantes' (Digite CERO si no tiene). ",""))</f>
        <v/>
      </c>
      <c r="AL13" s="486">
        <f>IF($F13&gt;=$P13,0,1)</f>
        <v>1</v>
      </c>
      <c r="AM13" s="486">
        <f>IF($G13&gt;=$Q13,0,1)</f>
        <v>1</v>
      </c>
      <c r="AN13" s="486">
        <f>IF($F13&gt;=$R13,0,1)</f>
        <v>1</v>
      </c>
      <c r="AO13" s="486">
        <f>IF($G13&gt;=$S13,0,1)</f>
        <v>1</v>
      </c>
      <c r="AP13" s="486">
        <f>IF(AND(F13&lt;&gt;0,P13=""),1,IF(AND(G13&lt;&gt;0,Q13=""),1,0))</f>
        <v>0</v>
      </c>
      <c r="AQ13" s="486">
        <f>IF(AND(F13&lt;&gt;0,R13=""),1,IF(AND(G13&lt;&gt;0,S13=""),1,0))</f>
        <v>0</v>
      </c>
      <c r="AR13" s="470"/>
      <c r="AS13" s="470"/>
    </row>
    <row r="14" spans="1:53" ht="21" customHeight="1" x14ac:dyDescent="0.2">
      <c r="A14" s="1773" t="s">
        <v>1015</v>
      </c>
      <c r="B14" s="2271" t="s">
        <v>212</v>
      </c>
      <c r="C14" s="2271"/>
      <c r="D14" s="2271"/>
      <c r="E14" s="1062" t="s">
        <v>1384</v>
      </c>
      <c r="F14" s="1063" t="s">
        <v>1385</v>
      </c>
      <c r="G14" s="1064" t="s">
        <v>1386</v>
      </c>
      <c r="H14" s="1070" t="s">
        <v>1387</v>
      </c>
      <c r="I14" s="1071" t="s">
        <v>1388</v>
      </c>
      <c r="J14" s="1070" t="s">
        <v>1389</v>
      </c>
      <c r="K14" s="1071" t="s">
        <v>1390</v>
      </c>
      <c r="L14" s="1070" t="s">
        <v>1391</v>
      </c>
      <c r="M14" s="1071" t="s">
        <v>1392</v>
      </c>
      <c r="N14" s="1070" t="s">
        <v>1393</v>
      </c>
      <c r="O14" s="1072" t="s">
        <v>1394</v>
      </c>
      <c r="P14" s="1073" t="s">
        <v>1395</v>
      </c>
      <c r="Q14" s="1071" t="s">
        <v>1396</v>
      </c>
      <c r="R14" s="1074" t="s">
        <v>1397</v>
      </c>
      <c r="S14" s="1071" t="s">
        <v>1398</v>
      </c>
      <c r="T14" s="81" t="str">
        <f xml:space="preserve"> AE14 &amp; AF14 &amp; AG14 &amp; AH14 &amp; AI14 &amp; AJ14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4" s="465" t="str">
        <f>IF($F14&gt;=$P14,"","* La celda 'Pueblos Originarios / Hombres' debe ser menor o igual al Total de Hombres en control. ")</f>
        <v xml:space="preserve">* La celda 'Pueblos Originarios / Hombres' debe ser menor o igual al Total de Hombres en control. </v>
      </c>
      <c r="AF14" s="465" t="str">
        <f>IF($G14&gt;=$Q14,"","* La celda 'Pueblos Originarios / Mujeres' debe ser menor o igual al Total de Mujeres en control. ")</f>
        <v xml:space="preserve">* La celda 'Pueblos Originarios / Mujeres' debe ser menor o igual al Total de Mujeres en control. </v>
      </c>
      <c r="AG14" s="465" t="str">
        <f>IF($F14&gt;=$R14,"","* La celda 'Población Migrantes / Hombres' debe ser menor o igual al Total de Hombres en control. ")</f>
        <v xml:space="preserve">* La celda 'Población Migrantes / Hombres' debe ser menor o igual al Total de Hombres en control. </v>
      </c>
      <c r="AH14" s="465" t="str">
        <f>IF($G14&gt;=$S14,"","* La celda 'Población Migrantes / Mujeres' debe ser menor o igual al Total de Mujeres en control. ")</f>
        <v xml:space="preserve">* La celda 'Población Migrantes / Mujeres' debe ser menor o igual al Total de Mujeres en control. </v>
      </c>
      <c r="AI14" s="465" t="str">
        <f>IF(AND($F14&lt;&gt;0,$P14=""),"* No olvide escribir en las celdas de 'Pueblos Originarios' (Digite CERO si no tiene). ",IF(AND(G14&lt;&gt;0,Q14=""),"* No olvide escribir en las celdas de 'Pueblos Originarios' (Digite CERO si no tiene). ",""))</f>
        <v/>
      </c>
      <c r="AJ14" s="465" t="str">
        <f>IF(AND($F14&lt;&gt;0,$R14=""),"* No olvide escribir en las celdas de 'Población Migrantes' (Digite CERO si no tiene). ",IF(AND(G14&lt;&gt;0,S14=""),"* No olvide escribir en las celdas de 'Población Migrantes' (Digite CERO si no tiene). ",""))</f>
        <v/>
      </c>
      <c r="AL14" s="486">
        <f>IF($F14&gt;=$P14,0,1)</f>
        <v>1</v>
      </c>
      <c r="AM14" s="486">
        <f>IF($G14&gt;=$Q14,0,1)</f>
        <v>1</v>
      </c>
      <c r="AN14" s="486">
        <f>IF($F14&gt;=$R14,0,1)</f>
        <v>1</v>
      </c>
      <c r="AO14" s="486">
        <f>IF($G14&gt;=$S14,0,1)</f>
        <v>1</v>
      </c>
      <c r="AP14" s="486">
        <f>IF(AND(F14&lt;&gt;0,P14=""),1,IF(AND(G14&lt;&gt;0,Q14=""),1,0))</f>
        <v>0</v>
      </c>
      <c r="AQ14" s="486">
        <f>IF(AND(F14&lt;&gt;0,R14=""),1,IF(AND(G14&lt;&gt;0,S14=""),1,0))</f>
        <v>0</v>
      </c>
      <c r="AR14" s="470"/>
      <c r="AS14" s="470"/>
    </row>
    <row r="15" spans="1:53" ht="21" customHeight="1" x14ac:dyDescent="0.2">
      <c r="A15" s="1774"/>
      <c r="B15" s="2272" t="s">
        <v>213</v>
      </c>
      <c r="C15" s="2273"/>
      <c r="D15" s="2274"/>
      <c r="E15" s="1075">
        <f>SUM(F15:G15)</f>
        <v>0</v>
      </c>
      <c r="F15" s="1076">
        <f>+H15+J15+L15+N15</f>
        <v>0</v>
      </c>
      <c r="G15" s="1077">
        <f>+I15+K15+M15+O15</f>
        <v>0</v>
      </c>
      <c r="H15" s="1075">
        <f>SUM(H12:H14)</f>
        <v>0</v>
      </c>
      <c r="I15" s="1077">
        <f t="shared" ref="I15:R15" si="0">SUM(I12:I14)</f>
        <v>0</v>
      </c>
      <c r="J15" s="1075">
        <f t="shared" si="0"/>
        <v>0</v>
      </c>
      <c r="K15" s="1077">
        <f t="shared" si="0"/>
        <v>0</v>
      </c>
      <c r="L15" s="1075">
        <f t="shared" si="0"/>
        <v>0</v>
      </c>
      <c r="M15" s="1077">
        <f t="shared" si="0"/>
        <v>0</v>
      </c>
      <c r="N15" s="1075">
        <f t="shared" si="0"/>
        <v>0</v>
      </c>
      <c r="O15" s="1078">
        <f t="shared" si="0"/>
        <v>0</v>
      </c>
      <c r="P15" s="1079">
        <f>SUM(P12:P14)</f>
        <v>0</v>
      </c>
      <c r="Q15" s="1077">
        <f>SUM(Q12:Q14)</f>
        <v>0</v>
      </c>
      <c r="R15" s="1527">
        <f t="shared" si="0"/>
        <v>0</v>
      </c>
      <c r="S15" s="1077">
        <f>SUM(S12:S14)</f>
        <v>0</v>
      </c>
      <c r="T15" s="81"/>
      <c r="AE15" s="465"/>
      <c r="AL15" s="654"/>
      <c r="AM15" s="470"/>
      <c r="AN15" s="470"/>
      <c r="AO15" s="470"/>
      <c r="AP15" s="470"/>
      <c r="AQ15" s="470"/>
      <c r="AR15" s="470"/>
      <c r="AS15" s="470"/>
    </row>
    <row r="16" spans="1:53" ht="21" customHeight="1" x14ac:dyDescent="0.2">
      <c r="A16" s="1773" t="s">
        <v>1016</v>
      </c>
      <c r="B16" s="2269" t="s">
        <v>214</v>
      </c>
      <c r="C16" s="2269"/>
      <c r="D16" s="2269"/>
      <c r="E16" s="1054" t="s">
        <v>1384</v>
      </c>
      <c r="F16" s="1055" t="s">
        <v>1385</v>
      </c>
      <c r="G16" s="1056" t="s">
        <v>1386</v>
      </c>
      <c r="H16" s="1057" t="s">
        <v>1387</v>
      </c>
      <c r="I16" s="1058" t="s">
        <v>1388</v>
      </c>
      <c r="J16" s="1057" t="s">
        <v>1389</v>
      </c>
      <c r="K16" s="1058" t="s">
        <v>1390</v>
      </c>
      <c r="L16" s="1057" t="s">
        <v>1391</v>
      </c>
      <c r="M16" s="1058" t="s">
        <v>1392</v>
      </c>
      <c r="N16" s="1057" t="s">
        <v>1393</v>
      </c>
      <c r="O16" s="1059" t="s">
        <v>1394</v>
      </c>
      <c r="P16" s="1060" t="s">
        <v>1395</v>
      </c>
      <c r="Q16" s="1058" t="s">
        <v>1396</v>
      </c>
      <c r="R16" s="1061" t="s">
        <v>1397</v>
      </c>
      <c r="S16" s="1058" t="s">
        <v>1398</v>
      </c>
      <c r="T16" s="81" t="str">
        <f xml:space="preserve"> AE16 &amp; AF16 &amp; AG16 &amp; AH16 &amp; AI16 &amp; AJ16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6" s="465" t="str">
        <f>IF($F16&gt;=$P16,"","* La celda 'Pueblos Originarios / Hombres' debe ser menor o igual al Total de Hombres en control. ")</f>
        <v xml:space="preserve">* La celda 'Pueblos Originarios / Hombres' debe ser menor o igual al Total de Hombres en control. </v>
      </c>
      <c r="AF16" s="465" t="str">
        <f>IF($G16&gt;=$Q16,"","* La celda 'Pueblos Originarios / Mujeres' debe ser menor o igual al Total de Mujeres en control. ")</f>
        <v xml:space="preserve">* La celda 'Pueblos Originarios / Mujeres' debe ser menor o igual al Total de Mujeres en control. </v>
      </c>
      <c r="AG16" s="465" t="str">
        <f>IF($F16&gt;=$R16,"","* La celda 'Población Migrantes / Hombres' debe ser menor o igual al Total de Hombres en control. ")</f>
        <v xml:space="preserve">* La celda 'Población Migrantes / Hombres' debe ser menor o igual al Total de Hombres en control. </v>
      </c>
      <c r="AH16" s="465" t="str">
        <f>IF($G16&gt;=$S16,"","* La celda 'Población Migrantes / Mujeres' debe ser menor o igual al Total de Mujeres en control. ")</f>
        <v xml:space="preserve">* La celda 'Población Migrantes / Mujeres' debe ser menor o igual al Total de Mujeres en control. </v>
      </c>
      <c r="AI16" s="465" t="str">
        <f>IF(AND($F16&lt;&gt;0,$P16=""),"* No olvide escribir en las celdas de 'Pueblos Originarios' (Digite CERO si no tiene). ",IF(AND(G16&lt;&gt;0,Q16=""),"* No olvide escribir en las celdas de 'Pueblos Originarios' (Digite CERO si no tiene). ",""))</f>
        <v/>
      </c>
      <c r="AJ16" s="465" t="str">
        <f>IF(AND($F16&lt;&gt;0,$R16=""),"* No olvide escribir en las celdas de 'Población Migrantes' (Digite CERO si no tiene). ",IF(AND(G16&lt;&gt;0,S16=""),"* No olvide escribir en las celdas de 'Población Migrantes' (Digite CERO si no tiene). ",""))</f>
        <v/>
      </c>
      <c r="AL16" s="486">
        <f>IF($F16&gt;=$P16,0,1)</f>
        <v>1</v>
      </c>
      <c r="AM16" s="486">
        <f>IF($G16&gt;=$Q16,0,1)</f>
        <v>1</v>
      </c>
      <c r="AN16" s="486">
        <f>IF($F16&gt;=$R16,0,1)</f>
        <v>1</v>
      </c>
      <c r="AO16" s="486">
        <f>IF($G16&gt;=$S16,0,1)</f>
        <v>1</v>
      </c>
      <c r="AP16" s="486">
        <f>IF(AND(F16&lt;&gt;0,P16=""),1,IF(AND(G16&lt;&gt;0,Q16=""),1,0))</f>
        <v>0</v>
      </c>
      <c r="AQ16" s="486">
        <f>IF(AND(F16&lt;&gt;0,R16=""),1,IF(AND(G16&lt;&gt;0,S16=""),1,0))</f>
        <v>0</v>
      </c>
      <c r="AR16" s="470"/>
      <c r="AS16" s="470"/>
    </row>
    <row r="17" spans="1:47" ht="21" customHeight="1" x14ac:dyDescent="0.2">
      <c r="A17" s="1773" t="s">
        <v>1017</v>
      </c>
      <c r="B17" s="2300" t="s">
        <v>215</v>
      </c>
      <c r="C17" s="2300"/>
      <c r="D17" s="2300"/>
      <c r="E17" s="1062" t="s">
        <v>1384</v>
      </c>
      <c r="F17" s="1063" t="s">
        <v>1385</v>
      </c>
      <c r="G17" s="1080" t="s">
        <v>1386</v>
      </c>
      <c r="H17" s="1065" t="s">
        <v>1387</v>
      </c>
      <c r="I17" s="1066" t="s">
        <v>1388</v>
      </c>
      <c r="J17" s="1065" t="s">
        <v>1389</v>
      </c>
      <c r="K17" s="1066" t="s">
        <v>1390</v>
      </c>
      <c r="L17" s="1065" t="s">
        <v>1391</v>
      </c>
      <c r="M17" s="1066" t="s">
        <v>1392</v>
      </c>
      <c r="N17" s="1065" t="s">
        <v>1393</v>
      </c>
      <c r="O17" s="1067" t="s">
        <v>1394</v>
      </c>
      <c r="P17" s="1068" t="s">
        <v>1395</v>
      </c>
      <c r="Q17" s="1066" t="s">
        <v>1396</v>
      </c>
      <c r="R17" s="1069" t="s">
        <v>1397</v>
      </c>
      <c r="S17" s="1066" t="s">
        <v>1398</v>
      </c>
      <c r="T17" s="81" t="str">
        <f xml:space="preserve"> AE17 &amp; AF17 &amp; AG17 &amp; AH17 &amp; AI17 &amp; AJ17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7" s="465" t="str">
        <f>IF($F17&gt;=$P17,"","* La celda 'Pueblos Originarios / Hombres' debe ser menor o igual al Total de Hombres en control. ")</f>
        <v xml:space="preserve">* La celda 'Pueblos Originarios / Hombres' debe ser menor o igual al Total de Hombres en control. </v>
      </c>
      <c r="AF17" s="465" t="str">
        <f>IF($G17&gt;=$Q17,"","* La celda 'Pueblos Originarios / Mujeres' debe ser menor o igual al Total de Mujeres en control. ")</f>
        <v xml:space="preserve">* La celda 'Pueblos Originarios / Mujeres' debe ser menor o igual al Total de Mujeres en control. </v>
      </c>
      <c r="AG17" s="465" t="str">
        <f>IF($F17&gt;=$R17,"","* La celda 'Población Migrantes / Hombres' debe ser menor o igual al Total de Hombres en control. ")</f>
        <v xml:space="preserve">* La celda 'Población Migrantes / Hombres' debe ser menor o igual al Total de Hombres en control. </v>
      </c>
      <c r="AH17" s="465" t="str">
        <f>IF($G17&gt;=$S17,"","* La celda 'Población Migrantes / Mujeres' debe ser menor o igual al Total de Mujeres en control. ")</f>
        <v xml:space="preserve">* La celda 'Población Migrantes / Mujeres' debe ser menor o igual al Total de Mujeres en control. </v>
      </c>
      <c r="AI17" s="465" t="str">
        <f>IF(AND($F17&lt;&gt;0,$P17=""),"* No olvide escribir en las celdas de 'Pueblos Originarios' (Digite CERO si no tiene). ",IF(AND(G17&lt;&gt;0,Q17=""),"* No olvide escribir en las celdas de 'Pueblos Originarios' (Digite CERO si no tiene). ",""))</f>
        <v/>
      </c>
      <c r="AJ17" s="465" t="str">
        <f>IF(AND($F17&lt;&gt;0,$R17=""),"* No olvide escribir en las celdas de 'Población Migrantes' (Digite CERO si no tiene). ",IF(AND(G17&lt;&gt;0,S17=""),"* No olvide escribir en las celdas de 'Población Migrantes' (Digite CERO si no tiene). ",""))</f>
        <v/>
      </c>
      <c r="AL17" s="486">
        <f>IF($F17&gt;=$P17,0,1)</f>
        <v>1</v>
      </c>
      <c r="AM17" s="486">
        <f>IF($G17&gt;=$Q17,0,1)</f>
        <v>1</v>
      </c>
      <c r="AN17" s="486">
        <f>IF($F17&gt;=$R17,0,1)</f>
        <v>1</v>
      </c>
      <c r="AO17" s="486">
        <f>IF($G17&gt;=$S17,0,1)</f>
        <v>1</v>
      </c>
      <c r="AP17" s="486">
        <f>IF(AND(F17&lt;&gt;0,P17=""),1,IF(AND(G17&lt;&gt;0,Q17=""),1,0))</f>
        <v>0</v>
      </c>
      <c r="AQ17" s="486">
        <f>IF(AND(F17&lt;&gt;0,R17=""),1,IF(AND(G17&lt;&gt;0,S17=""),1,0))</f>
        <v>0</v>
      </c>
      <c r="AR17" s="470"/>
      <c r="AS17" s="470"/>
    </row>
    <row r="18" spans="1:47" ht="21" customHeight="1" x14ac:dyDescent="0.2">
      <c r="A18" s="1773" t="s">
        <v>1018</v>
      </c>
      <c r="B18" s="2300" t="s">
        <v>216</v>
      </c>
      <c r="C18" s="2300"/>
      <c r="D18" s="2300"/>
      <c r="E18" s="1062" t="s">
        <v>1384</v>
      </c>
      <c r="F18" s="1063" t="s">
        <v>1385</v>
      </c>
      <c r="G18" s="1080" t="s">
        <v>1386</v>
      </c>
      <c r="H18" s="1065" t="s">
        <v>1387</v>
      </c>
      <c r="I18" s="1066" t="s">
        <v>1388</v>
      </c>
      <c r="J18" s="1065" t="s">
        <v>1389</v>
      </c>
      <c r="K18" s="1066" t="s">
        <v>1390</v>
      </c>
      <c r="L18" s="1065" t="s">
        <v>1391</v>
      </c>
      <c r="M18" s="1066" t="s">
        <v>1392</v>
      </c>
      <c r="N18" s="1065" t="s">
        <v>1393</v>
      </c>
      <c r="O18" s="1067" t="s">
        <v>1394</v>
      </c>
      <c r="P18" s="1068" t="s">
        <v>1395</v>
      </c>
      <c r="Q18" s="1066" t="s">
        <v>1396</v>
      </c>
      <c r="R18" s="1069" t="s">
        <v>1397</v>
      </c>
      <c r="S18" s="1066" t="s">
        <v>1398</v>
      </c>
      <c r="T18" s="81" t="str">
        <f xml:space="preserve"> AE18 &amp; AF18 &amp; AG18 &amp; AH18 &amp; AI18 &amp; AJ18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8" s="465" t="str">
        <f>IF($F18&gt;=$P18,"","* La celda 'Pueblos Originarios / Hombres' debe ser menor o igual al Total de Hombres en control. ")</f>
        <v xml:space="preserve">* La celda 'Pueblos Originarios / Hombres' debe ser menor o igual al Total de Hombres en control. </v>
      </c>
      <c r="AF18" s="465" t="str">
        <f>IF($G18&gt;=$Q18,"","* La celda 'Pueblos Originarios / Mujeres' debe ser menor o igual al Total de Mujeres en control. ")</f>
        <v xml:space="preserve">* La celda 'Pueblos Originarios / Mujeres' debe ser menor o igual al Total de Mujeres en control. </v>
      </c>
      <c r="AG18" s="465" t="str">
        <f>IF($F18&gt;=$R18,"","* La celda 'Población Migrantes / Hombres' debe ser menor o igual al Total de Hombres en control. ")</f>
        <v xml:space="preserve">* La celda 'Población Migrantes / Hombres' debe ser menor o igual al Total de Hombres en control. </v>
      </c>
      <c r="AH18" s="465" t="str">
        <f>IF($G18&gt;=$S18,"","* La celda 'Población Migrantes / Mujeres' debe ser menor o igual al Total de Mujeres en control. ")</f>
        <v xml:space="preserve">* La celda 'Población Migrantes / Mujeres' debe ser menor o igual al Total de Mujeres en control. </v>
      </c>
      <c r="AI18" s="465" t="str">
        <f>IF(AND($F18&lt;&gt;0,$P18=""),"* No olvide escribir en las celdas de 'Pueblos Originarios' (Digite CERO si no tiene). ",IF(AND(G18&lt;&gt;0,Q18=""),"* No olvide escribir en las celdas de 'Pueblos Originarios' (Digite CERO si no tiene). ",""))</f>
        <v/>
      </c>
      <c r="AJ18" s="465" t="str">
        <f>IF(AND($F18&lt;&gt;0,$R18=""),"* No olvide escribir en las celdas de 'Población Migrantes' (Digite CERO si no tiene). ",IF(AND(G18&lt;&gt;0,S18=""),"* No olvide escribir en las celdas de 'Población Migrantes' (Digite CERO si no tiene). ",""))</f>
        <v/>
      </c>
      <c r="AK18" s="478"/>
      <c r="AL18" s="486">
        <f>IF($F18&gt;=$P18,0,1)</f>
        <v>1</v>
      </c>
      <c r="AM18" s="486">
        <f>IF($G18&gt;=$Q18,0,1)</f>
        <v>1</v>
      </c>
      <c r="AN18" s="486">
        <f>IF($F18&gt;=$R18,0,1)</f>
        <v>1</v>
      </c>
      <c r="AO18" s="486">
        <f>IF($G18&gt;=$S18,0,1)</f>
        <v>1</v>
      </c>
      <c r="AP18" s="486">
        <f>IF(AND(F18&lt;&gt;0,P18=""),1,IF(AND(G18&lt;&gt;0,Q18=""),1,0))</f>
        <v>0</v>
      </c>
      <c r="AQ18" s="486">
        <f>IF(AND(F18&lt;&gt;0,R18=""),1,IF(AND(G18&lt;&gt;0,S18=""),1,0))</f>
        <v>0</v>
      </c>
      <c r="AR18" s="479"/>
      <c r="AS18" s="479"/>
    </row>
    <row r="19" spans="1:47" ht="21" customHeight="1" x14ac:dyDescent="0.2">
      <c r="A19" s="1773" t="s">
        <v>1019</v>
      </c>
      <c r="B19" s="203" t="s">
        <v>217</v>
      </c>
      <c r="C19" s="204"/>
      <c r="D19" s="205"/>
      <c r="E19" s="1081" t="s">
        <v>1384</v>
      </c>
      <c r="F19" s="1082" t="s">
        <v>1385</v>
      </c>
      <c r="G19" s="1083" t="s">
        <v>1386</v>
      </c>
      <c r="H19" s="1084" t="s">
        <v>1387</v>
      </c>
      <c r="I19" s="1085" t="s">
        <v>1388</v>
      </c>
      <c r="J19" s="1084" t="s">
        <v>1389</v>
      </c>
      <c r="K19" s="1085" t="s">
        <v>1390</v>
      </c>
      <c r="L19" s="1084" t="s">
        <v>1391</v>
      </c>
      <c r="M19" s="1085" t="s">
        <v>1392</v>
      </c>
      <c r="N19" s="1084" t="s">
        <v>1393</v>
      </c>
      <c r="O19" s="1086" t="s">
        <v>1394</v>
      </c>
      <c r="P19" s="1087" t="s">
        <v>1395</v>
      </c>
      <c r="Q19" s="1085" t="s">
        <v>1396</v>
      </c>
      <c r="R19" s="1089" t="s">
        <v>1397</v>
      </c>
      <c r="S19" s="1085" t="s">
        <v>1398</v>
      </c>
      <c r="T19" s="81" t="str">
        <f xml:space="preserve"> AE19 &amp; AF19 &amp; AG19 &amp; AH19 &amp; AI19 &amp; AJ19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19" s="465" t="str">
        <f>IF($F19&gt;=$P19,"","* La celda 'Pueblos Originarios / Hombres' debe ser menor o igual al Total de Hombres en control. ")</f>
        <v xml:space="preserve">* La celda 'Pueblos Originarios / Hombres' debe ser menor o igual al Total de Hombres en control. </v>
      </c>
      <c r="AF19" s="465" t="str">
        <f>IF($G19&gt;=$Q19,"","* La celda 'Pueblos Originarios / Mujeres' debe ser menor o igual al Total de Mujeres en control. ")</f>
        <v xml:space="preserve">* La celda 'Pueblos Originarios / Mujeres' debe ser menor o igual al Total de Mujeres en control. </v>
      </c>
      <c r="AG19" s="465" t="str">
        <f>IF($F19&gt;=$R19,"","* La celda 'Población Migrantes / Hombres' debe ser menor o igual al Total de Hombres en control. ")</f>
        <v xml:space="preserve">* La celda 'Población Migrantes / Hombres' debe ser menor o igual al Total de Hombres en control. </v>
      </c>
      <c r="AH19" s="465" t="str">
        <f>IF($G19&gt;=$S19,"","* La celda 'Población Migrantes / Mujeres' debe ser menor o igual al Total de Mujeres en control. ")</f>
        <v xml:space="preserve">* La celda 'Población Migrantes / Mujeres' debe ser menor o igual al Total de Mujeres en control. </v>
      </c>
      <c r="AI19" s="465" t="str">
        <f>IF(AND($F19&lt;&gt;0,$P19=""),"* No olvide escribir en las celdas de 'Pueblos Originarios' (Digite CERO si no tiene). ",IF(AND(G19&lt;&gt;0,Q19=""),"* No olvide escribir en las celdas de 'Pueblos Originarios' (Digite CERO si no tiene). ",""))</f>
        <v/>
      </c>
      <c r="AJ19" s="465" t="str">
        <f>IF(AND($F19&lt;&gt;0,$R19=""),"* No olvide escribir en las celdas de 'Población Migrantes' (Digite CERO si no tiene). ",IF(AND(G19&lt;&gt;0,S19=""),"* No olvide escribir en las celdas de 'Población Migrantes' (Digite CERO si no tiene). ",""))</f>
        <v/>
      </c>
      <c r="AK19" s="478"/>
      <c r="AL19" s="486">
        <f>IF($F19&gt;=$P19,0,1)</f>
        <v>1</v>
      </c>
      <c r="AM19" s="486">
        <f>IF($G19&gt;=$Q19,0,1)</f>
        <v>1</v>
      </c>
      <c r="AN19" s="486">
        <f>IF($F19&gt;=$R19,0,1)</f>
        <v>1</v>
      </c>
      <c r="AO19" s="486">
        <f>IF($G19&gt;=$S19,0,1)</f>
        <v>1</v>
      </c>
      <c r="AP19" s="486">
        <f>IF(AND(F19&lt;&gt;0,P19=""),1,IF(AND(G19&lt;&gt;0,Q19=""),1,0))</f>
        <v>0</v>
      </c>
      <c r="AQ19" s="486">
        <f>IF(AND(F19&lt;&gt;0,R19=""),1,IF(AND(G19&lt;&gt;0,S19=""),1,0))</f>
        <v>0</v>
      </c>
      <c r="AR19" s="470"/>
      <c r="AS19" s="470"/>
    </row>
    <row r="20" spans="1:47" ht="21" customHeight="1" x14ac:dyDescent="0.2">
      <c r="A20" s="1778"/>
      <c r="B20" s="2301" t="s">
        <v>218</v>
      </c>
      <c r="C20" s="2302"/>
      <c r="D20" s="2303"/>
      <c r="E20" s="1075">
        <f>SUM(F20:G20)</f>
        <v>0</v>
      </c>
      <c r="F20" s="1076">
        <f>+H20+J20+L20+N20</f>
        <v>0</v>
      </c>
      <c r="G20" s="1090">
        <f>+I20+K20+M20+O20</f>
        <v>0</v>
      </c>
      <c r="H20" s="1091">
        <f>SUM(H16:H19)</f>
        <v>0</v>
      </c>
      <c r="I20" s="1092">
        <f t="shared" ref="I20:R20" si="1">SUM(I16:I19)</f>
        <v>0</v>
      </c>
      <c r="J20" s="1091">
        <f t="shared" si="1"/>
        <v>0</v>
      </c>
      <c r="K20" s="1092">
        <f t="shared" si="1"/>
        <v>0</v>
      </c>
      <c r="L20" s="1093">
        <f t="shared" si="1"/>
        <v>0</v>
      </c>
      <c r="M20" s="1092">
        <f t="shared" si="1"/>
        <v>0</v>
      </c>
      <c r="N20" s="1091">
        <f t="shared" si="1"/>
        <v>0</v>
      </c>
      <c r="O20" s="1094">
        <f t="shared" si="1"/>
        <v>0</v>
      </c>
      <c r="P20" s="1095">
        <f>SUM(P16:P19)</f>
        <v>0</v>
      </c>
      <c r="Q20" s="1098">
        <f>SUM(Q16:Q19)</f>
        <v>0</v>
      </c>
      <c r="R20" s="1528">
        <f t="shared" si="1"/>
        <v>0</v>
      </c>
      <c r="S20" s="1098">
        <f>SUM(S16:S19)</f>
        <v>0</v>
      </c>
      <c r="T20" s="81"/>
      <c r="AE20" s="478"/>
      <c r="AF20" s="478"/>
      <c r="AG20" s="478"/>
      <c r="AH20" s="478"/>
      <c r="AI20" s="478"/>
      <c r="AJ20" s="478"/>
      <c r="AK20" s="478"/>
      <c r="AL20" s="479"/>
      <c r="AM20" s="479"/>
      <c r="AN20" s="479"/>
      <c r="AO20" s="479"/>
      <c r="AP20" s="470"/>
      <c r="AQ20" s="470"/>
      <c r="AR20" s="479"/>
      <c r="AS20" s="479"/>
      <c r="AU20" s="217"/>
    </row>
    <row r="21" spans="1:47" ht="21" customHeight="1" x14ac:dyDescent="0.2">
      <c r="A21" s="1778"/>
      <c r="B21" s="2299" t="s">
        <v>685</v>
      </c>
      <c r="C21" s="2299"/>
      <c r="D21" s="2299"/>
      <c r="E21" s="1075">
        <f t="shared" ref="E21" si="2">SUM(F21:G21)</f>
        <v>0</v>
      </c>
      <c r="F21" s="1076">
        <f t="shared" ref="F21:G21" si="3">+H21+J21+L21+N21</f>
        <v>0</v>
      </c>
      <c r="G21" s="1090">
        <f t="shared" si="3"/>
        <v>0</v>
      </c>
      <c r="H21" s="1091">
        <f>+H15+H20</f>
        <v>0</v>
      </c>
      <c r="I21" s="1092">
        <f t="shared" ref="I21:R21" si="4">+I15+I20</f>
        <v>0</v>
      </c>
      <c r="J21" s="1091">
        <f t="shared" si="4"/>
        <v>0</v>
      </c>
      <c r="K21" s="1092">
        <f t="shared" si="4"/>
        <v>0</v>
      </c>
      <c r="L21" s="1091">
        <f t="shared" si="4"/>
        <v>0</v>
      </c>
      <c r="M21" s="1092">
        <f t="shared" si="4"/>
        <v>0</v>
      </c>
      <c r="N21" s="1091">
        <f t="shared" si="4"/>
        <v>0</v>
      </c>
      <c r="O21" s="1094">
        <f t="shared" si="4"/>
        <v>0</v>
      </c>
      <c r="P21" s="1095">
        <f>+P15+P20</f>
        <v>0</v>
      </c>
      <c r="Q21" s="1529">
        <f>+Q15+Q20</f>
        <v>0</v>
      </c>
      <c r="R21" s="1528">
        <f t="shared" si="4"/>
        <v>0</v>
      </c>
      <c r="S21" s="1092">
        <f>+S15+S20</f>
        <v>0</v>
      </c>
      <c r="T21" s="81"/>
      <c r="AE21" s="478"/>
      <c r="AF21" s="478"/>
      <c r="AG21" s="478"/>
      <c r="AH21" s="478"/>
      <c r="AI21" s="478"/>
      <c r="AJ21" s="478"/>
      <c r="AK21" s="478"/>
      <c r="AL21" s="479"/>
      <c r="AM21" s="479"/>
      <c r="AN21" s="479"/>
      <c r="AO21" s="479"/>
      <c r="AP21" s="470"/>
      <c r="AQ21" s="470"/>
      <c r="AR21" s="479"/>
      <c r="AS21" s="479"/>
      <c r="AU21" s="217"/>
    </row>
    <row r="22" spans="1:47" s="237" customFormat="1" ht="25.5" customHeight="1" x14ac:dyDescent="0.2">
      <c r="A22" s="1785"/>
      <c r="B22" s="660" t="s">
        <v>370</v>
      </c>
      <c r="C22" s="658"/>
      <c r="D22" s="658"/>
      <c r="E22" s="658"/>
      <c r="F22" s="658"/>
      <c r="G22" s="658"/>
      <c r="H22" s="658"/>
      <c r="I22" s="658"/>
      <c r="J22" s="206"/>
      <c r="K22" s="206"/>
      <c r="L22" s="206"/>
      <c r="M22" s="206"/>
      <c r="N22" s="206"/>
      <c r="O22" s="206"/>
      <c r="P22" s="206"/>
      <c r="Q22" s="206"/>
      <c r="R22" s="20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478"/>
      <c r="AD22" s="478"/>
      <c r="AE22" s="478"/>
      <c r="AF22" s="478"/>
      <c r="AG22" s="478"/>
      <c r="AH22" s="478"/>
      <c r="AI22" s="478"/>
      <c r="AJ22" s="478"/>
      <c r="AK22" s="478"/>
      <c r="AL22" s="479"/>
      <c r="AM22" s="479"/>
      <c r="AN22" s="479"/>
      <c r="AO22" s="479"/>
      <c r="AP22" s="479"/>
      <c r="AQ22" s="479"/>
      <c r="AR22" s="479"/>
      <c r="AS22" s="479"/>
      <c r="AT22" s="217"/>
    </row>
    <row r="23" spans="1:47" ht="21" customHeight="1" x14ac:dyDescent="0.2">
      <c r="A23" s="1786"/>
      <c r="B23" s="2261" t="s">
        <v>206</v>
      </c>
      <c r="C23" s="2261"/>
      <c r="D23" s="2261"/>
      <c r="E23" s="2264" t="s">
        <v>15</v>
      </c>
      <c r="F23" s="2264"/>
      <c r="G23" s="2264"/>
      <c r="H23" s="2265" t="s">
        <v>589</v>
      </c>
      <c r="I23" s="2266"/>
      <c r="J23" s="2266"/>
      <c r="K23" s="2266"/>
      <c r="L23" s="2266"/>
      <c r="M23" s="2266"/>
      <c r="N23" s="2266"/>
      <c r="O23" s="2266"/>
      <c r="P23" s="2266"/>
      <c r="Q23" s="2268"/>
      <c r="R23" s="2005" t="s">
        <v>17</v>
      </c>
      <c r="S23" s="2288"/>
      <c r="T23" s="2287" t="s">
        <v>527</v>
      </c>
      <c r="U23" s="2288"/>
      <c r="V23" s="215"/>
      <c r="AE23" s="2222" t="s">
        <v>17</v>
      </c>
      <c r="AF23" s="2222"/>
      <c r="AG23" s="2222" t="s">
        <v>527</v>
      </c>
      <c r="AH23" s="2222"/>
      <c r="AI23" s="2222" t="s">
        <v>17</v>
      </c>
      <c r="AJ23" s="2222" t="s">
        <v>527</v>
      </c>
      <c r="AL23" s="2258" t="s">
        <v>17</v>
      </c>
      <c r="AM23" s="2258"/>
      <c r="AN23" s="2258" t="s">
        <v>527</v>
      </c>
      <c r="AO23" s="2258"/>
      <c r="AP23" s="2258" t="s">
        <v>17</v>
      </c>
      <c r="AQ23" s="2258" t="s">
        <v>527</v>
      </c>
      <c r="AR23" s="470"/>
      <c r="AS23" s="470"/>
    </row>
    <row r="24" spans="1:47" ht="19.5" customHeight="1" x14ac:dyDescent="0.2">
      <c r="A24" s="1786"/>
      <c r="B24" s="2261"/>
      <c r="C24" s="2261"/>
      <c r="D24" s="2261"/>
      <c r="E24" s="2264"/>
      <c r="F24" s="2264"/>
      <c r="G24" s="2264"/>
      <c r="H24" s="2087" t="s">
        <v>235</v>
      </c>
      <c r="I24" s="2088"/>
      <c r="J24" s="2087" t="s">
        <v>207</v>
      </c>
      <c r="K24" s="2088"/>
      <c r="L24" s="2087" t="s">
        <v>208</v>
      </c>
      <c r="M24" s="2088"/>
      <c r="N24" s="2087" t="s">
        <v>209</v>
      </c>
      <c r="O24" s="2088"/>
      <c r="P24" s="2087" t="s">
        <v>221</v>
      </c>
      <c r="Q24" s="2104"/>
      <c r="R24" s="2005"/>
      <c r="S24" s="2288"/>
      <c r="T24" s="2287"/>
      <c r="U24" s="2288"/>
      <c r="V24" s="215"/>
      <c r="AE24" s="2222"/>
      <c r="AF24" s="2222"/>
      <c r="AG24" s="2222"/>
      <c r="AH24" s="2222"/>
      <c r="AI24" s="2222"/>
      <c r="AJ24" s="2222"/>
      <c r="AL24" s="2258"/>
      <c r="AM24" s="2258"/>
      <c r="AN24" s="2258"/>
      <c r="AO24" s="2258"/>
      <c r="AP24" s="2258"/>
      <c r="AQ24" s="2258"/>
      <c r="AR24" s="470"/>
      <c r="AS24" s="470"/>
    </row>
    <row r="25" spans="1:47" ht="21" x14ac:dyDescent="0.2">
      <c r="A25" s="1786"/>
      <c r="B25" s="2261"/>
      <c r="C25" s="2261"/>
      <c r="D25" s="2261"/>
      <c r="E25" s="154" t="s">
        <v>99</v>
      </c>
      <c r="F25" s="208" t="s">
        <v>33</v>
      </c>
      <c r="G25" s="209" t="s">
        <v>100</v>
      </c>
      <c r="H25" s="160" t="s">
        <v>145</v>
      </c>
      <c r="I25" s="161" t="s">
        <v>100</v>
      </c>
      <c r="J25" s="160" t="s">
        <v>145</v>
      </c>
      <c r="K25" s="161" t="s">
        <v>100</v>
      </c>
      <c r="L25" s="160" t="s">
        <v>145</v>
      </c>
      <c r="M25" s="161" t="s">
        <v>100</v>
      </c>
      <c r="N25" s="160" t="s">
        <v>145</v>
      </c>
      <c r="O25" s="161" t="s">
        <v>100</v>
      </c>
      <c r="P25" s="160" t="s">
        <v>145</v>
      </c>
      <c r="Q25" s="162" t="s">
        <v>100</v>
      </c>
      <c r="R25" s="468" t="s">
        <v>33</v>
      </c>
      <c r="S25" s="1493" t="s">
        <v>100</v>
      </c>
      <c r="T25" s="1501" t="s">
        <v>33</v>
      </c>
      <c r="U25" s="429" t="s">
        <v>100</v>
      </c>
      <c r="V25" s="215"/>
      <c r="AE25" s="1250" t="s">
        <v>33</v>
      </c>
      <c r="AF25" s="1250" t="s">
        <v>100</v>
      </c>
      <c r="AG25" s="1250" t="s">
        <v>33</v>
      </c>
      <c r="AH25" s="1250" t="s">
        <v>100</v>
      </c>
      <c r="AI25" s="1249" t="s">
        <v>625</v>
      </c>
      <c r="AJ25" s="1249" t="s">
        <v>625</v>
      </c>
      <c r="AL25" s="1253" t="s">
        <v>33</v>
      </c>
      <c r="AM25" s="1253" t="s">
        <v>100</v>
      </c>
      <c r="AN25" s="1253" t="s">
        <v>33</v>
      </c>
      <c r="AO25" s="1253" t="s">
        <v>100</v>
      </c>
      <c r="AP25" s="1254" t="s">
        <v>625</v>
      </c>
      <c r="AQ25" s="1254" t="s">
        <v>625</v>
      </c>
      <c r="AR25" s="470"/>
      <c r="AS25" s="470"/>
    </row>
    <row r="26" spans="1:47" ht="19.5" customHeight="1" x14ac:dyDescent="0.2">
      <c r="A26" s="1773" t="s">
        <v>1020</v>
      </c>
      <c r="B26" s="2269" t="s">
        <v>210</v>
      </c>
      <c r="C26" s="2269"/>
      <c r="D26" s="2269"/>
      <c r="E26" s="1054" t="s">
        <v>1384</v>
      </c>
      <c r="F26" s="1099" t="s">
        <v>1385</v>
      </c>
      <c r="G26" s="1100" t="s">
        <v>1386</v>
      </c>
      <c r="H26" s="1101" t="s">
        <v>1387</v>
      </c>
      <c r="I26" s="1102" t="s">
        <v>1388</v>
      </c>
      <c r="J26" s="1101" t="s">
        <v>1389</v>
      </c>
      <c r="K26" s="1102" t="s">
        <v>1390</v>
      </c>
      <c r="L26" s="1101" t="s">
        <v>1391</v>
      </c>
      <c r="M26" s="1102" t="s">
        <v>1392</v>
      </c>
      <c r="N26" s="1101" t="s">
        <v>1393</v>
      </c>
      <c r="O26" s="1102" t="s">
        <v>1394</v>
      </c>
      <c r="P26" s="1101" t="s">
        <v>1395</v>
      </c>
      <c r="Q26" s="1103" t="s">
        <v>1396</v>
      </c>
      <c r="R26" s="1104" t="s">
        <v>1397</v>
      </c>
      <c r="S26" s="1102" t="s">
        <v>1398</v>
      </c>
      <c r="T26" s="1061" t="s">
        <v>1399</v>
      </c>
      <c r="U26" s="1058" t="s">
        <v>1400</v>
      </c>
      <c r="V26" s="81" t="str">
        <f xml:space="preserve"> AE26 &amp; AF26 &amp; AG26 &amp; AH26 &amp; AI26 &amp; AJ26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6" s="465" t="str">
        <f>IF($F26&gt;=$R26,"","* La celda 'Pueblos Originarios / Hombres' debe ser menor o igual al Total de Hombres en control. ")</f>
        <v xml:space="preserve">* La celda 'Pueblos Originarios / Hombres' debe ser menor o igual al Total de Hombres en control. </v>
      </c>
      <c r="AF26" s="465" t="str">
        <f>IF($G26&gt;=$S26,"","* La celda 'Pueblos Originarios / Mujeres' debe ser menor o igual al Total de Mujeres en control. ")</f>
        <v xml:space="preserve">* La celda 'Pueblos Originarios / Mujeres' debe ser menor o igual al Total de Mujeres en control. </v>
      </c>
      <c r="AG26" s="465" t="str">
        <f>IF($F26&gt;=$T26,"","* La celda 'Población Migrantes / Hombres' debe ser menor o igual al Total de Hombres en control. ")</f>
        <v xml:space="preserve">* La celda 'Población Migrantes / Hombres' debe ser menor o igual al Total de Hombres en control. </v>
      </c>
      <c r="AH26" s="465" t="str">
        <f>IF($G26&gt;=$U26,"","* La celda 'Población Migrantes / Mujeres' debe ser menor o igual al Total de Mujeres en control. ")</f>
        <v xml:space="preserve">* La celda 'Población Migrantes / Mujeres' debe ser menor o igual al Total de Mujeres en control. </v>
      </c>
      <c r="AI26" s="465" t="str">
        <f>IF(AND($F26&lt;&gt;0,$R26=""),"* No olvide escribir en las celdas de 'Pueblos Originarios' (Digite CERO si no tiene). ",IF(AND(G26&lt;&gt;0,S26=""),"* No olvide escribir en las celdas de 'Pueblos Originarios' (Digite CERO si no tiene). ",""))</f>
        <v/>
      </c>
      <c r="AJ26" s="465" t="str">
        <f>IF(AND($F26&lt;&gt;0,$T26=""),"* No olvide escribir en las celdas de 'Población Migrantes' (Digite CERO si no tiene). ",IF(AND(G26&lt;&gt;0,U26=""),"* No olvide escribir en las celdas de 'Población Migrantes' (Digite CERO si no tiene). ",""))</f>
        <v/>
      </c>
      <c r="AL26" s="486">
        <f>IF($F26&gt;=$R26,0,1)</f>
        <v>1</v>
      </c>
      <c r="AM26" s="486">
        <f>IF($G26&gt;=$S26,0,1)</f>
        <v>1</v>
      </c>
      <c r="AN26" s="486">
        <f>IF($F26&gt;=$T26,0,1)</f>
        <v>1</v>
      </c>
      <c r="AO26" s="486">
        <f>IF($G26&gt;=$U26,0,1)</f>
        <v>1</v>
      </c>
      <c r="AP26" s="486">
        <f>IF(AND(F26&lt;&gt;0,R26=""),1,IF(AND(G26&lt;&gt;0,S26=""),1,0))</f>
        <v>0</v>
      </c>
      <c r="AQ26" s="486">
        <f>IF(AND(F26&lt;&gt;0,T26=""),1,IF(AND(G26&lt;&gt;0,U26=""),1,0))</f>
        <v>0</v>
      </c>
      <c r="AR26" s="470"/>
      <c r="AS26" s="470"/>
    </row>
    <row r="27" spans="1:47" ht="19.5" customHeight="1" x14ac:dyDescent="0.2">
      <c r="A27" s="1773" t="s">
        <v>1021</v>
      </c>
      <c r="B27" s="2270" t="s">
        <v>211</v>
      </c>
      <c r="C27" s="2270"/>
      <c r="D27" s="2270"/>
      <c r="E27" s="1106" t="s">
        <v>1384</v>
      </c>
      <c r="F27" s="1107" t="s">
        <v>1385</v>
      </c>
      <c r="G27" s="1108" t="s">
        <v>1386</v>
      </c>
      <c r="H27" s="1109" t="s">
        <v>1387</v>
      </c>
      <c r="I27" s="1110" t="s">
        <v>1388</v>
      </c>
      <c r="J27" s="1109" t="s">
        <v>1389</v>
      </c>
      <c r="K27" s="1110" t="s">
        <v>1390</v>
      </c>
      <c r="L27" s="1109" t="s">
        <v>1391</v>
      </c>
      <c r="M27" s="1110" t="s">
        <v>1392</v>
      </c>
      <c r="N27" s="1109" t="s">
        <v>1393</v>
      </c>
      <c r="O27" s="1110" t="s">
        <v>1394</v>
      </c>
      <c r="P27" s="1109" t="s">
        <v>1395</v>
      </c>
      <c r="Q27" s="1111" t="s">
        <v>1396</v>
      </c>
      <c r="R27" s="1112" t="s">
        <v>1397</v>
      </c>
      <c r="S27" s="1110" t="s">
        <v>1398</v>
      </c>
      <c r="T27" s="1069" t="s">
        <v>1399</v>
      </c>
      <c r="U27" s="1066" t="s">
        <v>1400</v>
      </c>
      <c r="V27" s="81" t="str">
        <f xml:space="preserve"> AE27 &amp; AF27 &amp; AG27 &amp; AH27 &amp; AI27 &amp; AJ27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7" s="465" t="str">
        <f>IF($F27&gt;=$R27,"","* La celda 'Pueblos Originarios / Hombres' debe ser menor o igual al Total de Hombres en control. ")</f>
        <v xml:space="preserve">* La celda 'Pueblos Originarios / Hombres' debe ser menor o igual al Total de Hombres en control. </v>
      </c>
      <c r="AF27" s="465" t="str">
        <f>IF($G27&gt;=$S27,"","* La celda 'Pueblos Originarios / Mujeres' debe ser menor o igual al Total de Mujeres en control. ")</f>
        <v xml:space="preserve">* La celda 'Pueblos Originarios / Mujeres' debe ser menor o igual al Total de Mujeres en control. </v>
      </c>
      <c r="AG27" s="465" t="str">
        <f>IF($F27&gt;=$T27,"","* La celda 'Población Migrantes / Hombres' debe ser menor o igual al Total de Hombres en control. ")</f>
        <v xml:space="preserve">* La celda 'Población Migrantes / Hombres' debe ser menor o igual al Total de Hombres en control. </v>
      </c>
      <c r="AH27" s="465" t="str">
        <f>IF($G27&gt;=$U27,"","* La celda 'Población Migrantes / Mujeres' debe ser menor o igual al Total de Mujeres en control. ")</f>
        <v xml:space="preserve">* La celda 'Población Migrantes / Mujeres' debe ser menor o igual al Total de Mujeres en control. </v>
      </c>
      <c r="AI27" s="465" t="str">
        <f>IF(AND($F27&lt;&gt;0,$R27=""),"* No olvide escribir en las celdas de 'Pueblos Originarios' (Digite CERO si no tiene). ",IF(AND(G27&lt;&gt;0,S27=""),"* No olvide escribir en las celdas de 'Pueblos Originarios' (Digite CERO si no tiene). ",""))</f>
        <v/>
      </c>
      <c r="AJ27" s="465" t="str">
        <f>IF(AND($F27&lt;&gt;0,$T27=""),"* No olvide escribir en las celdas de 'Población Migrantes' (Digite CERO si no tiene). ",IF(AND(G27&lt;&gt;0,U27=""),"* No olvide escribir en las celdas de 'Población Migrantes' (Digite CERO si no tiene). ",""))</f>
        <v/>
      </c>
      <c r="AL27" s="486">
        <f>IF($F27&gt;=$R27,0,1)</f>
        <v>1</v>
      </c>
      <c r="AM27" s="486">
        <f>IF($G27&gt;=$S27,0,1)</f>
        <v>1</v>
      </c>
      <c r="AN27" s="486">
        <f>IF($F27&gt;=$T27,0,1)</f>
        <v>1</v>
      </c>
      <c r="AO27" s="486">
        <f>IF($G27&gt;=$U27,0,1)</f>
        <v>1</v>
      </c>
      <c r="AP27" s="486">
        <f>IF(AND(F27&lt;&gt;0,R27=""),1,IF(AND(G27&lt;&gt;0,S27=""),1,0))</f>
        <v>0</v>
      </c>
      <c r="AQ27" s="486">
        <f>IF(AND(F27&lt;&gt;0,T27=""),1,IF(AND(G27&lt;&gt;0,U27=""),1,0))</f>
        <v>0</v>
      </c>
      <c r="AR27" s="470"/>
      <c r="AS27" s="470"/>
    </row>
    <row r="28" spans="1:47" ht="19.5" customHeight="1" x14ac:dyDescent="0.2">
      <c r="A28" s="1773" t="s">
        <v>1022</v>
      </c>
      <c r="B28" s="2271" t="s">
        <v>212</v>
      </c>
      <c r="C28" s="2271"/>
      <c r="D28" s="2271"/>
      <c r="E28" s="1114" t="s">
        <v>1384</v>
      </c>
      <c r="F28" s="1107" t="s">
        <v>1385</v>
      </c>
      <c r="G28" s="1108" t="s">
        <v>1386</v>
      </c>
      <c r="H28" s="1084" t="s">
        <v>1387</v>
      </c>
      <c r="I28" s="1085" t="s">
        <v>1388</v>
      </c>
      <c r="J28" s="1084" t="s">
        <v>1389</v>
      </c>
      <c r="K28" s="1085" t="s">
        <v>1390</v>
      </c>
      <c r="L28" s="1084" t="s">
        <v>1391</v>
      </c>
      <c r="M28" s="1085" t="s">
        <v>1392</v>
      </c>
      <c r="N28" s="1084" t="s">
        <v>1393</v>
      </c>
      <c r="O28" s="1085" t="s">
        <v>1394</v>
      </c>
      <c r="P28" s="1084" t="s">
        <v>1395</v>
      </c>
      <c r="Q28" s="1086" t="s">
        <v>1396</v>
      </c>
      <c r="R28" s="1087" t="s">
        <v>1397</v>
      </c>
      <c r="S28" s="1085" t="s">
        <v>1398</v>
      </c>
      <c r="T28" s="1074" t="s">
        <v>1399</v>
      </c>
      <c r="U28" s="1071" t="s">
        <v>1400</v>
      </c>
      <c r="V28" s="81" t="str">
        <f xml:space="preserve"> AE28 &amp; AF28 &amp; AG28 &amp; AH28 &amp; AI28 &amp; AJ28</f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</v>
      </c>
      <c r="AE28" s="465" t="str">
        <f>IF($F28&gt;=$R28,"","* La celda 'Pueblos Originarios / Hombres' debe ser menor o igual al Total de Hombres en control. ")</f>
        <v xml:space="preserve">* La celda 'Pueblos Originarios / Hombres' debe ser menor o igual al Total de Hombres en control. </v>
      </c>
      <c r="AF28" s="465" t="str">
        <f>IF($G28&gt;=$S28,"","* La celda 'Pueblos Originarios / Mujeres' debe ser menor o igual al Total de Mujeres en control. ")</f>
        <v xml:space="preserve">* La celda 'Pueblos Originarios / Mujeres' debe ser menor o igual al Total de Mujeres en control. </v>
      </c>
      <c r="AG28" s="465" t="str">
        <f>IF($F28&gt;=$T28,"","* La celda 'Población Migrantes / Hombres' debe ser menor o igual al Total de Hombres en control. ")</f>
        <v xml:space="preserve">* La celda 'Población Migrantes / Hombres' debe ser menor o igual al Total de Hombres en control. </v>
      </c>
      <c r="AH28" s="465" t="str">
        <f>IF($G28&gt;=$U28,"","* La celda 'Población Migrantes / Mujeres' debe ser menor o igual al Total de Mujeres en control. ")</f>
        <v xml:space="preserve">* La celda 'Población Migrantes / Mujeres' debe ser menor o igual al Total de Mujeres en control. </v>
      </c>
      <c r="AI28" s="465" t="str">
        <f>IF(AND($F28&lt;&gt;0,$R28=""),"* No olvide escribir en las celdas de 'Pueblos Originarios' (Digite CERO si no tiene). ",IF(AND(G28&lt;&gt;0,S28=""),"* No olvide escribir en las celdas de 'Pueblos Originarios' (Digite CERO si no tiene). ",""))</f>
        <v/>
      </c>
      <c r="AJ28" s="465" t="str">
        <f>IF(AND($F28&lt;&gt;0,$T28=""),"* No olvide escribir en las celdas de 'Población Migrantes' (Digite CERO si no tiene). ",IF(AND(G28&lt;&gt;0,U28=""),"* No olvide escribir en las celdas de 'Población Migrantes' (Digite CERO si no tiene). ",""))</f>
        <v/>
      </c>
      <c r="AL28" s="486">
        <f>IF($F28&gt;=$R28,0,1)</f>
        <v>1</v>
      </c>
      <c r="AM28" s="486">
        <f>IF($G28&gt;=$S28,0,1)</f>
        <v>1</v>
      </c>
      <c r="AN28" s="486">
        <f>IF($F28&gt;=$T28,0,1)</f>
        <v>1</v>
      </c>
      <c r="AO28" s="486">
        <f>IF($G28&gt;=$U28,0,1)</f>
        <v>1</v>
      </c>
      <c r="AP28" s="486">
        <f>IF(AND(F28&lt;&gt;0,R28=""),1,IF(AND(G28&lt;&gt;0,S28=""),1,0))</f>
        <v>0</v>
      </c>
      <c r="AQ28" s="486">
        <f>IF(AND(F28&lt;&gt;0,T28=""),1,IF(AND(G28&lt;&gt;0,U28=""),1,0))</f>
        <v>0</v>
      </c>
      <c r="AR28" s="470"/>
      <c r="AS28" s="470"/>
    </row>
    <row r="29" spans="1:47" ht="19.5" customHeight="1" x14ac:dyDescent="0.2">
      <c r="A29" s="1778"/>
      <c r="B29" s="2272" t="s">
        <v>371</v>
      </c>
      <c r="C29" s="2273"/>
      <c r="D29" s="2274"/>
      <c r="E29" s="1075">
        <f>SUM(F29:G29)</f>
        <v>0</v>
      </c>
      <c r="F29" s="1115">
        <f t="shared" ref="F29:G29" si="5">+J29+L29+N29+P29+H29</f>
        <v>0</v>
      </c>
      <c r="G29" s="1090">
        <f t="shared" si="5"/>
        <v>0</v>
      </c>
      <c r="H29" s="1075">
        <f>SUM(H26:H28)</f>
        <v>0</v>
      </c>
      <c r="I29" s="1077">
        <f t="shared" ref="I29:U29" si="6">SUM(I26:I28)</f>
        <v>0</v>
      </c>
      <c r="J29" s="1075">
        <f>SUM(J26:J28)</f>
        <v>0</v>
      </c>
      <c r="K29" s="1077">
        <f t="shared" si="6"/>
        <v>0</v>
      </c>
      <c r="L29" s="1075">
        <f t="shared" si="6"/>
        <v>0</v>
      </c>
      <c r="M29" s="1077">
        <f t="shared" si="6"/>
        <v>0</v>
      </c>
      <c r="N29" s="1075">
        <f t="shared" si="6"/>
        <v>0</v>
      </c>
      <c r="O29" s="1077">
        <f t="shared" si="6"/>
        <v>0</v>
      </c>
      <c r="P29" s="1075">
        <f t="shared" si="6"/>
        <v>0</v>
      </c>
      <c r="Q29" s="1078">
        <f t="shared" si="6"/>
        <v>0</v>
      </c>
      <c r="R29" s="1079">
        <f>SUM(R26:R28)</f>
        <v>0</v>
      </c>
      <c r="S29" s="1077">
        <f>SUM(S26:S28)</f>
        <v>0</v>
      </c>
      <c r="T29" s="1527">
        <f t="shared" si="6"/>
        <v>0</v>
      </c>
      <c r="U29" s="1077">
        <f t="shared" si="6"/>
        <v>0</v>
      </c>
      <c r="V29" s="81"/>
      <c r="AL29" s="470"/>
      <c r="AM29" s="470"/>
      <c r="AN29" s="470"/>
      <c r="AO29" s="470"/>
      <c r="AP29" s="470"/>
      <c r="AQ29" s="470"/>
      <c r="AR29" s="470"/>
      <c r="AS29" s="470"/>
    </row>
    <row r="30" spans="1:47" ht="29.25" customHeight="1" x14ac:dyDescent="0.2">
      <c r="A30" s="1786"/>
      <c r="B30" s="660" t="s">
        <v>219</v>
      </c>
      <c r="C30" s="658"/>
      <c r="D30" s="658"/>
      <c r="E30" s="658"/>
      <c r="F30" s="658"/>
      <c r="G30" s="658"/>
      <c r="H30" s="658"/>
      <c r="I30" s="200"/>
      <c r="M30" s="475"/>
      <c r="AD30" s="478"/>
      <c r="AE30" s="478"/>
      <c r="AF30" s="478"/>
      <c r="AG30" s="478"/>
      <c r="AH30" s="478"/>
      <c r="AI30" s="478"/>
      <c r="AJ30" s="478"/>
      <c r="AK30" s="478"/>
      <c r="AL30" s="479"/>
      <c r="AM30" s="479"/>
      <c r="AN30" s="479"/>
      <c r="AO30" s="470"/>
      <c r="AP30" s="470"/>
      <c r="AQ30" s="470"/>
      <c r="AR30" s="470"/>
      <c r="AS30" s="470"/>
    </row>
    <row r="31" spans="1:47" ht="23.25" customHeight="1" x14ac:dyDescent="0.2">
      <c r="A31" s="1786"/>
      <c r="B31" s="2261" t="s">
        <v>220</v>
      </c>
      <c r="C31" s="2261"/>
      <c r="D31" s="2264" t="s">
        <v>15</v>
      </c>
      <c r="E31" s="2264"/>
      <c r="F31" s="2264"/>
      <c r="G31" s="2265" t="s">
        <v>589</v>
      </c>
      <c r="H31" s="2266"/>
      <c r="I31" s="2266"/>
      <c r="J31" s="2266"/>
      <c r="K31" s="2266"/>
      <c r="L31" s="2266"/>
      <c r="M31" s="2266"/>
      <c r="N31" s="2268"/>
      <c r="O31" s="2005" t="s">
        <v>17</v>
      </c>
      <c r="P31" s="2288"/>
      <c r="Q31" s="2287" t="s">
        <v>527</v>
      </c>
      <c r="R31" s="2288"/>
      <c r="S31" s="215"/>
      <c r="T31" s="215"/>
      <c r="AE31" s="2222" t="s">
        <v>17</v>
      </c>
      <c r="AF31" s="2222"/>
      <c r="AG31" s="2222" t="s">
        <v>527</v>
      </c>
      <c r="AH31" s="2222"/>
      <c r="AI31" s="2222" t="s">
        <v>17</v>
      </c>
      <c r="AJ31" s="2222" t="s">
        <v>527</v>
      </c>
      <c r="AK31" s="478"/>
      <c r="AL31" s="2258" t="s">
        <v>17</v>
      </c>
      <c r="AM31" s="2258"/>
      <c r="AN31" s="2258" t="s">
        <v>527</v>
      </c>
      <c r="AO31" s="2258"/>
      <c r="AP31" s="2258" t="s">
        <v>17</v>
      </c>
      <c r="AQ31" s="2258" t="s">
        <v>527</v>
      </c>
      <c r="AR31" s="479"/>
      <c r="AS31" s="470"/>
    </row>
    <row r="32" spans="1:47" ht="15.75" customHeight="1" x14ac:dyDescent="0.2">
      <c r="A32" s="1786"/>
      <c r="B32" s="2261"/>
      <c r="C32" s="2261"/>
      <c r="D32" s="2264"/>
      <c r="E32" s="2264"/>
      <c r="F32" s="2264"/>
      <c r="G32" s="2104" t="s">
        <v>207</v>
      </c>
      <c r="H32" s="2088"/>
      <c r="I32" s="2087" t="s">
        <v>208</v>
      </c>
      <c r="J32" s="2088"/>
      <c r="K32" s="2087" t="s">
        <v>209</v>
      </c>
      <c r="L32" s="2088"/>
      <c r="M32" s="2262" t="s">
        <v>221</v>
      </c>
      <c r="N32" s="2298"/>
      <c r="O32" s="2005"/>
      <c r="P32" s="2288"/>
      <c r="Q32" s="2287"/>
      <c r="R32" s="2288"/>
      <c r="S32" s="215"/>
      <c r="T32" s="215"/>
      <c r="AE32" s="2222"/>
      <c r="AF32" s="2222"/>
      <c r="AG32" s="2222"/>
      <c r="AH32" s="2222"/>
      <c r="AI32" s="2222"/>
      <c r="AJ32" s="2222"/>
      <c r="AL32" s="2258"/>
      <c r="AM32" s="2258"/>
      <c r="AN32" s="2258"/>
      <c r="AO32" s="2258"/>
      <c r="AP32" s="2258"/>
      <c r="AQ32" s="2258"/>
      <c r="AR32" s="470"/>
      <c r="AS32" s="470"/>
    </row>
    <row r="33" spans="1:47" ht="21" x14ac:dyDescent="0.2">
      <c r="A33" s="1786"/>
      <c r="B33" s="2261"/>
      <c r="C33" s="2261"/>
      <c r="D33" s="154" t="s">
        <v>99</v>
      </c>
      <c r="E33" s="210" t="s">
        <v>33</v>
      </c>
      <c r="F33" s="211" t="s">
        <v>100</v>
      </c>
      <c r="G33" s="212" t="s">
        <v>145</v>
      </c>
      <c r="H33" s="161" t="s">
        <v>100</v>
      </c>
      <c r="I33" s="160" t="s">
        <v>145</v>
      </c>
      <c r="J33" s="161" t="s">
        <v>100</v>
      </c>
      <c r="K33" s="160" t="s">
        <v>145</v>
      </c>
      <c r="L33" s="161" t="s">
        <v>100</v>
      </c>
      <c r="M33" s="154" t="s">
        <v>33</v>
      </c>
      <c r="N33" s="213" t="s">
        <v>100</v>
      </c>
      <c r="O33" s="468" t="s">
        <v>33</v>
      </c>
      <c r="P33" s="1493" t="s">
        <v>100</v>
      </c>
      <c r="Q33" s="1501" t="s">
        <v>33</v>
      </c>
      <c r="R33" s="429" t="s">
        <v>100</v>
      </c>
      <c r="S33" s="215"/>
      <c r="T33" s="215"/>
      <c r="AE33" s="1250" t="s">
        <v>33</v>
      </c>
      <c r="AF33" s="1250" t="s">
        <v>100</v>
      </c>
      <c r="AG33" s="1250" t="s">
        <v>33</v>
      </c>
      <c r="AH33" s="1250" t="s">
        <v>100</v>
      </c>
      <c r="AI33" s="1249" t="s">
        <v>625</v>
      </c>
      <c r="AJ33" s="1249" t="s">
        <v>625</v>
      </c>
      <c r="AL33" s="1253" t="s">
        <v>33</v>
      </c>
      <c r="AM33" s="1253" t="s">
        <v>100</v>
      </c>
      <c r="AN33" s="1253" t="s">
        <v>33</v>
      </c>
      <c r="AO33" s="1253" t="s">
        <v>100</v>
      </c>
      <c r="AP33" s="1254" t="s">
        <v>625</v>
      </c>
      <c r="AQ33" s="1254" t="s">
        <v>625</v>
      </c>
      <c r="AR33" s="470"/>
      <c r="AS33" s="470"/>
    </row>
    <row r="34" spans="1:47" ht="21.75" customHeight="1" x14ac:dyDescent="0.2">
      <c r="A34" s="1773" t="s">
        <v>1023</v>
      </c>
      <c r="B34" s="2290" t="s">
        <v>55</v>
      </c>
      <c r="C34" s="2291"/>
      <c r="D34" s="1054" t="s">
        <v>1384</v>
      </c>
      <c r="E34" s="1116" t="s">
        <v>1385</v>
      </c>
      <c r="F34" s="1117" t="s">
        <v>1386</v>
      </c>
      <c r="G34" s="1101" t="s">
        <v>1387</v>
      </c>
      <c r="H34" s="1103" t="s">
        <v>1388</v>
      </c>
      <c r="I34" s="1101" t="s">
        <v>1389</v>
      </c>
      <c r="J34" s="1102" t="s">
        <v>1390</v>
      </c>
      <c r="K34" s="1101" t="s">
        <v>1391</v>
      </c>
      <c r="L34" s="1102" t="s">
        <v>1392</v>
      </c>
      <c r="M34" s="1118" t="s">
        <v>1393</v>
      </c>
      <c r="N34" s="1105" t="s">
        <v>1394</v>
      </c>
      <c r="O34" s="1104" t="s">
        <v>1395</v>
      </c>
      <c r="P34" s="1530" t="s">
        <v>1396</v>
      </c>
      <c r="Q34" s="1118" t="s">
        <v>1397</v>
      </c>
      <c r="R34" s="1102" t="s">
        <v>1398</v>
      </c>
      <c r="S34" s="81" t="str">
        <f xml:space="preserve"> AE34 &amp; AF34 &amp; AG34 &amp; AH34 &amp; AI34 &amp; AJ34</f>
        <v xml:space="preserve">* El Nº de hombres bajo peso de 'Pueblos Originarios' no debe ser mayor al Total hombres bajo peso en control. * El Nº de mujeres bajo peso de 'Pueblos Originarios' no debe ser mayor al Total mujeres bajo peso en control. * El Nº de hombres bajo peso de Pueblos Migrantes no debe ser mayor al Total hombres bajo peso en control. * El Nº de mujeres bajo peso de Pueblos Migrantes no debe ser mayor al Total mujeres bajo peso en control. </v>
      </c>
      <c r="T34" s="215"/>
      <c r="AE34" s="465" t="str">
        <f>IF($E34&gt;=$O34,"","* El Nº de hombres bajo peso de 'Pueblos Originarios' no debe ser mayor al Total hombres bajo peso en control. ")</f>
        <v xml:space="preserve">* El Nº de hombres bajo peso de 'Pueblos Originarios' no debe ser mayor al Total hombres bajo peso en control. </v>
      </c>
      <c r="AF34" s="465" t="str">
        <f>IF($F34&gt;=$P34,"","* El Nº de mujeres bajo peso de 'Pueblos Originarios' no debe ser mayor al Total mujeres bajo peso en control. ")</f>
        <v xml:space="preserve">* El Nº de mujeres bajo peso de 'Pueblos Originarios' no debe ser mayor al Total mujeres bajo peso en control. </v>
      </c>
      <c r="AG34" s="465" t="str">
        <f>IF($E34&gt;=$Q34,"","* El Nº de hombres bajo peso de Pueblos Migrantes no debe ser mayor al Total hombres bajo peso en control. ")</f>
        <v xml:space="preserve">* El Nº de hombres bajo peso de Pueblos Migrantes no debe ser mayor al Total hombres bajo peso en control. </v>
      </c>
      <c r="AH34" s="465" t="str">
        <f>IF($F34&gt;=$R34,"","* El Nº de mujeres bajo peso de Pueblos Migrantes no debe ser mayor al Total mujeres bajo peso en control. ")</f>
        <v xml:space="preserve">* El Nº de mujeres bajo peso de Pueblos Migrantes no debe ser mayor al Total mujeres bajo peso en control. </v>
      </c>
      <c r="AI34" s="465" t="str">
        <f>IF(AND(F34&lt;&gt;0,O34=""),"* No olvide escribir en la celda de 'Pueblos Originarios' (Digite CERO si no tiene). ",IF(AND(G34&lt;&gt;0,P34=""),"* No olvide escribir en la celda de 'Pueblos Originarios' (Digite CERO si no tiene). ",""))</f>
        <v/>
      </c>
      <c r="AJ34" s="465" t="str">
        <f>IF(AND(F34&lt;&gt;0,Q34=""),"* No olvide escribir en la celda de 'Población Migrantes' (Digite CERO si no tiene). ",IF(AND(G34&lt;&gt;0,R34=""),"* No olvide escribir en la celda de 'Población Migrantes' (Digite CERO si no tiene). ",""))</f>
        <v/>
      </c>
      <c r="AL34" s="486">
        <f>IF($E34&gt;=$O34,0,1)</f>
        <v>1</v>
      </c>
      <c r="AM34" s="486">
        <f>IF($F34&gt;=$P34,0,1)</f>
        <v>1</v>
      </c>
      <c r="AN34" s="486">
        <f>IF($E34&gt;=$Q34,0,1)</f>
        <v>1</v>
      </c>
      <c r="AO34" s="486">
        <f>IF($F34&gt;=$R34,0,1)</f>
        <v>1</v>
      </c>
      <c r="AP34" s="486">
        <f>IF(AND(F34&lt;&gt;0,O34=""),1,IF(AND(G34&lt;&gt;0,P34=""),1,0))</f>
        <v>0</v>
      </c>
      <c r="AQ34" s="486">
        <f>IF(AND(F34&lt;&gt;0,Q34=""),1,IF(AND(G34&lt;&gt;0,R34=""),1,0))</f>
        <v>0</v>
      </c>
      <c r="AR34" s="470"/>
      <c r="AS34" s="470"/>
    </row>
    <row r="35" spans="1:47" ht="21.75" customHeight="1" x14ac:dyDescent="0.2">
      <c r="A35" s="1773" t="s">
        <v>1024</v>
      </c>
      <c r="B35" s="2292" t="s">
        <v>54</v>
      </c>
      <c r="C35" s="2293"/>
      <c r="D35" s="1062" t="s">
        <v>1384</v>
      </c>
      <c r="E35" s="1119" t="s">
        <v>1385</v>
      </c>
      <c r="F35" s="1080" t="s">
        <v>1386</v>
      </c>
      <c r="G35" s="1109" t="s">
        <v>1387</v>
      </c>
      <c r="H35" s="1111" t="s">
        <v>1388</v>
      </c>
      <c r="I35" s="1109" t="s">
        <v>1389</v>
      </c>
      <c r="J35" s="1110" t="s">
        <v>1390</v>
      </c>
      <c r="K35" s="1109" t="s">
        <v>1391</v>
      </c>
      <c r="L35" s="1110" t="s">
        <v>1392</v>
      </c>
      <c r="M35" s="1120" t="s">
        <v>1393</v>
      </c>
      <c r="N35" s="1113" t="s">
        <v>1394</v>
      </c>
      <c r="O35" s="1112" t="s">
        <v>1395</v>
      </c>
      <c r="P35" s="1531" t="s">
        <v>1396</v>
      </c>
      <c r="Q35" s="1120" t="s">
        <v>1397</v>
      </c>
      <c r="R35" s="1110" t="s">
        <v>1398</v>
      </c>
      <c r="S35" s="81" t="str">
        <f xml:space="preserve"> AE35 &amp; AF35 &amp; AG35 &amp; AH35 &amp; AI35 &amp; AJ35</f>
        <v xml:space="preserve">* El Nº de hombres normal de 'Pueblos Originarios' no debe ser mayor al Total hombres normal en control. * El Nº de mujeres normal de 'Pueblos Originarios' no debe ser mayor al Total mujeres normal en control. * El Nº de hombres normal de Pueblos Migrantes no debe ser mayor al Total hombres normal en control. * El Nº de mujeres normal de Pueblos Migrantes no debe ser mayor al Total mujeres normal en control. </v>
      </c>
      <c r="T35" s="215"/>
      <c r="AE35" s="465" t="str">
        <f>IF($E35&gt;=$O35,"","* El Nº de hombres normal de 'Pueblos Originarios' no debe ser mayor al Total hombres normal en control. ")</f>
        <v xml:space="preserve">* El Nº de hombres normal de 'Pueblos Originarios' no debe ser mayor al Total hombres normal en control. </v>
      </c>
      <c r="AF35" s="465" t="str">
        <f>IF($F35&gt;=$P35,"","* El Nº de mujeres normal de 'Pueblos Originarios' no debe ser mayor al Total mujeres normal en control. ")</f>
        <v xml:space="preserve">* El Nº de mujeres normal de 'Pueblos Originarios' no debe ser mayor al Total mujeres normal en control. </v>
      </c>
      <c r="AG35" s="465" t="str">
        <f>IF($E35&gt;=$Q35,"","* El Nº de hombres normal de Pueblos Migrantes no debe ser mayor al Total hombres normal en control. ")</f>
        <v xml:space="preserve">* El Nº de hombres normal de Pueblos Migrantes no debe ser mayor al Total hombres normal en control. </v>
      </c>
      <c r="AH35" s="465" t="str">
        <f>IF($F35&gt;=$R35,"","* El Nº de mujeres normal de Pueblos Migrantes no debe ser mayor al Total mujeres normal en control. ")</f>
        <v xml:space="preserve">* El Nº de mujeres normal de Pueblos Migrantes no debe ser mayor al Total mujeres normal en control. </v>
      </c>
      <c r="AI35" s="465" t="str">
        <f>IF(AND(F35&lt;&gt;0,O35=""),"* No olvide escribir en la celda de 'Pueblos Originarios' (Digite CERO si no tiene). ",IF(AND(G35&lt;&gt;0,P35=""),"* No olvide escribir en la celda de 'Pueblos Originarios' (Digite CERO si no tiene). ",""))</f>
        <v/>
      </c>
      <c r="AJ35" s="465" t="str">
        <f>IF(AND(F35&lt;&gt;0,Q35=""),"* No olvide escribir en la celda de 'Población Migrantes' (Digite CERO si no tiene). ",IF(AND(G35&lt;&gt;0,R35=""),"* No olvide escribir en la celda de 'Población Migrantes' (Digite CERO si no tiene). ",""))</f>
        <v/>
      </c>
      <c r="AL35" s="486">
        <f>IF($E35&gt;=$O35,0,1)</f>
        <v>1</v>
      </c>
      <c r="AM35" s="486">
        <f>IF($F35&gt;=$P35,0,1)</f>
        <v>1</v>
      </c>
      <c r="AN35" s="486">
        <f>IF($E35&gt;=$Q35,0,1)</f>
        <v>1</v>
      </c>
      <c r="AO35" s="486">
        <f>IF($F35&gt;=$R35,0,1)</f>
        <v>1</v>
      </c>
      <c r="AP35" s="486">
        <f>IF(AND(F35&lt;&gt;0,O35=""),1,IF(AND(G35&lt;&gt;0,P35=""),1,0))</f>
        <v>0</v>
      </c>
      <c r="AQ35" s="486">
        <f>IF(AND(F35&lt;&gt;0,Q35=""),1,IF(AND(G35&lt;&gt;0,R35=""),1,0))</f>
        <v>0</v>
      </c>
      <c r="AR35" s="470"/>
      <c r="AS35" s="470"/>
    </row>
    <row r="36" spans="1:47" ht="21.75" customHeight="1" x14ac:dyDescent="0.2">
      <c r="A36" s="1773" t="s">
        <v>1025</v>
      </c>
      <c r="B36" s="2292" t="s">
        <v>53</v>
      </c>
      <c r="C36" s="2293"/>
      <c r="D36" s="1062" t="s">
        <v>1384</v>
      </c>
      <c r="E36" s="1119" t="s">
        <v>1385</v>
      </c>
      <c r="F36" s="1080" t="s">
        <v>1386</v>
      </c>
      <c r="G36" s="1109" t="s">
        <v>1387</v>
      </c>
      <c r="H36" s="1111" t="s">
        <v>1388</v>
      </c>
      <c r="I36" s="1109" t="s">
        <v>1389</v>
      </c>
      <c r="J36" s="1110" t="s">
        <v>1390</v>
      </c>
      <c r="K36" s="1109" t="s">
        <v>1391</v>
      </c>
      <c r="L36" s="1110" t="s">
        <v>1392</v>
      </c>
      <c r="M36" s="1120" t="s">
        <v>1393</v>
      </c>
      <c r="N36" s="1113" t="s">
        <v>1394</v>
      </c>
      <c r="O36" s="1112" t="s">
        <v>1395</v>
      </c>
      <c r="P36" s="1531" t="s">
        <v>1396</v>
      </c>
      <c r="Q36" s="1120" t="s">
        <v>1397</v>
      </c>
      <c r="R36" s="1110" t="s">
        <v>1398</v>
      </c>
      <c r="S36" s="81" t="str">
        <f xml:space="preserve"> AE36 &amp; AF36 &amp; AG36 &amp; AH36 &amp; AI36 &amp; AJ36</f>
        <v xml:space="preserve">* El Nº de hombres sobrepeso de 'Pueblos Originarios' no debe ser mayor al Total hombres sobrepeso en control. * El Nº de mujeres sobrepeso de 'Pueblos Originarios' no debe ser mayor al Total mujeres sobrepeso en control. * El Nº de hombres sobrepeso de Pueblos Migrantes no debe ser mayor al Total hombres sobrepeso en control. * El Nº de mujeres sobrepeso de Pueblos Migrantes no debe ser mayor al Total mujeres sobrepeso en control. </v>
      </c>
      <c r="T36" s="215"/>
      <c r="AE36" s="465" t="str">
        <f>IF($E36&gt;=$O36,"","* El Nº de hombres sobrepeso de 'Pueblos Originarios' no debe ser mayor al Total hombres sobrepeso en control. ")</f>
        <v xml:space="preserve">* El Nº de hombres sobrepeso de 'Pueblos Originarios' no debe ser mayor al Total hombres sobrepeso en control. </v>
      </c>
      <c r="AF36" s="465" t="str">
        <f>IF($F36&gt;=$P36,"","* El Nº de mujeres sobrepeso de 'Pueblos Originarios' no debe ser mayor al Total mujeres sobrepeso en control. ")</f>
        <v xml:space="preserve">* El Nº de mujeres sobrepeso de 'Pueblos Originarios' no debe ser mayor al Total mujeres sobrepeso en control. </v>
      </c>
      <c r="AG36" s="465" t="str">
        <f>IF($E36&gt;=$Q36,"","* El Nº de hombres sobrepeso de Pueblos Migrantes no debe ser mayor al Total hombres sobrepeso en control. ")</f>
        <v xml:space="preserve">* El Nº de hombres sobrepeso de Pueblos Migrantes no debe ser mayor al Total hombres sobrepeso en control. </v>
      </c>
      <c r="AH36" s="465" t="str">
        <f>IF($F36&gt;=$R36,"","* El Nº de mujeres sobrepeso de Pueblos Migrantes no debe ser mayor al Total mujeres sobrepeso en control. ")</f>
        <v xml:space="preserve">* El Nº de mujeres sobrepeso de Pueblos Migrantes no debe ser mayor al Total mujeres sobrepeso en control. </v>
      </c>
      <c r="AI36" s="465" t="str">
        <f>IF(AND(F36&lt;&gt;0,O36=""),"* No olvide escribir en la celda de 'Pueblos Originarios' (Digite CERO si no tiene). ",IF(AND(G36&lt;&gt;0,P36=""),"* No olvide escribir en la celda de 'Pueblos Originarios' (Digite CERO si no tiene). ",""))</f>
        <v/>
      </c>
      <c r="AJ36" s="465" t="str">
        <f>IF(AND(F36&lt;&gt;0,Q36=""),"* No olvide escribir en la celda de 'Población Migrantes' (Digite CERO si no tiene). ",IF(AND(G36&lt;&gt;0,R36=""),"* No olvide escribir en la celda de 'Población Migrantes' (Digite CERO si no tiene). ",""))</f>
        <v/>
      </c>
      <c r="AL36" s="486">
        <f>IF($E36&gt;=$O36,0,1)</f>
        <v>1</v>
      </c>
      <c r="AM36" s="486">
        <f>IF($F36&gt;=$P36,0,1)</f>
        <v>1</v>
      </c>
      <c r="AN36" s="486">
        <f>IF($E36&gt;=$Q36,0,1)</f>
        <v>1</v>
      </c>
      <c r="AO36" s="486">
        <f>IF($F36&gt;=$R36,0,1)</f>
        <v>1</v>
      </c>
      <c r="AP36" s="486">
        <f>IF(AND(F36&lt;&gt;0,O36=""),1,IF(AND(G36&lt;&gt;0,P36=""),1,0))</f>
        <v>0</v>
      </c>
      <c r="AQ36" s="486">
        <f>IF(AND(F36&lt;&gt;0,Q36=""),1,IF(AND(G36&lt;&gt;0,R36=""),1,0))</f>
        <v>0</v>
      </c>
      <c r="AR36" s="470"/>
      <c r="AS36" s="470"/>
    </row>
    <row r="37" spans="1:47" ht="21.75" customHeight="1" x14ac:dyDescent="0.2">
      <c r="A37" s="1773" t="s">
        <v>1026</v>
      </c>
      <c r="B37" s="2294" t="s">
        <v>107</v>
      </c>
      <c r="C37" s="2295"/>
      <c r="D37" s="1121" t="s">
        <v>1384</v>
      </c>
      <c r="E37" s="1122" t="s">
        <v>1385</v>
      </c>
      <c r="F37" s="1123" t="s">
        <v>1386</v>
      </c>
      <c r="G37" s="1084" t="s">
        <v>1387</v>
      </c>
      <c r="H37" s="1086" t="s">
        <v>1388</v>
      </c>
      <c r="I37" s="1084" t="s">
        <v>1389</v>
      </c>
      <c r="J37" s="1085" t="s">
        <v>1390</v>
      </c>
      <c r="K37" s="1084" t="s">
        <v>1391</v>
      </c>
      <c r="L37" s="1085" t="s">
        <v>1392</v>
      </c>
      <c r="M37" s="1089" t="s">
        <v>1393</v>
      </c>
      <c r="N37" s="1088" t="s">
        <v>1394</v>
      </c>
      <c r="O37" s="1087" t="s">
        <v>1395</v>
      </c>
      <c r="P37" s="1532" t="s">
        <v>1396</v>
      </c>
      <c r="Q37" s="1089" t="s">
        <v>1397</v>
      </c>
      <c r="R37" s="1085" t="s">
        <v>1398</v>
      </c>
      <c r="S37" s="81" t="str">
        <f xml:space="preserve"> AE37 &amp; AF37 &amp; AG37 &amp; AH37 &amp; AI37 &amp; AJ37</f>
        <v xml:space="preserve">* El Nº de hombres obeso de 'Pueblos Originarios' no debe ser mayor al Total hombres obesos en control. * El Nº de mujeres obesas de 'Pueblos Originarios' no debe ser mayor al Total mujeres obesas en control. * El Nº de hombres obeso de Pueblos Migrantes no debe ser mayor al Total hombres obeso en control. * El Nº de mujeres obesas de Pueblos Migrantes no debe ser mayor al Total mujeres obesas en control. </v>
      </c>
      <c r="T37" s="215"/>
      <c r="AE37" s="465" t="str">
        <f>IF($E37&gt;=$O37,"","* El Nº de hombres obeso de 'Pueblos Originarios' no debe ser mayor al Total hombres obesos en control. ")</f>
        <v xml:space="preserve">* El Nº de hombres obeso de 'Pueblos Originarios' no debe ser mayor al Total hombres obesos en control. </v>
      </c>
      <c r="AF37" s="465" t="str">
        <f>IF($F37&gt;=$P37,"","* El Nº de mujeres obesas de 'Pueblos Originarios' no debe ser mayor al Total mujeres obesas en control. ")</f>
        <v xml:space="preserve">* El Nº de mujeres obesas de 'Pueblos Originarios' no debe ser mayor al Total mujeres obesas en control. </v>
      </c>
      <c r="AG37" s="465" t="str">
        <f>IF($E37&gt;=$Q37,"","* El Nº de hombres obeso de Pueblos Migrantes no debe ser mayor al Total hombres obeso en control. ")</f>
        <v xml:space="preserve">* El Nº de hombres obeso de Pueblos Migrantes no debe ser mayor al Total hombres obeso en control. </v>
      </c>
      <c r="AH37" s="465" t="str">
        <f>IF($F37&gt;=$R37,"","* El Nº de mujeres obesas de Pueblos Migrantes no debe ser mayor al Total mujeres obesas en control. ")</f>
        <v xml:space="preserve">* El Nº de mujeres obesas de Pueblos Migrantes no debe ser mayor al Total mujeres obesas en control. </v>
      </c>
      <c r="AI37" s="465" t="str">
        <f>IF(AND(F37&lt;&gt;0,O37=""),"* No olvide escribir en la celda de 'Pueblos Originarios' (Digite CERO si no tiene). ",IF(AND(G37&lt;&gt;0,P37=""),"* No olvide escribir en la celda de 'Pueblos Originarios' (Digite CERO si no tiene). ",""))</f>
        <v/>
      </c>
      <c r="AJ37" s="465" t="str">
        <f>IF(AND(F37&lt;&gt;0,Q37=""),"* No olvide escribir en la celda de 'Población Migrantes' (Digite CERO si no tiene). ",IF(AND(G37&lt;&gt;0,R37=""),"* No olvide escribir en la celda de 'Población Migrantes' (Digite CERO si no tiene). ",""))</f>
        <v/>
      </c>
      <c r="AL37" s="486">
        <f>IF($E37&gt;=$O37,0,1)</f>
        <v>1</v>
      </c>
      <c r="AM37" s="486">
        <f>IF($F37&gt;=$P37,0,1)</f>
        <v>1</v>
      </c>
      <c r="AN37" s="486">
        <f>IF($E37&gt;=$Q37,0,1)</f>
        <v>1</v>
      </c>
      <c r="AO37" s="486">
        <f>IF($F37&gt;=$R37,0,1)</f>
        <v>1</v>
      </c>
      <c r="AP37" s="486">
        <f>IF(AND(F37&lt;&gt;0,O37=""),1,IF(AND(G37&lt;&gt;0,P37=""),1,0))</f>
        <v>0</v>
      </c>
      <c r="AQ37" s="486">
        <f>IF(AND(F37&lt;&gt;0,Q37=""),1,IF(AND(G37&lt;&gt;0,R37=""),1,0))</f>
        <v>0</v>
      </c>
      <c r="AR37" s="470"/>
      <c r="AS37" s="470"/>
    </row>
    <row r="38" spans="1:47" ht="21.75" customHeight="1" x14ac:dyDescent="0.2">
      <c r="A38" s="1778"/>
      <c r="B38" s="2296" t="s">
        <v>222</v>
      </c>
      <c r="C38" s="2297"/>
      <c r="D38" s="1075">
        <f>SUM(E38:F38)</f>
        <v>0</v>
      </c>
      <c r="E38" s="1124">
        <f t="shared" ref="E38:F38" si="7">+G38+I38+K38+M38</f>
        <v>0</v>
      </c>
      <c r="F38" s="1098">
        <f t="shared" si="7"/>
        <v>0</v>
      </c>
      <c r="G38" s="1097">
        <f>SUM(G34:G37)</f>
        <v>0</v>
      </c>
      <c r="H38" s="1098">
        <f t="shared" ref="H38:R38" si="8">SUM(H34:H37)</f>
        <v>0</v>
      </c>
      <c r="I38" s="1091">
        <f t="shared" si="8"/>
        <v>0</v>
      </c>
      <c r="J38" s="1098">
        <f t="shared" si="8"/>
        <v>0</v>
      </c>
      <c r="K38" s="1091">
        <f t="shared" si="8"/>
        <v>0</v>
      </c>
      <c r="L38" s="1098">
        <f t="shared" si="8"/>
        <v>0</v>
      </c>
      <c r="M38" s="1091">
        <f t="shared" si="8"/>
        <v>0</v>
      </c>
      <c r="N38" s="1096">
        <f t="shared" si="8"/>
        <v>0</v>
      </c>
      <c r="O38" s="1095">
        <f>SUM(O34:O37)</f>
        <v>0</v>
      </c>
      <c r="P38" s="1098">
        <f>SUM(P34:P37)</f>
        <v>0</v>
      </c>
      <c r="Q38" s="1528">
        <f t="shared" si="8"/>
        <v>0</v>
      </c>
      <c r="R38" s="1098">
        <f t="shared" si="8"/>
        <v>0</v>
      </c>
      <c r="S38" s="81"/>
      <c r="T38" s="215"/>
      <c r="AE38" s="478"/>
      <c r="AF38" s="478"/>
      <c r="AG38" s="478"/>
      <c r="AH38" s="478"/>
      <c r="AI38" s="478"/>
      <c r="AJ38" s="478"/>
      <c r="AK38" s="478"/>
      <c r="AL38" s="479"/>
      <c r="AM38" s="470"/>
      <c r="AN38" s="479"/>
      <c r="AO38" s="479"/>
      <c r="AP38" s="479"/>
      <c r="AQ38" s="479"/>
      <c r="AR38" s="479"/>
      <c r="AS38" s="479"/>
      <c r="AU38" s="217"/>
    </row>
    <row r="39" spans="1:47" s="237" customFormat="1" ht="30" customHeight="1" x14ac:dyDescent="0.2">
      <c r="A39" s="1785"/>
      <c r="B39" s="2277" t="s">
        <v>690</v>
      </c>
      <c r="C39" s="2277"/>
      <c r="D39" s="2277"/>
      <c r="E39" s="2277"/>
      <c r="F39" s="2277"/>
      <c r="G39" s="2277"/>
      <c r="H39" s="2277"/>
      <c r="I39" s="206"/>
      <c r="J39" s="206"/>
      <c r="K39" s="206"/>
      <c r="L39" s="206"/>
      <c r="M39" s="475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478"/>
      <c r="AD39" s="474"/>
      <c r="AE39" s="474"/>
      <c r="AF39" s="474"/>
      <c r="AG39" s="474"/>
      <c r="AH39" s="474"/>
      <c r="AI39" s="474"/>
      <c r="AJ39" s="474"/>
      <c r="AK39" s="474"/>
      <c r="AL39" s="470"/>
      <c r="AM39" s="470"/>
      <c r="AN39" s="470"/>
      <c r="AO39" s="470"/>
      <c r="AP39" s="470"/>
      <c r="AQ39" s="470"/>
      <c r="AR39" s="470"/>
      <c r="AS39" s="470"/>
      <c r="AT39" s="217"/>
    </row>
    <row r="40" spans="1:47" s="237" customFormat="1" ht="22.5" customHeight="1" x14ac:dyDescent="0.2">
      <c r="A40" s="1785"/>
      <c r="B40" s="2261" t="s">
        <v>170</v>
      </c>
      <c r="C40" s="2261"/>
      <c r="D40" s="2264" t="s">
        <v>15</v>
      </c>
      <c r="E40" s="2264"/>
      <c r="F40" s="2264"/>
      <c r="G40" s="2265" t="s">
        <v>589</v>
      </c>
      <c r="H40" s="2266"/>
      <c r="I40" s="2266"/>
      <c r="J40" s="2266"/>
      <c r="K40" s="2266"/>
      <c r="L40" s="2266"/>
      <c r="M40" s="2266"/>
      <c r="N40" s="226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478"/>
      <c r="AD40" s="474"/>
      <c r="AE40" s="474"/>
      <c r="AF40" s="474"/>
      <c r="AG40" s="474"/>
      <c r="AH40" s="474"/>
      <c r="AI40" s="474"/>
      <c r="AJ40" s="474"/>
      <c r="AK40" s="474"/>
      <c r="AL40" s="470"/>
      <c r="AM40" s="470"/>
      <c r="AN40" s="470"/>
      <c r="AO40" s="470"/>
      <c r="AP40" s="470"/>
      <c r="AQ40" s="470"/>
      <c r="AR40" s="470"/>
      <c r="AS40" s="470"/>
      <c r="AT40" s="217"/>
    </row>
    <row r="41" spans="1:47" ht="25.5" customHeight="1" x14ac:dyDescent="0.2">
      <c r="A41" s="1786"/>
      <c r="B41" s="2261"/>
      <c r="C41" s="2261"/>
      <c r="D41" s="2264"/>
      <c r="E41" s="2264"/>
      <c r="F41" s="2264"/>
      <c r="G41" s="2104" t="s">
        <v>207</v>
      </c>
      <c r="H41" s="2088"/>
      <c r="I41" s="2087" t="s">
        <v>208</v>
      </c>
      <c r="J41" s="2088"/>
      <c r="K41" s="2087" t="s">
        <v>209</v>
      </c>
      <c r="L41" s="2088"/>
      <c r="M41" s="2262" t="s">
        <v>221</v>
      </c>
      <c r="N41" s="2263"/>
      <c r="AL41" s="470"/>
      <c r="AM41" s="470"/>
      <c r="AN41" s="470"/>
      <c r="AO41" s="470"/>
      <c r="AP41" s="470"/>
      <c r="AQ41" s="470"/>
      <c r="AR41" s="470"/>
      <c r="AS41" s="470"/>
    </row>
    <row r="42" spans="1:47" ht="21" x14ac:dyDescent="0.2">
      <c r="A42" s="1786"/>
      <c r="B42" s="2261"/>
      <c r="C42" s="2261"/>
      <c r="D42" s="154" t="s">
        <v>99</v>
      </c>
      <c r="E42" s="210" t="s">
        <v>33</v>
      </c>
      <c r="F42" s="441" t="s">
        <v>100</v>
      </c>
      <c r="G42" s="160" t="s">
        <v>145</v>
      </c>
      <c r="H42" s="161" t="s">
        <v>100</v>
      </c>
      <c r="I42" s="160" t="s">
        <v>145</v>
      </c>
      <c r="J42" s="161" t="s">
        <v>100</v>
      </c>
      <c r="K42" s="160" t="s">
        <v>145</v>
      </c>
      <c r="L42" s="161" t="s">
        <v>100</v>
      </c>
      <c r="M42" s="154" t="s">
        <v>33</v>
      </c>
      <c r="N42" s="202" t="s">
        <v>100</v>
      </c>
      <c r="AL42" s="470"/>
      <c r="AM42" s="470"/>
      <c r="AN42" s="470"/>
      <c r="AO42" s="470"/>
      <c r="AP42" s="470"/>
      <c r="AQ42" s="470"/>
      <c r="AR42" s="470"/>
      <c r="AS42" s="470"/>
    </row>
    <row r="43" spans="1:47" ht="30.75" customHeight="1" x14ac:dyDescent="0.2">
      <c r="A43" s="1773" t="s">
        <v>1027</v>
      </c>
      <c r="B43" s="2280" t="s">
        <v>223</v>
      </c>
      <c r="C43" s="2281"/>
      <c r="D43" s="1075" t="s">
        <v>1384</v>
      </c>
      <c r="E43" s="1124" t="s">
        <v>1385</v>
      </c>
      <c r="F43" s="1092" t="s">
        <v>1386</v>
      </c>
      <c r="G43" s="1125" t="s">
        <v>1387</v>
      </c>
      <c r="H43" s="1126" t="s">
        <v>1388</v>
      </c>
      <c r="I43" s="1125" t="s">
        <v>1389</v>
      </c>
      <c r="J43" s="1126" t="s">
        <v>1390</v>
      </c>
      <c r="K43" s="1125" t="s">
        <v>1391</v>
      </c>
      <c r="L43" s="1126" t="s">
        <v>1392</v>
      </c>
      <c r="M43" s="1125" t="s">
        <v>1393</v>
      </c>
      <c r="N43" s="1126" t="s">
        <v>1394</v>
      </c>
      <c r="O43" s="81" t="str">
        <f xml:space="preserve"> AC43 &amp; AD43 &amp; AE43 &amp; AF43 &amp; AG43 &amp; AH43 &amp; AI43 &amp; AJ43</f>
        <v xml:space="preserve">* Los pacientes con sospecha de maltrato no pueden ser mayor que el total de Adultos Mayores en Control (65 - 69 años - Hombres). * Los pacientes con sospecha de maltrato no pueden ser mayor que el total de Adultos Mayores en Control (65 - 69 años - Mujeres). * Los pacientes con sospecha de maltrato no pueden ser mayor que el total de Adultos Mayores en Control (70 - 74 años - Hombres). * Los pacientes con sospecha de maltrato no pueden ser mayor que el total de Adultos Mayores en Control (70 - 74 años - Mujeres). * Los pacientes con sospecha de maltrato no pueden ser mayor que el total de Adultos Mayores en Control (75 - 79 años - Hombres). * Los pacientes con sospecha de maltrato no pueden ser mayor que el total de Adultos Mayores en Control (75 - 79 años - Mujeres). * Los pacientes con sospecha de maltrato no pueden ser mayor que el total de Adultos Mayores en Control (80 y más años - Hombres). * Los pacientes con sospecha de maltrato no pueden ser mayor que el total de Adultos Mayores en Control (80 y más años - Mujeres). </v>
      </c>
      <c r="AC43" s="489" t="str">
        <f>IF($H$21&gt;=$G$43,"","* Los pacientes con sospecha de maltrato no pueden ser mayor que el total de Adultos Mayores en Control (65 - 69 años - Hombres). ")</f>
        <v xml:space="preserve">* Los pacientes con sospecha de maltrato no pueden ser mayor que el total de Adultos Mayores en Control (65 - 69 años - Hombres). </v>
      </c>
      <c r="AD43" s="489" t="str">
        <f>IF($I$21&gt;=$H$43,"","* Los pacientes con sospecha de maltrato no pueden ser mayor que el total de Adultos Mayores en Control (65 - 69 años - Mujeres). ")</f>
        <v xml:space="preserve">* Los pacientes con sospecha de maltrato no pueden ser mayor que el total de Adultos Mayores en Control (65 - 69 años - Mujeres). </v>
      </c>
      <c r="AE43" s="489" t="str">
        <f>IF($J$21&gt;=$I$43,"","* Los pacientes con sospecha de maltrato no pueden ser mayor que el total de Adultos Mayores en Control (70 - 74 años - Hombres). ")</f>
        <v xml:space="preserve">* Los pacientes con sospecha de maltrato no pueden ser mayor que el total de Adultos Mayores en Control (70 - 74 años - Hombres). </v>
      </c>
      <c r="AF43" s="489" t="str">
        <f>IF($K$21&gt;=$J$43,"","* Los pacientes con sospecha de maltrato no pueden ser mayor que el total de Adultos Mayores en Control (70 - 74 años - Mujeres). ")</f>
        <v xml:space="preserve">* Los pacientes con sospecha de maltrato no pueden ser mayor que el total de Adultos Mayores en Control (70 - 74 años - Mujeres). </v>
      </c>
      <c r="AG43" s="489" t="str">
        <f>IF($L$21&gt;=$K$43,"","* Los pacientes con sospecha de maltrato no pueden ser mayor que el total de Adultos Mayores en Control (75 - 79 años - Hombres). ")</f>
        <v xml:space="preserve">* Los pacientes con sospecha de maltrato no pueden ser mayor que el total de Adultos Mayores en Control (75 - 79 años - Hombres). </v>
      </c>
      <c r="AH43" s="489" t="str">
        <f>IF($M$21&gt;=$L$43,"","* Los pacientes con sospecha de maltrato no pueden ser mayor que el total de Adultos Mayores en Control (75 - 79 años - Mujeres). ")</f>
        <v xml:space="preserve">* Los pacientes con sospecha de maltrato no pueden ser mayor que el total de Adultos Mayores en Control (75 - 79 años - Mujeres). </v>
      </c>
      <c r="AI43" s="489" t="str">
        <f>IF($N$21&gt;=$M$43,"","* Los pacientes con sospecha de maltrato no pueden ser mayor que el total de Adultos Mayores en Control (80 y más años - Hombres). ")</f>
        <v xml:space="preserve">* Los pacientes con sospecha de maltrato no pueden ser mayor que el total de Adultos Mayores en Control (80 y más años - Hombres). </v>
      </c>
      <c r="AJ43" s="489" t="str">
        <f>IF($O$21&gt;=$N$43,"","* Los pacientes con sospecha de maltrato no pueden ser mayor que el total de Adultos Mayores en Control (80 y más años - Mujeres). ")</f>
        <v xml:space="preserve">* Los pacientes con sospecha de maltrato no pueden ser mayor que el total de Adultos Mayores en Control (80 y más años - Mujeres). </v>
      </c>
      <c r="AL43" s="480">
        <f>IF($H$21&gt;=$G$43,0,1)</f>
        <v>1</v>
      </c>
      <c r="AM43" s="480">
        <f>IF($I$21&gt;=$H$43,0,1)</f>
        <v>1</v>
      </c>
      <c r="AN43" s="480">
        <f>IF($J$21&gt;=$I$43,0,1)</f>
        <v>1</v>
      </c>
      <c r="AO43" s="480">
        <f>IF($K$21&gt;=$J$43,0,1)</f>
        <v>1</v>
      </c>
      <c r="AP43" s="480">
        <f>IF($L$21&gt;=$K$43,0,1)</f>
        <v>1</v>
      </c>
      <c r="AQ43" s="480">
        <f>IF($M$21&gt;=$L$43,0,1)</f>
        <v>1</v>
      </c>
      <c r="AR43" s="480">
        <f>IF($N$21&gt;=$M$43,0,1)</f>
        <v>1</v>
      </c>
      <c r="AS43" s="480">
        <f>IF($O$21&gt;=$N$43,0,1)</f>
        <v>1</v>
      </c>
    </row>
    <row r="44" spans="1:47" ht="27" customHeight="1" x14ac:dyDescent="0.2">
      <c r="A44" s="1786"/>
      <c r="B44" s="2289" t="s">
        <v>691</v>
      </c>
      <c r="C44" s="2289"/>
      <c r="D44" s="2289"/>
      <c r="E44" s="2289"/>
      <c r="F44" s="2289"/>
      <c r="G44" s="2289"/>
      <c r="H44" s="2289"/>
      <c r="I44" s="2289"/>
      <c r="J44" s="206"/>
      <c r="K44" s="206"/>
      <c r="L44" s="206"/>
      <c r="M44" s="475"/>
      <c r="N44" s="237"/>
      <c r="AL44" s="470"/>
      <c r="AM44" s="470"/>
      <c r="AN44" s="470"/>
      <c r="AO44" s="470"/>
      <c r="AP44" s="470"/>
      <c r="AQ44" s="470"/>
      <c r="AR44" s="470"/>
      <c r="AS44" s="470"/>
    </row>
    <row r="45" spans="1:47" ht="20.25" customHeight="1" x14ac:dyDescent="0.2">
      <c r="A45" s="1786"/>
      <c r="B45" s="2261" t="s">
        <v>170</v>
      </c>
      <c r="C45" s="2261"/>
      <c r="D45" s="2264" t="s">
        <v>15</v>
      </c>
      <c r="E45" s="2264"/>
      <c r="F45" s="2264"/>
      <c r="G45" s="2265" t="s">
        <v>589</v>
      </c>
      <c r="H45" s="2266"/>
      <c r="I45" s="2266"/>
      <c r="J45" s="2266"/>
      <c r="K45" s="2266"/>
      <c r="L45" s="2266"/>
      <c r="M45" s="2266"/>
      <c r="N45" s="2267"/>
      <c r="AL45" s="470"/>
      <c r="AM45" s="470"/>
      <c r="AN45" s="470"/>
      <c r="AO45" s="470"/>
      <c r="AP45" s="470"/>
      <c r="AQ45" s="470"/>
      <c r="AR45" s="470"/>
      <c r="AS45" s="470"/>
    </row>
    <row r="46" spans="1:47" ht="21.75" customHeight="1" x14ac:dyDescent="0.2">
      <c r="A46" s="1786"/>
      <c r="B46" s="2261"/>
      <c r="C46" s="2261"/>
      <c r="D46" s="2264"/>
      <c r="E46" s="2264"/>
      <c r="F46" s="2264"/>
      <c r="G46" s="2104" t="s">
        <v>207</v>
      </c>
      <c r="H46" s="2088"/>
      <c r="I46" s="2087" t="s">
        <v>208</v>
      </c>
      <c r="J46" s="2088"/>
      <c r="K46" s="2087" t="s">
        <v>209</v>
      </c>
      <c r="L46" s="2088"/>
      <c r="M46" s="2262" t="s">
        <v>221</v>
      </c>
      <c r="N46" s="2263"/>
      <c r="AL46" s="470"/>
      <c r="AM46" s="470"/>
      <c r="AN46" s="470"/>
      <c r="AO46" s="470"/>
      <c r="AP46" s="470"/>
      <c r="AQ46" s="470"/>
      <c r="AR46" s="470"/>
      <c r="AS46" s="470"/>
    </row>
    <row r="47" spans="1:47" ht="21" x14ac:dyDescent="0.2">
      <c r="A47" s="1786"/>
      <c r="B47" s="2261"/>
      <c r="C47" s="2261"/>
      <c r="D47" s="154" t="s">
        <v>99</v>
      </c>
      <c r="E47" s="210" t="s">
        <v>33</v>
      </c>
      <c r="F47" s="211" t="s">
        <v>100</v>
      </c>
      <c r="G47" s="212" t="s">
        <v>145</v>
      </c>
      <c r="H47" s="161" t="s">
        <v>100</v>
      </c>
      <c r="I47" s="160" t="s">
        <v>145</v>
      </c>
      <c r="J47" s="161" t="s">
        <v>100</v>
      </c>
      <c r="K47" s="160" t="s">
        <v>145</v>
      </c>
      <c r="L47" s="161" t="s">
        <v>100</v>
      </c>
      <c r="M47" s="154" t="s">
        <v>33</v>
      </c>
      <c r="N47" s="202" t="s">
        <v>100</v>
      </c>
      <c r="AL47" s="470"/>
      <c r="AM47" s="470"/>
      <c r="AN47" s="470"/>
      <c r="AO47" s="470"/>
      <c r="AP47" s="470"/>
      <c r="AQ47" s="470"/>
      <c r="AR47" s="470"/>
      <c r="AS47" s="470"/>
    </row>
    <row r="48" spans="1:47" ht="24" customHeight="1" x14ac:dyDescent="0.2">
      <c r="A48" s="1773" t="s">
        <v>1028</v>
      </c>
      <c r="B48" s="2278" t="s">
        <v>224</v>
      </c>
      <c r="C48" s="2279"/>
      <c r="D48" s="1075" t="s">
        <v>1384</v>
      </c>
      <c r="E48" s="1124" t="s">
        <v>1385</v>
      </c>
      <c r="F48" s="1098" t="s">
        <v>1386</v>
      </c>
      <c r="G48" s="1127" t="s">
        <v>1387</v>
      </c>
      <c r="H48" s="1126" t="s">
        <v>1388</v>
      </c>
      <c r="I48" s="1125" t="s">
        <v>1389</v>
      </c>
      <c r="J48" s="1126" t="s">
        <v>1390</v>
      </c>
      <c r="K48" s="1125" t="s">
        <v>1391</v>
      </c>
      <c r="L48" s="1126" t="s">
        <v>1392</v>
      </c>
      <c r="M48" s="1125" t="s">
        <v>1393</v>
      </c>
      <c r="N48" s="1126" t="s">
        <v>1394</v>
      </c>
      <c r="O48" s="81" t="str">
        <f xml:space="preserve"> AJ48</f>
        <v xml:space="preserve">* Los Adultos Mayores en actividad física no pueden ser mayor que los clasificados como Autovalentes sin/con riesgo y los riesgo de Dependencia. </v>
      </c>
      <c r="AJ48" s="465" t="str">
        <f>IF($D$48&lt;=$E$15,"","* Los Adultos Mayores en actividad física no pueden ser mayor que los clasificados como Autovalentes sin/con riesgo y los riesgo de Dependencia. ")</f>
        <v xml:space="preserve">* Los Adultos Mayores en actividad física no pueden ser mayor que los clasificados como Autovalentes sin/con riesgo y los riesgo de Dependencia. </v>
      </c>
      <c r="AL48" s="486">
        <f>IF($D$48&lt;=$E$15,0,1)</f>
        <v>1</v>
      </c>
      <c r="AM48" s="470"/>
      <c r="AN48" s="470"/>
      <c r="AO48" s="470"/>
      <c r="AP48" s="470"/>
      <c r="AQ48" s="470"/>
      <c r="AR48" s="470"/>
      <c r="AS48" s="470"/>
    </row>
    <row r="49" spans="1:46" s="237" customFormat="1" ht="27.75" customHeight="1" x14ac:dyDescent="0.2">
      <c r="A49" s="1785"/>
      <c r="B49" s="2286" t="s">
        <v>692</v>
      </c>
      <c r="C49" s="2286"/>
      <c r="D49" s="2286"/>
      <c r="E49" s="2286"/>
      <c r="F49" s="2286"/>
      <c r="G49" s="2286"/>
      <c r="H49" s="2286"/>
      <c r="I49" s="2286"/>
      <c r="J49" s="2286"/>
      <c r="M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478"/>
      <c r="AD49" s="478"/>
      <c r="AE49" s="478"/>
      <c r="AF49" s="478"/>
      <c r="AG49" s="478"/>
      <c r="AH49" s="478"/>
      <c r="AI49" s="478"/>
      <c r="AJ49" s="478"/>
      <c r="AK49" s="478"/>
      <c r="AL49" s="479"/>
      <c r="AM49" s="479"/>
      <c r="AN49" s="479"/>
      <c r="AO49" s="479"/>
      <c r="AP49" s="479"/>
      <c r="AQ49" s="479"/>
      <c r="AR49" s="479"/>
      <c r="AS49" s="479"/>
      <c r="AT49" s="217"/>
    </row>
    <row r="50" spans="1:46" ht="25.5" customHeight="1" x14ac:dyDescent="0.2">
      <c r="A50" s="1786"/>
      <c r="B50" s="2260" t="s">
        <v>506</v>
      </c>
      <c r="C50" s="2261" t="s">
        <v>225</v>
      </c>
      <c r="D50" s="2261"/>
      <c r="E50" s="2264" t="s">
        <v>15</v>
      </c>
      <c r="F50" s="2264"/>
      <c r="G50" s="2264"/>
      <c r="H50" s="2265" t="s">
        <v>589</v>
      </c>
      <c r="I50" s="2266"/>
      <c r="J50" s="2266"/>
      <c r="K50" s="2266"/>
      <c r="L50" s="2266"/>
      <c r="M50" s="2266"/>
      <c r="N50" s="2266"/>
      <c r="O50" s="2267"/>
      <c r="AL50" s="470"/>
      <c r="AM50" s="470"/>
      <c r="AN50" s="470"/>
      <c r="AO50" s="470"/>
      <c r="AP50" s="470"/>
      <c r="AQ50" s="470"/>
      <c r="AR50" s="470"/>
      <c r="AS50" s="470"/>
    </row>
    <row r="51" spans="1:46" ht="15.75" customHeight="1" x14ac:dyDescent="0.2">
      <c r="A51" s="1786"/>
      <c r="B51" s="1994"/>
      <c r="C51" s="2261"/>
      <c r="D51" s="2261"/>
      <c r="E51" s="2264"/>
      <c r="F51" s="2264"/>
      <c r="G51" s="2264"/>
      <c r="H51" s="2104" t="s">
        <v>207</v>
      </c>
      <c r="I51" s="2088"/>
      <c r="J51" s="2087" t="s">
        <v>208</v>
      </c>
      <c r="K51" s="2088"/>
      <c r="L51" s="2087" t="s">
        <v>209</v>
      </c>
      <c r="M51" s="2088"/>
      <c r="N51" s="2262" t="s">
        <v>221</v>
      </c>
      <c r="O51" s="2263"/>
      <c r="AL51" s="470"/>
      <c r="AM51" s="470"/>
      <c r="AN51" s="470"/>
      <c r="AO51" s="470"/>
      <c r="AP51" s="470"/>
      <c r="AQ51" s="470"/>
      <c r="AR51" s="470"/>
      <c r="AS51" s="470"/>
    </row>
    <row r="52" spans="1:46" ht="24.75" customHeight="1" x14ac:dyDescent="0.2">
      <c r="A52" s="1786"/>
      <c r="B52" s="1995"/>
      <c r="C52" s="2261"/>
      <c r="D52" s="2261"/>
      <c r="E52" s="154" t="s">
        <v>99</v>
      </c>
      <c r="F52" s="214" t="s">
        <v>33</v>
      </c>
      <c r="G52" s="211" t="s">
        <v>100</v>
      </c>
      <c r="H52" s="160" t="s">
        <v>145</v>
      </c>
      <c r="I52" s="161" t="s">
        <v>100</v>
      </c>
      <c r="J52" s="160" t="s">
        <v>145</v>
      </c>
      <c r="K52" s="161" t="s">
        <v>100</v>
      </c>
      <c r="L52" s="160" t="s">
        <v>145</v>
      </c>
      <c r="M52" s="161" t="s">
        <v>100</v>
      </c>
      <c r="N52" s="154" t="s">
        <v>33</v>
      </c>
      <c r="O52" s="202" t="s">
        <v>100</v>
      </c>
      <c r="AL52" s="470"/>
      <c r="AM52" s="470"/>
      <c r="AN52" s="470"/>
      <c r="AO52" s="470"/>
      <c r="AP52" s="470"/>
      <c r="AQ52" s="470"/>
      <c r="AR52" s="470"/>
      <c r="AS52" s="470"/>
    </row>
    <row r="53" spans="1:46" ht="23.25" customHeight="1" x14ac:dyDescent="0.2">
      <c r="A53" s="1773" t="s">
        <v>1029</v>
      </c>
      <c r="B53" s="2260" t="s">
        <v>507</v>
      </c>
      <c r="C53" s="2282" t="s">
        <v>226</v>
      </c>
      <c r="D53" s="2283"/>
      <c r="E53" s="1128" t="s">
        <v>1384</v>
      </c>
      <c r="F53" s="1129" t="s">
        <v>1385</v>
      </c>
      <c r="G53" s="1130" t="s">
        <v>1386</v>
      </c>
      <c r="H53" s="1101" t="s">
        <v>1387</v>
      </c>
      <c r="I53" s="1102" t="s">
        <v>1388</v>
      </c>
      <c r="J53" s="1101" t="s">
        <v>1389</v>
      </c>
      <c r="K53" s="1102" t="s">
        <v>1390</v>
      </c>
      <c r="L53" s="1101" t="s">
        <v>1391</v>
      </c>
      <c r="M53" s="1102" t="s">
        <v>1392</v>
      </c>
      <c r="N53" s="1101" t="s">
        <v>1393</v>
      </c>
      <c r="O53" s="1102" t="s">
        <v>1394</v>
      </c>
      <c r="AL53" s="470"/>
      <c r="AM53" s="470"/>
      <c r="AN53" s="470"/>
      <c r="AO53" s="470"/>
      <c r="AP53" s="470"/>
      <c r="AQ53" s="470"/>
      <c r="AR53" s="470"/>
      <c r="AS53" s="470"/>
    </row>
    <row r="54" spans="1:46" ht="23.25" customHeight="1" x14ac:dyDescent="0.2">
      <c r="A54" s="1773" t="s">
        <v>1030</v>
      </c>
      <c r="B54" s="1994"/>
      <c r="C54" s="2284" t="s">
        <v>227</v>
      </c>
      <c r="D54" s="2285"/>
      <c r="E54" s="1062" t="s">
        <v>1384</v>
      </c>
      <c r="F54" s="1131" t="s">
        <v>1385</v>
      </c>
      <c r="G54" s="1132" t="s">
        <v>1386</v>
      </c>
      <c r="H54" s="1109" t="s">
        <v>1387</v>
      </c>
      <c r="I54" s="1110" t="s">
        <v>1388</v>
      </c>
      <c r="J54" s="1109" t="s">
        <v>1389</v>
      </c>
      <c r="K54" s="1110" t="s">
        <v>1390</v>
      </c>
      <c r="L54" s="1109" t="s">
        <v>1391</v>
      </c>
      <c r="M54" s="1110" t="s">
        <v>1392</v>
      </c>
      <c r="N54" s="1109" t="s">
        <v>1393</v>
      </c>
      <c r="O54" s="1110" t="s">
        <v>1394</v>
      </c>
      <c r="AL54" s="470"/>
      <c r="AM54" s="470"/>
      <c r="AN54" s="470"/>
      <c r="AO54" s="470"/>
      <c r="AP54" s="470"/>
      <c r="AQ54" s="470"/>
      <c r="AR54" s="470"/>
      <c r="AS54" s="470"/>
    </row>
    <row r="55" spans="1:46" ht="23.25" customHeight="1" x14ac:dyDescent="0.2">
      <c r="A55" s="1773" t="s">
        <v>1031</v>
      </c>
      <c r="B55" s="1995"/>
      <c r="C55" s="2275" t="s">
        <v>228</v>
      </c>
      <c r="D55" s="2276"/>
      <c r="E55" s="1114" t="s">
        <v>1384</v>
      </c>
      <c r="F55" s="1133" t="s">
        <v>1385</v>
      </c>
      <c r="G55" s="1134" t="s">
        <v>1386</v>
      </c>
      <c r="H55" s="1084" t="s">
        <v>1387</v>
      </c>
      <c r="I55" s="1085" t="s">
        <v>1388</v>
      </c>
      <c r="J55" s="1084" t="s">
        <v>1389</v>
      </c>
      <c r="K55" s="1085" t="s">
        <v>1390</v>
      </c>
      <c r="L55" s="1084" t="s">
        <v>1391</v>
      </c>
      <c r="M55" s="1085" t="s">
        <v>1392</v>
      </c>
      <c r="N55" s="1084" t="s">
        <v>1393</v>
      </c>
      <c r="O55" s="1085" t="s">
        <v>1394</v>
      </c>
      <c r="P55" s="81" t="str">
        <f xml:space="preserve"> AC55 &amp; AD55 &amp; AE55 &amp; AF55 &amp; AG55 &amp; AH55 &amp; AI55 &amp; AJ55</f>
        <v/>
      </c>
      <c r="AC55" s="465" t="str">
        <f>IF(SUM($H53:$H55)&gt;$H15,"* Riesgo de caída Hombres (65 a 69 años) deben ser menor o igual al Total Adultos Mayores con EFAM de sección A. ","")</f>
        <v/>
      </c>
      <c r="AD55" s="465" t="str">
        <f>IF(SUM($I53:$I55)&gt;$I15,"* Riesgo de caída Mujeres (65 a 69 años) deben ser menor o igual al Total Adultos Mayores con EFAM de sección A. ","")</f>
        <v/>
      </c>
      <c r="AE55" s="465" t="str">
        <f>IF(SUM($J53:$J55)&gt;$J15,"* Riesgo de caída Hombres (70 a 74 años) deben ser menor o igual al Total Adultos Mayores con EFAM de sección A. ","")</f>
        <v/>
      </c>
      <c r="AF55" s="465" t="str">
        <f>IF(SUM($K53:$K55)&gt;$K15,"* Riesgo de caída Mujeres (70 a 74 años) deben ser menor o igual al Total Adultos Mayores con EFAM de sección A. ","")</f>
        <v/>
      </c>
      <c r="AG55" s="465" t="str">
        <f>IF(SUM($L53:$L55)&gt;$L15,"* Riesgo de caída Hombres (75 a 79 años) deben ser menor o igual al Total Adultos Mayores con EFAM de sección A. ","")</f>
        <v/>
      </c>
      <c r="AH55" s="465" t="str">
        <f>IF(SUM($M53:$M55)&gt;$M15,"* Riesgo de caída Mujeres (75 a 79 años) deben ser menor o igual al Total Adultos Mayores con EFAM de sección A. ","")</f>
        <v/>
      </c>
      <c r="AI55" s="465" t="str">
        <f>IF(SUM($N53:$N55)&gt;$N15,"* Riesgo de caída Hombres (80 y más) deben ser menor o igual al Total Adultos Mayores con EFAM de sección A. ","")</f>
        <v/>
      </c>
      <c r="AJ55" s="465" t="str">
        <f>IF(SUM($O53:$O55)&gt;$O15,"* Riesgo de caída Mujeres (80 y más) deben ser menor o igual al Total Adultos Mayores con EFAM de sección A. ","")</f>
        <v/>
      </c>
      <c r="AL55" s="486">
        <f>IF(SUM($H53:$H55)&gt;$H15,1,0)</f>
        <v>0</v>
      </c>
      <c r="AM55" s="486">
        <f>IF(SUM($I53:$I55)&gt;$I15,1,0)</f>
        <v>0</v>
      </c>
      <c r="AN55" s="486">
        <f>IF(SUM($J53:$J55)&gt;$J15,1,0)</f>
        <v>0</v>
      </c>
      <c r="AO55" s="486">
        <f>IF(SUM($K53:$K55)&gt;$K15,1,0)</f>
        <v>0</v>
      </c>
      <c r="AP55" s="486">
        <f>IF(SUM($L53:$L55)&gt;$L15,1,0)</f>
        <v>0</v>
      </c>
      <c r="AQ55" s="486">
        <f>IF(SUM($M53:$M55)&gt;$M15,1,0)</f>
        <v>0</v>
      </c>
      <c r="AR55" s="486">
        <f>IF(SUM($N53:$N55)&gt;$N15,1,0)</f>
        <v>0</v>
      </c>
      <c r="AS55" s="486">
        <f>IF(SUM($O53:$O55)&gt;$O15,1,0)</f>
        <v>0</v>
      </c>
      <c r="AT55" s="215"/>
    </row>
    <row r="56" spans="1:46" ht="23.25" customHeight="1" x14ac:dyDescent="0.2">
      <c r="A56" s="1773" t="s">
        <v>1032</v>
      </c>
      <c r="B56" s="2260" t="s">
        <v>508</v>
      </c>
      <c r="C56" s="2282" t="s">
        <v>509</v>
      </c>
      <c r="D56" s="2283"/>
      <c r="E56" s="1135" t="s">
        <v>1384</v>
      </c>
      <c r="F56" s="1136" t="s">
        <v>1385</v>
      </c>
      <c r="G56" s="1137" t="s">
        <v>1386</v>
      </c>
      <c r="H56" s="1138" t="s">
        <v>1387</v>
      </c>
      <c r="I56" s="1139" t="s">
        <v>1388</v>
      </c>
      <c r="J56" s="1138" t="s">
        <v>1389</v>
      </c>
      <c r="K56" s="1139" t="s">
        <v>1390</v>
      </c>
      <c r="L56" s="1138" t="s">
        <v>1391</v>
      </c>
      <c r="M56" s="1139" t="s">
        <v>1392</v>
      </c>
      <c r="N56" s="1138" t="s">
        <v>1393</v>
      </c>
      <c r="O56" s="1139" t="s">
        <v>1394</v>
      </c>
      <c r="AL56" s="470"/>
      <c r="AM56" s="470"/>
      <c r="AN56" s="470"/>
      <c r="AO56" s="470"/>
      <c r="AP56" s="470"/>
      <c r="AQ56" s="470"/>
      <c r="AR56" s="470"/>
      <c r="AS56" s="470"/>
    </row>
    <row r="57" spans="1:46" ht="23.25" customHeight="1" x14ac:dyDescent="0.2">
      <c r="A57" s="1773" t="s">
        <v>1033</v>
      </c>
      <c r="B57" s="1995"/>
      <c r="C57" s="2275" t="s">
        <v>463</v>
      </c>
      <c r="D57" s="2276"/>
      <c r="E57" s="1140" t="s">
        <v>1384</v>
      </c>
      <c r="F57" s="1141" t="s">
        <v>1385</v>
      </c>
      <c r="G57" s="1142" t="s">
        <v>1386</v>
      </c>
      <c r="H57" s="1084" t="s">
        <v>1387</v>
      </c>
      <c r="I57" s="1085" t="s">
        <v>1388</v>
      </c>
      <c r="J57" s="1084" t="s">
        <v>1389</v>
      </c>
      <c r="K57" s="1085" t="s">
        <v>1390</v>
      </c>
      <c r="L57" s="1084" t="s">
        <v>1391</v>
      </c>
      <c r="M57" s="1085" t="s">
        <v>1392</v>
      </c>
      <c r="N57" s="1084" t="s">
        <v>1393</v>
      </c>
      <c r="O57" s="1085" t="s">
        <v>1394</v>
      </c>
      <c r="AL57" s="470"/>
      <c r="AM57" s="470"/>
      <c r="AN57" s="470"/>
      <c r="AO57" s="470"/>
      <c r="AP57" s="470"/>
      <c r="AQ57" s="470"/>
      <c r="AR57" s="470"/>
      <c r="AS57" s="470"/>
    </row>
    <row r="58" spans="1:46" x14ac:dyDescent="0.15">
      <c r="AL58" s="470"/>
      <c r="AM58" s="470"/>
      <c r="AN58" s="470"/>
      <c r="AO58" s="470"/>
      <c r="AP58" s="470"/>
      <c r="AQ58" s="470"/>
      <c r="AR58" s="470"/>
      <c r="AS58" s="470"/>
    </row>
    <row r="59" spans="1:46" ht="12.75" customHeight="1" x14ac:dyDescent="0.15"/>
    <row r="80" hidden="1" x14ac:dyDescent="0.15"/>
    <row r="81" spans="2:3" s="474" customFormat="1" ht="14.45" hidden="1" customHeight="1" x14ac:dyDescent="0.15">
      <c r="B81" s="464">
        <f>SUM(E12:S21, E26:U29,D34:R38,D43:N43,D48:N48,E53:O57)</f>
        <v>0</v>
      </c>
      <c r="C81" s="465" t="s">
        <v>350</v>
      </c>
    </row>
    <row r="82" spans="2:3" s="474" customFormat="1" ht="14.45" hidden="1" customHeight="1" x14ac:dyDescent="0.15">
      <c r="B82" s="464">
        <f>SUM(AL12:AS58)</f>
        <v>65</v>
      </c>
      <c r="C82" s="465" t="s">
        <v>351</v>
      </c>
    </row>
    <row r="83" spans="2:3" hidden="1" x14ac:dyDescent="0.15"/>
    <row r="84" spans="2:3" hidden="1" x14ac:dyDescent="0.15"/>
    <row r="85" spans="2:3" hidden="1" x14ac:dyDescent="0.15"/>
    <row r="86" spans="2:3" hidden="1" x14ac:dyDescent="0.15"/>
    <row r="87" spans="2:3" hidden="1" x14ac:dyDescent="0.15"/>
    <row r="88" spans="2:3" hidden="1" x14ac:dyDescent="0.15"/>
    <row r="89" spans="2:3" hidden="1" x14ac:dyDescent="0.15"/>
  </sheetData>
  <mergeCells count="105">
    <mergeCell ref="B28:D28"/>
    <mergeCell ref="B29:D29"/>
    <mergeCell ref="B31:C33"/>
    <mergeCell ref="G31:N31"/>
    <mergeCell ref="B23:D25"/>
    <mergeCell ref="E23:G24"/>
    <mergeCell ref="B21:D21"/>
    <mergeCell ref="P9:Q10"/>
    <mergeCell ref="R9:S10"/>
    <mergeCell ref="H10:I10"/>
    <mergeCell ref="J10:K10"/>
    <mergeCell ref="L10:M10"/>
    <mergeCell ref="N10:O10"/>
    <mergeCell ref="B17:D17"/>
    <mergeCell ref="B12:D12"/>
    <mergeCell ref="B18:D18"/>
    <mergeCell ref="B20:D20"/>
    <mergeCell ref="T23:U24"/>
    <mergeCell ref="J24:K24"/>
    <mergeCell ref="L24:M24"/>
    <mergeCell ref="N24:O24"/>
    <mergeCell ref="P24:Q24"/>
    <mergeCell ref="R23:S24"/>
    <mergeCell ref="H23:Q23"/>
    <mergeCell ref="B44:I44"/>
    <mergeCell ref="I46:J46"/>
    <mergeCell ref="K41:L41"/>
    <mergeCell ref="B34:C34"/>
    <mergeCell ref="B35:C35"/>
    <mergeCell ref="B36:C36"/>
    <mergeCell ref="B37:C37"/>
    <mergeCell ref="B38:C38"/>
    <mergeCell ref="Q31:R32"/>
    <mergeCell ref="O31:P32"/>
    <mergeCell ref="K32:L32"/>
    <mergeCell ref="H24:I24"/>
    <mergeCell ref="M32:N32"/>
    <mergeCell ref="B26:D26"/>
    <mergeCell ref="B27:D27"/>
    <mergeCell ref="I32:J32"/>
    <mergeCell ref="D31:F32"/>
    <mergeCell ref="C57:D57"/>
    <mergeCell ref="D40:F41"/>
    <mergeCell ref="B39:H39"/>
    <mergeCell ref="B48:C48"/>
    <mergeCell ref="G41:H41"/>
    <mergeCell ref="B43:C43"/>
    <mergeCell ref="C53:D53"/>
    <mergeCell ref="C54:D54"/>
    <mergeCell ref="B45:C47"/>
    <mergeCell ref="B56:B57"/>
    <mergeCell ref="E50:G51"/>
    <mergeCell ref="H50:O50"/>
    <mergeCell ref="C56:D56"/>
    <mergeCell ref="B53:B55"/>
    <mergeCell ref="B49:J49"/>
    <mergeCell ref="C55:D55"/>
    <mergeCell ref="F7:S7"/>
    <mergeCell ref="B50:B52"/>
    <mergeCell ref="G46:H46"/>
    <mergeCell ref="C50:D52"/>
    <mergeCell ref="H51:I51"/>
    <mergeCell ref="L51:M51"/>
    <mergeCell ref="K46:L46"/>
    <mergeCell ref="M46:N46"/>
    <mergeCell ref="N51:O51"/>
    <mergeCell ref="J51:K51"/>
    <mergeCell ref="M41:N41"/>
    <mergeCell ref="D45:F46"/>
    <mergeCell ref="G45:N45"/>
    <mergeCell ref="B40:C42"/>
    <mergeCell ref="G40:N40"/>
    <mergeCell ref="I41:J41"/>
    <mergeCell ref="B9:D11"/>
    <mergeCell ref="E9:G10"/>
    <mergeCell ref="H9:O9"/>
    <mergeCell ref="B16:D16"/>
    <mergeCell ref="B13:D13"/>
    <mergeCell ref="B14:D14"/>
    <mergeCell ref="B15:D15"/>
    <mergeCell ref="G32:H32"/>
    <mergeCell ref="AE31:AF32"/>
    <mergeCell ref="AG31:AH32"/>
    <mergeCell ref="AI31:AI32"/>
    <mergeCell ref="AJ31:AJ32"/>
    <mergeCell ref="AL8:AM9"/>
    <mergeCell ref="AL31:AM32"/>
    <mergeCell ref="AJ8:AJ9"/>
    <mergeCell ref="AE23:AF24"/>
    <mergeCell ref="AG23:AH24"/>
    <mergeCell ref="AI23:AI24"/>
    <mergeCell ref="AJ23:AJ24"/>
    <mergeCell ref="AE8:AF9"/>
    <mergeCell ref="AG8:AH9"/>
    <mergeCell ref="AI8:AI9"/>
    <mergeCell ref="AN31:AO32"/>
    <mergeCell ref="AP31:AP32"/>
    <mergeCell ref="AQ31:AQ32"/>
    <mergeCell ref="AN8:AO9"/>
    <mergeCell ref="AP8:AP9"/>
    <mergeCell ref="AQ8:AQ9"/>
    <mergeCell ref="AL23:AM24"/>
    <mergeCell ref="AN23:AO24"/>
    <mergeCell ref="AP23:AP24"/>
    <mergeCell ref="AQ23:AQ24"/>
  </mergeCells>
  <phoneticPr fontId="27" type="noConversion"/>
  <dataValidations count="1">
    <dataValidation type="whole" allowBlank="1" showInputMessage="1" showErrorMessage="1" sqref="B1:XFD1048576 A1:A11 A58:A1048576">
      <formula1>0</formula1>
      <formula2>100000000000000000</formula2>
    </dataValidation>
  </dataValidations>
  <pageMargins left="0.70866141732283472" right="0.70866141732283472" top="0.74803149606299213" bottom="0.74803149606299213" header="0.31496062992125984" footer="0.31496062992125984"/>
  <pageSetup scale="63" orientation="landscape" r:id="rId1"/>
  <rowBreaks count="1" manualBreakCount="1">
    <brk id="43" min="1" max="1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0" tint="-0.14999847407452621"/>
  </sheetPr>
  <dimension ref="A1:DR138"/>
  <sheetViews>
    <sheetView showGridLines="0" zoomScaleNormal="100" workbookViewId="0"/>
  </sheetViews>
  <sheetFormatPr baseColWidth="10" defaultColWidth="11.42578125" defaultRowHeight="15" x14ac:dyDescent="0.25"/>
  <cols>
    <col min="1" max="1" width="25.28515625" style="215" customWidth="1"/>
    <col min="2" max="2" width="32.42578125" style="215" customWidth="1"/>
    <col min="3" max="3" width="52.42578125" style="215" customWidth="1"/>
    <col min="4" max="4" width="13.85546875" style="215" customWidth="1"/>
    <col min="5" max="22" width="10.42578125" style="215" customWidth="1"/>
    <col min="23" max="38" width="10.42578125" style="216" customWidth="1"/>
    <col min="39" max="46" width="10.42578125" style="215" customWidth="1"/>
    <col min="47" max="47" width="14.85546875" style="215" customWidth="1"/>
    <col min="48" max="52" width="11.42578125" style="216"/>
    <col min="53" max="54" width="11" style="216" customWidth="1"/>
    <col min="80" max="96" width="11" style="474" hidden="1" customWidth="1"/>
    <col min="97" max="99" width="11" style="1246" hidden="1" customWidth="1"/>
    <col min="100" max="116" width="11" style="474" hidden="1" customWidth="1"/>
    <col min="117" max="119" width="11" style="1246" hidden="1" customWidth="1"/>
    <col min="120" max="122" width="11" style="474" hidden="1" customWidth="1"/>
    <col min="123" max="131" width="0" style="215" hidden="1" customWidth="1"/>
    <col min="132" max="16384" width="11.42578125" style="215"/>
  </cols>
  <sheetData>
    <row r="1" spans="1:122" s="460" customFormat="1" ht="13.5" customHeight="1" x14ac:dyDescent="0.15">
      <c r="B1" s="148" t="s">
        <v>0</v>
      </c>
      <c r="C1" s="149"/>
      <c r="D1" s="149"/>
      <c r="E1" s="149"/>
      <c r="F1" s="149"/>
      <c r="G1" s="149"/>
      <c r="H1" s="149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CB1" s="391"/>
      <c r="CC1" s="391"/>
      <c r="CD1" s="391"/>
      <c r="CE1" s="391"/>
      <c r="CF1" s="391"/>
      <c r="CG1" s="391"/>
      <c r="CH1" s="414"/>
      <c r="CI1" s="414"/>
      <c r="CJ1" s="414"/>
      <c r="CK1" s="414"/>
      <c r="CL1" s="414"/>
      <c r="CM1" s="414"/>
      <c r="CN1" s="414"/>
      <c r="CO1" s="414"/>
      <c r="CP1" s="414"/>
      <c r="CQ1" s="414"/>
      <c r="CR1" s="414"/>
      <c r="CS1" s="414"/>
      <c r="CT1" s="414"/>
      <c r="CU1" s="414"/>
      <c r="CV1" s="414"/>
      <c r="CW1" s="414"/>
      <c r="CX1" s="414"/>
      <c r="CY1" s="391"/>
      <c r="CZ1" s="391"/>
      <c r="DA1" s="391"/>
      <c r="DB1" s="414"/>
      <c r="DC1" s="414"/>
      <c r="DD1" s="414"/>
      <c r="DE1" s="414"/>
      <c r="DF1" s="414"/>
      <c r="DG1" s="414"/>
      <c r="DH1" s="414"/>
      <c r="DI1" s="414"/>
      <c r="DJ1" s="414"/>
      <c r="DK1" s="414"/>
      <c r="DL1" s="414"/>
      <c r="DM1" s="414"/>
      <c r="DN1" s="414"/>
      <c r="DO1" s="414"/>
      <c r="DP1" s="414"/>
      <c r="DQ1" s="414"/>
      <c r="DR1" s="414"/>
    </row>
    <row r="2" spans="1:122" s="460" customFormat="1" ht="13.5" customHeight="1" x14ac:dyDescent="0.15">
      <c r="B2" s="148" t="str">
        <f>CONCATENATE("COMUNA: ",NOMBRE!$B$2," - ","( ",NOMBRE!$C$2,NOMBRE!$D$2,NOMBRE!$E$2,NOMBRE!$F$2,NOMBRE!$G$2," )")</f>
        <v>COMUNA:  - (  )</v>
      </c>
      <c r="C2" s="149"/>
      <c r="D2" s="149"/>
      <c r="E2" s="149"/>
      <c r="F2" s="149"/>
      <c r="G2" s="149"/>
      <c r="H2" s="149"/>
      <c r="I2" s="70"/>
      <c r="J2" s="70"/>
      <c r="K2" s="70"/>
      <c r="L2" s="70"/>
      <c r="M2" s="70"/>
      <c r="N2" s="70"/>
      <c r="O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CB2" s="391"/>
      <c r="CC2" s="391"/>
      <c r="CD2" s="391"/>
      <c r="CE2" s="391"/>
      <c r="CF2" s="391"/>
      <c r="CG2" s="391"/>
      <c r="CH2" s="414"/>
      <c r="CI2" s="414"/>
      <c r="CJ2" s="414"/>
      <c r="CK2" s="414"/>
      <c r="CL2" s="414"/>
      <c r="CM2" s="414"/>
      <c r="CN2" s="414"/>
      <c r="CO2" s="414"/>
      <c r="CP2" s="414"/>
      <c r="CQ2" s="414"/>
      <c r="CR2" s="414"/>
      <c r="CS2" s="414"/>
      <c r="CT2" s="414"/>
      <c r="CU2" s="414"/>
      <c r="CV2" s="414"/>
      <c r="CW2" s="414"/>
      <c r="CX2" s="414"/>
      <c r="CY2" s="391"/>
      <c r="CZ2" s="391"/>
      <c r="DA2" s="391"/>
      <c r="DB2" s="414"/>
      <c r="DC2" s="414"/>
      <c r="DD2" s="414"/>
      <c r="DE2" s="414"/>
      <c r="DF2" s="414"/>
      <c r="DG2" s="414"/>
      <c r="DH2" s="414"/>
      <c r="DI2" s="414"/>
      <c r="DJ2" s="414"/>
      <c r="DK2" s="414"/>
      <c r="DL2" s="414"/>
      <c r="DM2" s="414"/>
      <c r="DN2" s="414"/>
      <c r="DO2" s="414"/>
      <c r="DP2" s="414"/>
      <c r="DQ2" s="414"/>
      <c r="DR2" s="414"/>
    </row>
    <row r="3" spans="1:122" s="460" customFormat="1" ht="13.5" customHeight="1" x14ac:dyDescent="0.15">
      <c r="B3" s="148" t="str">
        <f>CONCATENATE("ESTABLECIMIENTO/ESTRATEGIA: ",NOMBRE!$B$3," - ","( ",NOMBRE!$C$3,NOMBRE!$D$3,NOMBRE!$E$3,NOMBRE!$F$3,NOMBRE!$G$3,NOMBRE!$H$3," )")</f>
        <v>ESTABLECIMIENTO/ESTRATEGIA:  - (  )</v>
      </c>
      <c r="C3" s="149"/>
      <c r="D3" s="150"/>
      <c r="E3" s="149"/>
      <c r="F3" s="149"/>
      <c r="G3" s="149"/>
      <c r="H3" s="149"/>
      <c r="I3" s="70"/>
      <c r="J3" s="70"/>
      <c r="K3" s="70"/>
      <c r="L3" s="70"/>
      <c r="M3" s="70"/>
      <c r="N3" s="70"/>
      <c r="O3" s="70"/>
      <c r="X3" s="70"/>
      <c r="Y3" s="70"/>
      <c r="Z3" s="70"/>
      <c r="AA3" s="70"/>
      <c r="AB3" s="70"/>
      <c r="AC3" s="70"/>
      <c r="AD3" s="70"/>
      <c r="AE3" s="70"/>
      <c r="AF3" s="70"/>
      <c r="AG3" s="70"/>
      <c r="AH3" s="70"/>
      <c r="AI3" s="70"/>
      <c r="AJ3" s="70"/>
      <c r="AK3" s="70"/>
      <c r="AL3" s="70"/>
      <c r="AM3" s="70"/>
      <c r="AN3" s="70"/>
      <c r="AO3" s="70"/>
      <c r="AP3" s="70"/>
      <c r="AQ3" s="70"/>
      <c r="AR3" s="70"/>
      <c r="AS3" s="70"/>
      <c r="AT3" s="70"/>
      <c r="AU3" s="70"/>
      <c r="AV3" s="70"/>
      <c r="AW3" s="70"/>
      <c r="AX3" s="70"/>
      <c r="AY3" s="70"/>
      <c r="AZ3" s="70"/>
      <c r="BA3" s="70"/>
      <c r="BB3" s="70"/>
      <c r="CB3" s="391"/>
      <c r="CC3" s="391"/>
      <c r="CD3" s="391"/>
      <c r="CE3" s="391"/>
      <c r="CF3" s="391"/>
      <c r="CG3" s="391"/>
      <c r="CH3" s="414"/>
      <c r="CI3" s="414"/>
      <c r="CJ3" s="414"/>
      <c r="CK3" s="414"/>
      <c r="CL3" s="414"/>
      <c r="CM3" s="414"/>
      <c r="CN3" s="414"/>
      <c r="CO3" s="414"/>
      <c r="CP3" s="414"/>
      <c r="CQ3" s="414"/>
      <c r="CR3" s="414"/>
      <c r="CS3" s="414"/>
      <c r="CT3" s="414"/>
      <c r="CU3" s="414"/>
      <c r="CV3" s="414"/>
      <c r="CW3" s="414"/>
      <c r="CX3" s="414"/>
      <c r="CY3" s="391"/>
      <c r="CZ3" s="391"/>
      <c r="DA3" s="391"/>
      <c r="DB3" s="414"/>
      <c r="DC3" s="414"/>
      <c r="DD3" s="414"/>
      <c r="DE3" s="414"/>
      <c r="DF3" s="414"/>
      <c r="DG3" s="414"/>
      <c r="DH3" s="414"/>
      <c r="DI3" s="414"/>
      <c r="DJ3" s="414"/>
      <c r="DK3" s="414"/>
      <c r="DL3" s="414"/>
      <c r="DM3" s="414"/>
      <c r="DN3" s="414"/>
      <c r="DO3" s="414"/>
      <c r="DP3" s="414"/>
      <c r="DQ3" s="414"/>
      <c r="DR3" s="414"/>
    </row>
    <row r="4" spans="1:122" s="460" customFormat="1" ht="13.5" customHeight="1" x14ac:dyDescent="0.15">
      <c r="B4" s="148" t="str">
        <f>CONCATENATE("MES: ",NOMBRE!$B$6," - ","( ",NOMBRE!$C$6,NOMBRE!$D$6," )")</f>
        <v>MES:  - (  )</v>
      </c>
      <c r="C4" s="149"/>
      <c r="D4" s="149"/>
      <c r="E4" s="149"/>
      <c r="F4" s="149"/>
      <c r="G4" s="149"/>
      <c r="H4" s="149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/>
      <c r="AU4" s="70"/>
      <c r="AV4" s="70"/>
      <c r="AW4" s="70"/>
      <c r="AX4" s="70"/>
      <c r="AY4" s="70"/>
      <c r="AZ4" s="70"/>
      <c r="BA4" s="70"/>
      <c r="BB4" s="70"/>
      <c r="CB4" s="391"/>
      <c r="CC4" s="391"/>
      <c r="CD4" s="391"/>
      <c r="CE4" s="391"/>
      <c r="CF4" s="391"/>
      <c r="CG4" s="391"/>
      <c r="CH4" s="414"/>
      <c r="CI4" s="414"/>
      <c r="CJ4" s="414"/>
      <c r="CK4" s="414"/>
      <c r="CL4" s="414"/>
      <c r="CM4" s="414"/>
      <c r="CN4" s="414"/>
      <c r="CO4" s="414"/>
      <c r="CP4" s="414"/>
      <c r="CQ4" s="414"/>
      <c r="CR4" s="414"/>
      <c r="CS4" s="414"/>
      <c r="CT4" s="414"/>
      <c r="CU4" s="414"/>
      <c r="CV4" s="414"/>
      <c r="CW4" s="414"/>
      <c r="CX4" s="414"/>
      <c r="CY4" s="391"/>
      <c r="CZ4" s="391"/>
      <c r="DA4" s="391"/>
      <c r="DB4" s="414"/>
      <c r="DC4" s="414"/>
      <c r="DD4" s="414"/>
      <c r="DE4" s="414"/>
      <c r="DF4" s="414"/>
      <c r="DG4" s="414"/>
      <c r="DH4" s="414"/>
      <c r="DI4" s="414"/>
      <c r="DJ4" s="414"/>
      <c r="DK4" s="414"/>
      <c r="DL4" s="414"/>
      <c r="DM4" s="414"/>
      <c r="DN4" s="414"/>
      <c r="DO4" s="414"/>
      <c r="DP4" s="414"/>
      <c r="DQ4" s="414"/>
      <c r="DR4" s="414"/>
    </row>
    <row r="5" spans="1:122" s="460" customFormat="1" ht="13.5" customHeight="1" x14ac:dyDescent="0.15">
      <c r="B5" s="148" t="str">
        <f>CONCATENATE("AÑO: ",NOMBRE!$B$7)</f>
        <v>AÑO: 2021</v>
      </c>
      <c r="C5" s="149"/>
      <c r="D5" s="149"/>
      <c r="E5" s="149"/>
      <c r="F5" s="149"/>
      <c r="G5" s="149"/>
      <c r="H5" s="149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70"/>
      <c r="AG5" s="70"/>
      <c r="AH5" s="70"/>
      <c r="AI5" s="70"/>
      <c r="AJ5" s="70"/>
      <c r="AK5" s="70"/>
      <c r="AL5" s="70"/>
      <c r="AM5" s="70"/>
      <c r="AN5" s="70"/>
      <c r="AO5" s="70"/>
      <c r="AP5" s="70"/>
      <c r="AQ5" s="70"/>
      <c r="AR5" s="70"/>
      <c r="AS5" s="70"/>
      <c r="AT5" s="70"/>
      <c r="AU5" s="70"/>
      <c r="AV5" s="70"/>
      <c r="AW5" s="70"/>
      <c r="AX5" s="70"/>
      <c r="AY5" s="70"/>
      <c r="AZ5" s="70"/>
      <c r="BA5" s="70"/>
      <c r="BB5" s="70"/>
      <c r="CB5" s="391"/>
      <c r="CC5" s="391"/>
      <c r="CD5" s="391"/>
      <c r="CE5" s="391"/>
      <c r="CF5" s="391"/>
      <c r="CG5" s="391"/>
      <c r="CH5" s="414"/>
      <c r="CI5" s="414"/>
      <c r="CJ5" s="414"/>
      <c r="CK5" s="414"/>
      <c r="CL5" s="414"/>
      <c r="CM5" s="414"/>
      <c r="CN5" s="414"/>
      <c r="CO5" s="414"/>
      <c r="CP5" s="414"/>
      <c r="CQ5" s="414"/>
      <c r="CR5" s="414"/>
      <c r="CS5" s="414"/>
      <c r="CT5" s="414"/>
      <c r="CU5" s="414"/>
      <c r="CV5" s="414"/>
      <c r="CW5" s="414"/>
      <c r="CX5" s="414"/>
      <c r="CY5" s="391"/>
      <c r="CZ5" s="391"/>
      <c r="DA5" s="391"/>
      <c r="DB5" s="414"/>
      <c r="DC5" s="414"/>
      <c r="DD5" s="414"/>
      <c r="DE5" s="414"/>
      <c r="DF5" s="414"/>
      <c r="DG5" s="414"/>
      <c r="DH5" s="414"/>
      <c r="DI5" s="414"/>
      <c r="DJ5" s="414"/>
      <c r="DK5" s="414"/>
      <c r="DL5" s="414"/>
      <c r="DM5" s="414"/>
      <c r="DN5" s="414"/>
      <c r="DO5" s="414"/>
      <c r="DP5" s="414"/>
      <c r="DQ5" s="414"/>
      <c r="DR5" s="414"/>
    </row>
    <row r="6" spans="1:122" s="460" customFormat="1" ht="15" customHeight="1" x14ac:dyDescent="0.15">
      <c r="B6" s="148"/>
      <c r="C6" s="149"/>
      <c r="D6" s="149"/>
      <c r="E6" s="149"/>
      <c r="F6" s="149"/>
      <c r="G6" s="149"/>
      <c r="H6" s="149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CB6" s="391"/>
      <c r="CC6" s="391"/>
      <c r="CD6" s="391"/>
      <c r="CE6" s="391"/>
      <c r="CF6" s="391"/>
      <c r="CG6" s="391"/>
      <c r="CH6" s="414"/>
      <c r="CI6" s="414"/>
      <c r="CJ6" s="414"/>
      <c r="CK6" s="414"/>
      <c r="CL6" s="414"/>
      <c r="CM6" s="414"/>
      <c r="CN6" s="414"/>
      <c r="CO6" s="414"/>
      <c r="CP6" s="414"/>
      <c r="CQ6" s="414"/>
      <c r="CR6" s="414"/>
      <c r="CS6" s="414"/>
      <c r="CT6" s="414"/>
      <c r="CU6" s="414"/>
      <c r="CV6" s="414"/>
      <c r="CW6" s="414"/>
      <c r="CX6" s="414"/>
      <c r="CY6" s="391"/>
      <c r="CZ6" s="391"/>
      <c r="DA6" s="391"/>
      <c r="DB6" s="414"/>
      <c r="DC6" s="414"/>
      <c r="DD6" s="414"/>
      <c r="DE6" s="414"/>
      <c r="DF6" s="414"/>
      <c r="DG6" s="414"/>
      <c r="DH6" s="414"/>
      <c r="DI6" s="414"/>
      <c r="DJ6" s="414"/>
      <c r="DK6" s="414"/>
      <c r="DL6" s="414"/>
      <c r="DM6" s="414"/>
      <c r="DN6" s="414"/>
      <c r="DO6" s="414"/>
      <c r="DP6" s="414"/>
      <c r="DQ6" s="414"/>
      <c r="DR6" s="414"/>
    </row>
    <row r="7" spans="1:122" ht="21.75" customHeight="1" x14ac:dyDescent="0.25">
      <c r="B7" s="2372" t="s">
        <v>595</v>
      </c>
      <c r="C7" s="2372"/>
      <c r="D7" s="2372"/>
      <c r="E7" s="2372"/>
      <c r="F7" s="2372"/>
      <c r="G7" s="2372"/>
      <c r="H7" s="2372"/>
      <c r="I7" s="2372"/>
      <c r="J7" s="2372"/>
      <c r="K7" s="2372"/>
      <c r="L7" s="2372"/>
      <c r="M7" s="2372"/>
      <c r="N7" s="2372"/>
      <c r="O7" s="2372"/>
      <c r="P7" s="2372"/>
      <c r="Q7" s="2372"/>
      <c r="R7" s="2372"/>
      <c r="S7" s="2372"/>
      <c r="T7" s="2372"/>
      <c r="U7" s="2372"/>
      <c r="V7" s="2372"/>
    </row>
    <row r="8" spans="1:122" ht="43.5" customHeight="1" x14ac:dyDescent="0.25">
      <c r="B8" s="1377" t="s">
        <v>229</v>
      </c>
      <c r="C8" s="663"/>
      <c r="D8" s="663"/>
      <c r="E8" s="663"/>
      <c r="F8" s="663"/>
      <c r="G8" s="663"/>
      <c r="H8" s="663"/>
      <c r="I8" s="663"/>
      <c r="J8" s="663"/>
      <c r="K8" s="663"/>
      <c r="L8" s="663"/>
      <c r="M8" s="663"/>
      <c r="N8" s="663"/>
      <c r="O8" s="663"/>
      <c r="P8" s="663"/>
      <c r="Q8" s="663"/>
      <c r="R8" s="663"/>
      <c r="S8" s="663"/>
      <c r="T8" s="663"/>
      <c r="U8" s="663"/>
      <c r="V8" s="663"/>
    </row>
    <row r="9" spans="1:122" ht="22.5" customHeight="1" x14ac:dyDescent="0.25">
      <c r="B9" s="2380" t="s">
        <v>230</v>
      </c>
      <c r="C9" s="2380"/>
      <c r="D9" s="2380"/>
      <c r="E9" s="2380"/>
      <c r="F9" s="2380"/>
      <c r="G9" s="2380"/>
      <c r="H9" s="2380"/>
      <c r="I9" s="2373"/>
      <c r="J9" s="2373"/>
      <c r="K9" s="2373"/>
      <c r="L9" s="2373"/>
      <c r="M9" s="2373"/>
      <c r="N9" s="2373"/>
      <c r="O9" s="2373"/>
      <c r="P9" s="2373"/>
      <c r="Q9" s="2381"/>
      <c r="R9" s="2381"/>
      <c r="S9" s="2381"/>
      <c r="T9" s="2381"/>
      <c r="U9" s="2381"/>
      <c r="V9" s="2381"/>
      <c r="W9" s="2381"/>
      <c r="X9" s="2381"/>
      <c r="Y9" s="2381"/>
      <c r="Z9" s="2381"/>
      <c r="AA9" s="2381"/>
      <c r="AB9" s="2381"/>
      <c r="AC9" s="2381"/>
      <c r="AD9" s="2381"/>
      <c r="AE9" s="2381"/>
      <c r="AF9" s="2381"/>
      <c r="AG9" s="2381"/>
      <c r="AH9" s="2381"/>
      <c r="AI9" s="2381"/>
      <c r="AJ9" s="2381"/>
      <c r="AK9" s="2381"/>
      <c r="AL9" s="2381"/>
      <c r="AM9" s="2381"/>
      <c r="AN9" s="2381"/>
    </row>
    <row r="10" spans="1:122" ht="15" customHeight="1" x14ac:dyDescent="0.25">
      <c r="B10" s="2374" t="s">
        <v>170</v>
      </c>
      <c r="C10" s="2375"/>
      <c r="D10" s="2324" t="s">
        <v>110</v>
      </c>
      <c r="E10" s="2324"/>
      <c r="F10" s="2324"/>
      <c r="G10" s="2324" t="s">
        <v>16</v>
      </c>
      <c r="H10" s="2324"/>
      <c r="I10" s="2324"/>
      <c r="J10" s="2324"/>
      <c r="K10" s="2324"/>
      <c r="L10" s="2324"/>
      <c r="M10" s="2324"/>
      <c r="N10" s="2324"/>
      <c r="O10" s="2324"/>
      <c r="P10" s="2324"/>
      <c r="Q10" s="2324"/>
      <c r="R10" s="2324"/>
      <c r="S10" s="2324"/>
      <c r="T10" s="2324"/>
      <c r="U10" s="2324"/>
      <c r="V10" s="2324"/>
      <c r="W10" s="2324"/>
      <c r="X10" s="2324"/>
      <c r="Y10" s="2324"/>
      <c r="Z10" s="2324"/>
      <c r="AA10" s="2324"/>
      <c r="AB10" s="2324"/>
      <c r="AC10" s="2324"/>
      <c r="AD10" s="2324"/>
      <c r="AE10" s="2324"/>
      <c r="AF10" s="2324"/>
      <c r="AG10" s="2324"/>
      <c r="AH10" s="2324"/>
      <c r="AI10" s="2324"/>
      <c r="AJ10" s="2324"/>
      <c r="AK10" s="2324"/>
      <c r="AL10" s="2324"/>
      <c r="AM10" s="2324"/>
      <c r="AN10" s="2382"/>
      <c r="AO10" s="2304" t="s">
        <v>231</v>
      </c>
      <c r="AP10" s="2392" t="s">
        <v>398</v>
      </c>
      <c r="AQ10" s="2072" t="s">
        <v>17</v>
      </c>
      <c r="AR10" s="2073"/>
      <c r="AS10" s="2072" t="s">
        <v>527</v>
      </c>
      <c r="AT10" s="2073"/>
      <c r="AU10" s="2307" t="s">
        <v>530</v>
      </c>
      <c r="AV10" s="2310" t="s">
        <v>664</v>
      </c>
      <c r="AW10" s="215"/>
      <c r="AX10" s="215"/>
      <c r="AY10" s="215"/>
      <c r="AZ10" s="215"/>
      <c r="BA10" s="215"/>
      <c r="BB10" s="215"/>
      <c r="CY10" s="470"/>
      <c r="CZ10" s="470"/>
      <c r="DA10" s="470"/>
      <c r="DB10" s="470"/>
      <c r="DC10" s="470"/>
      <c r="DD10" s="470"/>
      <c r="DE10" s="470"/>
      <c r="DF10" s="470"/>
      <c r="DG10" s="470"/>
      <c r="DH10" s="470"/>
      <c r="DI10" s="470"/>
      <c r="DJ10" s="470"/>
      <c r="DK10" s="470"/>
      <c r="DL10" s="470"/>
      <c r="DM10" s="1247"/>
      <c r="DN10" s="1247"/>
      <c r="DO10" s="1247"/>
      <c r="DP10" s="1247"/>
    </row>
    <row r="11" spans="1:122" s="218" customFormat="1" ht="30.75" customHeight="1" x14ac:dyDescent="0.25">
      <c r="B11" s="2376"/>
      <c r="C11" s="2377"/>
      <c r="D11" s="2324"/>
      <c r="E11" s="2324"/>
      <c r="F11" s="2324"/>
      <c r="G11" s="2386" t="s">
        <v>232</v>
      </c>
      <c r="H11" s="2382"/>
      <c r="I11" s="2324" t="s">
        <v>233</v>
      </c>
      <c r="J11" s="2382"/>
      <c r="K11" s="2085" t="s">
        <v>144</v>
      </c>
      <c r="L11" s="2086"/>
      <c r="M11" s="2085" t="s">
        <v>19</v>
      </c>
      <c r="N11" s="2086"/>
      <c r="O11" s="2085" t="s">
        <v>20</v>
      </c>
      <c r="P11" s="2086"/>
      <c r="Q11" s="2085" t="s">
        <v>21</v>
      </c>
      <c r="R11" s="2086"/>
      <c r="S11" s="2085" t="s">
        <v>22</v>
      </c>
      <c r="T11" s="2086"/>
      <c r="U11" s="2085" t="s">
        <v>23</v>
      </c>
      <c r="V11" s="2086"/>
      <c r="W11" s="2085" t="s">
        <v>24</v>
      </c>
      <c r="X11" s="2086"/>
      <c r="Y11" s="2085" t="s">
        <v>25</v>
      </c>
      <c r="Z11" s="2086"/>
      <c r="AA11" s="2085" t="s">
        <v>26</v>
      </c>
      <c r="AB11" s="2086"/>
      <c r="AC11" s="2085" t="s">
        <v>234</v>
      </c>
      <c r="AD11" s="2086"/>
      <c r="AE11" s="2085" t="s">
        <v>235</v>
      </c>
      <c r="AF11" s="2086"/>
      <c r="AG11" s="2087" t="s">
        <v>207</v>
      </c>
      <c r="AH11" s="2088"/>
      <c r="AI11" s="2087" t="s">
        <v>208</v>
      </c>
      <c r="AJ11" s="2088"/>
      <c r="AK11" s="2087" t="s">
        <v>209</v>
      </c>
      <c r="AL11" s="2088"/>
      <c r="AM11" s="2262" t="s">
        <v>221</v>
      </c>
      <c r="AN11" s="2383"/>
      <c r="AO11" s="2305"/>
      <c r="AP11" s="2393"/>
      <c r="AQ11" s="2074"/>
      <c r="AR11" s="2075"/>
      <c r="AS11" s="2074"/>
      <c r="AT11" s="2075"/>
      <c r="AU11" s="2308"/>
      <c r="AV11" s="2311"/>
      <c r="AW11" s="215"/>
      <c r="AX11" s="215"/>
      <c r="AY11" s="215"/>
      <c r="AZ11" s="215"/>
      <c r="BA11" s="215"/>
      <c r="BB11" s="215"/>
      <c r="CB11" s="474"/>
      <c r="CC11" s="1243"/>
      <c r="CD11" s="1243"/>
      <c r="CE11" s="1243"/>
      <c r="CF11" s="1243"/>
      <c r="CG11" s="2396" t="s">
        <v>231</v>
      </c>
      <c r="CH11" s="2396" t="s">
        <v>661</v>
      </c>
      <c r="CI11" s="2398" t="s">
        <v>623</v>
      </c>
      <c r="CJ11" s="2399"/>
      <c r="CK11" s="2398" t="s">
        <v>624</v>
      </c>
      <c r="CL11" s="2399"/>
      <c r="CM11" s="2396" t="s">
        <v>626</v>
      </c>
      <c r="CN11" s="1248" t="s">
        <v>231</v>
      </c>
      <c r="CO11" s="1248" t="s">
        <v>622</v>
      </c>
      <c r="CP11" s="1248" t="s">
        <v>626</v>
      </c>
      <c r="CQ11" s="1248" t="s">
        <v>623</v>
      </c>
      <c r="CR11" s="1248" t="s">
        <v>624</v>
      </c>
      <c r="CS11" s="399"/>
      <c r="CT11" s="399"/>
      <c r="CU11" s="399"/>
      <c r="CV11" s="474"/>
      <c r="CW11" s="474"/>
      <c r="CX11" s="474"/>
      <c r="CY11" s="606"/>
      <c r="CZ11" s="606"/>
      <c r="DA11" s="1407" t="s">
        <v>231</v>
      </c>
      <c r="DB11" s="1407" t="s">
        <v>661</v>
      </c>
      <c r="DC11" s="1406" t="s">
        <v>623</v>
      </c>
      <c r="DD11" s="1406" t="s">
        <v>623</v>
      </c>
      <c r="DE11" s="1406" t="s">
        <v>624</v>
      </c>
      <c r="DF11" s="1406" t="s">
        <v>624</v>
      </c>
      <c r="DG11" s="1407" t="s">
        <v>626</v>
      </c>
      <c r="DH11" s="1406" t="s">
        <v>231</v>
      </c>
      <c r="DI11" s="1406" t="s">
        <v>622</v>
      </c>
      <c r="DJ11" s="1406" t="s">
        <v>626</v>
      </c>
      <c r="DK11" s="1406" t="s">
        <v>623</v>
      </c>
      <c r="DL11" s="1406" t="s">
        <v>624</v>
      </c>
      <c r="DM11" s="420"/>
      <c r="DN11" s="420"/>
      <c r="DO11" s="420"/>
      <c r="DP11" s="1247"/>
      <c r="DQ11" s="488"/>
      <c r="DR11" s="488"/>
    </row>
    <row r="12" spans="1:122" s="218" customFormat="1" ht="27" customHeight="1" x14ac:dyDescent="0.25">
      <c r="B12" s="2378"/>
      <c r="C12" s="2379"/>
      <c r="D12" s="219" t="s">
        <v>99</v>
      </c>
      <c r="E12" s="493" t="s">
        <v>33</v>
      </c>
      <c r="F12" s="477" t="s">
        <v>100</v>
      </c>
      <c r="G12" s="476" t="s">
        <v>33</v>
      </c>
      <c r="H12" s="477" t="s">
        <v>100</v>
      </c>
      <c r="I12" s="476" t="s">
        <v>33</v>
      </c>
      <c r="J12" s="477" t="s">
        <v>100</v>
      </c>
      <c r="K12" s="476" t="s">
        <v>33</v>
      </c>
      <c r="L12" s="477" t="s">
        <v>100</v>
      </c>
      <c r="M12" s="476" t="s">
        <v>33</v>
      </c>
      <c r="N12" s="477" t="s">
        <v>100</v>
      </c>
      <c r="O12" s="476" t="s">
        <v>33</v>
      </c>
      <c r="P12" s="477" t="s">
        <v>100</v>
      </c>
      <c r="Q12" s="476" t="s">
        <v>33</v>
      </c>
      <c r="R12" s="477" t="s">
        <v>100</v>
      </c>
      <c r="S12" s="476" t="s">
        <v>33</v>
      </c>
      <c r="T12" s="477" t="s">
        <v>100</v>
      </c>
      <c r="U12" s="476" t="s">
        <v>33</v>
      </c>
      <c r="V12" s="477" t="s">
        <v>100</v>
      </c>
      <c r="W12" s="476" t="s">
        <v>33</v>
      </c>
      <c r="X12" s="477" t="s">
        <v>100</v>
      </c>
      <c r="Y12" s="476" t="s">
        <v>33</v>
      </c>
      <c r="Z12" s="477" t="s">
        <v>100</v>
      </c>
      <c r="AA12" s="476" t="s">
        <v>33</v>
      </c>
      <c r="AB12" s="477" t="s">
        <v>100</v>
      </c>
      <c r="AC12" s="476" t="s">
        <v>33</v>
      </c>
      <c r="AD12" s="477" t="s">
        <v>100</v>
      </c>
      <c r="AE12" s="476" t="s">
        <v>33</v>
      </c>
      <c r="AF12" s="477" t="s">
        <v>100</v>
      </c>
      <c r="AG12" s="160" t="s">
        <v>145</v>
      </c>
      <c r="AH12" s="161" t="s">
        <v>100</v>
      </c>
      <c r="AI12" s="160" t="s">
        <v>145</v>
      </c>
      <c r="AJ12" s="161" t="s">
        <v>100</v>
      </c>
      <c r="AK12" s="160" t="s">
        <v>145</v>
      </c>
      <c r="AL12" s="161" t="s">
        <v>100</v>
      </c>
      <c r="AM12" s="154" t="s">
        <v>33</v>
      </c>
      <c r="AN12" s="220" t="s">
        <v>100</v>
      </c>
      <c r="AO12" s="2306"/>
      <c r="AP12" s="2394"/>
      <c r="AQ12" s="1501" t="s">
        <v>33</v>
      </c>
      <c r="AR12" s="1493" t="s">
        <v>100</v>
      </c>
      <c r="AS12" s="1501" t="s">
        <v>33</v>
      </c>
      <c r="AT12" s="1493" t="s">
        <v>100</v>
      </c>
      <c r="AU12" s="2309"/>
      <c r="AV12" s="2312"/>
      <c r="AW12" s="215"/>
      <c r="AX12" s="215"/>
      <c r="AY12" s="215"/>
      <c r="AZ12" s="215"/>
      <c r="BA12" s="215"/>
      <c r="BB12" s="215"/>
      <c r="CB12" s="474"/>
      <c r="CC12" s="1241"/>
      <c r="CD12" s="1241"/>
      <c r="CE12" s="1241"/>
      <c r="CF12" s="1241"/>
      <c r="CG12" s="2397"/>
      <c r="CH12" s="2397"/>
      <c r="CI12" s="1250" t="s">
        <v>33</v>
      </c>
      <c r="CJ12" s="1250" t="s">
        <v>100</v>
      </c>
      <c r="CK12" s="1250" t="s">
        <v>33</v>
      </c>
      <c r="CL12" s="1250" t="s">
        <v>100</v>
      </c>
      <c r="CM12" s="2397"/>
      <c r="CN12" s="1250" t="s">
        <v>625</v>
      </c>
      <c r="CO12" s="1250" t="s">
        <v>625</v>
      </c>
      <c r="CP12" s="1250" t="s">
        <v>625</v>
      </c>
      <c r="CQ12" s="1250" t="s">
        <v>625</v>
      </c>
      <c r="CR12" s="1250" t="s">
        <v>625</v>
      </c>
      <c r="CS12" s="399"/>
      <c r="CT12" s="399"/>
      <c r="CU12" s="399"/>
      <c r="CV12" s="474"/>
      <c r="CW12" s="474"/>
      <c r="CX12" s="474"/>
      <c r="CY12" s="1242"/>
      <c r="CZ12" s="1242"/>
      <c r="DA12" s="1408"/>
      <c r="DB12" s="1408"/>
      <c r="DC12" s="1253" t="s">
        <v>33</v>
      </c>
      <c r="DD12" s="1253" t="s">
        <v>100</v>
      </c>
      <c r="DE12" s="1253" t="s">
        <v>33</v>
      </c>
      <c r="DF12" s="1253" t="s">
        <v>100</v>
      </c>
      <c r="DG12" s="1408"/>
      <c r="DH12" s="1253" t="s">
        <v>625</v>
      </c>
      <c r="DI12" s="1253" t="s">
        <v>625</v>
      </c>
      <c r="DJ12" s="1253" t="s">
        <v>625</v>
      </c>
      <c r="DK12" s="1253" t="s">
        <v>625</v>
      </c>
      <c r="DL12" s="1253" t="s">
        <v>625</v>
      </c>
      <c r="DM12" s="420"/>
      <c r="DN12" s="420"/>
      <c r="DO12" s="420"/>
      <c r="DP12" s="1247"/>
      <c r="DQ12" s="1241"/>
      <c r="DR12" s="1241"/>
    </row>
    <row r="13" spans="1:122" s="218" customFormat="1" ht="22.5" customHeight="1" x14ac:dyDescent="0.25">
      <c r="A13" s="1773" t="s">
        <v>1223</v>
      </c>
      <c r="B13" s="2238" t="s">
        <v>517</v>
      </c>
      <c r="C13" s="2326"/>
      <c r="D13" s="999" t="s">
        <v>1384</v>
      </c>
      <c r="E13" s="999" t="s">
        <v>1385</v>
      </c>
      <c r="F13" s="1033" t="s">
        <v>1386</v>
      </c>
      <c r="G13" s="1051" t="s">
        <v>1387</v>
      </c>
      <c r="H13" s="1143" t="s">
        <v>1388</v>
      </c>
      <c r="I13" s="1051" t="s">
        <v>1389</v>
      </c>
      <c r="J13" s="1144" t="s">
        <v>1390</v>
      </c>
      <c r="K13" s="1053" t="s">
        <v>1391</v>
      </c>
      <c r="L13" s="1143" t="s">
        <v>1392</v>
      </c>
      <c r="M13" s="1051" t="s">
        <v>1393</v>
      </c>
      <c r="N13" s="1144" t="s">
        <v>1394</v>
      </c>
      <c r="O13" s="1051" t="s">
        <v>1395</v>
      </c>
      <c r="P13" s="1144" t="s">
        <v>1396</v>
      </c>
      <c r="Q13" s="1051" t="s">
        <v>1397</v>
      </c>
      <c r="R13" s="1144" t="s">
        <v>1398</v>
      </c>
      <c r="S13" s="1051" t="s">
        <v>1399</v>
      </c>
      <c r="T13" s="1144" t="s">
        <v>1400</v>
      </c>
      <c r="U13" s="1051" t="s">
        <v>1401</v>
      </c>
      <c r="V13" s="1144" t="s">
        <v>1402</v>
      </c>
      <c r="W13" s="1051" t="s">
        <v>1403</v>
      </c>
      <c r="X13" s="1144" t="s">
        <v>1404</v>
      </c>
      <c r="Y13" s="1053" t="s">
        <v>1405</v>
      </c>
      <c r="Z13" s="1143" t="s">
        <v>1406</v>
      </c>
      <c r="AA13" s="1051" t="s">
        <v>1407</v>
      </c>
      <c r="AB13" s="1144" t="s">
        <v>1408</v>
      </c>
      <c r="AC13" s="1051" t="s">
        <v>1409</v>
      </c>
      <c r="AD13" s="1144" t="s">
        <v>1410</v>
      </c>
      <c r="AE13" s="1051" t="s">
        <v>1411</v>
      </c>
      <c r="AF13" s="1144" t="s">
        <v>1412</v>
      </c>
      <c r="AG13" s="1051" t="s">
        <v>1413</v>
      </c>
      <c r="AH13" s="1144" t="s">
        <v>1414</v>
      </c>
      <c r="AI13" s="1051" t="s">
        <v>1415</v>
      </c>
      <c r="AJ13" s="1144" t="s">
        <v>1416</v>
      </c>
      <c r="AK13" s="1051" t="s">
        <v>1417</v>
      </c>
      <c r="AL13" s="1144" t="s">
        <v>1418</v>
      </c>
      <c r="AM13" s="1053" t="s">
        <v>1419</v>
      </c>
      <c r="AN13" s="1143" t="s">
        <v>1420</v>
      </c>
      <c r="AO13" s="1535" t="s">
        <v>1421</v>
      </c>
      <c r="AP13" s="1543" t="s">
        <v>1422</v>
      </c>
      <c r="AQ13" s="1507" t="s">
        <v>1423</v>
      </c>
      <c r="AR13" s="1144" t="s">
        <v>1424</v>
      </c>
      <c r="AS13" s="1507" t="s">
        <v>1425</v>
      </c>
      <c r="AT13" s="1144" t="s">
        <v>1426</v>
      </c>
      <c r="AU13" s="1508" t="s">
        <v>1427</v>
      </c>
      <c r="AV13" s="1052" t="s">
        <v>1428</v>
      </c>
      <c r="AW13" s="411" t="str">
        <f>$CG13 &amp; $CH13 &amp; $CI13 &amp; $CJ13 &amp; $CK13 &amp; CL13 &amp; CM13 &amp; CU13 &amp; CN13 &amp; CO13 &amp; CQ13 &amp; CR13 &amp; CS13 &amp; CV13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3" s="221"/>
      <c r="AY13" s="221"/>
      <c r="AZ13" s="221"/>
      <c r="BA13" s="221"/>
      <c r="BB13" s="215"/>
      <c r="CB13" s="474"/>
      <c r="CC13" s="474"/>
      <c r="CD13" s="474"/>
      <c r="CE13" s="474"/>
      <c r="CF13" s="474"/>
      <c r="CG13" s="465" t="str">
        <f>IF($AO13&gt;$F13,"* La celda 'Gestantes' debe ser menor o igual al Total de Mujeres en control. ","")</f>
        <v xml:space="preserve">* La celda 'Gestantes' debe ser menor o igual al Total de Mujeres en control. </v>
      </c>
      <c r="CH13" s="465" t="str">
        <f>IF($AP13&gt;$F13,"* La celda 'Madres de Hijos menor de 5 años' debe ser menor o igual al Total de Mujeres en control. ","")</f>
        <v xml:space="preserve">* La celda 'Madres de Hijos menor de 5 años' debe ser menor o igual al Total de Mujeres en control. </v>
      </c>
      <c r="CI13" s="465" t="str">
        <f>IF(($AQ13)&gt;$E13,"* La celda 'Pueblos Originarios / Hombres' debe ser menor o igual al Total de Hombres en control. ","")</f>
        <v xml:space="preserve">* La celda 'Pueblos Originarios / Hombres' debe ser menor o igual al Total de Hombres en control. </v>
      </c>
      <c r="CJ13" s="465" t="str">
        <f>IF($AR13&gt;$F13,"* La celda 'Pueblos Originarios / Mujeres' debe ser menor o igual al Total de Mujeres en control. ","")</f>
        <v xml:space="preserve">* La celda 'Pueblos Originarios / Mujeres' debe ser menor o igual al Total de Mujeres en control. </v>
      </c>
      <c r="CK13" s="465" t="str">
        <f>IF(($AS13)&gt;$E13,"* La celda 'Población Migrantes / Hombres' debe ser menor o igual al Total de Hombres en control. ","")</f>
        <v xml:space="preserve">* La celda 'Población Migrantes / Hombres' debe ser menor o igual al Total de Hombres en control. </v>
      </c>
      <c r="CL13" s="465" t="str">
        <f>IF($AT13&gt;$F13,"* La celda 'Población Migrantes / Mujeres' debe ser menor o igual al Total de Mujeres en control. ","")</f>
        <v xml:space="preserve">* La celda 'Población Migrantes / Mujeres' debe ser menor o igual al Total de Mujeres en control. </v>
      </c>
      <c r="CM13" s="465" t="str">
        <f>IF($AU13&gt;$D13,"*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N13" s="465" t="str">
        <f>IF(AND($D13&lt;&gt;0,$AO13=""),"* No olvide escribir en la celda de 'Gestantes' (Digite CERO si no tiene). ","")</f>
        <v/>
      </c>
      <c r="CO13" s="465" t="str">
        <f>IF(AND($D13&lt;&gt;0,$AP13=""),"* No olvide escribir en la celda de 'Madres de Hijos menor de 5 años' (Digite CERO si no tiene). ","")</f>
        <v/>
      </c>
      <c r="CP13" s="465" t="str">
        <f>IF(AND($D13&lt;&gt;0,$AU13=""),"* No olvide escribir en la celda de 'Niños, Niñas, Adolescentes y Jóvenes de Población SENAME' (Digite CERO si no tiene). ","")</f>
        <v/>
      </c>
      <c r="CQ13" s="465" t="str">
        <f>IF(AND($E13&lt;&gt;0,$AQ13=""),"* No olvide escribir en las celdas de 'Pueblos Originarios' (Digite CERO si no tiene). ",IF(AND($F13&lt;&gt;0,$AR13=""),"* No olvide escribir en las celdas de 'Pueblos Originarios' (Digite CERO si no tiene). ",""))</f>
        <v/>
      </c>
      <c r="CR13" s="465" t="str">
        <f>IF(AND($E13&lt;&gt;0,$AS13=""),"* No olvide escribir en las celdas de 'Población Migrantes' (Digite CERO si no tiene). ",IF(AND($F13&lt;&gt;0,$AT13=""),"* No olvide escribir en las celdas de 'Población Migrantes' (Digite CERO si no tiene). ",""))</f>
        <v/>
      </c>
      <c r="CS13" s="399"/>
      <c r="CT13" s="399"/>
      <c r="CU13" s="399"/>
      <c r="CV13" s="474"/>
      <c r="CW13" s="474"/>
      <c r="CX13" s="474"/>
      <c r="CY13" s="470"/>
      <c r="CZ13" s="470"/>
      <c r="DA13" s="486">
        <f>IF($AO13&gt;$F13,1,0)</f>
        <v>1</v>
      </c>
      <c r="DB13" s="486">
        <f>IF($AP13&gt;$F13,1,0)</f>
        <v>1</v>
      </c>
      <c r="DC13" s="486">
        <f>IF(($AQ13)&gt;$E13,1,0)</f>
        <v>1</v>
      </c>
      <c r="DD13" s="486">
        <f>IF($AR13&gt;$F13,1,0)</f>
        <v>1</v>
      </c>
      <c r="DE13" s="486">
        <f>IF(($AS13)&gt;$E13,1,0)</f>
        <v>1</v>
      </c>
      <c r="DF13" s="486">
        <f>IF($AT13&gt;$F13,1,0)</f>
        <v>1</v>
      </c>
      <c r="DG13" s="486">
        <f>IF($AU13&gt;$D13,1,0)</f>
        <v>1</v>
      </c>
      <c r="DH13" s="486">
        <f>IF(AND($D13&lt;&gt;0,$AO13=""),1,0)</f>
        <v>0</v>
      </c>
      <c r="DI13" s="486">
        <f>IF(AND($D13&lt;&gt;0,$AP13=""),1,0)</f>
        <v>0</v>
      </c>
      <c r="DJ13" s="486">
        <f>IF(AND($D13&lt;&gt;0,$AU13=""),1,0)</f>
        <v>0</v>
      </c>
      <c r="DK13" s="486">
        <f>IF(AND($E13&lt;&gt;0,$AQ13=""),1,IF(AND($F13&lt;&gt;0,$AR13=""),1,0))</f>
        <v>0</v>
      </c>
      <c r="DL13" s="486">
        <f>IF(AND($E13&lt;&gt;0,$AS13=""),1,IF(AND($F13&lt;&gt;0,$AT13=""),1,0))</f>
        <v>0</v>
      </c>
      <c r="DM13" s="420"/>
      <c r="DN13" s="420"/>
      <c r="DO13" s="420"/>
      <c r="DP13" s="1247"/>
      <c r="DQ13" s="474"/>
      <c r="DR13" s="474"/>
    </row>
    <row r="14" spans="1:122" s="173" customFormat="1" ht="15.75" customHeight="1" x14ac:dyDescent="0.25">
      <c r="A14" s="1802"/>
      <c r="B14" s="2238" t="s">
        <v>237</v>
      </c>
      <c r="C14" s="2317"/>
      <c r="D14" s="1419"/>
      <c r="E14" s="1423"/>
      <c r="F14" s="1420"/>
      <c r="G14" s="1419"/>
      <c r="H14" s="1420"/>
      <c r="I14" s="1419"/>
      <c r="J14" s="1420"/>
      <c r="K14" s="1419"/>
      <c r="L14" s="1420"/>
      <c r="M14" s="1419"/>
      <c r="N14" s="1420"/>
      <c r="O14" s="1419"/>
      <c r="P14" s="1420"/>
      <c r="Q14" s="1419"/>
      <c r="R14" s="1420"/>
      <c r="S14" s="1419"/>
      <c r="T14" s="1420"/>
      <c r="U14" s="1419"/>
      <c r="V14" s="1420"/>
      <c r="W14" s="1422"/>
      <c r="X14" s="1420"/>
      <c r="Y14" s="1419"/>
      <c r="Z14" s="1420"/>
      <c r="AA14" s="1419"/>
      <c r="AB14" s="1420"/>
      <c r="AC14" s="1419"/>
      <c r="AD14" s="1420"/>
      <c r="AE14" s="1419"/>
      <c r="AF14" s="1420"/>
      <c r="AG14" s="1419"/>
      <c r="AH14" s="1420"/>
      <c r="AI14" s="1419"/>
      <c r="AJ14" s="1420"/>
      <c r="AK14" s="1419"/>
      <c r="AL14" s="1420"/>
      <c r="AM14" s="1419"/>
      <c r="AN14" s="1421"/>
      <c r="AO14" s="1536"/>
      <c r="AP14" s="1424"/>
      <c r="AQ14" s="1422"/>
      <c r="AR14" s="1420"/>
      <c r="AS14" s="1422"/>
      <c r="AT14" s="1420"/>
      <c r="AU14" s="1533"/>
      <c r="AV14" s="1363"/>
      <c r="AW14" s="411"/>
      <c r="AX14" s="221"/>
      <c r="AY14" s="221"/>
      <c r="AZ14" s="221"/>
      <c r="BA14" s="221"/>
      <c r="BB14" s="215"/>
      <c r="CB14" s="474"/>
      <c r="CC14" s="474"/>
      <c r="CD14" s="474"/>
      <c r="CE14" s="474"/>
      <c r="CF14" s="474"/>
      <c r="CG14" s="474"/>
      <c r="CH14" s="474"/>
      <c r="CI14" s="474"/>
      <c r="CJ14" s="474"/>
      <c r="CK14" s="474"/>
      <c r="CL14" s="474"/>
      <c r="CM14" s="474"/>
      <c r="CN14" s="478"/>
      <c r="CO14" s="478"/>
      <c r="CP14" s="478"/>
      <c r="CQ14" s="474"/>
      <c r="CR14" s="474"/>
      <c r="CS14" s="664"/>
      <c r="CT14" s="664"/>
      <c r="CU14" s="664"/>
      <c r="CV14" s="474"/>
      <c r="CW14" s="474"/>
      <c r="CX14" s="474"/>
      <c r="CY14" s="470"/>
      <c r="CZ14" s="470"/>
      <c r="DA14" s="470"/>
      <c r="DB14" s="470"/>
      <c r="DC14" s="470"/>
      <c r="DD14" s="470"/>
      <c r="DE14" s="470"/>
      <c r="DF14" s="470"/>
      <c r="DG14" s="470"/>
      <c r="DH14" s="479"/>
      <c r="DI14" s="479"/>
      <c r="DJ14" s="479"/>
      <c r="DK14" s="470"/>
      <c r="DL14" s="470"/>
      <c r="DM14" s="665"/>
      <c r="DN14" s="665"/>
      <c r="DO14" s="665"/>
      <c r="DP14" s="1247"/>
      <c r="DQ14" s="478"/>
      <c r="DR14" s="478"/>
    </row>
    <row r="15" spans="1:122" s="173" customFormat="1" ht="19.5" customHeight="1" x14ac:dyDescent="0.25">
      <c r="A15" s="1773" t="s">
        <v>1224</v>
      </c>
      <c r="B15" s="2315" t="s">
        <v>442</v>
      </c>
      <c r="C15" s="222" t="s">
        <v>238</v>
      </c>
      <c r="D15" s="944" t="s">
        <v>1384</v>
      </c>
      <c r="E15" s="945" t="s">
        <v>1385</v>
      </c>
      <c r="F15" s="1146" t="s">
        <v>1386</v>
      </c>
      <c r="G15" s="953" t="s">
        <v>1387</v>
      </c>
      <c r="H15" s="954" t="s">
        <v>1388</v>
      </c>
      <c r="I15" s="953" t="s">
        <v>1389</v>
      </c>
      <c r="J15" s="954" t="s">
        <v>1390</v>
      </c>
      <c r="K15" s="953" t="s">
        <v>1391</v>
      </c>
      <c r="L15" s="954" t="s">
        <v>1392</v>
      </c>
      <c r="M15" s="953" t="s">
        <v>1393</v>
      </c>
      <c r="N15" s="954" t="s">
        <v>1394</v>
      </c>
      <c r="O15" s="953" t="s">
        <v>1395</v>
      </c>
      <c r="P15" s="954" t="s">
        <v>1396</v>
      </c>
      <c r="Q15" s="953" t="s">
        <v>1397</v>
      </c>
      <c r="R15" s="954" t="s">
        <v>1398</v>
      </c>
      <c r="S15" s="953" t="s">
        <v>1399</v>
      </c>
      <c r="T15" s="954" t="s">
        <v>1400</v>
      </c>
      <c r="U15" s="953" t="s">
        <v>1401</v>
      </c>
      <c r="V15" s="954" t="s">
        <v>1402</v>
      </c>
      <c r="W15" s="953" t="s">
        <v>1403</v>
      </c>
      <c r="X15" s="954" t="s">
        <v>1404</v>
      </c>
      <c r="Y15" s="953" t="s">
        <v>1405</v>
      </c>
      <c r="Z15" s="954" t="s">
        <v>1406</v>
      </c>
      <c r="AA15" s="953" t="s">
        <v>1407</v>
      </c>
      <c r="AB15" s="954" t="s">
        <v>1408</v>
      </c>
      <c r="AC15" s="953" t="s">
        <v>1409</v>
      </c>
      <c r="AD15" s="954" t="s">
        <v>1410</v>
      </c>
      <c r="AE15" s="953" t="s">
        <v>1411</v>
      </c>
      <c r="AF15" s="954" t="s">
        <v>1412</v>
      </c>
      <c r="AG15" s="953" t="s">
        <v>1413</v>
      </c>
      <c r="AH15" s="954" t="s">
        <v>1414</v>
      </c>
      <c r="AI15" s="953" t="s">
        <v>1415</v>
      </c>
      <c r="AJ15" s="954" t="s">
        <v>1416</v>
      </c>
      <c r="AK15" s="953" t="s">
        <v>1417</v>
      </c>
      <c r="AL15" s="954" t="s">
        <v>1418</v>
      </c>
      <c r="AM15" s="953" t="s">
        <v>1419</v>
      </c>
      <c r="AN15" s="965" t="s">
        <v>1420</v>
      </c>
      <c r="AO15" s="1537" t="s">
        <v>1421</v>
      </c>
      <c r="AP15" s="1519" t="s">
        <v>1422</v>
      </c>
      <c r="AQ15" s="1037" t="s">
        <v>1423</v>
      </c>
      <c r="AR15" s="954" t="s">
        <v>1424</v>
      </c>
      <c r="AS15" s="1037" t="s">
        <v>1425</v>
      </c>
      <c r="AT15" s="954" t="s">
        <v>1426</v>
      </c>
      <c r="AU15" s="1036" t="s">
        <v>1427</v>
      </c>
      <c r="AV15" s="1036" t="s">
        <v>1428</v>
      </c>
      <c r="AW15" s="411" t="str">
        <f t="shared" ref="AW15:AW53" si="0">$CG15 &amp; $CH15 &amp; $CI15 &amp; $CJ15 &amp; $CK15 &amp; CL15 &amp; CM15 &amp; CU15 &amp; CN15 &amp; CO15 &amp; CQ15 &amp; CR15 &amp; CS15 &amp; CV15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5" s="221"/>
      <c r="AY15" s="221"/>
      <c r="AZ15" s="221"/>
      <c r="BA15" s="221"/>
      <c r="BB15" s="215"/>
      <c r="CB15" s="474"/>
      <c r="CC15" s="474"/>
      <c r="CD15" s="474"/>
      <c r="CE15" s="474"/>
      <c r="CF15" s="474"/>
      <c r="CG15" s="465" t="str">
        <f t="shared" ref="CG15:CG23" si="1">IF($AO15&gt;$F15,"* La celda 'Gestantes' debe ser menor o igual al Total de Mujeres en control. ","")</f>
        <v xml:space="preserve">* La celda 'Gestantes' debe ser menor o igual al Total de Mujeres en control. </v>
      </c>
      <c r="CH15" s="465" t="str">
        <f t="shared" ref="CH15:CH24" si="2">IF($AP15&gt;$F15,"* La celda 'Madres de Hijos menor de 5 años' debe ser menor o igual al Total de Mujeres en control. ","")</f>
        <v xml:space="preserve">* La celda 'Madres de Hijos menor de 5 años' debe ser menor o igual al Total de Mujeres en control. </v>
      </c>
      <c r="CI15" s="465" t="str">
        <f t="shared" ref="CI15:CI23" si="3">IF(($AQ15)&gt;$E15,"* La celda 'Pueblos Originarios / Hombres' debe ser menor o igual al Total de Hombres en control. ","")</f>
        <v xml:space="preserve">* La celda 'Pueblos Originarios / Hombres' debe ser menor o igual al Total de Hombres en control. </v>
      </c>
      <c r="CJ15" s="465" t="str">
        <f t="shared" ref="CJ15:CJ24" si="4">IF($AR15&gt;$F15,"* La celda 'Pueblos Originarios / Mujeres' debe ser menor o igual al Total de Mujeres en control. ","")</f>
        <v xml:space="preserve">* La celda 'Pueblos Originarios / Mujeres' debe ser menor o igual al Total de Mujeres en control. </v>
      </c>
      <c r="CK15" s="465" t="str">
        <f t="shared" ref="CK15:CK23" si="5">IF(($AS15)&gt;$E15,"* La celda 'Población Migrantes / Hombres' debe ser menor o igual al Total de Hombres en control. ","")</f>
        <v xml:space="preserve">* La celda 'Población Migrantes / Hombres' debe ser menor o igual al Total de Hombres en control. </v>
      </c>
      <c r="CL15" s="465" t="str">
        <f t="shared" ref="CL15:CL24" si="6">IF($AT15&gt;$F15,"* La celda 'Población Migrantes / Mujeres' debe ser menor o igual al Total de Mujeres en control. ","")</f>
        <v xml:space="preserve">* La celda 'Población Migrantes / Mujeres' debe ser menor o igual al Total de Mujeres en control. </v>
      </c>
      <c r="CM15" s="465" t="str">
        <f t="shared" ref="CM15:CM24" si="7">IF($AU15&gt;$D15,"*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N15" s="465" t="str">
        <f t="shared" ref="CN15:CN23" si="8">IF(AND($D15&lt;&gt;0,$AO15=""),"* No olvide escribir en la celda de 'Gestantes' (Digite CERO si no tiene). ","")</f>
        <v/>
      </c>
      <c r="CO15" s="465" t="str">
        <f t="shared" ref="CO15:CO23" si="9">IF(AND($D15&lt;&gt;0,$AP15=""),"* No olvide escribir en la celda de 'Madres de Hijos menor de 5 años' (Digite CERO si no tiene). ","")</f>
        <v/>
      </c>
      <c r="CP15" s="465" t="str">
        <f t="shared" ref="CP15:CP23" si="10">IF(AND($D15&lt;&gt;0,$AU15=""),"* No olvide escribir en la celda de 'Niños, Niñas, Adolescentes y Jóvenes de Población SENAME' (Digite CERO si no tiene). ","")</f>
        <v/>
      </c>
      <c r="CQ15" s="465" t="str">
        <f t="shared" ref="CQ15:CQ23" si="11">IF(AND($E15&lt;&gt;0,$AQ15=""),"* No olvide escribir en las celdas de 'Pueblos Originarios' (Digite CERO si no tiene). ",IF(AND($F15&lt;&gt;0,$AR15=""),"* No olvide escribir en las celdas de 'Pueblos Originarios' (Digite CERO si no tiene). ",""))</f>
        <v/>
      </c>
      <c r="CR15" s="465" t="str">
        <f t="shared" ref="CR15:CR23" si="12">IF(AND($E15&lt;&gt;0,$AS15=""),"* No olvide escribir en las celdas de 'Población Migrantes' (Digite CERO si no tiene). ",IF(AND($F15&lt;&gt;0,$AT15=""),"* No olvide escribir en las celdas de 'Población Migrantes' (Digite CERO si no tiene). ",""))</f>
        <v/>
      </c>
      <c r="CS15" s="664"/>
      <c r="CT15" s="664"/>
      <c r="CU15" s="664"/>
      <c r="CV15" s="474"/>
      <c r="CW15" s="474"/>
      <c r="CX15" s="474"/>
      <c r="CY15" s="470"/>
      <c r="CZ15" s="470"/>
      <c r="DA15" s="486">
        <f t="shared" ref="DA15:DA23" si="13">IF($AO15&gt;$F15,1,0)</f>
        <v>1</v>
      </c>
      <c r="DB15" s="486">
        <f t="shared" ref="DB15:DB28" si="14">IF($AP15&gt;$F15,1,0)</f>
        <v>1</v>
      </c>
      <c r="DC15" s="486">
        <f t="shared" ref="DC15:DC23" si="15">IF(($AQ15)&gt;$E15,1,0)</f>
        <v>1</v>
      </c>
      <c r="DD15" s="486">
        <f t="shared" ref="DD15:DD53" si="16">IF($AR15&gt;$F15,1,0)</f>
        <v>1</v>
      </c>
      <c r="DE15" s="486">
        <f t="shared" ref="DE15:DE23" si="17">IF(($AS15)&gt;$E15,1,0)</f>
        <v>1</v>
      </c>
      <c r="DF15" s="486">
        <f t="shared" ref="DF15:DF53" si="18">IF($AT15&gt;$F15,1,0)</f>
        <v>1</v>
      </c>
      <c r="DG15" s="486">
        <f t="shared" ref="DG15:DG53" si="19">IF($AU15&gt;$D15,1,0)</f>
        <v>1</v>
      </c>
      <c r="DH15" s="486">
        <f t="shared" ref="DH15:DH23" si="20">IF(AND($D15&lt;&gt;0,$AO15=""),1,0)</f>
        <v>0</v>
      </c>
      <c r="DI15" s="486">
        <f t="shared" ref="DI15:DI28" si="21">IF(AND($D15&lt;&gt;0,$AP15=""),1,0)</f>
        <v>0</v>
      </c>
      <c r="DJ15" s="486">
        <f t="shared" ref="DJ15:DJ53" si="22">IF(AND($D15&lt;&gt;0,$AU15=""),1,0)</f>
        <v>0</v>
      </c>
      <c r="DK15" s="486">
        <f t="shared" ref="DK15:DK23" si="23">IF(AND($E15&lt;&gt;0,$AQ15=""),1,IF(AND($F15&lt;&gt;0,$AR15=""),1,0))</f>
        <v>0</v>
      </c>
      <c r="DL15" s="486">
        <f t="shared" ref="DL15:DL23" si="24">IF(AND($E15&lt;&gt;0,$AS15=""),1,IF(AND($F15&lt;&gt;0,$AT15=""),1,0))</f>
        <v>0</v>
      </c>
      <c r="DM15" s="665"/>
      <c r="DN15" s="665"/>
      <c r="DO15" s="665"/>
      <c r="DP15" s="1247"/>
      <c r="DQ15" s="478"/>
      <c r="DR15" s="478"/>
    </row>
    <row r="16" spans="1:122" s="173" customFormat="1" ht="19.5" customHeight="1" x14ac:dyDescent="0.25">
      <c r="A16" s="1773" t="s">
        <v>1225</v>
      </c>
      <c r="B16" s="2316"/>
      <c r="C16" s="223" t="s">
        <v>441</v>
      </c>
      <c r="D16" s="941" t="s">
        <v>1384</v>
      </c>
      <c r="E16" s="950" t="s">
        <v>1385</v>
      </c>
      <c r="F16" s="1147" t="s">
        <v>1386</v>
      </c>
      <c r="G16" s="962" t="s">
        <v>1387</v>
      </c>
      <c r="H16" s="963" t="s">
        <v>1388</v>
      </c>
      <c r="I16" s="962" t="s">
        <v>1389</v>
      </c>
      <c r="J16" s="963" t="s">
        <v>1390</v>
      </c>
      <c r="K16" s="962" t="s">
        <v>1391</v>
      </c>
      <c r="L16" s="963" t="s">
        <v>1392</v>
      </c>
      <c r="M16" s="962" t="s">
        <v>1393</v>
      </c>
      <c r="N16" s="963" t="s">
        <v>1394</v>
      </c>
      <c r="O16" s="962" t="s">
        <v>1395</v>
      </c>
      <c r="P16" s="963" t="s">
        <v>1396</v>
      </c>
      <c r="Q16" s="962" t="s">
        <v>1397</v>
      </c>
      <c r="R16" s="963" t="s">
        <v>1398</v>
      </c>
      <c r="S16" s="962" t="s">
        <v>1399</v>
      </c>
      <c r="T16" s="963" t="s">
        <v>1400</v>
      </c>
      <c r="U16" s="962" t="s">
        <v>1401</v>
      </c>
      <c r="V16" s="963" t="s">
        <v>1402</v>
      </c>
      <c r="W16" s="962" t="s">
        <v>1403</v>
      </c>
      <c r="X16" s="963" t="s">
        <v>1404</v>
      </c>
      <c r="Y16" s="962" t="s">
        <v>1405</v>
      </c>
      <c r="Z16" s="963" t="s">
        <v>1406</v>
      </c>
      <c r="AA16" s="962" t="s">
        <v>1407</v>
      </c>
      <c r="AB16" s="963" t="s">
        <v>1408</v>
      </c>
      <c r="AC16" s="962" t="s">
        <v>1409</v>
      </c>
      <c r="AD16" s="963" t="s">
        <v>1410</v>
      </c>
      <c r="AE16" s="962" t="s">
        <v>1411</v>
      </c>
      <c r="AF16" s="963" t="s">
        <v>1412</v>
      </c>
      <c r="AG16" s="962" t="s">
        <v>1413</v>
      </c>
      <c r="AH16" s="963" t="s">
        <v>1414</v>
      </c>
      <c r="AI16" s="962" t="s">
        <v>1415</v>
      </c>
      <c r="AJ16" s="963" t="s">
        <v>1416</v>
      </c>
      <c r="AK16" s="962" t="s">
        <v>1417</v>
      </c>
      <c r="AL16" s="963" t="s">
        <v>1418</v>
      </c>
      <c r="AM16" s="962" t="s">
        <v>1419</v>
      </c>
      <c r="AN16" s="993" t="s">
        <v>1420</v>
      </c>
      <c r="AO16" s="1538" t="s">
        <v>1421</v>
      </c>
      <c r="AP16" s="1522" t="s">
        <v>1422</v>
      </c>
      <c r="AQ16" s="1041" t="s">
        <v>1423</v>
      </c>
      <c r="AR16" s="963" t="s">
        <v>1424</v>
      </c>
      <c r="AS16" s="1041" t="s">
        <v>1425</v>
      </c>
      <c r="AT16" s="963" t="s">
        <v>1426</v>
      </c>
      <c r="AU16" s="1011" t="s">
        <v>1427</v>
      </c>
      <c r="AV16" s="1011" t="s">
        <v>1428</v>
      </c>
      <c r="AW16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6" s="221"/>
      <c r="AY16" s="221"/>
      <c r="AZ16" s="221"/>
      <c r="BA16" s="221"/>
      <c r="BB16" s="215"/>
      <c r="CB16" s="474"/>
      <c r="CC16" s="474"/>
      <c r="CD16" s="474"/>
      <c r="CE16" s="474"/>
      <c r="CF16" s="474"/>
      <c r="CG16" s="465" t="str">
        <f t="shared" si="1"/>
        <v xml:space="preserve">* La celda 'Gestantes' debe ser menor o igual al Total de Mujeres en control. </v>
      </c>
      <c r="CH16" s="465" t="str">
        <f t="shared" si="2"/>
        <v xml:space="preserve">* La celda 'Madres de Hijos menor de 5 años' debe ser menor o igual al Total de Mujeres en control. </v>
      </c>
      <c r="CI16" s="465" t="str">
        <f t="shared" si="3"/>
        <v xml:space="preserve">* La celda 'Pueblos Originarios / Hombres' debe ser menor o igual al Total de Hombres en control. </v>
      </c>
      <c r="CJ16" s="465" t="str">
        <f t="shared" si="4"/>
        <v xml:space="preserve">* La celda 'Pueblos Originarios / Mujeres' debe ser menor o igual al Total de Mujeres en control. </v>
      </c>
      <c r="CK16" s="465" t="str">
        <f t="shared" si="5"/>
        <v xml:space="preserve">* La celda 'Población Migrantes / Hombres' debe ser menor o igual al Total de Hombres en control. </v>
      </c>
      <c r="CL16" s="465" t="str">
        <f t="shared" si="6"/>
        <v xml:space="preserve">* La celda 'Población Migrantes / Mujeres' debe ser menor o igual al Total de Mujeres en control. </v>
      </c>
      <c r="CM16" s="465" t="str">
        <f t="shared" si="7"/>
        <v xml:space="preserve">* La celda 'Niños, Niñas, Adolescentes y Jóvenes de Población SENAME' debe ser menor o igual al Total de Ambos Sexos. </v>
      </c>
      <c r="CN16" s="465" t="str">
        <f t="shared" si="8"/>
        <v/>
      </c>
      <c r="CO16" s="465" t="str">
        <f t="shared" si="9"/>
        <v/>
      </c>
      <c r="CP16" s="465" t="str">
        <f t="shared" si="10"/>
        <v/>
      </c>
      <c r="CQ16" s="465" t="str">
        <f t="shared" si="11"/>
        <v/>
      </c>
      <c r="CR16" s="465" t="str">
        <f t="shared" si="12"/>
        <v/>
      </c>
      <c r="CS16" s="664"/>
      <c r="CT16" s="664"/>
      <c r="CU16" s="664"/>
      <c r="CV16" s="474"/>
      <c r="CW16" s="474"/>
      <c r="CX16" s="474"/>
      <c r="CY16" s="470"/>
      <c r="CZ16" s="470"/>
      <c r="DA16" s="486">
        <f t="shared" si="13"/>
        <v>1</v>
      </c>
      <c r="DB16" s="486">
        <f t="shared" si="14"/>
        <v>1</v>
      </c>
      <c r="DC16" s="486">
        <f t="shared" si="15"/>
        <v>1</v>
      </c>
      <c r="DD16" s="486">
        <f t="shared" si="16"/>
        <v>1</v>
      </c>
      <c r="DE16" s="486">
        <f t="shared" si="17"/>
        <v>1</v>
      </c>
      <c r="DF16" s="486">
        <f t="shared" si="18"/>
        <v>1</v>
      </c>
      <c r="DG16" s="486">
        <f t="shared" si="19"/>
        <v>1</v>
      </c>
      <c r="DH16" s="486">
        <f t="shared" si="20"/>
        <v>0</v>
      </c>
      <c r="DI16" s="486">
        <f t="shared" si="21"/>
        <v>0</v>
      </c>
      <c r="DJ16" s="486">
        <f t="shared" si="22"/>
        <v>0</v>
      </c>
      <c r="DK16" s="486">
        <f t="shared" si="23"/>
        <v>0</v>
      </c>
      <c r="DL16" s="486">
        <f t="shared" si="24"/>
        <v>0</v>
      </c>
      <c r="DM16" s="665"/>
      <c r="DN16" s="665"/>
      <c r="DO16" s="665"/>
      <c r="DP16" s="1247"/>
      <c r="DQ16" s="478"/>
      <c r="DR16" s="478"/>
    </row>
    <row r="17" spans="1:122" s="173" customFormat="1" ht="19.5" customHeight="1" x14ac:dyDescent="0.25">
      <c r="A17" s="1773" t="s">
        <v>1226</v>
      </c>
      <c r="B17" s="2313" t="s">
        <v>239</v>
      </c>
      <c r="C17" s="2314"/>
      <c r="D17" s="967" t="s">
        <v>1384</v>
      </c>
      <c r="E17" s="1157" t="s">
        <v>1385</v>
      </c>
      <c r="F17" s="1158" t="s">
        <v>1386</v>
      </c>
      <c r="G17" s="973" t="s">
        <v>1387</v>
      </c>
      <c r="H17" s="974" t="s">
        <v>1388</v>
      </c>
      <c r="I17" s="973" t="s">
        <v>1389</v>
      </c>
      <c r="J17" s="974" t="s">
        <v>1390</v>
      </c>
      <c r="K17" s="973" t="s">
        <v>1391</v>
      </c>
      <c r="L17" s="974" t="s">
        <v>1392</v>
      </c>
      <c r="M17" s="973" t="s">
        <v>1393</v>
      </c>
      <c r="N17" s="974" t="s">
        <v>1394</v>
      </c>
      <c r="O17" s="973" t="s">
        <v>1395</v>
      </c>
      <c r="P17" s="974" t="s">
        <v>1396</v>
      </c>
      <c r="Q17" s="973" t="s">
        <v>1397</v>
      </c>
      <c r="R17" s="974" t="s">
        <v>1398</v>
      </c>
      <c r="S17" s="973" t="s">
        <v>1399</v>
      </c>
      <c r="T17" s="974" t="s">
        <v>1400</v>
      </c>
      <c r="U17" s="973" t="s">
        <v>1401</v>
      </c>
      <c r="V17" s="974" t="s">
        <v>1402</v>
      </c>
      <c r="W17" s="973" t="s">
        <v>1403</v>
      </c>
      <c r="X17" s="974" t="s">
        <v>1404</v>
      </c>
      <c r="Y17" s="973" t="s">
        <v>1405</v>
      </c>
      <c r="Z17" s="974" t="s">
        <v>1406</v>
      </c>
      <c r="AA17" s="973" t="s">
        <v>1407</v>
      </c>
      <c r="AB17" s="974" t="s">
        <v>1408</v>
      </c>
      <c r="AC17" s="973" t="s">
        <v>1409</v>
      </c>
      <c r="AD17" s="974" t="s">
        <v>1410</v>
      </c>
      <c r="AE17" s="973" t="s">
        <v>1411</v>
      </c>
      <c r="AF17" s="974" t="s">
        <v>1412</v>
      </c>
      <c r="AG17" s="973" t="s">
        <v>1413</v>
      </c>
      <c r="AH17" s="974" t="s">
        <v>1414</v>
      </c>
      <c r="AI17" s="973" t="s">
        <v>1415</v>
      </c>
      <c r="AJ17" s="974" t="s">
        <v>1416</v>
      </c>
      <c r="AK17" s="973" t="s">
        <v>1417</v>
      </c>
      <c r="AL17" s="974" t="s">
        <v>1418</v>
      </c>
      <c r="AM17" s="973" t="s">
        <v>1419</v>
      </c>
      <c r="AN17" s="975" t="s">
        <v>1420</v>
      </c>
      <c r="AO17" s="1539" t="s">
        <v>1421</v>
      </c>
      <c r="AP17" s="1544" t="s">
        <v>1422</v>
      </c>
      <c r="AQ17" s="1040" t="s">
        <v>1423</v>
      </c>
      <c r="AR17" s="974" t="s">
        <v>1424</v>
      </c>
      <c r="AS17" s="1040" t="s">
        <v>1425</v>
      </c>
      <c r="AT17" s="974" t="s">
        <v>1426</v>
      </c>
      <c r="AU17" s="1159" t="s">
        <v>1427</v>
      </c>
      <c r="AV17" s="1159" t="s">
        <v>1428</v>
      </c>
      <c r="AW17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7" s="221"/>
      <c r="AY17" s="221"/>
      <c r="AZ17" s="221"/>
      <c r="BA17" s="221"/>
      <c r="BB17" s="215"/>
      <c r="CB17" s="474"/>
      <c r="CC17" s="474"/>
      <c r="CD17" s="474"/>
      <c r="CE17" s="474"/>
      <c r="CF17" s="474"/>
      <c r="CG17" s="465" t="str">
        <f t="shared" si="1"/>
        <v xml:space="preserve">* La celda 'Gestantes' debe ser menor o igual al Total de Mujeres en control. </v>
      </c>
      <c r="CH17" s="465" t="str">
        <f t="shared" si="2"/>
        <v xml:space="preserve">* La celda 'Madres de Hijos menor de 5 años' debe ser menor o igual al Total de Mujeres en control. </v>
      </c>
      <c r="CI17" s="465" t="str">
        <f t="shared" si="3"/>
        <v xml:space="preserve">* La celda 'Pueblos Originarios / Hombres' debe ser menor o igual al Total de Hombres en control. </v>
      </c>
      <c r="CJ17" s="465" t="str">
        <f t="shared" si="4"/>
        <v xml:space="preserve">* La celda 'Pueblos Originarios / Mujeres' debe ser menor o igual al Total de Mujeres en control. </v>
      </c>
      <c r="CK17" s="465" t="str">
        <f t="shared" si="5"/>
        <v xml:space="preserve">* La celda 'Población Migrantes / Hombres' debe ser menor o igual al Total de Hombres en control. </v>
      </c>
      <c r="CL17" s="465" t="str">
        <f t="shared" si="6"/>
        <v xml:space="preserve">* La celda 'Población Migrantes / Mujeres' debe ser menor o igual al Total de Mujeres en control. </v>
      </c>
      <c r="CM17" s="465" t="str">
        <f t="shared" si="7"/>
        <v xml:space="preserve">* La celda 'Niños, Niñas, Adolescentes y Jóvenes de Población SENAME' debe ser menor o igual al Total de Ambos Sexos. </v>
      </c>
      <c r="CN17" s="465" t="str">
        <f t="shared" si="8"/>
        <v/>
      </c>
      <c r="CO17" s="465" t="str">
        <f t="shared" si="9"/>
        <v/>
      </c>
      <c r="CP17" s="465" t="str">
        <f t="shared" si="10"/>
        <v/>
      </c>
      <c r="CQ17" s="465" t="str">
        <f t="shared" si="11"/>
        <v/>
      </c>
      <c r="CR17" s="465" t="str">
        <f t="shared" si="12"/>
        <v/>
      </c>
      <c r="CS17" s="664"/>
      <c r="CT17" s="664"/>
      <c r="CU17" s="664"/>
      <c r="CV17" s="474"/>
      <c r="CW17" s="474"/>
      <c r="CX17" s="474"/>
      <c r="CY17" s="470"/>
      <c r="CZ17" s="470"/>
      <c r="DA17" s="486">
        <f t="shared" si="13"/>
        <v>1</v>
      </c>
      <c r="DB17" s="486">
        <f t="shared" si="14"/>
        <v>1</v>
      </c>
      <c r="DC17" s="486">
        <f t="shared" si="15"/>
        <v>1</v>
      </c>
      <c r="DD17" s="486">
        <f t="shared" si="16"/>
        <v>1</v>
      </c>
      <c r="DE17" s="486">
        <f t="shared" si="17"/>
        <v>1</v>
      </c>
      <c r="DF17" s="486">
        <f t="shared" si="18"/>
        <v>1</v>
      </c>
      <c r="DG17" s="486">
        <f t="shared" si="19"/>
        <v>1</v>
      </c>
      <c r="DH17" s="486">
        <f t="shared" si="20"/>
        <v>0</v>
      </c>
      <c r="DI17" s="486">
        <f t="shared" si="21"/>
        <v>0</v>
      </c>
      <c r="DJ17" s="486">
        <f t="shared" si="22"/>
        <v>0</v>
      </c>
      <c r="DK17" s="486">
        <f t="shared" si="23"/>
        <v>0</v>
      </c>
      <c r="DL17" s="486">
        <f t="shared" si="24"/>
        <v>0</v>
      </c>
      <c r="DM17" s="665"/>
      <c r="DN17" s="665"/>
      <c r="DO17" s="665"/>
      <c r="DP17" s="1247"/>
      <c r="DQ17" s="478"/>
      <c r="DR17" s="478"/>
    </row>
    <row r="18" spans="1:122" s="173" customFormat="1" ht="19.5" customHeight="1" x14ac:dyDescent="0.25">
      <c r="A18" s="1773" t="s">
        <v>1227</v>
      </c>
      <c r="B18" s="2327" t="s">
        <v>633</v>
      </c>
      <c r="C18" s="1353" t="s">
        <v>634</v>
      </c>
      <c r="D18" s="937" t="s">
        <v>1384</v>
      </c>
      <c r="E18" s="937" t="s">
        <v>1385</v>
      </c>
      <c r="F18" s="1155" t="s">
        <v>1386</v>
      </c>
      <c r="G18" s="953" t="s">
        <v>1387</v>
      </c>
      <c r="H18" s="954" t="s">
        <v>1388</v>
      </c>
      <c r="I18" s="953" t="s">
        <v>1389</v>
      </c>
      <c r="J18" s="954" t="s">
        <v>1390</v>
      </c>
      <c r="K18" s="953" t="s">
        <v>1391</v>
      </c>
      <c r="L18" s="954" t="s">
        <v>1392</v>
      </c>
      <c r="M18" s="953" t="s">
        <v>1393</v>
      </c>
      <c r="N18" s="954" t="s">
        <v>1394</v>
      </c>
      <c r="O18" s="953" t="s">
        <v>1395</v>
      </c>
      <c r="P18" s="954" t="s">
        <v>1396</v>
      </c>
      <c r="Q18" s="953" t="s">
        <v>1397</v>
      </c>
      <c r="R18" s="954" t="s">
        <v>1398</v>
      </c>
      <c r="S18" s="953" t="s">
        <v>1399</v>
      </c>
      <c r="T18" s="954" t="s">
        <v>1400</v>
      </c>
      <c r="U18" s="953" t="s">
        <v>1401</v>
      </c>
      <c r="V18" s="954" t="s">
        <v>1402</v>
      </c>
      <c r="W18" s="953" t="s">
        <v>1403</v>
      </c>
      <c r="X18" s="954" t="s">
        <v>1404</v>
      </c>
      <c r="Y18" s="953" t="s">
        <v>1405</v>
      </c>
      <c r="Z18" s="954" t="s">
        <v>1406</v>
      </c>
      <c r="AA18" s="953" t="s">
        <v>1407</v>
      </c>
      <c r="AB18" s="954" t="s">
        <v>1408</v>
      </c>
      <c r="AC18" s="953" t="s">
        <v>1409</v>
      </c>
      <c r="AD18" s="954" t="s">
        <v>1410</v>
      </c>
      <c r="AE18" s="953" t="s">
        <v>1411</v>
      </c>
      <c r="AF18" s="954" t="s">
        <v>1412</v>
      </c>
      <c r="AG18" s="953" t="s">
        <v>1413</v>
      </c>
      <c r="AH18" s="954" t="s">
        <v>1414</v>
      </c>
      <c r="AI18" s="953" t="s">
        <v>1415</v>
      </c>
      <c r="AJ18" s="954" t="s">
        <v>1416</v>
      </c>
      <c r="AK18" s="953" t="s">
        <v>1417</v>
      </c>
      <c r="AL18" s="954" t="s">
        <v>1418</v>
      </c>
      <c r="AM18" s="953" t="s">
        <v>1419</v>
      </c>
      <c r="AN18" s="965" t="s">
        <v>1420</v>
      </c>
      <c r="AO18" s="1537" t="s">
        <v>1421</v>
      </c>
      <c r="AP18" s="1519" t="s">
        <v>1422</v>
      </c>
      <c r="AQ18" s="1037" t="s">
        <v>1423</v>
      </c>
      <c r="AR18" s="954" t="s">
        <v>1424</v>
      </c>
      <c r="AS18" s="1037" t="s">
        <v>1425</v>
      </c>
      <c r="AT18" s="954" t="s">
        <v>1426</v>
      </c>
      <c r="AU18" s="1036" t="s">
        <v>1427</v>
      </c>
      <c r="AV18" s="1036" t="s">
        <v>1428</v>
      </c>
      <c r="AW18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8" s="221"/>
      <c r="AY18" s="221"/>
      <c r="AZ18" s="221"/>
      <c r="BA18" s="221"/>
      <c r="BB18" s="215"/>
      <c r="CB18" s="474"/>
      <c r="CC18" s="474"/>
      <c r="CD18" s="474"/>
      <c r="CE18" s="474"/>
      <c r="CF18" s="474"/>
      <c r="CG18" s="465" t="str">
        <f t="shared" si="1"/>
        <v xml:space="preserve">* La celda 'Gestantes' debe ser menor o igual al Total de Mujeres en control. </v>
      </c>
      <c r="CH18" s="465" t="str">
        <f t="shared" si="2"/>
        <v xml:space="preserve">* La celda 'Madres de Hijos menor de 5 años' debe ser menor o igual al Total de Mujeres en control. </v>
      </c>
      <c r="CI18" s="465" t="str">
        <f t="shared" si="3"/>
        <v xml:space="preserve">* La celda 'Pueblos Originarios / Hombres' debe ser menor o igual al Total de Hombres en control. </v>
      </c>
      <c r="CJ18" s="465" t="str">
        <f t="shared" si="4"/>
        <v xml:space="preserve">* La celda 'Pueblos Originarios / Mujeres' debe ser menor o igual al Total de Mujeres en control. </v>
      </c>
      <c r="CK18" s="465" t="str">
        <f t="shared" si="5"/>
        <v xml:space="preserve">* La celda 'Población Migrantes / Hombres' debe ser menor o igual al Total de Hombres en control. </v>
      </c>
      <c r="CL18" s="465" t="str">
        <f t="shared" si="6"/>
        <v xml:space="preserve">* La celda 'Población Migrantes / Mujeres' debe ser menor o igual al Total de Mujeres en control. </v>
      </c>
      <c r="CM18" s="465" t="str">
        <f t="shared" si="7"/>
        <v xml:space="preserve">* La celda 'Niños, Niñas, Adolescentes y Jóvenes de Población SENAME' debe ser menor o igual al Total de Ambos Sexos. </v>
      </c>
      <c r="CN18" s="465" t="str">
        <f t="shared" si="8"/>
        <v/>
      </c>
      <c r="CO18" s="465" t="str">
        <f t="shared" si="9"/>
        <v/>
      </c>
      <c r="CP18" s="465" t="str">
        <f t="shared" si="10"/>
        <v/>
      </c>
      <c r="CQ18" s="465" t="str">
        <f t="shared" si="11"/>
        <v/>
      </c>
      <c r="CR18" s="465" t="str">
        <f t="shared" si="12"/>
        <v/>
      </c>
      <c r="CS18" s="664"/>
      <c r="CT18" s="664"/>
      <c r="CU18" s="664"/>
      <c r="CV18" s="474"/>
      <c r="CW18" s="474"/>
      <c r="CX18" s="474"/>
      <c r="CY18" s="470"/>
      <c r="CZ18" s="470"/>
      <c r="DA18" s="486">
        <f t="shared" si="13"/>
        <v>1</v>
      </c>
      <c r="DB18" s="486">
        <f t="shared" si="14"/>
        <v>1</v>
      </c>
      <c r="DC18" s="486">
        <f t="shared" si="15"/>
        <v>1</v>
      </c>
      <c r="DD18" s="486">
        <f t="shared" si="16"/>
        <v>1</v>
      </c>
      <c r="DE18" s="486">
        <f t="shared" si="17"/>
        <v>1</v>
      </c>
      <c r="DF18" s="486">
        <f t="shared" si="18"/>
        <v>1</v>
      </c>
      <c r="DG18" s="486">
        <f t="shared" si="19"/>
        <v>1</v>
      </c>
      <c r="DH18" s="486">
        <f t="shared" si="20"/>
        <v>0</v>
      </c>
      <c r="DI18" s="486">
        <f t="shared" si="21"/>
        <v>0</v>
      </c>
      <c r="DJ18" s="486">
        <f t="shared" si="22"/>
        <v>0</v>
      </c>
      <c r="DK18" s="486">
        <f t="shared" si="23"/>
        <v>0</v>
      </c>
      <c r="DL18" s="486">
        <f t="shared" si="24"/>
        <v>0</v>
      </c>
      <c r="DM18" s="665"/>
      <c r="DN18" s="665"/>
      <c r="DO18" s="665"/>
      <c r="DP18" s="1247"/>
      <c r="DQ18" s="478"/>
      <c r="DR18" s="478"/>
    </row>
    <row r="19" spans="1:122" s="173" customFormat="1" ht="19.5" customHeight="1" x14ac:dyDescent="0.25">
      <c r="A19" s="1773" t="s">
        <v>1228</v>
      </c>
      <c r="B19" s="2328"/>
      <c r="C19" s="1337" t="s">
        <v>635</v>
      </c>
      <c r="D19" s="1157" t="s">
        <v>1384</v>
      </c>
      <c r="E19" s="1157" t="s">
        <v>1385</v>
      </c>
      <c r="F19" s="1158" t="s">
        <v>1386</v>
      </c>
      <c r="G19" s="973" t="s">
        <v>1387</v>
      </c>
      <c r="H19" s="974" t="s">
        <v>1388</v>
      </c>
      <c r="I19" s="973" t="s">
        <v>1389</v>
      </c>
      <c r="J19" s="974" t="s">
        <v>1390</v>
      </c>
      <c r="K19" s="973" t="s">
        <v>1391</v>
      </c>
      <c r="L19" s="974" t="s">
        <v>1392</v>
      </c>
      <c r="M19" s="973" t="s">
        <v>1393</v>
      </c>
      <c r="N19" s="974" t="s">
        <v>1394</v>
      </c>
      <c r="O19" s="973" t="s">
        <v>1395</v>
      </c>
      <c r="P19" s="974" t="s">
        <v>1396</v>
      </c>
      <c r="Q19" s="973" t="s">
        <v>1397</v>
      </c>
      <c r="R19" s="974" t="s">
        <v>1398</v>
      </c>
      <c r="S19" s="973" t="s">
        <v>1399</v>
      </c>
      <c r="T19" s="974" t="s">
        <v>1400</v>
      </c>
      <c r="U19" s="973" t="s">
        <v>1401</v>
      </c>
      <c r="V19" s="974" t="s">
        <v>1402</v>
      </c>
      <c r="W19" s="973" t="s">
        <v>1403</v>
      </c>
      <c r="X19" s="974" t="s">
        <v>1404</v>
      </c>
      <c r="Y19" s="973" t="s">
        <v>1405</v>
      </c>
      <c r="Z19" s="974" t="s">
        <v>1406</v>
      </c>
      <c r="AA19" s="973" t="s">
        <v>1407</v>
      </c>
      <c r="AB19" s="974" t="s">
        <v>1408</v>
      </c>
      <c r="AC19" s="973" t="s">
        <v>1409</v>
      </c>
      <c r="AD19" s="974" t="s">
        <v>1410</v>
      </c>
      <c r="AE19" s="973" t="s">
        <v>1411</v>
      </c>
      <c r="AF19" s="974" t="s">
        <v>1412</v>
      </c>
      <c r="AG19" s="973" t="s">
        <v>1413</v>
      </c>
      <c r="AH19" s="974" t="s">
        <v>1414</v>
      </c>
      <c r="AI19" s="973" t="s">
        <v>1415</v>
      </c>
      <c r="AJ19" s="974" t="s">
        <v>1416</v>
      </c>
      <c r="AK19" s="973" t="s">
        <v>1417</v>
      </c>
      <c r="AL19" s="974" t="s">
        <v>1418</v>
      </c>
      <c r="AM19" s="973" t="s">
        <v>1419</v>
      </c>
      <c r="AN19" s="975" t="s">
        <v>1420</v>
      </c>
      <c r="AO19" s="1539" t="s">
        <v>1421</v>
      </c>
      <c r="AP19" s="1544" t="s">
        <v>1422</v>
      </c>
      <c r="AQ19" s="1040" t="s">
        <v>1423</v>
      </c>
      <c r="AR19" s="974" t="s">
        <v>1424</v>
      </c>
      <c r="AS19" s="1040" t="s">
        <v>1425</v>
      </c>
      <c r="AT19" s="974" t="s">
        <v>1426</v>
      </c>
      <c r="AU19" s="1159" t="s">
        <v>1427</v>
      </c>
      <c r="AV19" s="1159" t="s">
        <v>1428</v>
      </c>
      <c r="AW19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19" s="221"/>
      <c r="AY19" s="221"/>
      <c r="AZ19" s="221"/>
      <c r="BA19" s="221"/>
      <c r="BB19" s="215"/>
      <c r="CB19" s="474"/>
      <c r="CC19" s="474"/>
      <c r="CD19" s="474"/>
      <c r="CE19" s="474"/>
      <c r="CF19" s="474"/>
      <c r="CG19" s="465" t="str">
        <f t="shared" si="1"/>
        <v xml:space="preserve">* La celda 'Gestantes' debe ser menor o igual al Total de Mujeres en control. </v>
      </c>
      <c r="CH19" s="465" t="str">
        <f t="shared" si="2"/>
        <v xml:space="preserve">* La celda 'Madres de Hijos menor de 5 años' debe ser menor o igual al Total de Mujeres en control. </v>
      </c>
      <c r="CI19" s="465" t="str">
        <f t="shared" si="3"/>
        <v xml:space="preserve">* La celda 'Pueblos Originarios / Hombres' debe ser menor o igual al Total de Hombres en control. </v>
      </c>
      <c r="CJ19" s="465" t="str">
        <f t="shared" si="4"/>
        <v xml:space="preserve">* La celda 'Pueblos Originarios / Mujeres' debe ser menor o igual al Total de Mujeres en control. </v>
      </c>
      <c r="CK19" s="465" t="str">
        <f t="shared" si="5"/>
        <v xml:space="preserve">* La celda 'Población Migrantes / Hombres' debe ser menor o igual al Total de Hombres en control. </v>
      </c>
      <c r="CL19" s="465" t="str">
        <f t="shared" si="6"/>
        <v xml:space="preserve">* La celda 'Población Migrantes / Mujeres' debe ser menor o igual al Total de Mujeres en control. </v>
      </c>
      <c r="CM19" s="465" t="str">
        <f t="shared" si="7"/>
        <v xml:space="preserve">* La celda 'Niños, Niñas, Adolescentes y Jóvenes de Población SENAME' debe ser menor o igual al Total de Ambos Sexos. </v>
      </c>
      <c r="CN19" s="465" t="str">
        <f t="shared" si="8"/>
        <v/>
      </c>
      <c r="CO19" s="465" t="str">
        <f t="shared" si="9"/>
        <v/>
      </c>
      <c r="CP19" s="465" t="str">
        <f t="shared" si="10"/>
        <v/>
      </c>
      <c r="CQ19" s="465" t="str">
        <f t="shared" si="11"/>
        <v/>
      </c>
      <c r="CR19" s="465" t="str">
        <f t="shared" si="12"/>
        <v/>
      </c>
      <c r="CS19" s="664"/>
      <c r="CT19" s="664"/>
      <c r="CU19" s="664"/>
      <c r="CV19" s="474"/>
      <c r="CW19" s="474"/>
      <c r="CX19" s="474"/>
      <c r="CY19" s="470"/>
      <c r="CZ19" s="470"/>
      <c r="DA19" s="486">
        <f t="shared" si="13"/>
        <v>1</v>
      </c>
      <c r="DB19" s="486">
        <f t="shared" si="14"/>
        <v>1</v>
      </c>
      <c r="DC19" s="486">
        <f t="shared" si="15"/>
        <v>1</v>
      </c>
      <c r="DD19" s="486">
        <f t="shared" si="16"/>
        <v>1</v>
      </c>
      <c r="DE19" s="486">
        <f t="shared" si="17"/>
        <v>1</v>
      </c>
      <c r="DF19" s="486">
        <f t="shared" si="18"/>
        <v>1</v>
      </c>
      <c r="DG19" s="486">
        <f t="shared" si="19"/>
        <v>1</v>
      </c>
      <c r="DH19" s="486">
        <f t="shared" si="20"/>
        <v>0</v>
      </c>
      <c r="DI19" s="486">
        <f t="shared" si="21"/>
        <v>0</v>
      </c>
      <c r="DJ19" s="486">
        <f t="shared" si="22"/>
        <v>0</v>
      </c>
      <c r="DK19" s="486">
        <f t="shared" si="23"/>
        <v>0</v>
      </c>
      <c r="DL19" s="486">
        <f t="shared" si="24"/>
        <v>0</v>
      </c>
      <c r="DM19" s="665"/>
      <c r="DN19" s="665"/>
      <c r="DO19" s="665"/>
      <c r="DP19" s="1247"/>
      <c r="DQ19" s="478"/>
      <c r="DR19" s="478"/>
    </row>
    <row r="20" spans="1:122" s="173" customFormat="1" ht="15.75" customHeight="1" x14ac:dyDescent="0.25">
      <c r="A20" s="1773" t="s">
        <v>1229</v>
      </c>
      <c r="B20" s="2238" t="s">
        <v>372</v>
      </c>
      <c r="C20" s="2350"/>
      <c r="D20" s="998" t="s">
        <v>1384</v>
      </c>
      <c r="E20" s="999" t="s">
        <v>1385</v>
      </c>
      <c r="F20" s="1033" t="s">
        <v>1386</v>
      </c>
      <c r="G20" s="1051" t="s">
        <v>1387</v>
      </c>
      <c r="H20" s="1144" t="s">
        <v>1388</v>
      </c>
      <c r="I20" s="1051" t="s">
        <v>1389</v>
      </c>
      <c r="J20" s="1144" t="s">
        <v>1390</v>
      </c>
      <c r="K20" s="1051" t="s">
        <v>1391</v>
      </c>
      <c r="L20" s="1144" t="s">
        <v>1392</v>
      </c>
      <c r="M20" s="1051" t="s">
        <v>1393</v>
      </c>
      <c r="N20" s="1144" t="s">
        <v>1394</v>
      </c>
      <c r="O20" s="1051" t="s">
        <v>1395</v>
      </c>
      <c r="P20" s="1144" t="s">
        <v>1396</v>
      </c>
      <c r="Q20" s="1051" t="s">
        <v>1397</v>
      </c>
      <c r="R20" s="1144" t="s">
        <v>1398</v>
      </c>
      <c r="S20" s="1051" t="s">
        <v>1399</v>
      </c>
      <c r="T20" s="1144" t="s">
        <v>1400</v>
      </c>
      <c r="U20" s="1051" t="s">
        <v>1401</v>
      </c>
      <c r="V20" s="1144" t="s">
        <v>1402</v>
      </c>
      <c r="W20" s="1051" t="s">
        <v>1403</v>
      </c>
      <c r="X20" s="1144" t="s">
        <v>1404</v>
      </c>
      <c r="Y20" s="1051" t="s">
        <v>1405</v>
      </c>
      <c r="Z20" s="1144" t="s">
        <v>1406</v>
      </c>
      <c r="AA20" s="1051" t="s">
        <v>1407</v>
      </c>
      <c r="AB20" s="1144" t="s">
        <v>1408</v>
      </c>
      <c r="AC20" s="1051" t="s">
        <v>1409</v>
      </c>
      <c r="AD20" s="1144" t="s">
        <v>1410</v>
      </c>
      <c r="AE20" s="1051" t="s">
        <v>1411</v>
      </c>
      <c r="AF20" s="1144" t="s">
        <v>1412</v>
      </c>
      <c r="AG20" s="1051" t="s">
        <v>1413</v>
      </c>
      <c r="AH20" s="1144" t="s">
        <v>1414</v>
      </c>
      <c r="AI20" s="1051" t="s">
        <v>1415</v>
      </c>
      <c r="AJ20" s="1144" t="s">
        <v>1416</v>
      </c>
      <c r="AK20" s="1051" t="s">
        <v>1417</v>
      </c>
      <c r="AL20" s="1144" t="s">
        <v>1418</v>
      </c>
      <c r="AM20" s="1051" t="s">
        <v>1419</v>
      </c>
      <c r="AN20" s="1145" t="s">
        <v>1420</v>
      </c>
      <c r="AO20" s="1535" t="s">
        <v>1421</v>
      </c>
      <c r="AP20" s="1543" t="s">
        <v>1422</v>
      </c>
      <c r="AQ20" s="1507" t="s">
        <v>1423</v>
      </c>
      <c r="AR20" s="1144" t="s">
        <v>1424</v>
      </c>
      <c r="AS20" s="1507" t="s">
        <v>1425</v>
      </c>
      <c r="AT20" s="1144" t="s">
        <v>1426</v>
      </c>
      <c r="AU20" s="1508" t="s">
        <v>1427</v>
      </c>
      <c r="AV20" s="1052" t="s">
        <v>1428</v>
      </c>
      <c r="AW20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0" s="224"/>
      <c r="AY20" s="224"/>
      <c r="AZ20" s="224"/>
      <c r="BA20" s="224"/>
      <c r="CB20" s="664"/>
      <c r="CC20" s="664"/>
      <c r="CD20" s="664"/>
      <c r="CE20" s="664"/>
      <c r="CF20" s="664"/>
      <c r="CG20" s="465" t="str">
        <f t="shared" si="1"/>
        <v xml:space="preserve">* La celda 'Gestantes' debe ser menor o igual al Total de Mujeres en control. </v>
      </c>
      <c r="CH20" s="465" t="str">
        <f t="shared" si="2"/>
        <v xml:space="preserve">* La celda 'Madres de Hijos menor de 5 años' debe ser menor o igual al Total de Mujeres en control. </v>
      </c>
      <c r="CI20" s="465" t="str">
        <f t="shared" si="3"/>
        <v xml:space="preserve">* La celda 'Pueblos Originarios / Hombres' debe ser menor o igual al Total de Hombres en control. </v>
      </c>
      <c r="CJ20" s="465" t="str">
        <f t="shared" si="4"/>
        <v xml:space="preserve">* La celda 'Pueblos Originarios / Mujeres' debe ser menor o igual al Total de Mujeres en control. </v>
      </c>
      <c r="CK20" s="465" t="str">
        <f t="shared" si="5"/>
        <v xml:space="preserve">* La celda 'Población Migrantes / Hombres' debe ser menor o igual al Total de Hombres en control. </v>
      </c>
      <c r="CL20" s="465" t="str">
        <f t="shared" si="6"/>
        <v xml:space="preserve">* La celda 'Población Migrantes / Mujeres' debe ser menor o igual al Total de Mujeres en control. </v>
      </c>
      <c r="CM20" s="465" t="str">
        <f t="shared" si="7"/>
        <v xml:space="preserve">* La celda 'Niños, Niñas, Adolescentes y Jóvenes de Población SENAME' debe ser menor o igual al Total de Ambos Sexos. </v>
      </c>
      <c r="CN20" s="465" t="str">
        <f t="shared" si="8"/>
        <v/>
      </c>
      <c r="CO20" s="465" t="str">
        <f t="shared" si="9"/>
        <v/>
      </c>
      <c r="CP20" s="465" t="str">
        <f t="shared" si="10"/>
        <v/>
      </c>
      <c r="CQ20" s="465" t="str">
        <f t="shared" si="11"/>
        <v/>
      </c>
      <c r="CR20" s="465" t="str">
        <f t="shared" si="12"/>
        <v/>
      </c>
      <c r="CS20" s="664"/>
      <c r="CT20" s="664"/>
      <c r="CU20" s="664"/>
      <c r="CV20" s="474"/>
      <c r="CW20" s="474"/>
      <c r="CX20" s="474"/>
      <c r="CY20" s="665"/>
      <c r="CZ20" s="665"/>
      <c r="DA20" s="486">
        <f t="shared" si="13"/>
        <v>1</v>
      </c>
      <c r="DB20" s="486">
        <f t="shared" si="14"/>
        <v>1</v>
      </c>
      <c r="DC20" s="486">
        <f t="shared" si="15"/>
        <v>1</v>
      </c>
      <c r="DD20" s="486">
        <f t="shared" si="16"/>
        <v>1</v>
      </c>
      <c r="DE20" s="486">
        <f t="shared" si="17"/>
        <v>1</v>
      </c>
      <c r="DF20" s="486">
        <f t="shared" si="18"/>
        <v>1</v>
      </c>
      <c r="DG20" s="486">
        <f t="shared" si="19"/>
        <v>1</v>
      </c>
      <c r="DH20" s="486">
        <f t="shared" si="20"/>
        <v>0</v>
      </c>
      <c r="DI20" s="486">
        <f t="shared" si="21"/>
        <v>0</v>
      </c>
      <c r="DJ20" s="486">
        <f t="shared" si="22"/>
        <v>0</v>
      </c>
      <c r="DK20" s="486">
        <f t="shared" si="23"/>
        <v>0</v>
      </c>
      <c r="DL20" s="486">
        <f t="shared" si="24"/>
        <v>0</v>
      </c>
      <c r="DM20" s="665"/>
      <c r="DN20" s="665"/>
      <c r="DO20" s="665"/>
      <c r="DP20" s="1247"/>
      <c r="DQ20" s="664"/>
      <c r="DR20" s="664"/>
    </row>
    <row r="21" spans="1:122" s="173" customFormat="1" ht="21" customHeight="1" x14ac:dyDescent="0.25">
      <c r="A21" s="1773" t="s">
        <v>1230</v>
      </c>
      <c r="B21" s="2351" t="s">
        <v>240</v>
      </c>
      <c r="C21" s="222" t="s">
        <v>241</v>
      </c>
      <c r="D21" s="944" t="s">
        <v>1384</v>
      </c>
      <c r="E21" s="945" t="s">
        <v>1385</v>
      </c>
      <c r="F21" s="1146" t="s">
        <v>1386</v>
      </c>
      <c r="G21" s="977" t="s">
        <v>1387</v>
      </c>
      <c r="H21" s="978" t="s">
        <v>1388</v>
      </c>
      <c r="I21" s="977" t="s">
        <v>1389</v>
      </c>
      <c r="J21" s="978" t="s">
        <v>1390</v>
      </c>
      <c r="K21" s="977" t="s">
        <v>1391</v>
      </c>
      <c r="L21" s="978" t="s">
        <v>1392</v>
      </c>
      <c r="M21" s="977" t="s">
        <v>1393</v>
      </c>
      <c r="N21" s="978" t="s">
        <v>1394</v>
      </c>
      <c r="O21" s="977" t="s">
        <v>1395</v>
      </c>
      <c r="P21" s="978" t="s">
        <v>1396</v>
      </c>
      <c r="Q21" s="977" t="s">
        <v>1397</v>
      </c>
      <c r="R21" s="978" t="s">
        <v>1398</v>
      </c>
      <c r="S21" s="977" t="s">
        <v>1399</v>
      </c>
      <c r="T21" s="978" t="s">
        <v>1400</v>
      </c>
      <c r="U21" s="977" t="s">
        <v>1401</v>
      </c>
      <c r="V21" s="978" t="s">
        <v>1402</v>
      </c>
      <c r="W21" s="977" t="s">
        <v>1403</v>
      </c>
      <c r="X21" s="978" t="s">
        <v>1404</v>
      </c>
      <c r="Y21" s="977" t="s">
        <v>1405</v>
      </c>
      <c r="Z21" s="978" t="s">
        <v>1406</v>
      </c>
      <c r="AA21" s="977" t="s">
        <v>1407</v>
      </c>
      <c r="AB21" s="978" t="s">
        <v>1408</v>
      </c>
      <c r="AC21" s="977" t="s">
        <v>1409</v>
      </c>
      <c r="AD21" s="978" t="s">
        <v>1410</v>
      </c>
      <c r="AE21" s="977" t="s">
        <v>1411</v>
      </c>
      <c r="AF21" s="978" t="s">
        <v>1412</v>
      </c>
      <c r="AG21" s="977" t="s">
        <v>1413</v>
      </c>
      <c r="AH21" s="978" t="s">
        <v>1414</v>
      </c>
      <c r="AI21" s="977" t="s">
        <v>1415</v>
      </c>
      <c r="AJ21" s="978" t="s">
        <v>1416</v>
      </c>
      <c r="AK21" s="977" t="s">
        <v>1417</v>
      </c>
      <c r="AL21" s="978" t="s">
        <v>1418</v>
      </c>
      <c r="AM21" s="977" t="s">
        <v>1419</v>
      </c>
      <c r="AN21" s="979" t="s">
        <v>1420</v>
      </c>
      <c r="AO21" s="1170" t="s">
        <v>1421</v>
      </c>
      <c r="AP21" s="1526" t="s">
        <v>1422</v>
      </c>
      <c r="AQ21" s="1048" t="s">
        <v>1423</v>
      </c>
      <c r="AR21" s="978" t="s">
        <v>1424</v>
      </c>
      <c r="AS21" s="1048" t="s">
        <v>1425</v>
      </c>
      <c r="AT21" s="978" t="s">
        <v>1426</v>
      </c>
      <c r="AU21" s="1001" t="s">
        <v>1427</v>
      </c>
      <c r="AV21" s="1001" t="s">
        <v>1428</v>
      </c>
      <c r="AW21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1" s="224"/>
      <c r="AY21" s="224"/>
      <c r="AZ21" s="224"/>
      <c r="BA21" s="224"/>
      <c r="CB21" s="664"/>
      <c r="CC21" s="664"/>
      <c r="CD21" s="664"/>
      <c r="CE21" s="664"/>
      <c r="CF21" s="664"/>
      <c r="CG21" s="465" t="str">
        <f t="shared" si="1"/>
        <v xml:space="preserve">* La celda 'Gestantes' debe ser menor o igual al Total de Mujeres en control. </v>
      </c>
      <c r="CH21" s="465" t="str">
        <f t="shared" si="2"/>
        <v xml:space="preserve">* La celda 'Madres de Hijos menor de 5 años' debe ser menor o igual al Total de Mujeres en control. </v>
      </c>
      <c r="CI21" s="465" t="str">
        <f t="shared" si="3"/>
        <v xml:space="preserve">* La celda 'Pueblos Originarios / Hombres' debe ser menor o igual al Total de Hombres en control. </v>
      </c>
      <c r="CJ21" s="465" t="str">
        <f t="shared" si="4"/>
        <v xml:space="preserve">* La celda 'Pueblos Originarios / Mujeres' debe ser menor o igual al Total de Mujeres en control. </v>
      </c>
      <c r="CK21" s="465" t="str">
        <f t="shared" si="5"/>
        <v xml:space="preserve">* La celda 'Población Migrantes / Hombres' debe ser menor o igual al Total de Hombres en control. </v>
      </c>
      <c r="CL21" s="465" t="str">
        <f t="shared" si="6"/>
        <v xml:space="preserve">* La celda 'Población Migrantes / Mujeres' debe ser menor o igual al Total de Mujeres en control. </v>
      </c>
      <c r="CM21" s="465" t="str">
        <f t="shared" si="7"/>
        <v xml:space="preserve">* La celda 'Niños, Niñas, Adolescentes y Jóvenes de Población SENAME' debe ser menor o igual al Total de Ambos Sexos. </v>
      </c>
      <c r="CN21" s="465" t="str">
        <f t="shared" si="8"/>
        <v/>
      </c>
      <c r="CO21" s="465" t="str">
        <f t="shared" si="9"/>
        <v/>
      </c>
      <c r="CP21" s="465" t="str">
        <f t="shared" si="10"/>
        <v/>
      </c>
      <c r="CQ21" s="465" t="str">
        <f t="shared" si="11"/>
        <v/>
      </c>
      <c r="CR21" s="465" t="str">
        <f t="shared" si="12"/>
        <v/>
      </c>
      <c r="CS21" s="664"/>
      <c r="CT21" s="664"/>
      <c r="CU21" s="664"/>
      <c r="CV21" s="474"/>
      <c r="CW21" s="474"/>
      <c r="CX21" s="474"/>
      <c r="CY21" s="665"/>
      <c r="CZ21" s="665"/>
      <c r="DA21" s="486">
        <f t="shared" si="13"/>
        <v>1</v>
      </c>
      <c r="DB21" s="486">
        <f t="shared" si="14"/>
        <v>1</v>
      </c>
      <c r="DC21" s="486">
        <f t="shared" si="15"/>
        <v>1</v>
      </c>
      <c r="DD21" s="486">
        <f t="shared" si="16"/>
        <v>1</v>
      </c>
      <c r="DE21" s="486">
        <f t="shared" si="17"/>
        <v>1</v>
      </c>
      <c r="DF21" s="486">
        <f t="shared" si="18"/>
        <v>1</v>
      </c>
      <c r="DG21" s="486">
        <f t="shared" si="19"/>
        <v>1</v>
      </c>
      <c r="DH21" s="486">
        <f t="shared" si="20"/>
        <v>0</v>
      </c>
      <c r="DI21" s="486">
        <f t="shared" si="21"/>
        <v>0</v>
      </c>
      <c r="DJ21" s="486">
        <f t="shared" si="22"/>
        <v>0</v>
      </c>
      <c r="DK21" s="486">
        <f t="shared" si="23"/>
        <v>0</v>
      </c>
      <c r="DL21" s="486">
        <f t="shared" si="24"/>
        <v>0</v>
      </c>
      <c r="DM21" s="665"/>
      <c r="DN21" s="665"/>
      <c r="DO21" s="665"/>
      <c r="DP21" s="1247"/>
      <c r="DQ21" s="664"/>
      <c r="DR21" s="664"/>
    </row>
    <row r="22" spans="1:122" s="173" customFormat="1" ht="21" customHeight="1" x14ac:dyDescent="0.25">
      <c r="A22" s="1773" t="s">
        <v>1231</v>
      </c>
      <c r="B22" s="2352"/>
      <c r="C22" s="443" t="s">
        <v>242</v>
      </c>
      <c r="D22" s="944" t="s">
        <v>1384</v>
      </c>
      <c r="E22" s="945" t="s">
        <v>1385</v>
      </c>
      <c r="F22" s="1146" t="s">
        <v>1386</v>
      </c>
      <c r="G22" s="957" t="s">
        <v>1387</v>
      </c>
      <c r="H22" s="958" t="s">
        <v>1388</v>
      </c>
      <c r="I22" s="957" t="s">
        <v>1389</v>
      </c>
      <c r="J22" s="958" t="s">
        <v>1390</v>
      </c>
      <c r="K22" s="957" t="s">
        <v>1391</v>
      </c>
      <c r="L22" s="958" t="s">
        <v>1392</v>
      </c>
      <c r="M22" s="957" t="s">
        <v>1393</v>
      </c>
      <c r="N22" s="958" t="s">
        <v>1394</v>
      </c>
      <c r="O22" s="957" t="s">
        <v>1395</v>
      </c>
      <c r="P22" s="958" t="s">
        <v>1396</v>
      </c>
      <c r="Q22" s="957" t="s">
        <v>1397</v>
      </c>
      <c r="R22" s="958" t="s">
        <v>1398</v>
      </c>
      <c r="S22" s="957" t="s">
        <v>1399</v>
      </c>
      <c r="T22" s="958" t="s">
        <v>1400</v>
      </c>
      <c r="U22" s="957" t="s">
        <v>1401</v>
      </c>
      <c r="V22" s="958" t="s">
        <v>1402</v>
      </c>
      <c r="W22" s="957" t="s">
        <v>1403</v>
      </c>
      <c r="X22" s="958" t="s">
        <v>1404</v>
      </c>
      <c r="Y22" s="957" t="s">
        <v>1405</v>
      </c>
      <c r="Z22" s="958" t="s">
        <v>1406</v>
      </c>
      <c r="AA22" s="957" t="s">
        <v>1407</v>
      </c>
      <c r="AB22" s="958" t="s">
        <v>1408</v>
      </c>
      <c r="AC22" s="957" t="s">
        <v>1409</v>
      </c>
      <c r="AD22" s="958" t="s">
        <v>1410</v>
      </c>
      <c r="AE22" s="957" t="s">
        <v>1411</v>
      </c>
      <c r="AF22" s="958" t="s">
        <v>1412</v>
      </c>
      <c r="AG22" s="957" t="s">
        <v>1413</v>
      </c>
      <c r="AH22" s="958" t="s">
        <v>1414</v>
      </c>
      <c r="AI22" s="957" t="s">
        <v>1415</v>
      </c>
      <c r="AJ22" s="958" t="s">
        <v>1416</v>
      </c>
      <c r="AK22" s="957" t="s">
        <v>1417</v>
      </c>
      <c r="AL22" s="958" t="s">
        <v>1418</v>
      </c>
      <c r="AM22" s="957" t="s">
        <v>1419</v>
      </c>
      <c r="AN22" s="966" t="s">
        <v>1420</v>
      </c>
      <c r="AO22" s="1171" t="s">
        <v>1421</v>
      </c>
      <c r="AP22" s="1520" t="s">
        <v>1422</v>
      </c>
      <c r="AQ22" s="1044" t="s">
        <v>1423</v>
      </c>
      <c r="AR22" s="958" t="s">
        <v>1424</v>
      </c>
      <c r="AS22" s="1044" t="s">
        <v>1425</v>
      </c>
      <c r="AT22" s="958" t="s">
        <v>1426</v>
      </c>
      <c r="AU22" s="1148" t="s">
        <v>1427</v>
      </c>
      <c r="AV22" s="1148" t="s">
        <v>1428</v>
      </c>
      <c r="AW22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2" s="224"/>
      <c r="AY22" s="224"/>
      <c r="AZ22" s="224"/>
      <c r="BA22" s="224"/>
      <c r="CB22" s="664"/>
      <c r="CC22" s="664"/>
      <c r="CD22" s="664"/>
      <c r="CE22" s="664"/>
      <c r="CF22" s="664"/>
      <c r="CG22" s="465" t="str">
        <f t="shared" si="1"/>
        <v xml:space="preserve">* La celda 'Gestantes' debe ser menor o igual al Total de Mujeres en control. </v>
      </c>
      <c r="CH22" s="465" t="str">
        <f t="shared" si="2"/>
        <v xml:space="preserve">* La celda 'Madres de Hijos menor de 5 años' debe ser menor o igual al Total de Mujeres en control. </v>
      </c>
      <c r="CI22" s="465" t="str">
        <f t="shared" si="3"/>
        <v xml:space="preserve">* La celda 'Pueblos Originarios / Hombres' debe ser menor o igual al Total de Hombres en control. </v>
      </c>
      <c r="CJ22" s="465" t="str">
        <f t="shared" si="4"/>
        <v xml:space="preserve">* La celda 'Pueblos Originarios / Mujeres' debe ser menor o igual al Total de Mujeres en control. </v>
      </c>
      <c r="CK22" s="465" t="str">
        <f t="shared" si="5"/>
        <v xml:space="preserve">* La celda 'Población Migrantes / Hombres' debe ser menor o igual al Total de Hombres en control. </v>
      </c>
      <c r="CL22" s="465" t="str">
        <f t="shared" si="6"/>
        <v xml:space="preserve">* La celda 'Población Migrantes / Mujeres' debe ser menor o igual al Total de Mujeres en control. </v>
      </c>
      <c r="CM22" s="465" t="str">
        <f t="shared" si="7"/>
        <v xml:space="preserve">* La celda 'Niños, Niñas, Adolescentes y Jóvenes de Población SENAME' debe ser menor o igual al Total de Ambos Sexos. </v>
      </c>
      <c r="CN22" s="465" t="str">
        <f t="shared" si="8"/>
        <v/>
      </c>
      <c r="CO22" s="465" t="str">
        <f t="shared" si="9"/>
        <v/>
      </c>
      <c r="CP22" s="465" t="str">
        <f t="shared" si="10"/>
        <v/>
      </c>
      <c r="CQ22" s="465" t="str">
        <f t="shared" si="11"/>
        <v/>
      </c>
      <c r="CR22" s="465" t="str">
        <f t="shared" si="12"/>
        <v/>
      </c>
      <c r="CS22" s="664"/>
      <c r="CT22" s="664"/>
      <c r="CU22" s="664"/>
      <c r="CV22" s="474"/>
      <c r="CW22" s="474"/>
      <c r="CX22" s="474"/>
      <c r="CY22" s="665"/>
      <c r="CZ22" s="665"/>
      <c r="DA22" s="486">
        <f t="shared" si="13"/>
        <v>1</v>
      </c>
      <c r="DB22" s="486">
        <f t="shared" si="14"/>
        <v>1</v>
      </c>
      <c r="DC22" s="486">
        <f t="shared" si="15"/>
        <v>1</v>
      </c>
      <c r="DD22" s="486">
        <f t="shared" si="16"/>
        <v>1</v>
      </c>
      <c r="DE22" s="486">
        <f t="shared" si="17"/>
        <v>1</v>
      </c>
      <c r="DF22" s="486">
        <f t="shared" si="18"/>
        <v>1</v>
      </c>
      <c r="DG22" s="486">
        <f t="shared" si="19"/>
        <v>1</v>
      </c>
      <c r="DH22" s="486">
        <f t="shared" si="20"/>
        <v>0</v>
      </c>
      <c r="DI22" s="486">
        <f t="shared" si="21"/>
        <v>0</v>
      </c>
      <c r="DJ22" s="486">
        <f t="shared" si="22"/>
        <v>0</v>
      </c>
      <c r="DK22" s="486">
        <f t="shared" si="23"/>
        <v>0</v>
      </c>
      <c r="DL22" s="486">
        <f t="shared" si="24"/>
        <v>0</v>
      </c>
      <c r="DM22" s="665"/>
      <c r="DN22" s="665"/>
      <c r="DO22" s="665"/>
      <c r="DP22" s="1247"/>
      <c r="DQ22" s="664"/>
      <c r="DR22" s="664"/>
    </row>
    <row r="23" spans="1:122" s="173" customFormat="1" ht="21" customHeight="1" x14ac:dyDescent="0.25">
      <c r="A23" s="1773" t="s">
        <v>1232</v>
      </c>
      <c r="B23" s="2352"/>
      <c r="C23" s="443" t="s">
        <v>243</v>
      </c>
      <c r="D23" s="944" t="s">
        <v>1384</v>
      </c>
      <c r="E23" s="945" t="s">
        <v>1385</v>
      </c>
      <c r="F23" s="1146" t="s">
        <v>1386</v>
      </c>
      <c r="G23" s="957" t="s">
        <v>1387</v>
      </c>
      <c r="H23" s="958" t="s">
        <v>1388</v>
      </c>
      <c r="I23" s="957" t="s">
        <v>1389</v>
      </c>
      <c r="J23" s="958" t="s">
        <v>1390</v>
      </c>
      <c r="K23" s="957" t="s">
        <v>1391</v>
      </c>
      <c r="L23" s="958" t="s">
        <v>1392</v>
      </c>
      <c r="M23" s="957" t="s">
        <v>1393</v>
      </c>
      <c r="N23" s="958" t="s">
        <v>1394</v>
      </c>
      <c r="O23" s="957" t="s">
        <v>1395</v>
      </c>
      <c r="P23" s="958" t="s">
        <v>1396</v>
      </c>
      <c r="Q23" s="957" t="s">
        <v>1397</v>
      </c>
      <c r="R23" s="958" t="s">
        <v>1398</v>
      </c>
      <c r="S23" s="957" t="s">
        <v>1399</v>
      </c>
      <c r="T23" s="958" t="s">
        <v>1400</v>
      </c>
      <c r="U23" s="957" t="s">
        <v>1401</v>
      </c>
      <c r="V23" s="958" t="s">
        <v>1402</v>
      </c>
      <c r="W23" s="957" t="s">
        <v>1403</v>
      </c>
      <c r="X23" s="958" t="s">
        <v>1404</v>
      </c>
      <c r="Y23" s="957" t="s">
        <v>1405</v>
      </c>
      <c r="Z23" s="958" t="s">
        <v>1406</v>
      </c>
      <c r="AA23" s="957" t="s">
        <v>1407</v>
      </c>
      <c r="AB23" s="958" t="s">
        <v>1408</v>
      </c>
      <c r="AC23" s="957" t="s">
        <v>1409</v>
      </c>
      <c r="AD23" s="958" t="s">
        <v>1410</v>
      </c>
      <c r="AE23" s="957" t="s">
        <v>1411</v>
      </c>
      <c r="AF23" s="958" t="s">
        <v>1412</v>
      </c>
      <c r="AG23" s="957" t="s">
        <v>1413</v>
      </c>
      <c r="AH23" s="958" t="s">
        <v>1414</v>
      </c>
      <c r="AI23" s="957" t="s">
        <v>1415</v>
      </c>
      <c r="AJ23" s="958" t="s">
        <v>1416</v>
      </c>
      <c r="AK23" s="957" t="s">
        <v>1417</v>
      </c>
      <c r="AL23" s="958" t="s">
        <v>1418</v>
      </c>
      <c r="AM23" s="957" t="s">
        <v>1419</v>
      </c>
      <c r="AN23" s="966" t="s">
        <v>1420</v>
      </c>
      <c r="AO23" s="1171" t="s">
        <v>1421</v>
      </c>
      <c r="AP23" s="1520" t="s">
        <v>1422</v>
      </c>
      <c r="AQ23" s="1044" t="s">
        <v>1423</v>
      </c>
      <c r="AR23" s="958" t="s">
        <v>1424</v>
      </c>
      <c r="AS23" s="1044" t="s">
        <v>1425</v>
      </c>
      <c r="AT23" s="958" t="s">
        <v>1426</v>
      </c>
      <c r="AU23" s="1148" t="s">
        <v>1427</v>
      </c>
      <c r="AV23" s="1148" t="s">
        <v>1428</v>
      </c>
      <c r="AW23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3" s="224"/>
      <c r="AY23" s="224"/>
      <c r="AZ23" s="224"/>
      <c r="BA23" s="224"/>
      <c r="CB23" s="664"/>
      <c r="CC23" s="664"/>
      <c r="CD23" s="664"/>
      <c r="CE23" s="664"/>
      <c r="CF23" s="664"/>
      <c r="CG23" s="465" t="str">
        <f t="shared" si="1"/>
        <v xml:space="preserve">* La celda 'Gestantes' debe ser menor o igual al Total de Mujeres en control. </v>
      </c>
      <c r="CH23" s="465" t="str">
        <f t="shared" si="2"/>
        <v xml:space="preserve">* La celda 'Madres de Hijos menor de 5 años' debe ser menor o igual al Total de Mujeres en control. </v>
      </c>
      <c r="CI23" s="465" t="str">
        <f t="shared" si="3"/>
        <v xml:space="preserve">* La celda 'Pueblos Originarios / Hombres' debe ser menor o igual al Total de Hombres en control. </v>
      </c>
      <c r="CJ23" s="465" t="str">
        <f t="shared" si="4"/>
        <v xml:space="preserve">* La celda 'Pueblos Originarios / Mujeres' debe ser menor o igual al Total de Mujeres en control. </v>
      </c>
      <c r="CK23" s="465" t="str">
        <f t="shared" si="5"/>
        <v xml:space="preserve">* La celda 'Población Migrantes / Hombres' debe ser menor o igual al Total de Hombres en control. </v>
      </c>
      <c r="CL23" s="465" t="str">
        <f t="shared" si="6"/>
        <v xml:space="preserve">* La celda 'Población Migrantes / Mujeres' debe ser menor o igual al Total de Mujeres en control. </v>
      </c>
      <c r="CM23" s="465" t="str">
        <f t="shared" si="7"/>
        <v xml:space="preserve">* La celda 'Niños, Niñas, Adolescentes y Jóvenes de Población SENAME' debe ser menor o igual al Total de Ambos Sexos. </v>
      </c>
      <c r="CN23" s="465" t="str">
        <f t="shared" si="8"/>
        <v/>
      </c>
      <c r="CO23" s="465" t="str">
        <f t="shared" si="9"/>
        <v/>
      </c>
      <c r="CP23" s="465" t="str">
        <f t="shared" si="10"/>
        <v/>
      </c>
      <c r="CQ23" s="465" t="str">
        <f t="shared" si="11"/>
        <v/>
      </c>
      <c r="CR23" s="465" t="str">
        <f t="shared" si="12"/>
        <v/>
      </c>
      <c r="CS23" s="664"/>
      <c r="CT23" s="664"/>
      <c r="CU23" s="664"/>
      <c r="CV23" s="474"/>
      <c r="CW23" s="474"/>
      <c r="CX23" s="474"/>
      <c r="CY23" s="665"/>
      <c r="CZ23" s="665"/>
      <c r="DA23" s="486">
        <f t="shared" si="13"/>
        <v>1</v>
      </c>
      <c r="DB23" s="486">
        <f t="shared" si="14"/>
        <v>1</v>
      </c>
      <c r="DC23" s="486">
        <f t="shared" si="15"/>
        <v>1</v>
      </c>
      <c r="DD23" s="486">
        <f t="shared" si="16"/>
        <v>1</v>
      </c>
      <c r="DE23" s="486">
        <f t="shared" si="17"/>
        <v>1</v>
      </c>
      <c r="DF23" s="486">
        <f t="shared" si="18"/>
        <v>1</v>
      </c>
      <c r="DG23" s="486">
        <f t="shared" si="19"/>
        <v>1</v>
      </c>
      <c r="DH23" s="486">
        <f t="shared" si="20"/>
        <v>0</v>
      </c>
      <c r="DI23" s="486">
        <f t="shared" si="21"/>
        <v>0</v>
      </c>
      <c r="DJ23" s="486">
        <f t="shared" si="22"/>
        <v>0</v>
      </c>
      <c r="DK23" s="486">
        <f t="shared" si="23"/>
        <v>0</v>
      </c>
      <c r="DL23" s="486">
        <f t="shared" si="24"/>
        <v>0</v>
      </c>
      <c r="DM23" s="665"/>
      <c r="DN23" s="665"/>
      <c r="DO23" s="665"/>
      <c r="DP23" s="1247"/>
      <c r="DQ23" s="664"/>
      <c r="DR23" s="664"/>
    </row>
    <row r="24" spans="1:122" s="173" customFormat="1" ht="21" customHeight="1" x14ac:dyDescent="0.25">
      <c r="A24" s="1773" t="s">
        <v>1233</v>
      </c>
      <c r="B24" s="2353"/>
      <c r="C24" s="444" t="s">
        <v>244</v>
      </c>
      <c r="D24" s="944" t="s">
        <v>1384</v>
      </c>
      <c r="E24" s="1149" t="s">
        <v>1385</v>
      </c>
      <c r="F24" s="1150" t="s">
        <v>1386</v>
      </c>
      <c r="G24" s="1005" t="s">
        <v>1387</v>
      </c>
      <c r="H24" s="1006" t="s">
        <v>1388</v>
      </c>
      <c r="I24" s="1005" t="s">
        <v>1389</v>
      </c>
      <c r="J24" s="1006" t="s">
        <v>1390</v>
      </c>
      <c r="K24" s="1005" t="s">
        <v>1391</v>
      </c>
      <c r="L24" s="958" t="s">
        <v>1392</v>
      </c>
      <c r="M24" s="1005" t="s">
        <v>1393</v>
      </c>
      <c r="N24" s="958" t="s">
        <v>1394</v>
      </c>
      <c r="O24" s="1005" t="s">
        <v>1395</v>
      </c>
      <c r="P24" s="958" t="s">
        <v>1396</v>
      </c>
      <c r="Q24" s="1005" t="s">
        <v>1397</v>
      </c>
      <c r="R24" s="958" t="s">
        <v>1398</v>
      </c>
      <c r="S24" s="1005" t="s">
        <v>1399</v>
      </c>
      <c r="T24" s="958" t="s">
        <v>1400</v>
      </c>
      <c r="U24" s="1005" t="s">
        <v>1401</v>
      </c>
      <c r="V24" s="958" t="s">
        <v>1402</v>
      </c>
      <c r="W24" s="1005" t="s">
        <v>1403</v>
      </c>
      <c r="X24" s="958" t="s">
        <v>1404</v>
      </c>
      <c r="Y24" s="1005" t="s">
        <v>1405</v>
      </c>
      <c r="Z24" s="958" t="s">
        <v>1406</v>
      </c>
      <c r="AA24" s="1005" t="s">
        <v>1407</v>
      </c>
      <c r="AB24" s="958" t="s">
        <v>1408</v>
      </c>
      <c r="AC24" s="1005" t="s">
        <v>1409</v>
      </c>
      <c r="AD24" s="958" t="s">
        <v>1410</v>
      </c>
      <c r="AE24" s="1005" t="s">
        <v>1411</v>
      </c>
      <c r="AF24" s="1006" t="s">
        <v>1412</v>
      </c>
      <c r="AG24" s="1005" t="s">
        <v>1413</v>
      </c>
      <c r="AH24" s="1006" t="s">
        <v>1414</v>
      </c>
      <c r="AI24" s="1005" t="s">
        <v>1415</v>
      </c>
      <c r="AJ24" s="1006" t="s">
        <v>1416</v>
      </c>
      <c r="AK24" s="1005" t="s">
        <v>1417</v>
      </c>
      <c r="AL24" s="1006" t="s">
        <v>1418</v>
      </c>
      <c r="AM24" s="1005" t="s">
        <v>1419</v>
      </c>
      <c r="AN24" s="1151" t="s">
        <v>1420</v>
      </c>
      <c r="AO24" s="1410" t="s">
        <v>1421</v>
      </c>
      <c r="AP24" s="1520" t="s">
        <v>1422</v>
      </c>
      <c r="AQ24" s="1149" t="s">
        <v>1423</v>
      </c>
      <c r="AR24" s="958" t="s">
        <v>1424</v>
      </c>
      <c r="AS24" s="1149" t="s">
        <v>1425</v>
      </c>
      <c r="AT24" s="958" t="s">
        <v>1426</v>
      </c>
      <c r="AU24" s="1148" t="s">
        <v>1427</v>
      </c>
      <c r="AV24" s="1148" t="s">
        <v>1428</v>
      </c>
      <c r="AW24" s="411" t="str">
        <f t="shared" si="0"/>
        <v xml:space="preserve">* La celda 'Madres de Hijos menor de 5 años' debe ser menor o igual al Total de Mujeres en control. * La celda 'Pueblos Originarios / Mujeres' debe ser menor o igual al Total de Mujeres en control. * La celda 'Población Migrantes / Mujeres' debe ser menor o igual al Total de Mujeres en control. * La celda 'Niños, Niñas, Adolescentes y Jóvenes de Población SENAME' debe ser menor o igual al Total de Ambos Sexos. </v>
      </c>
      <c r="AX24" s="224"/>
      <c r="AY24" s="224"/>
      <c r="AZ24" s="224"/>
      <c r="BA24" s="224"/>
      <c r="CB24" s="664"/>
      <c r="CC24" s="664"/>
      <c r="CD24" s="664"/>
      <c r="CE24" s="664"/>
      <c r="CF24" s="664"/>
      <c r="CG24" s="474"/>
      <c r="CH24" s="465" t="str">
        <f t="shared" si="2"/>
        <v xml:space="preserve">* La celda 'Madres de Hijos menor de 5 años' debe ser menor o igual al Total de Mujeres en control. </v>
      </c>
      <c r="CI24" s="474"/>
      <c r="CJ24" s="465" t="str">
        <f t="shared" si="4"/>
        <v xml:space="preserve">* La celda 'Pueblos Originarios / Mujeres' debe ser menor o igual al Total de Mujeres en control. </v>
      </c>
      <c r="CK24" s="474"/>
      <c r="CL24" s="465" t="str">
        <f t="shared" si="6"/>
        <v xml:space="preserve">* La celda 'Población Migrantes / Mujeres' debe ser menor o igual al Total de Mujeres en control. </v>
      </c>
      <c r="CM24" s="465" t="str">
        <f t="shared" si="7"/>
        <v xml:space="preserve">* La celda 'Niños, Niñas, Adolescentes y Jóvenes de Población SENAME' debe ser menor o igual al Total de Ambos Sexos. </v>
      </c>
      <c r="CN24" s="474"/>
      <c r="CO24" s="465" t="str">
        <f>IF(AND($D24&lt;&gt;0,$AP24=""),"* No olvide escribir en la celda de 'Madres de Hijos menor de 5 años' (Digite CERO si no tiene). ","")</f>
        <v/>
      </c>
      <c r="CP24" s="465" t="str">
        <f>IF(AND($D24&lt;&gt;0,$AU24=""),"* No olvide escribir en la celda de 'Niños, Niñas, Adolescentes y Jóvenes de Población SENAME' (Digite CERO si no tiene). ","")</f>
        <v/>
      </c>
      <c r="CQ24" s="465" t="str">
        <f>IF(AND($F24&lt;&gt;0,$AR24=""),"* No olvide escribir en las celdas de 'Pueblos Originarios / Mujeres' (Digite CERO si no tiene). ","")</f>
        <v/>
      </c>
      <c r="CR24" s="465" t="str">
        <f>IF(AND($F24&lt;&gt;0,$AT24=""),"* No olvide escribir en las celdas de ''Población Migrantes / Mujeres' (Digite CERO si no tiene). ","")</f>
        <v/>
      </c>
      <c r="CS24" s="664"/>
      <c r="CT24" s="664"/>
      <c r="CU24" s="664"/>
      <c r="CV24" s="474"/>
      <c r="CW24" s="474"/>
      <c r="CX24" s="474"/>
      <c r="CY24" s="665"/>
      <c r="CZ24" s="665"/>
      <c r="DA24" s="470"/>
      <c r="DB24" s="486">
        <f t="shared" si="14"/>
        <v>1</v>
      </c>
      <c r="DC24" s="470"/>
      <c r="DD24" s="486">
        <f t="shared" si="16"/>
        <v>1</v>
      </c>
      <c r="DE24" s="470"/>
      <c r="DF24" s="486">
        <f t="shared" si="18"/>
        <v>1</v>
      </c>
      <c r="DG24" s="486">
        <f t="shared" si="19"/>
        <v>1</v>
      </c>
      <c r="DH24" s="470"/>
      <c r="DI24" s="486">
        <f t="shared" si="21"/>
        <v>0</v>
      </c>
      <c r="DJ24" s="486">
        <f t="shared" si="22"/>
        <v>0</v>
      </c>
      <c r="DK24" s="486">
        <f>IF(AND($F24&lt;&gt;0,$AR24=""),1,0)</f>
        <v>0</v>
      </c>
      <c r="DL24" s="486">
        <f>IF(AND($F24&lt;&gt;0,$AT24=""),1,0)</f>
        <v>0</v>
      </c>
      <c r="DM24" s="665"/>
      <c r="DN24" s="665"/>
      <c r="DO24" s="665"/>
      <c r="DP24" s="1247"/>
      <c r="DQ24" s="664"/>
      <c r="DR24" s="664"/>
    </row>
    <row r="25" spans="1:122" s="173" customFormat="1" ht="21" customHeight="1" x14ac:dyDescent="0.25">
      <c r="A25" s="1773" t="s">
        <v>1234</v>
      </c>
      <c r="B25" s="2354"/>
      <c r="C25" s="223" t="s">
        <v>245</v>
      </c>
      <c r="D25" s="1152" t="s">
        <v>1384</v>
      </c>
      <c r="E25" s="960" t="s">
        <v>1385</v>
      </c>
      <c r="F25" s="1153" t="s">
        <v>1386</v>
      </c>
      <c r="G25" s="968" t="s">
        <v>1387</v>
      </c>
      <c r="H25" s="969" t="s">
        <v>1388</v>
      </c>
      <c r="I25" s="968" t="s">
        <v>1389</v>
      </c>
      <c r="J25" s="969" t="s">
        <v>1390</v>
      </c>
      <c r="K25" s="968" t="s">
        <v>1391</v>
      </c>
      <c r="L25" s="969" t="s">
        <v>1392</v>
      </c>
      <c r="M25" s="968" t="s">
        <v>1393</v>
      </c>
      <c r="N25" s="969" t="s">
        <v>1394</v>
      </c>
      <c r="O25" s="968" t="s">
        <v>1395</v>
      </c>
      <c r="P25" s="969" t="s">
        <v>1396</v>
      </c>
      <c r="Q25" s="968" t="s">
        <v>1397</v>
      </c>
      <c r="R25" s="969" t="s">
        <v>1398</v>
      </c>
      <c r="S25" s="968" t="s">
        <v>1399</v>
      </c>
      <c r="T25" s="969" t="s">
        <v>1400</v>
      </c>
      <c r="U25" s="968" t="s">
        <v>1401</v>
      </c>
      <c r="V25" s="969" t="s">
        <v>1402</v>
      </c>
      <c r="W25" s="968" t="s">
        <v>1403</v>
      </c>
      <c r="X25" s="969" t="s">
        <v>1404</v>
      </c>
      <c r="Y25" s="968" t="s">
        <v>1405</v>
      </c>
      <c r="Z25" s="969" t="s">
        <v>1406</v>
      </c>
      <c r="AA25" s="968" t="s">
        <v>1407</v>
      </c>
      <c r="AB25" s="969" t="s">
        <v>1408</v>
      </c>
      <c r="AC25" s="968" t="s">
        <v>1409</v>
      </c>
      <c r="AD25" s="969" t="s">
        <v>1410</v>
      </c>
      <c r="AE25" s="968" t="s">
        <v>1411</v>
      </c>
      <c r="AF25" s="969" t="s">
        <v>1412</v>
      </c>
      <c r="AG25" s="968" t="s">
        <v>1413</v>
      </c>
      <c r="AH25" s="969" t="s">
        <v>1414</v>
      </c>
      <c r="AI25" s="968" t="s">
        <v>1415</v>
      </c>
      <c r="AJ25" s="969" t="s">
        <v>1416</v>
      </c>
      <c r="AK25" s="968" t="s">
        <v>1417</v>
      </c>
      <c r="AL25" s="969" t="s">
        <v>1418</v>
      </c>
      <c r="AM25" s="968" t="s">
        <v>1419</v>
      </c>
      <c r="AN25" s="970" t="s">
        <v>1420</v>
      </c>
      <c r="AO25" s="1540" t="s">
        <v>1421</v>
      </c>
      <c r="AP25" s="1523" t="s">
        <v>1422</v>
      </c>
      <c r="AQ25" s="1534" t="s">
        <v>1423</v>
      </c>
      <c r="AR25" s="969" t="s">
        <v>1424</v>
      </c>
      <c r="AS25" s="1534" t="s">
        <v>1425</v>
      </c>
      <c r="AT25" s="969" t="s">
        <v>1426</v>
      </c>
      <c r="AU25" s="1154" t="s">
        <v>1427</v>
      </c>
      <c r="AV25" s="1154" t="s">
        <v>1428</v>
      </c>
      <c r="AW25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5" s="224"/>
      <c r="AY25" s="224"/>
      <c r="AZ25" s="224"/>
      <c r="BA25" s="224"/>
      <c r="CB25" s="664"/>
      <c r="CC25" s="664"/>
      <c r="CD25" s="664"/>
      <c r="CE25" s="664"/>
      <c r="CF25" s="664"/>
      <c r="CG25" s="465" t="str">
        <f>IF($AO25&gt;$F25,"* La celda 'Gestantes' debe ser menor o igual al Total de Mujeres en control. ","")</f>
        <v xml:space="preserve">* La celda 'Gestantes' debe ser menor o igual al Total de Mujeres en control. </v>
      </c>
      <c r="CH25" s="465" t="str">
        <f>IF($AP25&gt;$F25,"* La celda 'Madres de Hijos menor de 5 años' debe ser menor o igual al Total de Mujeres en control. ","")</f>
        <v xml:space="preserve">* La celda 'Madres de Hijos menor de 5 años' debe ser menor o igual al Total de Mujeres en control. </v>
      </c>
      <c r="CI25" s="465" t="str">
        <f t="shared" ref="CI25:CI53" si="25">IF(($AQ25)&gt;$E25,"* La celda 'Pueblos Originarios / Hombres' debe ser menor o igual al Total de Hombres en control. ","")</f>
        <v xml:space="preserve">* La celda 'Pueblos Originarios / Hombres' debe ser menor o igual al Total de Hombres en control. </v>
      </c>
      <c r="CJ25" s="465" t="str">
        <f t="shared" ref="CJ25:CJ53" si="26">IF($AR25&gt;$F25,"* La celda 'Pueblos Originarios / Mujeres' debe ser menor o igual al Total de Mujeres en control. ","")</f>
        <v xml:space="preserve">* La celda 'Pueblos Originarios / Mujeres' debe ser menor o igual al Total de Mujeres en control. </v>
      </c>
      <c r="CK25" s="465" t="str">
        <f t="shared" ref="CK25:CK53" si="27">IF(($AS25)&gt;$E25,"* La celda 'Población Migrantes / Hombres' debe ser menor o igual al Total de Hombres en control. ","")</f>
        <v xml:space="preserve">* La celda 'Población Migrantes / Hombres' debe ser menor o igual al Total de Hombres en control. </v>
      </c>
      <c r="CL25" s="465" t="str">
        <f t="shared" ref="CL25:CL53" si="28">IF($AT25&gt;$F25,"* La celda 'Población Migrantes / Mujeres' debe ser menor o igual al Total de Mujeres en control. ","")</f>
        <v xml:space="preserve">* La celda 'Población Migrantes / Mujeres' debe ser menor o igual al Total de Mujeres en control. </v>
      </c>
      <c r="CM25" s="465" t="str">
        <f t="shared" ref="CM25:CM53" si="29">IF($AU25&gt;$D25,"* La celda 'Niños, Niñas, Adolescentes y Jóvenes de Población SENAME' debe ser menor o igual al Total de Ambos Sexos. ","")</f>
        <v xml:space="preserve">* La celda 'Niños, Niñas, Adolescentes y Jóvenes de Población SENAME' debe ser menor o igual al Total de Ambos Sexos. </v>
      </c>
      <c r="CN25" s="465" t="str">
        <f>IF(AND($D25&lt;&gt;0,$AO25=""),"* No olvide escribir en la celda de 'Gestantes' (Digite CERO si no tiene). ","")</f>
        <v/>
      </c>
      <c r="CO25" s="465" t="str">
        <f>IF(AND($D25&lt;&gt;0,$AP25=""),"* No olvide escribir en la celda de 'Madres de Hijos menor de 5 años' (Digite CERO si no tiene). ","")</f>
        <v/>
      </c>
      <c r="CP25" s="465" t="str">
        <f t="shared" ref="CP25:CP53" si="30">IF(AND($D25&lt;&gt;0,$AU25=""),"* No olvide escribir en la celda de 'Niños, Niñas, Adolescentes y Jóvenes de Población SENAME' (Digite CERO si no tiene). ","")</f>
        <v/>
      </c>
      <c r="CQ25" s="465" t="str">
        <f t="shared" ref="CQ25:CQ53" si="31">IF(AND($E25&lt;&gt;0,$AQ25=""),"* No olvide escribir en las celdas de 'Pueblos Originarios' (Digite CERO si no tiene). ",IF(AND($F25&lt;&gt;0,$AR25=""),"* No olvide escribir en las celdas de 'Pueblos Originarios' (Digite CERO si no tiene). ",""))</f>
        <v/>
      </c>
      <c r="CR25" s="465" t="str">
        <f t="shared" ref="CR25:CR53" si="32">IF(AND($E25&lt;&gt;0,$AS25=""),"* No olvide escribir en las celdas de 'Población Migrantes' (Digite CERO si no tiene). ",IF(AND($F25&lt;&gt;0,$AT25=""),"* No olvide escribir en las celdas de 'Población Migrantes' (Digite CERO si no tiene). ",""))</f>
        <v/>
      </c>
      <c r="CS25" s="664"/>
      <c r="CT25" s="664"/>
      <c r="CU25" s="664"/>
      <c r="CV25" s="474"/>
      <c r="CW25" s="474"/>
      <c r="CX25" s="474"/>
      <c r="CY25" s="665"/>
      <c r="CZ25" s="665"/>
      <c r="DA25" s="486">
        <f>IF($AO25&gt;$F25,1,0)</f>
        <v>1</v>
      </c>
      <c r="DB25" s="486">
        <f t="shared" si="14"/>
        <v>1</v>
      </c>
      <c r="DC25" s="486">
        <f t="shared" ref="DC25:DC53" si="33">IF(($AQ25)&gt;$E25,1,0)</f>
        <v>1</v>
      </c>
      <c r="DD25" s="486">
        <f t="shared" si="16"/>
        <v>1</v>
      </c>
      <c r="DE25" s="486">
        <f t="shared" ref="DE25:DE53" si="34">IF(($AS25)&gt;$E25,1,0)</f>
        <v>1</v>
      </c>
      <c r="DF25" s="486">
        <f t="shared" si="18"/>
        <v>1</v>
      </c>
      <c r="DG25" s="486">
        <f t="shared" si="19"/>
        <v>1</v>
      </c>
      <c r="DH25" s="486">
        <f>IF(AND($D25&lt;&gt;0,$AO25=""),1,0)</f>
        <v>0</v>
      </c>
      <c r="DI25" s="486">
        <f t="shared" si="21"/>
        <v>0</v>
      </c>
      <c r="DJ25" s="486">
        <f t="shared" si="22"/>
        <v>0</v>
      </c>
      <c r="DK25" s="486">
        <f t="shared" ref="DK25:DK53" si="35">IF(AND($E25&lt;&gt;0,$AQ25=""),1,IF(AND($F25&lt;&gt;0,$AR25=""),1,0))</f>
        <v>0</v>
      </c>
      <c r="DL25" s="486">
        <f t="shared" ref="DL25:DL53" si="36">IF(AND($E25&lt;&gt;0,$AS25=""),1,IF(AND($F25&lt;&gt;0,$AT25=""),1,0))</f>
        <v>0</v>
      </c>
      <c r="DM25" s="665"/>
      <c r="DN25" s="665"/>
      <c r="DO25" s="665"/>
      <c r="DP25" s="1247"/>
      <c r="DQ25" s="664"/>
      <c r="DR25" s="664"/>
    </row>
    <row r="26" spans="1:122" s="173" customFormat="1" ht="21" customHeight="1" x14ac:dyDescent="0.25">
      <c r="A26" s="1773" t="s">
        <v>1235</v>
      </c>
      <c r="B26" s="2351" t="s">
        <v>246</v>
      </c>
      <c r="C26" s="225" t="s">
        <v>397</v>
      </c>
      <c r="D26" s="936" t="s">
        <v>1384</v>
      </c>
      <c r="E26" s="951" t="s">
        <v>1385</v>
      </c>
      <c r="F26" s="1155" t="s">
        <v>1386</v>
      </c>
      <c r="G26" s="953" t="s">
        <v>1387</v>
      </c>
      <c r="H26" s="954" t="s">
        <v>1388</v>
      </c>
      <c r="I26" s="953" t="s">
        <v>1389</v>
      </c>
      <c r="J26" s="954" t="s">
        <v>1390</v>
      </c>
      <c r="K26" s="953" t="s">
        <v>1391</v>
      </c>
      <c r="L26" s="954" t="s">
        <v>1392</v>
      </c>
      <c r="M26" s="953" t="s">
        <v>1393</v>
      </c>
      <c r="N26" s="954" t="s">
        <v>1394</v>
      </c>
      <c r="O26" s="953" t="s">
        <v>1395</v>
      </c>
      <c r="P26" s="954" t="s">
        <v>1396</v>
      </c>
      <c r="Q26" s="953" t="s">
        <v>1397</v>
      </c>
      <c r="R26" s="954" t="s">
        <v>1398</v>
      </c>
      <c r="S26" s="953" t="s">
        <v>1399</v>
      </c>
      <c r="T26" s="954" t="s">
        <v>1400</v>
      </c>
      <c r="U26" s="953" t="s">
        <v>1401</v>
      </c>
      <c r="V26" s="954" t="s">
        <v>1402</v>
      </c>
      <c r="W26" s="953" t="s">
        <v>1403</v>
      </c>
      <c r="X26" s="954" t="s">
        <v>1404</v>
      </c>
      <c r="Y26" s="953" t="s">
        <v>1405</v>
      </c>
      <c r="Z26" s="954" t="s">
        <v>1406</v>
      </c>
      <c r="AA26" s="953" t="s">
        <v>1407</v>
      </c>
      <c r="AB26" s="954" t="s">
        <v>1408</v>
      </c>
      <c r="AC26" s="953" t="s">
        <v>1409</v>
      </c>
      <c r="AD26" s="954" t="s">
        <v>1410</v>
      </c>
      <c r="AE26" s="953" t="s">
        <v>1411</v>
      </c>
      <c r="AF26" s="954" t="s">
        <v>1412</v>
      </c>
      <c r="AG26" s="953" t="s">
        <v>1413</v>
      </c>
      <c r="AH26" s="954" t="s">
        <v>1414</v>
      </c>
      <c r="AI26" s="953" t="s">
        <v>1415</v>
      </c>
      <c r="AJ26" s="954" t="s">
        <v>1416</v>
      </c>
      <c r="AK26" s="953" t="s">
        <v>1417</v>
      </c>
      <c r="AL26" s="954" t="s">
        <v>1418</v>
      </c>
      <c r="AM26" s="953" t="s">
        <v>1419</v>
      </c>
      <c r="AN26" s="965" t="s">
        <v>1420</v>
      </c>
      <c r="AO26" s="1537" t="s">
        <v>1421</v>
      </c>
      <c r="AP26" s="1519" t="s">
        <v>1422</v>
      </c>
      <c r="AQ26" s="1037" t="s">
        <v>1423</v>
      </c>
      <c r="AR26" s="954" t="s">
        <v>1424</v>
      </c>
      <c r="AS26" s="1037" t="s">
        <v>1425</v>
      </c>
      <c r="AT26" s="954" t="s">
        <v>1426</v>
      </c>
      <c r="AU26" s="1036" t="s">
        <v>1427</v>
      </c>
      <c r="AV26" s="1036" t="s">
        <v>1428</v>
      </c>
      <c r="AW26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6" s="224"/>
      <c r="AY26" s="224"/>
      <c r="AZ26" s="224"/>
      <c r="BA26" s="224"/>
      <c r="CB26" s="664"/>
      <c r="CC26" s="664"/>
      <c r="CD26" s="664"/>
      <c r="CE26" s="664"/>
      <c r="CF26" s="664"/>
      <c r="CG26" s="465" t="str">
        <f>IF($AO26&gt;$F26,"* La celda 'Gestantes' debe ser menor o igual al Total de Mujeres en control. ","")</f>
        <v xml:space="preserve">* La celda 'Gestantes' debe ser menor o igual al Total de Mujeres en control. </v>
      </c>
      <c r="CH26" s="465" t="str">
        <f>IF($AP26&gt;$F26,"* La celda 'Madres de Hijos menor de 5 años' debe ser menor o igual al Total de Mujeres en control. ","")</f>
        <v xml:space="preserve">* La celda 'Madres de Hijos menor de 5 años' debe ser menor o igual al Total de Mujeres en control. </v>
      </c>
      <c r="CI26" s="465" t="str">
        <f t="shared" si="25"/>
        <v xml:space="preserve">* La celda 'Pueblos Originarios / Hombres' debe ser menor o igual al Total de Hombres en control. </v>
      </c>
      <c r="CJ26" s="465" t="str">
        <f t="shared" si="26"/>
        <v xml:space="preserve">* La celda 'Pueblos Originarios / Mujeres' debe ser menor o igual al Total de Mujeres en control. </v>
      </c>
      <c r="CK26" s="465" t="str">
        <f t="shared" si="27"/>
        <v xml:space="preserve">* La celda 'Población Migrantes / Hombres' debe ser menor o igual al Total de Hombres en control. </v>
      </c>
      <c r="CL26" s="465" t="str">
        <f t="shared" si="28"/>
        <v xml:space="preserve">* La celda 'Población Migrantes / Mujeres' debe ser menor o igual al Total de Mujeres en control. </v>
      </c>
      <c r="CM26" s="465" t="str">
        <f t="shared" si="29"/>
        <v xml:space="preserve">* La celda 'Niños, Niñas, Adolescentes y Jóvenes de Población SENAME' debe ser menor o igual al Total de Ambos Sexos. </v>
      </c>
      <c r="CN26" s="465" t="str">
        <f>IF(AND($D26&lt;&gt;0,$AO26=""),"* No olvide escribir en la celda de 'Gestantes' (Digite CERO si no tiene). ","")</f>
        <v/>
      </c>
      <c r="CO26" s="465" t="str">
        <f>IF(AND($D26&lt;&gt;0,$AP26=""),"* No olvide escribir en la celda de 'Madres de Hijos menor de 5 años' (Digite CERO si no tiene). ","")</f>
        <v/>
      </c>
      <c r="CP26" s="465" t="str">
        <f t="shared" si="30"/>
        <v/>
      </c>
      <c r="CQ26" s="465" t="str">
        <f t="shared" si="31"/>
        <v/>
      </c>
      <c r="CR26" s="465" t="str">
        <f t="shared" si="32"/>
        <v/>
      </c>
      <c r="CS26" s="664"/>
      <c r="CT26" s="664"/>
      <c r="CU26" s="664"/>
      <c r="CV26" s="474"/>
      <c r="CW26" s="474"/>
      <c r="CX26" s="474"/>
      <c r="CY26" s="665"/>
      <c r="CZ26" s="665"/>
      <c r="DA26" s="486">
        <f>IF($AO26&gt;$F26,1,0)</f>
        <v>1</v>
      </c>
      <c r="DB26" s="486">
        <f t="shared" si="14"/>
        <v>1</v>
      </c>
      <c r="DC26" s="486">
        <f t="shared" si="33"/>
        <v>1</v>
      </c>
      <c r="DD26" s="486">
        <f t="shared" si="16"/>
        <v>1</v>
      </c>
      <c r="DE26" s="486">
        <f t="shared" si="34"/>
        <v>1</v>
      </c>
      <c r="DF26" s="486">
        <f t="shared" si="18"/>
        <v>1</v>
      </c>
      <c r="DG26" s="486">
        <f t="shared" si="19"/>
        <v>1</v>
      </c>
      <c r="DH26" s="486">
        <f>IF(AND($D26&lt;&gt;0,$AO26=""),1,0)</f>
        <v>0</v>
      </c>
      <c r="DI26" s="486">
        <f t="shared" si="21"/>
        <v>0</v>
      </c>
      <c r="DJ26" s="486">
        <f t="shared" si="22"/>
        <v>0</v>
      </c>
      <c r="DK26" s="486">
        <f t="shared" si="35"/>
        <v>0</v>
      </c>
      <c r="DL26" s="486">
        <f t="shared" si="36"/>
        <v>0</v>
      </c>
      <c r="DM26" s="665"/>
      <c r="DN26" s="665"/>
      <c r="DO26" s="665"/>
      <c r="DP26" s="1247"/>
      <c r="DQ26" s="664"/>
      <c r="DR26" s="664"/>
    </row>
    <row r="27" spans="1:122" s="173" customFormat="1" ht="21" customHeight="1" x14ac:dyDescent="0.25">
      <c r="A27" s="1773" t="s">
        <v>1236</v>
      </c>
      <c r="B27" s="2355"/>
      <c r="C27" s="444" t="s">
        <v>395</v>
      </c>
      <c r="D27" s="938" t="s">
        <v>1384</v>
      </c>
      <c r="E27" s="956" t="s">
        <v>1385</v>
      </c>
      <c r="F27" s="1150" t="s">
        <v>1386</v>
      </c>
      <c r="G27" s="957" t="s">
        <v>1387</v>
      </c>
      <c r="H27" s="958" t="s">
        <v>1388</v>
      </c>
      <c r="I27" s="957" t="s">
        <v>1389</v>
      </c>
      <c r="J27" s="958" t="s">
        <v>1390</v>
      </c>
      <c r="K27" s="957" t="s">
        <v>1391</v>
      </c>
      <c r="L27" s="958" t="s">
        <v>1392</v>
      </c>
      <c r="M27" s="957" t="s">
        <v>1393</v>
      </c>
      <c r="N27" s="958" t="s">
        <v>1394</v>
      </c>
      <c r="O27" s="957" t="s">
        <v>1395</v>
      </c>
      <c r="P27" s="958" t="s">
        <v>1396</v>
      </c>
      <c r="Q27" s="957" t="s">
        <v>1397</v>
      </c>
      <c r="R27" s="958" t="s">
        <v>1398</v>
      </c>
      <c r="S27" s="957" t="s">
        <v>1399</v>
      </c>
      <c r="T27" s="958" t="s">
        <v>1400</v>
      </c>
      <c r="U27" s="957" t="s">
        <v>1401</v>
      </c>
      <c r="V27" s="958" t="s">
        <v>1402</v>
      </c>
      <c r="W27" s="957" t="s">
        <v>1403</v>
      </c>
      <c r="X27" s="958" t="s">
        <v>1404</v>
      </c>
      <c r="Y27" s="957" t="s">
        <v>1405</v>
      </c>
      <c r="Z27" s="958" t="s">
        <v>1406</v>
      </c>
      <c r="AA27" s="957" t="s">
        <v>1407</v>
      </c>
      <c r="AB27" s="958" t="s">
        <v>1408</v>
      </c>
      <c r="AC27" s="957" t="s">
        <v>1409</v>
      </c>
      <c r="AD27" s="958" t="s">
        <v>1410</v>
      </c>
      <c r="AE27" s="957" t="s">
        <v>1411</v>
      </c>
      <c r="AF27" s="958" t="s">
        <v>1412</v>
      </c>
      <c r="AG27" s="957" t="s">
        <v>1413</v>
      </c>
      <c r="AH27" s="958" t="s">
        <v>1414</v>
      </c>
      <c r="AI27" s="957" t="s">
        <v>1415</v>
      </c>
      <c r="AJ27" s="958" t="s">
        <v>1416</v>
      </c>
      <c r="AK27" s="957" t="s">
        <v>1417</v>
      </c>
      <c r="AL27" s="958" t="s">
        <v>1418</v>
      </c>
      <c r="AM27" s="957" t="s">
        <v>1419</v>
      </c>
      <c r="AN27" s="966" t="s">
        <v>1420</v>
      </c>
      <c r="AO27" s="1171" t="s">
        <v>1421</v>
      </c>
      <c r="AP27" s="1520" t="s">
        <v>1422</v>
      </c>
      <c r="AQ27" s="1044" t="s">
        <v>1423</v>
      </c>
      <c r="AR27" s="958" t="s">
        <v>1424</v>
      </c>
      <c r="AS27" s="1044" t="s">
        <v>1425</v>
      </c>
      <c r="AT27" s="958" t="s">
        <v>1426</v>
      </c>
      <c r="AU27" s="1148" t="s">
        <v>1427</v>
      </c>
      <c r="AV27" s="1148" t="s">
        <v>1428</v>
      </c>
      <c r="AW27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7" s="224"/>
      <c r="AY27" s="224"/>
      <c r="AZ27" s="224"/>
      <c r="BA27" s="224"/>
      <c r="CB27" s="664"/>
      <c r="CC27" s="664"/>
      <c r="CD27" s="664"/>
      <c r="CE27" s="664"/>
      <c r="CF27" s="664"/>
      <c r="CG27" s="465" t="str">
        <f>IF($AO27&gt;$F27,"* La celda 'Gestantes' debe ser menor o igual al Total de Mujeres en control. ","")</f>
        <v xml:space="preserve">* La celda 'Gestantes' debe ser menor o igual al Total de Mujeres en control. </v>
      </c>
      <c r="CH27" s="465" t="str">
        <f>IF($AP27&gt;$F27,"* La celda 'Madres de Hijos menor de 5 años' debe ser menor o igual al Total de Mujeres en control. ","")</f>
        <v xml:space="preserve">* La celda 'Madres de Hijos menor de 5 años' debe ser menor o igual al Total de Mujeres en control. </v>
      </c>
      <c r="CI27" s="465" t="str">
        <f t="shared" si="25"/>
        <v xml:space="preserve">* La celda 'Pueblos Originarios / Hombres' debe ser menor o igual al Total de Hombres en control. </v>
      </c>
      <c r="CJ27" s="465" t="str">
        <f t="shared" si="26"/>
        <v xml:space="preserve">* La celda 'Pueblos Originarios / Mujeres' debe ser menor o igual al Total de Mujeres en control. </v>
      </c>
      <c r="CK27" s="465" t="str">
        <f t="shared" si="27"/>
        <v xml:space="preserve">* La celda 'Población Migrantes / Hombres' debe ser menor o igual al Total de Hombres en control. </v>
      </c>
      <c r="CL27" s="465" t="str">
        <f t="shared" si="28"/>
        <v xml:space="preserve">* La celda 'Población Migrantes / Mujeres' debe ser menor o igual al Total de Mujeres en control. </v>
      </c>
      <c r="CM27" s="465" t="str">
        <f t="shared" si="29"/>
        <v xml:space="preserve">* La celda 'Niños, Niñas, Adolescentes y Jóvenes de Población SENAME' debe ser menor o igual al Total de Ambos Sexos. </v>
      </c>
      <c r="CN27" s="465" t="str">
        <f>IF(AND($D27&lt;&gt;0,$AO27=""),"* No olvide escribir en la celda de 'Gestantes' (Digite CERO si no tiene). ","")</f>
        <v/>
      </c>
      <c r="CO27" s="465" t="str">
        <f>IF(AND($D27&lt;&gt;0,$AP27=""),"* No olvide escribir en la celda de 'Madres de Hijos menor de 5 años' (Digite CERO si no tiene). ","")</f>
        <v/>
      </c>
      <c r="CP27" s="465" t="str">
        <f t="shared" si="30"/>
        <v/>
      </c>
      <c r="CQ27" s="465" t="str">
        <f t="shared" si="31"/>
        <v/>
      </c>
      <c r="CR27" s="465" t="str">
        <f t="shared" si="32"/>
        <v/>
      </c>
      <c r="CS27" s="664"/>
      <c r="CT27" s="664"/>
      <c r="CU27" s="664"/>
      <c r="CV27" s="474"/>
      <c r="CW27" s="474"/>
      <c r="CX27" s="474"/>
      <c r="CY27" s="665"/>
      <c r="CZ27" s="665"/>
      <c r="DA27" s="486">
        <f>IF($AO27&gt;$F27,1,0)</f>
        <v>1</v>
      </c>
      <c r="DB27" s="486">
        <f t="shared" si="14"/>
        <v>1</v>
      </c>
      <c r="DC27" s="486">
        <f t="shared" si="33"/>
        <v>1</v>
      </c>
      <c r="DD27" s="486">
        <f t="shared" si="16"/>
        <v>1</v>
      </c>
      <c r="DE27" s="486">
        <f t="shared" si="34"/>
        <v>1</v>
      </c>
      <c r="DF27" s="486">
        <f t="shared" si="18"/>
        <v>1</v>
      </c>
      <c r="DG27" s="486">
        <f t="shared" si="19"/>
        <v>1</v>
      </c>
      <c r="DH27" s="486">
        <f>IF(AND($D27&lt;&gt;0,$AO27=""),1,0)</f>
        <v>0</v>
      </c>
      <c r="DI27" s="486">
        <f t="shared" si="21"/>
        <v>0</v>
      </c>
      <c r="DJ27" s="486">
        <f t="shared" si="22"/>
        <v>0</v>
      </c>
      <c r="DK27" s="486">
        <f t="shared" si="35"/>
        <v>0</v>
      </c>
      <c r="DL27" s="486">
        <f t="shared" si="36"/>
        <v>0</v>
      </c>
      <c r="DM27" s="665"/>
      <c r="DN27" s="665"/>
      <c r="DO27" s="665"/>
      <c r="DP27" s="1247"/>
      <c r="DQ27" s="664"/>
      <c r="DR27" s="664"/>
    </row>
    <row r="28" spans="1:122" s="173" customFormat="1" ht="21" customHeight="1" x14ac:dyDescent="0.25">
      <c r="A28" s="1773" t="s">
        <v>1237</v>
      </c>
      <c r="B28" s="2354"/>
      <c r="C28" s="223" t="s">
        <v>247</v>
      </c>
      <c r="D28" s="941" t="s">
        <v>1384</v>
      </c>
      <c r="E28" s="950" t="s">
        <v>1385</v>
      </c>
      <c r="F28" s="1147" t="s">
        <v>1386</v>
      </c>
      <c r="G28" s="962" t="s">
        <v>1387</v>
      </c>
      <c r="H28" s="963" t="s">
        <v>1388</v>
      </c>
      <c r="I28" s="962" t="s">
        <v>1389</v>
      </c>
      <c r="J28" s="963" t="s">
        <v>1390</v>
      </c>
      <c r="K28" s="962" t="s">
        <v>1391</v>
      </c>
      <c r="L28" s="963" t="s">
        <v>1392</v>
      </c>
      <c r="M28" s="962" t="s">
        <v>1393</v>
      </c>
      <c r="N28" s="963" t="s">
        <v>1394</v>
      </c>
      <c r="O28" s="962" t="s">
        <v>1395</v>
      </c>
      <c r="P28" s="963" t="s">
        <v>1396</v>
      </c>
      <c r="Q28" s="962" t="s">
        <v>1397</v>
      </c>
      <c r="R28" s="963" t="s">
        <v>1398</v>
      </c>
      <c r="S28" s="962" t="s">
        <v>1399</v>
      </c>
      <c r="T28" s="963" t="s">
        <v>1400</v>
      </c>
      <c r="U28" s="962" t="s">
        <v>1401</v>
      </c>
      <c r="V28" s="963" t="s">
        <v>1402</v>
      </c>
      <c r="W28" s="962" t="s">
        <v>1403</v>
      </c>
      <c r="X28" s="963" t="s">
        <v>1404</v>
      </c>
      <c r="Y28" s="962" t="s">
        <v>1405</v>
      </c>
      <c r="Z28" s="963" t="s">
        <v>1406</v>
      </c>
      <c r="AA28" s="962" t="s">
        <v>1407</v>
      </c>
      <c r="AB28" s="963" t="s">
        <v>1408</v>
      </c>
      <c r="AC28" s="962" t="s">
        <v>1409</v>
      </c>
      <c r="AD28" s="963" t="s">
        <v>1410</v>
      </c>
      <c r="AE28" s="962" t="s">
        <v>1411</v>
      </c>
      <c r="AF28" s="963" t="s">
        <v>1412</v>
      </c>
      <c r="AG28" s="962" t="s">
        <v>1413</v>
      </c>
      <c r="AH28" s="963" t="s">
        <v>1414</v>
      </c>
      <c r="AI28" s="962" t="s">
        <v>1415</v>
      </c>
      <c r="AJ28" s="963" t="s">
        <v>1416</v>
      </c>
      <c r="AK28" s="962" t="s">
        <v>1417</v>
      </c>
      <c r="AL28" s="963" t="s">
        <v>1418</v>
      </c>
      <c r="AM28" s="962" t="s">
        <v>1419</v>
      </c>
      <c r="AN28" s="993" t="s">
        <v>1420</v>
      </c>
      <c r="AO28" s="1538" t="s">
        <v>1421</v>
      </c>
      <c r="AP28" s="1522" t="s">
        <v>1422</v>
      </c>
      <c r="AQ28" s="1041" t="s">
        <v>1423</v>
      </c>
      <c r="AR28" s="963" t="s">
        <v>1424</v>
      </c>
      <c r="AS28" s="1041" t="s">
        <v>1425</v>
      </c>
      <c r="AT28" s="963" t="s">
        <v>1426</v>
      </c>
      <c r="AU28" s="1011" t="s">
        <v>1427</v>
      </c>
      <c r="AV28" s="1011" t="s">
        <v>1428</v>
      </c>
      <c r="AW28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8" s="224"/>
      <c r="AY28" s="224"/>
      <c r="AZ28" s="224"/>
      <c r="BA28" s="224"/>
      <c r="CB28" s="664"/>
      <c r="CC28" s="664"/>
      <c r="CD28" s="664"/>
      <c r="CE28" s="664"/>
      <c r="CF28" s="664"/>
      <c r="CG28" s="465" t="str">
        <f>IF($AO28&gt;$F28,"* La celda 'Gestantes' debe ser menor o igual al Total de Mujeres en control. ","")</f>
        <v xml:space="preserve">* La celda 'Gestantes' debe ser menor o igual al Total de Mujeres en control. </v>
      </c>
      <c r="CH28" s="465" t="str">
        <f>IF($AP28&gt;$F28,"* La celda 'Madres de Hijos menor de 5 años' debe ser menor o igual al Total de Mujeres en control. ","")</f>
        <v xml:space="preserve">* La celda 'Madres de Hijos menor de 5 años' debe ser menor o igual al Total de Mujeres en control. </v>
      </c>
      <c r="CI28" s="465" t="str">
        <f t="shared" si="25"/>
        <v xml:space="preserve">* La celda 'Pueblos Originarios / Hombres' debe ser menor o igual al Total de Hombres en control. </v>
      </c>
      <c r="CJ28" s="465" t="str">
        <f t="shared" si="26"/>
        <v xml:space="preserve">* La celda 'Pueblos Originarios / Mujeres' debe ser menor o igual al Total de Mujeres en control. </v>
      </c>
      <c r="CK28" s="465" t="str">
        <f t="shared" si="27"/>
        <v xml:space="preserve">* La celda 'Población Migrantes / Hombres' debe ser menor o igual al Total de Hombres en control. </v>
      </c>
      <c r="CL28" s="465" t="str">
        <f t="shared" si="28"/>
        <v xml:space="preserve">* La celda 'Población Migrantes / Mujeres' debe ser menor o igual al Total de Mujeres en control. </v>
      </c>
      <c r="CM28" s="465" t="str">
        <f t="shared" si="29"/>
        <v xml:space="preserve">* La celda 'Niños, Niñas, Adolescentes y Jóvenes de Población SENAME' debe ser menor o igual al Total de Ambos Sexos. </v>
      </c>
      <c r="CN28" s="465" t="str">
        <f>IF(AND($D28&lt;&gt;0,$AO28=""),"* No olvide escribir en la celda de 'Gestantes' (Digite CERO si no tiene). ","")</f>
        <v/>
      </c>
      <c r="CO28" s="465" t="str">
        <f>IF(AND($D28&lt;&gt;0,$AP28=""),"* No olvide escribir en la celda de 'Madres de Hijos menor de 5 años' (Digite CERO si no tiene). ","")</f>
        <v/>
      </c>
      <c r="CP28" s="465" t="str">
        <f t="shared" si="30"/>
        <v/>
      </c>
      <c r="CQ28" s="465" t="str">
        <f t="shared" si="31"/>
        <v/>
      </c>
      <c r="CR28" s="465" t="str">
        <f t="shared" si="32"/>
        <v/>
      </c>
      <c r="CS28" s="664"/>
      <c r="CT28" s="664"/>
      <c r="CU28" s="664"/>
      <c r="CV28" s="474"/>
      <c r="CW28" s="474"/>
      <c r="CX28" s="474"/>
      <c r="CY28" s="665"/>
      <c r="CZ28" s="665"/>
      <c r="DA28" s="486">
        <f>IF($AO28&gt;$F28,1,0)</f>
        <v>1</v>
      </c>
      <c r="DB28" s="486">
        <f t="shared" si="14"/>
        <v>1</v>
      </c>
      <c r="DC28" s="486">
        <f t="shared" si="33"/>
        <v>1</v>
      </c>
      <c r="DD28" s="486">
        <f t="shared" si="16"/>
        <v>1</v>
      </c>
      <c r="DE28" s="486">
        <f t="shared" si="34"/>
        <v>1</v>
      </c>
      <c r="DF28" s="486">
        <f t="shared" si="18"/>
        <v>1</v>
      </c>
      <c r="DG28" s="486">
        <f t="shared" si="19"/>
        <v>1</v>
      </c>
      <c r="DH28" s="486">
        <f>IF(AND($D28&lt;&gt;0,$AO28=""),1,0)</f>
        <v>0</v>
      </c>
      <c r="DI28" s="486">
        <f t="shared" si="21"/>
        <v>0</v>
      </c>
      <c r="DJ28" s="486">
        <f t="shared" si="22"/>
        <v>0</v>
      </c>
      <c r="DK28" s="486">
        <f t="shared" si="35"/>
        <v>0</v>
      </c>
      <c r="DL28" s="486">
        <f t="shared" si="36"/>
        <v>0</v>
      </c>
      <c r="DM28" s="665"/>
      <c r="DN28" s="665"/>
      <c r="DO28" s="665"/>
      <c r="DP28" s="1247"/>
      <c r="DQ28" s="664"/>
      <c r="DR28" s="664"/>
    </row>
    <row r="29" spans="1:122" s="173" customFormat="1" ht="21" customHeight="1" x14ac:dyDescent="0.25">
      <c r="A29" s="1773" t="s">
        <v>1238</v>
      </c>
      <c r="B29" s="2356" t="s">
        <v>248</v>
      </c>
      <c r="C29" s="494" t="s">
        <v>249</v>
      </c>
      <c r="D29" s="936" t="s">
        <v>1384</v>
      </c>
      <c r="E29" s="951" t="s">
        <v>1385</v>
      </c>
      <c r="F29" s="1155" t="s">
        <v>1386</v>
      </c>
      <c r="G29" s="953" t="s">
        <v>1387</v>
      </c>
      <c r="H29" s="954" t="s">
        <v>1388</v>
      </c>
      <c r="I29" s="953" t="s">
        <v>1389</v>
      </c>
      <c r="J29" s="954" t="s">
        <v>1390</v>
      </c>
      <c r="K29" s="953" t="s">
        <v>1391</v>
      </c>
      <c r="L29" s="954" t="s">
        <v>1392</v>
      </c>
      <c r="M29" s="953" t="s">
        <v>1393</v>
      </c>
      <c r="N29" s="954" t="s">
        <v>1394</v>
      </c>
      <c r="O29" s="953" t="s">
        <v>1395</v>
      </c>
      <c r="P29" s="954" t="s">
        <v>1396</v>
      </c>
      <c r="Q29" s="953" t="s">
        <v>1397</v>
      </c>
      <c r="R29" s="954" t="s">
        <v>1398</v>
      </c>
      <c r="S29" s="953" t="s">
        <v>1399</v>
      </c>
      <c r="T29" s="954" t="s">
        <v>1400</v>
      </c>
      <c r="U29" s="953" t="s">
        <v>1401</v>
      </c>
      <c r="V29" s="954" t="s">
        <v>1402</v>
      </c>
      <c r="W29" s="953" t="s">
        <v>1403</v>
      </c>
      <c r="X29" s="954" t="s">
        <v>1404</v>
      </c>
      <c r="Y29" s="953" t="s">
        <v>1405</v>
      </c>
      <c r="Z29" s="954" t="s">
        <v>1406</v>
      </c>
      <c r="AA29" s="953" t="s">
        <v>1407</v>
      </c>
      <c r="AB29" s="954" t="s">
        <v>1408</v>
      </c>
      <c r="AC29" s="953" t="s">
        <v>1409</v>
      </c>
      <c r="AD29" s="954" t="s">
        <v>1410</v>
      </c>
      <c r="AE29" s="953" t="s">
        <v>1411</v>
      </c>
      <c r="AF29" s="954" t="s">
        <v>1412</v>
      </c>
      <c r="AG29" s="953" t="s">
        <v>1413</v>
      </c>
      <c r="AH29" s="954" t="s">
        <v>1414</v>
      </c>
      <c r="AI29" s="953" t="s">
        <v>1415</v>
      </c>
      <c r="AJ29" s="954" t="s">
        <v>1416</v>
      </c>
      <c r="AK29" s="953" t="s">
        <v>1417</v>
      </c>
      <c r="AL29" s="954" t="s">
        <v>1418</v>
      </c>
      <c r="AM29" s="953" t="s">
        <v>1419</v>
      </c>
      <c r="AN29" s="965" t="s">
        <v>1420</v>
      </c>
      <c r="AO29" s="1537" t="s">
        <v>1421</v>
      </c>
      <c r="AP29" s="1545" t="s">
        <v>1422</v>
      </c>
      <c r="AQ29" s="1037" t="s">
        <v>1423</v>
      </c>
      <c r="AR29" s="954" t="s">
        <v>1424</v>
      </c>
      <c r="AS29" s="1037" t="s">
        <v>1425</v>
      </c>
      <c r="AT29" s="954" t="s">
        <v>1426</v>
      </c>
      <c r="AU29" s="1036" t="s">
        <v>1427</v>
      </c>
      <c r="AV29" s="1036" t="s">
        <v>1428</v>
      </c>
      <c r="AW29" s="411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29" s="224"/>
      <c r="AY29" s="224"/>
      <c r="AZ29" s="224"/>
      <c r="BA29" s="224"/>
      <c r="CB29" s="664"/>
      <c r="CC29" s="664"/>
      <c r="CD29" s="664"/>
      <c r="CE29" s="664"/>
      <c r="CF29" s="664"/>
      <c r="CG29" s="474"/>
      <c r="CH29" s="474"/>
      <c r="CI29" s="465" t="str">
        <f t="shared" si="25"/>
        <v xml:space="preserve">* La celda 'Pueblos Originarios / Hombres' debe ser menor o igual al Total de Hombres en control. </v>
      </c>
      <c r="CJ29" s="465" t="str">
        <f t="shared" si="26"/>
        <v xml:space="preserve">* La celda 'Pueblos Originarios / Mujeres' debe ser menor o igual al Total de Mujeres en control. </v>
      </c>
      <c r="CK29" s="465" t="str">
        <f t="shared" si="27"/>
        <v xml:space="preserve">* La celda 'Población Migrantes / Hombres' debe ser menor o igual al Total de Hombres en control. </v>
      </c>
      <c r="CL29" s="465" t="str">
        <f t="shared" si="28"/>
        <v xml:space="preserve">* La celda 'Población Migrantes / Mujeres' debe ser menor o igual al Total de Mujeres en control. </v>
      </c>
      <c r="CM29" s="465" t="str">
        <f t="shared" si="29"/>
        <v xml:space="preserve">* La celda 'Niños, Niñas, Adolescentes y Jóvenes de Población SENAME' debe ser menor o igual al Total de Ambos Sexos. </v>
      </c>
      <c r="CN29" s="474"/>
      <c r="CO29" s="474"/>
      <c r="CP29" s="465" t="str">
        <f t="shared" si="30"/>
        <v/>
      </c>
      <c r="CQ29" s="465" t="str">
        <f t="shared" si="31"/>
        <v/>
      </c>
      <c r="CR29" s="465" t="str">
        <f t="shared" si="32"/>
        <v/>
      </c>
      <c r="CS29" s="664"/>
      <c r="CT29" s="664"/>
      <c r="CU29" s="664"/>
      <c r="CV29" s="474"/>
      <c r="CW29" s="474"/>
      <c r="CX29" s="474"/>
      <c r="CY29" s="665"/>
      <c r="CZ29" s="665"/>
      <c r="DA29" s="470"/>
      <c r="DB29" s="470"/>
      <c r="DC29" s="486">
        <f t="shared" si="33"/>
        <v>1</v>
      </c>
      <c r="DD29" s="486">
        <f t="shared" si="16"/>
        <v>1</v>
      </c>
      <c r="DE29" s="486">
        <f t="shared" si="34"/>
        <v>1</v>
      </c>
      <c r="DF29" s="486">
        <f t="shared" si="18"/>
        <v>1</v>
      </c>
      <c r="DG29" s="486">
        <f t="shared" si="19"/>
        <v>1</v>
      </c>
      <c r="DH29" s="470"/>
      <c r="DI29" s="470"/>
      <c r="DJ29" s="486">
        <f t="shared" si="22"/>
        <v>0</v>
      </c>
      <c r="DK29" s="486">
        <f t="shared" si="35"/>
        <v>0</v>
      </c>
      <c r="DL29" s="486">
        <f t="shared" si="36"/>
        <v>0</v>
      </c>
      <c r="DM29" s="665"/>
      <c r="DN29" s="665"/>
      <c r="DO29" s="665"/>
      <c r="DP29" s="1247"/>
      <c r="DQ29" s="664"/>
      <c r="DR29" s="664"/>
    </row>
    <row r="30" spans="1:122" s="173" customFormat="1" ht="21" customHeight="1" x14ac:dyDescent="0.25">
      <c r="A30" s="1773" t="s">
        <v>1239</v>
      </c>
      <c r="B30" s="2357"/>
      <c r="C30" s="495" t="s">
        <v>250</v>
      </c>
      <c r="D30" s="938" t="s">
        <v>1384</v>
      </c>
      <c r="E30" s="956" t="s">
        <v>1385</v>
      </c>
      <c r="F30" s="1150" t="s">
        <v>1386</v>
      </c>
      <c r="G30" s="957" t="s">
        <v>1387</v>
      </c>
      <c r="H30" s="958" t="s">
        <v>1388</v>
      </c>
      <c r="I30" s="957" t="s">
        <v>1389</v>
      </c>
      <c r="J30" s="958" t="s">
        <v>1390</v>
      </c>
      <c r="K30" s="957" t="s">
        <v>1391</v>
      </c>
      <c r="L30" s="958" t="s">
        <v>1392</v>
      </c>
      <c r="M30" s="957" t="s">
        <v>1393</v>
      </c>
      <c r="N30" s="958" t="s">
        <v>1394</v>
      </c>
      <c r="O30" s="957" t="s">
        <v>1395</v>
      </c>
      <c r="P30" s="1044" t="s">
        <v>1396</v>
      </c>
      <c r="Q30" s="957" t="s">
        <v>1397</v>
      </c>
      <c r="R30" s="958" t="s">
        <v>1398</v>
      </c>
      <c r="S30" s="957" t="s">
        <v>1399</v>
      </c>
      <c r="T30" s="958" t="s">
        <v>1400</v>
      </c>
      <c r="U30" s="957" t="s">
        <v>1401</v>
      </c>
      <c r="V30" s="958" t="s">
        <v>1402</v>
      </c>
      <c r="W30" s="957" t="s">
        <v>1403</v>
      </c>
      <c r="X30" s="958" t="s">
        <v>1404</v>
      </c>
      <c r="Y30" s="957" t="s">
        <v>1405</v>
      </c>
      <c r="Z30" s="958" t="s">
        <v>1406</v>
      </c>
      <c r="AA30" s="957" t="s">
        <v>1407</v>
      </c>
      <c r="AB30" s="958" t="s">
        <v>1408</v>
      </c>
      <c r="AC30" s="957" t="s">
        <v>1409</v>
      </c>
      <c r="AD30" s="958" t="s">
        <v>1410</v>
      </c>
      <c r="AE30" s="957" t="s">
        <v>1411</v>
      </c>
      <c r="AF30" s="958" t="s">
        <v>1412</v>
      </c>
      <c r="AG30" s="957" t="s">
        <v>1413</v>
      </c>
      <c r="AH30" s="958" t="s">
        <v>1414</v>
      </c>
      <c r="AI30" s="957" t="s">
        <v>1415</v>
      </c>
      <c r="AJ30" s="958" t="s">
        <v>1416</v>
      </c>
      <c r="AK30" s="957" t="s">
        <v>1417</v>
      </c>
      <c r="AL30" s="958" t="s">
        <v>1418</v>
      </c>
      <c r="AM30" s="957" t="s">
        <v>1419</v>
      </c>
      <c r="AN30" s="966" t="s">
        <v>1420</v>
      </c>
      <c r="AO30" s="1171" t="s">
        <v>1421</v>
      </c>
      <c r="AP30" s="1546" t="s">
        <v>1422</v>
      </c>
      <c r="AQ30" s="1044" t="s">
        <v>1423</v>
      </c>
      <c r="AR30" s="958" t="s">
        <v>1424</v>
      </c>
      <c r="AS30" s="1044" t="s">
        <v>1425</v>
      </c>
      <c r="AT30" s="958" t="s">
        <v>1426</v>
      </c>
      <c r="AU30" s="1148" t="s">
        <v>1427</v>
      </c>
      <c r="AV30" s="1148" t="s">
        <v>1428</v>
      </c>
      <c r="AW30" s="411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0" s="224"/>
      <c r="AY30" s="224"/>
      <c r="AZ30" s="224"/>
      <c r="BA30" s="224"/>
      <c r="CB30" s="664"/>
      <c r="CC30" s="664"/>
      <c r="CD30" s="664"/>
      <c r="CE30" s="664"/>
      <c r="CF30" s="664"/>
      <c r="CG30" s="474"/>
      <c r="CH30" s="474"/>
      <c r="CI30" s="465" t="str">
        <f t="shared" si="25"/>
        <v xml:space="preserve">* La celda 'Pueblos Originarios / Hombres' debe ser menor o igual al Total de Hombres en control. </v>
      </c>
      <c r="CJ30" s="465" t="str">
        <f t="shared" si="26"/>
        <v xml:space="preserve">* La celda 'Pueblos Originarios / Mujeres' debe ser menor o igual al Total de Mujeres en control. </v>
      </c>
      <c r="CK30" s="465" t="str">
        <f t="shared" si="27"/>
        <v xml:space="preserve">* La celda 'Población Migrantes / Hombres' debe ser menor o igual al Total de Hombres en control. </v>
      </c>
      <c r="CL30" s="465" t="str">
        <f t="shared" si="28"/>
        <v xml:space="preserve">* La celda 'Población Migrantes / Mujeres' debe ser menor o igual al Total de Mujeres en control. </v>
      </c>
      <c r="CM30" s="465" t="str">
        <f t="shared" si="29"/>
        <v xml:space="preserve">* La celda 'Niños, Niñas, Adolescentes y Jóvenes de Población SENAME' debe ser menor o igual al Total de Ambos Sexos. </v>
      </c>
      <c r="CN30" s="474"/>
      <c r="CO30" s="474"/>
      <c r="CP30" s="465" t="str">
        <f t="shared" si="30"/>
        <v/>
      </c>
      <c r="CQ30" s="465" t="str">
        <f t="shared" si="31"/>
        <v/>
      </c>
      <c r="CR30" s="465" t="str">
        <f t="shared" si="32"/>
        <v/>
      </c>
      <c r="CS30" s="664"/>
      <c r="CT30" s="664"/>
      <c r="CU30" s="664"/>
      <c r="CV30" s="474"/>
      <c r="CW30" s="474"/>
      <c r="CX30" s="474"/>
      <c r="CY30" s="665"/>
      <c r="CZ30" s="665"/>
      <c r="DA30" s="470"/>
      <c r="DB30" s="470"/>
      <c r="DC30" s="486">
        <f t="shared" si="33"/>
        <v>1</v>
      </c>
      <c r="DD30" s="486">
        <f t="shared" si="16"/>
        <v>1</v>
      </c>
      <c r="DE30" s="486">
        <f t="shared" si="34"/>
        <v>1</v>
      </c>
      <c r="DF30" s="486">
        <f t="shared" si="18"/>
        <v>1</v>
      </c>
      <c r="DG30" s="486">
        <f t="shared" si="19"/>
        <v>1</v>
      </c>
      <c r="DH30" s="470"/>
      <c r="DI30" s="470"/>
      <c r="DJ30" s="486">
        <f t="shared" si="22"/>
        <v>0</v>
      </c>
      <c r="DK30" s="486">
        <f t="shared" si="35"/>
        <v>0</v>
      </c>
      <c r="DL30" s="486">
        <f t="shared" si="36"/>
        <v>0</v>
      </c>
      <c r="DM30" s="665"/>
      <c r="DN30" s="665"/>
      <c r="DO30" s="665"/>
      <c r="DP30" s="1247"/>
      <c r="DQ30" s="664"/>
      <c r="DR30" s="664"/>
    </row>
    <row r="31" spans="1:122" s="173" customFormat="1" ht="21" customHeight="1" x14ac:dyDescent="0.25">
      <c r="A31" s="1773" t="s">
        <v>1240</v>
      </c>
      <c r="B31" s="2357"/>
      <c r="C31" s="495" t="s">
        <v>251</v>
      </c>
      <c r="D31" s="944" t="s">
        <v>1384</v>
      </c>
      <c r="E31" s="945" t="s">
        <v>1385</v>
      </c>
      <c r="F31" s="1146" t="s">
        <v>1386</v>
      </c>
      <c r="G31" s="957" t="s">
        <v>1387</v>
      </c>
      <c r="H31" s="958" t="s">
        <v>1388</v>
      </c>
      <c r="I31" s="957" t="s">
        <v>1389</v>
      </c>
      <c r="J31" s="958" t="s">
        <v>1390</v>
      </c>
      <c r="K31" s="957" t="s">
        <v>1391</v>
      </c>
      <c r="L31" s="958" t="s">
        <v>1392</v>
      </c>
      <c r="M31" s="1005" t="s">
        <v>1393</v>
      </c>
      <c r="N31" s="1006" t="s">
        <v>1394</v>
      </c>
      <c r="O31" s="1005" t="s">
        <v>1395</v>
      </c>
      <c r="P31" s="1006" t="s">
        <v>1396</v>
      </c>
      <c r="Q31" s="1005" t="s">
        <v>1397</v>
      </c>
      <c r="R31" s="1006" t="s">
        <v>1398</v>
      </c>
      <c r="S31" s="1005" t="s">
        <v>1399</v>
      </c>
      <c r="T31" s="1006" t="s">
        <v>1400</v>
      </c>
      <c r="U31" s="1005" t="s">
        <v>1401</v>
      </c>
      <c r="V31" s="1006" t="s">
        <v>1402</v>
      </c>
      <c r="W31" s="1005" t="s">
        <v>1403</v>
      </c>
      <c r="X31" s="1006" t="s">
        <v>1404</v>
      </c>
      <c r="Y31" s="1005" t="s">
        <v>1405</v>
      </c>
      <c r="Z31" s="1006" t="s">
        <v>1406</v>
      </c>
      <c r="AA31" s="1005" t="s">
        <v>1407</v>
      </c>
      <c r="AB31" s="1006" t="s">
        <v>1408</v>
      </c>
      <c r="AC31" s="1005" t="s">
        <v>1409</v>
      </c>
      <c r="AD31" s="1006" t="s">
        <v>1410</v>
      </c>
      <c r="AE31" s="1005" t="s">
        <v>1411</v>
      </c>
      <c r="AF31" s="1006" t="s">
        <v>1412</v>
      </c>
      <c r="AG31" s="1005" t="s">
        <v>1413</v>
      </c>
      <c r="AH31" s="1006" t="s">
        <v>1414</v>
      </c>
      <c r="AI31" s="1005" t="s">
        <v>1415</v>
      </c>
      <c r="AJ31" s="1006" t="s">
        <v>1416</v>
      </c>
      <c r="AK31" s="1005" t="s">
        <v>1417</v>
      </c>
      <c r="AL31" s="1006" t="s">
        <v>1418</v>
      </c>
      <c r="AM31" s="1005" t="s">
        <v>1419</v>
      </c>
      <c r="AN31" s="1151" t="s">
        <v>1420</v>
      </c>
      <c r="AO31" s="1171" t="s">
        <v>1421</v>
      </c>
      <c r="AP31" s="1546" t="s">
        <v>1422</v>
      </c>
      <c r="AQ31" s="1044" t="s">
        <v>1423</v>
      </c>
      <c r="AR31" s="958" t="s">
        <v>1424</v>
      </c>
      <c r="AS31" s="1044" t="s">
        <v>1425</v>
      </c>
      <c r="AT31" s="958" t="s">
        <v>1426</v>
      </c>
      <c r="AU31" s="1148" t="s">
        <v>1427</v>
      </c>
      <c r="AV31" s="1148" t="s">
        <v>1428</v>
      </c>
      <c r="AW31" s="411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1" s="224"/>
      <c r="AY31" s="224"/>
      <c r="AZ31" s="224"/>
      <c r="BA31" s="224"/>
      <c r="CB31" s="664"/>
      <c r="CC31" s="664"/>
      <c r="CD31" s="664"/>
      <c r="CE31" s="664"/>
      <c r="CF31" s="664"/>
      <c r="CG31" s="474"/>
      <c r="CH31" s="474"/>
      <c r="CI31" s="465" t="str">
        <f t="shared" si="25"/>
        <v xml:space="preserve">* La celda 'Pueblos Originarios / Hombres' debe ser menor o igual al Total de Hombres en control. </v>
      </c>
      <c r="CJ31" s="465" t="str">
        <f t="shared" si="26"/>
        <v xml:space="preserve">* La celda 'Pueblos Originarios / Mujeres' debe ser menor o igual al Total de Mujeres en control. </v>
      </c>
      <c r="CK31" s="465" t="str">
        <f t="shared" si="27"/>
        <v xml:space="preserve">* La celda 'Población Migrantes / Hombres' debe ser menor o igual al Total de Hombres en control. </v>
      </c>
      <c r="CL31" s="465" t="str">
        <f t="shared" si="28"/>
        <v xml:space="preserve">* La celda 'Población Migrantes / Mujeres' debe ser menor o igual al Total de Mujeres en control. </v>
      </c>
      <c r="CM31" s="465" t="str">
        <f t="shared" si="29"/>
        <v xml:space="preserve">* La celda 'Niños, Niñas, Adolescentes y Jóvenes de Población SENAME' debe ser menor o igual al Total de Ambos Sexos. </v>
      </c>
      <c r="CN31" s="474"/>
      <c r="CO31" s="474"/>
      <c r="CP31" s="465" t="str">
        <f t="shared" si="30"/>
        <v/>
      </c>
      <c r="CQ31" s="465" t="str">
        <f t="shared" si="31"/>
        <v/>
      </c>
      <c r="CR31" s="465" t="str">
        <f t="shared" si="32"/>
        <v/>
      </c>
      <c r="CS31" s="664"/>
      <c r="CT31" s="664"/>
      <c r="CU31" s="664"/>
      <c r="CV31" s="474"/>
      <c r="CW31" s="474"/>
      <c r="CX31" s="474"/>
      <c r="CY31" s="665"/>
      <c r="CZ31" s="665"/>
      <c r="DA31" s="470"/>
      <c r="DB31" s="470"/>
      <c r="DC31" s="486">
        <f t="shared" si="33"/>
        <v>1</v>
      </c>
      <c r="DD31" s="486">
        <f t="shared" si="16"/>
        <v>1</v>
      </c>
      <c r="DE31" s="486">
        <f t="shared" si="34"/>
        <v>1</v>
      </c>
      <c r="DF31" s="486">
        <f t="shared" si="18"/>
        <v>1</v>
      </c>
      <c r="DG31" s="486">
        <f t="shared" si="19"/>
        <v>1</v>
      </c>
      <c r="DH31" s="470"/>
      <c r="DI31" s="470"/>
      <c r="DJ31" s="486">
        <f t="shared" si="22"/>
        <v>0</v>
      </c>
      <c r="DK31" s="486">
        <f t="shared" si="35"/>
        <v>0</v>
      </c>
      <c r="DL31" s="486">
        <f t="shared" si="36"/>
        <v>0</v>
      </c>
      <c r="DM31" s="665"/>
      <c r="DN31" s="665"/>
      <c r="DO31" s="665"/>
      <c r="DP31" s="1247"/>
      <c r="DQ31" s="664"/>
      <c r="DR31" s="664"/>
    </row>
    <row r="32" spans="1:122" s="173" customFormat="1" ht="33" customHeight="1" x14ac:dyDescent="0.25">
      <c r="A32" s="1773" t="s">
        <v>1241</v>
      </c>
      <c r="B32" s="2358"/>
      <c r="C32" s="1283" t="s">
        <v>252</v>
      </c>
      <c r="D32" s="941" t="s">
        <v>1384</v>
      </c>
      <c r="E32" s="950" t="s">
        <v>1385</v>
      </c>
      <c r="F32" s="1147" t="s">
        <v>1386</v>
      </c>
      <c r="G32" s="962" t="s">
        <v>1387</v>
      </c>
      <c r="H32" s="963" t="s">
        <v>1388</v>
      </c>
      <c r="I32" s="962" t="s">
        <v>1389</v>
      </c>
      <c r="J32" s="963" t="s">
        <v>1390</v>
      </c>
      <c r="K32" s="962" t="s">
        <v>1391</v>
      </c>
      <c r="L32" s="963" t="s">
        <v>1392</v>
      </c>
      <c r="M32" s="962" t="s">
        <v>1393</v>
      </c>
      <c r="N32" s="963" t="s">
        <v>1394</v>
      </c>
      <c r="O32" s="962" t="s">
        <v>1395</v>
      </c>
      <c r="P32" s="963" t="s">
        <v>1396</v>
      </c>
      <c r="Q32" s="1008" t="s">
        <v>1397</v>
      </c>
      <c r="R32" s="1009" t="s">
        <v>1398</v>
      </c>
      <c r="S32" s="1008" t="s">
        <v>1399</v>
      </c>
      <c r="T32" s="1009" t="s">
        <v>1400</v>
      </c>
      <c r="U32" s="1008" t="s">
        <v>1401</v>
      </c>
      <c r="V32" s="1009" t="s">
        <v>1402</v>
      </c>
      <c r="W32" s="1008" t="s">
        <v>1403</v>
      </c>
      <c r="X32" s="1009" t="s">
        <v>1404</v>
      </c>
      <c r="Y32" s="1008" t="s">
        <v>1405</v>
      </c>
      <c r="Z32" s="1009" t="s">
        <v>1406</v>
      </c>
      <c r="AA32" s="1008" t="s">
        <v>1407</v>
      </c>
      <c r="AB32" s="1009" t="s">
        <v>1408</v>
      </c>
      <c r="AC32" s="1008" t="s">
        <v>1409</v>
      </c>
      <c r="AD32" s="1009" t="s">
        <v>1410</v>
      </c>
      <c r="AE32" s="1008" t="s">
        <v>1411</v>
      </c>
      <c r="AF32" s="1009" t="s">
        <v>1412</v>
      </c>
      <c r="AG32" s="1008" t="s">
        <v>1413</v>
      </c>
      <c r="AH32" s="1009" t="s">
        <v>1414</v>
      </c>
      <c r="AI32" s="1008" t="s">
        <v>1415</v>
      </c>
      <c r="AJ32" s="1009" t="s">
        <v>1416</v>
      </c>
      <c r="AK32" s="1008" t="s">
        <v>1417</v>
      </c>
      <c r="AL32" s="1009" t="s">
        <v>1418</v>
      </c>
      <c r="AM32" s="1008" t="s">
        <v>1419</v>
      </c>
      <c r="AN32" s="1156" t="s">
        <v>1420</v>
      </c>
      <c r="AO32" s="1538" t="s">
        <v>1421</v>
      </c>
      <c r="AP32" s="1547" t="s">
        <v>1422</v>
      </c>
      <c r="AQ32" s="1041" t="s">
        <v>1423</v>
      </c>
      <c r="AR32" s="963" t="s">
        <v>1424</v>
      </c>
      <c r="AS32" s="1041" t="s">
        <v>1425</v>
      </c>
      <c r="AT32" s="963" t="s">
        <v>1426</v>
      </c>
      <c r="AU32" s="1011" t="s">
        <v>1427</v>
      </c>
      <c r="AV32" s="1011" t="s">
        <v>1428</v>
      </c>
      <c r="AW32" s="411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2" s="224"/>
      <c r="AY32" s="224"/>
      <c r="AZ32" s="224"/>
      <c r="BA32" s="224"/>
      <c r="CB32" s="664"/>
      <c r="CC32" s="664"/>
      <c r="CD32" s="664"/>
      <c r="CE32" s="664"/>
      <c r="CF32" s="664"/>
      <c r="CG32" s="474"/>
      <c r="CH32" s="474"/>
      <c r="CI32" s="465" t="str">
        <f t="shared" si="25"/>
        <v xml:space="preserve">* La celda 'Pueblos Originarios / Hombres' debe ser menor o igual al Total de Hombres en control. </v>
      </c>
      <c r="CJ32" s="465" t="str">
        <f t="shared" si="26"/>
        <v xml:space="preserve">* La celda 'Pueblos Originarios / Mujeres' debe ser menor o igual al Total de Mujeres en control. </v>
      </c>
      <c r="CK32" s="465" t="str">
        <f t="shared" si="27"/>
        <v xml:space="preserve">* La celda 'Población Migrantes / Hombres' debe ser menor o igual al Total de Hombres en control. </v>
      </c>
      <c r="CL32" s="465" t="str">
        <f t="shared" si="28"/>
        <v xml:space="preserve">* La celda 'Población Migrantes / Mujeres' debe ser menor o igual al Total de Mujeres en control. </v>
      </c>
      <c r="CM32" s="465" t="str">
        <f t="shared" si="29"/>
        <v xml:space="preserve">* La celda 'Niños, Niñas, Adolescentes y Jóvenes de Población SENAME' debe ser menor o igual al Total de Ambos Sexos. </v>
      </c>
      <c r="CN32" s="474"/>
      <c r="CO32" s="474"/>
      <c r="CP32" s="465" t="str">
        <f t="shared" si="30"/>
        <v/>
      </c>
      <c r="CQ32" s="465" t="str">
        <f t="shared" si="31"/>
        <v/>
      </c>
      <c r="CR32" s="465" t="str">
        <f t="shared" si="32"/>
        <v/>
      </c>
      <c r="CS32" s="664"/>
      <c r="CT32" s="664"/>
      <c r="CU32" s="664"/>
      <c r="CV32" s="474"/>
      <c r="CW32" s="474"/>
      <c r="CX32" s="474"/>
      <c r="CY32" s="665"/>
      <c r="CZ32" s="665"/>
      <c r="DA32" s="470"/>
      <c r="DB32" s="470"/>
      <c r="DC32" s="486">
        <f t="shared" si="33"/>
        <v>1</v>
      </c>
      <c r="DD32" s="486">
        <f t="shared" si="16"/>
        <v>1</v>
      </c>
      <c r="DE32" s="486">
        <f t="shared" si="34"/>
        <v>1</v>
      </c>
      <c r="DF32" s="486">
        <f t="shared" si="18"/>
        <v>1</v>
      </c>
      <c r="DG32" s="486">
        <f t="shared" si="19"/>
        <v>1</v>
      </c>
      <c r="DH32" s="470"/>
      <c r="DI32" s="470"/>
      <c r="DJ32" s="486">
        <f t="shared" si="22"/>
        <v>0</v>
      </c>
      <c r="DK32" s="486">
        <f t="shared" si="35"/>
        <v>0</v>
      </c>
      <c r="DL32" s="486">
        <f t="shared" si="36"/>
        <v>0</v>
      </c>
      <c r="DM32" s="665"/>
      <c r="DN32" s="665"/>
      <c r="DO32" s="665"/>
      <c r="DP32" s="1247"/>
      <c r="DQ32" s="664"/>
      <c r="DR32" s="664"/>
    </row>
    <row r="33" spans="1:122" s="173" customFormat="1" ht="15.75" customHeight="1" x14ac:dyDescent="0.25">
      <c r="A33" s="1773" t="s">
        <v>1242</v>
      </c>
      <c r="B33" s="2327" t="s">
        <v>253</v>
      </c>
      <c r="C33" s="501" t="s">
        <v>636</v>
      </c>
      <c r="D33" s="1274" t="s">
        <v>1384</v>
      </c>
      <c r="E33" s="1275" t="s">
        <v>1385</v>
      </c>
      <c r="F33" s="1276" t="s">
        <v>1386</v>
      </c>
      <c r="G33" s="977" t="s">
        <v>1387</v>
      </c>
      <c r="H33" s="978" t="s">
        <v>1388</v>
      </c>
      <c r="I33" s="977" t="s">
        <v>1389</v>
      </c>
      <c r="J33" s="978" t="s">
        <v>1390</v>
      </c>
      <c r="K33" s="977" t="s">
        <v>1391</v>
      </c>
      <c r="L33" s="978" t="s">
        <v>1392</v>
      </c>
      <c r="M33" s="957" t="s">
        <v>1393</v>
      </c>
      <c r="N33" s="958" t="s">
        <v>1394</v>
      </c>
      <c r="O33" s="953" t="s">
        <v>1395</v>
      </c>
      <c r="P33" s="1044" t="s">
        <v>1396</v>
      </c>
      <c r="Q33" s="957" t="s">
        <v>1397</v>
      </c>
      <c r="R33" s="1044" t="s">
        <v>1398</v>
      </c>
      <c r="S33" s="957" t="s">
        <v>1399</v>
      </c>
      <c r="T33" s="1044" t="s">
        <v>1400</v>
      </c>
      <c r="U33" s="957" t="s">
        <v>1401</v>
      </c>
      <c r="V33" s="1044" t="s">
        <v>1402</v>
      </c>
      <c r="W33" s="957" t="s">
        <v>1403</v>
      </c>
      <c r="X33" s="1044" t="s">
        <v>1404</v>
      </c>
      <c r="Y33" s="957" t="s">
        <v>1405</v>
      </c>
      <c r="Z33" s="1044" t="s">
        <v>1406</v>
      </c>
      <c r="AA33" s="957" t="s">
        <v>1407</v>
      </c>
      <c r="AB33" s="1044" t="s">
        <v>1408</v>
      </c>
      <c r="AC33" s="957" t="s">
        <v>1409</v>
      </c>
      <c r="AD33" s="1044" t="s">
        <v>1410</v>
      </c>
      <c r="AE33" s="957" t="s">
        <v>1411</v>
      </c>
      <c r="AF33" s="1044" t="s">
        <v>1412</v>
      </c>
      <c r="AG33" s="957" t="s">
        <v>1413</v>
      </c>
      <c r="AH33" s="1044" t="s">
        <v>1414</v>
      </c>
      <c r="AI33" s="957" t="s">
        <v>1415</v>
      </c>
      <c r="AJ33" s="1044" t="s">
        <v>1416</v>
      </c>
      <c r="AK33" s="957" t="s">
        <v>1417</v>
      </c>
      <c r="AL33" s="1044" t="s">
        <v>1418</v>
      </c>
      <c r="AM33" s="957" t="s">
        <v>1419</v>
      </c>
      <c r="AN33" s="965" t="s">
        <v>1420</v>
      </c>
      <c r="AO33" s="1537" t="s">
        <v>1421</v>
      </c>
      <c r="AP33" s="1519" t="s">
        <v>1422</v>
      </c>
      <c r="AQ33" s="1044" t="s">
        <v>1423</v>
      </c>
      <c r="AR33" s="1148" t="s">
        <v>1424</v>
      </c>
      <c r="AS33" s="1044" t="s">
        <v>1425</v>
      </c>
      <c r="AT33" s="958" t="s">
        <v>1426</v>
      </c>
      <c r="AU33" s="1036" t="s">
        <v>1427</v>
      </c>
      <c r="AV33" s="954" t="s">
        <v>1428</v>
      </c>
      <c r="AW33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3" s="224"/>
      <c r="AZ33" s="224"/>
      <c r="BA33" s="224"/>
      <c r="CB33" s="664"/>
      <c r="CC33" s="664"/>
      <c r="CD33" s="664"/>
      <c r="CE33" s="664"/>
      <c r="CF33" s="664"/>
      <c r="CG33" s="465" t="str">
        <f t="shared" ref="CG33:CG52" si="37">IF($AO33&gt;$F33,"* La celda 'Gestantes' debe ser menor o igual al Total de Mujeres en control. ","")</f>
        <v xml:space="preserve">* La celda 'Gestantes' debe ser menor o igual al Total de Mujeres en control. </v>
      </c>
      <c r="CH33" s="465" t="str">
        <f t="shared" ref="CH33:CH52" si="38">IF($AP33&gt;$F33,"* La celda 'Madres de Hijos menor de 5 años' debe ser menor o igual al Total de Mujeres en control. ","")</f>
        <v xml:space="preserve">* La celda 'Madres de Hijos menor de 5 años' debe ser menor o igual al Total de Mujeres en control. </v>
      </c>
      <c r="CI33" s="465" t="str">
        <f t="shared" si="25"/>
        <v xml:space="preserve">* La celda 'Pueblos Originarios / Hombres' debe ser menor o igual al Total de Hombres en control. </v>
      </c>
      <c r="CJ33" s="465" t="str">
        <f t="shared" si="26"/>
        <v xml:space="preserve">* La celda 'Pueblos Originarios / Mujeres' debe ser menor o igual al Total de Mujeres en control. </v>
      </c>
      <c r="CK33" s="465" t="str">
        <f t="shared" si="27"/>
        <v xml:space="preserve">* La celda 'Población Migrantes / Hombres' debe ser menor o igual al Total de Hombres en control. </v>
      </c>
      <c r="CL33" s="465" t="str">
        <f t="shared" si="28"/>
        <v xml:space="preserve">* La celda 'Población Migrantes / Mujeres' debe ser menor o igual al Total de Mujeres en control. </v>
      </c>
      <c r="CM33" s="465" t="str">
        <f t="shared" si="29"/>
        <v xml:space="preserve">* La celda 'Niños, Niñas, Adolescentes y Jóvenes de Población SENAME' debe ser menor o igual al Total de Ambos Sexos. </v>
      </c>
      <c r="CN33" s="465" t="str">
        <f t="shared" ref="CN33:CN52" si="39">IF(AND($D33&lt;&gt;0,$AO33=""),"* No olvide escribir en la celda de 'Gestantes' (Digite CERO si no tiene). ","")</f>
        <v/>
      </c>
      <c r="CO33" s="465" t="str">
        <f t="shared" ref="CO33:CO52" si="40">IF(AND($D33&lt;&gt;0,$AP33=""),"* No olvide escribir en la celda de 'Madres de Hijos menor de 5 años' (Digite CERO si no tiene). ","")</f>
        <v/>
      </c>
      <c r="CP33" s="465" t="str">
        <f t="shared" si="30"/>
        <v/>
      </c>
      <c r="CQ33" s="465" t="str">
        <f t="shared" si="31"/>
        <v/>
      </c>
      <c r="CR33" s="465" t="str">
        <f t="shared" si="32"/>
        <v/>
      </c>
      <c r="CS33" s="664"/>
      <c r="CT33" s="664"/>
      <c r="CU33" s="664"/>
      <c r="CV33" s="474"/>
      <c r="CW33" s="474"/>
      <c r="CX33" s="474"/>
      <c r="CY33" s="665"/>
      <c r="CZ33" s="665"/>
      <c r="DA33" s="486">
        <f t="shared" ref="DA33:DA52" si="41">IF($AO33&gt;$F33,1,0)</f>
        <v>1</v>
      </c>
      <c r="DB33" s="486">
        <f t="shared" ref="DB33:DB52" si="42">IF($AP33&gt;$F33,1,0)</f>
        <v>1</v>
      </c>
      <c r="DC33" s="486">
        <f t="shared" si="33"/>
        <v>1</v>
      </c>
      <c r="DD33" s="486">
        <f t="shared" si="16"/>
        <v>1</v>
      </c>
      <c r="DE33" s="486">
        <f t="shared" si="34"/>
        <v>1</v>
      </c>
      <c r="DF33" s="486">
        <f t="shared" si="18"/>
        <v>1</v>
      </c>
      <c r="DG33" s="486">
        <f t="shared" si="19"/>
        <v>1</v>
      </c>
      <c r="DH33" s="486">
        <f t="shared" ref="DH33:DH52" si="43">IF(AND($D33&lt;&gt;0,$AO33=""),1,0)</f>
        <v>0</v>
      </c>
      <c r="DI33" s="486">
        <f t="shared" ref="DI33:DI52" si="44">IF(AND($D33&lt;&gt;0,$AP33=""),1,0)</f>
        <v>0</v>
      </c>
      <c r="DJ33" s="486">
        <f t="shared" si="22"/>
        <v>0</v>
      </c>
      <c r="DK33" s="486">
        <f t="shared" si="35"/>
        <v>0</v>
      </c>
      <c r="DL33" s="486">
        <f t="shared" si="36"/>
        <v>0</v>
      </c>
      <c r="DM33" s="665"/>
      <c r="DN33" s="665"/>
      <c r="DO33" s="665"/>
      <c r="DP33" s="1247"/>
      <c r="DQ33" s="664"/>
      <c r="DR33" s="664"/>
    </row>
    <row r="34" spans="1:122" s="173" customFormat="1" ht="15.75" customHeight="1" x14ac:dyDescent="0.25">
      <c r="A34" s="1773" t="s">
        <v>1243</v>
      </c>
      <c r="B34" s="2359"/>
      <c r="C34" s="1354" t="s">
        <v>637</v>
      </c>
      <c r="D34" s="1277" t="s">
        <v>1384</v>
      </c>
      <c r="E34" s="1278" t="s">
        <v>1385</v>
      </c>
      <c r="F34" s="1279" t="s">
        <v>1386</v>
      </c>
      <c r="G34" s="957" t="s">
        <v>1387</v>
      </c>
      <c r="H34" s="958" t="s">
        <v>1388</v>
      </c>
      <c r="I34" s="957" t="s">
        <v>1389</v>
      </c>
      <c r="J34" s="958" t="s">
        <v>1390</v>
      </c>
      <c r="K34" s="957" t="s">
        <v>1391</v>
      </c>
      <c r="L34" s="958" t="s">
        <v>1392</v>
      </c>
      <c r="M34" s="957" t="s">
        <v>1393</v>
      </c>
      <c r="N34" s="958" t="s">
        <v>1394</v>
      </c>
      <c r="O34" s="957" t="s">
        <v>1395</v>
      </c>
      <c r="P34" s="1044" t="s">
        <v>1396</v>
      </c>
      <c r="Q34" s="957" t="s">
        <v>1397</v>
      </c>
      <c r="R34" s="1044" t="s">
        <v>1398</v>
      </c>
      <c r="S34" s="957" t="s">
        <v>1399</v>
      </c>
      <c r="T34" s="1044" t="s">
        <v>1400</v>
      </c>
      <c r="U34" s="957" t="s">
        <v>1401</v>
      </c>
      <c r="V34" s="1044" t="s">
        <v>1402</v>
      </c>
      <c r="W34" s="957" t="s">
        <v>1403</v>
      </c>
      <c r="X34" s="1044" t="s">
        <v>1404</v>
      </c>
      <c r="Y34" s="957" t="s">
        <v>1405</v>
      </c>
      <c r="Z34" s="1044" t="s">
        <v>1406</v>
      </c>
      <c r="AA34" s="957" t="s">
        <v>1407</v>
      </c>
      <c r="AB34" s="1044" t="s">
        <v>1408</v>
      </c>
      <c r="AC34" s="957" t="s">
        <v>1409</v>
      </c>
      <c r="AD34" s="1044" t="s">
        <v>1410</v>
      </c>
      <c r="AE34" s="957" t="s">
        <v>1411</v>
      </c>
      <c r="AF34" s="1044" t="s">
        <v>1412</v>
      </c>
      <c r="AG34" s="957" t="s">
        <v>1413</v>
      </c>
      <c r="AH34" s="1044" t="s">
        <v>1414</v>
      </c>
      <c r="AI34" s="957" t="s">
        <v>1415</v>
      </c>
      <c r="AJ34" s="1044" t="s">
        <v>1416</v>
      </c>
      <c r="AK34" s="957" t="s">
        <v>1417</v>
      </c>
      <c r="AL34" s="1044" t="s">
        <v>1418</v>
      </c>
      <c r="AM34" s="957" t="s">
        <v>1419</v>
      </c>
      <c r="AN34" s="966" t="s">
        <v>1420</v>
      </c>
      <c r="AO34" s="1171" t="s">
        <v>1421</v>
      </c>
      <c r="AP34" s="1520" t="s">
        <v>1422</v>
      </c>
      <c r="AQ34" s="1044" t="s">
        <v>1423</v>
      </c>
      <c r="AR34" s="1148" t="s">
        <v>1424</v>
      </c>
      <c r="AS34" s="1044" t="s">
        <v>1425</v>
      </c>
      <c r="AT34" s="958" t="s">
        <v>1426</v>
      </c>
      <c r="AU34" s="1148" t="s">
        <v>1427</v>
      </c>
      <c r="AV34" s="958" t="s">
        <v>1428</v>
      </c>
      <c r="AW34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4" s="224"/>
      <c r="AZ34" s="224"/>
      <c r="BA34" s="224"/>
      <c r="CB34" s="664"/>
      <c r="CC34" s="664"/>
      <c r="CD34" s="664"/>
      <c r="CE34" s="664"/>
      <c r="CF34" s="664"/>
      <c r="CG34" s="465" t="str">
        <f t="shared" si="37"/>
        <v xml:space="preserve">* La celda 'Gestantes' debe ser menor o igual al Total de Mujeres en control. </v>
      </c>
      <c r="CH34" s="465" t="str">
        <f t="shared" si="38"/>
        <v xml:space="preserve">* La celda 'Madres de Hijos menor de 5 años' debe ser menor o igual al Total de Mujeres en control. </v>
      </c>
      <c r="CI34" s="465" t="str">
        <f t="shared" si="25"/>
        <v xml:space="preserve">* La celda 'Pueblos Originarios / Hombres' debe ser menor o igual al Total de Hombres en control. </v>
      </c>
      <c r="CJ34" s="465" t="str">
        <f t="shared" si="26"/>
        <v xml:space="preserve">* La celda 'Pueblos Originarios / Mujeres' debe ser menor o igual al Total de Mujeres en control. </v>
      </c>
      <c r="CK34" s="465" t="str">
        <f t="shared" si="27"/>
        <v xml:space="preserve">* La celda 'Población Migrantes / Hombres' debe ser menor o igual al Total de Hombres en control. </v>
      </c>
      <c r="CL34" s="465" t="str">
        <f t="shared" si="28"/>
        <v xml:space="preserve">* La celda 'Población Migrantes / Mujeres' debe ser menor o igual al Total de Mujeres en control. </v>
      </c>
      <c r="CM34" s="465" t="str">
        <f t="shared" si="29"/>
        <v xml:space="preserve">* La celda 'Niños, Niñas, Adolescentes y Jóvenes de Población SENAME' debe ser menor o igual al Total de Ambos Sexos. </v>
      </c>
      <c r="CN34" s="465" t="str">
        <f t="shared" si="39"/>
        <v/>
      </c>
      <c r="CO34" s="465" t="str">
        <f t="shared" si="40"/>
        <v/>
      </c>
      <c r="CP34" s="465" t="str">
        <f t="shared" si="30"/>
        <v/>
      </c>
      <c r="CQ34" s="465" t="str">
        <f t="shared" si="31"/>
        <v/>
      </c>
      <c r="CR34" s="465" t="str">
        <f t="shared" si="32"/>
        <v/>
      </c>
      <c r="CS34" s="664"/>
      <c r="CT34" s="664"/>
      <c r="CU34" s="664"/>
      <c r="CV34" s="474"/>
      <c r="CW34" s="474"/>
      <c r="CX34" s="474"/>
      <c r="CY34" s="665"/>
      <c r="CZ34" s="665"/>
      <c r="DA34" s="486">
        <f t="shared" si="41"/>
        <v>1</v>
      </c>
      <c r="DB34" s="486">
        <f t="shared" si="42"/>
        <v>1</v>
      </c>
      <c r="DC34" s="486">
        <f t="shared" si="33"/>
        <v>1</v>
      </c>
      <c r="DD34" s="486">
        <f t="shared" si="16"/>
        <v>1</v>
      </c>
      <c r="DE34" s="486">
        <f t="shared" si="34"/>
        <v>1</v>
      </c>
      <c r="DF34" s="486">
        <f t="shared" si="18"/>
        <v>1</v>
      </c>
      <c r="DG34" s="486">
        <f t="shared" si="19"/>
        <v>1</v>
      </c>
      <c r="DH34" s="486">
        <f t="shared" si="43"/>
        <v>0</v>
      </c>
      <c r="DI34" s="486">
        <f t="shared" si="44"/>
        <v>0</v>
      </c>
      <c r="DJ34" s="486">
        <f t="shared" si="22"/>
        <v>0</v>
      </c>
      <c r="DK34" s="486">
        <f t="shared" si="35"/>
        <v>0</v>
      </c>
      <c r="DL34" s="486">
        <f t="shared" si="36"/>
        <v>0</v>
      </c>
      <c r="DM34" s="665"/>
      <c r="DN34" s="665"/>
      <c r="DO34" s="665"/>
      <c r="DP34" s="1247"/>
      <c r="DQ34" s="664"/>
      <c r="DR34" s="664"/>
    </row>
    <row r="35" spans="1:122" s="173" customFormat="1" ht="15.75" customHeight="1" x14ac:dyDescent="0.25">
      <c r="A35" s="1773" t="s">
        <v>1244</v>
      </c>
      <c r="B35" s="2359"/>
      <c r="C35" s="503" t="s">
        <v>638</v>
      </c>
      <c r="D35" s="1277" t="s">
        <v>1384</v>
      </c>
      <c r="E35" s="1278" t="s">
        <v>1385</v>
      </c>
      <c r="F35" s="1279" t="s">
        <v>1386</v>
      </c>
      <c r="G35" s="957" t="s">
        <v>1387</v>
      </c>
      <c r="H35" s="958" t="s">
        <v>1388</v>
      </c>
      <c r="I35" s="957" t="s">
        <v>1389</v>
      </c>
      <c r="J35" s="958" t="s">
        <v>1390</v>
      </c>
      <c r="K35" s="957" t="s">
        <v>1391</v>
      </c>
      <c r="L35" s="958" t="s">
        <v>1392</v>
      </c>
      <c r="M35" s="957" t="s">
        <v>1393</v>
      </c>
      <c r="N35" s="958" t="s">
        <v>1394</v>
      </c>
      <c r="O35" s="957" t="s">
        <v>1395</v>
      </c>
      <c r="P35" s="1044" t="s">
        <v>1396</v>
      </c>
      <c r="Q35" s="957" t="s">
        <v>1397</v>
      </c>
      <c r="R35" s="1044" t="s">
        <v>1398</v>
      </c>
      <c r="S35" s="957" t="s">
        <v>1399</v>
      </c>
      <c r="T35" s="1044" t="s">
        <v>1400</v>
      </c>
      <c r="U35" s="957" t="s">
        <v>1401</v>
      </c>
      <c r="V35" s="1044" t="s">
        <v>1402</v>
      </c>
      <c r="W35" s="957" t="s">
        <v>1403</v>
      </c>
      <c r="X35" s="1044" t="s">
        <v>1404</v>
      </c>
      <c r="Y35" s="957" t="s">
        <v>1405</v>
      </c>
      <c r="Z35" s="1044" t="s">
        <v>1406</v>
      </c>
      <c r="AA35" s="957" t="s">
        <v>1407</v>
      </c>
      <c r="AB35" s="1044" t="s">
        <v>1408</v>
      </c>
      <c r="AC35" s="957" t="s">
        <v>1409</v>
      </c>
      <c r="AD35" s="1044" t="s">
        <v>1410</v>
      </c>
      <c r="AE35" s="957" t="s">
        <v>1411</v>
      </c>
      <c r="AF35" s="1044" t="s">
        <v>1412</v>
      </c>
      <c r="AG35" s="957" t="s">
        <v>1413</v>
      </c>
      <c r="AH35" s="1044" t="s">
        <v>1414</v>
      </c>
      <c r="AI35" s="957" t="s">
        <v>1415</v>
      </c>
      <c r="AJ35" s="1044" t="s">
        <v>1416</v>
      </c>
      <c r="AK35" s="957" t="s">
        <v>1417</v>
      </c>
      <c r="AL35" s="1044" t="s">
        <v>1418</v>
      </c>
      <c r="AM35" s="957" t="s">
        <v>1419</v>
      </c>
      <c r="AN35" s="966" t="s">
        <v>1420</v>
      </c>
      <c r="AO35" s="1171" t="s">
        <v>1421</v>
      </c>
      <c r="AP35" s="1520" t="s">
        <v>1422</v>
      </c>
      <c r="AQ35" s="1044" t="s">
        <v>1423</v>
      </c>
      <c r="AR35" s="1148" t="s">
        <v>1424</v>
      </c>
      <c r="AS35" s="1044" t="s">
        <v>1425</v>
      </c>
      <c r="AT35" s="958" t="s">
        <v>1426</v>
      </c>
      <c r="AU35" s="1148" t="s">
        <v>1427</v>
      </c>
      <c r="AV35" s="958" t="s">
        <v>1428</v>
      </c>
      <c r="AW35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5" s="224"/>
      <c r="AZ35" s="224"/>
      <c r="BA35" s="224"/>
      <c r="CB35" s="664"/>
      <c r="CC35" s="664"/>
      <c r="CD35" s="664"/>
      <c r="CE35" s="664"/>
      <c r="CF35" s="664"/>
      <c r="CG35" s="465" t="str">
        <f t="shared" si="37"/>
        <v xml:space="preserve">* La celda 'Gestantes' debe ser menor o igual al Total de Mujeres en control. </v>
      </c>
      <c r="CH35" s="465" t="str">
        <f t="shared" si="38"/>
        <v xml:space="preserve">* La celda 'Madres de Hijos menor de 5 años' debe ser menor o igual al Total de Mujeres en control. </v>
      </c>
      <c r="CI35" s="465" t="str">
        <f t="shared" si="25"/>
        <v xml:space="preserve">* La celda 'Pueblos Originarios / Hombres' debe ser menor o igual al Total de Hombres en control. </v>
      </c>
      <c r="CJ35" s="465" t="str">
        <f t="shared" si="26"/>
        <v xml:space="preserve">* La celda 'Pueblos Originarios / Mujeres' debe ser menor o igual al Total de Mujeres en control. </v>
      </c>
      <c r="CK35" s="465" t="str">
        <f t="shared" si="27"/>
        <v xml:space="preserve">* La celda 'Población Migrantes / Hombres' debe ser menor o igual al Total de Hombres en control. </v>
      </c>
      <c r="CL35" s="465" t="str">
        <f t="shared" si="28"/>
        <v xml:space="preserve">* La celda 'Población Migrantes / Mujeres' debe ser menor o igual al Total de Mujeres en control. </v>
      </c>
      <c r="CM35" s="465" t="str">
        <f t="shared" si="29"/>
        <v xml:space="preserve">* La celda 'Niños, Niñas, Adolescentes y Jóvenes de Población SENAME' debe ser menor o igual al Total de Ambos Sexos. </v>
      </c>
      <c r="CN35" s="465" t="str">
        <f t="shared" si="39"/>
        <v/>
      </c>
      <c r="CO35" s="465" t="str">
        <f t="shared" si="40"/>
        <v/>
      </c>
      <c r="CP35" s="465" t="str">
        <f t="shared" si="30"/>
        <v/>
      </c>
      <c r="CQ35" s="465" t="str">
        <f t="shared" si="31"/>
        <v/>
      </c>
      <c r="CR35" s="465" t="str">
        <f t="shared" si="32"/>
        <v/>
      </c>
      <c r="CS35" s="664"/>
      <c r="CT35" s="664"/>
      <c r="CU35" s="664"/>
      <c r="CV35" s="474"/>
      <c r="CW35" s="474"/>
      <c r="CX35" s="474"/>
      <c r="CY35" s="665"/>
      <c r="CZ35" s="665"/>
      <c r="DA35" s="486">
        <f t="shared" si="41"/>
        <v>1</v>
      </c>
      <c r="DB35" s="486">
        <f t="shared" si="42"/>
        <v>1</v>
      </c>
      <c r="DC35" s="486">
        <f t="shared" si="33"/>
        <v>1</v>
      </c>
      <c r="DD35" s="486">
        <f t="shared" si="16"/>
        <v>1</v>
      </c>
      <c r="DE35" s="486">
        <f t="shared" si="34"/>
        <v>1</v>
      </c>
      <c r="DF35" s="486">
        <f t="shared" si="18"/>
        <v>1</v>
      </c>
      <c r="DG35" s="486">
        <f t="shared" si="19"/>
        <v>1</v>
      </c>
      <c r="DH35" s="486">
        <f t="shared" si="43"/>
        <v>0</v>
      </c>
      <c r="DI35" s="486">
        <f t="shared" si="44"/>
        <v>0</v>
      </c>
      <c r="DJ35" s="486">
        <f t="shared" si="22"/>
        <v>0</v>
      </c>
      <c r="DK35" s="486">
        <f t="shared" si="35"/>
        <v>0</v>
      </c>
      <c r="DL35" s="486">
        <f t="shared" si="36"/>
        <v>0</v>
      </c>
      <c r="DM35" s="665"/>
      <c r="DN35" s="665"/>
      <c r="DO35" s="665"/>
      <c r="DP35" s="1247"/>
      <c r="DQ35" s="664"/>
      <c r="DR35" s="664"/>
    </row>
    <row r="36" spans="1:122" s="173" customFormat="1" ht="15.75" customHeight="1" x14ac:dyDescent="0.25">
      <c r="A36" s="1773" t="s">
        <v>1245</v>
      </c>
      <c r="B36" s="2359"/>
      <c r="C36" s="503" t="s">
        <v>639</v>
      </c>
      <c r="D36" s="1277" t="s">
        <v>1384</v>
      </c>
      <c r="E36" s="1278" t="s">
        <v>1385</v>
      </c>
      <c r="F36" s="1279" t="s">
        <v>1386</v>
      </c>
      <c r="G36" s="957" t="s">
        <v>1387</v>
      </c>
      <c r="H36" s="958" t="s">
        <v>1388</v>
      </c>
      <c r="I36" s="957" t="s">
        <v>1389</v>
      </c>
      <c r="J36" s="958" t="s">
        <v>1390</v>
      </c>
      <c r="K36" s="957" t="s">
        <v>1391</v>
      </c>
      <c r="L36" s="958" t="s">
        <v>1392</v>
      </c>
      <c r="M36" s="957" t="s">
        <v>1393</v>
      </c>
      <c r="N36" s="958" t="s">
        <v>1394</v>
      </c>
      <c r="O36" s="957" t="s">
        <v>1395</v>
      </c>
      <c r="P36" s="1044" t="s">
        <v>1396</v>
      </c>
      <c r="Q36" s="957" t="s">
        <v>1397</v>
      </c>
      <c r="R36" s="1044" t="s">
        <v>1398</v>
      </c>
      <c r="S36" s="957" t="s">
        <v>1399</v>
      </c>
      <c r="T36" s="1044" t="s">
        <v>1400</v>
      </c>
      <c r="U36" s="957" t="s">
        <v>1401</v>
      </c>
      <c r="V36" s="1044" t="s">
        <v>1402</v>
      </c>
      <c r="W36" s="957" t="s">
        <v>1403</v>
      </c>
      <c r="X36" s="1044" t="s">
        <v>1404</v>
      </c>
      <c r="Y36" s="957" t="s">
        <v>1405</v>
      </c>
      <c r="Z36" s="1044" t="s">
        <v>1406</v>
      </c>
      <c r="AA36" s="957" t="s">
        <v>1407</v>
      </c>
      <c r="AB36" s="1044" t="s">
        <v>1408</v>
      </c>
      <c r="AC36" s="957" t="s">
        <v>1409</v>
      </c>
      <c r="AD36" s="1044" t="s">
        <v>1410</v>
      </c>
      <c r="AE36" s="957" t="s">
        <v>1411</v>
      </c>
      <c r="AF36" s="1044" t="s">
        <v>1412</v>
      </c>
      <c r="AG36" s="957" t="s">
        <v>1413</v>
      </c>
      <c r="AH36" s="1044" t="s">
        <v>1414</v>
      </c>
      <c r="AI36" s="957" t="s">
        <v>1415</v>
      </c>
      <c r="AJ36" s="1044" t="s">
        <v>1416</v>
      </c>
      <c r="AK36" s="957" t="s">
        <v>1417</v>
      </c>
      <c r="AL36" s="1044" t="s">
        <v>1418</v>
      </c>
      <c r="AM36" s="957" t="s">
        <v>1419</v>
      </c>
      <c r="AN36" s="966" t="s">
        <v>1420</v>
      </c>
      <c r="AO36" s="1171" t="s">
        <v>1421</v>
      </c>
      <c r="AP36" s="1520" t="s">
        <v>1422</v>
      </c>
      <c r="AQ36" s="1044" t="s">
        <v>1423</v>
      </c>
      <c r="AR36" s="1148" t="s">
        <v>1424</v>
      </c>
      <c r="AS36" s="1044" t="s">
        <v>1425</v>
      </c>
      <c r="AT36" s="958" t="s">
        <v>1426</v>
      </c>
      <c r="AU36" s="1148" t="s">
        <v>1427</v>
      </c>
      <c r="AV36" s="958" t="s">
        <v>1428</v>
      </c>
      <c r="AW36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6" s="224"/>
      <c r="AZ36" s="224"/>
      <c r="BA36" s="224"/>
      <c r="CB36" s="664"/>
      <c r="CC36" s="664"/>
      <c r="CD36" s="664"/>
      <c r="CE36" s="664"/>
      <c r="CF36" s="664"/>
      <c r="CG36" s="465" t="str">
        <f t="shared" si="37"/>
        <v xml:space="preserve">* La celda 'Gestantes' debe ser menor o igual al Total de Mujeres en control. </v>
      </c>
      <c r="CH36" s="465" t="str">
        <f t="shared" si="38"/>
        <v xml:space="preserve">* La celda 'Madres de Hijos menor de 5 años' debe ser menor o igual al Total de Mujeres en control. </v>
      </c>
      <c r="CI36" s="465" t="str">
        <f t="shared" si="25"/>
        <v xml:space="preserve">* La celda 'Pueblos Originarios / Hombres' debe ser menor o igual al Total de Hombres en control. </v>
      </c>
      <c r="CJ36" s="465" t="str">
        <f t="shared" si="26"/>
        <v xml:space="preserve">* La celda 'Pueblos Originarios / Mujeres' debe ser menor o igual al Total de Mujeres en control. </v>
      </c>
      <c r="CK36" s="465" t="str">
        <f t="shared" si="27"/>
        <v xml:space="preserve">* La celda 'Población Migrantes / Hombres' debe ser menor o igual al Total de Hombres en control. </v>
      </c>
      <c r="CL36" s="465" t="str">
        <f t="shared" si="28"/>
        <v xml:space="preserve">* La celda 'Población Migrantes / Mujeres' debe ser menor o igual al Total de Mujeres en control. </v>
      </c>
      <c r="CM36" s="465" t="str">
        <f t="shared" si="29"/>
        <v xml:space="preserve">* La celda 'Niños, Niñas, Adolescentes y Jóvenes de Población SENAME' debe ser menor o igual al Total de Ambos Sexos. </v>
      </c>
      <c r="CN36" s="465" t="str">
        <f t="shared" si="39"/>
        <v/>
      </c>
      <c r="CO36" s="465" t="str">
        <f t="shared" si="40"/>
        <v/>
      </c>
      <c r="CP36" s="465" t="str">
        <f t="shared" si="30"/>
        <v/>
      </c>
      <c r="CQ36" s="465" t="str">
        <f t="shared" si="31"/>
        <v/>
      </c>
      <c r="CR36" s="465" t="str">
        <f t="shared" si="32"/>
        <v/>
      </c>
      <c r="CS36" s="664"/>
      <c r="CT36" s="664"/>
      <c r="CU36" s="664"/>
      <c r="CV36" s="474"/>
      <c r="CW36" s="474"/>
      <c r="CX36" s="474"/>
      <c r="CY36" s="665"/>
      <c r="CZ36" s="665"/>
      <c r="DA36" s="486">
        <f t="shared" si="41"/>
        <v>1</v>
      </c>
      <c r="DB36" s="486">
        <f t="shared" si="42"/>
        <v>1</v>
      </c>
      <c r="DC36" s="486">
        <f t="shared" si="33"/>
        <v>1</v>
      </c>
      <c r="DD36" s="486">
        <f t="shared" si="16"/>
        <v>1</v>
      </c>
      <c r="DE36" s="486">
        <f t="shared" si="34"/>
        <v>1</v>
      </c>
      <c r="DF36" s="486">
        <f t="shared" si="18"/>
        <v>1</v>
      </c>
      <c r="DG36" s="486">
        <f t="shared" si="19"/>
        <v>1</v>
      </c>
      <c r="DH36" s="486">
        <f t="shared" si="43"/>
        <v>0</v>
      </c>
      <c r="DI36" s="486">
        <f t="shared" si="44"/>
        <v>0</v>
      </c>
      <c r="DJ36" s="486">
        <f t="shared" si="22"/>
        <v>0</v>
      </c>
      <c r="DK36" s="486">
        <f t="shared" si="35"/>
        <v>0</v>
      </c>
      <c r="DL36" s="486">
        <f t="shared" si="36"/>
        <v>0</v>
      </c>
      <c r="DM36" s="665"/>
      <c r="DN36" s="665"/>
      <c r="DO36" s="665"/>
      <c r="DP36" s="1247"/>
      <c r="DQ36" s="664"/>
      <c r="DR36" s="664"/>
    </row>
    <row r="37" spans="1:122" s="173" customFormat="1" ht="15.75" customHeight="1" x14ac:dyDescent="0.25">
      <c r="A37" s="1773" t="s">
        <v>1246</v>
      </c>
      <c r="B37" s="2359"/>
      <c r="C37" s="503" t="s">
        <v>640</v>
      </c>
      <c r="D37" s="1274" t="s">
        <v>1384</v>
      </c>
      <c r="E37" s="1275" t="s">
        <v>1385</v>
      </c>
      <c r="F37" s="1276" t="s">
        <v>1386</v>
      </c>
      <c r="G37" s="957" t="s">
        <v>1387</v>
      </c>
      <c r="H37" s="958" t="s">
        <v>1388</v>
      </c>
      <c r="I37" s="957" t="s">
        <v>1389</v>
      </c>
      <c r="J37" s="958" t="s">
        <v>1390</v>
      </c>
      <c r="K37" s="957" t="s">
        <v>1391</v>
      </c>
      <c r="L37" s="958" t="s">
        <v>1392</v>
      </c>
      <c r="M37" s="957" t="s">
        <v>1393</v>
      </c>
      <c r="N37" s="958" t="s">
        <v>1394</v>
      </c>
      <c r="O37" s="957" t="s">
        <v>1395</v>
      </c>
      <c r="P37" s="1044" t="s">
        <v>1396</v>
      </c>
      <c r="Q37" s="957" t="s">
        <v>1397</v>
      </c>
      <c r="R37" s="1044" t="s">
        <v>1398</v>
      </c>
      <c r="S37" s="957" t="s">
        <v>1399</v>
      </c>
      <c r="T37" s="1044" t="s">
        <v>1400</v>
      </c>
      <c r="U37" s="957" t="s">
        <v>1401</v>
      </c>
      <c r="V37" s="1044" t="s">
        <v>1402</v>
      </c>
      <c r="W37" s="957" t="s">
        <v>1403</v>
      </c>
      <c r="X37" s="1044" t="s">
        <v>1404</v>
      </c>
      <c r="Y37" s="957" t="s">
        <v>1405</v>
      </c>
      <c r="Z37" s="1044" t="s">
        <v>1406</v>
      </c>
      <c r="AA37" s="957" t="s">
        <v>1407</v>
      </c>
      <c r="AB37" s="1044" t="s">
        <v>1408</v>
      </c>
      <c r="AC37" s="957" t="s">
        <v>1409</v>
      </c>
      <c r="AD37" s="1044" t="s">
        <v>1410</v>
      </c>
      <c r="AE37" s="957" t="s">
        <v>1411</v>
      </c>
      <c r="AF37" s="1044" t="s">
        <v>1412</v>
      </c>
      <c r="AG37" s="957" t="s">
        <v>1413</v>
      </c>
      <c r="AH37" s="1044" t="s">
        <v>1414</v>
      </c>
      <c r="AI37" s="957" t="s">
        <v>1415</v>
      </c>
      <c r="AJ37" s="1044" t="s">
        <v>1416</v>
      </c>
      <c r="AK37" s="957" t="s">
        <v>1417</v>
      </c>
      <c r="AL37" s="1044" t="s">
        <v>1418</v>
      </c>
      <c r="AM37" s="957" t="s">
        <v>1419</v>
      </c>
      <c r="AN37" s="966" t="s">
        <v>1420</v>
      </c>
      <c r="AO37" s="1171" t="s">
        <v>1421</v>
      </c>
      <c r="AP37" s="1520" t="s">
        <v>1422</v>
      </c>
      <c r="AQ37" s="1044" t="s">
        <v>1423</v>
      </c>
      <c r="AR37" s="1148" t="s">
        <v>1424</v>
      </c>
      <c r="AS37" s="1044" t="s">
        <v>1425</v>
      </c>
      <c r="AT37" s="958" t="s">
        <v>1426</v>
      </c>
      <c r="AU37" s="1148" t="s">
        <v>1427</v>
      </c>
      <c r="AV37" s="958" t="s">
        <v>1428</v>
      </c>
      <c r="AW37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7" s="224"/>
      <c r="AZ37" s="224"/>
      <c r="BA37" s="224"/>
      <c r="CB37" s="664"/>
      <c r="CC37" s="664"/>
      <c r="CD37" s="664"/>
      <c r="CE37" s="664"/>
      <c r="CF37" s="664"/>
      <c r="CG37" s="465" t="str">
        <f t="shared" si="37"/>
        <v xml:space="preserve">* La celda 'Gestantes' debe ser menor o igual al Total de Mujeres en control. </v>
      </c>
      <c r="CH37" s="465" t="str">
        <f t="shared" si="38"/>
        <v xml:space="preserve">* La celda 'Madres de Hijos menor de 5 años' debe ser menor o igual al Total de Mujeres en control. </v>
      </c>
      <c r="CI37" s="465" t="str">
        <f t="shared" si="25"/>
        <v xml:space="preserve">* La celda 'Pueblos Originarios / Hombres' debe ser menor o igual al Total de Hombres en control. </v>
      </c>
      <c r="CJ37" s="465" t="str">
        <f t="shared" si="26"/>
        <v xml:space="preserve">* La celda 'Pueblos Originarios / Mujeres' debe ser menor o igual al Total de Mujeres en control. </v>
      </c>
      <c r="CK37" s="465" t="str">
        <f t="shared" si="27"/>
        <v xml:space="preserve">* La celda 'Población Migrantes / Hombres' debe ser menor o igual al Total de Hombres en control. </v>
      </c>
      <c r="CL37" s="465" t="str">
        <f t="shared" si="28"/>
        <v xml:space="preserve">* La celda 'Población Migrantes / Mujeres' debe ser menor o igual al Total de Mujeres en control. </v>
      </c>
      <c r="CM37" s="465" t="str">
        <f t="shared" si="29"/>
        <v xml:space="preserve">* La celda 'Niños, Niñas, Adolescentes y Jóvenes de Población SENAME' debe ser menor o igual al Total de Ambos Sexos. </v>
      </c>
      <c r="CN37" s="465" t="str">
        <f t="shared" si="39"/>
        <v/>
      </c>
      <c r="CO37" s="465" t="str">
        <f t="shared" si="40"/>
        <v/>
      </c>
      <c r="CP37" s="465" t="str">
        <f t="shared" si="30"/>
        <v/>
      </c>
      <c r="CQ37" s="465" t="str">
        <f t="shared" si="31"/>
        <v/>
      </c>
      <c r="CR37" s="465" t="str">
        <f t="shared" si="32"/>
        <v/>
      </c>
      <c r="CS37" s="664"/>
      <c r="CT37" s="664"/>
      <c r="CU37" s="664"/>
      <c r="CV37" s="474"/>
      <c r="CW37" s="474"/>
      <c r="CX37" s="474"/>
      <c r="CY37" s="665"/>
      <c r="CZ37" s="665"/>
      <c r="DA37" s="486">
        <f t="shared" si="41"/>
        <v>1</v>
      </c>
      <c r="DB37" s="486">
        <f t="shared" si="42"/>
        <v>1</v>
      </c>
      <c r="DC37" s="486">
        <f t="shared" si="33"/>
        <v>1</v>
      </c>
      <c r="DD37" s="486">
        <f t="shared" si="16"/>
        <v>1</v>
      </c>
      <c r="DE37" s="486">
        <f t="shared" si="34"/>
        <v>1</v>
      </c>
      <c r="DF37" s="486">
        <f t="shared" si="18"/>
        <v>1</v>
      </c>
      <c r="DG37" s="486">
        <f t="shared" si="19"/>
        <v>1</v>
      </c>
      <c r="DH37" s="486">
        <f t="shared" si="43"/>
        <v>0</v>
      </c>
      <c r="DI37" s="486">
        <f t="shared" si="44"/>
        <v>0</v>
      </c>
      <c r="DJ37" s="486">
        <f t="shared" si="22"/>
        <v>0</v>
      </c>
      <c r="DK37" s="486">
        <f t="shared" si="35"/>
        <v>0</v>
      </c>
      <c r="DL37" s="486">
        <f t="shared" si="36"/>
        <v>0</v>
      </c>
      <c r="DM37" s="665"/>
      <c r="DN37" s="665"/>
      <c r="DO37" s="665"/>
      <c r="DP37" s="1247"/>
      <c r="DQ37" s="664"/>
      <c r="DR37" s="664"/>
    </row>
    <row r="38" spans="1:122" s="173" customFormat="1" ht="15.75" customHeight="1" x14ac:dyDescent="0.25">
      <c r="A38" s="1773" t="s">
        <v>1247</v>
      </c>
      <c r="B38" s="2328"/>
      <c r="C38" s="1355" t="s">
        <v>641</v>
      </c>
      <c r="D38" s="1280" t="s">
        <v>1384</v>
      </c>
      <c r="E38" s="1281" t="s">
        <v>1385</v>
      </c>
      <c r="F38" s="1282" t="s">
        <v>1386</v>
      </c>
      <c r="G38" s="957" t="s">
        <v>1387</v>
      </c>
      <c r="H38" s="958" t="s">
        <v>1388</v>
      </c>
      <c r="I38" s="957" t="s">
        <v>1389</v>
      </c>
      <c r="J38" s="958" t="s">
        <v>1390</v>
      </c>
      <c r="K38" s="957" t="s">
        <v>1391</v>
      </c>
      <c r="L38" s="958" t="s">
        <v>1392</v>
      </c>
      <c r="M38" s="957" t="s">
        <v>1393</v>
      </c>
      <c r="N38" s="958" t="s">
        <v>1394</v>
      </c>
      <c r="O38" s="962" t="s">
        <v>1395</v>
      </c>
      <c r="P38" s="1044" t="s">
        <v>1396</v>
      </c>
      <c r="Q38" s="957" t="s">
        <v>1397</v>
      </c>
      <c r="R38" s="1044" t="s">
        <v>1398</v>
      </c>
      <c r="S38" s="957" t="s">
        <v>1399</v>
      </c>
      <c r="T38" s="1044" t="s">
        <v>1400</v>
      </c>
      <c r="U38" s="957" t="s">
        <v>1401</v>
      </c>
      <c r="V38" s="1044" t="s">
        <v>1402</v>
      </c>
      <c r="W38" s="957" t="s">
        <v>1403</v>
      </c>
      <c r="X38" s="1044" t="s">
        <v>1404</v>
      </c>
      <c r="Y38" s="957" t="s">
        <v>1405</v>
      </c>
      <c r="Z38" s="1044" t="s">
        <v>1406</v>
      </c>
      <c r="AA38" s="957" t="s">
        <v>1407</v>
      </c>
      <c r="AB38" s="1044" t="s">
        <v>1408</v>
      </c>
      <c r="AC38" s="957" t="s">
        <v>1409</v>
      </c>
      <c r="AD38" s="1044" t="s">
        <v>1410</v>
      </c>
      <c r="AE38" s="957" t="s">
        <v>1411</v>
      </c>
      <c r="AF38" s="1044" t="s">
        <v>1412</v>
      </c>
      <c r="AG38" s="957" t="s">
        <v>1413</v>
      </c>
      <c r="AH38" s="1044" t="s">
        <v>1414</v>
      </c>
      <c r="AI38" s="957" t="s">
        <v>1415</v>
      </c>
      <c r="AJ38" s="1044" t="s">
        <v>1416</v>
      </c>
      <c r="AK38" s="957" t="s">
        <v>1417</v>
      </c>
      <c r="AL38" s="1044" t="s">
        <v>1418</v>
      </c>
      <c r="AM38" s="957" t="s">
        <v>1419</v>
      </c>
      <c r="AN38" s="993" t="s">
        <v>1420</v>
      </c>
      <c r="AO38" s="1538" t="s">
        <v>1421</v>
      </c>
      <c r="AP38" s="1522" t="s">
        <v>1422</v>
      </c>
      <c r="AQ38" s="1044" t="s">
        <v>1423</v>
      </c>
      <c r="AR38" s="1148" t="s">
        <v>1424</v>
      </c>
      <c r="AS38" s="1041" t="s">
        <v>1425</v>
      </c>
      <c r="AT38" s="963" t="s">
        <v>1426</v>
      </c>
      <c r="AU38" s="1011" t="s">
        <v>1427</v>
      </c>
      <c r="AV38" s="963" t="s">
        <v>1428</v>
      </c>
      <c r="AW38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Y38" s="224"/>
      <c r="AZ38" s="224"/>
      <c r="BA38" s="224"/>
      <c r="CB38" s="664"/>
      <c r="CC38" s="664"/>
      <c r="CD38" s="664"/>
      <c r="CE38" s="664"/>
      <c r="CF38" s="664"/>
      <c r="CG38" s="465" t="str">
        <f t="shared" si="37"/>
        <v xml:space="preserve">* La celda 'Gestantes' debe ser menor o igual al Total de Mujeres en control. </v>
      </c>
      <c r="CH38" s="465" t="str">
        <f t="shared" si="38"/>
        <v xml:space="preserve">* La celda 'Madres de Hijos menor de 5 años' debe ser menor o igual al Total de Mujeres en control. </v>
      </c>
      <c r="CI38" s="465" t="str">
        <f t="shared" si="25"/>
        <v xml:space="preserve">* La celda 'Pueblos Originarios / Hombres' debe ser menor o igual al Total de Hombres en control. </v>
      </c>
      <c r="CJ38" s="465" t="str">
        <f t="shared" si="26"/>
        <v xml:space="preserve">* La celda 'Pueblos Originarios / Mujeres' debe ser menor o igual al Total de Mujeres en control. </v>
      </c>
      <c r="CK38" s="465" t="str">
        <f t="shared" si="27"/>
        <v xml:space="preserve">* La celda 'Población Migrantes / Hombres' debe ser menor o igual al Total de Hombres en control. </v>
      </c>
      <c r="CL38" s="465" t="str">
        <f t="shared" si="28"/>
        <v xml:space="preserve">* La celda 'Población Migrantes / Mujeres' debe ser menor o igual al Total de Mujeres en control. </v>
      </c>
      <c r="CM38" s="465" t="str">
        <f t="shared" si="29"/>
        <v xml:space="preserve">* La celda 'Niños, Niñas, Adolescentes y Jóvenes de Población SENAME' debe ser menor o igual al Total de Ambos Sexos. </v>
      </c>
      <c r="CN38" s="465" t="str">
        <f t="shared" si="39"/>
        <v/>
      </c>
      <c r="CO38" s="465" t="str">
        <f t="shared" si="40"/>
        <v/>
      </c>
      <c r="CP38" s="465" t="str">
        <f t="shared" si="30"/>
        <v/>
      </c>
      <c r="CQ38" s="465" t="str">
        <f t="shared" si="31"/>
        <v/>
      </c>
      <c r="CR38" s="465" t="str">
        <f t="shared" si="32"/>
        <v/>
      </c>
      <c r="CS38" s="664"/>
      <c r="CT38" s="664"/>
      <c r="CU38" s="664"/>
      <c r="CV38" s="474"/>
      <c r="CW38" s="474"/>
      <c r="CX38" s="474"/>
      <c r="CY38" s="665"/>
      <c r="CZ38" s="665"/>
      <c r="DA38" s="486">
        <f t="shared" si="41"/>
        <v>1</v>
      </c>
      <c r="DB38" s="486">
        <f t="shared" si="42"/>
        <v>1</v>
      </c>
      <c r="DC38" s="486">
        <f t="shared" si="33"/>
        <v>1</v>
      </c>
      <c r="DD38" s="486">
        <f t="shared" si="16"/>
        <v>1</v>
      </c>
      <c r="DE38" s="486">
        <f t="shared" si="34"/>
        <v>1</v>
      </c>
      <c r="DF38" s="486">
        <f t="shared" si="18"/>
        <v>1</v>
      </c>
      <c r="DG38" s="486">
        <f t="shared" si="19"/>
        <v>1</v>
      </c>
      <c r="DH38" s="486">
        <f t="shared" si="43"/>
        <v>0</v>
      </c>
      <c r="DI38" s="486">
        <f t="shared" si="44"/>
        <v>0</v>
      </c>
      <c r="DJ38" s="486">
        <f t="shared" si="22"/>
        <v>0</v>
      </c>
      <c r="DK38" s="486">
        <f t="shared" si="35"/>
        <v>0</v>
      </c>
      <c r="DL38" s="486">
        <f t="shared" si="36"/>
        <v>0</v>
      </c>
      <c r="DM38" s="665"/>
      <c r="DN38" s="665"/>
      <c r="DO38" s="665"/>
      <c r="DP38" s="1247"/>
      <c r="DQ38" s="664"/>
      <c r="DR38" s="664"/>
    </row>
    <row r="39" spans="1:122" s="173" customFormat="1" ht="15.75" customHeight="1" x14ac:dyDescent="0.25">
      <c r="A39" s="1773" t="s">
        <v>1248</v>
      </c>
      <c r="B39" s="2327" t="s">
        <v>647</v>
      </c>
      <c r="C39" s="226" t="s">
        <v>119</v>
      </c>
      <c r="D39" s="936" t="s">
        <v>1384</v>
      </c>
      <c r="E39" s="951" t="s">
        <v>1385</v>
      </c>
      <c r="F39" s="1155" t="s">
        <v>1386</v>
      </c>
      <c r="G39" s="953" t="s">
        <v>1387</v>
      </c>
      <c r="H39" s="954" t="s">
        <v>1388</v>
      </c>
      <c r="I39" s="953" t="s">
        <v>1389</v>
      </c>
      <c r="J39" s="954" t="s">
        <v>1390</v>
      </c>
      <c r="K39" s="953" t="s">
        <v>1391</v>
      </c>
      <c r="L39" s="954" t="s">
        <v>1392</v>
      </c>
      <c r="M39" s="953" t="s">
        <v>1393</v>
      </c>
      <c r="N39" s="954" t="s">
        <v>1394</v>
      </c>
      <c r="O39" s="953" t="s">
        <v>1395</v>
      </c>
      <c r="P39" s="954" t="s">
        <v>1396</v>
      </c>
      <c r="Q39" s="953" t="s">
        <v>1397</v>
      </c>
      <c r="R39" s="954" t="s">
        <v>1398</v>
      </c>
      <c r="S39" s="953" t="s">
        <v>1399</v>
      </c>
      <c r="T39" s="954" t="s">
        <v>1400</v>
      </c>
      <c r="U39" s="953" t="s">
        <v>1401</v>
      </c>
      <c r="V39" s="954" t="s">
        <v>1402</v>
      </c>
      <c r="W39" s="953" t="s">
        <v>1403</v>
      </c>
      <c r="X39" s="954" t="s">
        <v>1404</v>
      </c>
      <c r="Y39" s="953" t="s">
        <v>1405</v>
      </c>
      <c r="Z39" s="954" t="s">
        <v>1406</v>
      </c>
      <c r="AA39" s="953" t="s">
        <v>1407</v>
      </c>
      <c r="AB39" s="954" t="s">
        <v>1408</v>
      </c>
      <c r="AC39" s="953" t="s">
        <v>1409</v>
      </c>
      <c r="AD39" s="954" t="s">
        <v>1410</v>
      </c>
      <c r="AE39" s="953" t="s">
        <v>1411</v>
      </c>
      <c r="AF39" s="954" t="s">
        <v>1412</v>
      </c>
      <c r="AG39" s="953" t="s">
        <v>1413</v>
      </c>
      <c r="AH39" s="954" t="s">
        <v>1414</v>
      </c>
      <c r="AI39" s="953" t="s">
        <v>1415</v>
      </c>
      <c r="AJ39" s="954" t="s">
        <v>1416</v>
      </c>
      <c r="AK39" s="953" t="s">
        <v>1417</v>
      </c>
      <c r="AL39" s="954" t="s">
        <v>1418</v>
      </c>
      <c r="AM39" s="953" t="s">
        <v>1419</v>
      </c>
      <c r="AN39" s="965" t="s">
        <v>1420</v>
      </c>
      <c r="AO39" s="1541" t="s">
        <v>1421</v>
      </c>
      <c r="AP39" s="1548" t="s">
        <v>1422</v>
      </c>
      <c r="AQ39" s="1037" t="s">
        <v>1423</v>
      </c>
      <c r="AR39" s="954" t="s">
        <v>1424</v>
      </c>
      <c r="AS39" s="1037" t="s">
        <v>1425</v>
      </c>
      <c r="AT39" s="954" t="s">
        <v>1426</v>
      </c>
      <c r="AU39" s="1036" t="s">
        <v>1427</v>
      </c>
      <c r="AV39" s="1036" t="s">
        <v>1428</v>
      </c>
      <c r="AW39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39" s="224"/>
      <c r="AY39" s="224"/>
      <c r="AZ39" s="224"/>
      <c r="BA39" s="224"/>
      <c r="CB39" s="664"/>
      <c r="CC39" s="664"/>
      <c r="CD39" s="664"/>
      <c r="CE39" s="664"/>
      <c r="CF39" s="664"/>
      <c r="CG39" s="465" t="str">
        <f t="shared" si="37"/>
        <v xml:space="preserve">* La celda 'Gestantes' debe ser menor o igual al Total de Mujeres en control. </v>
      </c>
      <c r="CH39" s="465" t="str">
        <f t="shared" si="38"/>
        <v xml:space="preserve">* La celda 'Madres de Hijos menor de 5 años' debe ser menor o igual al Total de Mujeres en control. </v>
      </c>
      <c r="CI39" s="465" t="str">
        <f t="shared" si="25"/>
        <v xml:space="preserve">* La celda 'Pueblos Originarios / Hombres' debe ser menor o igual al Total de Hombres en control. </v>
      </c>
      <c r="CJ39" s="465" t="str">
        <f t="shared" si="26"/>
        <v xml:space="preserve">* La celda 'Pueblos Originarios / Mujeres' debe ser menor o igual al Total de Mujeres en control. </v>
      </c>
      <c r="CK39" s="465" t="str">
        <f t="shared" si="27"/>
        <v xml:space="preserve">* La celda 'Población Migrantes / Hombres' debe ser menor o igual al Total de Hombres en control. </v>
      </c>
      <c r="CL39" s="465" t="str">
        <f t="shared" si="28"/>
        <v xml:space="preserve">* La celda 'Población Migrantes / Mujeres' debe ser menor o igual al Total de Mujeres en control. </v>
      </c>
      <c r="CM39" s="465" t="str">
        <f t="shared" si="29"/>
        <v xml:space="preserve">* La celda 'Niños, Niñas, Adolescentes y Jóvenes de Población SENAME' debe ser menor o igual al Total de Ambos Sexos. </v>
      </c>
      <c r="CN39" s="465"/>
      <c r="CO39" s="465"/>
      <c r="CP39" s="465" t="str">
        <f t="shared" si="30"/>
        <v/>
      </c>
      <c r="CQ39" s="465" t="str">
        <f t="shared" si="31"/>
        <v/>
      </c>
      <c r="CR39" s="465" t="str">
        <f t="shared" si="32"/>
        <v/>
      </c>
      <c r="CS39" s="664"/>
      <c r="CT39" s="664"/>
      <c r="CU39" s="664"/>
      <c r="CV39" s="474"/>
      <c r="CW39" s="474"/>
      <c r="CX39" s="474"/>
      <c r="CY39" s="665"/>
      <c r="CZ39" s="665"/>
      <c r="DA39" s="486">
        <f t="shared" si="41"/>
        <v>1</v>
      </c>
      <c r="DB39" s="486">
        <f t="shared" si="42"/>
        <v>1</v>
      </c>
      <c r="DC39" s="486">
        <f t="shared" si="33"/>
        <v>1</v>
      </c>
      <c r="DD39" s="486">
        <f t="shared" si="16"/>
        <v>1</v>
      </c>
      <c r="DE39" s="486">
        <f t="shared" si="34"/>
        <v>1</v>
      </c>
      <c r="DF39" s="486">
        <f t="shared" si="18"/>
        <v>1</v>
      </c>
      <c r="DG39" s="486">
        <f t="shared" si="19"/>
        <v>1</v>
      </c>
      <c r="DH39" s="486"/>
      <c r="DI39" s="486"/>
      <c r="DJ39" s="486">
        <f t="shared" si="22"/>
        <v>0</v>
      </c>
      <c r="DK39" s="486">
        <f t="shared" si="35"/>
        <v>0</v>
      </c>
      <c r="DL39" s="486">
        <f t="shared" si="36"/>
        <v>0</v>
      </c>
      <c r="DM39" s="665"/>
      <c r="DN39" s="665"/>
      <c r="DO39" s="665"/>
      <c r="DP39" s="1247"/>
      <c r="DQ39" s="664"/>
      <c r="DR39" s="664"/>
    </row>
    <row r="40" spans="1:122" s="173" customFormat="1" ht="15.75" customHeight="1" x14ac:dyDescent="0.25">
      <c r="A40" s="1773" t="s">
        <v>1249</v>
      </c>
      <c r="B40" s="2359"/>
      <c r="C40" s="227" t="s">
        <v>120</v>
      </c>
      <c r="D40" s="944" t="s">
        <v>1384</v>
      </c>
      <c r="E40" s="945" t="s">
        <v>1385</v>
      </c>
      <c r="F40" s="1146" t="s">
        <v>1386</v>
      </c>
      <c r="G40" s="977" t="s">
        <v>1387</v>
      </c>
      <c r="H40" s="978" t="s">
        <v>1388</v>
      </c>
      <c r="I40" s="977" t="s">
        <v>1389</v>
      </c>
      <c r="J40" s="978" t="s">
        <v>1390</v>
      </c>
      <c r="K40" s="977" t="s">
        <v>1391</v>
      </c>
      <c r="L40" s="978" t="s">
        <v>1392</v>
      </c>
      <c r="M40" s="977" t="s">
        <v>1393</v>
      </c>
      <c r="N40" s="978" t="s">
        <v>1394</v>
      </c>
      <c r="O40" s="977" t="s">
        <v>1395</v>
      </c>
      <c r="P40" s="978" t="s">
        <v>1396</v>
      </c>
      <c r="Q40" s="977" t="s">
        <v>1397</v>
      </c>
      <c r="R40" s="978" t="s">
        <v>1398</v>
      </c>
      <c r="S40" s="977" t="s">
        <v>1399</v>
      </c>
      <c r="T40" s="978" t="s">
        <v>1400</v>
      </c>
      <c r="U40" s="977" t="s">
        <v>1401</v>
      </c>
      <c r="V40" s="978" t="s">
        <v>1402</v>
      </c>
      <c r="W40" s="977" t="s">
        <v>1403</v>
      </c>
      <c r="X40" s="978" t="s">
        <v>1404</v>
      </c>
      <c r="Y40" s="977" t="s">
        <v>1405</v>
      </c>
      <c r="Z40" s="978" t="s">
        <v>1406</v>
      </c>
      <c r="AA40" s="977" t="s">
        <v>1407</v>
      </c>
      <c r="AB40" s="978" t="s">
        <v>1408</v>
      </c>
      <c r="AC40" s="977" t="s">
        <v>1409</v>
      </c>
      <c r="AD40" s="978" t="s">
        <v>1410</v>
      </c>
      <c r="AE40" s="977" t="s">
        <v>1411</v>
      </c>
      <c r="AF40" s="978" t="s">
        <v>1412</v>
      </c>
      <c r="AG40" s="977" t="s">
        <v>1413</v>
      </c>
      <c r="AH40" s="978" t="s">
        <v>1414</v>
      </c>
      <c r="AI40" s="977" t="s">
        <v>1415</v>
      </c>
      <c r="AJ40" s="978" t="s">
        <v>1416</v>
      </c>
      <c r="AK40" s="977" t="s">
        <v>1417</v>
      </c>
      <c r="AL40" s="978" t="s">
        <v>1418</v>
      </c>
      <c r="AM40" s="977" t="s">
        <v>1419</v>
      </c>
      <c r="AN40" s="979" t="s">
        <v>1420</v>
      </c>
      <c r="AO40" s="1409" t="s">
        <v>1421</v>
      </c>
      <c r="AP40" s="1549" t="s">
        <v>1422</v>
      </c>
      <c r="AQ40" s="1048" t="s">
        <v>1423</v>
      </c>
      <c r="AR40" s="978" t="s">
        <v>1424</v>
      </c>
      <c r="AS40" s="1048" t="s">
        <v>1425</v>
      </c>
      <c r="AT40" s="978" t="s">
        <v>1426</v>
      </c>
      <c r="AU40" s="1001" t="s">
        <v>1427</v>
      </c>
      <c r="AV40" s="1001" t="s">
        <v>1428</v>
      </c>
      <c r="AW40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0" s="224"/>
      <c r="AY40" s="224"/>
      <c r="AZ40" s="224"/>
      <c r="BA40" s="224"/>
      <c r="CB40" s="664"/>
      <c r="CC40" s="664"/>
      <c r="CD40" s="664"/>
      <c r="CE40" s="664"/>
      <c r="CF40" s="664"/>
      <c r="CG40" s="465" t="str">
        <f t="shared" si="37"/>
        <v xml:space="preserve">* La celda 'Gestantes' debe ser menor o igual al Total de Mujeres en control. </v>
      </c>
      <c r="CH40" s="465" t="str">
        <f t="shared" si="38"/>
        <v xml:space="preserve">* La celda 'Madres de Hijos menor de 5 años' debe ser menor o igual al Total de Mujeres en control. </v>
      </c>
      <c r="CI40" s="465" t="str">
        <f t="shared" si="25"/>
        <v xml:space="preserve">* La celda 'Pueblos Originarios / Hombres' debe ser menor o igual al Total de Hombres en control. </v>
      </c>
      <c r="CJ40" s="465" t="str">
        <f t="shared" si="26"/>
        <v xml:space="preserve">* La celda 'Pueblos Originarios / Mujeres' debe ser menor o igual al Total de Mujeres en control. </v>
      </c>
      <c r="CK40" s="465" t="str">
        <f t="shared" si="27"/>
        <v xml:space="preserve">* La celda 'Población Migrantes / Hombres' debe ser menor o igual al Total de Hombres en control. </v>
      </c>
      <c r="CL40" s="465" t="str">
        <f t="shared" si="28"/>
        <v xml:space="preserve">* La celda 'Población Migrantes / Mujeres' debe ser menor o igual al Total de Mujeres en control. </v>
      </c>
      <c r="CM40" s="465" t="str">
        <f t="shared" si="29"/>
        <v xml:space="preserve">* La celda 'Niños, Niñas, Adolescentes y Jóvenes de Población SENAME' debe ser menor o igual al Total de Ambos Sexos. </v>
      </c>
      <c r="CN40" s="465"/>
      <c r="CO40" s="465"/>
      <c r="CP40" s="465" t="str">
        <f t="shared" si="30"/>
        <v/>
      </c>
      <c r="CQ40" s="465" t="str">
        <f t="shared" si="31"/>
        <v/>
      </c>
      <c r="CR40" s="465" t="str">
        <f t="shared" si="32"/>
        <v/>
      </c>
      <c r="CS40" s="664"/>
      <c r="CT40" s="664"/>
      <c r="CU40" s="664"/>
      <c r="CV40" s="474"/>
      <c r="CW40" s="474"/>
      <c r="CX40" s="474"/>
      <c r="CY40" s="665"/>
      <c r="CZ40" s="665"/>
      <c r="DA40" s="486">
        <f t="shared" si="41"/>
        <v>1</v>
      </c>
      <c r="DB40" s="486">
        <f t="shared" si="42"/>
        <v>1</v>
      </c>
      <c r="DC40" s="486">
        <f t="shared" si="33"/>
        <v>1</v>
      </c>
      <c r="DD40" s="486">
        <f t="shared" si="16"/>
        <v>1</v>
      </c>
      <c r="DE40" s="486">
        <f t="shared" si="34"/>
        <v>1</v>
      </c>
      <c r="DF40" s="486">
        <f t="shared" si="18"/>
        <v>1</v>
      </c>
      <c r="DG40" s="486">
        <f t="shared" si="19"/>
        <v>1</v>
      </c>
      <c r="DH40" s="486"/>
      <c r="DI40" s="486"/>
      <c r="DJ40" s="486">
        <f t="shared" si="22"/>
        <v>0</v>
      </c>
      <c r="DK40" s="486">
        <f t="shared" si="35"/>
        <v>0</v>
      </c>
      <c r="DL40" s="486">
        <f t="shared" si="36"/>
        <v>0</v>
      </c>
      <c r="DM40" s="665"/>
      <c r="DN40" s="665"/>
      <c r="DO40" s="665"/>
      <c r="DP40" s="1247"/>
      <c r="DQ40" s="664"/>
      <c r="DR40" s="664"/>
    </row>
    <row r="41" spans="1:122" s="173" customFormat="1" ht="15.75" customHeight="1" x14ac:dyDescent="0.25">
      <c r="A41" s="1773" t="s">
        <v>1250</v>
      </c>
      <c r="B41" s="2328"/>
      <c r="C41" s="228" t="s">
        <v>443</v>
      </c>
      <c r="D41" s="967" t="s">
        <v>1384</v>
      </c>
      <c r="E41" s="1157" t="s">
        <v>1385</v>
      </c>
      <c r="F41" s="1158" t="s">
        <v>1386</v>
      </c>
      <c r="G41" s="973" t="s">
        <v>1387</v>
      </c>
      <c r="H41" s="974" t="s">
        <v>1388</v>
      </c>
      <c r="I41" s="973" t="s">
        <v>1389</v>
      </c>
      <c r="J41" s="974" t="s">
        <v>1390</v>
      </c>
      <c r="K41" s="973" t="s">
        <v>1391</v>
      </c>
      <c r="L41" s="974" t="s">
        <v>1392</v>
      </c>
      <c r="M41" s="973" t="s">
        <v>1393</v>
      </c>
      <c r="N41" s="974" t="s">
        <v>1394</v>
      </c>
      <c r="O41" s="973" t="s">
        <v>1395</v>
      </c>
      <c r="P41" s="974" t="s">
        <v>1396</v>
      </c>
      <c r="Q41" s="973" t="s">
        <v>1397</v>
      </c>
      <c r="R41" s="974" t="s">
        <v>1398</v>
      </c>
      <c r="S41" s="973" t="s">
        <v>1399</v>
      </c>
      <c r="T41" s="974" t="s">
        <v>1400</v>
      </c>
      <c r="U41" s="973" t="s">
        <v>1401</v>
      </c>
      <c r="V41" s="974" t="s">
        <v>1402</v>
      </c>
      <c r="W41" s="973" t="s">
        <v>1403</v>
      </c>
      <c r="X41" s="974" t="s">
        <v>1404</v>
      </c>
      <c r="Y41" s="973" t="s">
        <v>1405</v>
      </c>
      <c r="Z41" s="974" t="s">
        <v>1406</v>
      </c>
      <c r="AA41" s="973" t="s">
        <v>1407</v>
      </c>
      <c r="AB41" s="974" t="s">
        <v>1408</v>
      </c>
      <c r="AC41" s="973" t="s">
        <v>1409</v>
      </c>
      <c r="AD41" s="974" t="s">
        <v>1410</v>
      </c>
      <c r="AE41" s="973" t="s">
        <v>1411</v>
      </c>
      <c r="AF41" s="974" t="s">
        <v>1412</v>
      </c>
      <c r="AG41" s="973" t="s">
        <v>1413</v>
      </c>
      <c r="AH41" s="974" t="s">
        <v>1414</v>
      </c>
      <c r="AI41" s="973" t="s">
        <v>1415</v>
      </c>
      <c r="AJ41" s="974" t="s">
        <v>1416</v>
      </c>
      <c r="AK41" s="973" t="s">
        <v>1417</v>
      </c>
      <c r="AL41" s="974" t="s">
        <v>1418</v>
      </c>
      <c r="AM41" s="973" t="s">
        <v>1419</v>
      </c>
      <c r="AN41" s="975" t="s">
        <v>1420</v>
      </c>
      <c r="AO41" s="1542" t="s">
        <v>1421</v>
      </c>
      <c r="AP41" s="1550" t="s">
        <v>1422</v>
      </c>
      <c r="AQ41" s="1040" t="s">
        <v>1423</v>
      </c>
      <c r="AR41" s="974" t="s">
        <v>1424</v>
      </c>
      <c r="AS41" s="1040" t="s">
        <v>1425</v>
      </c>
      <c r="AT41" s="974" t="s">
        <v>1426</v>
      </c>
      <c r="AU41" s="1159" t="s">
        <v>1427</v>
      </c>
      <c r="AV41" s="1159" t="s">
        <v>1428</v>
      </c>
      <c r="AW41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1" s="224"/>
      <c r="AY41" s="224"/>
      <c r="AZ41" s="224"/>
      <c r="BA41" s="224"/>
      <c r="CB41" s="664"/>
      <c r="CC41" s="664"/>
      <c r="CD41" s="664"/>
      <c r="CE41" s="664"/>
      <c r="CF41" s="664"/>
      <c r="CG41" s="465" t="str">
        <f t="shared" si="37"/>
        <v xml:space="preserve">* La celda 'Gestantes' debe ser menor o igual al Total de Mujeres en control. </v>
      </c>
      <c r="CH41" s="465" t="str">
        <f t="shared" si="38"/>
        <v xml:space="preserve">* La celda 'Madres de Hijos menor de 5 años' debe ser menor o igual al Total de Mujeres en control. </v>
      </c>
      <c r="CI41" s="465" t="str">
        <f t="shared" si="25"/>
        <v xml:space="preserve">* La celda 'Pueblos Originarios / Hombres' debe ser menor o igual al Total de Hombres en control. </v>
      </c>
      <c r="CJ41" s="465" t="str">
        <f t="shared" si="26"/>
        <v xml:space="preserve">* La celda 'Pueblos Originarios / Mujeres' debe ser menor o igual al Total de Mujeres en control. </v>
      </c>
      <c r="CK41" s="465" t="str">
        <f t="shared" si="27"/>
        <v xml:space="preserve">* La celda 'Población Migrantes / Hombres' debe ser menor o igual al Total de Hombres en control. </v>
      </c>
      <c r="CL41" s="465" t="str">
        <f t="shared" si="28"/>
        <v xml:space="preserve">* La celda 'Población Migrantes / Mujeres' debe ser menor o igual al Total de Mujeres en control. </v>
      </c>
      <c r="CM41" s="465" t="str">
        <f t="shared" si="29"/>
        <v xml:space="preserve">* La celda 'Niños, Niñas, Adolescentes y Jóvenes de Población SENAME' debe ser menor o igual al Total de Ambos Sexos. </v>
      </c>
      <c r="CN41" s="465"/>
      <c r="CO41" s="465"/>
      <c r="CP41" s="465" t="str">
        <f t="shared" si="30"/>
        <v/>
      </c>
      <c r="CQ41" s="465" t="str">
        <f t="shared" si="31"/>
        <v/>
      </c>
      <c r="CR41" s="465" t="str">
        <f t="shared" si="32"/>
        <v/>
      </c>
      <c r="CS41" s="664"/>
      <c r="CT41" s="664"/>
      <c r="CU41" s="664"/>
      <c r="CV41" s="474"/>
      <c r="CW41" s="474"/>
      <c r="CX41" s="474"/>
      <c r="CY41" s="665"/>
      <c r="CZ41" s="665"/>
      <c r="DA41" s="486">
        <f t="shared" si="41"/>
        <v>1</v>
      </c>
      <c r="DB41" s="486">
        <f t="shared" si="42"/>
        <v>1</v>
      </c>
      <c r="DC41" s="486">
        <f t="shared" si="33"/>
        <v>1</v>
      </c>
      <c r="DD41" s="486">
        <f t="shared" si="16"/>
        <v>1</v>
      </c>
      <c r="DE41" s="486">
        <f t="shared" si="34"/>
        <v>1</v>
      </c>
      <c r="DF41" s="486">
        <f t="shared" si="18"/>
        <v>1</v>
      </c>
      <c r="DG41" s="486">
        <f t="shared" si="19"/>
        <v>1</v>
      </c>
      <c r="DH41" s="486"/>
      <c r="DI41" s="486"/>
      <c r="DJ41" s="486">
        <f t="shared" si="22"/>
        <v>0</v>
      </c>
      <c r="DK41" s="486">
        <f t="shared" si="35"/>
        <v>0</v>
      </c>
      <c r="DL41" s="486">
        <f t="shared" si="36"/>
        <v>0</v>
      </c>
      <c r="DM41" s="665"/>
      <c r="DN41" s="665"/>
      <c r="DO41" s="665"/>
      <c r="DP41" s="1247"/>
      <c r="DQ41" s="664"/>
      <c r="DR41" s="664"/>
    </row>
    <row r="42" spans="1:122" s="173" customFormat="1" ht="23.25" customHeight="1" x14ac:dyDescent="0.25">
      <c r="A42" s="1773" t="s">
        <v>1251</v>
      </c>
      <c r="B42" s="2325" t="s">
        <v>254</v>
      </c>
      <c r="C42" s="2325"/>
      <c r="D42" s="944" t="s">
        <v>1384</v>
      </c>
      <c r="E42" s="945" t="s">
        <v>1385</v>
      </c>
      <c r="F42" s="1146" t="s">
        <v>1386</v>
      </c>
      <c r="G42" s="977" t="s">
        <v>1387</v>
      </c>
      <c r="H42" s="978" t="s">
        <v>1388</v>
      </c>
      <c r="I42" s="977" t="s">
        <v>1389</v>
      </c>
      <c r="J42" s="978" t="s">
        <v>1390</v>
      </c>
      <c r="K42" s="977" t="s">
        <v>1391</v>
      </c>
      <c r="L42" s="978" t="s">
        <v>1392</v>
      </c>
      <c r="M42" s="977" t="s">
        <v>1393</v>
      </c>
      <c r="N42" s="978" t="s">
        <v>1394</v>
      </c>
      <c r="O42" s="977" t="s">
        <v>1395</v>
      </c>
      <c r="P42" s="978" t="s">
        <v>1396</v>
      </c>
      <c r="Q42" s="977" t="s">
        <v>1397</v>
      </c>
      <c r="R42" s="978" t="s">
        <v>1398</v>
      </c>
      <c r="S42" s="977" t="s">
        <v>1399</v>
      </c>
      <c r="T42" s="978" t="s">
        <v>1400</v>
      </c>
      <c r="U42" s="977" t="s">
        <v>1401</v>
      </c>
      <c r="V42" s="978" t="s">
        <v>1402</v>
      </c>
      <c r="W42" s="977" t="s">
        <v>1403</v>
      </c>
      <c r="X42" s="978" t="s">
        <v>1404</v>
      </c>
      <c r="Y42" s="977" t="s">
        <v>1405</v>
      </c>
      <c r="Z42" s="978" t="s">
        <v>1406</v>
      </c>
      <c r="AA42" s="977" t="s">
        <v>1407</v>
      </c>
      <c r="AB42" s="978" t="s">
        <v>1408</v>
      </c>
      <c r="AC42" s="977" t="s">
        <v>1409</v>
      </c>
      <c r="AD42" s="978" t="s">
        <v>1410</v>
      </c>
      <c r="AE42" s="977" t="s">
        <v>1411</v>
      </c>
      <c r="AF42" s="978" t="s">
        <v>1412</v>
      </c>
      <c r="AG42" s="977" t="s">
        <v>1413</v>
      </c>
      <c r="AH42" s="978" t="s">
        <v>1414</v>
      </c>
      <c r="AI42" s="977" t="s">
        <v>1415</v>
      </c>
      <c r="AJ42" s="978" t="s">
        <v>1416</v>
      </c>
      <c r="AK42" s="977" t="s">
        <v>1417</v>
      </c>
      <c r="AL42" s="978" t="s">
        <v>1418</v>
      </c>
      <c r="AM42" s="977" t="s">
        <v>1419</v>
      </c>
      <c r="AN42" s="979" t="s">
        <v>1420</v>
      </c>
      <c r="AO42" s="1170" t="s">
        <v>1421</v>
      </c>
      <c r="AP42" s="1526" t="s">
        <v>1422</v>
      </c>
      <c r="AQ42" s="1048" t="s">
        <v>1423</v>
      </c>
      <c r="AR42" s="978" t="s">
        <v>1424</v>
      </c>
      <c r="AS42" s="1048" t="s">
        <v>1425</v>
      </c>
      <c r="AT42" s="978" t="s">
        <v>1426</v>
      </c>
      <c r="AU42" s="1001" t="s">
        <v>1427</v>
      </c>
      <c r="AV42" s="1001" t="s">
        <v>1428</v>
      </c>
      <c r="AW42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2" s="224"/>
      <c r="AY42" s="224"/>
      <c r="AZ42" s="224"/>
      <c r="BA42" s="224"/>
      <c r="CB42" s="664"/>
      <c r="CC42" s="664"/>
      <c r="CD42" s="664"/>
      <c r="CE42" s="664"/>
      <c r="CF42" s="664"/>
      <c r="CG42" s="465" t="str">
        <f t="shared" si="37"/>
        <v xml:space="preserve">* La celda 'Gestantes' debe ser menor o igual al Total de Mujeres en control. </v>
      </c>
      <c r="CH42" s="465" t="str">
        <f t="shared" si="38"/>
        <v xml:space="preserve">* La celda 'Madres de Hijos menor de 5 años' debe ser menor o igual al Total de Mujeres en control. </v>
      </c>
      <c r="CI42" s="465" t="str">
        <f t="shared" si="25"/>
        <v xml:space="preserve">* La celda 'Pueblos Originarios / Hombres' debe ser menor o igual al Total de Hombres en control. </v>
      </c>
      <c r="CJ42" s="465" t="str">
        <f t="shared" si="26"/>
        <v xml:space="preserve">* La celda 'Pueblos Originarios / Mujeres' debe ser menor o igual al Total de Mujeres en control. </v>
      </c>
      <c r="CK42" s="465" t="str">
        <f t="shared" si="27"/>
        <v xml:space="preserve">* La celda 'Población Migrantes / Hombres' debe ser menor o igual al Total de Hombres en control. </v>
      </c>
      <c r="CL42" s="465" t="str">
        <f t="shared" si="28"/>
        <v xml:space="preserve">* La celda 'Población Migrantes / Mujeres' debe ser menor o igual al Total de Mujeres en control. </v>
      </c>
      <c r="CM42" s="465" t="str">
        <f t="shared" si="29"/>
        <v xml:space="preserve">* La celda 'Niños, Niñas, Adolescentes y Jóvenes de Población SENAME' debe ser menor o igual al Total de Ambos Sexos. </v>
      </c>
      <c r="CN42" s="465" t="str">
        <f t="shared" si="39"/>
        <v/>
      </c>
      <c r="CO42" s="465" t="str">
        <f t="shared" si="40"/>
        <v/>
      </c>
      <c r="CP42" s="465" t="str">
        <f t="shared" si="30"/>
        <v/>
      </c>
      <c r="CQ42" s="465" t="str">
        <f t="shared" si="31"/>
        <v/>
      </c>
      <c r="CR42" s="465" t="str">
        <f t="shared" si="32"/>
        <v/>
      </c>
      <c r="CS42" s="664"/>
      <c r="CT42" s="664"/>
      <c r="CU42" s="664"/>
      <c r="CV42" s="474"/>
      <c r="CW42" s="474"/>
      <c r="CX42" s="474"/>
      <c r="CY42" s="665"/>
      <c r="CZ42" s="665"/>
      <c r="DA42" s="486">
        <f t="shared" si="41"/>
        <v>1</v>
      </c>
      <c r="DB42" s="486">
        <f t="shared" si="42"/>
        <v>1</v>
      </c>
      <c r="DC42" s="486">
        <f t="shared" si="33"/>
        <v>1</v>
      </c>
      <c r="DD42" s="486">
        <f t="shared" si="16"/>
        <v>1</v>
      </c>
      <c r="DE42" s="486">
        <f t="shared" si="34"/>
        <v>1</v>
      </c>
      <c r="DF42" s="486">
        <f t="shared" si="18"/>
        <v>1</v>
      </c>
      <c r="DG42" s="486">
        <f t="shared" si="19"/>
        <v>1</v>
      </c>
      <c r="DH42" s="486">
        <f t="shared" si="43"/>
        <v>0</v>
      </c>
      <c r="DI42" s="486">
        <f t="shared" si="44"/>
        <v>0</v>
      </c>
      <c r="DJ42" s="486">
        <f t="shared" si="22"/>
        <v>0</v>
      </c>
      <c r="DK42" s="486">
        <f t="shared" si="35"/>
        <v>0</v>
      </c>
      <c r="DL42" s="486">
        <f t="shared" si="36"/>
        <v>0</v>
      </c>
      <c r="DM42" s="665"/>
      <c r="DN42" s="665"/>
      <c r="DO42" s="665"/>
      <c r="DP42" s="1247"/>
      <c r="DQ42" s="664"/>
      <c r="DR42" s="664"/>
    </row>
    <row r="43" spans="1:122" ht="23.25" customHeight="1" x14ac:dyDescent="0.25">
      <c r="A43" s="1773" t="s">
        <v>1252</v>
      </c>
      <c r="B43" s="2325" t="s">
        <v>518</v>
      </c>
      <c r="C43" s="2325"/>
      <c r="D43" s="944" t="s">
        <v>1384</v>
      </c>
      <c r="E43" s="945" t="s">
        <v>1385</v>
      </c>
      <c r="F43" s="1146" t="s">
        <v>1386</v>
      </c>
      <c r="G43" s="977" t="s">
        <v>1387</v>
      </c>
      <c r="H43" s="978" t="s">
        <v>1388</v>
      </c>
      <c r="I43" s="977" t="s">
        <v>1389</v>
      </c>
      <c r="J43" s="978" t="s">
        <v>1390</v>
      </c>
      <c r="K43" s="977" t="s">
        <v>1391</v>
      </c>
      <c r="L43" s="978" t="s">
        <v>1392</v>
      </c>
      <c r="M43" s="977" t="s">
        <v>1393</v>
      </c>
      <c r="N43" s="978" t="s">
        <v>1394</v>
      </c>
      <c r="O43" s="977" t="s">
        <v>1395</v>
      </c>
      <c r="P43" s="978" t="s">
        <v>1396</v>
      </c>
      <c r="Q43" s="977" t="s">
        <v>1397</v>
      </c>
      <c r="R43" s="978" t="s">
        <v>1398</v>
      </c>
      <c r="S43" s="977" t="s">
        <v>1399</v>
      </c>
      <c r="T43" s="978" t="s">
        <v>1400</v>
      </c>
      <c r="U43" s="977" t="s">
        <v>1401</v>
      </c>
      <c r="V43" s="978" t="s">
        <v>1402</v>
      </c>
      <c r="W43" s="977" t="s">
        <v>1403</v>
      </c>
      <c r="X43" s="978" t="s">
        <v>1404</v>
      </c>
      <c r="Y43" s="977" t="s">
        <v>1405</v>
      </c>
      <c r="Z43" s="978" t="s">
        <v>1406</v>
      </c>
      <c r="AA43" s="977" t="s">
        <v>1407</v>
      </c>
      <c r="AB43" s="978" t="s">
        <v>1408</v>
      </c>
      <c r="AC43" s="977" t="s">
        <v>1409</v>
      </c>
      <c r="AD43" s="978" t="s">
        <v>1410</v>
      </c>
      <c r="AE43" s="977" t="s">
        <v>1411</v>
      </c>
      <c r="AF43" s="978" t="s">
        <v>1412</v>
      </c>
      <c r="AG43" s="977" t="s">
        <v>1413</v>
      </c>
      <c r="AH43" s="978" t="s">
        <v>1414</v>
      </c>
      <c r="AI43" s="977" t="s">
        <v>1415</v>
      </c>
      <c r="AJ43" s="978" t="s">
        <v>1416</v>
      </c>
      <c r="AK43" s="977" t="s">
        <v>1417</v>
      </c>
      <c r="AL43" s="978" t="s">
        <v>1418</v>
      </c>
      <c r="AM43" s="977" t="s">
        <v>1419</v>
      </c>
      <c r="AN43" s="979" t="s">
        <v>1420</v>
      </c>
      <c r="AO43" s="1170" t="s">
        <v>1421</v>
      </c>
      <c r="AP43" s="1526" t="s">
        <v>1422</v>
      </c>
      <c r="AQ43" s="1048" t="s">
        <v>1423</v>
      </c>
      <c r="AR43" s="978" t="s">
        <v>1424</v>
      </c>
      <c r="AS43" s="1048" t="s">
        <v>1425</v>
      </c>
      <c r="AT43" s="978" t="s">
        <v>1426</v>
      </c>
      <c r="AU43" s="1001" t="s">
        <v>1427</v>
      </c>
      <c r="AV43" s="1001" t="s">
        <v>1428</v>
      </c>
      <c r="AW43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3" s="224"/>
      <c r="CG43" s="465" t="str">
        <f t="shared" si="37"/>
        <v xml:space="preserve">* La celda 'Gestantes' debe ser menor o igual al Total de Mujeres en control. </v>
      </c>
      <c r="CH43" s="465" t="str">
        <f t="shared" si="38"/>
        <v xml:space="preserve">* La celda 'Madres de Hijos menor de 5 años' debe ser menor o igual al Total de Mujeres en control. </v>
      </c>
      <c r="CI43" s="465" t="str">
        <f t="shared" si="25"/>
        <v xml:space="preserve">* La celda 'Pueblos Originarios / Hombres' debe ser menor o igual al Total de Hombres en control. </v>
      </c>
      <c r="CJ43" s="465" t="str">
        <f t="shared" si="26"/>
        <v xml:space="preserve">* La celda 'Pueblos Originarios / Mujeres' debe ser menor o igual al Total de Mujeres en control. </v>
      </c>
      <c r="CK43" s="465" t="str">
        <f t="shared" si="27"/>
        <v xml:space="preserve">* La celda 'Población Migrantes / Hombres' debe ser menor o igual al Total de Hombres en control. </v>
      </c>
      <c r="CL43" s="465" t="str">
        <f t="shared" si="28"/>
        <v xml:space="preserve">* La celda 'Población Migrantes / Mujeres' debe ser menor o igual al Total de Mujeres en control. </v>
      </c>
      <c r="CM43" s="465" t="str">
        <f t="shared" si="29"/>
        <v xml:space="preserve">* La celda 'Niños, Niñas, Adolescentes y Jóvenes de Población SENAME' debe ser menor o igual al Total de Ambos Sexos. </v>
      </c>
      <c r="CN43" s="465" t="str">
        <f t="shared" si="39"/>
        <v/>
      </c>
      <c r="CO43" s="465" t="str">
        <f t="shared" si="40"/>
        <v/>
      </c>
      <c r="CP43" s="465" t="str">
        <f t="shared" si="30"/>
        <v/>
      </c>
      <c r="CQ43" s="465" t="str">
        <f t="shared" si="31"/>
        <v/>
      </c>
      <c r="CR43" s="465" t="str">
        <f t="shared" si="32"/>
        <v/>
      </c>
      <c r="CY43" s="470"/>
      <c r="CZ43" s="470"/>
      <c r="DA43" s="486">
        <f t="shared" si="41"/>
        <v>1</v>
      </c>
      <c r="DB43" s="486">
        <f t="shared" si="42"/>
        <v>1</v>
      </c>
      <c r="DC43" s="486">
        <f t="shared" si="33"/>
        <v>1</v>
      </c>
      <c r="DD43" s="486">
        <f t="shared" si="16"/>
        <v>1</v>
      </c>
      <c r="DE43" s="486">
        <f t="shared" si="34"/>
        <v>1</v>
      </c>
      <c r="DF43" s="486">
        <f t="shared" si="18"/>
        <v>1</v>
      </c>
      <c r="DG43" s="486">
        <f t="shared" si="19"/>
        <v>1</v>
      </c>
      <c r="DH43" s="486">
        <f t="shared" si="43"/>
        <v>0</v>
      </c>
      <c r="DI43" s="486">
        <f t="shared" si="44"/>
        <v>0</v>
      </c>
      <c r="DJ43" s="486">
        <f t="shared" si="22"/>
        <v>0</v>
      </c>
      <c r="DK43" s="486">
        <f t="shared" si="35"/>
        <v>0</v>
      </c>
      <c r="DL43" s="486">
        <f t="shared" si="36"/>
        <v>0</v>
      </c>
      <c r="DM43" s="1247"/>
      <c r="DN43" s="1247"/>
      <c r="DO43" s="1247"/>
      <c r="DP43" s="1247"/>
    </row>
    <row r="44" spans="1:122" ht="23.25" customHeight="1" x14ac:dyDescent="0.25">
      <c r="A44" s="1773" t="s">
        <v>1253</v>
      </c>
      <c r="B44" s="2329" t="s">
        <v>255</v>
      </c>
      <c r="C44" s="2329"/>
      <c r="D44" s="938" t="s">
        <v>1384</v>
      </c>
      <c r="E44" s="956" t="s">
        <v>1385</v>
      </c>
      <c r="F44" s="1150" t="s">
        <v>1386</v>
      </c>
      <c r="G44" s="957" t="s">
        <v>1387</v>
      </c>
      <c r="H44" s="958" t="s">
        <v>1388</v>
      </c>
      <c r="I44" s="957" t="s">
        <v>1389</v>
      </c>
      <c r="J44" s="958" t="s">
        <v>1390</v>
      </c>
      <c r="K44" s="957" t="s">
        <v>1391</v>
      </c>
      <c r="L44" s="958" t="s">
        <v>1392</v>
      </c>
      <c r="M44" s="957" t="s">
        <v>1393</v>
      </c>
      <c r="N44" s="958" t="s">
        <v>1394</v>
      </c>
      <c r="O44" s="957" t="s">
        <v>1395</v>
      </c>
      <c r="P44" s="958" t="s">
        <v>1396</v>
      </c>
      <c r="Q44" s="957" t="s">
        <v>1397</v>
      </c>
      <c r="R44" s="958" t="s">
        <v>1398</v>
      </c>
      <c r="S44" s="957" t="s">
        <v>1399</v>
      </c>
      <c r="T44" s="958" t="s">
        <v>1400</v>
      </c>
      <c r="U44" s="957" t="s">
        <v>1401</v>
      </c>
      <c r="V44" s="958" t="s">
        <v>1402</v>
      </c>
      <c r="W44" s="957" t="s">
        <v>1403</v>
      </c>
      <c r="X44" s="958" t="s">
        <v>1404</v>
      </c>
      <c r="Y44" s="957" t="s">
        <v>1405</v>
      </c>
      <c r="Z44" s="958" t="s">
        <v>1406</v>
      </c>
      <c r="AA44" s="957" t="s">
        <v>1407</v>
      </c>
      <c r="AB44" s="958" t="s">
        <v>1408</v>
      </c>
      <c r="AC44" s="957" t="s">
        <v>1409</v>
      </c>
      <c r="AD44" s="958" t="s">
        <v>1410</v>
      </c>
      <c r="AE44" s="957" t="s">
        <v>1411</v>
      </c>
      <c r="AF44" s="958" t="s">
        <v>1412</v>
      </c>
      <c r="AG44" s="957" t="s">
        <v>1413</v>
      </c>
      <c r="AH44" s="958" t="s">
        <v>1414</v>
      </c>
      <c r="AI44" s="957" t="s">
        <v>1415</v>
      </c>
      <c r="AJ44" s="958" t="s">
        <v>1416</v>
      </c>
      <c r="AK44" s="957" t="s">
        <v>1417</v>
      </c>
      <c r="AL44" s="958" t="s">
        <v>1418</v>
      </c>
      <c r="AM44" s="957" t="s">
        <v>1419</v>
      </c>
      <c r="AN44" s="966" t="s">
        <v>1420</v>
      </c>
      <c r="AO44" s="1171" t="s">
        <v>1421</v>
      </c>
      <c r="AP44" s="1520" t="s">
        <v>1422</v>
      </c>
      <c r="AQ44" s="1044" t="s">
        <v>1423</v>
      </c>
      <c r="AR44" s="958" t="s">
        <v>1424</v>
      </c>
      <c r="AS44" s="1044" t="s">
        <v>1425</v>
      </c>
      <c r="AT44" s="958" t="s">
        <v>1426</v>
      </c>
      <c r="AU44" s="1148" t="s">
        <v>1427</v>
      </c>
      <c r="AV44" s="1148" t="s">
        <v>1428</v>
      </c>
      <c r="AW44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4" s="224"/>
      <c r="CG44" s="465" t="str">
        <f t="shared" si="37"/>
        <v xml:space="preserve">* La celda 'Gestantes' debe ser menor o igual al Total de Mujeres en control. </v>
      </c>
      <c r="CH44" s="465" t="str">
        <f t="shared" si="38"/>
        <v xml:space="preserve">* La celda 'Madres de Hijos menor de 5 años' debe ser menor o igual al Total de Mujeres en control. </v>
      </c>
      <c r="CI44" s="465" t="str">
        <f t="shared" si="25"/>
        <v xml:space="preserve">* La celda 'Pueblos Originarios / Hombres' debe ser menor o igual al Total de Hombres en control. </v>
      </c>
      <c r="CJ44" s="465" t="str">
        <f t="shared" si="26"/>
        <v xml:space="preserve">* La celda 'Pueblos Originarios / Mujeres' debe ser menor o igual al Total de Mujeres en control. </v>
      </c>
      <c r="CK44" s="465" t="str">
        <f t="shared" si="27"/>
        <v xml:space="preserve">* La celda 'Población Migrantes / Hombres' debe ser menor o igual al Total de Hombres en control. </v>
      </c>
      <c r="CL44" s="465" t="str">
        <f t="shared" si="28"/>
        <v xml:space="preserve">* La celda 'Población Migrantes / Mujeres' debe ser menor o igual al Total de Mujeres en control. </v>
      </c>
      <c r="CM44" s="465" t="str">
        <f t="shared" si="29"/>
        <v xml:space="preserve">* La celda 'Niños, Niñas, Adolescentes y Jóvenes de Población SENAME' debe ser menor o igual al Total de Ambos Sexos. </v>
      </c>
      <c r="CN44" s="465" t="str">
        <f t="shared" si="39"/>
        <v/>
      </c>
      <c r="CO44" s="465" t="str">
        <f t="shared" si="40"/>
        <v/>
      </c>
      <c r="CP44" s="465" t="str">
        <f t="shared" si="30"/>
        <v/>
      </c>
      <c r="CQ44" s="465" t="str">
        <f t="shared" si="31"/>
        <v/>
      </c>
      <c r="CR44" s="465" t="str">
        <f t="shared" si="32"/>
        <v/>
      </c>
      <c r="CY44" s="470"/>
      <c r="CZ44" s="470"/>
      <c r="DA44" s="486">
        <f t="shared" si="41"/>
        <v>1</v>
      </c>
      <c r="DB44" s="486">
        <f t="shared" si="42"/>
        <v>1</v>
      </c>
      <c r="DC44" s="486">
        <f t="shared" si="33"/>
        <v>1</v>
      </c>
      <c r="DD44" s="486">
        <f t="shared" si="16"/>
        <v>1</v>
      </c>
      <c r="DE44" s="486">
        <f t="shared" si="34"/>
        <v>1</v>
      </c>
      <c r="DF44" s="486">
        <f t="shared" si="18"/>
        <v>1</v>
      </c>
      <c r="DG44" s="486">
        <f t="shared" si="19"/>
        <v>1</v>
      </c>
      <c r="DH44" s="486">
        <f t="shared" si="43"/>
        <v>0</v>
      </c>
      <c r="DI44" s="486">
        <f t="shared" si="44"/>
        <v>0</v>
      </c>
      <c r="DJ44" s="486">
        <f t="shared" si="22"/>
        <v>0</v>
      </c>
      <c r="DK44" s="486">
        <f t="shared" si="35"/>
        <v>0</v>
      </c>
      <c r="DL44" s="486">
        <f t="shared" si="36"/>
        <v>0</v>
      </c>
      <c r="DM44" s="1247"/>
      <c r="DN44" s="1247"/>
      <c r="DO44" s="1247"/>
      <c r="DP44" s="1247"/>
    </row>
    <row r="45" spans="1:122" ht="23.25" customHeight="1" x14ac:dyDescent="0.25">
      <c r="A45" s="1773" t="s">
        <v>1254</v>
      </c>
      <c r="B45" s="2329" t="s">
        <v>256</v>
      </c>
      <c r="C45" s="2329"/>
      <c r="D45" s="938" t="s">
        <v>1384</v>
      </c>
      <c r="E45" s="956" t="s">
        <v>1385</v>
      </c>
      <c r="F45" s="1150" t="s">
        <v>1386</v>
      </c>
      <c r="G45" s="957" t="s">
        <v>1387</v>
      </c>
      <c r="H45" s="958" t="s">
        <v>1388</v>
      </c>
      <c r="I45" s="957" t="s">
        <v>1389</v>
      </c>
      <c r="J45" s="958" t="s">
        <v>1390</v>
      </c>
      <c r="K45" s="957" t="s">
        <v>1391</v>
      </c>
      <c r="L45" s="958" t="s">
        <v>1392</v>
      </c>
      <c r="M45" s="957" t="s">
        <v>1393</v>
      </c>
      <c r="N45" s="958" t="s">
        <v>1394</v>
      </c>
      <c r="O45" s="957" t="s">
        <v>1395</v>
      </c>
      <c r="P45" s="958" t="s">
        <v>1396</v>
      </c>
      <c r="Q45" s="957" t="s">
        <v>1397</v>
      </c>
      <c r="R45" s="958" t="s">
        <v>1398</v>
      </c>
      <c r="S45" s="957" t="s">
        <v>1399</v>
      </c>
      <c r="T45" s="958" t="s">
        <v>1400</v>
      </c>
      <c r="U45" s="957" t="s">
        <v>1401</v>
      </c>
      <c r="V45" s="958" t="s">
        <v>1402</v>
      </c>
      <c r="W45" s="957" t="s">
        <v>1403</v>
      </c>
      <c r="X45" s="958" t="s">
        <v>1404</v>
      </c>
      <c r="Y45" s="957" t="s">
        <v>1405</v>
      </c>
      <c r="Z45" s="958" t="s">
        <v>1406</v>
      </c>
      <c r="AA45" s="957" t="s">
        <v>1407</v>
      </c>
      <c r="AB45" s="958" t="s">
        <v>1408</v>
      </c>
      <c r="AC45" s="957" t="s">
        <v>1409</v>
      </c>
      <c r="AD45" s="958" t="s">
        <v>1410</v>
      </c>
      <c r="AE45" s="957" t="s">
        <v>1411</v>
      </c>
      <c r="AF45" s="958" t="s">
        <v>1412</v>
      </c>
      <c r="AG45" s="957" t="s">
        <v>1413</v>
      </c>
      <c r="AH45" s="958" t="s">
        <v>1414</v>
      </c>
      <c r="AI45" s="957" t="s">
        <v>1415</v>
      </c>
      <c r="AJ45" s="958" t="s">
        <v>1416</v>
      </c>
      <c r="AK45" s="957" t="s">
        <v>1417</v>
      </c>
      <c r="AL45" s="958" t="s">
        <v>1418</v>
      </c>
      <c r="AM45" s="957" t="s">
        <v>1419</v>
      </c>
      <c r="AN45" s="966" t="s">
        <v>1420</v>
      </c>
      <c r="AO45" s="1171" t="s">
        <v>1421</v>
      </c>
      <c r="AP45" s="1520" t="s">
        <v>1422</v>
      </c>
      <c r="AQ45" s="1044" t="s">
        <v>1423</v>
      </c>
      <c r="AR45" s="958" t="s">
        <v>1424</v>
      </c>
      <c r="AS45" s="1044" t="s">
        <v>1425</v>
      </c>
      <c r="AT45" s="958" t="s">
        <v>1426</v>
      </c>
      <c r="AU45" s="1148" t="s">
        <v>1427</v>
      </c>
      <c r="AV45" s="1148" t="s">
        <v>1428</v>
      </c>
      <c r="AW45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5" s="224"/>
      <c r="CG45" s="465" t="str">
        <f t="shared" si="37"/>
        <v xml:space="preserve">* La celda 'Gestantes' debe ser menor o igual al Total de Mujeres en control. </v>
      </c>
      <c r="CH45" s="465" t="str">
        <f t="shared" si="38"/>
        <v xml:space="preserve">* La celda 'Madres de Hijos menor de 5 años' debe ser menor o igual al Total de Mujeres en control. </v>
      </c>
      <c r="CI45" s="465" t="str">
        <f t="shared" si="25"/>
        <v xml:space="preserve">* La celda 'Pueblos Originarios / Hombres' debe ser menor o igual al Total de Hombres en control. </v>
      </c>
      <c r="CJ45" s="465" t="str">
        <f t="shared" si="26"/>
        <v xml:space="preserve">* La celda 'Pueblos Originarios / Mujeres' debe ser menor o igual al Total de Mujeres en control. </v>
      </c>
      <c r="CK45" s="465" t="str">
        <f t="shared" si="27"/>
        <v xml:space="preserve">* La celda 'Población Migrantes / Hombres' debe ser menor o igual al Total de Hombres en control. </v>
      </c>
      <c r="CL45" s="465" t="str">
        <f t="shared" si="28"/>
        <v xml:space="preserve">* La celda 'Población Migrantes / Mujeres' debe ser menor o igual al Total de Mujeres en control. </v>
      </c>
      <c r="CM45" s="465" t="str">
        <f t="shared" si="29"/>
        <v xml:space="preserve">* La celda 'Niños, Niñas, Adolescentes y Jóvenes de Población SENAME' debe ser menor o igual al Total de Ambos Sexos. </v>
      </c>
      <c r="CN45" s="465" t="str">
        <f t="shared" si="39"/>
        <v/>
      </c>
      <c r="CO45" s="465" t="str">
        <f t="shared" si="40"/>
        <v/>
      </c>
      <c r="CP45" s="465" t="str">
        <f t="shared" si="30"/>
        <v/>
      </c>
      <c r="CQ45" s="465" t="str">
        <f t="shared" si="31"/>
        <v/>
      </c>
      <c r="CR45" s="465" t="str">
        <f t="shared" si="32"/>
        <v/>
      </c>
      <c r="CY45" s="470"/>
      <c r="CZ45" s="470"/>
      <c r="DA45" s="486">
        <f t="shared" si="41"/>
        <v>1</v>
      </c>
      <c r="DB45" s="486">
        <f t="shared" si="42"/>
        <v>1</v>
      </c>
      <c r="DC45" s="486">
        <f t="shared" si="33"/>
        <v>1</v>
      </c>
      <c r="DD45" s="486">
        <f t="shared" si="16"/>
        <v>1</v>
      </c>
      <c r="DE45" s="486">
        <f t="shared" si="34"/>
        <v>1</v>
      </c>
      <c r="DF45" s="486">
        <f t="shared" si="18"/>
        <v>1</v>
      </c>
      <c r="DG45" s="486">
        <f t="shared" si="19"/>
        <v>1</v>
      </c>
      <c r="DH45" s="486">
        <f t="shared" si="43"/>
        <v>0</v>
      </c>
      <c r="DI45" s="486">
        <f t="shared" si="44"/>
        <v>0</v>
      </c>
      <c r="DJ45" s="486">
        <f t="shared" si="22"/>
        <v>0</v>
      </c>
      <c r="DK45" s="486">
        <f t="shared" si="35"/>
        <v>0</v>
      </c>
      <c r="DL45" s="486">
        <f t="shared" si="36"/>
        <v>0</v>
      </c>
      <c r="DM45" s="1247"/>
      <c r="DN45" s="1247"/>
      <c r="DO45" s="1247"/>
      <c r="DP45" s="1247"/>
    </row>
    <row r="46" spans="1:122" ht="23.25" customHeight="1" x14ac:dyDescent="0.25">
      <c r="A46" s="1773" t="s">
        <v>1255</v>
      </c>
      <c r="B46" s="2330" t="s">
        <v>257</v>
      </c>
      <c r="C46" s="2330"/>
      <c r="D46" s="941" t="s">
        <v>1384</v>
      </c>
      <c r="E46" s="950" t="s">
        <v>1385</v>
      </c>
      <c r="F46" s="1147" t="s">
        <v>1386</v>
      </c>
      <c r="G46" s="962" t="s">
        <v>1387</v>
      </c>
      <c r="H46" s="963" t="s">
        <v>1388</v>
      </c>
      <c r="I46" s="962" t="s">
        <v>1389</v>
      </c>
      <c r="J46" s="963" t="s">
        <v>1390</v>
      </c>
      <c r="K46" s="962" t="s">
        <v>1391</v>
      </c>
      <c r="L46" s="963" t="s">
        <v>1392</v>
      </c>
      <c r="M46" s="962" t="s">
        <v>1393</v>
      </c>
      <c r="N46" s="963" t="s">
        <v>1394</v>
      </c>
      <c r="O46" s="962" t="s">
        <v>1395</v>
      </c>
      <c r="P46" s="963" t="s">
        <v>1396</v>
      </c>
      <c r="Q46" s="962" t="s">
        <v>1397</v>
      </c>
      <c r="R46" s="963" t="s">
        <v>1398</v>
      </c>
      <c r="S46" s="962" t="s">
        <v>1399</v>
      </c>
      <c r="T46" s="963" t="s">
        <v>1400</v>
      </c>
      <c r="U46" s="962" t="s">
        <v>1401</v>
      </c>
      <c r="V46" s="963" t="s">
        <v>1402</v>
      </c>
      <c r="W46" s="962" t="s">
        <v>1403</v>
      </c>
      <c r="X46" s="963" t="s">
        <v>1404</v>
      </c>
      <c r="Y46" s="962" t="s">
        <v>1405</v>
      </c>
      <c r="Z46" s="963" t="s">
        <v>1406</v>
      </c>
      <c r="AA46" s="962" t="s">
        <v>1407</v>
      </c>
      <c r="AB46" s="963" t="s">
        <v>1408</v>
      </c>
      <c r="AC46" s="962" t="s">
        <v>1409</v>
      </c>
      <c r="AD46" s="963" t="s">
        <v>1410</v>
      </c>
      <c r="AE46" s="962" t="s">
        <v>1411</v>
      </c>
      <c r="AF46" s="963" t="s">
        <v>1412</v>
      </c>
      <c r="AG46" s="962" t="s">
        <v>1413</v>
      </c>
      <c r="AH46" s="963" t="s">
        <v>1414</v>
      </c>
      <c r="AI46" s="962" t="s">
        <v>1415</v>
      </c>
      <c r="AJ46" s="963" t="s">
        <v>1416</v>
      </c>
      <c r="AK46" s="962" t="s">
        <v>1417</v>
      </c>
      <c r="AL46" s="963" t="s">
        <v>1418</v>
      </c>
      <c r="AM46" s="962" t="s">
        <v>1419</v>
      </c>
      <c r="AN46" s="993" t="s">
        <v>1420</v>
      </c>
      <c r="AO46" s="1538" t="s">
        <v>1421</v>
      </c>
      <c r="AP46" s="1522" t="s">
        <v>1422</v>
      </c>
      <c r="AQ46" s="1041" t="s">
        <v>1423</v>
      </c>
      <c r="AR46" s="963" t="s">
        <v>1424</v>
      </c>
      <c r="AS46" s="1041" t="s">
        <v>1425</v>
      </c>
      <c r="AT46" s="963" t="s">
        <v>1426</v>
      </c>
      <c r="AU46" s="1011" t="s">
        <v>1427</v>
      </c>
      <c r="AV46" s="1011" t="s">
        <v>1428</v>
      </c>
      <c r="AW46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46" s="224"/>
      <c r="CG46" s="465" t="str">
        <f t="shared" si="37"/>
        <v xml:space="preserve">* La celda 'Gestantes' debe ser menor o igual al Total de Mujeres en control. </v>
      </c>
      <c r="CH46" s="465" t="str">
        <f t="shared" si="38"/>
        <v xml:space="preserve">* La celda 'Madres de Hijos menor de 5 años' debe ser menor o igual al Total de Mujeres en control. </v>
      </c>
      <c r="CI46" s="465" t="str">
        <f t="shared" si="25"/>
        <v xml:space="preserve">* La celda 'Pueblos Originarios / Hombres' debe ser menor o igual al Total de Hombres en control. </v>
      </c>
      <c r="CJ46" s="465" t="str">
        <f t="shared" si="26"/>
        <v xml:space="preserve">* La celda 'Pueblos Originarios / Mujeres' debe ser menor o igual al Total de Mujeres en control. </v>
      </c>
      <c r="CK46" s="465" t="str">
        <f t="shared" si="27"/>
        <v xml:space="preserve">* La celda 'Población Migrantes / Hombres' debe ser menor o igual al Total de Hombres en control. </v>
      </c>
      <c r="CL46" s="465" t="str">
        <f t="shared" si="28"/>
        <v xml:space="preserve">* La celda 'Población Migrantes / Mujeres' debe ser menor o igual al Total de Mujeres en control. </v>
      </c>
      <c r="CM46" s="465" t="str">
        <f t="shared" si="29"/>
        <v xml:space="preserve">* La celda 'Niños, Niñas, Adolescentes y Jóvenes de Población SENAME' debe ser menor o igual al Total de Ambos Sexos. </v>
      </c>
      <c r="CN46" s="465" t="str">
        <f t="shared" si="39"/>
        <v/>
      </c>
      <c r="CO46" s="465" t="str">
        <f t="shared" si="40"/>
        <v/>
      </c>
      <c r="CP46" s="465" t="str">
        <f t="shared" si="30"/>
        <v/>
      </c>
      <c r="CQ46" s="465" t="str">
        <f t="shared" si="31"/>
        <v/>
      </c>
      <c r="CR46" s="465" t="str">
        <f t="shared" si="32"/>
        <v/>
      </c>
      <c r="CY46" s="470"/>
      <c r="CZ46" s="470"/>
      <c r="DA46" s="486">
        <f t="shared" si="41"/>
        <v>1</v>
      </c>
      <c r="DB46" s="486">
        <f t="shared" si="42"/>
        <v>1</v>
      </c>
      <c r="DC46" s="486">
        <f t="shared" si="33"/>
        <v>1</v>
      </c>
      <c r="DD46" s="486">
        <f t="shared" si="16"/>
        <v>1</v>
      </c>
      <c r="DE46" s="486">
        <f t="shared" si="34"/>
        <v>1</v>
      </c>
      <c r="DF46" s="486">
        <f t="shared" si="18"/>
        <v>1</v>
      </c>
      <c r="DG46" s="486">
        <f t="shared" si="19"/>
        <v>1</v>
      </c>
      <c r="DH46" s="486">
        <f t="shared" si="43"/>
        <v>0</v>
      </c>
      <c r="DI46" s="486">
        <f t="shared" si="44"/>
        <v>0</v>
      </c>
      <c r="DJ46" s="486">
        <f t="shared" si="22"/>
        <v>0</v>
      </c>
      <c r="DK46" s="486">
        <f t="shared" si="35"/>
        <v>0</v>
      </c>
      <c r="DL46" s="486">
        <f t="shared" si="36"/>
        <v>0</v>
      </c>
      <c r="DM46" s="1247"/>
      <c r="DN46" s="1247"/>
      <c r="DO46" s="1247"/>
      <c r="DP46" s="1247"/>
    </row>
    <row r="47" spans="1:122" ht="23.25" customHeight="1" x14ac:dyDescent="0.25">
      <c r="A47" s="1794" t="s">
        <v>1316</v>
      </c>
      <c r="B47" s="2331" t="s">
        <v>258</v>
      </c>
      <c r="C47" s="1451" t="s">
        <v>723</v>
      </c>
      <c r="D47" s="948" t="s">
        <v>1384</v>
      </c>
      <c r="E47" s="948" t="s">
        <v>1385</v>
      </c>
      <c r="F47" s="1273" t="s">
        <v>1386</v>
      </c>
      <c r="G47" s="1023" t="s">
        <v>1387</v>
      </c>
      <c r="H47" s="1024" t="s">
        <v>1388</v>
      </c>
      <c r="I47" s="1023" t="s">
        <v>1389</v>
      </c>
      <c r="J47" s="1024" t="s">
        <v>1390</v>
      </c>
      <c r="K47" s="1023" t="s">
        <v>1391</v>
      </c>
      <c r="L47" s="1024" t="s">
        <v>1392</v>
      </c>
      <c r="M47" s="1023" t="s">
        <v>1393</v>
      </c>
      <c r="N47" s="1024" t="s">
        <v>1394</v>
      </c>
      <c r="O47" s="1023" t="s">
        <v>1395</v>
      </c>
      <c r="P47" s="1024" t="s">
        <v>1396</v>
      </c>
      <c r="Q47" s="1023" t="s">
        <v>1397</v>
      </c>
      <c r="R47" s="1024" t="s">
        <v>1398</v>
      </c>
      <c r="S47" s="1023" t="s">
        <v>1399</v>
      </c>
      <c r="T47" s="1024" t="s">
        <v>1400</v>
      </c>
      <c r="U47" s="1023" t="s">
        <v>1401</v>
      </c>
      <c r="V47" s="1024" t="s">
        <v>1402</v>
      </c>
      <c r="W47" s="1023" t="s">
        <v>1403</v>
      </c>
      <c r="X47" s="1024" t="s">
        <v>1404</v>
      </c>
      <c r="Y47" s="1023" t="s">
        <v>1405</v>
      </c>
      <c r="Z47" s="1024" t="s">
        <v>1406</v>
      </c>
      <c r="AA47" s="1023" t="s">
        <v>1407</v>
      </c>
      <c r="AB47" s="1024" t="s">
        <v>1408</v>
      </c>
      <c r="AC47" s="1023" t="s">
        <v>1409</v>
      </c>
      <c r="AD47" s="1024" t="s">
        <v>1410</v>
      </c>
      <c r="AE47" s="1023" t="s">
        <v>1411</v>
      </c>
      <c r="AF47" s="1024" t="s">
        <v>1412</v>
      </c>
      <c r="AG47" s="1023" t="s">
        <v>1413</v>
      </c>
      <c r="AH47" s="1024" t="s">
        <v>1414</v>
      </c>
      <c r="AI47" s="1023" t="s">
        <v>1415</v>
      </c>
      <c r="AJ47" s="1024" t="s">
        <v>1416</v>
      </c>
      <c r="AK47" s="1023" t="s">
        <v>1417</v>
      </c>
      <c r="AL47" s="1024" t="s">
        <v>1418</v>
      </c>
      <c r="AM47" s="1023" t="s">
        <v>1419</v>
      </c>
      <c r="AN47" s="1025" t="s">
        <v>1420</v>
      </c>
      <c r="AO47" s="1170" t="s">
        <v>1421</v>
      </c>
      <c r="AP47" s="1526" t="s">
        <v>1422</v>
      </c>
      <c r="AQ47" s="1048" t="s">
        <v>1423</v>
      </c>
      <c r="AR47" s="978" t="s">
        <v>1424</v>
      </c>
      <c r="AS47" s="1552" t="s">
        <v>1425</v>
      </c>
      <c r="AT47" s="1024" t="s">
        <v>1426</v>
      </c>
      <c r="AU47" s="1567" t="s">
        <v>1427</v>
      </c>
      <c r="AV47" s="1567" t="s">
        <v>1428</v>
      </c>
      <c r="AW47" s="411"/>
      <c r="AX47" s="224"/>
      <c r="CG47" s="465"/>
      <c r="CH47" s="465"/>
      <c r="CI47" s="465"/>
      <c r="CJ47" s="465"/>
      <c r="CK47" s="465"/>
      <c r="CL47" s="465"/>
      <c r="CM47" s="465"/>
      <c r="CN47" s="465"/>
      <c r="CO47" s="465"/>
      <c r="CP47" s="465"/>
      <c r="CQ47" s="465"/>
      <c r="CR47" s="465"/>
      <c r="CY47" s="470"/>
      <c r="CZ47" s="470"/>
      <c r="DA47" s="486"/>
      <c r="DB47" s="486"/>
      <c r="DC47" s="486"/>
      <c r="DD47" s="486"/>
      <c r="DE47" s="486"/>
      <c r="DF47" s="486"/>
      <c r="DG47" s="486"/>
      <c r="DH47" s="486"/>
      <c r="DI47" s="486"/>
      <c r="DJ47" s="486"/>
      <c r="DK47" s="486"/>
      <c r="DL47" s="486"/>
      <c r="DM47" s="1247"/>
      <c r="DN47" s="1247"/>
      <c r="DO47" s="1247"/>
      <c r="DP47" s="1247"/>
    </row>
    <row r="48" spans="1:122" ht="23.25" customHeight="1" x14ac:dyDescent="0.25">
      <c r="A48" s="1794" t="s">
        <v>1317</v>
      </c>
      <c r="B48" s="2332"/>
      <c r="C48" s="1449" t="s">
        <v>724</v>
      </c>
      <c r="D48" s="960" t="s">
        <v>1384</v>
      </c>
      <c r="E48" s="960" t="s">
        <v>1385</v>
      </c>
      <c r="F48" s="1153" t="s">
        <v>1386</v>
      </c>
      <c r="G48" s="968" t="s">
        <v>1387</v>
      </c>
      <c r="H48" s="969" t="s">
        <v>1388</v>
      </c>
      <c r="I48" s="968" t="s">
        <v>1389</v>
      </c>
      <c r="J48" s="969" t="s">
        <v>1390</v>
      </c>
      <c r="K48" s="968" t="s">
        <v>1391</v>
      </c>
      <c r="L48" s="969" t="s">
        <v>1392</v>
      </c>
      <c r="M48" s="968" t="s">
        <v>1393</v>
      </c>
      <c r="N48" s="969" t="s">
        <v>1394</v>
      </c>
      <c r="O48" s="968" t="s">
        <v>1395</v>
      </c>
      <c r="P48" s="969" t="s">
        <v>1396</v>
      </c>
      <c r="Q48" s="968" t="s">
        <v>1397</v>
      </c>
      <c r="R48" s="969" t="s">
        <v>1398</v>
      </c>
      <c r="S48" s="968" t="s">
        <v>1399</v>
      </c>
      <c r="T48" s="969" t="s">
        <v>1400</v>
      </c>
      <c r="U48" s="968" t="s">
        <v>1401</v>
      </c>
      <c r="V48" s="969" t="s">
        <v>1402</v>
      </c>
      <c r="W48" s="968" t="s">
        <v>1403</v>
      </c>
      <c r="X48" s="969" t="s">
        <v>1404</v>
      </c>
      <c r="Y48" s="968" t="s">
        <v>1405</v>
      </c>
      <c r="Z48" s="969" t="s">
        <v>1406</v>
      </c>
      <c r="AA48" s="968" t="s">
        <v>1407</v>
      </c>
      <c r="AB48" s="969" t="s">
        <v>1408</v>
      </c>
      <c r="AC48" s="968" t="s">
        <v>1409</v>
      </c>
      <c r="AD48" s="969" t="s">
        <v>1410</v>
      </c>
      <c r="AE48" s="968" t="s">
        <v>1411</v>
      </c>
      <c r="AF48" s="969" t="s">
        <v>1412</v>
      </c>
      <c r="AG48" s="968" t="s">
        <v>1413</v>
      </c>
      <c r="AH48" s="969" t="s">
        <v>1414</v>
      </c>
      <c r="AI48" s="968" t="s">
        <v>1415</v>
      </c>
      <c r="AJ48" s="969" t="s">
        <v>1416</v>
      </c>
      <c r="AK48" s="968" t="s">
        <v>1417</v>
      </c>
      <c r="AL48" s="969" t="s">
        <v>1418</v>
      </c>
      <c r="AM48" s="968" t="s">
        <v>1419</v>
      </c>
      <c r="AN48" s="970" t="s">
        <v>1420</v>
      </c>
      <c r="AO48" s="1171" t="s">
        <v>1421</v>
      </c>
      <c r="AP48" s="1520" t="s">
        <v>1422</v>
      </c>
      <c r="AQ48" s="1044" t="s">
        <v>1423</v>
      </c>
      <c r="AR48" s="958" t="s">
        <v>1424</v>
      </c>
      <c r="AS48" s="1534" t="s">
        <v>1425</v>
      </c>
      <c r="AT48" s="969" t="s">
        <v>1426</v>
      </c>
      <c r="AU48" s="1154" t="s">
        <v>1427</v>
      </c>
      <c r="AV48" s="1154" t="s">
        <v>1428</v>
      </c>
      <c r="AW48" s="411"/>
      <c r="AX48" s="224"/>
      <c r="CG48" s="465"/>
      <c r="CH48" s="465"/>
      <c r="CI48" s="465"/>
      <c r="CJ48" s="465"/>
      <c r="CK48" s="465"/>
      <c r="CL48" s="465"/>
      <c r="CM48" s="465"/>
      <c r="CN48" s="465"/>
      <c r="CO48" s="465"/>
      <c r="CP48" s="465"/>
      <c r="CQ48" s="465"/>
      <c r="CR48" s="465"/>
      <c r="CY48" s="470"/>
      <c r="CZ48" s="470"/>
      <c r="DA48" s="486"/>
      <c r="DB48" s="486"/>
      <c r="DC48" s="486"/>
      <c r="DD48" s="486"/>
      <c r="DE48" s="486"/>
      <c r="DF48" s="486"/>
      <c r="DG48" s="486"/>
      <c r="DH48" s="486"/>
      <c r="DI48" s="486"/>
      <c r="DJ48" s="486"/>
      <c r="DK48" s="486"/>
      <c r="DL48" s="486"/>
      <c r="DM48" s="1247"/>
      <c r="DN48" s="1247"/>
      <c r="DO48" s="1247"/>
      <c r="DP48" s="1247"/>
    </row>
    <row r="49" spans="1:122" ht="23.25" customHeight="1" x14ac:dyDescent="0.25">
      <c r="A49" s="1794" t="s">
        <v>1318</v>
      </c>
      <c r="B49" s="2332"/>
      <c r="C49" s="1449" t="s">
        <v>725</v>
      </c>
      <c r="D49" s="960" t="s">
        <v>1384</v>
      </c>
      <c r="E49" s="960" t="s">
        <v>1385</v>
      </c>
      <c r="F49" s="1153" t="s">
        <v>1386</v>
      </c>
      <c r="G49" s="968" t="s">
        <v>1387</v>
      </c>
      <c r="H49" s="969" t="s">
        <v>1388</v>
      </c>
      <c r="I49" s="968" t="s">
        <v>1389</v>
      </c>
      <c r="J49" s="969" t="s">
        <v>1390</v>
      </c>
      <c r="K49" s="968" t="s">
        <v>1391</v>
      </c>
      <c r="L49" s="969" t="s">
        <v>1392</v>
      </c>
      <c r="M49" s="968" t="s">
        <v>1393</v>
      </c>
      <c r="N49" s="969" t="s">
        <v>1394</v>
      </c>
      <c r="O49" s="968" t="s">
        <v>1395</v>
      </c>
      <c r="P49" s="969" t="s">
        <v>1396</v>
      </c>
      <c r="Q49" s="968" t="s">
        <v>1397</v>
      </c>
      <c r="R49" s="969" t="s">
        <v>1398</v>
      </c>
      <c r="S49" s="968" t="s">
        <v>1399</v>
      </c>
      <c r="T49" s="969" t="s">
        <v>1400</v>
      </c>
      <c r="U49" s="968" t="s">
        <v>1401</v>
      </c>
      <c r="V49" s="969" t="s">
        <v>1402</v>
      </c>
      <c r="W49" s="968" t="s">
        <v>1403</v>
      </c>
      <c r="X49" s="969" t="s">
        <v>1404</v>
      </c>
      <c r="Y49" s="968" t="s">
        <v>1405</v>
      </c>
      <c r="Z49" s="969" t="s">
        <v>1406</v>
      </c>
      <c r="AA49" s="968" t="s">
        <v>1407</v>
      </c>
      <c r="AB49" s="969" t="s">
        <v>1408</v>
      </c>
      <c r="AC49" s="968" t="s">
        <v>1409</v>
      </c>
      <c r="AD49" s="969" t="s">
        <v>1410</v>
      </c>
      <c r="AE49" s="968" t="s">
        <v>1411</v>
      </c>
      <c r="AF49" s="969" t="s">
        <v>1412</v>
      </c>
      <c r="AG49" s="968" t="s">
        <v>1413</v>
      </c>
      <c r="AH49" s="969" t="s">
        <v>1414</v>
      </c>
      <c r="AI49" s="968" t="s">
        <v>1415</v>
      </c>
      <c r="AJ49" s="969" t="s">
        <v>1416</v>
      </c>
      <c r="AK49" s="968" t="s">
        <v>1417</v>
      </c>
      <c r="AL49" s="969" t="s">
        <v>1418</v>
      </c>
      <c r="AM49" s="968" t="s">
        <v>1419</v>
      </c>
      <c r="AN49" s="970" t="s">
        <v>1420</v>
      </c>
      <c r="AO49" s="1171" t="s">
        <v>1421</v>
      </c>
      <c r="AP49" s="1520" t="s">
        <v>1422</v>
      </c>
      <c r="AQ49" s="1044" t="s">
        <v>1423</v>
      </c>
      <c r="AR49" s="958" t="s">
        <v>1424</v>
      </c>
      <c r="AS49" s="1534" t="s">
        <v>1425</v>
      </c>
      <c r="AT49" s="969" t="s">
        <v>1426</v>
      </c>
      <c r="AU49" s="1154" t="s">
        <v>1427</v>
      </c>
      <c r="AV49" s="1154" t="s">
        <v>1428</v>
      </c>
      <c r="AW49" s="411"/>
      <c r="AX49" s="224"/>
      <c r="CG49" s="465"/>
      <c r="CH49" s="465"/>
      <c r="CI49" s="465"/>
      <c r="CJ49" s="465"/>
      <c r="CK49" s="465"/>
      <c r="CL49" s="465"/>
      <c r="CM49" s="465"/>
      <c r="CN49" s="465"/>
      <c r="CO49" s="465"/>
      <c r="CP49" s="465"/>
      <c r="CQ49" s="465"/>
      <c r="CR49" s="465"/>
      <c r="CY49" s="470"/>
      <c r="CZ49" s="470"/>
      <c r="DA49" s="486"/>
      <c r="DB49" s="486"/>
      <c r="DC49" s="486"/>
      <c r="DD49" s="486"/>
      <c r="DE49" s="486"/>
      <c r="DF49" s="486"/>
      <c r="DG49" s="486"/>
      <c r="DH49" s="486"/>
      <c r="DI49" s="486"/>
      <c r="DJ49" s="486"/>
      <c r="DK49" s="486"/>
      <c r="DL49" s="486"/>
      <c r="DM49" s="1247"/>
      <c r="DN49" s="1247"/>
      <c r="DO49" s="1247"/>
      <c r="DP49" s="1247"/>
    </row>
    <row r="50" spans="1:122" ht="23.25" customHeight="1" x14ac:dyDescent="0.25">
      <c r="A50" s="1794" t="s">
        <v>1319</v>
      </c>
      <c r="B50" s="2332"/>
      <c r="C50" s="1449" t="s">
        <v>726</v>
      </c>
      <c r="D50" s="960" t="s">
        <v>1384</v>
      </c>
      <c r="E50" s="960" t="s">
        <v>1385</v>
      </c>
      <c r="F50" s="1153" t="s">
        <v>1386</v>
      </c>
      <c r="G50" s="968" t="s">
        <v>1387</v>
      </c>
      <c r="H50" s="969" t="s">
        <v>1388</v>
      </c>
      <c r="I50" s="968" t="s">
        <v>1389</v>
      </c>
      <c r="J50" s="969" t="s">
        <v>1390</v>
      </c>
      <c r="K50" s="968" t="s">
        <v>1391</v>
      </c>
      <c r="L50" s="969" t="s">
        <v>1392</v>
      </c>
      <c r="M50" s="968" t="s">
        <v>1393</v>
      </c>
      <c r="N50" s="969" t="s">
        <v>1394</v>
      </c>
      <c r="O50" s="968" t="s">
        <v>1395</v>
      </c>
      <c r="P50" s="969" t="s">
        <v>1396</v>
      </c>
      <c r="Q50" s="968" t="s">
        <v>1397</v>
      </c>
      <c r="R50" s="969" t="s">
        <v>1398</v>
      </c>
      <c r="S50" s="968" t="s">
        <v>1399</v>
      </c>
      <c r="T50" s="969" t="s">
        <v>1400</v>
      </c>
      <c r="U50" s="968" t="s">
        <v>1401</v>
      </c>
      <c r="V50" s="969" t="s">
        <v>1402</v>
      </c>
      <c r="W50" s="968" t="s">
        <v>1403</v>
      </c>
      <c r="X50" s="969" t="s">
        <v>1404</v>
      </c>
      <c r="Y50" s="968" t="s">
        <v>1405</v>
      </c>
      <c r="Z50" s="969" t="s">
        <v>1406</v>
      </c>
      <c r="AA50" s="968" t="s">
        <v>1407</v>
      </c>
      <c r="AB50" s="969" t="s">
        <v>1408</v>
      </c>
      <c r="AC50" s="968" t="s">
        <v>1409</v>
      </c>
      <c r="AD50" s="969" t="s">
        <v>1410</v>
      </c>
      <c r="AE50" s="968" t="s">
        <v>1411</v>
      </c>
      <c r="AF50" s="969" t="s">
        <v>1412</v>
      </c>
      <c r="AG50" s="968" t="s">
        <v>1413</v>
      </c>
      <c r="AH50" s="969" t="s">
        <v>1414</v>
      </c>
      <c r="AI50" s="968" t="s">
        <v>1415</v>
      </c>
      <c r="AJ50" s="969" t="s">
        <v>1416</v>
      </c>
      <c r="AK50" s="968" t="s">
        <v>1417</v>
      </c>
      <c r="AL50" s="969" t="s">
        <v>1418</v>
      </c>
      <c r="AM50" s="968" t="s">
        <v>1419</v>
      </c>
      <c r="AN50" s="970" t="s">
        <v>1420</v>
      </c>
      <c r="AO50" s="1171" t="s">
        <v>1421</v>
      </c>
      <c r="AP50" s="1520" t="s">
        <v>1422</v>
      </c>
      <c r="AQ50" s="1044" t="s">
        <v>1423</v>
      </c>
      <c r="AR50" s="958" t="s">
        <v>1424</v>
      </c>
      <c r="AS50" s="1534" t="s">
        <v>1425</v>
      </c>
      <c r="AT50" s="969" t="s">
        <v>1426</v>
      </c>
      <c r="AU50" s="1154" t="s">
        <v>1427</v>
      </c>
      <c r="AV50" s="1154" t="s">
        <v>1428</v>
      </c>
      <c r="AW50" s="411"/>
      <c r="AX50" s="224"/>
      <c r="CG50" s="465"/>
      <c r="CH50" s="465"/>
      <c r="CI50" s="465"/>
      <c r="CJ50" s="465"/>
      <c r="CK50" s="465"/>
      <c r="CL50" s="465"/>
      <c r="CM50" s="465"/>
      <c r="CN50" s="465"/>
      <c r="CO50" s="465"/>
      <c r="CP50" s="465"/>
      <c r="CQ50" s="465"/>
      <c r="CR50" s="465"/>
      <c r="CY50" s="470"/>
      <c r="CZ50" s="470"/>
      <c r="DA50" s="486"/>
      <c r="DB50" s="486"/>
      <c r="DC50" s="486"/>
      <c r="DD50" s="486"/>
      <c r="DE50" s="486"/>
      <c r="DF50" s="486"/>
      <c r="DG50" s="486"/>
      <c r="DH50" s="486"/>
      <c r="DI50" s="486"/>
      <c r="DJ50" s="486"/>
      <c r="DK50" s="486"/>
      <c r="DL50" s="486"/>
      <c r="DM50" s="1247"/>
      <c r="DN50" s="1247"/>
      <c r="DO50" s="1247"/>
      <c r="DP50" s="1247"/>
    </row>
    <row r="51" spans="1:122" ht="23.25" customHeight="1" x14ac:dyDescent="0.25">
      <c r="A51" s="1794" t="s">
        <v>1320</v>
      </c>
      <c r="B51" s="2333"/>
      <c r="C51" s="1450" t="s">
        <v>727</v>
      </c>
      <c r="D51" s="941" t="s">
        <v>1384</v>
      </c>
      <c r="E51" s="950" t="s">
        <v>1385</v>
      </c>
      <c r="F51" s="1147" t="s">
        <v>1386</v>
      </c>
      <c r="G51" s="962" t="s">
        <v>1387</v>
      </c>
      <c r="H51" s="963" t="s">
        <v>1388</v>
      </c>
      <c r="I51" s="962" t="s">
        <v>1389</v>
      </c>
      <c r="J51" s="963" t="s">
        <v>1390</v>
      </c>
      <c r="K51" s="962" t="s">
        <v>1391</v>
      </c>
      <c r="L51" s="963" t="s">
        <v>1392</v>
      </c>
      <c r="M51" s="962" t="s">
        <v>1393</v>
      </c>
      <c r="N51" s="963" t="s">
        <v>1394</v>
      </c>
      <c r="O51" s="962" t="s">
        <v>1395</v>
      </c>
      <c r="P51" s="963" t="s">
        <v>1396</v>
      </c>
      <c r="Q51" s="962" t="s">
        <v>1397</v>
      </c>
      <c r="R51" s="963" t="s">
        <v>1398</v>
      </c>
      <c r="S51" s="962" t="s">
        <v>1399</v>
      </c>
      <c r="T51" s="963" t="s">
        <v>1400</v>
      </c>
      <c r="U51" s="962" t="s">
        <v>1401</v>
      </c>
      <c r="V51" s="963" t="s">
        <v>1402</v>
      </c>
      <c r="W51" s="962" t="s">
        <v>1403</v>
      </c>
      <c r="X51" s="963" t="s">
        <v>1404</v>
      </c>
      <c r="Y51" s="962" t="s">
        <v>1405</v>
      </c>
      <c r="Z51" s="963" t="s">
        <v>1406</v>
      </c>
      <c r="AA51" s="962" t="s">
        <v>1407</v>
      </c>
      <c r="AB51" s="963" t="s">
        <v>1408</v>
      </c>
      <c r="AC51" s="962" t="s">
        <v>1409</v>
      </c>
      <c r="AD51" s="963" t="s">
        <v>1410</v>
      </c>
      <c r="AE51" s="962" t="s">
        <v>1411</v>
      </c>
      <c r="AF51" s="963" t="s">
        <v>1412</v>
      </c>
      <c r="AG51" s="962" t="s">
        <v>1413</v>
      </c>
      <c r="AH51" s="963" t="s">
        <v>1414</v>
      </c>
      <c r="AI51" s="962" t="s">
        <v>1415</v>
      </c>
      <c r="AJ51" s="963" t="s">
        <v>1416</v>
      </c>
      <c r="AK51" s="962" t="s">
        <v>1417</v>
      </c>
      <c r="AL51" s="963" t="s">
        <v>1418</v>
      </c>
      <c r="AM51" s="962" t="s">
        <v>1419</v>
      </c>
      <c r="AN51" s="993" t="s">
        <v>1420</v>
      </c>
      <c r="AO51" s="1538" t="s">
        <v>1421</v>
      </c>
      <c r="AP51" s="1522" t="s">
        <v>1422</v>
      </c>
      <c r="AQ51" s="1041" t="s">
        <v>1423</v>
      </c>
      <c r="AR51" s="963" t="s">
        <v>1424</v>
      </c>
      <c r="AS51" s="1041" t="s">
        <v>1425</v>
      </c>
      <c r="AT51" s="963" t="s">
        <v>1426</v>
      </c>
      <c r="AU51" s="1011" t="s">
        <v>1427</v>
      </c>
      <c r="AV51" s="1011" t="s">
        <v>1428</v>
      </c>
      <c r="AW51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51" s="224"/>
      <c r="CG51" s="465" t="str">
        <f t="shared" si="37"/>
        <v xml:space="preserve">* La celda 'Gestantes' debe ser menor o igual al Total de Mujeres en control. </v>
      </c>
      <c r="CH51" s="465" t="str">
        <f t="shared" si="38"/>
        <v xml:space="preserve">* La celda 'Madres de Hijos menor de 5 años' debe ser menor o igual al Total de Mujeres en control. </v>
      </c>
      <c r="CI51" s="465" t="str">
        <f t="shared" si="25"/>
        <v xml:space="preserve">* La celda 'Pueblos Originarios / Hombres' debe ser menor o igual al Total de Hombres en control. </v>
      </c>
      <c r="CJ51" s="465" t="str">
        <f t="shared" si="26"/>
        <v xml:space="preserve">* La celda 'Pueblos Originarios / Mujeres' debe ser menor o igual al Total de Mujeres en control. </v>
      </c>
      <c r="CK51" s="465" t="str">
        <f t="shared" si="27"/>
        <v xml:space="preserve">* La celda 'Población Migrantes / Hombres' debe ser menor o igual al Total de Hombres en control. </v>
      </c>
      <c r="CL51" s="465" t="str">
        <f t="shared" si="28"/>
        <v xml:space="preserve">* La celda 'Población Migrantes / Mujeres' debe ser menor o igual al Total de Mujeres en control. </v>
      </c>
      <c r="CM51" s="465" t="str">
        <f t="shared" si="29"/>
        <v xml:space="preserve">* La celda 'Niños, Niñas, Adolescentes y Jóvenes de Población SENAME' debe ser menor o igual al Total de Ambos Sexos. </v>
      </c>
      <c r="CN51" s="465" t="str">
        <f t="shared" si="39"/>
        <v/>
      </c>
      <c r="CO51" s="465" t="str">
        <f t="shared" si="40"/>
        <v/>
      </c>
      <c r="CP51" s="465" t="str">
        <f t="shared" si="30"/>
        <v/>
      </c>
      <c r="CQ51" s="465" t="str">
        <f t="shared" si="31"/>
        <v/>
      </c>
      <c r="CR51" s="465" t="str">
        <f t="shared" si="32"/>
        <v/>
      </c>
      <c r="CY51" s="470"/>
      <c r="CZ51" s="470"/>
      <c r="DA51" s="486">
        <f t="shared" si="41"/>
        <v>1</v>
      </c>
      <c r="DB51" s="486">
        <f t="shared" si="42"/>
        <v>1</v>
      </c>
      <c r="DC51" s="486">
        <f t="shared" si="33"/>
        <v>1</v>
      </c>
      <c r="DD51" s="486">
        <f t="shared" si="16"/>
        <v>1</v>
      </c>
      <c r="DE51" s="486">
        <f t="shared" si="34"/>
        <v>1</v>
      </c>
      <c r="DF51" s="486">
        <f t="shared" si="18"/>
        <v>1</v>
      </c>
      <c r="DG51" s="486">
        <f t="shared" si="19"/>
        <v>1</v>
      </c>
      <c r="DH51" s="486">
        <f t="shared" si="43"/>
        <v>0</v>
      </c>
      <c r="DI51" s="486">
        <f t="shared" si="44"/>
        <v>0</v>
      </c>
      <c r="DJ51" s="486">
        <f t="shared" si="22"/>
        <v>0</v>
      </c>
      <c r="DK51" s="486">
        <f t="shared" si="35"/>
        <v>0</v>
      </c>
      <c r="DL51" s="486">
        <f t="shared" si="36"/>
        <v>0</v>
      </c>
      <c r="DM51" s="1247"/>
      <c r="DN51" s="1247"/>
      <c r="DO51" s="1247"/>
      <c r="DP51" s="1247"/>
    </row>
    <row r="52" spans="1:122" ht="23.25" customHeight="1" x14ac:dyDescent="0.25">
      <c r="A52" s="1773" t="s">
        <v>1256</v>
      </c>
      <c r="B52" s="1452" t="s">
        <v>642</v>
      </c>
      <c r="C52" s="1453"/>
      <c r="D52" s="948" t="s">
        <v>1384</v>
      </c>
      <c r="E52" s="948" t="s">
        <v>1385</v>
      </c>
      <c r="F52" s="1273" t="s">
        <v>1386</v>
      </c>
      <c r="G52" s="1023" t="s">
        <v>1387</v>
      </c>
      <c r="H52" s="1024" t="s">
        <v>1388</v>
      </c>
      <c r="I52" s="1023" t="s">
        <v>1389</v>
      </c>
      <c r="J52" s="1024" t="s">
        <v>1390</v>
      </c>
      <c r="K52" s="1023" t="s">
        <v>1391</v>
      </c>
      <c r="L52" s="1024" t="s">
        <v>1392</v>
      </c>
      <c r="M52" s="1023" t="s">
        <v>1393</v>
      </c>
      <c r="N52" s="1024" t="s">
        <v>1394</v>
      </c>
      <c r="O52" s="1023" t="s">
        <v>1395</v>
      </c>
      <c r="P52" s="1024" t="s">
        <v>1396</v>
      </c>
      <c r="Q52" s="1023" t="s">
        <v>1397</v>
      </c>
      <c r="R52" s="1024" t="s">
        <v>1398</v>
      </c>
      <c r="S52" s="1023" t="s">
        <v>1399</v>
      </c>
      <c r="T52" s="1024" t="s">
        <v>1400</v>
      </c>
      <c r="U52" s="1023" t="s">
        <v>1401</v>
      </c>
      <c r="V52" s="1024" t="s">
        <v>1402</v>
      </c>
      <c r="W52" s="1023" t="s">
        <v>1403</v>
      </c>
      <c r="X52" s="1024" t="s">
        <v>1404</v>
      </c>
      <c r="Y52" s="1023" t="s">
        <v>1405</v>
      </c>
      <c r="Z52" s="1024" t="s">
        <v>1406</v>
      </c>
      <c r="AA52" s="1023" t="s">
        <v>1407</v>
      </c>
      <c r="AB52" s="1024" t="s">
        <v>1408</v>
      </c>
      <c r="AC52" s="1023" t="s">
        <v>1409</v>
      </c>
      <c r="AD52" s="1024" t="s">
        <v>1410</v>
      </c>
      <c r="AE52" s="1023" t="s">
        <v>1411</v>
      </c>
      <c r="AF52" s="1024" t="s">
        <v>1412</v>
      </c>
      <c r="AG52" s="1023" t="s">
        <v>1413</v>
      </c>
      <c r="AH52" s="1024" t="s">
        <v>1414</v>
      </c>
      <c r="AI52" s="1023" t="s">
        <v>1415</v>
      </c>
      <c r="AJ52" s="1024" t="s">
        <v>1416</v>
      </c>
      <c r="AK52" s="1023" t="s">
        <v>1417</v>
      </c>
      <c r="AL52" s="1024" t="s">
        <v>1418</v>
      </c>
      <c r="AM52" s="1023" t="s">
        <v>1419</v>
      </c>
      <c r="AN52" s="1025" t="s">
        <v>1420</v>
      </c>
      <c r="AO52" s="1170" t="s">
        <v>1421</v>
      </c>
      <c r="AP52" s="1526" t="s">
        <v>1422</v>
      </c>
      <c r="AQ52" s="1552" t="s">
        <v>1423</v>
      </c>
      <c r="AR52" s="1024" t="s">
        <v>1424</v>
      </c>
      <c r="AS52" s="1552" t="s">
        <v>1425</v>
      </c>
      <c r="AT52" s="1024" t="s">
        <v>1426</v>
      </c>
      <c r="AU52" s="1567" t="s">
        <v>1427</v>
      </c>
      <c r="AV52" s="1567" t="s">
        <v>1428</v>
      </c>
      <c r="AW52" s="411" t="str">
        <f t="shared" si="0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52" s="224"/>
      <c r="CG52" s="465" t="str">
        <f t="shared" si="37"/>
        <v xml:space="preserve">* La celda 'Gestantes' debe ser menor o igual al Total de Mujeres en control. </v>
      </c>
      <c r="CH52" s="465" t="str">
        <f t="shared" si="38"/>
        <v xml:space="preserve">* La celda 'Madres de Hijos menor de 5 años' debe ser menor o igual al Total de Mujeres en control. </v>
      </c>
      <c r="CI52" s="465" t="str">
        <f t="shared" si="25"/>
        <v xml:space="preserve">* La celda 'Pueblos Originarios / Hombres' debe ser menor o igual al Total de Hombres en control. </v>
      </c>
      <c r="CJ52" s="465" t="str">
        <f t="shared" si="26"/>
        <v xml:space="preserve">* La celda 'Pueblos Originarios / Mujeres' debe ser menor o igual al Total de Mujeres en control. </v>
      </c>
      <c r="CK52" s="465" t="str">
        <f t="shared" si="27"/>
        <v xml:space="preserve">* La celda 'Población Migrantes / Hombres' debe ser menor o igual al Total de Hombres en control. </v>
      </c>
      <c r="CL52" s="465" t="str">
        <f t="shared" si="28"/>
        <v xml:space="preserve">* La celda 'Población Migrantes / Mujeres' debe ser menor o igual al Total de Mujeres en control. </v>
      </c>
      <c r="CM52" s="465" t="str">
        <f t="shared" si="29"/>
        <v xml:space="preserve">* La celda 'Niños, Niñas, Adolescentes y Jóvenes de Población SENAME' debe ser menor o igual al Total de Ambos Sexos. </v>
      </c>
      <c r="CN52" s="465" t="str">
        <f t="shared" si="39"/>
        <v/>
      </c>
      <c r="CO52" s="465" t="str">
        <f t="shared" si="40"/>
        <v/>
      </c>
      <c r="CP52" s="465" t="str">
        <f t="shared" si="30"/>
        <v/>
      </c>
      <c r="CQ52" s="465" t="str">
        <f t="shared" si="31"/>
        <v/>
      </c>
      <c r="CR52" s="465" t="str">
        <f t="shared" si="32"/>
        <v/>
      </c>
      <c r="CY52" s="470"/>
      <c r="CZ52" s="470"/>
      <c r="DA52" s="486">
        <f t="shared" si="41"/>
        <v>1</v>
      </c>
      <c r="DB52" s="486">
        <f t="shared" si="42"/>
        <v>1</v>
      </c>
      <c r="DC52" s="486">
        <f t="shared" si="33"/>
        <v>1</v>
      </c>
      <c r="DD52" s="486">
        <f t="shared" si="16"/>
        <v>1</v>
      </c>
      <c r="DE52" s="486">
        <f t="shared" si="34"/>
        <v>1</v>
      </c>
      <c r="DF52" s="486">
        <f t="shared" si="18"/>
        <v>1</v>
      </c>
      <c r="DG52" s="486">
        <f t="shared" si="19"/>
        <v>1</v>
      </c>
      <c r="DH52" s="486">
        <f t="shared" si="43"/>
        <v>0</v>
      </c>
      <c r="DI52" s="486">
        <f t="shared" si="44"/>
        <v>0</v>
      </c>
      <c r="DJ52" s="486">
        <f t="shared" si="22"/>
        <v>0</v>
      </c>
      <c r="DK52" s="486">
        <f t="shared" si="35"/>
        <v>0</v>
      </c>
      <c r="DL52" s="486">
        <f t="shared" si="36"/>
        <v>0</v>
      </c>
      <c r="DM52" s="1247"/>
      <c r="DN52" s="1247"/>
      <c r="DO52" s="1247"/>
      <c r="DP52" s="1247"/>
    </row>
    <row r="53" spans="1:122" ht="23.25" customHeight="1" x14ac:dyDescent="0.25">
      <c r="A53" s="1773" t="s">
        <v>1257</v>
      </c>
      <c r="B53" s="2316" t="s">
        <v>400</v>
      </c>
      <c r="C53" s="2335"/>
      <c r="D53" s="941" t="s">
        <v>1384</v>
      </c>
      <c r="E53" s="942" t="s">
        <v>1385</v>
      </c>
      <c r="F53" s="943" t="s">
        <v>1386</v>
      </c>
      <c r="G53" s="962" t="s">
        <v>1387</v>
      </c>
      <c r="H53" s="963" t="s">
        <v>1388</v>
      </c>
      <c r="I53" s="962" t="s">
        <v>1389</v>
      </c>
      <c r="J53" s="963" t="s">
        <v>1390</v>
      </c>
      <c r="K53" s="962" t="s">
        <v>1391</v>
      </c>
      <c r="L53" s="963" t="s">
        <v>1392</v>
      </c>
      <c r="M53" s="962" t="s">
        <v>1393</v>
      </c>
      <c r="N53" s="963" t="s">
        <v>1394</v>
      </c>
      <c r="O53" s="962" t="s">
        <v>1395</v>
      </c>
      <c r="P53" s="963" t="s">
        <v>1396</v>
      </c>
      <c r="Q53" s="962" t="s">
        <v>1397</v>
      </c>
      <c r="R53" s="963" t="s">
        <v>1398</v>
      </c>
      <c r="S53" s="962" t="s">
        <v>1399</v>
      </c>
      <c r="T53" s="963" t="s">
        <v>1400</v>
      </c>
      <c r="U53" s="962" t="s">
        <v>1401</v>
      </c>
      <c r="V53" s="963" t="s">
        <v>1402</v>
      </c>
      <c r="W53" s="962" t="s">
        <v>1403</v>
      </c>
      <c r="X53" s="963" t="s">
        <v>1404</v>
      </c>
      <c r="Y53" s="962" t="s">
        <v>1405</v>
      </c>
      <c r="Z53" s="963" t="s">
        <v>1406</v>
      </c>
      <c r="AA53" s="962" t="s">
        <v>1407</v>
      </c>
      <c r="AB53" s="963" t="s">
        <v>1408</v>
      </c>
      <c r="AC53" s="962" t="s">
        <v>1409</v>
      </c>
      <c r="AD53" s="963" t="s">
        <v>1410</v>
      </c>
      <c r="AE53" s="962" t="s">
        <v>1411</v>
      </c>
      <c r="AF53" s="963" t="s">
        <v>1412</v>
      </c>
      <c r="AG53" s="962" t="s">
        <v>1413</v>
      </c>
      <c r="AH53" s="963" t="s">
        <v>1414</v>
      </c>
      <c r="AI53" s="962" t="s">
        <v>1415</v>
      </c>
      <c r="AJ53" s="963" t="s">
        <v>1416</v>
      </c>
      <c r="AK53" s="962" t="s">
        <v>1417</v>
      </c>
      <c r="AL53" s="963" t="s">
        <v>1418</v>
      </c>
      <c r="AM53" s="962" t="s">
        <v>1419</v>
      </c>
      <c r="AN53" s="993" t="s">
        <v>1420</v>
      </c>
      <c r="AO53" s="1538" t="s">
        <v>1421</v>
      </c>
      <c r="AP53" s="1522" t="s">
        <v>1422</v>
      </c>
      <c r="AQ53" s="1041" t="s">
        <v>1423</v>
      </c>
      <c r="AR53" s="963" t="s">
        <v>1424</v>
      </c>
      <c r="AS53" s="1041" t="s">
        <v>1425</v>
      </c>
      <c r="AT53" s="963" t="s">
        <v>1426</v>
      </c>
      <c r="AU53" s="1011" t="s">
        <v>1427</v>
      </c>
      <c r="AV53" s="1011" t="s">
        <v>1428</v>
      </c>
      <c r="AW53" s="411" t="str">
        <f t="shared" si="0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'Niños, Niñas, Adolescentes y Jóvenes de Población SENAME' debe ser menor o igual al Total de Ambos Sexos. </v>
      </c>
      <c r="AX53" s="224"/>
      <c r="CI53" s="465" t="str">
        <f t="shared" si="25"/>
        <v xml:space="preserve">* La celda 'Pueblos Originarios / Hombres' debe ser menor o igual al Total de Hombres en control. </v>
      </c>
      <c r="CJ53" s="465" t="str">
        <f t="shared" si="26"/>
        <v xml:space="preserve">* La celda 'Pueblos Originarios / Mujeres' debe ser menor o igual al Total de Mujeres en control. </v>
      </c>
      <c r="CK53" s="465" t="str">
        <f t="shared" si="27"/>
        <v xml:space="preserve">* La celda 'Población Migrantes / Hombres' debe ser menor o igual al Total de Hombres en control. </v>
      </c>
      <c r="CL53" s="465" t="str">
        <f t="shared" si="28"/>
        <v xml:space="preserve">* La celda 'Población Migrantes / Mujeres' debe ser menor o igual al Total de Mujeres en control. </v>
      </c>
      <c r="CM53" s="465" t="str">
        <f t="shared" si="29"/>
        <v xml:space="preserve">* La celda 'Niños, Niñas, Adolescentes y Jóvenes de Población SENAME' debe ser menor o igual al Total de Ambos Sexos. </v>
      </c>
      <c r="CP53" s="465" t="str">
        <f t="shared" si="30"/>
        <v/>
      </c>
      <c r="CQ53" s="465" t="str">
        <f t="shared" si="31"/>
        <v/>
      </c>
      <c r="CR53" s="465" t="str">
        <f t="shared" si="32"/>
        <v/>
      </c>
      <c r="CY53" s="470"/>
      <c r="CZ53" s="470"/>
      <c r="DA53" s="470"/>
      <c r="DB53" s="470"/>
      <c r="DC53" s="486">
        <f t="shared" si="33"/>
        <v>1</v>
      </c>
      <c r="DD53" s="486">
        <f t="shared" si="16"/>
        <v>1</v>
      </c>
      <c r="DE53" s="486">
        <f t="shared" si="34"/>
        <v>1</v>
      </c>
      <c r="DF53" s="486">
        <f t="shared" si="18"/>
        <v>1</v>
      </c>
      <c r="DG53" s="486">
        <f t="shared" si="19"/>
        <v>1</v>
      </c>
      <c r="DH53" s="470"/>
      <c r="DI53" s="470"/>
      <c r="DJ53" s="486">
        <f t="shared" si="22"/>
        <v>0</v>
      </c>
      <c r="DK53" s="486">
        <f t="shared" si="35"/>
        <v>0</v>
      </c>
      <c r="DL53" s="486">
        <f t="shared" si="36"/>
        <v>0</v>
      </c>
      <c r="DM53" s="1247"/>
      <c r="DN53" s="1247"/>
      <c r="DO53" s="1247"/>
      <c r="DP53" s="1247"/>
    </row>
    <row r="54" spans="1:122" s="356" customFormat="1" ht="27" customHeight="1" x14ac:dyDescent="0.25">
      <c r="B54" s="668" t="s">
        <v>619</v>
      </c>
      <c r="C54" s="648"/>
      <c r="D54" s="648"/>
      <c r="E54" s="648"/>
      <c r="F54" s="645"/>
      <c r="G54" s="645"/>
      <c r="H54" s="645"/>
      <c r="I54" s="645"/>
      <c r="J54" s="645"/>
      <c r="K54" s="645"/>
      <c r="L54" s="645"/>
      <c r="M54" s="645"/>
      <c r="N54" s="645"/>
      <c r="O54" s="645"/>
      <c r="P54" s="645"/>
      <c r="Q54" s="215"/>
      <c r="R54" s="215"/>
      <c r="S54" s="215"/>
      <c r="T54" s="215"/>
      <c r="U54" s="215"/>
      <c r="V54" s="215"/>
      <c r="W54" s="216"/>
      <c r="X54" s="216"/>
      <c r="Y54" s="216"/>
      <c r="Z54" s="216"/>
      <c r="AA54" s="216"/>
      <c r="AB54" s="216"/>
      <c r="AC54" s="216"/>
      <c r="AD54" s="216"/>
      <c r="AE54" s="216"/>
      <c r="AF54" s="216"/>
      <c r="AG54" s="216"/>
      <c r="AH54" s="216"/>
      <c r="AI54" s="216"/>
      <c r="AJ54" s="216"/>
      <c r="AK54" s="216"/>
      <c r="AL54" s="216"/>
      <c r="AM54" s="215"/>
      <c r="AN54" s="215"/>
      <c r="AO54" s="215"/>
      <c r="AP54" s="215"/>
      <c r="AQ54" s="215"/>
      <c r="AR54" s="215"/>
      <c r="AS54" s="215"/>
      <c r="AT54" s="215"/>
      <c r="AU54" s="215"/>
      <c r="AV54" s="216"/>
      <c r="AW54" s="216"/>
      <c r="AX54" s="216"/>
      <c r="CB54" s="474"/>
      <c r="CC54" s="474"/>
      <c r="CD54" s="474"/>
      <c r="CE54" s="474"/>
      <c r="CF54" s="474"/>
      <c r="CG54" s="474"/>
      <c r="CH54" s="474"/>
      <c r="CI54" s="474"/>
      <c r="CJ54" s="474"/>
      <c r="CK54" s="474"/>
      <c r="CL54" s="474"/>
      <c r="CM54" s="474"/>
      <c r="CN54" s="474"/>
      <c r="CO54" s="474"/>
      <c r="CP54" s="474"/>
      <c r="CQ54" s="474"/>
      <c r="CR54" s="474"/>
      <c r="CS54" s="474"/>
      <c r="CT54" s="474"/>
      <c r="CU54" s="474"/>
      <c r="CV54" s="474"/>
      <c r="CW54" s="474"/>
      <c r="CX54" s="474"/>
      <c r="CY54" s="470"/>
      <c r="CZ54" s="470"/>
      <c r="DA54" s="470"/>
      <c r="DB54" s="470"/>
      <c r="DC54" s="470"/>
      <c r="DD54" s="470"/>
      <c r="DE54" s="470"/>
      <c r="DF54" s="470"/>
      <c r="DG54" s="470"/>
      <c r="DH54" s="470"/>
      <c r="DI54" s="470"/>
      <c r="DJ54" s="470"/>
      <c r="DK54" s="470"/>
      <c r="DL54" s="470"/>
      <c r="DM54" s="470"/>
      <c r="DN54" s="470"/>
      <c r="DO54" s="470"/>
      <c r="DP54" s="1247"/>
      <c r="DQ54" s="474"/>
      <c r="DR54" s="474"/>
    </row>
    <row r="55" spans="1:122" s="356" customFormat="1" ht="27" customHeight="1" x14ac:dyDescent="0.25">
      <c r="B55" s="2334" t="s">
        <v>259</v>
      </c>
      <c r="C55" s="2334" t="s">
        <v>260</v>
      </c>
      <c r="D55" s="2324" t="s">
        <v>110</v>
      </c>
      <c r="E55" s="2324"/>
      <c r="F55" s="2324"/>
      <c r="G55" s="2324" t="s">
        <v>16</v>
      </c>
      <c r="H55" s="2324"/>
      <c r="I55" s="2324"/>
      <c r="J55" s="2324"/>
      <c r="K55" s="2324"/>
      <c r="L55" s="2324"/>
      <c r="M55" s="2324"/>
      <c r="N55" s="2324"/>
      <c r="O55" s="2324"/>
      <c r="P55" s="2324"/>
      <c r="Q55" s="2324"/>
      <c r="R55" s="2324"/>
      <c r="S55" s="2324"/>
      <c r="T55" s="2324"/>
      <c r="U55" s="2324"/>
      <c r="V55" s="2324"/>
      <c r="W55" s="2324"/>
      <c r="X55" s="2324"/>
      <c r="Y55" s="2324"/>
      <c r="Z55" s="2324"/>
      <c r="AA55" s="2324"/>
      <c r="AB55" s="2324"/>
      <c r="AC55" s="2324"/>
      <c r="AD55" s="2324"/>
      <c r="AE55" s="2324"/>
      <c r="AF55" s="2324"/>
      <c r="AG55" s="2324"/>
      <c r="AH55" s="2324"/>
      <c r="AI55" s="2324"/>
      <c r="AJ55" s="2324"/>
      <c r="AK55" s="2324"/>
      <c r="AL55" s="2324"/>
      <c r="AM55" s="2324"/>
      <c r="AN55" s="2324"/>
      <c r="AO55" s="215"/>
      <c r="AP55" s="215"/>
      <c r="AQ55" s="215"/>
      <c r="AR55" s="215"/>
      <c r="AS55" s="215"/>
      <c r="AT55" s="215"/>
      <c r="AU55" s="215"/>
      <c r="AV55" s="216"/>
      <c r="AW55" s="216"/>
      <c r="AX55" s="216"/>
      <c r="CB55" s="474"/>
      <c r="CC55" s="474"/>
      <c r="CD55" s="474"/>
      <c r="CE55" s="474"/>
      <c r="CF55" s="474"/>
      <c r="CG55" s="474"/>
      <c r="CH55" s="474"/>
      <c r="CI55" s="474"/>
      <c r="CJ55" s="474"/>
      <c r="CK55" s="474"/>
      <c r="CL55" s="474"/>
      <c r="CM55" s="474"/>
      <c r="CN55" s="474"/>
      <c r="CO55" s="474"/>
      <c r="CP55" s="474"/>
      <c r="CQ55" s="474"/>
      <c r="CR55" s="474"/>
      <c r="CS55" s="474"/>
      <c r="CT55" s="474"/>
      <c r="CU55" s="474"/>
      <c r="CV55" s="474"/>
      <c r="CW55" s="474"/>
      <c r="CX55" s="474"/>
      <c r="CY55" s="470"/>
      <c r="CZ55" s="470"/>
      <c r="DA55" s="470"/>
      <c r="DB55" s="470"/>
      <c r="DC55" s="470"/>
      <c r="DD55" s="470"/>
      <c r="DE55" s="470"/>
      <c r="DF55" s="470"/>
      <c r="DG55" s="470"/>
      <c r="DH55" s="470"/>
      <c r="DI55" s="470"/>
      <c r="DJ55" s="470"/>
      <c r="DK55" s="470"/>
      <c r="DL55" s="470"/>
      <c r="DM55" s="470"/>
      <c r="DN55" s="470"/>
      <c r="DO55" s="470"/>
      <c r="DP55" s="1247"/>
      <c r="DQ55" s="474"/>
      <c r="DR55" s="474"/>
    </row>
    <row r="56" spans="1:122" s="356" customFormat="1" ht="27" customHeight="1" x14ac:dyDescent="0.25">
      <c r="B56" s="2334"/>
      <c r="C56" s="2334"/>
      <c r="D56" s="2324"/>
      <c r="E56" s="2324"/>
      <c r="F56" s="2324"/>
      <c r="G56" s="2324" t="s">
        <v>232</v>
      </c>
      <c r="H56" s="2324"/>
      <c r="I56" s="2324" t="s">
        <v>233</v>
      </c>
      <c r="J56" s="2324"/>
      <c r="K56" s="2336" t="s">
        <v>144</v>
      </c>
      <c r="L56" s="2336"/>
      <c r="M56" s="2336" t="s">
        <v>19</v>
      </c>
      <c r="N56" s="2336"/>
      <c r="O56" s="2336" t="s">
        <v>20</v>
      </c>
      <c r="P56" s="2336"/>
      <c r="Q56" s="2336" t="s">
        <v>21</v>
      </c>
      <c r="R56" s="2336"/>
      <c r="S56" s="2336" t="s">
        <v>22</v>
      </c>
      <c r="T56" s="2336"/>
      <c r="U56" s="2336" t="s">
        <v>23</v>
      </c>
      <c r="V56" s="2336"/>
      <c r="W56" s="2336" t="s">
        <v>24</v>
      </c>
      <c r="X56" s="2336"/>
      <c r="Y56" s="2336" t="s">
        <v>25</v>
      </c>
      <c r="Z56" s="2336"/>
      <c r="AA56" s="2336" t="s">
        <v>26</v>
      </c>
      <c r="AB56" s="2336"/>
      <c r="AC56" s="2336" t="s">
        <v>234</v>
      </c>
      <c r="AD56" s="2336"/>
      <c r="AE56" s="2336" t="s">
        <v>235</v>
      </c>
      <c r="AF56" s="2336"/>
      <c r="AG56" s="2385" t="s">
        <v>207</v>
      </c>
      <c r="AH56" s="2385"/>
      <c r="AI56" s="2385" t="s">
        <v>208</v>
      </c>
      <c r="AJ56" s="2385"/>
      <c r="AK56" s="2385" t="s">
        <v>209</v>
      </c>
      <c r="AL56" s="2385"/>
      <c r="AM56" s="2264" t="s">
        <v>221</v>
      </c>
      <c r="AN56" s="2264"/>
      <c r="AO56" s="215"/>
      <c r="AP56" s="215"/>
      <c r="AQ56" s="215"/>
      <c r="AR56" s="215"/>
      <c r="AS56" s="215"/>
      <c r="AT56" s="215"/>
      <c r="AU56" s="215"/>
      <c r="AV56" s="216"/>
      <c r="AW56" s="216"/>
      <c r="AX56" s="216"/>
      <c r="CB56" s="474"/>
      <c r="CC56" s="474"/>
      <c r="CD56" s="474"/>
      <c r="CE56" s="474"/>
      <c r="CF56" s="474"/>
      <c r="CG56" s="474"/>
      <c r="CH56" s="474"/>
      <c r="CI56" s="474"/>
      <c r="CJ56" s="474"/>
      <c r="CK56" s="474"/>
      <c r="CL56" s="474"/>
      <c r="CM56" s="474"/>
      <c r="CN56" s="474"/>
      <c r="CO56" s="474"/>
      <c r="CP56" s="474"/>
      <c r="CQ56" s="474"/>
      <c r="CR56" s="474"/>
      <c r="CS56" s="474"/>
      <c r="CT56" s="474"/>
      <c r="CU56" s="474"/>
      <c r="CV56" s="474"/>
      <c r="CW56" s="474"/>
      <c r="CX56" s="474"/>
      <c r="CY56" s="470"/>
      <c r="CZ56" s="470"/>
      <c r="DA56" s="470"/>
      <c r="DB56" s="470"/>
      <c r="DC56" s="470"/>
      <c r="DD56" s="470"/>
      <c r="DE56" s="470"/>
      <c r="DF56" s="470"/>
      <c r="DG56" s="470"/>
      <c r="DH56" s="470"/>
      <c r="DI56" s="470"/>
      <c r="DJ56" s="470"/>
      <c r="DK56" s="470"/>
      <c r="DL56" s="470"/>
      <c r="DM56" s="470"/>
      <c r="DN56" s="470"/>
      <c r="DO56" s="470"/>
      <c r="DP56" s="1247"/>
      <c r="DQ56" s="474"/>
      <c r="DR56" s="474"/>
    </row>
    <row r="57" spans="1:122" s="356" customFormat="1" ht="27" customHeight="1" x14ac:dyDescent="0.25">
      <c r="B57" s="2334"/>
      <c r="C57" s="2334"/>
      <c r="D57" s="219" t="s">
        <v>99</v>
      </c>
      <c r="E57" s="76" t="s">
        <v>33</v>
      </c>
      <c r="F57" s="477" t="s">
        <v>100</v>
      </c>
      <c r="G57" s="476" t="s">
        <v>33</v>
      </c>
      <c r="H57" s="477" t="s">
        <v>100</v>
      </c>
      <c r="I57" s="476" t="s">
        <v>33</v>
      </c>
      <c r="J57" s="477" t="s">
        <v>100</v>
      </c>
      <c r="K57" s="476" t="s">
        <v>33</v>
      </c>
      <c r="L57" s="477" t="s">
        <v>100</v>
      </c>
      <c r="M57" s="476" t="s">
        <v>33</v>
      </c>
      <c r="N57" s="477" t="s">
        <v>100</v>
      </c>
      <c r="O57" s="476" t="s">
        <v>33</v>
      </c>
      <c r="P57" s="477" t="s">
        <v>100</v>
      </c>
      <c r="Q57" s="476" t="s">
        <v>33</v>
      </c>
      <c r="R57" s="477" t="s">
        <v>100</v>
      </c>
      <c r="S57" s="476" t="s">
        <v>33</v>
      </c>
      <c r="T57" s="477" t="s">
        <v>100</v>
      </c>
      <c r="U57" s="476" t="s">
        <v>33</v>
      </c>
      <c r="V57" s="477" t="s">
        <v>100</v>
      </c>
      <c r="W57" s="476" t="s">
        <v>33</v>
      </c>
      <c r="X57" s="477" t="s">
        <v>100</v>
      </c>
      <c r="Y57" s="476" t="s">
        <v>33</v>
      </c>
      <c r="Z57" s="477" t="s">
        <v>100</v>
      </c>
      <c r="AA57" s="476" t="s">
        <v>33</v>
      </c>
      <c r="AB57" s="477" t="s">
        <v>100</v>
      </c>
      <c r="AC57" s="476" t="s">
        <v>33</v>
      </c>
      <c r="AD57" s="477" t="s">
        <v>100</v>
      </c>
      <c r="AE57" s="476" t="s">
        <v>33</v>
      </c>
      <c r="AF57" s="477" t="s">
        <v>100</v>
      </c>
      <c r="AG57" s="476" t="s">
        <v>33</v>
      </c>
      <c r="AH57" s="477" t="s">
        <v>100</v>
      </c>
      <c r="AI57" s="476" t="s">
        <v>33</v>
      </c>
      <c r="AJ57" s="477" t="s">
        <v>100</v>
      </c>
      <c r="AK57" s="476" t="s">
        <v>33</v>
      </c>
      <c r="AL57" s="477" t="s">
        <v>100</v>
      </c>
      <c r="AM57" s="476" t="s">
        <v>33</v>
      </c>
      <c r="AN57" s="477" t="s">
        <v>100</v>
      </c>
      <c r="AO57" s="215"/>
      <c r="AP57" s="215"/>
      <c r="AQ57" s="215"/>
      <c r="AR57" s="215"/>
      <c r="AS57" s="215"/>
      <c r="AT57" s="215"/>
      <c r="AU57" s="215"/>
      <c r="AV57" s="216"/>
      <c r="AW57" s="216"/>
      <c r="AX57" s="216"/>
      <c r="CB57" s="474"/>
      <c r="CC57" s="474"/>
      <c r="CD57" s="474"/>
      <c r="CE57" s="474"/>
      <c r="CF57" s="474"/>
      <c r="CG57" s="474"/>
      <c r="CH57" s="474"/>
      <c r="CI57" s="474"/>
      <c r="CJ57" s="474"/>
      <c r="CK57" s="474"/>
      <c r="CL57" s="474"/>
      <c r="CM57" s="474"/>
      <c r="CN57" s="474"/>
      <c r="CO57" s="474"/>
      <c r="CP57" s="474"/>
      <c r="CQ57" s="474"/>
      <c r="CR57" s="474"/>
      <c r="CS57" s="474"/>
      <c r="CT57" s="474"/>
      <c r="CU57" s="474"/>
      <c r="CV57" s="474"/>
      <c r="CW57" s="474"/>
      <c r="CX57" s="474"/>
      <c r="CY57" s="470"/>
      <c r="CZ57" s="470"/>
      <c r="DA57" s="470"/>
      <c r="DB57" s="470"/>
      <c r="DC57" s="470"/>
      <c r="DD57" s="470"/>
      <c r="DE57" s="470"/>
      <c r="DF57" s="470"/>
      <c r="DG57" s="470"/>
      <c r="DH57" s="470"/>
      <c r="DI57" s="470"/>
      <c r="DJ57" s="470"/>
      <c r="DK57" s="470"/>
      <c r="DL57" s="470"/>
      <c r="DM57" s="470"/>
      <c r="DN57" s="470"/>
      <c r="DO57" s="470"/>
      <c r="DP57" s="1247"/>
      <c r="DQ57" s="474"/>
      <c r="DR57" s="474"/>
    </row>
    <row r="58" spans="1:122" ht="24.75" customHeight="1" x14ac:dyDescent="0.25">
      <c r="A58" s="1773" t="s">
        <v>1259</v>
      </c>
      <c r="B58" s="229" t="s">
        <v>261</v>
      </c>
      <c r="C58" s="230" t="s">
        <v>236</v>
      </c>
      <c r="D58" s="341" t="s">
        <v>1384</v>
      </c>
      <c r="E58" s="342" t="s">
        <v>1385</v>
      </c>
      <c r="F58" s="343" t="s">
        <v>1386</v>
      </c>
      <c r="G58" s="1160" t="s">
        <v>1387</v>
      </c>
      <c r="H58" s="1161" t="s">
        <v>1388</v>
      </c>
      <c r="I58" s="1160" t="s">
        <v>1389</v>
      </c>
      <c r="J58" s="1161" t="s">
        <v>1390</v>
      </c>
      <c r="K58" s="1160" t="s">
        <v>1391</v>
      </c>
      <c r="L58" s="1161" t="s">
        <v>1392</v>
      </c>
      <c r="M58" s="1160" t="s">
        <v>1393</v>
      </c>
      <c r="N58" s="1161" t="s">
        <v>1394</v>
      </c>
      <c r="O58" s="1160" t="s">
        <v>1395</v>
      </c>
      <c r="P58" s="1161" t="s">
        <v>1396</v>
      </c>
      <c r="Q58" s="1160" t="s">
        <v>1397</v>
      </c>
      <c r="R58" s="1161" t="s">
        <v>1398</v>
      </c>
      <c r="S58" s="1160" t="s">
        <v>1399</v>
      </c>
      <c r="T58" s="1161" t="s">
        <v>1400</v>
      </c>
      <c r="U58" s="1160" t="s">
        <v>1401</v>
      </c>
      <c r="V58" s="1161" t="s">
        <v>1402</v>
      </c>
      <c r="W58" s="1160" t="s">
        <v>1403</v>
      </c>
      <c r="X58" s="1161" t="s">
        <v>1404</v>
      </c>
      <c r="Y58" s="1160" t="s">
        <v>1405</v>
      </c>
      <c r="Z58" s="1161" t="s">
        <v>1406</v>
      </c>
      <c r="AA58" s="1160" t="s">
        <v>1407</v>
      </c>
      <c r="AB58" s="1161" t="s">
        <v>1408</v>
      </c>
      <c r="AC58" s="1160" t="s">
        <v>1409</v>
      </c>
      <c r="AD58" s="1161" t="s">
        <v>1410</v>
      </c>
      <c r="AE58" s="1160" t="s">
        <v>1411</v>
      </c>
      <c r="AF58" s="1161" t="s">
        <v>1412</v>
      </c>
      <c r="AG58" s="1160" t="s">
        <v>1413</v>
      </c>
      <c r="AH58" s="1161" t="s">
        <v>1414</v>
      </c>
      <c r="AI58" s="1160" t="s">
        <v>1415</v>
      </c>
      <c r="AJ58" s="1161" t="s">
        <v>1416</v>
      </c>
      <c r="AK58" s="1160" t="s">
        <v>1417</v>
      </c>
      <c r="AL58" s="1161" t="s">
        <v>1418</v>
      </c>
      <c r="AM58" s="1160" t="s">
        <v>1419</v>
      </c>
      <c r="AN58" s="1172" t="s">
        <v>1420</v>
      </c>
      <c r="AO58" s="282"/>
      <c r="CY58" s="470"/>
      <c r="CZ58" s="470"/>
      <c r="DA58" s="470"/>
      <c r="DB58" s="470"/>
      <c r="DC58" s="470"/>
      <c r="DD58" s="470"/>
      <c r="DE58" s="470"/>
      <c r="DF58" s="470"/>
      <c r="DG58" s="470"/>
      <c r="DH58" s="470"/>
      <c r="DI58" s="470"/>
      <c r="DJ58" s="470"/>
      <c r="DK58" s="470"/>
      <c r="DL58" s="470"/>
      <c r="DM58" s="1247"/>
      <c r="DN58" s="1247"/>
      <c r="DO58" s="1247"/>
      <c r="DP58" s="1247"/>
    </row>
    <row r="59" spans="1:122" s="173" customFormat="1" ht="42.75" customHeight="1" x14ac:dyDescent="0.25">
      <c r="A59" s="1773" t="s">
        <v>1260</v>
      </c>
      <c r="B59" s="229" t="s">
        <v>262</v>
      </c>
      <c r="C59" s="230" t="s">
        <v>236</v>
      </c>
      <c r="D59" s="341" t="s">
        <v>1384</v>
      </c>
      <c r="E59" s="342" t="s">
        <v>1385</v>
      </c>
      <c r="F59" s="343" t="s">
        <v>1386</v>
      </c>
      <c r="G59" s="1160" t="s">
        <v>1387</v>
      </c>
      <c r="H59" s="1161" t="s">
        <v>1388</v>
      </c>
      <c r="I59" s="1160" t="s">
        <v>1389</v>
      </c>
      <c r="J59" s="1161" t="s">
        <v>1390</v>
      </c>
      <c r="K59" s="1160" t="s">
        <v>1391</v>
      </c>
      <c r="L59" s="1161" t="s">
        <v>1392</v>
      </c>
      <c r="M59" s="1160" t="s">
        <v>1393</v>
      </c>
      <c r="N59" s="1161" t="s">
        <v>1394</v>
      </c>
      <c r="O59" s="1160" t="s">
        <v>1395</v>
      </c>
      <c r="P59" s="1161" t="s">
        <v>1396</v>
      </c>
      <c r="Q59" s="1160" t="s">
        <v>1397</v>
      </c>
      <c r="R59" s="1161" t="s">
        <v>1398</v>
      </c>
      <c r="S59" s="1160" t="s">
        <v>1399</v>
      </c>
      <c r="T59" s="1161" t="s">
        <v>1400</v>
      </c>
      <c r="U59" s="1160" t="s">
        <v>1401</v>
      </c>
      <c r="V59" s="1161" t="s">
        <v>1402</v>
      </c>
      <c r="W59" s="1160" t="s">
        <v>1403</v>
      </c>
      <c r="X59" s="1161" t="s">
        <v>1404</v>
      </c>
      <c r="Y59" s="1160" t="s">
        <v>1405</v>
      </c>
      <c r="Z59" s="1161" t="s">
        <v>1406</v>
      </c>
      <c r="AA59" s="1160" t="s">
        <v>1407</v>
      </c>
      <c r="AB59" s="1161" t="s">
        <v>1408</v>
      </c>
      <c r="AC59" s="1160" t="s">
        <v>1409</v>
      </c>
      <c r="AD59" s="1161" t="s">
        <v>1410</v>
      </c>
      <c r="AE59" s="1160" t="s">
        <v>1411</v>
      </c>
      <c r="AF59" s="1161" t="s">
        <v>1412</v>
      </c>
      <c r="AG59" s="1160" t="s">
        <v>1413</v>
      </c>
      <c r="AH59" s="1161" t="s">
        <v>1414</v>
      </c>
      <c r="AI59" s="1160" t="s">
        <v>1415</v>
      </c>
      <c r="AJ59" s="1161" t="s">
        <v>1416</v>
      </c>
      <c r="AK59" s="1160" t="s">
        <v>1417</v>
      </c>
      <c r="AL59" s="1161" t="s">
        <v>1418</v>
      </c>
      <c r="AM59" s="1160" t="s">
        <v>1419</v>
      </c>
      <c r="AN59" s="1172" t="s">
        <v>1420</v>
      </c>
      <c r="AO59" s="282"/>
      <c r="AP59" s="215"/>
      <c r="AQ59" s="215"/>
      <c r="AR59" s="215"/>
      <c r="AS59" s="215"/>
      <c r="AT59" s="215"/>
      <c r="AU59" s="215"/>
      <c r="AV59" s="216"/>
      <c r="AW59" s="216"/>
      <c r="AX59" s="216"/>
      <c r="CB59" s="664"/>
      <c r="CC59" s="664"/>
      <c r="CD59" s="664"/>
      <c r="CE59" s="664"/>
      <c r="CF59" s="664"/>
      <c r="CG59" s="664"/>
      <c r="CH59" s="664"/>
      <c r="CI59" s="664"/>
      <c r="CJ59" s="664"/>
      <c r="CK59" s="664"/>
      <c r="CL59" s="664"/>
      <c r="CM59" s="664"/>
      <c r="CN59" s="664"/>
      <c r="CO59" s="664"/>
      <c r="CP59" s="664"/>
      <c r="CQ59" s="664"/>
      <c r="CR59" s="664"/>
      <c r="CS59" s="664"/>
      <c r="CT59" s="664"/>
      <c r="CU59" s="664"/>
      <c r="CV59" s="664"/>
      <c r="CW59" s="664"/>
      <c r="CX59" s="664"/>
      <c r="CY59" s="665"/>
      <c r="CZ59" s="665"/>
      <c r="DA59" s="665"/>
      <c r="DB59" s="665"/>
      <c r="DC59" s="665"/>
      <c r="DD59" s="665"/>
      <c r="DE59" s="665"/>
      <c r="DF59" s="665"/>
      <c r="DG59" s="665"/>
      <c r="DH59" s="665"/>
      <c r="DI59" s="665"/>
      <c r="DJ59" s="665"/>
      <c r="DK59" s="665"/>
      <c r="DL59" s="665"/>
      <c r="DM59" s="665"/>
      <c r="DN59" s="665"/>
      <c r="DO59" s="665"/>
      <c r="DP59" s="1247"/>
      <c r="DQ59" s="664"/>
      <c r="DR59" s="664"/>
    </row>
    <row r="60" spans="1:122" s="173" customFormat="1" ht="42.75" customHeight="1" x14ac:dyDescent="0.25">
      <c r="A60" s="1802"/>
      <c r="B60" s="1356" t="s">
        <v>408</v>
      </c>
      <c r="C60" s="669"/>
      <c r="D60" s="386"/>
      <c r="E60" s="386"/>
      <c r="F60" s="386"/>
      <c r="G60" s="386"/>
      <c r="H60" s="386"/>
      <c r="I60" s="386"/>
      <c r="J60" s="386"/>
      <c r="K60" s="386"/>
      <c r="L60" s="386"/>
      <c r="M60" s="386"/>
      <c r="N60" s="386"/>
      <c r="O60" s="386"/>
      <c r="P60" s="496"/>
      <c r="Q60" s="496"/>
      <c r="R60" s="496"/>
      <c r="S60" s="496"/>
      <c r="T60" s="496"/>
      <c r="U60" s="496"/>
      <c r="V60" s="496"/>
      <c r="W60" s="496"/>
      <c r="X60" s="496"/>
      <c r="Y60" s="496"/>
      <c r="Z60" s="496"/>
      <c r="AA60" s="496"/>
      <c r="AB60" s="496"/>
      <c r="AC60" s="496"/>
      <c r="AD60" s="496"/>
      <c r="AE60" s="496"/>
      <c r="AF60" s="496"/>
      <c r="AG60" s="496"/>
      <c r="AH60" s="496"/>
      <c r="AI60" s="496"/>
      <c r="AJ60" s="496"/>
      <c r="AK60" s="496"/>
      <c r="AL60" s="496"/>
      <c r="AM60" s="496"/>
      <c r="AN60" s="496"/>
      <c r="AO60" s="661"/>
      <c r="AP60" s="356"/>
      <c r="AQ60" s="356"/>
      <c r="AR60" s="356"/>
      <c r="AS60" s="356"/>
      <c r="AT60" s="356"/>
      <c r="AU60" s="356"/>
      <c r="AV60" s="356"/>
      <c r="AW60" s="356"/>
      <c r="AX60" s="356"/>
      <c r="AY60" s="215"/>
      <c r="AZ60" s="215"/>
      <c r="BA60" s="215"/>
      <c r="BB60" s="215"/>
      <c r="CB60" s="474"/>
      <c r="CC60" s="474"/>
      <c r="CD60" s="474"/>
      <c r="CE60" s="474"/>
      <c r="CF60" s="474"/>
      <c r="CG60" s="474"/>
      <c r="CH60" s="474"/>
      <c r="CI60" s="474"/>
      <c r="CJ60" s="474"/>
      <c r="CK60" s="474"/>
      <c r="CL60" s="474"/>
      <c r="CM60" s="474"/>
      <c r="CN60" s="474"/>
      <c r="CO60" s="474"/>
      <c r="CP60" s="474"/>
      <c r="CQ60" s="474"/>
      <c r="CR60" s="474"/>
      <c r="CS60" s="664"/>
      <c r="CT60" s="664"/>
      <c r="CU60" s="664"/>
      <c r="CV60" s="474"/>
      <c r="CW60" s="474"/>
      <c r="CX60" s="474"/>
      <c r="CY60" s="470"/>
      <c r="CZ60" s="470"/>
      <c r="DA60" s="470"/>
      <c r="DB60" s="470"/>
      <c r="DC60" s="470"/>
      <c r="DD60" s="470"/>
      <c r="DE60" s="470"/>
      <c r="DF60" s="470"/>
      <c r="DG60" s="470"/>
      <c r="DH60" s="470"/>
      <c r="DI60" s="470"/>
      <c r="DJ60" s="470"/>
      <c r="DK60" s="470"/>
      <c r="DL60" s="470"/>
      <c r="DM60" s="665"/>
      <c r="DN60" s="665"/>
      <c r="DO60" s="665"/>
      <c r="DP60" s="1247"/>
      <c r="DQ60" s="474"/>
      <c r="DR60" s="474"/>
    </row>
    <row r="61" spans="1:122" s="173" customFormat="1" ht="42.75" customHeight="1" x14ac:dyDescent="0.25">
      <c r="A61" s="1803"/>
      <c r="B61" s="2318" t="s">
        <v>170</v>
      </c>
      <c r="C61" s="2319"/>
      <c r="D61" s="2340" t="s">
        <v>15</v>
      </c>
      <c r="E61" s="2341"/>
      <c r="F61" s="2342"/>
      <c r="G61" s="2337" t="s">
        <v>49</v>
      </c>
      <c r="H61" s="2338"/>
      <c r="I61" s="2338"/>
      <c r="J61" s="2338"/>
      <c r="K61" s="2338"/>
      <c r="L61" s="2338"/>
      <c r="M61" s="2338"/>
      <c r="N61" s="2338"/>
      <c r="O61" s="2338"/>
      <c r="P61" s="2339"/>
      <c r="Q61" s="2384" t="s">
        <v>527</v>
      </c>
      <c r="R61" s="2310"/>
      <c r="S61" s="496"/>
      <c r="T61" s="496"/>
      <c r="U61" s="496"/>
      <c r="V61" s="496"/>
      <c r="W61" s="496"/>
      <c r="X61" s="496"/>
      <c r="Y61" s="496"/>
      <c r="Z61" s="496"/>
      <c r="AA61" s="496"/>
      <c r="AB61" s="496"/>
      <c r="AC61" s="496"/>
      <c r="AD61" s="496"/>
      <c r="AE61" s="496"/>
      <c r="AF61" s="496"/>
      <c r="AG61" s="496"/>
      <c r="AH61" s="496"/>
      <c r="AI61" s="496"/>
      <c r="AJ61" s="496"/>
      <c r="AK61" s="496"/>
      <c r="AL61" s="496"/>
      <c r="AM61" s="496"/>
      <c r="AN61" s="496"/>
      <c r="AO61" s="661"/>
      <c r="AP61" s="356"/>
      <c r="AQ61" s="356"/>
      <c r="AR61" s="356"/>
      <c r="AS61" s="356"/>
      <c r="AT61" s="356"/>
      <c r="AU61" s="356"/>
      <c r="AV61" s="356"/>
      <c r="AW61" s="356"/>
      <c r="AX61" s="356"/>
      <c r="AY61" s="215"/>
      <c r="AZ61" s="215"/>
      <c r="BA61" s="215"/>
      <c r="BB61" s="215"/>
      <c r="CB61" s="474"/>
      <c r="CC61" s="474"/>
      <c r="CD61" s="474"/>
      <c r="CE61" s="474"/>
      <c r="CF61" s="474"/>
      <c r="CG61" s="474"/>
      <c r="CH61" s="474"/>
      <c r="CI61" s="474"/>
      <c r="CJ61" s="474"/>
      <c r="CK61" s="474"/>
      <c r="CL61" s="474"/>
      <c r="CM61" s="474"/>
      <c r="CN61" s="474"/>
      <c r="CO61" s="474"/>
      <c r="CP61" s="474"/>
      <c r="CQ61" s="474"/>
      <c r="CR61" s="474"/>
      <c r="CS61" s="664"/>
      <c r="CT61" s="664"/>
      <c r="CU61" s="664"/>
      <c r="CV61" s="488"/>
      <c r="CW61" s="488"/>
      <c r="CX61" s="488"/>
      <c r="CY61" s="1242"/>
      <c r="CZ61" s="1245"/>
      <c r="DA61" s="470"/>
      <c r="DB61" s="470"/>
      <c r="DC61" s="470"/>
      <c r="DD61" s="470"/>
      <c r="DE61" s="470"/>
      <c r="DF61" s="470"/>
      <c r="DG61" s="470"/>
      <c r="DH61" s="470"/>
      <c r="DI61" s="470"/>
      <c r="DJ61" s="470"/>
      <c r="DK61" s="470"/>
      <c r="DL61" s="470"/>
      <c r="DM61" s="665"/>
      <c r="DN61" s="665"/>
      <c r="DO61" s="665"/>
      <c r="DP61" s="1247"/>
      <c r="DQ61" s="488"/>
      <c r="DR61" s="488"/>
    </row>
    <row r="62" spans="1:122" s="173" customFormat="1" ht="24.75" customHeight="1" x14ac:dyDescent="0.25">
      <c r="A62" s="1803"/>
      <c r="B62" s="2320"/>
      <c r="C62" s="2321"/>
      <c r="D62" s="2343"/>
      <c r="E62" s="2344"/>
      <c r="F62" s="2345"/>
      <c r="G62" s="2324" t="s">
        <v>232</v>
      </c>
      <c r="H62" s="2324"/>
      <c r="I62" s="2324" t="s">
        <v>233</v>
      </c>
      <c r="J62" s="2324"/>
      <c r="K62" s="2336" t="s">
        <v>144</v>
      </c>
      <c r="L62" s="2336"/>
      <c r="M62" s="2336" t="s">
        <v>19</v>
      </c>
      <c r="N62" s="2336"/>
      <c r="O62" s="2336" t="s">
        <v>20</v>
      </c>
      <c r="P62" s="2336"/>
      <c r="Q62" s="2306"/>
      <c r="R62" s="2312"/>
      <c r="S62" s="496"/>
      <c r="T62" s="496"/>
      <c r="U62" s="496"/>
      <c r="V62" s="496"/>
      <c r="W62" s="496"/>
      <c r="X62" s="496"/>
      <c r="Y62" s="496"/>
      <c r="Z62" s="496"/>
      <c r="AA62" s="496"/>
      <c r="AB62" s="496"/>
      <c r="AC62" s="496"/>
      <c r="AD62" s="496"/>
      <c r="AE62" s="496"/>
      <c r="AF62" s="496"/>
      <c r="AG62" s="496"/>
      <c r="AH62" s="496"/>
      <c r="AI62" s="496"/>
      <c r="AJ62" s="496"/>
      <c r="AK62" s="496"/>
      <c r="AL62" s="496"/>
      <c r="AM62" s="496"/>
      <c r="AN62" s="496"/>
      <c r="AO62" s="661"/>
      <c r="AP62" s="356"/>
      <c r="AQ62" s="356"/>
      <c r="AR62" s="356"/>
      <c r="AS62" s="356"/>
      <c r="AT62" s="356"/>
      <c r="AU62" s="356"/>
      <c r="AV62" s="356"/>
      <c r="AW62" s="356"/>
      <c r="AX62" s="356"/>
      <c r="AY62" s="215"/>
      <c r="AZ62" s="215"/>
      <c r="BA62" s="215"/>
      <c r="BB62" s="215"/>
      <c r="CB62" s="474"/>
      <c r="CC62" s="474"/>
      <c r="CD62" s="1241"/>
      <c r="CE62" s="1241"/>
      <c r="CF62" s="1241"/>
      <c r="CG62" s="474"/>
      <c r="CH62" s="474"/>
      <c r="CI62" s="474"/>
      <c r="CJ62" s="474"/>
      <c r="CK62" s="474"/>
      <c r="CL62" s="474"/>
      <c r="CM62" s="474"/>
      <c r="CN62" s="474"/>
      <c r="CO62" s="474"/>
      <c r="CP62" s="474"/>
      <c r="CQ62" s="474"/>
      <c r="CR62" s="474"/>
      <c r="CS62" s="664"/>
      <c r="CT62" s="664"/>
      <c r="CU62" s="664"/>
      <c r="CV62" s="1241"/>
      <c r="CW62" s="1241"/>
      <c r="CX62" s="1241"/>
      <c r="CY62" s="1242"/>
      <c r="CZ62" s="1242"/>
      <c r="DA62" s="470"/>
      <c r="DB62" s="470"/>
      <c r="DC62" s="470"/>
      <c r="DD62" s="470"/>
      <c r="DE62" s="470"/>
      <c r="DF62" s="470"/>
      <c r="DG62" s="470"/>
      <c r="DH62" s="470"/>
      <c r="DI62" s="470"/>
      <c r="DJ62" s="470"/>
      <c r="DK62" s="470"/>
      <c r="DL62" s="470"/>
      <c r="DM62" s="665"/>
      <c r="DN62" s="665"/>
      <c r="DO62" s="665"/>
      <c r="DP62" s="1247"/>
      <c r="DQ62" s="488"/>
      <c r="DR62" s="1241"/>
    </row>
    <row r="63" spans="1:122" s="218" customFormat="1" ht="27.75" customHeight="1" x14ac:dyDescent="0.25">
      <c r="A63" s="1804"/>
      <c r="B63" s="2322"/>
      <c r="C63" s="2323"/>
      <c r="D63" s="231" t="s">
        <v>409</v>
      </c>
      <c r="E63" s="476" t="s">
        <v>33</v>
      </c>
      <c r="F63" s="477" t="s">
        <v>100</v>
      </c>
      <c r="G63" s="476" t="s">
        <v>33</v>
      </c>
      <c r="H63" s="477" t="s">
        <v>100</v>
      </c>
      <c r="I63" s="476" t="s">
        <v>33</v>
      </c>
      <c r="J63" s="477" t="s">
        <v>100</v>
      </c>
      <c r="K63" s="476" t="s">
        <v>33</v>
      </c>
      <c r="L63" s="477" t="s">
        <v>100</v>
      </c>
      <c r="M63" s="476" t="s">
        <v>33</v>
      </c>
      <c r="N63" s="477" t="s">
        <v>100</v>
      </c>
      <c r="O63" s="476" t="s">
        <v>33</v>
      </c>
      <c r="P63" s="1332" t="s">
        <v>100</v>
      </c>
      <c r="Q63" s="1357" t="s">
        <v>33</v>
      </c>
      <c r="R63" s="1338" t="s">
        <v>100</v>
      </c>
      <c r="S63" s="496"/>
      <c r="T63" s="496"/>
      <c r="U63" s="496"/>
      <c r="V63" s="496"/>
      <c r="W63" s="496"/>
      <c r="X63" s="496"/>
      <c r="Y63" s="496"/>
      <c r="Z63" s="496"/>
      <c r="AA63" s="496"/>
      <c r="AB63" s="496"/>
      <c r="AC63" s="496"/>
      <c r="AD63" s="496"/>
      <c r="AE63" s="496"/>
      <c r="AF63" s="496"/>
      <c r="AG63" s="496"/>
      <c r="AH63" s="496"/>
      <c r="AI63" s="496"/>
      <c r="AJ63" s="496"/>
      <c r="AK63" s="496"/>
      <c r="AL63" s="496"/>
      <c r="AM63" s="496"/>
      <c r="AN63" s="496"/>
      <c r="AO63" s="661"/>
      <c r="AP63" s="356"/>
      <c r="AQ63" s="356"/>
      <c r="AR63" s="356"/>
      <c r="AS63" s="356"/>
      <c r="AT63" s="356"/>
      <c r="AU63" s="356"/>
      <c r="AV63" s="356"/>
      <c r="AW63" s="356"/>
      <c r="AX63" s="356"/>
      <c r="AY63" s="221"/>
      <c r="AZ63" s="221"/>
      <c r="BA63" s="221"/>
      <c r="BB63" s="221"/>
      <c r="CB63" s="474"/>
      <c r="CC63" s="474"/>
      <c r="CD63" s="474"/>
      <c r="CE63" s="474"/>
      <c r="CF63" s="474"/>
      <c r="CG63" s="474"/>
      <c r="CH63" s="474"/>
      <c r="CI63" s="474"/>
      <c r="CJ63" s="474"/>
      <c r="CK63" s="474"/>
      <c r="CL63" s="474"/>
      <c r="CM63" s="474"/>
      <c r="CN63" s="474"/>
      <c r="CO63" s="474"/>
      <c r="CP63" s="474"/>
      <c r="CQ63" s="474"/>
      <c r="CR63" s="474"/>
      <c r="CS63" s="399"/>
      <c r="CT63" s="399"/>
      <c r="CU63" s="399"/>
      <c r="CV63" s="474"/>
      <c r="CW63" s="474"/>
      <c r="CX63" s="474"/>
      <c r="CY63" s="470"/>
      <c r="CZ63" s="470"/>
      <c r="DA63" s="470"/>
      <c r="DB63" s="470"/>
      <c r="DC63" s="470"/>
      <c r="DD63" s="470"/>
      <c r="DE63" s="470"/>
      <c r="DF63" s="470"/>
      <c r="DG63" s="470"/>
      <c r="DH63" s="470"/>
      <c r="DI63" s="470"/>
      <c r="DJ63" s="470"/>
      <c r="DK63" s="470"/>
      <c r="DL63" s="470"/>
      <c r="DM63" s="420"/>
      <c r="DN63" s="420"/>
      <c r="DO63" s="420"/>
      <c r="DP63" s="1247"/>
      <c r="DQ63" s="488"/>
      <c r="DR63" s="474"/>
    </row>
    <row r="64" spans="1:122" s="173" customFormat="1" ht="18" customHeight="1" x14ac:dyDescent="0.25">
      <c r="A64" s="1773" t="s">
        <v>1261</v>
      </c>
      <c r="B64" s="2346" t="s">
        <v>596</v>
      </c>
      <c r="C64" s="2347"/>
      <c r="D64" s="1162" t="s">
        <v>1384</v>
      </c>
      <c r="E64" s="1318" t="s">
        <v>1385</v>
      </c>
      <c r="F64" s="1317" t="s">
        <v>1386</v>
      </c>
      <c r="G64" s="1160" t="s">
        <v>1387</v>
      </c>
      <c r="H64" s="1161" t="s">
        <v>1388</v>
      </c>
      <c r="I64" s="1160" t="s">
        <v>1389</v>
      </c>
      <c r="J64" s="1161" t="s">
        <v>1390</v>
      </c>
      <c r="K64" s="1160" t="s">
        <v>1391</v>
      </c>
      <c r="L64" s="1161" t="s">
        <v>1392</v>
      </c>
      <c r="M64" s="1160" t="s">
        <v>1393</v>
      </c>
      <c r="N64" s="1161" t="s">
        <v>1394</v>
      </c>
      <c r="O64" s="1160" t="s">
        <v>1395</v>
      </c>
      <c r="P64" s="1333" t="s">
        <v>1396</v>
      </c>
      <c r="Q64" s="1161" t="s">
        <v>1397</v>
      </c>
      <c r="R64" s="1163" t="s">
        <v>1398</v>
      </c>
      <c r="S64" s="216"/>
      <c r="T64" s="216"/>
      <c r="U64" s="216"/>
      <c r="V64" s="216"/>
      <c r="W64" s="216"/>
      <c r="X64" s="216"/>
      <c r="Y64" s="216"/>
      <c r="Z64" s="216"/>
      <c r="AA64" s="216"/>
      <c r="AB64" s="216"/>
      <c r="AC64" s="216"/>
      <c r="AD64" s="216"/>
      <c r="AE64" s="216"/>
      <c r="AF64" s="216"/>
      <c r="AG64" s="216"/>
      <c r="AH64" s="216"/>
      <c r="AI64" s="216"/>
      <c r="AJ64" s="216"/>
      <c r="AK64" s="216"/>
      <c r="AL64" s="216"/>
      <c r="AM64" s="215"/>
      <c r="AN64" s="215"/>
      <c r="AO64" s="215"/>
      <c r="AP64" s="215"/>
      <c r="AQ64" s="215"/>
      <c r="AR64" s="215"/>
      <c r="AS64" s="215"/>
      <c r="AT64" s="215"/>
      <c r="AU64" s="215"/>
      <c r="AV64" s="216"/>
      <c r="AW64" s="216"/>
      <c r="AX64" s="216"/>
      <c r="AY64" s="221"/>
      <c r="AZ64" s="221"/>
      <c r="BA64" s="221"/>
      <c r="BB64" s="221"/>
      <c r="CB64" s="474"/>
      <c r="CC64" s="474"/>
      <c r="CD64" s="474"/>
      <c r="CE64" s="474"/>
      <c r="CF64" s="474"/>
      <c r="CG64" s="474"/>
      <c r="CH64" s="474"/>
      <c r="CI64" s="474"/>
      <c r="CJ64" s="474"/>
      <c r="CK64" s="474"/>
      <c r="CL64" s="474"/>
      <c r="CM64" s="474"/>
      <c r="CN64" s="474"/>
      <c r="CO64" s="474"/>
      <c r="CP64" s="474"/>
      <c r="CQ64" s="474"/>
      <c r="CR64" s="474"/>
      <c r="CS64" s="664"/>
      <c r="CT64" s="664"/>
      <c r="CU64" s="664"/>
      <c r="CV64" s="478"/>
      <c r="CW64" s="478"/>
      <c r="CX64" s="478"/>
      <c r="CY64" s="470"/>
      <c r="CZ64" s="470"/>
      <c r="DA64" s="470"/>
      <c r="DB64" s="470"/>
      <c r="DC64" s="470"/>
      <c r="DD64" s="470"/>
      <c r="DE64" s="470"/>
      <c r="DF64" s="470"/>
      <c r="DG64" s="470"/>
      <c r="DH64" s="470"/>
      <c r="DI64" s="470"/>
      <c r="DJ64" s="470"/>
      <c r="DK64" s="470"/>
      <c r="DL64" s="470"/>
      <c r="DM64" s="665"/>
      <c r="DN64" s="665"/>
      <c r="DO64" s="665"/>
      <c r="DP64" s="1247"/>
      <c r="DQ64" s="488"/>
      <c r="DR64" s="478"/>
    </row>
    <row r="65" spans="1:122" s="173" customFormat="1" ht="45" customHeight="1" x14ac:dyDescent="0.25">
      <c r="B65" s="2348" t="s">
        <v>621</v>
      </c>
      <c r="C65" s="2349"/>
      <c r="D65" s="2349"/>
      <c r="E65" s="2349"/>
      <c r="F65" s="2349"/>
      <c r="G65" s="2349"/>
      <c r="H65" s="2349"/>
      <c r="I65" s="2349"/>
      <c r="J65" s="2349"/>
      <c r="K65" s="2349"/>
      <c r="L65" s="2349"/>
      <c r="M65" s="2349"/>
      <c r="N65" s="2349"/>
      <c r="O65" s="2349"/>
      <c r="P65" s="2349"/>
      <c r="Q65" s="215"/>
      <c r="R65" s="215"/>
      <c r="Y65" s="460"/>
      <c r="Z65" s="215"/>
      <c r="AA65" s="215"/>
      <c r="AB65" s="215"/>
      <c r="AC65" s="460"/>
      <c r="AD65" s="224"/>
      <c r="AY65" s="221"/>
      <c r="AZ65" s="221"/>
      <c r="BA65" s="221"/>
      <c r="BB65" s="221"/>
      <c r="CB65" s="474"/>
      <c r="CC65" s="474"/>
      <c r="CD65" s="474"/>
      <c r="CE65" s="474"/>
      <c r="CF65" s="474"/>
      <c r="CG65" s="474"/>
      <c r="CH65" s="474"/>
      <c r="CI65" s="474"/>
      <c r="CJ65" s="474"/>
      <c r="CK65" s="474"/>
      <c r="CL65" s="474"/>
      <c r="CM65" s="474"/>
      <c r="CN65" s="474"/>
      <c r="CO65" s="474"/>
      <c r="CP65" s="474"/>
      <c r="CQ65" s="474"/>
      <c r="CR65" s="474"/>
      <c r="CS65" s="664"/>
      <c r="CT65" s="664"/>
      <c r="CU65" s="664"/>
      <c r="CV65" s="478"/>
      <c r="CW65" s="478"/>
      <c r="CX65" s="478"/>
      <c r="CY65" s="470"/>
      <c r="CZ65" s="470"/>
      <c r="DA65" s="470"/>
      <c r="DB65" s="470"/>
      <c r="DC65" s="470"/>
      <c r="DD65" s="470"/>
      <c r="DE65" s="470"/>
      <c r="DF65" s="470"/>
      <c r="DG65" s="470"/>
      <c r="DH65" s="470"/>
      <c r="DI65" s="470"/>
      <c r="DJ65" s="470"/>
      <c r="DK65" s="470"/>
      <c r="DL65" s="470"/>
      <c r="DM65" s="665"/>
      <c r="DN65" s="665"/>
      <c r="DO65" s="665"/>
      <c r="DP65" s="1247"/>
      <c r="DQ65" s="488"/>
      <c r="DR65" s="478"/>
    </row>
    <row r="66" spans="1:122" s="173" customFormat="1" ht="18" customHeight="1" x14ac:dyDescent="0.25">
      <c r="B66" s="2324" t="s">
        <v>170</v>
      </c>
      <c r="C66" s="2324"/>
      <c r="D66" s="2324" t="s">
        <v>110</v>
      </c>
      <c r="E66" s="2324"/>
      <c r="F66" s="2324"/>
      <c r="G66" s="2324" t="s">
        <v>16</v>
      </c>
      <c r="H66" s="2324"/>
      <c r="I66" s="2324"/>
      <c r="J66" s="2324"/>
      <c r="K66" s="2324"/>
      <c r="L66" s="2324"/>
      <c r="M66" s="2324"/>
      <c r="N66" s="2324"/>
      <c r="O66" s="2324"/>
      <c r="P66" s="2324"/>
      <c r="Q66" s="2324"/>
      <c r="R66" s="2324"/>
      <c r="S66" s="2324"/>
      <c r="T66" s="2324"/>
      <c r="U66" s="2324"/>
      <c r="V66" s="2324"/>
      <c r="W66" s="2324"/>
      <c r="X66" s="2324"/>
      <c r="Y66" s="2324"/>
      <c r="Z66" s="2324"/>
      <c r="AA66" s="2324"/>
      <c r="AB66" s="2324"/>
      <c r="AC66" s="2324"/>
      <c r="AD66" s="2324"/>
      <c r="AE66" s="2324"/>
      <c r="AF66" s="2324"/>
      <c r="AG66" s="2324"/>
      <c r="AH66" s="2324"/>
      <c r="AI66" s="2324"/>
      <c r="AJ66" s="2324"/>
      <c r="AK66" s="2324"/>
      <c r="AL66" s="2324"/>
      <c r="AM66" s="2324"/>
      <c r="AN66" s="2382"/>
      <c r="AO66" s="2390" t="s">
        <v>231</v>
      </c>
      <c r="AP66" s="2392" t="s">
        <v>398</v>
      </c>
      <c r="AQ66" s="2392" t="s">
        <v>17</v>
      </c>
      <c r="AR66" s="2392"/>
      <c r="AS66" s="2388" t="s">
        <v>527</v>
      </c>
      <c r="AT66" s="2310"/>
      <c r="AU66" s="2310" t="s">
        <v>530</v>
      </c>
      <c r="AV66" s="2310" t="s">
        <v>664</v>
      </c>
      <c r="AW66" s="215"/>
      <c r="AX66" s="221"/>
      <c r="AY66" s="221"/>
      <c r="AZ66" s="221"/>
      <c r="BA66" s="221"/>
      <c r="CB66" s="474"/>
      <c r="CC66" s="474"/>
      <c r="CD66" s="474"/>
      <c r="CE66" s="474"/>
      <c r="CF66" s="474"/>
      <c r="CG66" s="474"/>
      <c r="CH66" s="474"/>
      <c r="CI66" s="474"/>
      <c r="CJ66" s="474"/>
      <c r="CK66" s="474"/>
      <c r="CL66" s="474"/>
      <c r="CM66" s="474"/>
      <c r="CN66" s="474"/>
      <c r="CO66" s="474"/>
      <c r="CP66" s="474"/>
      <c r="CQ66" s="474"/>
      <c r="CR66" s="474"/>
      <c r="CS66" s="664"/>
      <c r="CT66" s="664"/>
      <c r="CU66" s="664"/>
      <c r="CV66" s="478"/>
      <c r="CW66" s="478"/>
      <c r="CX66" s="478"/>
      <c r="CY66" s="470"/>
      <c r="CZ66" s="470"/>
      <c r="DA66" s="470"/>
      <c r="DB66" s="470"/>
      <c r="DC66" s="470"/>
      <c r="DD66" s="470"/>
      <c r="DE66" s="470"/>
      <c r="DF66" s="470"/>
      <c r="DG66" s="470"/>
      <c r="DH66" s="470"/>
      <c r="DI66" s="470"/>
      <c r="DJ66" s="470"/>
      <c r="DK66" s="470"/>
      <c r="DL66" s="470"/>
      <c r="DM66" s="665"/>
      <c r="DN66" s="665"/>
      <c r="DO66" s="665"/>
      <c r="DP66" s="1247"/>
      <c r="DQ66" s="488"/>
      <c r="DR66" s="478"/>
    </row>
    <row r="67" spans="1:122" s="173" customFormat="1" ht="18" customHeight="1" x14ac:dyDescent="0.15">
      <c r="B67" s="2324"/>
      <c r="C67" s="2324"/>
      <c r="D67" s="2324"/>
      <c r="E67" s="2324"/>
      <c r="F67" s="2324"/>
      <c r="G67" s="2386" t="s">
        <v>232</v>
      </c>
      <c r="H67" s="2382"/>
      <c r="I67" s="2324" t="s">
        <v>233</v>
      </c>
      <c r="J67" s="2382"/>
      <c r="K67" s="2085" t="s">
        <v>144</v>
      </c>
      <c r="L67" s="2086"/>
      <c r="M67" s="2085" t="s">
        <v>19</v>
      </c>
      <c r="N67" s="2086"/>
      <c r="O67" s="2085" t="s">
        <v>20</v>
      </c>
      <c r="P67" s="2086"/>
      <c r="Q67" s="2085" t="s">
        <v>21</v>
      </c>
      <c r="R67" s="2086"/>
      <c r="S67" s="2085" t="s">
        <v>22</v>
      </c>
      <c r="T67" s="2086"/>
      <c r="U67" s="2085" t="s">
        <v>23</v>
      </c>
      <c r="V67" s="2086"/>
      <c r="W67" s="2085" t="s">
        <v>24</v>
      </c>
      <c r="X67" s="2086"/>
      <c r="Y67" s="2085" t="s">
        <v>25</v>
      </c>
      <c r="Z67" s="2086"/>
      <c r="AA67" s="2085" t="s">
        <v>26</v>
      </c>
      <c r="AB67" s="2086"/>
      <c r="AC67" s="2085" t="s">
        <v>234</v>
      </c>
      <c r="AD67" s="2086"/>
      <c r="AE67" s="2085" t="s">
        <v>235</v>
      </c>
      <c r="AF67" s="2086"/>
      <c r="AG67" s="2087" t="s">
        <v>207</v>
      </c>
      <c r="AH67" s="2088"/>
      <c r="AI67" s="2087" t="s">
        <v>208</v>
      </c>
      <c r="AJ67" s="2088"/>
      <c r="AK67" s="2087" t="s">
        <v>209</v>
      </c>
      <c r="AL67" s="2088"/>
      <c r="AM67" s="2262" t="s">
        <v>221</v>
      </c>
      <c r="AN67" s="2383"/>
      <c r="AO67" s="2391"/>
      <c r="AP67" s="2393"/>
      <c r="AQ67" s="2394"/>
      <c r="AR67" s="2394"/>
      <c r="AS67" s="2389"/>
      <c r="AT67" s="2312"/>
      <c r="AU67" s="2311"/>
      <c r="AV67" s="2311"/>
      <c r="AW67" s="215"/>
      <c r="AX67" s="221"/>
      <c r="AY67" s="221"/>
      <c r="AZ67" s="221"/>
      <c r="BA67" s="221"/>
      <c r="CB67" s="474"/>
      <c r="CC67" s="474"/>
      <c r="CD67" s="474"/>
      <c r="CE67" s="474"/>
      <c r="CF67" s="474"/>
      <c r="CG67" s="2395" t="s">
        <v>231</v>
      </c>
      <c r="CH67" s="2395" t="s">
        <v>661</v>
      </c>
      <c r="CI67" s="1244" t="s">
        <v>623</v>
      </c>
      <c r="CJ67" s="1244" t="s">
        <v>623</v>
      </c>
      <c r="CK67" s="1240" t="s">
        <v>624</v>
      </c>
      <c r="CL67" s="1240" t="s">
        <v>624</v>
      </c>
      <c r="CM67" s="2395" t="s">
        <v>660</v>
      </c>
      <c r="CN67" s="1244" t="s">
        <v>231</v>
      </c>
      <c r="CO67" s="1244" t="s">
        <v>661</v>
      </c>
      <c r="CP67" s="474"/>
      <c r="CQ67" s="1244" t="s">
        <v>623</v>
      </c>
      <c r="CR67" s="1240" t="s">
        <v>624</v>
      </c>
      <c r="CS67" s="1244" t="s">
        <v>660</v>
      </c>
      <c r="CT67" s="664"/>
      <c r="CU67" s="2387" t="s">
        <v>664</v>
      </c>
      <c r="CV67" s="1241" t="s">
        <v>687</v>
      </c>
      <c r="CW67" s="478"/>
      <c r="CX67" s="478"/>
      <c r="CY67" s="470"/>
      <c r="CZ67" s="470"/>
      <c r="DA67" s="1407" t="s">
        <v>231</v>
      </c>
      <c r="DB67" s="1407" t="s">
        <v>622</v>
      </c>
      <c r="DC67" s="1406" t="s">
        <v>623</v>
      </c>
      <c r="DD67" s="1406" t="s">
        <v>623</v>
      </c>
      <c r="DE67" s="1406" t="s">
        <v>624</v>
      </c>
      <c r="DF67" s="1406" t="s">
        <v>624</v>
      </c>
      <c r="DG67" s="1407" t="s">
        <v>662</v>
      </c>
      <c r="DH67" s="1406" t="s">
        <v>231</v>
      </c>
      <c r="DI67" s="1406" t="s">
        <v>661</v>
      </c>
      <c r="DJ67" s="470"/>
      <c r="DK67" s="1406" t="s">
        <v>623</v>
      </c>
      <c r="DL67" s="1406" t="s">
        <v>624</v>
      </c>
      <c r="DM67" s="1406" t="s">
        <v>662</v>
      </c>
      <c r="DN67" s="665"/>
      <c r="DO67" s="1407" t="s">
        <v>664</v>
      </c>
      <c r="DP67" s="1406" t="s">
        <v>664</v>
      </c>
      <c r="DQ67" s="488"/>
      <c r="DR67" s="478"/>
    </row>
    <row r="68" spans="1:122" s="173" customFormat="1" ht="29.25" customHeight="1" x14ac:dyDescent="0.15">
      <c r="B68" s="2324"/>
      <c r="C68" s="2324"/>
      <c r="D68" s="232" t="s">
        <v>99</v>
      </c>
      <c r="E68" s="497" t="s">
        <v>33</v>
      </c>
      <c r="F68" s="498" t="s">
        <v>100</v>
      </c>
      <c r="G68" s="499" t="s">
        <v>33</v>
      </c>
      <c r="H68" s="498" t="s">
        <v>100</v>
      </c>
      <c r="I68" s="499" t="s">
        <v>33</v>
      </c>
      <c r="J68" s="498" t="s">
        <v>100</v>
      </c>
      <c r="K68" s="499" t="s">
        <v>33</v>
      </c>
      <c r="L68" s="498" t="s">
        <v>100</v>
      </c>
      <c r="M68" s="499" t="s">
        <v>33</v>
      </c>
      <c r="N68" s="498" t="s">
        <v>100</v>
      </c>
      <c r="O68" s="499" t="s">
        <v>33</v>
      </c>
      <c r="P68" s="498" t="s">
        <v>100</v>
      </c>
      <c r="Q68" s="499" t="s">
        <v>33</v>
      </c>
      <c r="R68" s="498" t="s">
        <v>100</v>
      </c>
      <c r="S68" s="499" t="s">
        <v>33</v>
      </c>
      <c r="T68" s="498" t="s">
        <v>100</v>
      </c>
      <c r="U68" s="499" t="s">
        <v>33</v>
      </c>
      <c r="V68" s="498" t="s">
        <v>100</v>
      </c>
      <c r="W68" s="499" t="s">
        <v>33</v>
      </c>
      <c r="X68" s="498" t="s">
        <v>100</v>
      </c>
      <c r="Y68" s="499" t="s">
        <v>33</v>
      </c>
      <c r="Z68" s="498" t="s">
        <v>100</v>
      </c>
      <c r="AA68" s="499" t="s">
        <v>33</v>
      </c>
      <c r="AB68" s="498" t="s">
        <v>100</v>
      </c>
      <c r="AC68" s="499" t="s">
        <v>33</v>
      </c>
      <c r="AD68" s="498" t="s">
        <v>100</v>
      </c>
      <c r="AE68" s="499" t="s">
        <v>33</v>
      </c>
      <c r="AF68" s="498" t="s">
        <v>100</v>
      </c>
      <c r="AG68" s="233" t="s">
        <v>145</v>
      </c>
      <c r="AH68" s="234" t="s">
        <v>100</v>
      </c>
      <c r="AI68" s="233" t="s">
        <v>145</v>
      </c>
      <c r="AJ68" s="234" t="s">
        <v>100</v>
      </c>
      <c r="AK68" s="233" t="s">
        <v>145</v>
      </c>
      <c r="AL68" s="234" t="s">
        <v>100</v>
      </c>
      <c r="AM68" s="174" t="s">
        <v>33</v>
      </c>
      <c r="AN68" s="235" t="s">
        <v>100</v>
      </c>
      <c r="AO68" s="2391"/>
      <c r="AP68" s="2393"/>
      <c r="AQ68" s="1553" t="s">
        <v>33</v>
      </c>
      <c r="AR68" s="1554" t="s">
        <v>100</v>
      </c>
      <c r="AS68" s="1551" t="s">
        <v>33</v>
      </c>
      <c r="AT68" s="667" t="s">
        <v>100</v>
      </c>
      <c r="AU68" s="2312"/>
      <c r="AV68" s="2312"/>
      <c r="AW68" s="215"/>
      <c r="AX68" s="221"/>
      <c r="AY68" s="221"/>
      <c r="AZ68" s="221"/>
      <c r="BA68" s="221"/>
      <c r="CB68" s="474"/>
      <c r="CC68" s="474"/>
      <c r="CD68" s="474"/>
      <c r="CE68" s="474"/>
      <c r="CF68" s="474"/>
      <c r="CG68" s="2395"/>
      <c r="CH68" s="2395"/>
      <c r="CI68" s="1241" t="s">
        <v>33</v>
      </c>
      <c r="CJ68" s="1241" t="s">
        <v>100</v>
      </c>
      <c r="CK68" s="1241" t="s">
        <v>33</v>
      </c>
      <c r="CL68" s="1241" t="s">
        <v>100</v>
      </c>
      <c r="CM68" s="2395"/>
      <c r="CN68" s="1241" t="s">
        <v>625</v>
      </c>
      <c r="CO68" s="1241" t="s">
        <v>625</v>
      </c>
      <c r="CP68" s="474"/>
      <c r="CQ68" s="1241" t="s">
        <v>625</v>
      </c>
      <c r="CR68" s="1241" t="s">
        <v>625</v>
      </c>
      <c r="CS68" s="1241" t="s">
        <v>625</v>
      </c>
      <c r="CT68" s="664"/>
      <c r="CU68" s="2387"/>
      <c r="CV68" s="1241" t="s">
        <v>625</v>
      </c>
      <c r="CW68" s="478"/>
      <c r="CX68" s="478"/>
      <c r="CY68" s="470"/>
      <c r="CZ68" s="470"/>
      <c r="DA68" s="1408"/>
      <c r="DB68" s="1408"/>
      <c r="DC68" s="1253" t="s">
        <v>33</v>
      </c>
      <c r="DD68" s="1253" t="s">
        <v>100</v>
      </c>
      <c r="DE68" s="1253" t="s">
        <v>33</v>
      </c>
      <c r="DF68" s="1253" t="s">
        <v>100</v>
      </c>
      <c r="DG68" s="1408"/>
      <c r="DH68" s="1253" t="s">
        <v>625</v>
      </c>
      <c r="DI68" s="1253" t="s">
        <v>625</v>
      </c>
      <c r="DJ68" s="470"/>
      <c r="DK68" s="1253" t="s">
        <v>625</v>
      </c>
      <c r="DL68" s="1253" t="s">
        <v>625</v>
      </c>
      <c r="DM68" s="1253" t="s">
        <v>625</v>
      </c>
      <c r="DN68" s="665"/>
      <c r="DO68" s="1408"/>
      <c r="DP68" s="1253" t="s">
        <v>625</v>
      </c>
      <c r="DQ68" s="488"/>
      <c r="DR68" s="478"/>
    </row>
    <row r="69" spans="1:122" s="173" customFormat="1" ht="22.5" customHeight="1" x14ac:dyDescent="0.2">
      <c r="A69" s="1773" t="s">
        <v>1262</v>
      </c>
      <c r="B69" s="2238" t="s">
        <v>517</v>
      </c>
      <c r="C69" s="2317"/>
      <c r="D69" s="998" t="s">
        <v>1384</v>
      </c>
      <c r="E69" s="999" t="s">
        <v>1385</v>
      </c>
      <c r="F69" s="1033" t="s">
        <v>1386</v>
      </c>
      <c r="G69" s="1051" t="s">
        <v>1387</v>
      </c>
      <c r="H69" s="1143" t="s">
        <v>1388</v>
      </c>
      <c r="I69" s="1051" t="s">
        <v>1389</v>
      </c>
      <c r="J69" s="1144" t="s">
        <v>1390</v>
      </c>
      <c r="K69" s="1051" t="s">
        <v>1391</v>
      </c>
      <c r="L69" s="1143" t="s">
        <v>1392</v>
      </c>
      <c r="M69" s="1051" t="s">
        <v>1393</v>
      </c>
      <c r="N69" s="1144" t="s">
        <v>1394</v>
      </c>
      <c r="O69" s="1051" t="s">
        <v>1395</v>
      </c>
      <c r="P69" s="1143" t="s">
        <v>1396</v>
      </c>
      <c r="Q69" s="1051" t="s">
        <v>1397</v>
      </c>
      <c r="R69" s="1144" t="s">
        <v>1398</v>
      </c>
      <c r="S69" s="1051" t="s">
        <v>1399</v>
      </c>
      <c r="T69" s="1143" t="s">
        <v>1400</v>
      </c>
      <c r="U69" s="1051" t="s">
        <v>1401</v>
      </c>
      <c r="V69" s="1144" t="s">
        <v>1402</v>
      </c>
      <c r="W69" s="1051" t="s">
        <v>1403</v>
      </c>
      <c r="X69" s="1143" t="s">
        <v>1404</v>
      </c>
      <c r="Y69" s="1051" t="s">
        <v>1405</v>
      </c>
      <c r="Z69" s="1144" t="s">
        <v>1406</v>
      </c>
      <c r="AA69" s="1051" t="s">
        <v>1407</v>
      </c>
      <c r="AB69" s="1143" t="s">
        <v>1408</v>
      </c>
      <c r="AC69" s="1051" t="s">
        <v>1409</v>
      </c>
      <c r="AD69" s="1144" t="s">
        <v>1410</v>
      </c>
      <c r="AE69" s="1051" t="s">
        <v>1411</v>
      </c>
      <c r="AF69" s="1143" t="s">
        <v>1412</v>
      </c>
      <c r="AG69" s="1051" t="s">
        <v>1413</v>
      </c>
      <c r="AH69" s="1144" t="s">
        <v>1414</v>
      </c>
      <c r="AI69" s="1051" t="s">
        <v>1415</v>
      </c>
      <c r="AJ69" s="1143" t="s">
        <v>1416</v>
      </c>
      <c r="AK69" s="1051" t="s">
        <v>1417</v>
      </c>
      <c r="AL69" s="1144" t="s">
        <v>1418</v>
      </c>
      <c r="AM69" s="1051" t="s">
        <v>1419</v>
      </c>
      <c r="AN69" s="1143" t="s">
        <v>1420</v>
      </c>
      <c r="AO69" s="1555" t="s">
        <v>1421</v>
      </c>
      <c r="AP69" s="1543" t="s">
        <v>1422</v>
      </c>
      <c r="AQ69" s="1543" t="s">
        <v>1423</v>
      </c>
      <c r="AR69" s="1543" t="s">
        <v>1424</v>
      </c>
      <c r="AS69" s="1507" t="s">
        <v>1425</v>
      </c>
      <c r="AT69" s="1144" t="s">
        <v>1426</v>
      </c>
      <c r="AU69" s="1144" t="s">
        <v>1427</v>
      </c>
      <c r="AV69" s="1144" t="s">
        <v>1428</v>
      </c>
      <c r="AW69" s="411" t="str">
        <f>$CG69 &amp; $CH69 &amp; $CI69 &amp; $CJ69 &amp; $CK69 &amp; CL69 &amp; CM69 &amp; CU69 &amp; CN69 &amp; CO69 &amp; CQ69 &amp; CR69 &amp; CS69 &amp; CV69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69" s="221"/>
      <c r="AY69" s="221"/>
      <c r="AZ69" s="221"/>
      <c r="BA69" s="221"/>
      <c r="CB69" s="474"/>
      <c r="CC69" s="474"/>
      <c r="CD69" s="474"/>
      <c r="CE69" s="474"/>
      <c r="CF69" s="474"/>
      <c r="CG69" s="465" t="str">
        <f>IF($AO69&gt;$F69,"* La celda 'Gestantes' debe ser menor o igual al Total de Mujeres en control. ","")</f>
        <v xml:space="preserve">* La celda 'Gestantes' debe ser menor o igual al Total de Mujeres en control. </v>
      </c>
      <c r="CH69" s="465" t="str">
        <f>IF($AP69&gt;$F69,"* La celda 'Madres de Hijos menor de 5 años' debe ser menor o igual al Total de Mujeres en control. ","")</f>
        <v xml:space="preserve">* La celda 'Madres de Hijos menor de 5 años' debe ser menor o igual al Total de Mujeres en control. </v>
      </c>
      <c r="CI69" s="465" t="str">
        <f>IF(($AQ69)&gt;$E69,"* La celda 'Pueblos Originarios / Hombres' debe ser menor o igual al Total de Hombres en control. ","")</f>
        <v xml:space="preserve">* La celda 'Pueblos Originarios / Hombres' debe ser menor o igual al Total de Hombres en control. </v>
      </c>
      <c r="CJ69" s="465" t="str">
        <f>IF($AR69&gt;$F69,"* La celda 'Pueblos Originarios / Mujeres' debe ser menor o igual al Total de Mujeres en control. ","")</f>
        <v xml:space="preserve">* La celda 'Pueblos Originarios / Mujeres' debe ser menor o igual al Total de Mujeres en control. </v>
      </c>
      <c r="CK69" s="465" t="str">
        <f>IF(($AS69)&gt;$E69,"* La celda 'Población Migrantes / Hombres' debe ser menor o igual al Total de Hombres en control. ","")</f>
        <v xml:space="preserve">* La celda 'Población Migrantes / Hombres' debe ser menor o igual al Total de Hombres en control. </v>
      </c>
      <c r="CL69" s="465" t="str">
        <f>IF($AT69&gt;$F69,"* La celda 'Población Migrantes / Mujeres' debe ser menor o igual al Total de Mujeres en control. ","")</f>
        <v xml:space="preserve">* La celda 'Población Migrantes / Mujeres' debe ser menor o igual al Total de Mujeres en control. </v>
      </c>
      <c r="CM69" s="465" t="str">
        <f>IF($AU69&gt;$D69,"* La celda 'Población SENAME' debe ser menor o igual al Total de Personas en control. ","")</f>
        <v xml:space="preserve">* La celda 'Población SENAME' debe ser menor o igual al Total de Personas en control. </v>
      </c>
      <c r="CN69" s="465" t="str">
        <f>IF(AND($D69&lt;&gt;0,$AO69=""),"* No olvide escribir en la celda de 'Gestantes' (Digite CERO si no tiene). ","")</f>
        <v/>
      </c>
      <c r="CO69" s="465" t="str">
        <f>IF(AND($D69&lt;&gt;0,$AP69=""),"* No olvide escribir en la celda de 'Madres de Hijos menor de 5 años' (Digite CERO si no tiene). ","")</f>
        <v/>
      </c>
      <c r="CP69" s="474"/>
      <c r="CQ69" s="465" t="str">
        <f>IF(AND($E69&lt;&gt;0,$AQ69=""),"* No olvide escribir en las celdas de 'Pueblos Originarios' (Digite CERO si no tiene). ",IF(AND($F69&lt;&gt;0,$AR69=""),"* No olvide escribir en las celdas de 'Pueblos Originarios' (Digite CERO si no tiene). ",""))</f>
        <v/>
      </c>
      <c r="CR69" s="465" t="str">
        <f>IF(AND($E69&lt;&gt;0,$AS69=""),"* No olvide escribir en las celdas de 'Población Migrantes' (Digite CERO si no tiene). ",IF(AND($F69&lt;&gt;0,$AT69=""),"* No olvide escribir en las celdas de 'Población Migrantes' (Digite CERO si no tiene). ",""))</f>
        <v/>
      </c>
      <c r="CS69" s="465" t="str">
        <f>IF(AND($D69&lt;&gt;0,$AU69=""),"* No olvide escribir en las celdas de 'Población SENAME' (Digite CERO si no tiene). ","")</f>
        <v/>
      </c>
      <c r="CT69" s="664"/>
      <c r="CU69" s="465" t="str">
        <f>IF($AV69&gt;$D69,"* La celda 'Plan Cuidado Integral Elaborado' debe ser menor o igual al Total de Personas en control. ","")</f>
        <v xml:space="preserve">* La celda 'Plan Cuidado Integral Elaborado' debe ser menor o igual al Total de Personas en control. </v>
      </c>
      <c r="CV69" s="465" t="str">
        <f>IF(AND($D69&lt;&gt;0,$AV69=""),"* No olvide escribir en las celdas de 'Plan Cuidado Integral Elaborado' (Digite CERO si no tiene). ","")</f>
        <v/>
      </c>
      <c r="CW69" s="478"/>
      <c r="CX69" s="478"/>
      <c r="CY69" s="470"/>
      <c r="CZ69" s="470"/>
      <c r="DA69" s="486">
        <f>IF($AO69&gt;$F69,1,0)</f>
        <v>1</v>
      </c>
      <c r="DB69" s="486">
        <f>IF($AP69&gt;$F69,1,0)</f>
        <v>1</v>
      </c>
      <c r="DC69" s="486">
        <f>IF(($AQ69)&gt;$E69,1,0)</f>
        <v>1</v>
      </c>
      <c r="DD69" s="486">
        <f>IF($AR69&gt;$F69,1,0)</f>
        <v>1</v>
      </c>
      <c r="DE69" s="486">
        <f>IF(($AS69)&gt;$E69,1,0)</f>
        <v>1</v>
      </c>
      <c r="DF69" s="486">
        <f>IF($AT69&gt;$F69,1,0)</f>
        <v>1</v>
      </c>
      <c r="DG69" s="486">
        <f>IF($AU69&gt;$D69,1,0)</f>
        <v>1</v>
      </c>
      <c r="DH69" s="486">
        <f>IF(AND($D69&lt;&gt;0,$AO69=""),1,0)</f>
        <v>0</v>
      </c>
      <c r="DI69" s="486">
        <f>IF(AND($D69&lt;&gt;0,$AP69=""),1,0)</f>
        <v>0</v>
      </c>
      <c r="DJ69" s="470"/>
      <c r="DK69" s="486">
        <f>IF(AND($E69&lt;&gt;0,$AQ69=""),1,IF(AND($F69&lt;&gt;0,$AR69=""),1,0))</f>
        <v>0</v>
      </c>
      <c r="DL69" s="486">
        <f>IF(AND($E69&lt;&gt;0,$AS69=""),1,IF(AND($F69&lt;&gt;0,$AT69=""),1,0))</f>
        <v>0</v>
      </c>
      <c r="DM69" s="486">
        <f>IF(AND($D69&lt;&gt;0,$AU69=""),1,0)</f>
        <v>0</v>
      </c>
      <c r="DN69" s="665"/>
      <c r="DO69" s="486">
        <f>IF($AV69&gt;$D69,1,0)</f>
        <v>1</v>
      </c>
      <c r="DP69" s="486">
        <f>IF(AND($D69&lt;&gt;0,$AV69=""),1,0)</f>
        <v>0</v>
      </c>
      <c r="DQ69" s="488"/>
      <c r="DR69" s="478"/>
    </row>
    <row r="70" spans="1:122" s="173" customFormat="1" ht="18" customHeight="1" x14ac:dyDescent="0.2">
      <c r="A70" s="1802"/>
      <c r="B70" s="2238" t="s">
        <v>237</v>
      </c>
      <c r="C70" s="2317"/>
      <c r="D70" s="1419"/>
      <c r="E70" s="1423"/>
      <c r="F70" s="1420"/>
      <c r="G70" s="1419"/>
      <c r="H70" s="1420"/>
      <c r="I70" s="1419"/>
      <c r="J70" s="1420"/>
      <c r="K70" s="1419"/>
      <c r="L70" s="1420"/>
      <c r="M70" s="1419"/>
      <c r="N70" s="1420"/>
      <c r="O70" s="1419"/>
      <c r="P70" s="1420"/>
      <c r="Q70" s="1419"/>
      <c r="R70" s="1420"/>
      <c r="S70" s="1419"/>
      <c r="T70" s="1420"/>
      <c r="U70" s="1419"/>
      <c r="V70" s="1420"/>
      <c r="W70" s="1422"/>
      <c r="X70" s="1420"/>
      <c r="Y70" s="1419"/>
      <c r="Z70" s="1420"/>
      <c r="AA70" s="1419"/>
      <c r="AB70" s="1420"/>
      <c r="AC70" s="1419"/>
      <c r="AD70" s="1420"/>
      <c r="AE70" s="1419"/>
      <c r="AF70" s="1420"/>
      <c r="AG70" s="1419"/>
      <c r="AH70" s="1420"/>
      <c r="AI70" s="1419"/>
      <c r="AJ70" s="1420"/>
      <c r="AK70" s="1419"/>
      <c r="AL70" s="1420"/>
      <c r="AM70" s="1419"/>
      <c r="AN70" s="1421"/>
      <c r="AO70" s="1418"/>
      <c r="AP70" s="1424"/>
      <c r="AQ70" s="1424"/>
      <c r="AR70" s="1424"/>
      <c r="AS70" s="1422"/>
      <c r="AT70" s="1421"/>
      <c r="AU70" s="1424"/>
      <c r="AV70" s="1363"/>
      <c r="AW70" s="411"/>
      <c r="AX70" s="221"/>
      <c r="AY70" s="221"/>
      <c r="AZ70" s="221"/>
      <c r="BA70" s="221"/>
      <c r="CB70" s="474"/>
      <c r="CC70" s="474"/>
      <c r="CD70" s="474"/>
      <c r="CE70" s="474"/>
      <c r="CF70" s="474"/>
      <c r="CG70" s="474"/>
      <c r="CH70" s="1243"/>
      <c r="CI70" s="1243"/>
      <c r="CJ70" s="1243"/>
      <c r="CK70" s="1243"/>
      <c r="CL70" s="1243"/>
      <c r="CM70" s="1243"/>
      <c r="CN70" s="1243"/>
      <c r="CO70" s="478"/>
      <c r="CP70" s="474"/>
      <c r="CQ70" s="1243"/>
      <c r="CR70" s="1243"/>
      <c r="CS70" s="1243"/>
      <c r="CT70" s="664"/>
      <c r="CU70" s="664"/>
      <c r="CV70" s="664"/>
      <c r="CW70" s="478"/>
      <c r="CX70" s="478"/>
      <c r="CY70" s="470"/>
      <c r="CZ70" s="470"/>
      <c r="DA70" s="470"/>
      <c r="DB70" s="470"/>
      <c r="DC70" s="470"/>
      <c r="DD70" s="470"/>
      <c r="DE70" s="470"/>
      <c r="DF70" s="470"/>
      <c r="DG70" s="470"/>
      <c r="DH70" s="479"/>
      <c r="DI70" s="479"/>
      <c r="DJ70" s="470"/>
      <c r="DK70" s="470"/>
      <c r="DL70" s="470"/>
      <c r="DM70" s="470"/>
      <c r="DN70" s="470"/>
      <c r="DO70" s="470"/>
      <c r="DP70" s="470"/>
      <c r="DQ70" s="488"/>
      <c r="DR70" s="478"/>
    </row>
    <row r="71" spans="1:122" s="173" customFormat="1" ht="21" customHeight="1" x14ac:dyDescent="0.2">
      <c r="A71" s="1773" t="s">
        <v>1263</v>
      </c>
      <c r="B71" s="2315" t="s">
        <v>442</v>
      </c>
      <c r="C71" s="222" t="s">
        <v>238</v>
      </c>
      <c r="D71" s="936" t="s">
        <v>1384</v>
      </c>
      <c r="E71" s="951" t="s">
        <v>1385</v>
      </c>
      <c r="F71" s="1155" t="s">
        <v>1386</v>
      </c>
      <c r="G71" s="953" t="s">
        <v>1387</v>
      </c>
      <c r="H71" s="954" t="s">
        <v>1388</v>
      </c>
      <c r="I71" s="953" t="s">
        <v>1389</v>
      </c>
      <c r="J71" s="954" t="s">
        <v>1390</v>
      </c>
      <c r="K71" s="953" t="s">
        <v>1391</v>
      </c>
      <c r="L71" s="954" t="s">
        <v>1392</v>
      </c>
      <c r="M71" s="953" t="s">
        <v>1393</v>
      </c>
      <c r="N71" s="954" t="s">
        <v>1394</v>
      </c>
      <c r="O71" s="953" t="s">
        <v>1395</v>
      </c>
      <c r="P71" s="954" t="s">
        <v>1396</v>
      </c>
      <c r="Q71" s="953" t="s">
        <v>1397</v>
      </c>
      <c r="R71" s="954" t="s">
        <v>1398</v>
      </c>
      <c r="S71" s="953" t="s">
        <v>1399</v>
      </c>
      <c r="T71" s="954" t="s">
        <v>1400</v>
      </c>
      <c r="U71" s="953" t="s">
        <v>1401</v>
      </c>
      <c r="V71" s="954" t="s">
        <v>1402</v>
      </c>
      <c r="W71" s="953" t="s">
        <v>1403</v>
      </c>
      <c r="X71" s="954" t="s">
        <v>1404</v>
      </c>
      <c r="Y71" s="953" t="s">
        <v>1405</v>
      </c>
      <c r="Z71" s="954" t="s">
        <v>1406</v>
      </c>
      <c r="AA71" s="953" t="s">
        <v>1407</v>
      </c>
      <c r="AB71" s="954" t="s">
        <v>1408</v>
      </c>
      <c r="AC71" s="953" t="s">
        <v>1409</v>
      </c>
      <c r="AD71" s="954" t="s">
        <v>1410</v>
      </c>
      <c r="AE71" s="953" t="s">
        <v>1411</v>
      </c>
      <c r="AF71" s="954" t="s">
        <v>1412</v>
      </c>
      <c r="AG71" s="953" t="s">
        <v>1413</v>
      </c>
      <c r="AH71" s="954" t="s">
        <v>1414</v>
      </c>
      <c r="AI71" s="953" t="s">
        <v>1415</v>
      </c>
      <c r="AJ71" s="954" t="s">
        <v>1416</v>
      </c>
      <c r="AK71" s="953" t="s">
        <v>1417</v>
      </c>
      <c r="AL71" s="954" t="s">
        <v>1418</v>
      </c>
      <c r="AM71" s="953" t="s">
        <v>1419</v>
      </c>
      <c r="AN71" s="1164" t="s">
        <v>1420</v>
      </c>
      <c r="AO71" s="1518" t="s">
        <v>1421</v>
      </c>
      <c r="AP71" s="1519" t="s">
        <v>1422</v>
      </c>
      <c r="AQ71" s="1519" t="s">
        <v>1423</v>
      </c>
      <c r="AR71" s="1519" t="s">
        <v>1424</v>
      </c>
      <c r="AS71" s="1037" t="s">
        <v>1425</v>
      </c>
      <c r="AT71" s="954" t="s">
        <v>1426</v>
      </c>
      <c r="AU71" s="954" t="s">
        <v>1427</v>
      </c>
      <c r="AV71" s="954" t="s">
        <v>1428</v>
      </c>
      <c r="AW71" s="411" t="str">
        <f t="shared" ref="AW71:AW109" si="45">$CG71 &amp; $CH71 &amp; $CI71 &amp; $CJ71 &amp; $CK71 &amp; CL71 &amp; CM71 &amp; CU71 &amp; CN71 &amp; CO71 &amp; CQ71 &amp; CR71 &amp; CS71 &amp; CV71</f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1" s="221"/>
      <c r="AY71" s="221"/>
      <c r="AZ71" s="221"/>
      <c r="BA71" s="221"/>
      <c r="CB71" s="474"/>
      <c r="CC71" s="474"/>
      <c r="CD71" s="474"/>
      <c r="CE71" s="474"/>
      <c r="CF71" s="474"/>
      <c r="CG71" s="465" t="str">
        <f t="shared" ref="CG71:CG79" si="46">IF($AO71&gt;$F71,"* La celda 'Gestantes' debe ser menor o igual al Total de Mujeres en control. ","")</f>
        <v xml:space="preserve">* La celda 'Gestantes' debe ser menor o igual al Total de Mujeres en control. </v>
      </c>
      <c r="CH71" s="465" t="str">
        <f>IF($AP71&gt;$F71,"* La celda 'Madres de Hijos menor de 5 años' debe ser menor o igual al Total de Mujeres en control. ","")</f>
        <v xml:space="preserve">* La celda 'Madres de Hijos menor de 5 años' debe ser menor o igual al Total de Mujeres en control. </v>
      </c>
      <c r="CI71" s="465" t="str">
        <f t="shared" ref="CI71:CI79" si="47">IF(($AQ71)&gt;$E71,"* La celda 'Pueblos Originarios / Hombres' debe ser menor o igual al Total de Hombres en control. ","")</f>
        <v xml:space="preserve">* La celda 'Pueblos Originarios / Hombres' debe ser menor o igual al Total de Hombres en control. </v>
      </c>
      <c r="CJ71" s="465" t="str">
        <f>IF($AR71&gt;$F71,"* La celda 'Pueblos Originarios / Mujeres' debe ser menor o igual al Total de Mujeres en control. ","")</f>
        <v xml:space="preserve">* La celda 'Pueblos Originarios / Mujeres' debe ser menor o igual al Total de Mujeres en control. </v>
      </c>
      <c r="CK71" s="465" t="str">
        <f t="shared" ref="CK71:CK79" si="48">IF(($AS71)&gt;$E71,"* La celda 'Población Migrantes / Hombres' debe ser menor o igual al Total de Hombres en control. ","")</f>
        <v xml:space="preserve">* La celda 'Población Migrantes / Hombres' debe ser menor o igual al Total de Hombres en control. </v>
      </c>
      <c r="CL71" s="465" t="str">
        <f>IF($AT71&gt;$F71,"* La celda 'Población Migrantes / Mujeres' debe ser menor o igual al Total de Mujeres en control. ","")</f>
        <v xml:space="preserve">* La celda 'Población Migrantes / Mujeres' debe ser menor o igual al Total de Mujeres en control. </v>
      </c>
      <c r="CM71" s="465" t="str">
        <f t="shared" ref="CM71:CM79" si="49">IF($AU71&gt;$D71,"* La celda 'Población SENAME' debe ser menor o igual al Total de Personas en control. ","")</f>
        <v xml:space="preserve">* La celda 'Población SENAME' debe ser menor o igual al Total de Personas en control. </v>
      </c>
      <c r="CN71" s="465" t="str">
        <f t="shared" ref="CN71:CN79" si="50">IF(AND($D71&lt;&gt;0,$AO71=""),"* No olvide escribir en la celda de 'Gestantes' (Digite CERO si no tiene). ","")</f>
        <v/>
      </c>
      <c r="CO71" s="465" t="str">
        <f>IF(AND($D71&lt;&gt;0,$AP71=""),"* No olvide escribir en la celda de 'Madres de Hijos menor de 5 años' (Digite CERO si no tiene). ","")</f>
        <v/>
      </c>
      <c r="CP71" s="474"/>
      <c r="CQ71" s="465" t="str">
        <f t="shared" ref="CQ71:CQ79" si="51">IF(AND($E71&lt;&gt;0,$AQ71=""),"* No olvide escribir en las celdas de 'Pueblos Originarios' (Digite CERO si no tiene). ",IF(AND($F71&lt;&gt;0,$AR71=""),"* No olvide escribir en las celdas de 'Pueblos Originarios' (Digite CERO si no tiene). ",""))</f>
        <v/>
      </c>
      <c r="CR71" s="465" t="str">
        <f t="shared" ref="CR71:CR79" si="52">IF(AND($E71&lt;&gt;0,$AS71=""),"* No olvide escribir en las celdas de 'Población Migrantes' (Digite CERO si no tiene). ",IF(AND($F71&lt;&gt;0,$AT71=""),"* No olvide escribir en las celdas de 'Población Migrantes' (Digite CERO si no tiene). ",""))</f>
        <v/>
      </c>
      <c r="CS71" s="465" t="str">
        <f t="shared" ref="CS71:CS79" si="53">IF(AND($D71&lt;&gt;0,$AU71=""),"* No olvide escribir en las celdas de 'Población SENAME' (Digite CERO si no tiene). ","")</f>
        <v/>
      </c>
      <c r="CT71" s="664"/>
      <c r="CU71" s="465" t="str">
        <f>IF($AV71&gt;$D71,"* La celda 'Plan Cuidado Integral Elaborado' debe ser menor o igual al Total de Personas en control. ","")</f>
        <v xml:space="preserve">* La celda 'Plan Cuidado Integral Elaborado' debe ser menor o igual al Total de Personas en control. </v>
      </c>
      <c r="CV71" s="465" t="str">
        <f t="shared" ref="CV71:CV109" si="54">IF(AND($D71&lt;&gt;0,$AV71=""),"* No olvide escribir en las celdas de 'Plan Cuidado Integral Elaborado' (Digite CERO si no tiene). ","")</f>
        <v/>
      </c>
      <c r="CW71" s="478"/>
      <c r="CX71" s="478"/>
      <c r="CY71" s="470"/>
      <c r="CZ71" s="470"/>
      <c r="DA71" s="486">
        <f t="shared" ref="DA71:DA79" si="55">IF($AO71&gt;$F71,1,0)</f>
        <v>1</v>
      </c>
      <c r="DB71" s="486">
        <f>IF($AP71&gt;$F71,1,0)</f>
        <v>1</v>
      </c>
      <c r="DC71" s="486">
        <f t="shared" ref="DC71:DC79" si="56">IF(($AQ71)&gt;$E71,1,0)</f>
        <v>1</v>
      </c>
      <c r="DD71" s="486">
        <f>IF($AR71&gt;$F71,1,0)</f>
        <v>1</v>
      </c>
      <c r="DE71" s="486">
        <f t="shared" ref="DE71:DE79" si="57">IF(($AS71)&gt;$E71,1,0)</f>
        <v>1</v>
      </c>
      <c r="DF71" s="486">
        <f>IF($AT71&gt;$F71,1,0)</f>
        <v>1</v>
      </c>
      <c r="DG71" s="486">
        <f t="shared" ref="DG71:DG79" si="58">IF($AU71&gt;$D71,1,0)</f>
        <v>1</v>
      </c>
      <c r="DH71" s="486">
        <f t="shared" ref="DH71:DH79" si="59">IF(AND($D71&lt;&gt;0,$AO71=""),1,0)</f>
        <v>0</v>
      </c>
      <c r="DI71" s="486">
        <f t="shared" ref="DI71:DI79" si="60">IF(AND($D71&lt;&gt;0,$AP71=""),1,0)</f>
        <v>0</v>
      </c>
      <c r="DJ71" s="470"/>
      <c r="DK71" s="486">
        <f t="shared" ref="DK71:DK79" si="61">IF(AND($E71&lt;&gt;0,$AQ71=""),1,IF(AND($F71&lt;&gt;0,$AR71=""),1,0))</f>
        <v>0</v>
      </c>
      <c r="DL71" s="486">
        <f t="shared" ref="DL71:DL79" si="62">IF(AND($E71&lt;&gt;0,$AS71=""),1,IF(AND($F71&lt;&gt;0,$AT71=""),1,0))</f>
        <v>0</v>
      </c>
      <c r="DM71" s="486">
        <f t="shared" ref="DM71:DM109" si="63">IF(AND($D71&lt;&gt;0,$AU71=""),1,0)</f>
        <v>0</v>
      </c>
      <c r="DN71" s="665"/>
      <c r="DO71" s="486">
        <f t="shared" ref="DO71:DO109" si="64">IF($AV71&gt;$D71,1,0)</f>
        <v>1</v>
      </c>
      <c r="DP71" s="486">
        <f t="shared" ref="DP71:DP109" si="65">IF(AND($D71&lt;&gt;0,$AV71=""),1,0)</f>
        <v>0</v>
      </c>
      <c r="DQ71" s="488"/>
      <c r="DR71" s="478"/>
    </row>
    <row r="72" spans="1:122" s="173" customFormat="1" ht="21" customHeight="1" x14ac:dyDescent="0.2">
      <c r="A72" s="1773" t="s">
        <v>1264</v>
      </c>
      <c r="B72" s="2316"/>
      <c r="C72" s="223" t="s">
        <v>441</v>
      </c>
      <c r="D72" s="941" t="s">
        <v>1384</v>
      </c>
      <c r="E72" s="950" t="s">
        <v>1385</v>
      </c>
      <c r="F72" s="1147" t="s">
        <v>1386</v>
      </c>
      <c r="G72" s="977" t="s">
        <v>1387</v>
      </c>
      <c r="H72" s="978" t="s">
        <v>1388</v>
      </c>
      <c r="I72" s="977" t="s">
        <v>1389</v>
      </c>
      <c r="J72" s="978" t="s">
        <v>1390</v>
      </c>
      <c r="K72" s="977" t="s">
        <v>1391</v>
      </c>
      <c r="L72" s="978" t="s">
        <v>1392</v>
      </c>
      <c r="M72" s="957" t="s">
        <v>1393</v>
      </c>
      <c r="N72" s="958" t="s">
        <v>1394</v>
      </c>
      <c r="O72" s="957" t="s">
        <v>1395</v>
      </c>
      <c r="P72" s="958" t="s">
        <v>1396</v>
      </c>
      <c r="Q72" s="957" t="s">
        <v>1397</v>
      </c>
      <c r="R72" s="958" t="s">
        <v>1398</v>
      </c>
      <c r="S72" s="957" t="s">
        <v>1399</v>
      </c>
      <c r="T72" s="958" t="s">
        <v>1400</v>
      </c>
      <c r="U72" s="957" t="s">
        <v>1401</v>
      </c>
      <c r="V72" s="958" t="s">
        <v>1402</v>
      </c>
      <c r="W72" s="957" t="s">
        <v>1403</v>
      </c>
      <c r="X72" s="958" t="s">
        <v>1404</v>
      </c>
      <c r="Y72" s="957" t="s">
        <v>1405</v>
      </c>
      <c r="Z72" s="958" t="s">
        <v>1406</v>
      </c>
      <c r="AA72" s="957" t="s">
        <v>1407</v>
      </c>
      <c r="AB72" s="958" t="s">
        <v>1408</v>
      </c>
      <c r="AC72" s="957" t="s">
        <v>1409</v>
      </c>
      <c r="AD72" s="958" t="s">
        <v>1410</v>
      </c>
      <c r="AE72" s="957" t="s">
        <v>1411</v>
      </c>
      <c r="AF72" s="958" t="s">
        <v>1412</v>
      </c>
      <c r="AG72" s="957" t="s">
        <v>1413</v>
      </c>
      <c r="AH72" s="958" t="s">
        <v>1414</v>
      </c>
      <c r="AI72" s="957" t="s">
        <v>1415</v>
      </c>
      <c r="AJ72" s="958" t="s">
        <v>1416</v>
      </c>
      <c r="AK72" s="957" t="s">
        <v>1417</v>
      </c>
      <c r="AL72" s="958" t="s">
        <v>1418</v>
      </c>
      <c r="AM72" s="957" t="s">
        <v>1419</v>
      </c>
      <c r="AN72" s="1045" t="s">
        <v>1420</v>
      </c>
      <c r="AO72" s="1030" t="s">
        <v>1421</v>
      </c>
      <c r="AP72" s="1520" t="s">
        <v>1422</v>
      </c>
      <c r="AQ72" s="1520" t="s">
        <v>1423</v>
      </c>
      <c r="AR72" s="1520" t="s">
        <v>1424</v>
      </c>
      <c r="AS72" s="1044" t="s">
        <v>1425</v>
      </c>
      <c r="AT72" s="958" t="s">
        <v>1426</v>
      </c>
      <c r="AU72" s="958" t="s">
        <v>1427</v>
      </c>
      <c r="AV72" s="958" t="s">
        <v>1428</v>
      </c>
      <c r="AW72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2" s="224"/>
      <c r="AY72" s="224"/>
      <c r="AZ72" s="224"/>
      <c r="BA72" s="224"/>
      <c r="CB72" s="664"/>
      <c r="CC72" s="664"/>
      <c r="CD72" s="664"/>
      <c r="CE72" s="664"/>
      <c r="CF72" s="664"/>
      <c r="CG72" s="465" t="str">
        <f t="shared" si="46"/>
        <v xml:space="preserve">* La celda 'Gestantes' debe ser menor o igual al Total de Mujeres en control. </v>
      </c>
      <c r="CH72" s="465" t="str">
        <f>IF($AP72&gt;$F72,"* La celda 'Madres de Hijos menor de 5 años' debe ser menor o igual al Total de Mujeres en control. ","")</f>
        <v xml:space="preserve">* La celda 'Madres de Hijos menor de 5 años' debe ser menor o igual al Total de Mujeres en control. </v>
      </c>
      <c r="CI72" s="465" t="str">
        <f t="shared" si="47"/>
        <v xml:space="preserve">* La celda 'Pueblos Originarios / Hombres' debe ser menor o igual al Total de Hombres en control. </v>
      </c>
      <c r="CJ72" s="465" t="str">
        <f>IF($AR72&gt;$F72,"* La celda 'Pueblos Originarios / Mujeres' debe ser menor o igual al Total de Mujeres en control. ","")</f>
        <v xml:space="preserve">* La celda 'Pueblos Originarios / Mujeres' debe ser menor o igual al Total de Mujeres en control. </v>
      </c>
      <c r="CK72" s="465" t="str">
        <f t="shared" si="48"/>
        <v xml:space="preserve">* La celda 'Población Migrantes / Hombres' debe ser menor o igual al Total de Hombres en control. </v>
      </c>
      <c r="CL72" s="465" t="str">
        <f>IF($AT72&gt;$F72,"* La celda 'Población Migrantes / Mujeres' debe ser menor o igual al Total de Mujeres en control. ","")</f>
        <v xml:space="preserve">* La celda 'Población Migrantes / Mujeres' debe ser menor o igual al Total de Mujeres en control. </v>
      </c>
      <c r="CM72" s="465" t="str">
        <f t="shared" si="49"/>
        <v xml:space="preserve">* La celda 'Población SENAME' debe ser menor o igual al Total de Personas en control. </v>
      </c>
      <c r="CN72" s="465" t="str">
        <f t="shared" si="50"/>
        <v/>
      </c>
      <c r="CO72" s="465" t="str">
        <f>IF(AND($D72&lt;&gt;0,$AP72=""),"* No olvide escribir en la celda de 'Madres de Hijos menor de 5 años' (Digite CERO si no tiene). ","")</f>
        <v/>
      </c>
      <c r="CP72" s="474"/>
      <c r="CQ72" s="465" t="str">
        <f t="shared" si="51"/>
        <v/>
      </c>
      <c r="CR72" s="465" t="str">
        <f t="shared" si="52"/>
        <v/>
      </c>
      <c r="CS72" s="465" t="str">
        <f t="shared" si="53"/>
        <v/>
      </c>
      <c r="CT72" s="664"/>
      <c r="CU72" s="465" t="str">
        <f t="shared" ref="CU72:CU109" si="66">IF($AV72&gt;$D72,"* La celda 'Plan Cuidado Integral Elaborado' debe ser menor o igual al Total de Personas en control. ","")</f>
        <v xml:space="preserve">* La celda 'Plan Cuidado Integral Elaborado' debe ser menor o igual al Total de Personas en control. </v>
      </c>
      <c r="CV72" s="465" t="str">
        <f t="shared" si="54"/>
        <v/>
      </c>
      <c r="CW72" s="664"/>
      <c r="CX72" s="664"/>
      <c r="CY72" s="665"/>
      <c r="CZ72" s="665"/>
      <c r="DA72" s="486">
        <f t="shared" si="55"/>
        <v>1</v>
      </c>
      <c r="DB72" s="486">
        <f>IF($AP72&gt;$F72,1,0)</f>
        <v>1</v>
      </c>
      <c r="DC72" s="486">
        <f t="shared" si="56"/>
        <v>1</v>
      </c>
      <c r="DD72" s="486">
        <f>IF($AR72&gt;$F72,1,0)</f>
        <v>1</v>
      </c>
      <c r="DE72" s="486">
        <f t="shared" si="57"/>
        <v>1</v>
      </c>
      <c r="DF72" s="486">
        <f>IF($AT72&gt;$F72,1,0)</f>
        <v>1</v>
      </c>
      <c r="DG72" s="486">
        <f t="shared" si="58"/>
        <v>1</v>
      </c>
      <c r="DH72" s="486">
        <f t="shared" si="59"/>
        <v>0</v>
      </c>
      <c r="DI72" s="486">
        <f t="shared" si="60"/>
        <v>0</v>
      </c>
      <c r="DJ72" s="470"/>
      <c r="DK72" s="486">
        <f t="shared" si="61"/>
        <v>0</v>
      </c>
      <c r="DL72" s="486">
        <f t="shared" si="62"/>
        <v>0</v>
      </c>
      <c r="DM72" s="486">
        <f t="shared" si="63"/>
        <v>0</v>
      </c>
      <c r="DN72" s="665"/>
      <c r="DO72" s="486">
        <f t="shared" si="64"/>
        <v>1</v>
      </c>
      <c r="DP72" s="486">
        <f t="shared" si="65"/>
        <v>0</v>
      </c>
      <c r="DQ72" s="488"/>
      <c r="DR72" s="664"/>
    </row>
    <row r="73" spans="1:122" s="173" customFormat="1" ht="21" customHeight="1" x14ac:dyDescent="0.2">
      <c r="A73" s="1773" t="s">
        <v>1265</v>
      </c>
      <c r="B73" s="2313" t="s">
        <v>239</v>
      </c>
      <c r="C73" s="2313"/>
      <c r="D73" s="998" t="s">
        <v>1384</v>
      </c>
      <c r="E73" s="999" t="s">
        <v>1385</v>
      </c>
      <c r="F73" s="1033" t="s">
        <v>1386</v>
      </c>
      <c r="G73" s="973" t="s">
        <v>1387</v>
      </c>
      <c r="H73" s="974" t="s">
        <v>1388</v>
      </c>
      <c r="I73" s="973" t="s">
        <v>1389</v>
      </c>
      <c r="J73" s="974" t="s">
        <v>1390</v>
      </c>
      <c r="K73" s="973" t="s">
        <v>1391</v>
      </c>
      <c r="L73" s="974" t="s">
        <v>1392</v>
      </c>
      <c r="M73" s="962" t="s">
        <v>1393</v>
      </c>
      <c r="N73" s="963" t="s">
        <v>1394</v>
      </c>
      <c r="O73" s="962" t="s">
        <v>1395</v>
      </c>
      <c r="P73" s="963" t="s">
        <v>1396</v>
      </c>
      <c r="Q73" s="962" t="s">
        <v>1397</v>
      </c>
      <c r="R73" s="963" t="s">
        <v>1398</v>
      </c>
      <c r="S73" s="962" t="s">
        <v>1399</v>
      </c>
      <c r="T73" s="963" t="s">
        <v>1400</v>
      </c>
      <c r="U73" s="962" t="s">
        <v>1401</v>
      </c>
      <c r="V73" s="963" t="s">
        <v>1402</v>
      </c>
      <c r="W73" s="962" t="s">
        <v>1403</v>
      </c>
      <c r="X73" s="963" t="s">
        <v>1404</v>
      </c>
      <c r="Y73" s="962" t="s">
        <v>1405</v>
      </c>
      <c r="Z73" s="963" t="s">
        <v>1406</v>
      </c>
      <c r="AA73" s="962" t="s">
        <v>1407</v>
      </c>
      <c r="AB73" s="963" t="s">
        <v>1408</v>
      </c>
      <c r="AC73" s="962" t="s">
        <v>1409</v>
      </c>
      <c r="AD73" s="963" t="s">
        <v>1410</v>
      </c>
      <c r="AE73" s="962" t="s">
        <v>1411</v>
      </c>
      <c r="AF73" s="963" t="s">
        <v>1412</v>
      </c>
      <c r="AG73" s="962" t="s">
        <v>1413</v>
      </c>
      <c r="AH73" s="963" t="s">
        <v>1414</v>
      </c>
      <c r="AI73" s="962" t="s">
        <v>1415</v>
      </c>
      <c r="AJ73" s="963" t="s">
        <v>1416</v>
      </c>
      <c r="AK73" s="962" t="s">
        <v>1417</v>
      </c>
      <c r="AL73" s="963" t="s">
        <v>1418</v>
      </c>
      <c r="AM73" s="962" t="s">
        <v>1419</v>
      </c>
      <c r="AN73" s="1050" t="s">
        <v>1420</v>
      </c>
      <c r="AO73" s="1521" t="s">
        <v>1421</v>
      </c>
      <c r="AP73" s="1522" t="s">
        <v>1422</v>
      </c>
      <c r="AQ73" s="1522" t="s">
        <v>1423</v>
      </c>
      <c r="AR73" s="1522" t="s">
        <v>1424</v>
      </c>
      <c r="AS73" s="1041" t="s">
        <v>1425</v>
      </c>
      <c r="AT73" s="963" t="s">
        <v>1426</v>
      </c>
      <c r="AU73" s="963" t="s">
        <v>1427</v>
      </c>
      <c r="AV73" s="963" t="s">
        <v>1428</v>
      </c>
      <c r="AW73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3" s="224"/>
      <c r="AY73" s="224"/>
      <c r="AZ73" s="224"/>
      <c r="BA73" s="224"/>
      <c r="CB73" s="664"/>
      <c r="CC73" s="664"/>
      <c r="CD73" s="664"/>
      <c r="CE73" s="664"/>
      <c r="CF73" s="664"/>
      <c r="CG73" s="465" t="str">
        <f t="shared" si="46"/>
        <v xml:space="preserve">* La celda 'Gestantes' debe ser menor o igual al Total de Mujeres en control. </v>
      </c>
      <c r="CH73" s="465" t="str">
        <f>IF($AP73&gt;$F73,"* La celda 'Madres de Hijos menor de 5 años' debe ser menor o igual al Total de Mujeres en control. ","")</f>
        <v xml:space="preserve">* La celda 'Madres de Hijos menor de 5 años' debe ser menor o igual al Total de Mujeres en control. </v>
      </c>
      <c r="CI73" s="465" t="str">
        <f t="shared" si="47"/>
        <v xml:space="preserve">* La celda 'Pueblos Originarios / Hombres' debe ser menor o igual al Total de Hombres en control. </v>
      </c>
      <c r="CJ73" s="465" t="str">
        <f>IF($AR73&gt;$F73,"* La celda 'Pueblos Originarios / Mujeres' debe ser menor o igual al Total de Mujeres en control. ","")</f>
        <v xml:space="preserve">* La celda 'Pueblos Originarios / Mujeres' debe ser menor o igual al Total de Mujeres en control. </v>
      </c>
      <c r="CK73" s="465" t="str">
        <f t="shared" si="48"/>
        <v xml:space="preserve">* La celda 'Población Migrantes / Hombres' debe ser menor o igual al Total de Hombres en control. </v>
      </c>
      <c r="CL73" s="465" t="str">
        <f>IF($AT73&gt;$F73,"* La celda 'Población Migrantes / Mujeres' debe ser menor o igual al Total de Mujeres en control. ","")</f>
        <v xml:space="preserve">* La celda 'Población Migrantes / Mujeres' debe ser menor o igual al Total de Mujeres en control. </v>
      </c>
      <c r="CM73" s="465" t="str">
        <f t="shared" si="49"/>
        <v xml:space="preserve">* La celda 'Población SENAME' debe ser menor o igual al Total de Personas en control. </v>
      </c>
      <c r="CN73" s="465" t="str">
        <f t="shared" si="50"/>
        <v/>
      </c>
      <c r="CO73" s="465" t="str">
        <f>IF(AND($D73&lt;&gt;0,$AP73=""),"* No olvide escribir en la celda de 'Madres de Hijos menor de 5 años' (Digite CERO si no tiene). ","")</f>
        <v/>
      </c>
      <c r="CP73" s="474"/>
      <c r="CQ73" s="465" t="str">
        <f t="shared" si="51"/>
        <v/>
      </c>
      <c r="CR73" s="465" t="str">
        <f t="shared" si="52"/>
        <v/>
      </c>
      <c r="CS73" s="465" t="str">
        <f t="shared" si="53"/>
        <v/>
      </c>
      <c r="CT73" s="664"/>
      <c r="CU73" s="465" t="str">
        <f t="shared" si="66"/>
        <v xml:space="preserve">* La celda 'Plan Cuidado Integral Elaborado' debe ser menor o igual al Total de Personas en control. </v>
      </c>
      <c r="CV73" s="465" t="str">
        <f t="shared" si="54"/>
        <v/>
      </c>
      <c r="CW73" s="664"/>
      <c r="CX73" s="664"/>
      <c r="CY73" s="665"/>
      <c r="CZ73" s="665"/>
      <c r="DA73" s="486">
        <f t="shared" si="55"/>
        <v>1</v>
      </c>
      <c r="DB73" s="486">
        <f>IF($AP73&gt;$F73,1,0)</f>
        <v>1</v>
      </c>
      <c r="DC73" s="486">
        <f t="shared" si="56"/>
        <v>1</v>
      </c>
      <c r="DD73" s="486">
        <f>IF($AR73&gt;$F73,1,0)</f>
        <v>1</v>
      </c>
      <c r="DE73" s="486">
        <f t="shared" si="57"/>
        <v>1</v>
      </c>
      <c r="DF73" s="486">
        <f>IF($AT73&gt;$F73,1,0)</f>
        <v>1</v>
      </c>
      <c r="DG73" s="486">
        <f t="shared" si="58"/>
        <v>1</v>
      </c>
      <c r="DH73" s="486">
        <f t="shared" si="59"/>
        <v>0</v>
      </c>
      <c r="DI73" s="486">
        <f t="shared" si="60"/>
        <v>0</v>
      </c>
      <c r="DJ73" s="470"/>
      <c r="DK73" s="486">
        <f t="shared" si="61"/>
        <v>0</v>
      </c>
      <c r="DL73" s="486">
        <f t="shared" si="62"/>
        <v>0</v>
      </c>
      <c r="DM73" s="486">
        <f t="shared" si="63"/>
        <v>0</v>
      </c>
      <c r="DN73" s="665"/>
      <c r="DO73" s="486">
        <f t="shared" si="64"/>
        <v>1</v>
      </c>
      <c r="DP73" s="486">
        <f t="shared" si="65"/>
        <v>0</v>
      </c>
      <c r="DQ73" s="488"/>
      <c r="DR73" s="664"/>
    </row>
    <row r="74" spans="1:122" s="173" customFormat="1" ht="18" customHeight="1" x14ac:dyDescent="0.2">
      <c r="A74" s="1773" t="s">
        <v>1266</v>
      </c>
      <c r="B74" s="2327" t="s">
        <v>633</v>
      </c>
      <c r="C74" s="1336" t="s">
        <v>634</v>
      </c>
      <c r="D74" s="944" t="s">
        <v>1384</v>
      </c>
      <c r="E74" s="945" t="s">
        <v>1385</v>
      </c>
      <c r="F74" s="946" t="s">
        <v>1386</v>
      </c>
      <c r="G74" s="977" t="s">
        <v>1387</v>
      </c>
      <c r="H74" s="978" t="s">
        <v>1388</v>
      </c>
      <c r="I74" s="977" t="s">
        <v>1389</v>
      </c>
      <c r="J74" s="978" t="s">
        <v>1390</v>
      </c>
      <c r="K74" s="977" t="s">
        <v>1391</v>
      </c>
      <c r="L74" s="978" t="s">
        <v>1392</v>
      </c>
      <c r="M74" s="977" t="s">
        <v>1393</v>
      </c>
      <c r="N74" s="978" t="s">
        <v>1394</v>
      </c>
      <c r="O74" s="977" t="s">
        <v>1395</v>
      </c>
      <c r="P74" s="978" t="s">
        <v>1396</v>
      </c>
      <c r="Q74" s="977" t="s">
        <v>1397</v>
      </c>
      <c r="R74" s="978" t="s">
        <v>1398</v>
      </c>
      <c r="S74" s="977" t="s">
        <v>1399</v>
      </c>
      <c r="T74" s="978" t="s">
        <v>1400</v>
      </c>
      <c r="U74" s="977" t="s">
        <v>1401</v>
      </c>
      <c r="V74" s="978" t="s">
        <v>1402</v>
      </c>
      <c r="W74" s="977" t="s">
        <v>1403</v>
      </c>
      <c r="X74" s="978" t="s">
        <v>1404</v>
      </c>
      <c r="Y74" s="977" t="s">
        <v>1405</v>
      </c>
      <c r="Z74" s="978" t="s">
        <v>1406</v>
      </c>
      <c r="AA74" s="977" t="s">
        <v>1407</v>
      </c>
      <c r="AB74" s="978" t="s">
        <v>1408</v>
      </c>
      <c r="AC74" s="977" t="s">
        <v>1409</v>
      </c>
      <c r="AD74" s="978" t="s">
        <v>1410</v>
      </c>
      <c r="AE74" s="977" t="s">
        <v>1411</v>
      </c>
      <c r="AF74" s="978" t="s">
        <v>1412</v>
      </c>
      <c r="AG74" s="977" t="s">
        <v>1413</v>
      </c>
      <c r="AH74" s="978" t="s">
        <v>1414</v>
      </c>
      <c r="AI74" s="977" t="s">
        <v>1415</v>
      </c>
      <c r="AJ74" s="978" t="s">
        <v>1416</v>
      </c>
      <c r="AK74" s="977" t="s">
        <v>1417</v>
      </c>
      <c r="AL74" s="978" t="s">
        <v>1418</v>
      </c>
      <c r="AM74" s="977" t="s">
        <v>1419</v>
      </c>
      <c r="AN74" s="1049" t="s">
        <v>1420</v>
      </c>
      <c r="AO74" s="1029" t="s">
        <v>1421</v>
      </c>
      <c r="AP74" s="1526" t="s">
        <v>1422</v>
      </c>
      <c r="AQ74" s="1526" t="s">
        <v>1423</v>
      </c>
      <c r="AR74" s="1526" t="s">
        <v>1424</v>
      </c>
      <c r="AS74" s="1048" t="s">
        <v>1425</v>
      </c>
      <c r="AT74" s="978" t="s">
        <v>1426</v>
      </c>
      <c r="AU74" s="978" t="s">
        <v>1427</v>
      </c>
      <c r="AV74" s="978" t="s">
        <v>1428</v>
      </c>
      <c r="AW74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4" s="224"/>
      <c r="AY74" s="224"/>
      <c r="AZ74" s="224"/>
      <c r="BA74" s="224"/>
      <c r="CB74" s="664"/>
      <c r="CC74" s="664"/>
      <c r="CD74" s="664"/>
      <c r="CE74" s="664"/>
      <c r="CF74" s="664"/>
      <c r="CG74" s="465" t="str">
        <f t="shared" si="46"/>
        <v xml:space="preserve">* La celda 'Gestantes' debe ser menor o igual al Total de Mujeres en control. </v>
      </c>
      <c r="CH74" s="465" t="str">
        <f>IF($AP74&gt;$F74,"* La celda 'Madres de Hijos menor de 5 años' debe ser menor o igual al Total de Mujeres en control. ","")</f>
        <v xml:space="preserve">* La celda 'Madres de Hijos menor de 5 años' debe ser menor o igual al Total de Mujeres en control. </v>
      </c>
      <c r="CI74" s="465" t="str">
        <f t="shared" si="47"/>
        <v xml:space="preserve">* La celda 'Pueblos Originarios / Hombres' debe ser menor o igual al Total de Hombres en control. </v>
      </c>
      <c r="CJ74" s="465" t="str">
        <f>IF($AR74&gt;$F74,"* La celda 'Pueblos Originarios / Mujeres' debe ser menor o igual al Total de Mujeres en control. ","")</f>
        <v xml:space="preserve">* La celda 'Pueblos Originarios / Mujeres' debe ser menor o igual al Total de Mujeres en control. </v>
      </c>
      <c r="CK74" s="465" t="str">
        <f t="shared" si="48"/>
        <v xml:space="preserve">* La celda 'Población Migrantes / Hombres' debe ser menor o igual al Total de Hombres en control. </v>
      </c>
      <c r="CL74" s="465" t="str">
        <f>IF($AT74&gt;$F74,"* La celda 'Población Migrantes / Mujeres' debe ser menor o igual al Total de Mujeres en control. ","")</f>
        <v xml:space="preserve">* La celda 'Población Migrantes / Mujeres' debe ser menor o igual al Total de Mujeres en control. </v>
      </c>
      <c r="CM74" s="465" t="str">
        <f t="shared" si="49"/>
        <v xml:space="preserve">* La celda 'Población SENAME' debe ser menor o igual al Total de Personas en control. </v>
      </c>
      <c r="CN74" s="465" t="str">
        <f t="shared" si="50"/>
        <v/>
      </c>
      <c r="CO74" s="465" t="str">
        <f>IF(AND($D74&lt;&gt;0,$AP74=""),"* No olvide escribir en la celda de 'Madres de Hijos menor de 5 años' (Digite CERO si no tiene). ","")</f>
        <v/>
      </c>
      <c r="CP74" s="474"/>
      <c r="CQ74" s="465" t="str">
        <f t="shared" si="51"/>
        <v/>
      </c>
      <c r="CR74" s="465" t="str">
        <f t="shared" si="52"/>
        <v/>
      </c>
      <c r="CS74" s="465" t="str">
        <f t="shared" si="53"/>
        <v/>
      </c>
      <c r="CT74" s="664"/>
      <c r="CU74" s="465" t="str">
        <f t="shared" si="66"/>
        <v xml:space="preserve">* La celda 'Plan Cuidado Integral Elaborado' debe ser menor o igual al Total de Personas en control. </v>
      </c>
      <c r="CV74" s="465" t="str">
        <f t="shared" si="54"/>
        <v/>
      </c>
      <c r="CW74" s="664"/>
      <c r="CX74" s="664"/>
      <c r="CY74" s="665"/>
      <c r="CZ74" s="665"/>
      <c r="DA74" s="486">
        <f t="shared" si="55"/>
        <v>1</v>
      </c>
      <c r="DB74" s="486">
        <f>IF($AP74&gt;$F74,1,0)</f>
        <v>1</v>
      </c>
      <c r="DC74" s="486">
        <f t="shared" si="56"/>
        <v>1</v>
      </c>
      <c r="DD74" s="486">
        <f>IF($AR74&gt;$F74,1,0)</f>
        <v>1</v>
      </c>
      <c r="DE74" s="486">
        <f t="shared" si="57"/>
        <v>1</v>
      </c>
      <c r="DF74" s="486">
        <f>IF($AT74&gt;$F74,1,0)</f>
        <v>1</v>
      </c>
      <c r="DG74" s="486">
        <f t="shared" si="58"/>
        <v>1</v>
      </c>
      <c r="DH74" s="486">
        <f t="shared" si="59"/>
        <v>0</v>
      </c>
      <c r="DI74" s="486">
        <f t="shared" si="60"/>
        <v>0</v>
      </c>
      <c r="DJ74" s="470"/>
      <c r="DK74" s="486">
        <f t="shared" si="61"/>
        <v>0</v>
      </c>
      <c r="DL74" s="486">
        <f t="shared" si="62"/>
        <v>0</v>
      </c>
      <c r="DM74" s="486">
        <f t="shared" si="63"/>
        <v>0</v>
      </c>
      <c r="DN74" s="665"/>
      <c r="DO74" s="486">
        <f t="shared" si="64"/>
        <v>1</v>
      </c>
      <c r="DP74" s="486">
        <f t="shared" si="65"/>
        <v>0</v>
      </c>
      <c r="DQ74" s="488"/>
      <c r="DR74" s="664"/>
    </row>
    <row r="75" spans="1:122" s="173" customFormat="1" ht="25.5" customHeight="1" x14ac:dyDescent="0.2">
      <c r="A75" s="1773" t="s">
        <v>1267</v>
      </c>
      <c r="B75" s="2328"/>
      <c r="C75" s="1337" t="s">
        <v>635</v>
      </c>
      <c r="D75" s="947" t="s">
        <v>1384</v>
      </c>
      <c r="E75" s="948" t="s">
        <v>1385</v>
      </c>
      <c r="F75" s="1273" t="s">
        <v>1386</v>
      </c>
      <c r="G75" s="1023" t="s">
        <v>1387</v>
      </c>
      <c r="H75" s="1024" t="s">
        <v>1388</v>
      </c>
      <c r="I75" s="1023" t="s">
        <v>1389</v>
      </c>
      <c r="J75" s="1024" t="s">
        <v>1390</v>
      </c>
      <c r="K75" s="1023" t="s">
        <v>1391</v>
      </c>
      <c r="L75" s="1024" t="s">
        <v>1392</v>
      </c>
      <c r="M75" s="1023" t="s">
        <v>1393</v>
      </c>
      <c r="N75" s="1024" t="s">
        <v>1394</v>
      </c>
      <c r="O75" s="1023" t="s">
        <v>1395</v>
      </c>
      <c r="P75" s="1024" t="s">
        <v>1396</v>
      </c>
      <c r="Q75" s="1023" t="s">
        <v>1397</v>
      </c>
      <c r="R75" s="1024" t="s">
        <v>1398</v>
      </c>
      <c r="S75" s="1023" t="s">
        <v>1399</v>
      </c>
      <c r="T75" s="1024" t="s">
        <v>1400</v>
      </c>
      <c r="U75" s="1023" t="s">
        <v>1401</v>
      </c>
      <c r="V75" s="1024" t="s">
        <v>1402</v>
      </c>
      <c r="W75" s="1023" t="s">
        <v>1403</v>
      </c>
      <c r="X75" s="1024" t="s">
        <v>1404</v>
      </c>
      <c r="Y75" s="1023" t="s">
        <v>1405</v>
      </c>
      <c r="Z75" s="1024" t="s">
        <v>1406</v>
      </c>
      <c r="AA75" s="1023" t="s">
        <v>1407</v>
      </c>
      <c r="AB75" s="1024" t="s">
        <v>1408</v>
      </c>
      <c r="AC75" s="1023" t="s">
        <v>1409</v>
      </c>
      <c r="AD75" s="1024" t="s">
        <v>1410</v>
      </c>
      <c r="AE75" s="1023" t="s">
        <v>1411</v>
      </c>
      <c r="AF75" s="1024" t="s">
        <v>1412</v>
      </c>
      <c r="AG75" s="1023" t="s">
        <v>1413</v>
      </c>
      <c r="AH75" s="1024" t="s">
        <v>1414</v>
      </c>
      <c r="AI75" s="1023" t="s">
        <v>1415</v>
      </c>
      <c r="AJ75" s="1024" t="s">
        <v>1416</v>
      </c>
      <c r="AK75" s="1023" t="s">
        <v>1417</v>
      </c>
      <c r="AL75" s="1024" t="s">
        <v>1418</v>
      </c>
      <c r="AM75" s="1023" t="s">
        <v>1419</v>
      </c>
      <c r="AN75" s="1272" t="s">
        <v>1420</v>
      </c>
      <c r="AO75" s="1524" t="s">
        <v>1421</v>
      </c>
      <c r="AP75" s="1525" t="s">
        <v>1422</v>
      </c>
      <c r="AQ75" s="1525" t="s">
        <v>1423</v>
      </c>
      <c r="AR75" s="1525" t="s">
        <v>1424</v>
      </c>
      <c r="AS75" s="1552" t="s">
        <v>1425</v>
      </c>
      <c r="AT75" s="1024" t="s">
        <v>1426</v>
      </c>
      <c r="AU75" s="1024" t="s">
        <v>1427</v>
      </c>
      <c r="AV75" s="1024" t="s">
        <v>1428</v>
      </c>
      <c r="AW75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5" s="224"/>
      <c r="AY75" s="224"/>
      <c r="AZ75" s="224"/>
      <c r="BA75" s="224"/>
      <c r="CB75" s="664"/>
      <c r="CC75" s="664"/>
      <c r="CD75" s="664"/>
      <c r="CE75" s="664"/>
      <c r="CF75" s="664"/>
      <c r="CG75" s="465" t="str">
        <f t="shared" si="46"/>
        <v xml:space="preserve">* La celda 'Gestantes' debe ser menor o igual al Total de Mujeres en control. </v>
      </c>
      <c r="CH75" s="465" t="str">
        <f>IF($AP75&gt;$F75,"* La celda 'Madres de Hijos menor de 5 años' debe ser menor o igual al Total de Mujeres en control. ","")</f>
        <v xml:space="preserve">* La celda 'Madres de Hijos menor de 5 años' debe ser menor o igual al Total de Mujeres en control. </v>
      </c>
      <c r="CI75" s="465" t="str">
        <f t="shared" si="47"/>
        <v xml:space="preserve">* La celda 'Pueblos Originarios / Hombres' debe ser menor o igual al Total de Hombres en control. </v>
      </c>
      <c r="CJ75" s="465" t="str">
        <f>IF($AR75&gt;$F75,"* La celda 'Pueblos Originarios / Mujeres' debe ser menor o igual al Total de Mujeres en control. ","")</f>
        <v xml:space="preserve">* La celda 'Pueblos Originarios / Mujeres' debe ser menor o igual al Total de Mujeres en control. </v>
      </c>
      <c r="CK75" s="465" t="str">
        <f t="shared" si="48"/>
        <v xml:space="preserve">* La celda 'Población Migrantes / Hombres' debe ser menor o igual al Total de Hombres en control. </v>
      </c>
      <c r="CL75" s="465" t="str">
        <f>IF($AT75&gt;$F75,"* La celda 'Población Migrantes / Mujeres' debe ser menor o igual al Total de Mujeres en control. ","")</f>
        <v xml:space="preserve">* La celda 'Población Migrantes / Mujeres' debe ser menor o igual al Total de Mujeres en control. </v>
      </c>
      <c r="CM75" s="465" t="str">
        <f t="shared" si="49"/>
        <v xml:space="preserve">* La celda 'Población SENAME' debe ser menor o igual al Total de Personas en control. </v>
      </c>
      <c r="CN75" s="465" t="str">
        <f t="shared" si="50"/>
        <v/>
      </c>
      <c r="CO75" s="465" t="str">
        <f>IF(AND($D75&lt;&gt;0,$AP75=""),"* No olvide escribir en la celda de 'Madres de Hijos menor de 5 años' (Digite CERO si no tiene). ","")</f>
        <v/>
      </c>
      <c r="CP75" s="474"/>
      <c r="CQ75" s="465" t="str">
        <f t="shared" si="51"/>
        <v/>
      </c>
      <c r="CR75" s="465" t="str">
        <f t="shared" si="52"/>
        <v/>
      </c>
      <c r="CS75" s="465" t="str">
        <f t="shared" si="53"/>
        <v/>
      </c>
      <c r="CT75" s="664"/>
      <c r="CU75" s="465" t="str">
        <f t="shared" si="66"/>
        <v xml:space="preserve">* La celda 'Plan Cuidado Integral Elaborado' debe ser menor o igual al Total de Personas en control. </v>
      </c>
      <c r="CV75" s="465" t="str">
        <f t="shared" si="54"/>
        <v/>
      </c>
      <c r="CW75" s="664"/>
      <c r="CX75" s="664"/>
      <c r="CY75" s="665"/>
      <c r="CZ75" s="665"/>
      <c r="DA75" s="486">
        <f t="shared" si="55"/>
        <v>1</v>
      </c>
      <c r="DB75" s="486">
        <f>IF($AP75&gt;$F75,1,0)</f>
        <v>1</v>
      </c>
      <c r="DC75" s="486">
        <f t="shared" si="56"/>
        <v>1</v>
      </c>
      <c r="DD75" s="486">
        <f>IF($AR75&gt;$F75,1,0)</f>
        <v>1</v>
      </c>
      <c r="DE75" s="486">
        <f t="shared" si="57"/>
        <v>1</v>
      </c>
      <c r="DF75" s="486">
        <f>IF($AT75&gt;$F75,1,0)</f>
        <v>1</v>
      </c>
      <c r="DG75" s="486">
        <f t="shared" si="58"/>
        <v>1</v>
      </c>
      <c r="DH75" s="486">
        <f t="shared" si="59"/>
        <v>0</v>
      </c>
      <c r="DI75" s="486">
        <f t="shared" si="60"/>
        <v>0</v>
      </c>
      <c r="DJ75" s="470"/>
      <c r="DK75" s="486">
        <f t="shared" si="61"/>
        <v>0</v>
      </c>
      <c r="DL75" s="486">
        <f t="shared" si="62"/>
        <v>0</v>
      </c>
      <c r="DM75" s="486">
        <f t="shared" si="63"/>
        <v>0</v>
      </c>
      <c r="DN75" s="665"/>
      <c r="DO75" s="486">
        <f t="shared" si="64"/>
        <v>1</v>
      </c>
      <c r="DP75" s="486">
        <f t="shared" si="65"/>
        <v>0</v>
      </c>
      <c r="DQ75" s="488"/>
      <c r="DR75" s="664"/>
    </row>
    <row r="76" spans="1:122" s="173" customFormat="1" ht="25.5" customHeight="1" x14ac:dyDescent="0.2">
      <c r="A76" s="1773" t="s">
        <v>1268</v>
      </c>
      <c r="B76" s="2238" t="s">
        <v>372</v>
      </c>
      <c r="C76" s="2239"/>
      <c r="D76" s="998" t="s">
        <v>1384</v>
      </c>
      <c r="E76" s="999" t="s">
        <v>1385</v>
      </c>
      <c r="F76" s="1033" t="s">
        <v>1386</v>
      </c>
      <c r="G76" s="1051" t="s">
        <v>1387</v>
      </c>
      <c r="H76" s="1144" t="s">
        <v>1388</v>
      </c>
      <c r="I76" s="1051" t="s">
        <v>1389</v>
      </c>
      <c r="J76" s="1144" t="s">
        <v>1390</v>
      </c>
      <c r="K76" s="1051" t="s">
        <v>1391</v>
      </c>
      <c r="L76" s="1144" t="s">
        <v>1392</v>
      </c>
      <c r="M76" s="1051" t="s">
        <v>1393</v>
      </c>
      <c r="N76" s="1144" t="s">
        <v>1394</v>
      </c>
      <c r="O76" s="1051" t="s">
        <v>1395</v>
      </c>
      <c r="P76" s="1144" t="s">
        <v>1396</v>
      </c>
      <c r="Q76" s="1051" t="s">
        <v>1397</v>
      </c>
      <c r="R76" s="1144" t="s">
        <v>1398</v>
      </c>
      <c r="S76" s="1051" t="s">
        <v>1399</v>
      </c>
      <c r="T76" s="1144" t="s">
        <v>1400</v>
      </c>
      <c r="U76" s="1051" t="s">
        <v>1401</v>
      </c>
      <c r="V76" s="1144" t="s">
        <v>1402</v>
      </c>
      <c r="W76" s="1051" t="s">
        <v>1403</v>
      </c>
      <c r="X76" s="1144" t="s">
        <v>1404</v>
      </c>
      <c r="Y76" s="1051" t="s">
        <v>1405</v>
      </c>
      <c r="Z76" s="1144" t="s">
        <v>1406</v>
      </c>
      <c r="AA76" s="1051" t="s">
        <v>1407</v>
      </c>
      <c r="AB76" s="1144" t="s">
        <v>1408</v>
      </c>
      <c r="AC76" s="1051" t="s">
        <v>1409</v>
      </c>
      <c r="AD76" s="1144" t="s">
        <v>1410</v>
      </c>
      <c r="AE76" s="1051" t="s">
        <v>1411</v>
      </c>
      <c r="AF76" s="1144" t="s">
        <v>1412</v>
      </c>
      <c r="AG76" s="1051" t="s">
        <v>1413</v>
      </c>
      <c r="AH76" s="1144" t="s">
        <v>1414</v>
      </c>
      <c r="AI76" s="1051" t="s">
        <v>1415</v>
      </c>
      <c r="AJ76" s="1144" t="s">
        <v>1416</v>
      </c>
      <c r="AK76" s="1051" t="s">
        <v>1417</v>
      </c>
      <c r="AL76" s="1144" t="s">
        <v>1418</v>
      </c>
      <c r="AM76" s="1051" t="s">
        <v>1419</v>
      </c>
      <c r="AN76" s="1143" t="s">
        <v>1420</v>
      </c>
      <c r="AO76" s="1555" t="s">
        <v>1421</v>
      </c>
      <c r="AP76" s="1543" t="s">
        <v>1422</v>
      </c>
      <c r="AQ76" s="1543" t="s">
        <v>1423</v>
      </c>
      <c r="AR76" s="1543" t="s">
        <v>1424</v>
      </c>
      <c r="AS76" s="1507" t="s">
        <v>1425</v>
      </c>
      <c r="AT76" s="1144" t="s">
        <v>1426</v>
      </c>
      <c r="AU76" s="1144" t="s">
        <v>1427</v>
      </c>
      <c r="AV76" s="1144" t="s">
        <v>1428</v>
      </c>
      <c r="AW76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6" s="224"/>
      <c r="AY76" s="224"/>
      <c r="AZ76" s="224"/>
      <c r="BA76" s="224"/>
      <c r="CB76" s="664"/>
      <c r="CC76" s="664"/>
      <c r="CD76" s="664"/>
      <c r="CE76" s="664"/>
      <c r="CF76" s="664"/>
      <c r="CG76" s="465" t="str">
        <f t="shared" si="46"/>
        <v xml:space="preserve">* La celda 'Gestantes' debe ser menor o igual al Total de Mujeres en control. </v>
      </c>
      <c r="CH76" s="465" t="str">
        <f t="shared" ref="CH76:CH84" si="67">IF($AP76&gt;$F76,"* La celda 'Madres de Hijos menor de 5 años' debe ser menor o igual al Total de Mujeres en control. ","")</f>
        <v xml:space="preserve">* La celda 'Madres de Hijos menor de 5 años' debe ser menor o igual al Total de Mujeres en control. </v>
      </c>
      <c r="CI76" s="465" t="str">
        <f t="shared" si="47"/>
        <v xml:space="preserve">* La celda 'Pueblos Originarios / Hombres' debe ser menor o igual al Total de Hombres en control. </v>
      </c>
      <c r="CJ76" s="465" t="str">
        <f t="shared" ref="CJ76:CJ109" si="68">IF($AR76&gt;$F76,"* La celda 'Pueblos Originarios / Mujeres' debe ser menor o igual al Total de Mujeres en control. ","")</f>
        <v xml:space="preserve">* La celda 'Pueblos Originarios / Mujeres' debe ser menor o igual al Total de Mujeres en control. </v>
      </c>
      <c r="CK76" s="465" t="str">
        <f t="shared" si="48"/>
        <v xml:space="preserve">* La celda 'Población Migrantes / Hombres' debe ser menor o igual al Total de Hombres en control. </v>
      </c>
      <c r="CL76" s="465" t="str">
        <f t="shared" ref="CL76:CL109" si="69">IF($AT76&gt;$F76,"* La celda 'Población Migrantes / Mujeres' debe ser menor o igual al Total de Mujeres en control. ","")</f>
        <v xml:space="preserve">* La celda 'Población Migrantes / Mujeres' debe ser menor o igual al Total de Mujeres en control. </v>
      </c>
      <c r="CM76" s="465" t="str">
        <f t="shared" si="49"/>
        <v xml:space="preserve">* La celda 'Población SENAME' debe ser menor o igual al Total de Personas en control. </v>
      </c>
      <c r="CN76" s="465" t="str">
        <f t="shared" si="50"/>
        <v/>
      </c>
      <c r="CO76" s="465" t="str">
        <f t="shared" ref="CO76:CO84" si="70">IF(AND($D76&lt;&gt;0,$AP76=""),"* No olvide escribir en la celda de 'Madres de Hijos menor de 5 años' (Digite CERO si no tiene). ","")</f>
        <v/>
      </c>
      <c r="CP76" s="474"/>
      <c r="CQ76" s="465" t="str">
        <f t="shared" si="51"/>
        <v/>
      </c>
      <c r="CR76" s="465" t="str">
        <f t="shared" si="52"/>
        <v/>
      </c>
      <c r="CS76" s="465" t="str">
        <f t="shared" si="53"/>
        <v/>
      </c>
      <c r="CT76" s="664"/>
      <c r="CU76" s="465" t="str">
        <f t="shared" si="66"/>
        <v xml:space="preserve">* La celda 'Plan Cuidado Integral Elaborado' debe ser menor o igual al Total de Personas en control. </v>
      </c>
      <c r="CV76" s="465" t="str">
        <f t="shared" si="54"/>
        <v/>
      </c>
      <c r="CW76" s="664"/>
      <c r="CX76" s="664"/>
      <c r="CY76" s="665"/>
      <c r="CZ76" s="665"/>
      <c r="DA76" s="486">
        <f t="shared" si="55"/>
        <v>1</v>
      </c>
      <c r="DB76" s="486">
        <f t="shared" ref="DB76:DB84" si="71">IF($AP76&gt;$F76,1,0)</f>
        <v>1</v>
      </c>
      <c r="DC76" s="486">
        <f t="shared" si="56"/>
        <v>1</v>
      </c>
      <c r="DD76" s="486">
        <f t="shared" ref="DD76:DD109" si="72">IF($AR76&gt;$F76,1,0)</f>
        <v>1</v>
      </c>
      <c r="DE76" s="486">
        <f t="shared" si="57"/>
        <v>1</v>
      </c>
      <c r="DF76" s="486">
        <f t="shared" ref="DF76:DF109" si="73">IF($AT76&gt;$F76,1,0)</f>
        <v>1</v>
      </c>
      <c r="DG76" s="486">
        <f t="shared" si="58"/>
        <v>1</v>
      </c>
      <c r="DH76" s="486">
        <f t="shared" si="59"/>
        <v>0</v>
      </c>
      <c r="DI76" s="486">
        <f t="shared" si="60"/>
        <v>0</v>
      </c>
      <c r="DJ76" s="470"/>
      <c r="DK76" s="486">
        <f t="shared" si="61"/>
        <v>0</v>
      </c>
      <c r="DL76" s="486">
        <f t="shared" si="62"/>
        <v>0</v>
      </c>
      <c r="DM76" s="486">
        <f t="shared" si="63"/>
        <v>0</v>
      </c>
      <c r="DN76" s="665"/>
      <c r="DO76" s="486">
        <f t="shared" si="64"/>
        <v>1</v>
      </c>
      <c r="DP76" s="486">
        <f t="shared" si="65"/>
        <v>0</v>
      </c>
      <c r="DQ76" s="488"/>
      <c r="DR76" s="664"/>
    </row>
    <row r="77" spans="1:122" s="173" customFormat="1" ht="25.5" customHeight="1" x14ac:dyDescent="0.2">
      <c r="A77" s="1773" t="s">
        <v>1269</v>
      </c>
      <c r="B77" s="2366" t="s">
        <v>240</v>
      </c>
      <c r="C77" s="222" t="s">
        <v>263</v>
      </c>
      <c r="D77" s="944" t="s">
        <v>1384</v>
      </c>
      <c r="E77" s="945" t="s">
        <v>1385</v>
      </c>
      <c r="F77" s="1146" t="s">
        <v>1386</v>
      </c>
      <c r="G77" s="977" t="s">
        <v>1387</v>
      </c>
      <c r="H77" s="978" t="s">
        <v>1388</v>
      </c>
      <c r="I77" s="977" t="s">
        <v>1389</v>
      </c>
      <c r="J77" s="978" t="s">
        <v>1390</v>
      </c>
      <c r="K77" s="977" t="s">
        <v>1391</v>
      </c>
      <c r="L77" s="978" t="s">
        <v>1392</v>
      </c>
      <c r="M77" s="977" t="s">
        <v>1393</v>
      </c>
      <c r="N77" s="978" t="s">
        <v>1394</v>
      </c>
      <c r="O77" s="977" t="s">
        <v>1395</v>
      </c>
      <c r="P77" s="978" t="s">
        <v>1396</v>
      </c>
      <c r="Q77" s="977" t="s">
        <v>1397</v>
      </c>
      <c r="R77" s="978" t="s">
        <v>1398</v>
      </c>
      <c r="S77" s="977" t="s">
        <v>1399</v>
      </c>
      <c r="T77" s="978" t="s">
        <v>1400</v>
      </c>
      <c r="U77" s="977" t="s">
        <v>1401</v>
      </c>
      <c r="V77" s="978" t="s">
        <v>1402</v>
      </c>
      <c r="W77" s="977" t="s">
        <v>1403</v>
      </c>
      <c r="X77" s="978" t="s">
        <v>1404</v>
      </c>
      <c r="Y77" s="977" t="s">
        <v>1405</v>
      </c>
      <c r="Z77" s="978" t="s">
        <v>1406</v>
      </c>
      <c r="AA77" s="977" t="s">
        <v>1407</v>
      </c>
      <c r="AB77" s="978" t="s">
        <v>1408</v>
      </c>
      <c r="AC77" s="977" t="s">
        <v>1409</v>
      </c>
      <c r="AD77" s="978" t="s">
        <v>1410</v>
      </c>
      <c r="AE77" s="977" t="s">
        <v>1411</v>
      </c>
      <c r="AF77" s="978" t="s">
        <v>1412</v>
      </c>
      <c r="AG77" s="977" t="s">
        <v>1413</v>
      </c>
      <c r="AH77" s="978" t="s">
        <v>1414</v>
      </c>
      <c r="AI77" s="977" t="s">
        <v>1415</v>
      </c>
      <c r="AJ77" s="978" t="s">
        <v>1416</v>
      </c>
      <c r="AK77" s="977" t="s">
        <v>1417</v>
      </c>
      <c r="AL77" s="978" t="s">
        <v>1418</v>
      </c>
      <c r="AM77" s="977" t="s">
        <v>1419</v>
      </c>
      <c r="AN77" s="1049" t="s">
        <v>1420</v>
      </c>
      <c r="AO77" s="1029" t="s">
        <v>1421</v>
      </c>
      <c r="AP77" s="1526" t="s">
        <v>1422</v>
      </c>
      <c r="AQ77" s="1526" t="s">
        <v>1423</v>
      </c>
      <c r="AR77" s="1526" t="s">
        <v>1424</v>
      </c>
      <c r="AS77" s="1048" t="s">
        <v>1425</v>
      </c>
      <c r="AT77" s="978" t="s">
        <v>1426</v>
      </c>
      <c r="AU77" s="978" t="s">
        <v>1427</v>
      </c>
      <c r="AV77" s="978" t="s">
        <v>1428</v>
      </c>
      <c r="AW77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7" s="224"/>
      <c r="AY77" s="224"/>
      <c r="AZ77" s="224"/>
      <c r="BA77" s="224"/>
      <c r="CB77" s="664"/>
      <c r="CC77" s="664"/>
      <c r="CD77" s="664"/>
      <c r="CE77" s="664"/>
      <c r="CF77" s="664"/>
      <c r="CG77" s="465" t="str">
        <f t="shared" si="46"/>
        <v xml:space="preserve">* La celda 'Gestantes' debe ser menor o igual al Total de Mujeres en control. </v>
      </c>
      <c r="CH77" s="465" t="str">
        <f t="shared" si="67"/>
        <v xml:space="preserve">* La celda 'Madres de Hijos menor de 5 años' debe ser menor o igual al Total de Mujeres en control. </v>
      </c>
      <c r="CI77" s="465" t="str">
        <f t="shared" si="47"/>
        <v xml:space="preserve">* La celda 'Pueblos Originarios / Hombres' debe ser menor o igual al Total de Hombres en control. </v>
      </c>
      <c r="CJ77" s="465" t="str">
        <f t="shared" si="68"/>
        <v xml:space="preserve">* La celda 'Pueblos Originarios / Mujeres' debe ser menor o igual al Total de Mujeres en control. </v>
      </c>
      <c r="CK77" s="465" t="str">
        <f t="shared" si="48"/>
        <v xml:space="preserve">* La celda 'Población Migrantes / Hombres' debe ser menor o igual al Total de Hombres en control. </v>
      </c>
      <c r="CL77" s="465" t="str">
        <f t="shared" si="69"/>
        <v xml:space="preserve">* La celda 'Población Migrantes / Mujeres' debe ser menor o igual al Total de Mujeres en control. </v>
      </c>
      <c r="CM77" s="465" t="str">
        <f t="shared" si="49"/>
        <v xml:space="preserve">* La celda 'Población SENAME' debe ser menor o igual al Total de Personas en control. </v>
      </c>
      <c r="CN77" s="465" t="str">
        <f t="shared" si="50"/>
        <v/>
      </c>
      <c r="CO77" s="465" t="str">
        <f t="shared" si="70"/>
        <v/>
      </c>
      <c r="CP77" s="474"/>
      <c r="CQ77" s="465" t="str">
        <f t="shared" si="51"/>
        <v/>
      </c>
      <c r="CR77" s="465" t="str">
        <f t="shared" si="52"/>
        <v/>
      </c>
      <c r="CS77" s="465" t="str">
        <f t="shared" si="53"/>
        <v/>
      </c>
      <c r="CT77" s="664"/>
      <c r="CU77" s="465" t="str">
        <f t="shared" si="66"/>
        <v xml:space="preserve">* La celda 'Plan Cuidado Integral Elaborado' debe ser menor o igual al Total de Personas en control. </v>
      </c>
      <c r="CV77" s="465" t="str">
        <f t="shared" si="54"/>
        <v/>
      </c>
      <c r="CW77" s="664"/>
      <c r="CX77" s="664"/>
      <c r="CY77" s="665"/>
      <c r="CZ77" s="665"/>
      <c r="DA77" s="486">
        <f t="shared" si="55"/>
        <v>1</v>
      </c>
      <c r="DB77" s="486">
        <f t="shared" si="71"/>
        <v>1</v>
      </c>
      <c r="DC77" s="486">
        <f t="shared" si="56"/>
        <v>1</v>
      </c>
      <c r="DD77" s="486">
        <f t="shared" si="72"/>
        <v>1</v>
      </c>
      <c r="DE77" s="486">
        <f t="shared" si="57"/>
        <v>1</v>
      </c>
      <c r="DF77" s="486">
        <f t="shared" si="73"/>
        <v>1</v>
      </c>
      <c r="DG77" s="486">
        <f t="shared" si="58"/>
        <v>1</v>
      </c>
      <c r="DH77" s="486">
        <f t="shared" si="59"/>
        <v>0</v>
      </c>
      <c r="DI77" s="486">
        <f t="shared" si="60"/>
        <v>0</v>
      </c>
      <c r="DJ77" s="470"/>
      <c r="DK77" s="486">
        <f t="shared" si="61"/>
        <v>0</v>
      </c>
      <c r="DL77" s="486">
        <f t="shared" si="62"/>
        <v>0</v>
      </c>
      <c r="DM77" s="486">
        <f t="shared" si="63"/>
        <v>0</v>
      </c>
      <c r="DN77" s="665"/>
      <c r="DO77" s="486">
        <f t="shared" si="64"/>
        <v>1</v>
      </c>
      <c r="DP77" s="486">
        <f t="shared" si="65"/>
        <v>0</v>
      </c>
      <c r="DQ77" s="488"/>
      <c r="DR77" s="664"/>
    </row>
    <row r="78" spans="1:122" s="173" customFormat="1" ht="25.5" customHeight="1" x14ac:dyDescent="0.2">
      <c r="A78" s="1773" t="s">
        <v>1270</v>
      </c>
      <c r="B78" s="2367"/>
      <c r="C78" s="443" t="s">
        <v>264</v>
      </c>
      <c r="D78" s="944" t="s">
        <v>1384</v>
      </c>
      <c r="E78" s="945" t="s">
        <v>1385</v>
      </c>
      <c r="F78" s="1146" t="s">
        <v>1386</v>
      </c>
      <c r="G78" s="957" t="s">
        <v>1387</v>
      </c>
      <c r="H78" s="958" t="s">
        <v>1388</v>
      </c>
      <c r="I78" s="957" t="s">
        <v>1389</v>
      </c>
      <c r="J78" s="958" t="s">
        <v>1390</v>
      </c>
      <c r="K78" s="957" t="s">
        <v>1391</v>
      </c>
      <c r="L78" s="958" t="s">
        <v>1392</v>
      </c>
      <c r="M78" s="957" t="s">
        <v>1393</v>
      </c>
      <c r="N78" s="958" t="s">
        <v>1394</v>
      </c>
      <c r="O78" s="957" t="s">
        <v>1395</v>
      </c>
      <c r="P78" s="958" t="s">
        <v>1396</v>
      </c>
      <c r="Q78" s="957" t="s">
        <v>1397</v>
      </c>
      <c r="R78" s="958" t="s">
        <v>1398</v>
      </c>
      <c r="S78" s="957" t="s">
        <v>1399</v>
      </c>
      <c r="T78" s="958" t="s">
        <v>1400</v>
      </c>
      <c r="U78" s="957" t="s">
        <v>1401</v>
      </c>
      <c r="V78" s="958" t="s">
        <v>1402</v>
      </c>
      <c r="W78" s="957" t="s">
        <v>1403</v>
      </c>
      <c r="X78" s="958" t="s">
        <v>1404</v>
      </c>
      <c r="Y78" s="957" t="s">
        <v>1405</v>
      </c>
      <c r="Z78" s="958" t="s">
        <v>1406</v>
      </c>
      <c r="AA78" s="957" t="s">
        <v>1407</v>
      </c>
      <c r="AB78" s="958" t="s">
        <v>1408</v>
      </c>
      <c r="AC78" s="957" t="s">
        <v>1409</v>
      </c>
      <c r="AD78" s="958" t="s">
        <v>1410</v>
      </c>
      <c r="AE78" s="957" t="s">
        <v>1411</v>
      </c>
      <c r="AF78" s="958" t="s">
        <v>1412</v>
      </c>
      <c r="AG78" s="957" t="s">
        <v>1413</v>
      </c>
      <c r="AH78" s="958" t="s">
        <v>1414</v>
      </c>
      <c r="AI78" s="957" t="s">
        <v>1415</v>
      </c>
      <c r="AJ78" s="958" t="s">
        <v>1416</v>
      </c>
      <c r="AK78" s="957" t="s">
        <v>1417</v>
      </c>
      <c r="AL78" s="958" t="s">
        <v>1418</v>
      </c>
      <c r="AM78" s="957" t="s">
        <v>1419</v>
      </c>
      <c r="AN78" s="1045" t="s">
        <v>1420</v>
      </c>
      <c r="AO78" s="1030" t="s">
        <v>1421</v>
      </c>
      <c r="AP78" s="1520" t="s">
        <v>1422</v>
      </c>
      <c r="AQ78" s="1520" t="s">
        <v>1423</v>
      </c>
      <c r="AR78" s="1520" t="s">
        <v>1424</v>
      </c>
      <c r="AS78" s="1044" t="s">
        <v>1425</v>
      </c>
      <c r="AT78" s="958" t="s">
        <v>1426</v>
      </c>
      <c r="AU78" s="958" t="s">
        <v>1427</v>
      </c>
      <c r="AV78" s="958" t="s">
        <v>1428</v>
      </c>
      <c r="AW78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8" s="224"/>
      <c r="AY78" s="224"/>
      <c r="AZ78" s="224"/>
      <c r="BA78" s="224"/>
      <c r="CB78" s="664"/>
      <c r="CC78" s="664"/>
      <c r="CD78" s="664"/>
      <c r="CE78" s="664"/>
      <c r="CF78" s="664"/>
      <c r="CG78" s="465" t="str">
        <f t="shared" si="46"/>
        <v xml:space="preserve">* La celda 'Gestantes' debe ser menor o igual al Total de Mujeres en control. </v>
      </c>
      <c r="CH78" s="465" t="str">
        <f t="shared" si="67"/>
        <v xml:space="preserve">* La celda 'Madres de Hijos menor de 5 años' debe ser menor o igual al Total de Mujeres en control. </v>
      </c>
      <c r="CI78" s="465" t="str">
        <f t="shared" si="47"/>
        <v xml:space="preserve">* La celda 'Pueblos Originarios / Hombres' debe ser menor o igual al Total de Hombres en control. </v>
      </c>
      <c r="CJ78" s="465" t="str">
        <f t="shared" si="68"/>
        <v xml:space="preserve">* La celda 'Pueblos Originarios / Mujeres' debe ser menor o igual al Total de Mujeres en control. </v>
      </c>
      <c r="CK78" s="465" t="str">
        <f t="shared" si="48"/>
        <v xml:space="preserve">* La celda 'Población Migrantes / Hombres' debe ser menor o igual al Total de Hombres en control. </v>
      </c>
      <c r="CL78" s="465" t="str">
        <f t="shared" si="69"/>
        <v xml:space="preserve">* La celda 'Población Migrantes / Mujeres' debe ser menor o igual al Total de Mujeres en control. </v>
      </c>
      <c r="CM78" s="465" t="str">
        <f t="shared" si="49"/>
        <v xml:space="preserve">* La celda 'Población SENAME' debe ser menor o igual al Total de Personas en control. </v>
      </c>
      <c r="CN78" s="465" t="str">
        <f t="shared" si="50"/>
        <v/>
      </c>
      <c r="CO78" s="465" t="str">
        <f t="shared" si="70"/>
        <v/>
      </c>
      <c r="CP78" s="474"/>
      <c r="CQ78" s="465" t="str">
        <f t="shared" si="51"/>
        <v/>
      </c>
      <c r="CR78" s="465" t="str">
        <f t="shared" si="52"/>
        <v/>
      </c>
      <c r="CS78" s="465" t="str">
        <f t="shared" si="53"/>
        <v/>
      </c>
      <c r="CT78" s="664"/>
      <c r="CU78" s="465" t="str">
        <f t="shared" si="66"/>
        <v xml:space="preserve">* La celda 'Plan Cuidado Integral Elaborado' debe ser menor o igual al Total de Personas en control. </v>
      </c>
      <c r="CV78" s="465" t="str">
        <f t="shared" si="54"/>
        <v/>
      </c>
      <c r="CW78" s="664"/>
      <c r="CX78" s="664"/>
      <c r="CY78" s="665"/>
      <c r="CZ78" s="665"/>
      <c r="DA78" s="486">
        <f t="shared" si="55"/>
        <v>1</v>
      </c>
      <c r="DB78" s="486">
        <f t="shared" si="71"/>
        <v>1</v>
      </c>
      <c r="DC78" s="486">
        <f t="shared" si="56"/>
        <v>1</v>
      </c>
      <c r="DD78" s="486">
        <f t="shared" si="72"/>
        <v>1</v>
      </c>
      <c r="DE78" s="486">
        <f t="shared" si="57"/>
        <v>1</v>
      </c>
      <c r="DF78" s="486">
        <f t="shared" si="73"/>
        <v>1</v>
      </c>
      <c r="DG78" s="486">
        <f t="shared" si="58"/>
        <v>1</v>
      </c>
      <c r="DH78" s="486">
        <f t="shared" si="59"/>
        <v>0</v>
      </c>
      <c r="DI78" s="486">
        <f t="shared" si="60"/>
        <v>0</v>
      </c>
      <c r="DJ78" s="470"/>
      <c r="DK78" s="486">
        <f t="shared" si="61"/>
        <v>0</v>
      </c>
      <c r="DL78" s="486">
        <f t="shared" si="62"/>
        <v>0</v>
      </c>
      <c r="DM78" s="486">
        <f t="shared" si="63"/>
        <v>0</v>
      </c>
      <c r="DN78" s="665"/>
      <c r="DO78" s="486">
        <f t="shared" si="64"/>
        <v>1</v>
      </c>
      <c r="DP78" s="486">
        <f t="shared" si="65"/>
        <v>0</v>
      </c>
      <c r="DQ78" s="488"/>
      <c r="DR78" s="664"/>
    </row>
    <row r="79" spans="1:122" s="173" customFormat="1" ht="25.5" customHeight="1" x14ac:dyDescent="0.2">
      <c r="A79" s="1773" t="s">
        <v>1271</v>
      </c>
      <c r="B79" s="2367"/>
      <c r="C79" s="443" t="s">
        <v>597</v>
      </c>
      <c r="D79" s="944" t="s">
        <v>1384</v>
      </c>
      <c r="E79" s="945" t="s">
        <v>1385</v>
      </c>
      <c r="F79" s="1146" t="s">
        <v>1386</v>
      </c>
      <c r="G79" s="957" t="s">
        <v>1387</v>
      </c>
      <c r="H79" s="958" t="s">
        <v>1388</v>
      </c>
      <c r="I79" s="957" t="s">
        <v>1389</v>
      </c>
      <c r="J79" s="958" t="s">
        <v>1390</v>
      </c>
      <c r="K79" s="957" t="s">
        <v>1391</v>
      </c>
      <c r="L79" s="958" t="s">
        <v>1392</v>
      </c>
      <c r="M79" s="957" t="s">
        <v>1393</v>
      </c>
      <c r="N79" s="958" t="s">
        <v>1394</v>
      </c>
      <c r="O79" s="957" t="s">
        <v>1395</v>
      </c>
      <c r="P79" s="958" t="s">
        <v>1396</v>
      </c>
      <c r="Q79" s="957" t="s">
        <v>1397</v>
      </c>
      <c r="R79" s="958" t="s">
        <v>1398</v>
      </c>
      <c r="S79" s="957" t="s">
        <v>1399</v>
      </c>
      <c r="T79" s="958" t="s">
        <v>1400</v>
      </c>
      <c r="U79" s="957" t="s">
        <v>1401</v>
      </c>
      <c r="V79" s="958" t="s">
        <v>1402</v>
      </c>
      <c r="W79" s="957" t="s">
        <v>1403</v>
      </c>
      <c r="X79" s="958" t="s">
        <v>1404</v>
      </c>
      <c r="Y79" s="957" t="s">
        <v>1405</v>
      </c>
      <c r="Z79" s="958" t="s">
        <v>1406</v>
      </c>
      <c r="AA79" s="957" t="s">
        <v>1407</v>
      </c>
      <c r="AB79" s="958" t="s">
        <v>1408</v>
      </c>
      <c r="AC79" s="957" t="s">
        <v>1409</v>
      </c>
      <c r="AD79" s="958" t="s">
        <v>1410</v>
      </c>
      <c r="AE79" s="957" t="s">
        <v>1411</v>
      </c>
      <c r="AF79" s="958" t="s">
        <v>1412</v>
      </c>
      <c r="AG79" s="957" t="s">
        <v>1413</v>
      </c>
      <c r="AH79" s="958" t="s">
        <v>1414</v>
      </c>
      <c r="AI79" s="957" t="s">
        <v>1415</v>
      </c>
      <c r="AJ79" s="958" t="s">
        <v>1416</v>
      </c>
      <c r="AK79" s="957" t="s">
        <v>1417</v>
      </c>
      <c r="AL79" s="958" t="s">
        <v>1418</v>
      </c>
      <c r="AM79" s="957" t="s">
        <v>1419</v>
      </c>
      <c r="AN79" s="1045" t="s">
        <v>1420</v>
      </c>
      <c r="AO79" s="1030" t="s">
        <v>1421</v>
      </c>
      <c r="AP79" s="1520" t="s">
        <v>1422</v>
      </c>
      <c r="AQ79" s="1520" t="s">
        <v>1423</v>
      </c>
      <c r="AR79" s="1520" t="s">
        <v>1424</v>
      </c>
      <c r="AS79" s="1044" t="s">
        <v>1425</v>
      </c>
      <c r="AT79" s="958" t="s">
        <v>1426</v>
      </c>
      <c r="AU79" s="958" t="s">
        <v>1427</v>
      </c>
      <c r="AV79" s="958" t="s">
        <v>1428</v>
      </c>
      <c r="AW79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79" s="224"/>
      <c r="AY79" s="224"/>
      <c r="AZ79" s="224"/>
      <c r="BA79" s="224"/>
      <c r="CB79" s="664"/>
      <c r="CC79" s="664"/>
      <c r="CD79" s="664"/>
      <c r="CE79" s="664"/>
      <c r="CF79" s="664"/>
      <c r="CG79" s="465" t="str">
        <f t="shared" si="46"/>
        <v xml:space="preserve">* La celda 'Gestantes' debe ser menor o igual al Total de Mujeres en control. </v>
      </c>
      <c r="CH79" s="465" t="str">
        <f t="shared" si="67"/>
        <v xml:space="preserve">* La celda 'Madres de Hijos menor de 5 años' debe ser menor o igual al Total de Mujeres en control. </v>
      </c>
      <c r="CI79" s="465" t="str">
        <f t="shared" si="47"/>
        <v xml:space="preserve">* La celda 'Pueblos Originarios / Hombres' debe ser menor o igual al Total de Hombres en control. </v>
      </c>
      <c r="CJ79" s="465" t="str">
        <f t="shared" si="68"/>
        <v xml:space="preserve">* La celda 'Pueblos Originarios / Mujeres' debe ser menor o igual al Total de Mujeres en control. </v>
      </c>
      <c r="CK79" s="465" t="str">
        <f t="shared" si="48"/>
        <v xml:space="preserve">* La celda 'Población Migrantes / Hombres' debe ser menor o igual al Total de Hombres en control. </v>
      </c>
      <c r="CL79" s="465" t="str">
        <f t="shared" si="69"/>
        <v xml:space="preserve">* La celda 'Población Migrantes / Mujeres' debe ser menor o igual al Total de Mujeres en control. </v>
      </c>
      <c r="CM79" s="465" t="str">
        <f t="shared" si="49"/>
        <v xml:space="preserve">* La celda 'Población SENAME' debe ser menor o igual al Total de Personas en control. </v>
      </c>
      <c r="CN79" s="465" t="str">
        <f t="shared" si="50"/>
        <v/>
      </c>
      <c r="CO79" s="465" t="str">
        <f t="shared" si="70"/>
        <v/>
      </c>
      <c r="CP79" s="474"/>
      <c r="CQ79" s="465" t="str">
        <f t="shared" si="51"/>
        <v/>
      </c>
      <c r="CR79" s="465" t="str">
        <f t="shared" si="52"/>
        <v/>
      </c>
      <c r="CS79" s="465" t="str">
        <f t="shared" si="53"/>
        <v/>
      </c>
      <c r="CT79" s="664"/>
      <c r="CU79" s="465" t="str">
        <f t="shared" si="66"/>
        <v xml:space="preserve">* La celda 'Plan Cuidado Integral Elaborado' debe ser menor o igual al Total de Personas en control. </v>
      </c>
      <c r="CV79" s="465" t="str">
        <f t="shared" si="54"/>
        <v/>
      </c>
      <c r="CW79" s="664"/>
      <c r="CX79" s="664"/>
      <c r="CY79" s="665"/>
      <c r="CZ79" s="665"/>
      <c r="DA79" s="486">
        <f t="shared" si="55"/>
        <v>1</v>
      </c>
      <c r="DB79" s="486">
        <f t="shared" si="71"/>
        <v>1</v>
      </c>
      <c r="DC79" s="486">
        <f t="shared" si="56"/>
        <v>1</v>
      </c>
      <c r="DD79" s="486">
        <f t="shared" si="72"/>
        <v>1</v>
      </c>
      <c r="DE79" s="486">
        <f t="shared" si="57"/>
        <v>1</v>
      </c>
      <c r="DF79" s="486">
        <f t="shared" si="73"/>
        <v>1</v>
      </c>
      <c r="DG79" s="486">
        <f t="shared" si="58"/>
        <v>1</v>
      </c>
      <c r="DH79" s="486">
        <f t="shared" si="59"/>
        <v>0</v>
      </c>
      <c r="DI79" s="486">
        <f t="shared" si="60"/>
        <v>0</v>
      </c>
      <c r="DJ79" s="470"/>
      <c r="DK79" s="486">
        <f t="shared" si="61"/>
        <v>0</v>
      </c>
      <c r="DL79" s="486">
        <f t="shared" si="62"/>
        <v>0</v>
      </c>
      <c r="DM79" s="486">
        <f t="shared" si="63"/>
        <v>0</v>
      </c>
      <c r="DN79" s="665"/>
      <c r="DO79" s="486">
        <f t="shared" si="64"/>
        <v>1</v>
      </c>
      <c r="DP79" s="486">
        <f t="shared" si="65"/>
        <v>0</v>
      </c>
      <c r="DQ79" s="488"/>
      <c r="DR79" s="664"/>
    </row>
    <row r="80" spans="1:122" s="173" customFormat="1" ht="25.5" customHeight="1" x14ac:dyDescent="0.2">
      <c r="A80" s="1773" t="s">
        <v>1272</v>
      </c>
      <c r="B80" s="2367"/>
      <c r="C80" s="444" t="s">
        <v>244</v>
      </c>
      <c r="D80" s="944" t="s">
        <v>1384</v>
      </c>
      <c r="E80" s="1149" t="s">
        <v>1385</v>
      </c>
      <c r="F80" s="1150" t="s">
        <v>1386</v>
      </c>
      <c r="G80" s="1005" t="s">
        <v>1387</v>
      </c>
      <c r="H80" s="1006" t="s">
        <v>1388</v>
      </c>
      <c r="I80" s="1005" t="s">
        <v>1389</v>
      </c>
      <c r="J80" s="1006" t="s">
        <v>1390</v>
      </c>
      <c r="K80" s="1005" t="s">
        <v>1391</v>
      </c>
      <c r="L80" s="958" t="s">
        <v>1392</v>
      </c>
      <c r="M80" s="1005" t="s">
        <v>1393</v>
      </c>
      <c r="N80" s="958" t="s">
        <v>1394</v>
      </c>
      <c r="O80" s="1005" t="s">
        <v>1395</v>
      </c>
      <c r="P80" s="958" t="s">
        <v>1396</v>
      </c>
      <c r="Q80" s="1005" t="s">
        <v>1397</v>
      </c>
      <c r="R80" s="958" t="s">
        <v>1398</v>
      </c>
      <c r="S80" s="1005" t="s">
        <v>1399</v>
      </c>
      <c r="T80" s="958" t="s">
        <v>1400</v>
      </c>
      <c r="U80" s="1005" t="s">
        <v>1401</v>
      </c>
      <c r="V80" s="958" t="s">
        <v>1402</v>
      </c>
      <c r="W80" s="1005" t="s">
        <v>1403</v>
      </c>
      <c r="X80" s="958" t="s">
        <v>1404</v>
      </c>
      <c r="Y80" s="1005" t="s">
        <v>1405</v>
      </c>
      <c r="Z80" s="958" t="s">
        <v>1406</v>
      </c>
      <c r="AA80" s="1005" t="s">
        <v>1407</v>
      </c>
      <c r="AB80" s="958" t="s">
        <v>1408</v>
      </c>
      <c r="AC80" s="1005" t="s">
        <v>1409</v>
      </c>
      <c r="AD80" s="958" t="s">
        <v>1410</v>
      </c>
      <c r="AE80" s="1005" t="s">
        <v>1411</v>
      </c>
      <c r="AF80" s="1006" t="s">
        <v>1412</v>
      </c>
      <c r="AG80" s="1005" t="s">
        <v>1413</v>
      </c>
      <c r="AH80" s="1006" t="s">
        <v>1414</v>
      </c>
      <c r="AI80" s="1005" t="s">
        <v>1415</v>
      </c>
      <c r="AJ80" s="1006" t="s">
        <v>1416</v>
      </c>
      <c r="AK80" s="1005" t="s">
        <v>1417</v>
      </c>
      <c r="AL80" s="1006" t="s">
        <v>1418</v>
      </c>
      <c r="AM80" s="1005" t="s">
        <v>1419</v>
      </c>
      <c r="AN80" s="1166" t="s">
        <v>1420</v>
      </c>
      <c r="AO80" s="1556" t="s">
        <v>1421</v>
      </c>
      <c r="AP80" s="1520" t="s">
        <v>1422</v>
      </c>
      <c r="AQ80" s="1557" t="s">
        <v>1423</v>
      </c>
      <c r="AR80" s="1520" t="s">
        <v>1424</v>
      </c>
      <c r="AS80" s="1149" t="s">
        <v>1425</v>
      </c>
      <c r="AT80" s="958" t="s">
        <v>1426</v>
      </c>
      <c r="AU80" s="958" t="s">
        <v>1427</v>
      </c>
      <c r="AV80" s="958" t="s">
        <v>1428</v>
      </c>
      <c r="AW80" s="411" t="str">
        <f t="shared" si="45"/>
        <v xml:space="preserve">* La celda 'Madres de Hijos menor de 5 años' debe ser menor o igual al Total de Mujeres en control. * La celda 'Pueblos Originarios / Mujeres' debe ser menor o igual al Total de Mujeres en control. * La celda 'Población Migrantes / Mujeres' debe ser menor o igual al Total de Mujeres en control. * La celda 'Población SENAME' debe ser menor o igual al Total de Mujeres en control. * La celda 'Plan Cuidado Integral Elaborado' debe ser menor o igual al Total de Personas en control. </v>
      </c>
      <c r="AX80" s="224"/>
      <c r="AY80" s="224"/>
      <c r="AZ80" s="224"/>
      <c r="BA80" s="224"/>
      <c r="CB80" s="664"/>
      <c r="CC80" s="664"/>
      <c r="CD80" s="664"/>
      <c r="CE80" s="664"/>
      <c r="CF80" s="664"/>
      <c r="CG80" s="474"/>
      <c r="CH80" s="465" t="str">
        <f t="shared" si="67"/>
        <v xml:space="preserve">* La celda 'Madres de Hijos menor de 5 años' debe ser menor o igual al Total de Mujeres en control. </v>
      </c>
      <c r="CI80" s="474"/>
      <c r="CJ80" s="465" t="str">
        <f t="shared" si="68"/>
        <v xml:space="preserve">* La celda 'Pueblos Originarios / Mujeres' debe ser menor o igual al Total de Mujeres en control. </v>
      </c>
      <c r="CK80" s="474"/>
      <c r="CL80" s="465" t="str">
        <f t="shared" si="69"/>
        <v xml:space="preserve">* La celda 'Población Migrantes / Mujeres' debe ser menor o igual al Total de Mujeres en control. </v>
      </c>
      <c r="CM80" s="465" t="str">
        <f>IF($AU80&gt;$F80,"* La celda 'Población SENAME' debe ser menor o igual al Total de Mujeres en control. ","")</f>
        <v xml:space="preserve">* La celda 'Población SENAME' debe ser menor o igual al Total de Mujeres en control. </v>
      </c>
      <c r="CN80" s="474"/>
      <c r="CO80" s="465" t="str">
        <f t="shared" si="70"/>
        <v/>
      </c>
      <c r="CP80" s="474"/>
      <c r="CQ80" s="465" t="str">
        <f>IF(AND($F80&lt;&gt;0,$AR80=""),"* No olvide escribir en las celdas de 'Pueblos Originarios / Mujeres' (Digite CERO si no tiene). ","")</f>
        <v/>
      </c>
      <c r="CR80" s="465" t="str">
        <f>IF(AND($F80&lt;&gt;0,$AT80=""),"* No olvide escribir en las celdas de ''Población Migrantes / Mujeres' (Digite CERO si no tiene). ","")</f>
        <v/>
      </c>
      <c r="CS80" s="465" t="str">
        <f>IF(AND($F80&lt;&gt;0,$AU80=""),"* No olvide escribir en las celdas de 'Población SENAME' (Digite CERO si no tiene). ","")</f>
        <v/>
      </c>
      <c r="CT80" s="664"/>
      <c r="CU80" s="465" t="str">
        <f t="shared" si="66"/>
        <v xml:space="preserve">* La celda 'Plan Cuidado Integral Elaborado' debe ser menor o igual al Total de Personas en control. </v>
      </c>
      <c r="CV80" s="465" t="str">
        <f t="shared" si="54"/>
        <v/>
      </c>
      <c r="CW80" s="664"/>
      <c r="CX80" s="664"/>
      <c r="CY80" s="665"/>
      <c r="CZ80" s="665"/>
      <c r="DA80" s="470"/>
      <c r="DB80" s="486">
        <f t="shared" si="71"/>
        <v>1</v>
      </c>
      <c r="DC80" s="470"/>
      <c r="DD80" s="486">
        <f t="shared" si="72"/>
        <v>1</v>
      </c>
      <c r="DE80" s="470"/>
      <c r="DF80" s="486">
        <f t="shared" si="73"/>
        <v>1</v>
      </c>
      <c r="DG80" s="486">
        <f>IF($AU80&gt;$F80,1,0)</f>
        <v>1</v>
      </c>
      <c r="DH80" s="470"/>
      <c r="DI80" s="486">
        <f>IF(AND($F80&lt;&gt;0,$AP80=""),1,0)</f>
        <v>0</v>
      </c>
      <c r="DJ80" s="470"/>
      <c r="DK80" s="486">
        <f>IF(AND($F80&lt;&gt;0,$AR80=""),1,0)</f>
        <v>0</v>
      </c>
      <c r="DL80" s="486">
        <f>IF(AND($F80&lt;&gt;0,$AT80=""),1,0)</f>
        <v>0</v>
      </c>
      <c r="DM80" s="486">
        <f t="shared" si="63"/>
        <v>0</v>
      </c>
      <c r="DN80" s="665"/>
      <c r="DO80" s="486">
        <f t="shared" si="64"/>
        <v>1</v>
      </c>
      <c r="DP80" s="486">
        <f t="shared" si="65"/>
        <v>0</v>
      </c>
      <c r="DQ80" s="488"/>
      <c r="DR80" s="664"/>
    </row>
    <row r="81" spans="1:122" s="173" customFormat="1" ht="25.5" customHeight="1" x14ac:dyDescent="0.2">
      <c r="A81" s="1773" t="s">
        <v>1273</v>
      </c>
      <c r="B81" s="2368"/>
      <c r="C81" s="223" t="s">
        <v>245</v>
      </c>
      <c r="D81" s="941" t="s">
        <v>1384</v>
      </c>
      <c r="E81" s="950" t="s">
        <v>1385</v>
      </c>
      <c r="F81" s="1147" t="s">
        <v>1386</v>
      </c>
      <c r="G81" s="968" t="s">
        <v>1387</v>
      </c>
      <c r="H81" s="969" t="s">
        <v>1388</v>
      </c>
      <c r="I81" s="968" t="s">
        <v>1389</v>
      </c>
      <c r="J81" s="969" t="s">
        <v>1390</v>
      </c>
      <c r="K81" s="968" t="s">
        <v>1391</v>
      </c>
      <c r="L81" s="969" t="s">
        <v>1392</v>
      </c>
      <c r="M81" s="968" t="s">
        <v>1393</v>
      </c>
      <c r="N81" s="969" t="s">
        <v>1394</v>
      </c>
      <c r="O81" s="968" t="s">
        <v>1395</v>
      </c>
      <c r="P81" s="969" t="s">
        <v>1396</v>
      </c>
      <c r="Q81" s="968" t="s">
        <v>1397</v>
      </c>
      <c r="R81" s="969" t="s">
        <v>1398</v>
      </c>
      <c r="S81" s="968" t="s">
        <v>1399</v>
      </c>
      <c r="T81" s="969" t="s">
        <v>1400</v>
      </c>
      <c r="U81" s="968" t="s">
        <v>1401</v>
      </c>
      <c r="V81" s="969" t="s">
        <v>1402</v>
      </c>
      <c r="W81" s="968" t="s">
        <v>1403</v>
      </c>
      <c r="X81" s="969" t="s">
        <v>1404</v>
      </c>
      <c r="Y81" s="968" t="s">
        <v>1405</v>
      </c>
      <c r="Z81" s="969" t="s">
        <v>1406</v>
      </c>
      <c r="AA81" s="968" t="s">
        <v>1407</v>
      </c>
      <c r="AB81" s="969" t="s">
        <v>1408</v>
      </c>
      <c r="AC81" s="968" t="s">
        <v>1409</v>
      </c>
      <c r="AD81" s="969" t="s">
        <v>1410</v>
      </c>
      <c r="AE81" s="968" t="s">
        <v>1411</v>
      </c>
      <c r="AF81" s="969" t="s">
        <v>1412</v>
      </c>
      <c r="AG81" s="968" t="s">
        <v>1413</v>
      </c>
      <c r="AH81" s="969" t="s">
        <v>1414</v>
      </c>
      <c r="AI81" s="968" t="s">
        <v>1415</v>
      </c>
      <c r="AJ81" s="969" t="s">
        <v>1416</v>
      </c>
      <c r="AK81" s="968" t="s">
        <v>1417</v>
      </c>
      <c r="AL81" s="969" t="s">
        <v>1418</v>
      </c>
      <c r="AM81" s="968" t="s">
        <v>1419</v>
      </c>
      <c r="AN81" s="1165" t="s">
        <v>1420</v>
      </c>
      <c r="AO81" s="1032" t="s">
        <v>1421</v>
      </c>
      <c r="AP81" s="1523" t="s">
        <v>1422</v>
      </c>
      <c r="AQ81" s="1523" t="s">
        <v>1423</v>
      </c>
      <c r="AR81" s="1523" t="s">
        <v>1424</v>
      </c>
      <c r="AS81" s="1534" t="s">
        <v>1425</v>
      </c>
      <c r="AT81" s="969" t="s">
        <v>1426</v>
      </c>
      <c r="AU81" s="969" t="s">
        <v>1427</v>
      </c>
      <c r="AV81" s="969" t="s">
        <v>1428</v>
      </c>
      <c r="AW81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1" s="224"/>
      <c r="AY81" s="224"/>
      <c r="AZ81" s="224"/>
      <c r="BA81" s="224"/>
      <c r="CB81" s="664"/>
      <c r="CC81" s="664"/>
      <c r="CD81" s="664"/>
      <c r="CE81" s="664"/>
      <c r="CF81" s="664"/>
      <c r="CG81" s="465" t="str">
        <f>IF($AO81&gt;$F81,"* La celda 'Gestantes' debe ser menor o igual al Total de Mujeres en control. ","")</f>
        <v xml:space="preserve">* La celda 'Gestantes' debe ser menor o igual al Total de Mujeres en control. </v>
      </c>
      <c r="CH81" s="465" t="str">
        <f t="shared" si="67"/>
        <v xml:space="preserve">* La celda 'Madres de Hijos menor de 5 años' debe ser menor o igual al Total de Mujeres en control. </v>
      </c>
      <c r="CI81" s="465" t="str">
        <f t="shared" ref="CI81:CI109" si="74">IF(($AQ81)&gt;$E81,"* La celda 'Pueblos Originarios / Hombres' debe ser menor o igual al Total de Hombres en control. ","")</f>
        <v xml:space="preserve">* La celda 'Pueblos Originarios / Hombres' debe ser menor o igual al Total de Hombres en control. </v>
      </c>
      <c r="CJ81" s="465" t="str">
        <f t="shared" si="68"/>
        <v xml:space="preserve">* La celda 'Pueblos Originarios / Mujeres' debe ser menor o igual al Total de Mujeres en control. </v>
      </c>
      <c r="CK81" s="465" t="str">
        <f t="shared" ref="CK81:CK109" si="75">IF(($AS81)&gt;$E81,"* La celda 'Población Migrantes / Hombres' debe ser menor o igual al Total de Hombres en control. ","")</f>
        <v xml:space="preserve">* La celda 'Población Migrantes / Hombres' debe ser menor o igual al Total de Hombres en control. </v>
      </c>
      <c r="CL81" s="465" t="str">
        <f t="shared" si="69"/>
        <v xml:space="preserve">* La celda 'Población Migrantes / Mujeres' debe ser menor o igual al Total de Mujeres en control. </v>
      </c>
      <c r="CM81" s="465" t="str">
        <f t="shared" ref="CM81:CM109" si="76">IF($AU81&gt;$D81,"* La celda 'Población SENAME' debe ser menor o igual al Total de Personas en control. ","")</f>
        <v xml:space="preserve">* La celda 'Población SENAME' debe ser menor o igual al Total de Personas en control. </v>
      </c>
      <c r="CN81" s="465" t="str">
        <f>IF(AND($D81&lt;&gt;0,$AO81=""),"* No olvide escribir en la celda de 'Gestantes' (Digite CERO si no tiene). ","")</f>
        <v/>
      </c>
      <c r="CO81" s="465" t="str">
        <f t="shared" si="70"/>
        <v/>
      </c>
      <c r="CP81" s="474"/>
      <c r="CQ81" s="465" t="str">
        <f t="shared" ref="CQ81:CQ109" si="77">IF(AND($E81&lt;&gt;0,$AQ81=""),"* No olvide escribir en las celdas de 'Pueblos Originarios' (Digite CERO si no tiene). ",IF(AND($F81&lt;&gt;0,$AR81=""),"* No olvide escribir en las celdas de 'Pueblos Originarios' (Digite CERO si no tiene). ",""))</f>
        <v/>
      </c>
      <c r="CR81" s="465" t="str">
        <f t="shared" ref="CR81:CR109" si="78">IF(AND($E81&lt;&gt;0,$AS81=""),"* No olvide escribir en las celdas de 'Población Migrantes' (Digite CERO si no tiene). ",IF(AND($F81&lt;&gt;0,$AT81=""),"* No olvide escribir en las celdas de 'Población Migrantes' (Digite CERO si no tiene). ",""))</f>
        <v/>
      </c>
      <c r="CS81" s="465" t="str">
        <f t="shared" ref="CS81:CS109" si="79">IF(AND($D81&lt;&gt;0,$AU81=""),"* No olvide escribir en las celdas de 'Población SENAME' (Digite CERO si no tiene). ","")</f>
        <v/>
      </c>
      <c r="CT81" s="664"/>
      <c r="CU81" s="465" t="str">
        <f t="shared" si="66"/>
        <v xml:space="preserve">* La celda 'Plan Cuidado Integral Elaborado' debe ser menor o igual al Total de Personas en control. </v>
      </c>
      <c r="CV81" s="465" t="str">
        <f t="shared" si="54"/>
        <v/>
      </c>
      <c r="CW81" s="664"/>
      <c r="CX81" s="664"/>
      <c r="CY81" s="665"/>
      <c r="CZ81" s="665"/>
      <c r="DA81" s="486">
        <f>IF($AO81&gt;$F81,1,0)</f>
        <v>1</v>
      </c>
      <c r="DB81" s="486">
        <f t="shared" si="71"/>
        <v>1</v>
      </c>
      <c r="DC81" s="486">
        <f t="shared" ref="DC81:DC109" si="80">IF(($AQ81)&gt;$E81,1,0)</f>
        <v>1</v>
      </c>
      <c r="DD81" s="486">
        <f t="shared" si="72"/>
        <v>1</v>
      </c>
      <c r="DE81" s="486">
        <f t="shared" ref="DE81:DE109" si="81">IF(($AS81)&gt;$E81,1,0)</f>
        <v>1</v>
      </c>
      <c r="DF81" s="486">
        <f t="shared" si="73"/>
        <v>1</v>
      </c>
      <c r="DG81" s="486">
        <f t="shared" ref="DG81:DG109" si="82">IF($AU81&gt;$D81,1,0)</f>
        <v>1</v>
      </c>
      <c r="DH81" s="486">
        <f>IF(AND($D81&lt;&gt;0,$AO81=""),1,0)</f>
        <v>0</v>
      </c>
      <c r="DI81" s="486">
        <f>IF(AND($D81&lt;&gt;0,$AP81=""),1,0)</f>
        <v>0</v>
      </c>
      <c r="DJ81" s="470"/>
      <c r="DK81" s="486">
        <f t="shared" ref="DK81:DK109" si="83">IF(AND($E81&lt;&gt;0,$AQ81=""),1,IF(AND($F81&lt;&gt;0,$AR81=""),1,0))</f>
        <v>0</v>
      </c>
      <c r="DL81" s="486">
        <f t="shared" ref="DL81:DL109" si="84">IF(AND($E81&lt;&gt;0,$AS81=""),1,IF(AND($F81&lt;&gt;0,$AT81=""),1,0))</f>
        <v>0</v>
      </c>
      <c r="DM81" s="486">
        <f t="shared" si="63"/>
        <v>0</v>
      </c>
      <c r="DN81" s="665"/>
      <c r="DO81" s="486">
        <f t="shared" si="64"/>
        <v>1</v>
      </c>
      <c r="DP81" s="486">
        <f t="shared" si="65"/>
        <v>0</v>
      </c>
      <c r="DQ81" s="488"/>
      <c r="DR81" s="664"/>
    </row>
    <row r="82" spans="1:122" s="173" customFormat="1" ht="25.5" customHeight="1" x14ac:dyDescent="0.2">
      <c r="A82" s="1773" t="s">
        <v>1274</v>
      </c>
      <c r="B82" s="2351" t="s">
        <v>246</v>
      </c>
      <c r="C82" s="236" t="s">
        <v>265</v>
      </c>
      <c r="D82" s="936" t="s">
        <v>1384</v>
      </c>
      <c r="E82" s="951" t="s">
        <v>1385</v>
      </c>
      <c r="F82" s="1155" t="s">
        <v>1386</v>
      </c>
      <c r="G82" s="953" t="s">
        <v>1387</v>
      </c>
      <c r="H82" s="954" t="s">
        <v>1388</v>
      </c>
      <c r="I82" s="953" t="s">
        <v>1389</v>
      </c>
      <c r="J82" s="954" t="s">
        <v>1390</v>
      </c>
      <c r="K82" s="953" t="s">
        <v>1391</v>
      </c>
      <c r="L82" s="954" t="s">
        <v>1392</v>
      </c>
      <c r="M82" s="953" t="s">
        <v>1393</v>
      </c>
      <c r="N82" s="954" t="s">
        <v>1394</v>
      </c>
      <c r="O82" s="953" t="s">
        <v>1395</v>
      </c>
      <c r="P82" s="954" t="s">
        <v>1396</v>
      </c>
      <c r="Q82" s="953" t="s">
        <v>1397</v>
      </c>
      <c r="R82" s="954" t="s">
        <v>1398</v>
      </c>
      <c r="S82" s="953" t="s">
        <v>1399</v>
      </c>
      <c r="T82" s="954" t="s">
        <v>1400</v>
      </c>
      <c r="U82" s="953" t="s">
        <v>1401</v>
      </c>
      <c r="V82" s="954" t="s">
        <v>1402</v>
      </c>
      <c r="W82" s="953" t="s">
        <v>1403</v>
      </c>
      <c r="X82" s="954" t="s">
        <v>1404</v>
      </c>
      <c r="Y82" s="953" t="s">
        <v>1405</v>
      </c>
      <c r="Z82" s="954" t="s">
        <v>1406</v>
      </c>
      <c r="AA82" s="953" t="s">
        <v>1407</v>
      </c>
      <c r="AB82" s="954" t="s">
        <v>1408</v>
      </c>
      <c r="AC82" s="953" t="s">
        <v>1409</v>
      </c>
      <c r="AD82" s="954" t="s">
        <v>1410</v>
      </c>
      <c r="AE82" s="953" t="s">
        <v>1411</v>
      </c>
      <c r="AF82" s="954" t="s">
        <v>1412</v>
      </c>
      <c r="AG82" s="953" t="s">
        <v>1413</v>
      </c>
      <c r="AH82" s="954" t="s">
        <v>1414</v>
      </c>
      <c r="AI82" s="953" t="s">
        <v>1415</v>
      </c>
      <c r="AJ82" s="954" t="s">
        <v>1416</v>
      </c>
      <c r="AK82" s="953" t="s">
        <v>1417</v>
      </c>
      <c r="AL82" s="954" t="s">
        <v>1418</v>
      </c>
      <c r="AM82" s="953" t="s">
        <v>1419</v>
      </c>
      <c r="AN82" s="1164" t="s">
        <v>1420</v>
      </c>
      <c r="AO82" s="1518" t="s">
        <v>1421</v>
      </c>
      <c r="AP82" s="1519" t="s">
        <v>1422</v>
      </c>
      <c r="AQ82" s="1519" t="s">
        <v>1423</v>
      </c>
      <c r="AR82" s="1519" t="s">
        <v>1424</v>
      </c>
      <c r="AS82" s="1037" t="s">
        <v>1425</v>
      </c>
      <c r="AT82" s="954" t="s">
        <v>1426</v>
      </c>
      <c r="AU82" s="954" t="s">
        <v>1427</v>
      </c>
      <c r="AV82" s="954" t="s">
        <v>1428</v>
      </c>
      <c r="AW82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2" s="224"/>
      <c r="AY82" s="224"/>
      <c r="AZ82" s="224"/>
      <c r="BA82" s="224"/>
      <c r="CB82" s="664"/>
      <c r="CC82" s="664"/>
      <c r="CD82" s="664"/>
      <c r="CE82" s="664"/>
      <c r="CF82" s="664"/>
      <c r="CG82" s="465" t="str">
        <f>IF($AO82&gt;$F82,"* La celda 'Gestantes' debe ser menor o igual al Total de Mujeres en control. ","")</f>
        <v xml:space="preserve">* La celda 'Gestantes' debe ser menor o igual al Total de Mujeres en control. </v>
      </c>
      <c r="CH82" s="465" t="str">
        <f t="shared" si="67"/>
        <v xml:space="preserve">* La celda 'Madres de Hijos menor de 5 años' debe ser menor o igual al Total de Mujeres en control. </v>
      </c>
      <c r="CI82" s="465" t="str">
        <f t="shared" si="74"/>
        <v xml:space="preserve">* La celda 'Pueblos Originarios / Hombres' debe ser menor o igual al Total de Hombres en control. </v>
      </c>
      <c r="CJ82" s="465" t="str">
        <f t="shared" si="68"/>
        <v xml:space="preserve">* La celda 'Pueblos Originarios / Mujeres' debe ser menor o igual al Total de Mujeres en control. </v>
      </c>
      <c r="CK82" s="465" t="str">
        <f t="shared" si="75"/>
        <v xml:space="preserve">* La celda 'Población Migrantes / Hombres' debe ser menor o igual al Total de Hombres en control. </v>
      </c>
      <c r="CL82" s="465" t="str">
        <f t="shared" si="69"/>
        <v xml:space="preserve">* La celda 'Población Migrantes / Mujeres' debe ser menor o igual al Total de Mujeres en control. </v>
      </c>
      <c r="CM82" s="465" t="str">
        <f t="shared" si="76"/>
        <v xml:space="preserve">* La celda 'Población SENAME' debe ser menor o igual al Total de Personas en control. </v>
      </c>
      <c r="CN82" s="465" t="str">
        <f>IF(AND($D82&lt;&gt;0,$AO82=""),"* No olvide escribir en la celda de 'Gestantes' (Digite CERO si no tiene). ","")</f>
        <v/>
      </c>
      <c r="CO82" s="465" t="str">
        <f t="shared" si="70"/>
        <v/>
      </c>
      <c r="CP82" s="474"/>
      <c r="CQ82" s="465" t="str">
        <f t="shared" si="77"/>
        <v/>
      </c>
      <c r="CR82" s="465" t="str">
        <f t="shared" si="78"/>
        <v/>
      </c>
      <c r="CS82" s="465" t="str">
        <f t="shared" si="79"/>
        <v/>
      </c>
      <c r="CT82" s="664"/>
      <c r="CU82" s="465" t="str">
        <f t="shared" si="66"/>
        <v xml:space="preserve">* La celda 'Plan Cuidado Integral Elaborado' debe ser menor o igual al Total de Personas en control. </v>
      </c>
      <c r="CV82" s="465" t="str">
        <f t="shared" si="54"/>
        <v/>
      </c>
      <c r="CW82" s="664"/>
      <c r="CX82" s="664"/>
      <c r="CY82" s="665"/>
      <c r="CZ82" s="665"/>
      <c r="DA82" s="486">
        <f>IF($AO82&gt;$F82,1,0)</f>
        <v>1</v>
      </c>
      <c r="DB82" s="486">
        <f t="shared" si="71"/>
        <v>1</v>
      </c>
      <c r="DC82" s="486">
        <f t="shared" si="80"/>
        <v>1</v>
      </c>
      <c r="DD82" s="486">
        <f t="shared" si="72"/>
        <v>1</v>
      </c>
      <c r="DE82" s="486">
        <f t="shared" si="81"/>
        <v>1</v>
      </c>
      <c r="DF82" s="486">
        <f t="shared" si="73"/>
        <v>1</v>
      </c>
      <c r="DG82" s="486">
        <f t="shared" si="82"/>
        <v>1</v>
      </c>
      <c r="DH82" s="486">
        <f>IF(AND($D82&lt;&gt;0,$AO82=""),1,0)</f>
        <v>0</v>
      </c>
      <c r="DI82" s="486">
        <f>IF(AND($D82&lt;&gt;0,$AP82=""),1,0)</f>
        <v>0</v>
      </c>
      <c r="DJ82" s="470"/>
      <c r="DK82" s="486">
        <f t="shared" si="83"/>
        <v>0</v>
      </c>
      <c r="DL82" s="486">
        <f t="shared" si="84"/>
        <v>0</v>
      </c>
      <c r="DM82" s="486">
        <f t="shared" si="63"/>
        <v>0</v>
      </c>
      <c r="DN82" s="665"/>
      <c r="DO82" s="486">
        <f t="shared" si="64"/>
        <v>1</v>
      </c>
      <c r="DP82" s="486">
        <f t="shared" si="65"/>
        <v>0</v>
      </c>
      <c r="DQ82" s="488"/>
      <c r="DR82" s="664"/>
    </row>
    <row r="83" spans="1:122" s="173" customFormat="1" ht="25.5" customHeight="1" x14ac:dyDescent="0.2">
      <c r="A83" s="1773" t="s">
        <v>1275</v>
      </c>
      <c r="B83" s="2355"/>
      <c r="C83" s="444" t="s">
        <v>395</v>
      </c>
      <c r="D83" s="938" t="s">
        <v>1384</v>
      </c>
      <c r="E83" s="956" t="s">
        <v>1385</v>
      </c>
      <c r="F83" s="1150" t="s">
        <v>1386</v>
      </c>
      <c r="G83" s="957" t="s">
        <v>1387</v>
      </c>
      <c r="H83" s="958" t="s">
        <v>1388</v>
      </c>
      <c r="I83" s="957" t="s">
        <v>1389</v>
      </c>
      <c r="J83" s="958" t="s">
        <v>1390</v>
      </c>
      <c r="K83" s="957" t="s">
        <v>1391</v>
      </c>
      <c r="L83" s="958" t="s">
        <v>1392</v>
      </c>
      <c r="M83" s="957" t="s">
        <v>1393</v>
      </c>
      <c r="N83" s="958" t="s">
        <v>1394</v>
      </c>
      <c r="O83" s="957" t="s">
        <v>1395</v>
      </c>
      <c r="P83" s="958" t="s">
        <v>1396</v>
      </c>
      <c r="Q83" s="957" t="s">
        <v>1397</v>
      </c>
      <c r="R83" s="958" t="s">
        <v>1398</v>
      </c>
      <c r="S83" s="957" t="s">
        <v>1399</v>
      </c>
      <c r="T83" s="958" t="s">
        <v>1400</v>
      </c>
      <c r="U83" s="957" t="s">
        <v>1401</v>
      </c>
      <c r="V83" s="958" t="s">
        <v>1402</v>
      </c>
      <c r="W83" s="957" t="s">
        <v>1403</v>
      </c>
      <c r="X83" s="958" t="s">
        <v>1404</v>
      </c>
      <c r="Y83" s="957" t="s">
        <v>1405</v>
      </c>
      <c r="Z83" s="958" t="s">
        <v>1406</v>
      </c>
      <c r="AA83" s="957" t="s">
        <v>1407</v>
      </c>
      <c r="AB83" s="958" t="s">
        <v>1408</v>
      </c>
      <c r="AC83" s="957" t="s">
        <v>1409</v>
      </c>
      <c r="AD83" s="958" t="s">
        <v>1410</v>
      </c>
      <c r="AE83" s="957" t="s">
        <v>1411</v>
      </c>
      <c r="AF83" s="958" t="s">
        <v>1412</v>
      </c>
      <c r="AG83" s="957" t="s">
        <v>1413</v>
      </c>
      <c r="AH83" s="958" t="s">
        <v>1414</v>
      </c>
      <c r="AI83" s="957" t="s">
        <v>1415</v>
      </c>
      <c r="AJ83" s="958" t="s">
        <v>1416</v>
      </c>
      <c r="AK83" s="957" t="s">
        <v>1417</v>
      </c>
      <c r="AL83" s="958" t="s">
        <v>1418</v>
      </c>
      <c r="AM83" s="957" t="s">
        <v>1419</v>
      </c>
      <c r="AN83" s="1045" t="s">
        <v>1420</v>
      </c>
      <c r="AO83" s="1030" t="s">
        <v>1421</v>
      </c>
      <c r="AP83" s="1520" t="s">
        <v>1422</v>
      </c>
      <c r="AQ83" s="1520" t="s">
        <v>1423</v>
      </c>
      <c r="AR83" s="1520" t="s">
        <v>1424</v>
      </c>
      <c r="AS83" s="1044" t="s">
        <v>1425</v>
      </c>
      <c r="AT83" s="958" t="s">
        <v>1426</v>
      </c>
      <c r="AU83" s="958" t="s">
        <v>1427</v>
      </c>
      <c r="AV83" s="958" t="s">
        <v>1428</v>
      </c>
      <c r="AW83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3" s="224"/>
      <c r="AY83" s="224"/>
      <c r="AZ83" s="224"/>
      <c r="BA83" s="224"/>
      <c r="CB83" s="664"/>
      <c r="CC83" s="664"/>
      <c r="CD83" s="664"/>
      <c r="CE83" s="664"/>
      <c r="CF83" s="664"/>
      <c r="CG83" s="465" t="str">
        <f>IF($AO83&gt;$F83,"* La celda 'Gestantes' debe ser menor o igual al Total de Mujeres en control. ","")</f>
        <v xml:space="preserve">* La celda 'Gestantes' debe ser menor o igual al Total de Mujeres en control. </v>
      </c>
      <c r="CH83" s="465" t="str">
        <f t="shared" si="67"/>
        <v xml:space="preserve">* La celda 'Madres de Hijos menor de 5 años' debe ser menor o igual al Total de Mujeres en control. </v>
      </c>
      <c r="CI83" s="465" t="str">
        <f t="shared" si="74"/>
        <v xml:space="preserve">* La celda 'Pueblos Originarios / Hombres' debe ser menor o igual al Total de Hombres en control. </v>
      </c>
      <c r="CJ83" s="465" t="str">
        <f t="shared" si="68"/>
        <v xml:space="preserve">* La celda 'Pueblos Originarios / Mujeres' debe ser menor o igual al Total de Mujeres en control. </v>
      </c>
      <c r="CK83" s="465" t="str">
        <f t="shared" si="75"/>
        <v xml:space="preserve">* La celda 'Población Migrantes / Hombres' debe ser menor o igual al Total de Hombres en control. </v>
      </c>
      <c r="CL83" s="465" t="str">
        <f t="shared" si="69"/>
        <v xml:space="preserve">* La celda 'Población Migrantes / Mujeres' debe ser menor o igual al Total de Mujeres en control. </v>
      </c>
      <c r="CM83" s="465" t="str">
        <f t="shared" si="76"/>
        <v xml:space="preserve">* La celda 'Población SENAME' debe ser menor o igual al Total de Personas en control. </v>
      </c>
      <c r="CN83" s="465" t="str">
        <f>IF(AND($D83&lt;&gt;0,$AO83=""),"* No olvide escribir en la celda de 'Gestantes' (Digite CERO si no tiene). ","")</f>
        <v/>
      </c>
      <c r="CO83" s="465" t="str">
        <f t="shared" si="70"/>
        <v/>
      </c>
      <c r="CP83" s="474"/>
      <c r="CQ83" s="465" t="str">
        <f t="shared" si="77"/>
        <v/>
      </c>
      <c r="CR83" s="465" t="str">
        <f t="shared" si="78"/>
        <v/>
      </c>
      <c r="CS83" s="465" t="str">
        <f t="shared" si="79"/>
        <v/>
      </c>
      <c r="CT83" s="664"/>
      <c r="CU83" s="465" t="str">
        <f t="shared" si="66"/>
        <v xml:space="preserve">* La celda 'Plan Cuidado Integral Elaborado' debe ser menor o igual al Total de Personas en control. </v>
      </c>
      <c r="CV83" s="465" t="str">
        <f t="shared" si="54"/>
        <v/>
      </c>
      <c r="CW83" s="664"/>
      <c r="CX83" s="664"/>
      <c r="CY83" s="665"/>
      <c r="CZ83" s="665"/>
      <c r="DA83" s="486">
        <f>IF($AO83&gt;$F83,1,0)</f>
        <v>1</v>
      </c>
      <c r="DB83" s="486">
        <f t="shared" si="71"/>
        <v>1</v>
      </c>
      <c r="DC83" s="486">
        <f t="shared" si="80"/>
        <v>1</v>
      </c>
      <c r="DD83" s="486">
        <f t="shared" si="72"/>
        <v>1</v>
      </c>
      <c r="DE83" s="486">
        <f t="shared" si="81"/>
        <v>1</v>
      </c>
      <c r="DF83" s="486">
        <f t="shared" si="73"/>
        <v>1</v>
      </c>
      <c r="DG83" s="486">
        <f t="shared" si="82"/>
        <v>1</v>
      </c>
      <c r="DH83" s="486">
        <f>IF(AND($D83&lt;&gt;0,$AO83=""),1,0)</f>
        <v>0</v>
      </c>
      <c r="DI83" s="486">
        <f>IF(AND($D83&lt;&gt;0,$AP83=""),1,0)</f>
        <v>0</v>
      </c>
      <c r="DJ83" s="470"/>
      <c r="DK83" s="486">
        <f t="shared" si="83"/>
        <v>0</v>
      </c>
      <c r="DL83" s="486">
        <f t="shared" si="84"/>
        <v>0</v>
      </c>
      <c r="DM83" s="486">
        <f t="shared" si="63"/>
        <v>0</v>
      </c>
      <c r="DN83" s="665"/>
      <c r="DO83" s="486">
        <f t="shared" si="64"/>
        <v>1</v>
      </c>
      <c r="DP83" s="486">
        <f t="shared" si="65"/>
        <v>0</v>
      </c>
      <c r="DQ83" s="488"/>
      <c r="DR83" s="664"/>
    </row>
    <row r="84" spans="1:122" s="173" customFormat="1" ht="25.5" customHeight="1" x14ac:dyDescent="0.2">
      <c r="A84" s="1773" t="s">
        <v>1276</v>
      </c>
      <c r="B84" s="2354"/>
      <c r="C84" s="223" t="s">
        <v>247</v>
      </c>
      <c r="D84" s="1152" t="s">
        <v>1384</v>
      </c>
      <c r="E84" s="960" t="s">
        <v>1385</v>
      </c>
      <c r="F84" s="1153" t="s">
        <v>1386</v>
      </c>
      <c r="G84" s="962" t="s">
        <v>1387</v>
      </c>
      <c r="H84" s="963" t="s">
        <v>1388</v>
      </c>
      <c r="I84" s="962" t="s">
        <v>1389</v>
      </c>
      <c r="J84" s="963" t="s">
        <v>1390</v>
      </c>
      <c r="K84" s="962" t="s">
        <v>1391</v>
      </c>
      <c r="L84" s="963" t="s">
        <v>1392</v>
      </c>
      <c r="M84" s="962" t="s">
        <v>1393</v>
      </c>
      <c r="N84" s="963" t="s">
        <v>1394</v>
      </c>
      <c r="O84" s="962" t="s">
        <v>1395</v>
      </c>
      <c r="P84" s="963" t="s">
        <v>1396</v>
      </c>
      <c r="Q84" s="962" t="s">
        <v>1397</v>
      </c>
      <c r="R84" s="963" t="s">
        <v>1398</v>
      </c>
      <c r="S84" s="962" t="s">
        <v>1399</v>
      </c>
      <c r="T84" s="963" t="s">
        <v>1400</v>
      </c>
      <c r="U84" s="962" t="s">
        <v>1401</v>
      </c>
      <c r="V84" s="963" t="s">
        <v>1402</v>
      </c>
      <c r="W84" s="962" t="s">
        <v>1403</v>
      </c>
      <c r="X84" s="963" t="s">
        <v>1404</v>
      </c>
      <c r="Y84" s="962" t="s">
        <v>1405</v>
      </c>
      <c r="Z84" s="963" t="s">
        <v>1406</v>
      </c>
      <c r="AA84" s="962" t="s">
        <v>1407</v>
      </c>
      <c r="AB84" s="963" t="s">
        <v>1408</v>
      </c>
      <c r="AC84" s="962" t="s">
        <v>1409</v>
      </c>
      <c r="AD84" s="963" t="s">
        <v>1410</v>
      </c>
      <c r="AE84" s="962" t="s">
        <v>1411</v>
      </c>
      <c r="AF84" s="963" t="s">
        <v>1412</v>
      </c>
      <c r="AG84" s="962" t="s">
        <v>1413</v>
      </c>
      <c r="AH84" s="963" t="s">
        <v>1414</v>
      </c>
      <c r="AI84" s="962" t="s">
        <v>1415</v>
      </c>
      <c r="AJ84" s="963" t="s">
        <v>1416</v>
      </c>
      <c r="AK84" s="962" t="s">
        <v>1417</v>
      </c>
      <c r="AL84" s="963" t="s">
        <v>1418</v>
      </c>
      <c r="AM84" s="962" t="s">
        <v>1419</v>
      </c>
      <c r="AN84" s="1050" t="s">
        <v>1420</v>
      </c>
      <c r="AO84" s="1521" t="s">
        <v>1421</v>
      </c>
      <c r="AP84" s="1522" t="s">
        <v>1422</v>
      </c>
      <c r="AQ84" s="1522" t="s">
        <v>1423</v>
      </c>
      <c r="AR84" s="1522" t="s">
        <v>1424</v>
      </c>
      <c r="AS84" s="1041" t="s">
        <v>1425</v>
      </c>
      <c r="AT84" s="963" t="s">
        <v>1426</v>
      </c>
      <c r="AU84" s="963" t="s">
        <v>1427</v>
      </c>
      <c r="AV84" s="963" t="s">
        <v>1428</v>
      </c>
      <c r="AW84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4" s="224"/>
      <c r="AY84" s="224"/>
      <c r="AZ84" s="224"/>
      <c r="BA84" s="224"/>
      <c r="CB84" s="664"/>
      <c r="CC84" s="664"/>
      <c r="CD84" s="664"/>
      <c r="CE84" s="664"/>
      <c r="CF84" s="664"/>
      <c r="CG84" s="465" t="str">
        <f>IF($AO84&gt;$F84,"* La celda 'Gestantes' debe ser menor o igual al Total de Mujeres en control. ","")</f>
        <v xml:space="preserve">* La celda 'Gestantes' debe ser menor o igual al Total de Mujeres en control. </v>
      </c>
      <c r="CH84" s="465" t="str">
        <f t="shared" si="67"/>
        <v xml:space="preserve">* La celda 'Madres de Hijos menor de 5 años' debe ser menor o igual al Total de Mujeres en control. </v>
      </c>
      <c r="CI84" s="465" t="str">
        <f t="shared" si="74"/>
        <v xml:space="preserve">* La celda 'Pueblos Originarios / Hombres' debe ser menor o igual al Total de Hombres en control. </v>
      </c>
      <c r="CJ84" s="465" t="str">
        <f t="shared" si="68"/>
        <v xml:space="preserve">* La celda 'Pueblos Originarios / Mujeres' debe ser menor o igual al Total de Mujeres en control. </v>
      </c>
      <c r="CK84" s="465" t="str">
        <f t="shared" si="75"/>
        <v xml:space="preserve">* La celda 'Población Migrantes / Hombres' debe ser menor o igual al Total de Hombres en control. </v>
      </c>
      <c r="CL84" s="465" t="str">
        <f t="shared" si="69"/>
        <v xml:space="preserve">* La celda 'Población Migrantes / Mujeres' debe ser menor o igual al Total de Mujeres en control. </v>
      </c>
      <c r="CM84" s="465" t="str">
        <f t="shared" si="76"/>
        <v xml:space="preserve">* La celda 'Población SENAME' debe ser menor o igual al Total de Personas en control. </v>
      </c>
      <c r="CN84" s="465" t="str">
        <f>IF(AND($D84&lt;&gt;0,$AO84=""),"* No olvide escribir en la celda de 'Gestantes' (Digite CERO si no tiene). ","")</f>
        <v/>
      </c>
      <c r="CO84" s="465" t="str">
        <f t="shared" si="70"/>
        <v/>
      </c>
      <c r="CP84" s="474"/>
      <c r="CQ84" s="465" t="str">
        <f t="shared" si="77"/>
        <v/>
      </c>
      <c r="CR84" s="465" t="str">
        <f t="shared" si="78"/>
        <v/>
      </c>
      <c r="CS84" s="465" t="str">
        <f t="shared" si="79"/>
        <v/>
      </c>
      <c r="CT84" s="664"/>
      <c r="CU84" s="465" t="str">
        <f t="shared" si="66"/>
        <v xml:space="preserve">* La celda 'Plan Cuidado Integral Elaborado' debe ser menor o igual al Total de Personas en control. </v>
      </c>
      <c r="CV84" s="465" t="str">
        <f t="shared" si="54"/>
        <v/>
      </c>
      <c r="CW84" s="664"/>
      <c r="CX84" s="664"/>
      <c r="CY84" s="665"/>
      <c r="CZ84" s="665"/>
      <c r="DA84" s="486">
        <f>IF($AO84&gt;$F84,1,0)</f>
        <v>1</v>
      </c>
      <c r="DB84" s="486">
        <f t="shared" si="71"/>
        <v>1</v>
      </c>
      <c r="DC84" s="486">
        <f t="shared" si="80"/>
        <v>1</v>
      </c>
      <c r="DD84" s="486">
        <f t="shared" si="72"/>
        <v>1</v>
      </c>
      <c r="DE84" s="486">
        <f t="shared" si="81"/>
        <v>1</v>
      </c>
      <c r="DF84" s="486">
        <f t="shared" si="73"/>
        <v>1</v>
      </c>
      <c r="DG84" s="486">
        <f t="shared" si="82"/>
        <v>1</v>
      </c>
      <c r="DH84" s="486">
        <f>IF(AND($D84&lt;&gt;0,$AO84=""),1,0)</f>
        <v>0</v>
      </c>
      <c r="DI84" s="486">
        <f>IF(AND($D84&lt;&gt;0,$AP84=""),1,0)</f>
        <v>0</v>
      </c>
      <c r="DJ84" s="470"/>
      <c r="DK84" s="486">
        <f t="shared" si="83"/>
        <v>0</v>
      </c>
      <c r="DL84" s="486">
        <f t="shared" si="84"/>
        <v>0</v>
      </c>
      <c r="DM84" s="486">
        <f t="shared" si="63"/>
        <v>0</v>
      </c>
      <c r="DN84" s="665"/>
      <c r="DO84" s="486">
        <f t="shared" si="64"/>
        <v>1</v>
      </c>
      <c r="DP84" s="486">
        <f t="shared" si="65"/>
        <v>0</v>
      </c>
      <c r="DQ84" s="488"/>
      <c r="DR84" s="664"/>
    </row>
    <row r="85" spans="1:122" s="173" customFormat="1" ht="25.5" customHeight="1" x14ac:dyDescent="0.2">
      <c r="A85" s="1773" t="s">
        <v>1277</v>
      </c>
      <c r="B85" s="2356" t="s">
        <v>248</v>
      </c>
      <c r="C85" s="494" t="s">
        <v>249</v>
      </c>
      <c r="D85" s="936" t="s">
        <v>1384</v>
      </c>
      <c r="E85" s="951" t="s">
        <v>1385</v>
      </c>
      <c r="F85" s="1155" t="s">
        <v>1386</v>
      </c>
      <c r="G85" s="977" t="s">
        <v>1387</v>
      </c>
      <c r="H85" s="978" t="s">
        <v>1388</v>
      </c>
      <c r="I85" s="977" t="s">
        <v>1389</v>
      </c>
      <c r="J85" s="978" t="s">
        <v>1390</v>
      </c>
      <c r="K85" s="953" t="s">
        <v>1391</v>
      </c>
      <c r="L85" s="954" t="s">
        <v>1392</v>
      </c>
      <c r="M85" s="953" t="s">
        <v>1393</v>
      </c>
      <c r="N85" s="954" t="s">
        <v>1394</v>
      </c>
      <c r="O85" s="953" t="s">
        <v>1395</v>
      </c>
      <c r="P85" s="954" t="s">
        <v>1396</v>
      </c>
      <c r="Q85" s="953" t="s">
        <v>1397</v>
      </c>
      <c r="R85" s="954" t="s">
        <v>1398</v>
      </c>
      <c r="S85" s="953" t="s">
        <v>1399</v>
      </c>
      <c r="T85" s="954" t="s">
        <v>1400</v>
      </c>
      <c r="U85" s="953" t="s">
        <v>1401</v>
      </c>
      <c r="V85" s="954" t="s">
        <v>1402</v>
      </c>
      <c r="W85" s="953" t="s">
        <v>1403</v>
      </c>
      <c r="X85" s="954" t="s">
        <v>1404</v>
      </c>
      <c r="Y85" s="953" t="s">
        <v>1405</v>
      </c>
      <c r="Z85" s="954" t="s">
        <v>1406</v>
      </c>
      <c r="AA85" s="953" t="s">
        <v>1407</v>
      </c>
      <c r="AB85" s="954" t="s">
        <v>1408</v>
      </c>
      <c r="AC85" s="953" t="s">
        <v>1409</v>
      </c>
      <c r="AD85" s="954" t="s">
        <v>1410</v>
      </c>
      <c r="AE85" s="953" t="s">
        <v>1411</v>
      </c>
      <c r="AF85" s="954" t="s">
        <v>1412</v>
      </c>
      <c r="AG85" s="953" t="s">
        <v>1413</v>
      </c>
      <c r="AH85" s="954" t="s">
        <v>1414</v>
      </c>
      <c r="AI85" s="953" t="s">
        <v>1415</v>
      </c>
      <c r="AJ85" s="954" t="s">
        <v>1416</v>
      </c>
      <c r="AK85" s="953" t="s">
        <v>1417</v>
      </c>
      <c r="AL85" s="954" t="s">
        <v>1418</v>
      </c>
      <c r="AM85" s="977" t="s">
        <v>1419</v>
      </c>
      <c r="AN85" s="1167" t="s">
        <v>1420</v>
      </c>
      <c r="AO85" s="1518" t="s">
        <v>1421</v>
      </c>
      <c r="AP85" s="1558" t="s">
        <v>1422</v>
      </c>
      <c r="AQ85" s="1526" t="s">
        <v>1423</v>
      </c>
      <c r="AR85" s="1526" t="s">
        <v>1424</v>
      </c>
      <c r="AS85" s="1048" t="s">
        <v>1425</v>
      </c>
      <c r="AT85" s="978" t="s">
        <v>1426</v>
      </c>
      <c r="AU85" s="978" t="s">
        <v>1427</v>
      </c>
      <c r="AV85" s="978" t="s">
        <v>1428</v>
      </c>
      <c r="AW85" s="411" t="str">
        <f t="shared" si="45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5" s="224"/>
      <c r="AY85" s="224"/>
      <c r="AZ85" s="224"/>
      <c r="BA85" s="224"/>
      <c r="CB85" s="664"/>
      <c r="CC85" s="664"/>
      <c r="CD85" s="664"/>
      <c r="CE85" s="664"/>
      <c r="CF85" s="664"/>
      <c r="CG85" s="474"/>
      <c r="CH85" s="474"/>
      <c r="CI85" s="465" t="str">
        <f t="shared" si="74"/>
        <v xml:space="preserve">* La celda 'Pueblos Originarios / Hombres' debe ser menor o igual al Total de Hombres en control. </v>
      </c>
      <c r="CJ85" s="465" t="str">
        <f t="shared" si="68"/>
        <v xml:space="preserve">* La celda 'Pueblos Originarios / Mujeres' debe ser menor o igual al Total de Mujeres en control. </v>
      </c>
      <c r="CK85" s="465" t="str">
        <f t="shared" si="75"/>
        <v xml:space="preserve">* La celda 'Población Migrantes / Hombres' debe ser menor o igual al Total de Hombres en control. </v>
      </c>
      <c r="CL85" s="465" t="str">
        <f t="shared" si="69"/>
        <v xml:space="preserve">* La celda 'Población Migrantes / Mujeres' debe ser menor o igual al Total de Mujeres en control. </v>
      </c>
      <c r="CM85" s="465" t="str">
        <f t="shared" si="76"/>
        <v xml:space="preserve">* La celda 'Población SENAME' debe ser menor o igual al Total de Personas en control. </v>
      </c>
      <c r="CN85" s="474"/>
      <c r="CO85" s="474"/>
      <c r="CP85" s="474"/>
      <c r="CQ85" s="465" t="str">
        <f t="shared" si="77"/>
        <v/>
      </c>
      <c r="CR85" s="465" t="str">
        <f t="shared" si="78"/>
        <v/>
      </c>
      <c r="CS85" s="465" t="str">
        <f t="shared" si="79"/>
        <v/>
      </c>
      <c r="CT85" s="664"/>
      <c r="CU85" s="465" t="str">
        <f t="shared" si="66"/>
        <v xml:space="preserve">* La celda 'Plan Cuidado Integral Elaborado' debe ser menor o igual al Total de Personas en control. </v>
      </c>
      <c r="CV85" s="465" t="str">
        <f t="shared" si="54"/>
        <v/>
      </c>
      <c r="CW85" s="664"/>
      <c r="CX85" s="664"/>
      <c r="CY85" s="665"/>
      <c r="CZ85" s="665"/>
      <c r="DA85" s="470"/>
      <c r="DB85" s="470"/>
      <c r="DC85" s="486">
        <f t="shared" si="80"/>
        <v>1</v>
      </c>
      <c r="DD85" s="486">
        <f t="shared" si="72"/>
        <v>1</v>
      </c>
      <c r="DE85" s="486">
        <f t="shared" si="81"/>
        <v>1</v>
      </c>
      <c r="DF85" s="486">
        <f t="shared" si="73"/>
        <v>1</v>
      </c>
      <c r="DG85" s="486">
        <f t="shared" si="82"/>
        <v>1</v>
      </c>
      <c r="DH85" s="470"/>
      <c r="DI85" s="470"/>
      <c r="DJ85" s="470"/>
      <c r="DK85" s="486">
        <f t="shared" si="83"/>
        <v>0</v>
      </c>
      <c r="DL85" s="486">
        <f t="shared" si="84"/>
        <v>0</v>
      </c>
      <c r="DM85" s="486">
        <f t="shared" si="63"/>
        <v>0</v>
      </c>
      <c r="DN85" s="665"/>
      <c r="DO85" s="486">
        <f t="shared" si="64"/>
        <v>1</v>
      </c>
      <c r="DP85" s="486">
        <f t="shared" si="65"/>
        <v>0</v>
      </c>
      <c r="DQ85" s="488"/>
      <c r="DR85" s="664"/>
    </row>
    <row r="86" spans="1:122" s="173" customFormat="1" ht="32.25" customHeight="1" x14ac:dyDescent="0.2">
      <c r="A86" s="1773" t="s">
        <v>1278</v>
      </c>
      <c r="B86" s="2357"/>
      <c r="C86" s="495" t="s">
        <v>250</v>
      </c>
      <c r="D86" s="938" t="s">
        <v>1384</v>
      </c>
      <c r="E86" s="956" t="s">
        <v>1385</v>
      </c>
      <c r="F86" s="1150" t="s">
        <v>1386</v>
      </c>
      <c r="G86" s="977" t="s">
        <v>1387</v>
      </c>
      <c r="H86" s="978" t="s">
        <v>1388</v>
      </c>
      <c r="I86" s="977" t="s">
        <v>1389</v>
      </c>
      <c r="J86" s="978" t="s">
        <v>1390</v>
      </c>
      <c r="K86" s="957" t="s">
        <v>1391</v>
      </c>
      <c r="L86" s="958" t="s">
        <v>1392</v>
      </c>
      <c r="M86" s="957" t="s">
        <v>1393</v>
      </c>
      <c r="N86" s="958" t="s">
        <v>1394</v>
      </c>
      <c r="O86" s="957" t="s">
        <v>1395</v>
      </c>
      <c r="P86" s="958" t="s">
        <v>1396</v>
      </c>
      <c r="Q86" s="957" t="s">
        <v>1397</v>
      </c>
      <c r="R86" s="958" t="s">
        <v>1398</v>
      </c>
      <c r="S86" s="957" t="s">
        <v>1399</v>
      </c>
      <c r="T86" s="958" t="s">
        <v>1400</v>
      </c>
      <c r="U86" s="977" t="s">
        <v>1401</v>
      </c>
      <c r="V86" s="978" t="s">
        <v>1402</v>
      </c>
      <c r="W86" s="1023" t="s">
        <v>1403</v>
      </c>
      <c r="X86" s="1024" t="s">
        <v>1404</v>
      </c>
      <c r="Y86" s="977" t="s">
        <v>1405</v>
      </c>
      <c r="Z86" s="978" t="s">
        <v>1406</v>
      </c>
      <c r="AA86" s="977" t="s">
        <v>1407</v>
      </c>
      <c r="AB86" s="978" t="s">
        <v>1408</v>
      </c>
      <c r="AC86" s="977" t="s">
        <v>1409</v>
      </c>
      <c r="AD86" s="978" t="s">
        <v>1410</v>
      </c>
      <c r="AE86" s="977" t="s">
        <v>1411</v>
      </c>
      <c r="AF86" s="978" t="s">
        <v>1412</v>
      </c>
      <c r="AG86" s="977" t="s">
        <v>1413</v>
      </c>
      <c r="AH86" s="978" t="s">
        <v>1414</v>
      </c>
      <c r="AI86" s="977" t="s">
        <v>1415</v>
      </c>
      <c r="AJ86" s="978" t="s">
        <v>1416</v>
      </c>
      <c r="AK86" s="977" t="s">
        <v>1417</v>
      </c>
      <c r="AL86" s="978" t="s">
        <v>1418</v>
      </c>
      <c r="AM86" s="977" t="s">
        <v>1419</v>
      </c>
      <c r="AN86" s="1167" t="s">
        <v>1420</v>
      </c>
      <c r="AO86" s="1029" t="s">
        <v>1421</v>
      </c>
      <c r="AP86" s="1546" t="s">
        <v>1422</v>
      </c>
      <c r="AQ86" s="1526" t="s">
        <v>1423</v>
      </c>
      <c r="AR86" s="1526" t="s">
        <v>1424</v>
      </c>
      <c r="AS86" s="1048" t="s">
        <v>1425</v>
      </c>
      <c r="AT86" s="978" t="s">
        <v>1426</v>
      </c>
      <c r="AU86" s="978" t="s">
        <v>1427</v>
      </c>
      <c r="AV86" s="978" t="s">
        <v>1428</v>
      </c>
      <c r="AW86" s="411" t="str">
        <f t="shared" si="45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6" s="224"/>
      <c r="AY86" s="224"/>
      <c r="AZ86" s="224"/>
      <c r="BA86" s="224"/>
      <c r="CB86" s="664"/>
      <c r="CC86" s="664"/>
      <c r="CD86" s="664"/>
      <c r="CE86" s="664"/>
      <c r="CF86" s="664"/>
      <c r="CG86" s="474"/>
      <c r="CH86" s="474"/>
      <c r="CI86" s="465" t="str">
        <f t="shared" si="74"/>
        <v xml:space="preserve">* La celda 'Pueblos Originarios / Hombres' debe ser menor o igual al Total de Hombres en control. </v>
      </c>
      <c r="CJ86" s="465" t="str">
        <f t="shared" si="68"/>
        <v xml:space="preserve">* La celda 'Pueblos Originarios / Mujeres' debe ser menor o igual al Total de Mujeres en control. </v>
      </c>
      <c r="CK86" s="465" t="str">
        <f t="shared" si="75"/>
        <v xml:space="preserve">* La celda 'Población Migrantes / Hombres' debe ser menor o igual al Total de Hombres en control. </v>
      </c>
      <c r="CL86" s="465" t="str">
        <f t="shared" si="69"/>
        <v xml:space="preserve">* La celda 'Población Migrantes / Mujeres' debe ser menor o igual al Total de Mujeres en control. </v>
      </c>
      <c r="CM86" s="465" t="str">
        <f t="shared" si="76"/>
        <v xml:space="preserve">* La celda 'Población SENAME' debe ser menor o igual al Total de Personas en control. </v>
      </c>
      <c r="CN86" s="474"/>
      <c r="CO86" s="474"/>
      <c r="CP86" s="474"/>
      <c r="CQ86" s="465" t="str">
        <f t="shared" si="77"/>
        <v/>
      </c>
      <c r="CR86" s="465" t="str">
        <f t="shared" si="78"/>
        <v/>
      </c>
      <c r="CS86" s="465" t="str">
        <f t="shared" si="79"/>
        <v/>
      </c>
      <c r="CT86" s="664"/>
      <c r="CU86" s="465" t="str">
        <f t="shared" si="66"/>
        <v xml:space="preserve">* La celda 'Plan Cuidado Integral Elaborado' debe ser menor o igual al Total de Personas en control. </v>
      </c>
      <c r="CV86" s="465" t="str">
        <f t="shared" si="54"/>
        <v/>
      </c>
      <c r="CW86" s="664"/>
      <c r="CX86" s="664"/>
      <c r="CY86" s="665"/>
      <c r="CZ86" s="665"/>
      <c r="DA86" s="470"/>
      <c r="DB86" s="470"/>
      <c r="DC86" s="486">
        <f t="shared" si="80"/>
        <v>1</v>
      </c>
      <c r="DD86" s="486">
        <f t="shared" si="72"/>
        <v>1</v>
      </c>
      <c r="DE86" s="486">
        <f t="shared" si="81"/>
        <v>1</v>
      </c>
      <c r="DF86" s="486">
        <f t="shared" si="73"/>
        <v>1</v>
      </c>
      <c r="DG86" s="486">
        <f t="shared" si="82"/>
        <v>1</v>
      </c>
      <c r="DH86" s="470"/>
      <c r="DI86" s="470"/>
      <c r="DJ86" s="470"/>
      <c r="DK86" s="486">
        <f t="shared" si="83"/>
        <v>0</v>
      </c>
      <c r="DL86" s="486">
        <f t="shared" si="84"/>
        <v>0</v>
      </c>
      <c r="DM86" s="486">
        <f t="shared" si="63"/>
        <v>0</v>
      </c>
      <c r="DN86" s="665"/>
      <c r="DO86" s="486">
        <f t="shared" si="64"/>
        <v>1</v>
      </c>
      <c r="DP86" s="486">
        <f t="shared" si="65"/>
        <v>0</v>
      </c>
      <c r="DQ86" s="488"/>
      <c r="DR86" s="664"/>
    </row>
    <row r="87" spans="1:122" s="173" customFormat="1" ht="25.5" customHeight="1" x14ac:dyDescent="0.2">
      <c r="A87" s="1773" t="s">
        <v>1279</v>
      </c>
      <c r="B87" s="2357"/>
      <c r="C87" s="495" t="s">
        <v>251</v>
      </c>
      <c r="D87" s="938" t="s">
        <v>1384</v>
      </c>
      <c r="E87" s="956" t="s">
        <v>1385</v>
      </c>
      <c r="F87" s="1150" t="s">
        <v>1386</v>
      </c>
      <c r="G87" s="977" t="s">
        <v>1387</v>
      </c>
      <c r="H87" s="978" t="s">
        <v>1388</v>
      </c>
      <c r="I87" s="977" t="s">
        <v>1389</v>
      </c>
      <c r="J87" s="978" t="s">
        <v>1390</v>
      </c>
      <c r="K87" s="977" t="s">
        <v>1391</v>
      </c>
      <c r="L87" s="958" t="s">
        <v>1392</v>
      </c>
      <c r="M87" s="1005" t="s">
        <v>1393</v>
      </c>
      <c r="N87" s="1006" t="s">
        <v>1394</v>
      </c>
      <c r="O87" s="1005" t="s">
        <v>1395</v>
      </c>
      <c r="P87" s="1006" t="s">
        <v>1396</v>
      </c>
      <c r="Q87" s="1005" t="s">
        <v>1397</v>
      </c>
      <c r="R87" s="1006" t="s">
        <v>1398</v>
      </c>
      <c r="S87" s="1005" t="s">
        <v>1399</v>
      </c>
      <c r="T87" s="1006" t="s">
        <v>1400</v>
      </c>
      <c r="U87" s="1005" t="s">
        <v>1401</v>
      </c>
      <c r="V87" s="1006" t="s">
        <v>1402</v>
      </c>
      <c r="W87" s="1168" t="s">
        <v>1403</v>
      </c>
      <c r="X87" s="1169" t="s">
        <v>1404</v>
      </c>
      <c r="Y87" s="1005" t="s">
        <v>1405</v>
      </c>
      <c r="Z87" s="1006" t="s">
        <v>1406</v>
      </c>
      <c r="AA87" s="1005" t="s">
        <v>1407</v>
      </c>
      <c r="AB87" s="1006" t="s">
        <v>1408</v>
      </c>
      <c r="AC87" s="1005" t="s">
        <v>1409</v>
      </c>
      <c r="AD87" s="1006" t="s">
        <v>1410</v>
      </c>
      <c r="AE87" s="1005" t="s">
        <v>1411</v>
      </c>
      <c r="AF87" s="1006" t="s">
        <v>1412</v>
      </c>
      <c r="AG87" s="1005" t="s">
        <v>1413</v>
      </c>
      <c r="AH87" s="1006" t="s">
        <v>1414</v>
      </c>
      <c r="AI87" s="1005" t="s">
        <v>1415</v>
      </c>
      <c r="AJ87" s="1006" t="s">
        <v>1416</v>
      </c>
      <c r="AK87" s="1005" t="s">
        <v>1417</v>
      </c>
      <c r="AL87" s="1006" t="s">
        <v>1418</v>
      </c>
      <c r="AM87" s="1005" t="s">
        <v>1419</v>
      </c>
      <c r="AN87" s="1166" t="s">
        <v>1420</v>
      </c>
      <c r="AO87" s="1029" t="s">
        <v>1421</v>
      </c>
      <c r="AP87" s="1546" t="s">
        <v>1422</v>
      </c>
      <c r="AQ87" s="1526" t="s">
        <v>1423</v>
      </c>
      <c r="AR87" s="1526" t="s">
        <v>1424</v>
      </c>
      <c r="AS87" s="1048" t="s">
        <v>1425</v>
      </c>
      <c r="AT87" s="978" t="s">
        <v>1426</v>
      </c>
      <c r="AU87" s="978" t="s">
        <v>1427</v>
      </c>
      <c r="AV87" s="978" t="s">
        <v>1428</v>
      </c>
      <c r="AW87" s="411" t="str">
        <f t="shared" si="45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7" s="224"/>
      <c r="AY87" s="224"/>
      <c r="AZ87" s="224"/>
      <c r="BA87" s="224"/>
      <c r="CB87" s="664"/>
      <c r="CC87" s="664"/>
      <c r="CD87" s="664"/>
      <c r="CE87" s="664"/>
      <c r="CF87" s="664"/>
      <c r="CG87" s="474"/>
      <c r="CH87" s="474"/>
      <c r="CI87" s="465" t="str">
        <f t="shared" si="74"/>
        <v xml:space="preserve">* La celda 'Pueblos Originarios / Hombres' debe ser menor o igual al Total de Hombres en control. </v>
      </c>
      <c r="CJ87" s="465" t="str">
        <f t="shared" si="68"/>
        <v xml:space="preserve">* La celda 'Pueblos Originarios / Mujeres' debe ser menor o igual al Total de Mujeres en control. </v>
      </c>
      <c r="CK87" s="465" t="str">
        <f t="shared" si="75"/>
        <v xml:space="preserve">* La celda 'Población Migrantes / Hombres' debe ser menor o igual al Total de Hombres en control. </v>
      </c>
      <c r="CL87" s="465" t="str">
        <f t="shared" si="69"/>
        <v xml:space="preserve">* La celda 'Población Migrantes / Mujeres' debe ser menor o igual al Total de Mujeres en control. </v>
      </c>
      <c r="CM87" s="465" t="str">
        <f t="shared" si="76"/>
        <v xml:space="preserve">* La celda 'Población SENAME' debe ser menor o igual al Total de Personas en control. </v>
      </c>
      <c r="CN87" s="474"/>
      <c r="CO87" s="474"/>
      <c r="CP87" s="474"/>
      <c r="CQ87" s="465" t="str">
        <f t="shared" si="77"/>
        <v/>
      </c>
      <c r="CR87" s="465" t="str">
        <f t="shared" si="78"/>
        <v/>
      </c>
      <c r="CS87" s="465" t="str">
        <f t="shared" si="79"/>
        <v/>
      </c>
      <c r="CT87" s="664"/>
      <c r="CU87" s="465" t="str">
        <f t="shared" si="66"/>
        <v xml:space="preserve">* La celda 'Plan Cuidado Integral Elaborado' debe ser menor o igual al Total de Personas en control. </v>
      </c>
      <c r="CV87" s="465" t="str">
        <f t="shared" si="54"/>
        <v/>
      </c>
      <c r="CW87" s="664"/>
      <c r="CX87" s="664"/>
      <c r="CY87" s="665"/>
      <c r="CZ87" s="665"/>
      <c r="DA87" s="470"/>
      <c r="DB87" s="470"/>
      <c r="DC87" s="486">
        <f t="shared" si="80"/>
        <v>1</v>
      </c>
      <c r="DD87" s="486">
        <f t="shared" si="72"/>
        <v>1</v>
      </c>
      <c r="DE87" s="486">
        <f t="shared" si="81"/>
        <v>1</v>
      </c>
      <c r="DF87" s="486">
        <f t="shared" si="73"/>
        <v>1</v>
      </c>
      <c r="DG87" s="486">
        <f t="shared" si="82"/>
        <v>1</v>
      </c>
      <c r="DH87" s="470"/>
      <c r="DI87" s="470"/>
      <c r="DJ87" s="470"/>
      <c r="DK87" s="486">
        <f t="shared" si="83"/>
        <v>0</v>
      </c>
      <c r="DL87" s="486">
        <f t="shared" si="84"/>
        <v>0</v>
      </c>
      <c r="DM87" s="486">
        <f t="shared" si="63"/>
        <v>0</v>
      </c>
      <c r="DN87" s="665"/>
      <c r="DO87" s="486">
        <f t="shared" si="64"/>
        <v>1</v>
      </c>
      <c r="DP87" s="486">
        <f t="shared" si="65"/>
        <v>0</v>
      </c>
      <c r="DQ87" s="488"/>
      <c r="DR87" s="664"/>
    </row>
    <row r="88" spans="1:122" s="173" customFormat="1" ht="35.25" customHeight="1" x14ac:dyDescent="0.2">
      <c r="A88" s="1773" t="s">
        <v>1280</v>
      </c>
      <c r="B88" s="2357"/>
      <c r="C88" s="495" t="s">
        <v>252</v>
      </c>
      <c r="D88" s="941" t="s">
        <v>1384</v>
      </c>
      <c r="E88" s="950" t="s">
        <v>1385</v>
      </c>
      <c r="F88" s="1147" t="s">
        <v>1386</v>
      </c>
      <c r="G88" s="962" t="s">
        <v>1387</v>
      </c>
      <c r="H88" s="963" t="s">
        <v>1388</v>
      </c>
      <c r="I88" s="962" t="s">
        <v>1389</v>
      </c>
      <c r="J88" s="963" t="s">
        <v>1390</v>
      </c>
      <c r="K88" s="962" t="s">
        <v>1391</v>
      </c>
      <c r="L88" s="963" t="s">
        <v>1392</v>
      </c>
      <c r="M88" s="962" t="s">
        <v>1393</v>
      </c>
      <c r="N88" s="963" t="s">
        <v>1394</v>
      </c>
      <c r="O88" s="962" t="s">
        <v>1395</v>
      </c>
      <c r="P88" s="963" t="s">
        <v>1396</v>
      </c>
      <c r="Q88" s="1008" t="s">
        <v>1397</v>
      </c>
      <c r="R88" s="1009" t="s">
        <v>1398</v>
      </c>
      <c r="S88" s="1008" t="s">
        <v>1399</v>
      </c>
      <c r="T88" s="1009" t="s">
        <v>1400</v>
      </c>
      <c r="U88" s="1008" t="s">
        <v>1401</v>
      </c>
      <c r="V88" s="1009" t="s">
        <v>1402</v>
      </c>
      <c r="W88" s="1008" t="s">
        <v>1403</v>
      </c>
      <c r="X88" s="1009" t="s">
        <v>1404</v>
      </c>
      <c r="Y88" s="1008" t="s">
        <v>1405</v>
      </c>
      <c r="Z88" s="1009" t="s">
        <v>1406</v>
      </c>
      <c r="AA88" s="1008" t="s">
        <v>1407</v>
      </c>
      <c r="AB88" s="1009" t="s">
        <v>1408</v>
      </c>
      <c r="AC88" s="1008" t="s">
        <v>1409</v>
      </c>
      <c r="AD88" s="1009" t="s">
        <v>1410</v>
      </c>
      <c r="AE88" s="1008" t="s">
        <v>1411</v>
      </c>
      <c r="AF88" s="1009" t="s">
        <v>1412</v>
      </c>
      <c r="AG88" s="1008" t="s">
        <v>1413</v>
      </c>
      <c r="AH88" s="1009" t="s">
        <v>1414</v>
      </c>
      <c r="AI88" s="1008" t="s">
        <v>1415</v>
      </c>
      <c r="AJ88" s="1009" t="s">
        <v>1416</v>
      </c>
      <c r="AK88" s="1008" t="s">
        <v>1417</v>
      </c>
      <c r="AL88" s="1009" t="s">
        <v>1418</v>
      </c>
      <c r="AM88" s="1008" t="s">
        <v>1419</v>
      </c>
      <c r="AN88" s="1319" t="s">
        <v>1420</v>
      </c>
      <c r="AO88" s="1521" t="s">
        <v>1421</v>
      </c>
      <c r="AP88" s="1547" t="s">
        <v>1422</v>
      </c>
      <c r="AQ88" s="1522" t="s">
        <v>1423</v>
      </c>
      <c r="AR88" s="1522" t="s">
        <v>1424</v>
      </c>
      <c r="AS88" s="1041" t="s">
        <v>1425</v>
      </c>
      <c r="AT88" s="963" t="s">
        <v>1426</v>
      </c>
      <c r="AU88" s="963" t="s">
        <v>1427</v>
      </c>
      <c r="AV88" s="963" t="s">
        <v>1428</v>
      </c>
      <c r="AW88" s="411" t="str">
        <f t="shared" si="45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8" s="224"/>
      <c r="AY88" s="224"/>
      <c r="AZ88" s="224"/>
      <c r="BA88" s="224"/>
      <c r="CB88" s="664"/>
      <c r="CC88" s="664"/>
      <c r="CD88" s="664"/>
      <c r="CE88" s="664"/>
      <c r="CF88" s="664"/>
      <c r="CG88" s="474"/>
      <c r="CH88" s="474"/>
      <c r="CI88" s="465" t="str">
        <f t="shared" si="74"/>
        <v xml:space="preserve">* La celda 'Pueblos Originarios / Hombres' debe ser menor o igual al Total de Hombres en control. </v>
      </c>
      <c r="CJ88" s="465" t="str">
        <f t="shared" si="68"/>
        <v xml:space="preserve">* La celda 'Pueblos Originarios / Mujeres' debe ser menor o igual al Total de Mujeres en control. </v>
      </c>
      <c r="CK88" s="465" t="str">
        <f t="shared" si="75"/>
        <v xml:space="preserve">* La celda 'Población Migrantes / Hombres' debe ser menor o igual al Total de Hombres en control. </v>
      </c>
      <c r="CL88" s="465" t="str">
        <f t="shared" si="69"/>
        <v xml:space="preserve">* La celda 'Población Migrantes / Mujeres' debe ser menor o igual al Total de Mujeres en control. </v>
      </c>
      <c r="CM88" s="465" t="str">
        <f t="shared" si="76"/>
        <v xml:space="preserve">* La celda 'Población SENAME' debe ser menor o igual al Total de Personas en control. </v>
      </c>
      <c r="CN88" s="474"/>
      <c r="CO88" s="474"/>
      <c r="CP88" s="474"/>
      <c r="CQ88" s="465" t="str">
        <f t="shared" si="77"/>
        <v/>
      </c>
      <c r="CR88" s="465" t="str">
        <f t="shared" si="78"/>
        <v/>
      </c>
      <c r="CS88" s="465" t="str">
        <f t="shared" si="79"/>
        <v/>
      </c>
      <c r="CT88" s="664"/>
      <c r="CU88" s="465" t="str">
        <f t="shared" si="66"/>
        <v xml:space="preserve">* La celda 'Plan Cuidado Integral Elaborado' debe ser menor o igual al Total de Personas en control. </v>
      </c>
      <c r="CV88" s="465" t="str">
        <f t="shared" si="54"/>
        <v/>
      </c>
      <c r="CW88" s="664"/>
      <c r="CX88" s="664"/>
      <c r="CY88" s="665"/>
      <c r="CZ88" s="665"/>
      <c r="DA88" s="470"/>
      <c r="DB88" s="470"/>
      <c r="DC88" s="486">
        <f t="shared" si="80"/>
        <v>1</v>
      </c>
      <c r="DD88" s="486">
        <f t="shared" si="72"/>
        <v>1</v>
      </c>
      <c r="DE88" s="486">
        <f t="shared" si="81"/>
        <v>1</v>
      </c>
      <c r="DF88" s="486">
        <f t="shared" si="73"/>
        <v>1</v>
      </c>
      <c r="DG88" s="486">
        <f t="shared" si="82"/>
        <v>1</v>
      </c>
      <c r="DH88" s="470"/>
      <c r="DI88" s="470"/>
      <c r="DJ88" s="470"/>
      <c r="DK88" s="486">
        <f t="shared" si="83"/>
        <v>0</v>
      </c>
      <c r="DL88" s="486">
        <f t="shared" si="84"/>
        <v>0</v>
      </c>
      <c r="DM88" s="486">
        <f t="shared" si="63"/>
        <v>0</v>
      </c>
      <c r="DN88" s="665"/>
      <c r="DO88" s="486">
        <f t="shared" si="64"/>
        <v>1</v>
      </c>
      <c r="DP88" s="486">
        <f t="shared" si="65"/>
        <v>0</v>
      </c>
      <c r="DQ88" s="488"/>
      <c r="DR88" s="664"/>
    </row>
    <row r="89" spans="1:122" s="173" customFormat="1" ht="25.5" customHeight="1" x14ac:dyDescent="0.2">
      <c r="A89" s="1773" t="s">
        <v>1281</v>
      </c>
      <c r="B89" s="2327" t="s">
        <v>253</v>
      </c>
      <c r="C89" s="501" t="s">
        <v>636</v>
      </c>
      <c r="D89" s="1274" t="s">
        <v>1384</v>
      </c>
      <c r="E89" s="1275" t="s">
        <v>1385</v>
      </c>
      <c r="F89" s="1276" t="s">
        <v>1386</v>
      </c>
      <c r="G89" s="977" t="s">
        <v>1387</v>
      </c>
      <c r="H89" s="978" t="s">
        <v>1388</v>
      </c>
      <c r="I89" s="977" t="s">
        <v>1389</v>
      </c>
      <c r="J89" s="978" t="s">
        <v>1390</v>
      </c>
      <c r="K89" s="977" t="s">
        <v>1391</v>
      </c>
      <c r="L89" s="978" t="s">
        <v>1392</v>
      </c>
      <c r="M89" s="977" t="s">
        <v>1393</v>
      </c>
      <c r="N89" s="978" t="s">
        <v>1394</v>
      </c>
      <c r="O89" s="977" t="s">
        <v>1395</v>
      </c>
      <c r="P89" s="1048" t="s">
        <v>1396</v>
      </c>
      <c r="Q89" s="977" t="s">
        <v>1397</v>
      </c>
      <c r="R89" s="1048" t="s">
        <v>1398</v>
      </c>
      <c r="S89" s="977" t="s">
        <v>1399</v>
      </c>
      <c r="T89" s="1048" t="s">
        <v>1400</v>
      </c>
      <c r="U89" s="977" t="s">
        <v>1401</v>
      </c>
      <c r="V89" s="1048" t="s">
        <v>1402</v>
      </c>
      <c r="W89" s="977" t="s">
        <v>1403</v>
      </c>
      <c r="X89" s="1048" t="s">
        <v>1404</v>
      </c>
      <c r="Y89" s="977" t="s">
        <v>1405</v>
      </c>
      <c r="Z89" s="1048" t="s">
        <v>1406</v>
      </c>
      <c r="AA89" s="977" t="s">
        <v>1407</v>
      </c>
      <c r="AB89" s="1048" t="s">
        <v>1408</v>
      </c>
      <c r="AC89" s="977" t="s">
        <v>1409</v>
      </c>
      <c r="AD89" s="1048" t="s">
        <v>1410</v>
      </c>
      <c r="AE89" s="977" t="s">
        <v>1411</v>
      </c>
      <c r="AF89" s="1048" t="s">
        <v>1412</v>
      </c>
      <c r="AG89" s="977" t="s">
        <v>1413</v>
      </c>
      <c r="AH89" s="1048" t="s">
        <v>1414</v>
      </c>
      <c r="AI89" s="977" t="s">
        <v>1415</v>
      </c>
      <c r="AJ89" s="1048" t="s">
        <v>1416</v>
      </c>
      <c r="AK89" s="977" t="s">
        <v>1417</v>
      </c>
      <c r="AL89" s="1048" t="s">
        <v>1418</v>
      </c>
      <c r="AM89" s="977" t="s">
        <v>1419</v>
      </c>
      <c r="AN89" s="979" t="s">
        <v>1420</v>
      </c>
      <c r="AO89" s="1029" t="s">
        <v>1421</v>
      </c>
      <c r="AP89" s="1526" t="s">
        <v>1422</v>
      </c>
      <c r="AQ89" s="1526" t="s">
        <v>1423</v>
      </c>
      <c r="AR89" s="1526" t="s">
        <v>1424</v>
      </c>
      <c r="AS89" s="1048" t="s">
        <v>1425</v>
      </c>
      <c r="AT89" s="978" t="s">
        <v>1426</v>
      </c>
      <c r="AU89" s="978" t="s">
        <v>1427</v>
      </c>
      <c r="AV89" s="978" t="s">
        <v>1428</v>
      </c>
      <c r="AW89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89" s="224"/>
      <c r="AY89" s="224"/>
      <c r="AZ89" s="224"/>
      <c r="BA89" s="224"/>
      <c r="CB89" s="664"/>
      <c r="CC89" s="664"/>
      <c r="CD89" s="664"/>
      <c r="CE89" s="664"/>
      <c r="CF89" s="664"/>
      <c r="CG89" s="465" t="str">
        <f t="shared" ref="CG89:CG108" si="85">IF($AO89&gt;$F89,"* La celda 'Gestantes' debe ser menor o igual al Total de Mujeres en control. ","")</f>
        <v xml:space="preserve">* La celda 'Gestantes' debe ser menor o igual al Total de Mujeres en control. </v>
      </c>
      <c r="CH89" s="465" t="str">
        <f t="shared" ref="CH89:CH108" si="86">IF($AP89&gt;$F89,"* La celda 'Madres de Hijos menor de 5 años' debe ser menor o igual al Total de Mujeres en control. ","")</f>
        <v xml:space="preserve">* La celda 'Madres de Hijos menor de 5 años' debe ser menor o igual al Total de Mujeres en control. </v>
      </c>
      <c r="CI89" s="465" t="str">
        <f t="shared" si="74"/>
        <v xml:space="preserve">* La celda 'Pueblos Originarios / Hombres' debe ser menor o igual al Total de Hombres en control. </v>
      </c>
      <c r="CJ89" s="465" t="str">
        <f t="shared" si="68"/>
        <v xml:space="preserve">* La celda 'Pueblos Originarios / Mujeres' debe ser menor o igual al Total de Mujeres en control. </v>
      </c>
      <c r="CK89" s="465" t="str">
        <f t="shared" si="75"/>
        <v xml:space="preserve">* La celda 'Población Migrantes / Hombres' debe ser menor o igual al Total de Hombres en control. </v>
      </c>
      <c r="CL89" s="465" t="str">
        <f t="shared" si="69"/>
        <v xml:space="preserve">* La celda 'Población Migrantes / Mujeres' debe ser menor o igual al Total de Mujeres en control. </v>
      </c>
      <c r="CM89" s="465" t="str">
        <f t="shared" si="76"/>
        <v xml:space="preserve">* La celda 'Población SENAME' debe ser menor o igual al Total de Personas en control. </v>
      </c>
      <c r="CN89" s="465" t="str">
        <f t="shared" ref="CN89:CN108" si="87">IF(AND($D89&lt;&gt;0,$AO89=""),"* No olvide escribir en la celda de 'Gestantes' (Digite CERO si no tiene). ","")</f>
        <v/>
      </c>
      <c r="CO89" s="465" t="str">
        <f t="shared" ref="CO89:CO108" si="88">IF(AND($D89&lt;&gt;0,$AP89=""),"* No olvide escribir en la celda de 'Madres de Hijos menor de 5 años' (Digite CERO si no tiene). ","")</f>
        <v/>
      </c>
      <c r="CP89" s="474"/>
      <c r="CQ89" s="465" t="str">
        <f t="shared" si="77"/>
        <v/>
      </c>
      <c r="CR89" s="465" t="str">
        <f t="shared" si="78"/>
        <v/>
      </c>
      <c r="CS89" s="465" t="str">
        <f t="shared" si="79"/>
        <v/>
      </c>
      <c r="CT89" s="664"/>
      <c r="CU89" s="465" t="str">
        <f t="shared" si="66"/>
        <v xml:space="preserve">* La celda 'Plan Cuidado Integral Elaborado' debe ser menor o igual al Total de Personas en control. </v>
      </c>
      <c r="CV89" s="465" t="str">
        <f t="shared" si="54"/>
        <v/>
      </c>
      <c r="CW89" s="664"/>
      <c r="CX89" s="664"/>
      <c r="CY89" s="665"/>
      <c r="CZ89" s="665"/>
      <c r="DA89" s="486">
        <f t="shared" ref="DA89:DA108" si="89">IF($AO89&gt;$F89,1,0)</f>
        <v>1</v>
      </c>
      <c r="DB89" s="486">
        <f t="shared" ref="DB89:DB108" si="90">IF($AP89&gt;$F89,1,0)</f>
        <v>1</v>
      </c>
      <c r="DC89" s="486">
        <f t="shared" si="80"/>
        <v>1</v>
      </c>
      <c r="DD89" s="486">
        <f t="shared" si="72"/>
        <v>1</v>
      </c>
      <c r="DE89" s="486">
        <f t="shared" si="81"/>
        <v>1</v>
      </c>
      <c r="DF89" s="486">
        <f t="shared" si="73"/>
        <v>1</v>
      </c>
      <c r="DG89" s="486">
        <f t="shared" si="82"/>
        <v>1</v>
      </c>
      <c r="DH89" s="486">
        <f t="shared" ref="DH89:DH108" si="91">IF(AND($D89&lt;&gt;0,$AO89=""),1,0)</f>
        <v>0</v>
      </c>
      <c r="DI89" s="486">
        <f t="shared" ref="DI89:DI108" si="92">IF(AND($D89&lt;&gt;0,$AP89=""),1,0)</f>
        <v>0</v>
      </c>
      <c r="DJ89" s="470"/>
      <c r="DK89" s="486">
        <f t="shared" si="83"/>
        <v>0</v>
      </c>
      <c r="DL89" s="486">
        <f t="shared" si="84"/>
        <v>0</v>
      </c>
      <c r="DM89" s="486">
        <f t="shared" si="63"/>
        <v>0</v>
      </c>
      <c r="DN89" s="665"/>
      <c r="DO89" s="486">
        <f t="shared" si="64"/>
        <v>1</v>
      </c>
      <c r="DP89" s="486">
        <f t="shared" si="65"/>
        <v>0</v>
      </c>
      <c r="DQ89" s="488"/>
      <c r="DR89" s="664"/>
    </row>
    <row r="90" spans="1:122" s="173" customFormat="1" ht="25.5" customHeight="1" x14ac:dyDescent="0.2">
      <c r="A90" s="1773" t="s">
        <v>1282</v>
      </c>
      <c r="B90" s="2359"/>
      <c r="C90" s="1354" t="s">
        <v>637</v>
      </c>
      <c r="D90" s="1277" t="s">
        <v>1384</v>
      </c>
      <c r="E90" s="1278" t="s">
        <v>1385</v>
      </c>
      <c r="F90" s="1279" t="s">
        <v>1386</v>
      </c>
      <c r="G90" s="957" t="s">
        <v>1387</v>
      </c>
      <c r="H90" s="958" t="s">
        <v>1388</v>
      </c>
      <c r="I90" s="957" t="s">
        <v>1389</v>
      </c>
      <c r="J90" s="958" t="s">
        <v>1390</v>
      </c>
      <c r="K90" s="957" t="s">
        <v>1391</v>
      </c>
      <c r="L90" s="958" t="s">
        <v>1392</v>
      </c>
      <c r="M90" s="957" t="s">
        <v>1393</v>
      </c>
      <c r="N90" s="958" t="s">
        <v>1394</v>
      </c>
      <c r="O90" s="957" t="s">
        <v>1395</v>
      </c>
      <c r="P90" s="1044" t="s">
        <v>1396</v>
      </c>
      <c r="Q90" s="957" t="s">
        <v>1397</v>
      </c>
      <c r="R90" s="1044" t="s">
        <v>1398</v>
      </c>
      <c r="S90" s="957" t="s">
        <v>1399</v>
      </c>
      <c r="T90" s="1044" t="s">
        <v>1400</v>
      </c>
      <c r="U90" s="957" t="s">
        <v>1401</v>
      </c>
      <c r="V90" s="1044" t="s">
        <v>1402</v>
      </c>
      <c r="W90" s="957" t="s">
        <v>1403</v>
      </c>
      <c r="X90" s="1044" t="s">
        <v>1404</v>
      </c>
      <c r="Y90" s="957" t="s">
        <v>1405</v>
      </c>
      <c r="Z90" s="1044" t="s">
        <v>1406</v>
      </c>
      <c r="AA90" s="957" t="s">
        <v>1407</v>
      </c>
      <c r="AB90" s="1044" t="s">
        <v>1408</v>
      </c>
      <c r="AC90" s="957" t="s">
        <v>1409</v>
      </c>
      <c r="AD90" s="1044" t="s">
        <v>1410</v>
      </c>
      <c r="AE90" s="957" t="s">
        <v>1411</v>
      </c>
      <c r="AF90" s="1044" t="s">
        <v>1412</v>
      </c>
      <c r="AG90" s="957" t="s">
        <v>1413</v>
      </c>
      <c r="AH90" s="1044" t="s">
        <v>1414</v>
      </c>
      <c r="AI90" s="957" t="s">
        <v>1415</v>
      </c>
      <c r="AJ90" s="1044" t="s">
        <v>1416</v>
      </c>
      <c r="AK90" s="957" t="s">
        <v>1417</v>
      </c>
      <c r="AL90" s="1044" t="s">
        <v>1418</v>
      </c>
      <c r="AM90" s="957" t="s">
        <v>1419</v>
      </c>
      <c r="AN90" s="966" t="s">
        <v>1420</v>
      </c>
      <c r="AO90" s="1030" t="s">
        <v>1421</v>
      </c>
      <c r="AP90" s="1520" t="s">
        <v>1422</v>
      </c>
      <c r="AQ90" s="1520" t="s">
        <v>1423</v>
      </c>
      <c r="AR90" s="1520" t="s">
        <v>1424</v>
      </c>
      <c r="AS90" s="1044" t="s">
        <v>1425</v>
      </c>
      <c r="AT90" s="958" t="s">
        <v>1426</v>
      </c>
      <c r="AU90" s="958" t="s">
        <v>1427</v>
      </c>
      <c r="AV90" s="958" t="s">
        <v>1428</v>
      </c>
      <c r="AW90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AX90" s="224"/>
      <c r="AY90" s="224"/>
      <c r="AZ90" s="224"/>
      <c r="BA90" s="224"/>
      <c r="CB90" s="664"/>
      <c r="CC90" s="664"/>
      <c r="CD90" s="664"/>
      <c r="CE90" s="664"/>
      <c r="CF90" s="664"/>
      <c r="CG90" s="465" t="str">
        <f t="shared" si="85"/>
        <v xml:space="preserve">* La celda 'Gestantes' debe ser menor o igual al Total de Mujeres en control. </v>
      </c>
      <c r="CH90" s="465" t="str">
        <f t="shared" si="86"/>
        <v xml:space="preserve">* La celda 'Madres de Hijos menor de 5 años' debe ser menor o igual al Total de Mujeres en control. </v>
      </c>
      <c r="CI90" s="465" t="str">
        <f t="shared" si="74"/>
        <v xml:space="preserve">* La celda 'Pueblos Originarios / Hombres' debe ser menor o igual al Total de Hombres en control. </v>
      </c>
      <c r="CJ90" s="465" t="str">
        <f t="shared" si="68"/>
        <v xml:space="preserve">* La celda 'Pueblos Originarios / Mujeres' debe ser menor o igual al Total de Mujeres en control. </v>
      </c>
      <c r="CK90" s="465" t="str">
        <f t="shared" si="75"/>
        <v xml:space="preserve">* La celda 'Población Migrantes / Hombres' debe ser menor o igual al Total de Hombres en control. </v>
      </c>
      <c r="CL90" s="465" t="str">
        <f t="shared" si="69"/>
        <v xml:space="preserve">* La celda 'Población Migrantes / Mujeres' debe ser menor o igual al Total de Mujeres en control. </v>
      </c>
      <c r="CM90" s="465" t="str">
        <f t="shared" si="76"/>
        <v xml:space="preserve">* La celda 'Población SENAME' debe ser menor o igual al Total de Personas en control. </v>
      </c>
      <c r="CN90" s="465" t="str">
        <f t="shared" si="87"/>
        <v/>
      </c>
      <c r="CO90" s="465" t="str">
        <f t="shared" si="88"/>
        <v/>
      </c>
      <c r="CP90" s="474"/>
      <c r="CQ90" s="465" t="str">
        <f t="shared" si="77"/>
        <v/>
      </c>
      <c r="CR90" s="465" t="str">
        <f t="shared" si="78"/>
        <v/>
      </c>
      <c r="CS90" s="465" t="str">
        <f t="shared" si="79"/>
        <v/>
      </c>
      <c r="CT90" s="664"/>
      <c r="CU90" s="465" t="str">
        <f t="shared" si="66"/>
        <v xml:space="preserve">* La celda 'Plan Cuidado Integral Elaborado' debe ser menor o igual al Total de Personas en control. </v>
      </c>
      <c r="CV90" s="465" t="str">
        <f t="shared" si="54"/>
        <v/>
      </c>
      <c r="CW90" s="664"/>
      <c r="CX90" s="664"/>
      <c r="CY90" s="665"/>
      <c r="CZ90" s="665"/>
      <c r="DA90" s="486">
        <f t="shared" si="89"/>
        <v>1</v>
      </c>
      <c r="DB90" s="486">
        <f t="shared" si="90"/>
        <v>1</v>
      </c>
      <c r="DC90" s="486">
        <f t="shared" si="80"/>
        <v>1</v>
      </c>
      <c r="DD90" s="486">
        <f t="shared" si="72"/>
        <v>1</v>
      </c>
      <c r="DE90" s="486">
        <f t="shared" si="81"/>
        <v>1</v>
      </c>
      <c r="DF90" s="486">
        <f t="shared" si="73"/>
        <v>1</v>
      </c>
      <c r="DG90" s="486">
        <f t="shared" si="82"/>
        <v>1</v>
      </c>
      <c r="DH90" s="486">
        <f t="shared" si="91"/>
        <v>0</v>
      </c>
      <c r="DI90" s="486">
        <f t="shared" si="92"/>
        <v>0</v>
      </c>
      <c r="DJ90" s="470"/>
      <c r="DK90" s="486">
        <f t="shared" si="83"/>
        <v>0</v>
      </c>
      <c r="DL90" s="486">
        <f t="shared" si="84"/>
        <v>0</v>
      </c>
      <c r="DM90" s="486">
        <f t="shared" si="63"/>
        <v>0</v>
      </c>
      <c r="DN90" s="665"/>
      <c r="DO90" s="486">
        <f t="shared" si="64"/>
        <v>1</v>
      </c>
      <c r="DP90" s="486">
        <f t="shared" si="65"/>
        <v>0</v>
      </c>
      <c r="DQ90" s="488"/>
      <c r="DR90" s="664"/>
    </row>
    <row r="91" spans="1:122" ht="25.5" customHeight="1" x14ac:dyDescent="0.25">
      <c r="A91" s="1773" t="s">
        <v>1283</v>
      </c>
      <c r="B91" s="2359"/>
      <c r="C91" s="503" t="s">
        <v>638</v>
      </c>
      <c r="D91" s="1277" t="s">
        <v>1384</v>
      </c>
      <c r="E91" s="1278" t="s">
        <v>1385</v>
      </c>
      <c r="F91" s="1279" t="s">
        <v>1386</v>
      </c>
      <c r="G91" s="957" t="s">
        <v>1387</v>
      </c>
      <c r="H91" s="958" t="s">
        <v>1388</v>
      </c>
      <c r="I91" s="957" t="s">
        <v>1389</v>
      </c>
      <c r="J91" s="958" t="s">
        <v>1390</v>
      </c>
      <c r="K91" s="957" t="s">
        <v>1391</v>
      </c>
      <c r="L91" s="958" t="s">
        <v>1392</v>
      </c>
      <c r="M91" s="957" t="s">
        <v>1393</v>
      </c>
      <c r="N91" s="958" t="s">
        <v>1394</v>
      </c>
      <c r="O91" s="957" t="s">
        <v>1395</v>
      </c>
      <c r="P91" s="1044" t="s">
        <v>1396</v>
      </c>
      <c r="Q91" s="957" t="s">
        <v>1397</v>
      </c>
      <c r="R91" s="1044" t="s">
        <v>1398</v>
      </c>
      <c r="S91" s="957" t="s">
        <v>1399</v>
      </c>
      <c r="T91" s="1044" t="s">
        <v>1400</v>
      </c>
      <c r="U91" s="957" t="s">
        <v>1401</v>
      </c>
      <c r="V91" s="1044" t="s">
        <v>1402</v>
      </c>
      <c r="W91" s="957" t="s">
        <v>1403</v>
      </c>
      <c r="X91" s="1044" t="s">
        <v>1404</v>
      </c>
      <c r="Y91" s="957" t="s">
        <v>1405</v>
      </c>
      <c r="Z91" s="1044" t="s">
        <v>1406</v>
      </c>
      <c r="AA91" s="957" t="s">
        <v>1407</v>
      </c>
      <c r="AB91" s="1044" t="s">
        <v>1408</v>
      </c>
      <c r="AC91" s="957" t="s">
        <v>1409</v>
      </c>
      <c r="AD91" s="1044" t="s">
        <v>1410</v>
      </c>
      <c r="AE91" s="957" t="s">
        <v>1411</v>
      </c>
      <c r="AF91" s="1044" t="s">
        <v>1412</v>
      </c>
      <c r="AG91" s="957" t="s">
        <v>1413</v>
      </c>
      <c r="AH91" s="1044" t="s">
        <v>1414</v>
      </c>
      <c r="AI91" s="957" t="s">
        <v>1415</v>
      </c>
      <c r="AJ91" s="1044" t="s">
        <v>1416</v>
      </c>
      <c r="AK91" s="957" t="s">
        <v>1417</v>
      </c>
      <c r="AL91" s="1044" t="s">
        <v>1418</v>
      </c>
      <c r="AM91" s="957" t="s">
        <v>1419</v>
      </c>
      <c r="AN91" s="966" t="s">
        <v>1420</v>
      </c>
      <c r="AO91" s="1030" t="s">
        <v>1421</v>
      </c>
      <c r="AP91" s="1520" t="s">
        <v>1422</v>
      </c>
      <c r="AQ91" s="1520" t="s">
        <v>1423</v>
      </c>
      <c r="AR91" s="1520" t="s">
        <v>1424</v>
      </c>
      <c r="AS91" s="1044" t="s">
        <v>1425</v>
      </c>
      <c r="AT91" s="958" t="s">
        <v>1426</v>
      </c>
      <c r="AU91" s="958" t="s">
        <v>1427</v>
      </c>
      <c r="AV91" s="958" t="s">
        <v>1428</v>
      </c>
      <c r="AW91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1" s="465" t="str">
        <f t="shared" si="85"/>
        <v xml:space="preserve">* La celda 'Gestantes' debe ser menor o igual al Total de Mujeres en control. </v>
      </c>
      <c r="CH91" s="465" t="str">
        <f t="shared" si="86"/>
        <v xml:space="preserve">* La celda 'Madres de Hijos menor de 5 años' debe ser menor o igual al Total de Mujeres en control. </v>
      </c>
      <c r="CI91" s="465" t="str">
        <f t="shared" si="74"/>
        <v xml:space="preserve">* La celda 'Pueblos Originarios / Hombres' debe ser menor o igual al Total de Hombres en control. </v>
      </c>
      <c r="CJ91" s="465" t="str">
        <f t="shared" si="68"/>
        <v xml:space="preserve">* La celda 'Pueblos Originarios / Mujeres' debe ser menor o igual al Total de Mujeres en control. </v>
      </c>
      <c r="CK91" s="465" t="str">
        <f t="shared" si="75"/>
        <v xml:space="preserve">* La celda 'Población Migrantes / Hombres' debe ser menor o igual al Total de Hombres en control. </v>
      </c>
      <c r="CL91" s="465" t="str">
        <f t="shared" si="69"/>
        <v xml:space="preserve">* La celda 'Población Migrantes / Mujeres' debe ser menor o igual al Total de Mujeres en control. </v>
      </c>
      <c r="CM91" s="465" t="str">
        <f t="shared" si="76"/>
        <v xml:space="preserve">* La celda 'Población SENAME' debe ser menor o igual al Total de Personas en control. </v>
      </c>
      <c r="CN91" s="465" t="str">
        <f t="shared" si="87"/>
        <v/>
      </c>
      <c r="CO91" s="465" t="str">
        <f t="shared" si="88"/>
        <v/>
      </c>
      <c r="CQ91" s="465" t="str">
        <f t="shared" si="77"/>
        <v/>
      </c>
      <c r="CR91" s="465" t="str">
        <f t="shared" si="78"/>
        <v/>
      </c>
      <c r="CS91" s="465" t="str">
        <f t="shared" si="79"/>
        <v/>
      </c>
      <c r="CU91" s="465" t="str">
        <f t="shared" si="66"/>
        <v xml:space="preserve">* La celda 'Plan Cuidado Integral Elaborado' debe ser menor o igual al Total de Personas en control. </v>
      </c>
      <c r="CV91" s="465" t="str">
        <f t="shared" si="54"/>
        <v/>
      </c>
      <c r="CY91" s="470"/>
      <c r="CZ91" s="470"/>
      <c r="DA91" s="486">
        <f t="shared" si="89"/>
        <v>1</v>
      </c>
      <c r="DB91" s="486">
        <f t="shared" si="90"/>
        <v>1</v>
      </c>
      <c r="DC91" s="486">
        <f t="shared" si="80"/>
        <v>1</v>
      </c>
      <c r="DD91" s="486">
        <f t="shared" si="72"/>
        <v>1</v>
      </c>
      <c r="DE91" s="486">
        <f t="shared" si="81"/>
        <v>1</v>
      </c>
      <c r="DF91" s="486">
        <f t="shared" si="73"/>
        <v>1</v>
      </c>
      <c r="DG91" s="486">
        <f t="shared" si="82"/>
        <v>1</v>
      </c>
      <c r="DH91" s="486">
        <f t="shared" si="91"/>
        <v>0</v>
      </c>
      <c r="DI91" s="486">
        <f t="shared" si="92"/>
        <v>0</v>
      </c>
      <c r="DJ91" s="470"/>
      <c r="DK91" s="486">
        <f t="shared" si="83"/>
        <v>0</v>
      </c>
      <c r="DL91" s="486">
        <f t="shared" si="84"/>
        <v>0</v>
      </c>
      <c r="DM91" s="486">
        <f t="shared" si="63"/>
        <v>0</v>
      </c>
      <c r="DN91" s="1247"/>
      <c r="DO91" s="486">
        <f t="shared" si="64"/>
        <v>1</v>
      </c>
      <c r="DP91" s="486">
        <f t="shared" si="65"/>
        <v>0</v>
      </c>
    </row>
    <row r="92" spans="1:122" ht="25.5" customHeight="1" x14ac:dyDescent="0.25">
      <c r="A92" s="1773" t="s">
        <v>1284</v>
      </c>
      <c r="B92" s="2359"/>
      <c r="C92" s="503" t="s">
        <v>639</v>
      </c>
      <c r="D92" s="1277" t="s">
        <v>1384</v>
      </c>
      <c r="E92" s="1278" t="s">
        <v>1385</v>
      </c>
      <c r="F92" s="1279" t="s">
        <v>1386</v>
      </c>
      <c r="G92" s="957" t="s">
        <v>1387</v>
      </c>
      <c r="H92" s="958" t="s">
        <v>1388</v>
      </c>
      <c r="I92" s="957" t="s">
        <v>1389</v>
      </c>
      <c r="J92" s="958" t="s">
        <v>1390</v>
      </c>
      <c r="K92" s="957" t="s">
        <v>1391</v>
      </c>
      <c r="L92" s="958" t="s">
        <v>1392</v>
      </c>
      <c r="M92" s="957" t="s">
        <v>1393</v>
      </c>
      <c r="N92" s="958" t="s">
        <v>1394</v>
      </c>
      <c r="O92" s="957" t="s">
        <v>1395</v>
      </c>
      <c r="P92" s="1044" t="s">
        <v>1396</v>
      </c>
      <c r="Q92" s="957" t="s">
        <v>1397</v>
      </c>
      <c r="R92" s="1044" t="s">
        <v>1398</v>
      </c>
      <c r="S92" s="957" t="s">
        <v>1399</v>
      </c>
      <c r="T92" s="1044" t="s">
        <v>1400</v>
      </c>
      <c r="U92" s="957" t="s">
        <v>1401</v>
      </c>
      <c r="V92" s="1044" t="s">
        <v>1402</v>
      </c>
      <c r="W92" s="957" t="s">
        <v>1403</v>
      </c>
      <c r="X92" s="1044" t="s">
        <v>1404</v>
      </c>
      <c r="Y92" s="957" t="s">
        <v>1405</v>
      </c>
      <c r="Z92" s="1044" t="s">
        <v>1406</v>
      </c>
      <c r="AA92" s="957" t="s">
        <v>1407</v>
      </c>
      <c r="AB92" s="1044" t="s">
        <v>1408</v>
      </c>
      <c r="AC92" s="957" t="s">
        <v>1409</v>
      </c>
      <c r="AD92" s="1044" t="s">
        <v>1410</v>
      </c>
      <c r="AE92" s="957" t="s">
        <v>1411</v>
      </c>
      <c r="AF92" s="1044" t="s">
        <v>1412</v>
      </c>
      <c r="AG92" s="957" t="s">
        <v>1413</v>
      </c>
      <c r="AH92" s="1044" t="s">
        <v>1414</v>
      </c>
      <c r="AI92" s="957" t="s">
        <v>1415</v>
      </c>
      <c r="AJ92" s="1044" t="s">
        <v>1416</v>
      </c>
      <c r="AK92" s="957" t="s">
        <v>1417</v>
      </c>
      <c r="AL92" s="1044" t="s">
        <v>1418</v>
      </c>
      <c r="AM92" s="957" t="s">
        <v>1419</v>
      </c>
      <c r="AN92" s="966" t="s">
        <v>1420</v>
      </c>
      <c r="AO92" s="1030" t="s">
        <v>1421</v>
      </c>
      <c r="AP92" s="1520" t="s">
        <v>1422</v>
      </c>
      <c r="AQ92" s="1520" t="s">
        <v>1423</v>
      </c>
      <c r="AR92" s="1520" t="s">
        <v>1424</v>
      </c>
      <c r="AS92" s="1044" t="s">
        <v>1425</v>
      </c>
      <c r="AT92" s="958" t="s">
        <v>1426</v>
      </c>
      <c r="AU92" s="958" t="s">
        <v>1427</v>
      </c>
      <c r="AV92" s="958" t="s">
        <v>1428</v>
      </c>
      <c r="AW92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2" s="465" t="str">
        <f t="shared" si="85"/>
        <v xml:space="preserve">* La celda 'Gestantes' debe ser menor o igual al Total de Mujeres en control. </v>
      </c>
      <c r="CH92" s="465" t="str">
        <f t="shared" si="86"/>
        <v xml:space="preserve">* La celda 'Madres de Hijos menor de 5 años' debe ser menor o igual al Total de Mujeres en control. </v>
      </c>
      <c r="CI92" s="465" t="str">
        <f t="shared" si="74"/>
        <v xml:space="preserve">* La celda 'Pueblos Originarios / Hombres' debe ser menor o igual al Total de Hombres en control. </v>
      </c>
      <c r="CJ92" s="465" t="str">
        <f t="shared" si="68"/>
        <v xml:space="preserve">* La celda 'Pueblos Originarios / Mujeres' debe ser menor o igual al Total de Mujeres en control. </v>
      </c>
      <c r="CK92" s="465" t="str">
        <f t="shared" si="75"/>
        <v xml:space="preserve">* La celda 'Población Migrantes / Hombres' debe ser menor o igual al Total de Hombres en control. </v>
      </c>
      <c r="CL92" s="465" t="str">
        <f t="shared" si="69"/>
        <v xml:space="preserve">* La celda 'Población Migrantes / Mujeres' debe ser menor o igual al Total de Mujeres en control. </v>
      </c>
      <c r="CM92" s="465" t="str">
        <f t="shared" si="76"/>
        <v xml:space="preserve">* La celda 'Población SENAME' debe ser menor o igual al Total de Personas en control. </v>
      </c>
      <c r="CN92" s="465" t="str">
        <f t="shared" si="87"/>
        <v/>
      </c>
      <c r="CO92" s="465" t="str">
        <f t="shared" si="88"/>
        <v/>
      </c>
      <c r="CQ92" s="465" t="str">
        <f t="shared" si="77"/>
        <v/>
      </c>
      <c r="CR92" s="465" t="str">
        <f t="shared" si="78"/>
        <v/>
      </c>
      <c r="CS92" s="465" t="str">
        <f t="shared" si="79"/>
        <v/>
      </c>
      <c r="CU92" s="465" t="str">
        <f t="shared" si="66"/>
        <v xml:space="preserve">* La celda 'Plan Cuidado Integral Elaborado' debe ser menor o igual al Total de Personas en control. </v>
      </c>
      <c r="CV92" s="465" t="str">
        <f t="shared" si="54"/>
        <v/>
      </c>
      <c r="CY92" s="470"/>
      <c r="CZ92" s="470"/>
      <c r="DA92" s="486">
        <f t="shared" si="89"/>
        <v>1</v>
      </c>
      <c r="DB92" s="486">
        <f t="shared" si="90"/>
        <v>1</v>
      </c>
      <c r="DC92" s="486">
        <f t="shared" si="80"/>
        <v>1</v>
      </c>
      <c r="DD92" s="486">
        <f t="shared" si="72"/>
        <v>1</v>
      </c>
      <c r="DE92" s="486">
        <f t="shared" si="81"/>
        <v>1</v>
      </c>
      <c r="DF92" s="486">
        <f t="shared" si="73"/>
        <v>1</v>
      </c>
      <c r="DG92" s="486">
        <f t="shared" si="82"/>
        <v>1</v>
      </c>
      <c r="DH92" s="486">
        <f t="shared" si="91"/>
        <v>0</v>
      </c>
      <c r="DI92" s="486">
        <f t="shared" si="92"/>
        <v>0</v>
      </c>
      <c r="DJ92" s="470"/>
      <c r="DK92" s="486">
        <f t="shared" si="83"/>
        <v>0</v>
      </c>
      <c r="DL92" s="486">
        <f t="shared" si="84"/>
        <v>0</v>
      </c>
      <c r="DM92" s="486">
        <f t="shared" si="63"/>
        <v>0</v>
      </c>
      <c r="DN92" s="1247"/>
      <c r="DO92" s="486">
        <f t="shared" si="64"/>
        <v>1</v>
      </c>
      <c r="DP92" s="486">
        <f t="shared" si="65"/>
        <v>0</v>
      </c>
    </row>
    <row r="93" spans="1:122" ht="25.5" customHeight="1" x14ac:dyDescent="0.25">
      <c r="A93" s="1773" t="s">
        <v>1285</v>
      </c>
      <c r="B93" s="2359"/>
      <c r="C93" s="503" t="s">
        <v>640</v>
      </c>
      <c r="D93" s="1274" t="s">
        <v>1384</v>
      </c>
      <c r="E93" s="1275" t="s">
        <v>1385</v>
      </c>
      <c r="F93" s="1276" t="s">
        <v>1386</v>
      </c>
      <c r="G93" s="957" t="s">
        <v>1387</v>
      </c>
      <c r="H93" s="958" t="s">
        <v>1388</v>
      </c>
      <c r="I93" s="957" t="s">
        <v>1389</v>
      </c>
      <c r="J93" s="958" t="s">
        <v>1390</v>
      </c>
      <c r="K93" s="957" t="s">
        <v>1391</v>
      </c>
      <c r="L93" s="958" t="s">
        <v>1392</v>
      </c>
      <c r="M93" s="957" t="s">
        <v>1393</v>
      </c>
      <c r="N93" s="958" t="s">
        <v>1394</v>
      </c>
      <c r="O93" s="957" t="s">
        <v>1395</v>
      </c>
      <c r="P93" s="1044" t="s">
        <v>1396</v>
      </c>
      <c r="Q93" s="957" t="s">
        <v>1397</v>
      </c>
      <c r="R93" s="1044" t="s">
        <v>1398</v>
      </c>
      <c r="S93" s="957" t="s">
        <v>1399</v>
      </c>
      <c r="T93" s="1044" t="s">
        <v>1400</v>
      </c>
      <c r="U93" s="957" t="s">
        <v>1401</v>
      </c>
      <c r="V93" s="1044" t="s">
        <v>1402</v>
      </c>
      <c r="W93" s="957" t="s">
        <v>1403</v>
      </c>
      <c r="X93" s="1044" t="s">
        <v>1404</v>
      </c>
      <c r="Y93" s="957" t="s">
        <v>1405</v>
      </c>
      <c r="Z93" s="1044" t="s">
        <v>1406</v>
      </c>
      <c r="AA93" s="957" t="s">
        <v>1407</v>
      </c>
      <c r="AB93" s="1044" t="s">
        <v>1408</v>
      </c>
      <c r="AC93" s="957" t="s">
        <v>1409</v>
      </c>
      <c r="AD93" s="1044" t="s">
        <v>1410</v>
      </c>
      <c r="AE93" s="957" t="s">
        <v>1411</v>
      </c>
      <c r="AF93" s="1044" t="s">
        <v>1412</v>
      </c>
      <c r="AG93" s="957" t="s">
        <v>1413</v>
      </c>
      <c r="AH93" s="1044" t="s">
        <v>1414</v>
      </c>
      <c r="AI93" s="957" t="s">
        <v>1415</v>
      </c>
      <c r="AJ93" s="1044" t="s">
        <v>1416</v>
      </c>
      <c r="AK93" s="957" t="s">
        <v>1417</v>
      </c>
      <c r="AL93" s="1044" t="s">
        <v>1418</v>
      </c>
      <c r="AM93" s="957" t="s">
        <v>1419</v>
      </c>
      <c r="AN93" s="966" t="s">
        <v>1420</v>
      </c>
      <c r="AO93" s="1030" t="s">
        <v>1421</v>
      </c>
      <c r="AP93" s="1520" t="s">
        <v>1422</v>
      </c>
      <c r="AQ93" s="1520" t="s">
        <v>1423</v>
      </c>
      <c r="AR93" s="1520" t="s">
        <v>1424</v>
      </c>
      <c r="AS93" s="1044" t="s">
        <v>1425</v>
      </c>
      <c r="AT93" s="958" t="s">
        <v>1426</v>
      </c>
      <c r="AU93" s="958" t="s">
        <v>1427</v>
      </c>
      <c r="AV93" s="958" t="s">
        <v>1428</v>
      </c>
      <c r="AW93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3" s="465" t="str">
        <f t="shared" si="85"/>
        <v xml:space="preserve">* La celda 'Gestantes' debe ser menor o igual al Total de Mujeres en control. </v>
      </c>
      <c r="CH93" s="465" t="str">
        <f t="shared" si="86"/>
        <v xml:space="preserve">* La celda 'Madres de Hijos menor de 5 años' debe ser menor o igual al Total de Mujeres en control. </v>
      </c>
      <c r="CI93" s="465" t="str">
        <f t="shared" si="74"/>
        <v xml:space="preserve">* La celda 'Pueblos Originarios / Hombres' debe ser menor o igual al Total de Hombres en control. </v>
      </c>
      <c r="CJ93" s="465" t="str">
        <f t="shared" si="68"/>
        <v xml:space="preserve">* La celda 'Pueblos Originarios / Mujeres' debe ser menor o igual al Total de Mujeres en control. </v>
      </c>
      <c r="CK93" s="465" t="str">
        <f t="shared" si="75"/>
        <v xml:space="preserve">* La celda 'Población Migrantes / Hombres' debe ser menor o igual al Total de Hombres en control. </v>
      </c>
      <c r="CL93" s="465" t="str">
        <f t="shared" si="69"/>
        <v xml:space="preserve">* La celda 'Población Migrantes / Mujeres' debe ser menor o igual al Total de Mujeres en control. </v>
      </c>
      <c r="CM93" s="465" t="str">
        <f t="shared" si="76"/>
        <v xml:space="preserve">* La celda 'Población SENAME' debe ser menor o igual al Total de Personas en control. </v>
      </c>
      <c r="CN93" s="465" t="str">
        <f t="shared" si="87"/>
        <v/>
      </c>
      <c r="CO93" s="465" t="str">
        <f t="shared" si="88"/>
        <v/>
      </c>
      <c r="CQ93" s="465" t="str">
        <f t="shared" si="77"/>
        <v/>
      </c>
      <c r="CR93" s="465" t="str">
        <f t="shared" si="78"/>
        <v/>
      </c>
      <c r="CS93" s="465" t="str">
        <f t="shared" si="79"/>
        <v/>
      </c>
      <c r="CU93" s="465" t="str">
        <f t="shared" si="66"/>
        <v xml:space="preserve">* La celda 'Plan Cuidado Integral Elaborado' debe ser menor o igual al Total de Personas en control. </v>
      </c>
      <c r="CV93" s="465" t="str">
        <f t="shared" si="54"/>
        <v/>
      </c>
      <c r="CY93" s="470"/>
      <c r="CZ93" s="470"/>
      <c r="DA93" s="486">
        <f t="shared" si="89"/>
        <v>1</v>
      </c>
      <c r="DB93" s="486">
        <f t="shared" si="90"/>
        <v>1</v>
      </c>
      <c r="DC93" s="486">
        <f t="shared" si="80"/>
        <v>1</v>
      </c>
      <c r="DD93" s="486">
        <f t="shared" si="72"/>
        <v>1</v>
      </c>
      <c r="DE93" s="486">
        <f t="shared" si="81"/>
        <v>1</v>
      </c>
      <c r="DF93" s="486">
        <f t="shared" si="73"/>
        <v>1</v>
      </c>
      <c r="DG93" s="486">
        <f t="shared" si="82"/>
        <v>1</v>
      </c>
      <c r="DH93" s="486">
        <f t="shared" si="91"/>
        <v>0</v>
      </c>
      <c r="DI93" s="486">
        <f t="shared" si="92"/>
        <v>0</v>
      </c>
      <c r="DJ93" s="470"/>
      <c r="DK93" s="486">
        <f t="shared" si="83"/>
        <v>0</v>
      </c>
      <c r="DL93" s="486">
        <f t="shared" si="84"/>
        <v>0</v>
      </c>
      <c r="DM93" s="486">
        <f t="shared" si="63"/>
        <v>0</v>
      </c>
      <c r="DN93" s="1247"/>
      <c r="DO93" s="486">
        <f t="shared" si="64"/>
        <v>1</v>
      </c>
      <c r="DP93" s="486">
        <f t="shared" si="65"/>
        <v>0</v>
      </c>
    </row>
    <row r="94" spans="1:122" ht="25.5" customHeight="1" x14ac:dyDescent="0.25">
      <c r="A94" s="1773" t="s">
        <v>1286</v>
      </c>
      <c r="B94" s="2328"/>
      <c r="C94" s="1355" t="s">
        <v>641</v>
      </c>
      <c r="D94" s="1320" t="s">
        <v>1384</v>
      </c>
      <c r="E94" s="1321" t="s">
        <v>1385</v>
      </c>
      <c r="F94" s="1322" t="s">
        <v>1386</v>
      </c>
      <c r="G94" s="962" t="s">
        <v>1387</v>
      </c>
      <c r="H94" s="963" t="s">
        <v>1388</v>
      </c>
      <c r="I94" s="962" t="s">
        <v>1389</v>
      </c>
      <c r="J94" s="963" t="s">
        <v>1390</v>
      </c>
      <c r="K94" s="962" t="s">
        <v>1391</v>
      </c>
      <c r="L94" s="963" t="s">
        <v>1392</v>
      </c>
      <c r="M94" s="962" t="s">
        <v>1393</v>
      </c>
      <c r="N94" s="963" t="s">
        <v>1394</v>
      </c>
      <c r="O94" s="962" t="s">
        <v>1395</v>
      </c>
      <c r="P94" s="1041" t="s">
        <v>1396</v>
      </c>
      <c r="Q94" s="962" t="s">
        <v>1397</v>
      </c>
      <c r="R94" s="1041" t="s">
        <v>1398</v>
      </c>
      <c r="S94" s="962" t="s">
        <v>1399</v>
      </c>
      <c r="T94" s="1041" t="s">
        <v>1400</v>
      </c>
      <c r="U94" s="962" t="s">
        <v>1401</v>
      </c>
      <c r="V94" s="1041" t="s">
        <v>1402</v>
      </c>
      <c r="W94" s="962" t="s">
        <v>1403</v>
      </c>
      <c r="X94" s="1041" t="s">
        <v>1404</v>
      </c>
      <c r="Y94" s="962" t="s">
        <v>1405</v>
      </c>
      <c r="Z94" s="1041" t="s">
        <v>1406</v>
      </c>
      <c r="AA94" s="962" t="s">
        <v>1407</v>
      </c>
      <c r="AB94" s="1041" t="s">
        <v>1408</v>
      </c>
      <c r="AC94" s="962" t="s">
        <v>1409</v>
      </c>
      <c r="AD94" s="1041" t="s">
        <v>1410</v>
      </c>
      <c r="AE94" s="962" t="s">
        <v>1411</v>
      </c>
      <c r="AF94" s="1041" t="s">
        <v>1412</v>
      </c>
      <c r="AG94" s="962" t="s">
        <v>1413</v>
      </c>
      <c r="AH94" s="1041" t="s">
        <v>1414</v>
      </c>
      <c r="AI94" s="962" t="s">
        <v>1415</v>
      </c>
      <c r="AJ94" s="1041" t="s">
        <v>1416</v>
      </c>
      <c r="AK94" s="962" t="s">
        <v>1417</v>
      </c>
      <c r="AL94" s="1041" t="s">
        <v>1418</v>
      </c>
      <c r="AM94" s="962" t="s">
        <v>1419</v>
      </c>
      <c r="AN94" s="993" t="s">
        <v>1420</v>
      </c>
      <c r="AO94" s="1521" t="s">
        <v>1421</v>
      </c>
      <c r="AP94" s="1522" t="s">
        <v>1422</v>
      </c>
      <c r="AQ94" s="1522" t="s">
        <v>1423</v>
      </c>
      <c r="AR94" s="1522" t="s">
        <v>1424</v>
      </c>
      <c r="AS94" s="1041" t="s">
        <v>1425</v>
      </c>
      <c r="AT94" s="963" t="s">
        <v>1426</v>
      </c>
      <c r="AU94" s="963" t="s">
        <v>1427</v>
      </c>
      <c r="AV94" s="963" t="s">
        <v>1428</v>
      </c>
      <c r="AW94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4" s="465" t="str">
        <f t="shared" si="85"/>
        <v xml:space="preserve">* La celda 'Gestantes' debe ser menor o igual al Total de Mujeres en control. </v>
      </c>
      <c r="CH94" s="465" t="str">
        <f t="shared" si="86"/>
        <v xml:space="preserve">* La celda 'Madres de Hijos menor de 5 años' debe ser menor o igual al Total de Mujeres en control. </v>
      </c>
      <c r="CI94" s="465" t="str">
        <f t="shared" si="74"/>
        <v xml:space="preserve">* La celda 'Pueblos Originarios / Hombres' debe ser menor o igual al Total de Hombres en control. </v>
      </c>
      <c r="CJ94" s="465" t="str">
        <f t="shared" si="68"/>
        <v xml:space="preserve">* La celda 'Pueblos Originarios / Mujeres' debe ser menor o igual al Total de Mujeres en control. </v>
      </c>
      <c r="CK94" s="465" t="str">
        <f t="shared" si="75"/>
        <v xml:space="preserve">* La celda 'Población Migrantes / Hombres' debe ser menor o igual al Total de Hombres en control. </v>
      </c>
      <c r="CL94" s="465" t="str">
        <f t="shared" si="69"/>
        <v xml:space="preserve">* La celda 'Población Migrantes / Mujeres' debe ser menor o igual al Total de Mujeres en control. </v>
      </c>
      <c r="CM94" s="465" t="str">
        <f t="shared" si="76"/>
        <v xml:space="preserve">* La celda 'Población SENAME' debe ser menor o igual al Total de Personas en control. </v>
      </c>
      <c r="CN94" s="465" t="str">
        <f t="shared" si="87"/>
        <v/>
      </c>
      <c r="CO94" s="465" t="str">
        <f t="shared" si="88"/>
        <v/>
      </c>
      <c r="CQ94" s="465" t="str">
        <f t="shared" si="77"/>
        <v/>
      </c>
      <c r="CR94" s="465" t="str">
        <f t="shared" si="78"/>
        <v/>
      </c>
      <c r="CS94" s="465" t="str">
        <f t="shared" si="79"/>
        <v/>
      </c>
      <c r="CU94" s="465" t="str">
        <f t="shared" si="66"/>
        <v xml:space="preserve">* La celda 'Plan Cuidado Integral Elaborado' debe ser menor o igual al Total de Personas en control. </v>
      </c>
      <c r="CV94" s="465" t="str">
        <f t="shared" si="54"/>
        <v/>
      </c>
      <c r="CY94" s="470"/>
      <c r="CZ94" s="470"/>
      <c r="DA94" s="486">
        <f t="shared" si="89"/>
        <v>1</v>
      </c>
      <c r="DB94" s="486">
        <f t="shared" si="90"/>
        <v>1</v>
      </c>
      <c r="DC94" s="486">
        <f t="shared" si="80"/>
        <v>1</v>
      </c>
      <c r="DD94" s="486">
        <f t="shared" si="72"/>
        <v>1</v>
      </c>
      <c r="DE94" s="486">
        <f t="shared" si="81"/>
        <v>1</v>
      </c>
      <c r="DF94" s="486">
        <f t="shared" si="73"/>
        <v>1</v>
      </c>
      <c r="DG94" s="486">
        <f t="shared" si="82"/>
        <v>1</v>
      </c>
      <c r="DH94" s="486">
        <f t="shared" si="91"/>
        <v>0</v>
      </c>
      <c r="DI94" s="486">
        <f t="shared" si="92"/>
        <v>0</v>
      </c>
      <c r="DJ94" s="470"/>
      <c r="DK94" s="486">
        <f t="shared" si="83"/>
        <v>0</v>
      </c>
      <c r="DL94" s="486">
        <f t="shared" si="84"/>
        <v>0</v>
      </c>
      <c r="DM94" s="486">
        <f t="shared" si="63"/>
        <v>0</v>
      </c>
      <c r="DN94" s="1247"/>
      <c r="DO94" s="486">
        <f t="shared" si="64"/>
        <v>1</v>
      </c>
      <c r="DP94" s="486">
        <f t="shared" si="65"/>
        <v>0</v>
      </c>
    </row>
    <row r="95" spans="1:122" ht="25.5" customHeight="1" x14ac:dyDescent="0.25">
      <c r="A95" s="1773" t="s">
        <v>1287</v>
      </c>
      <c r="B95" s="2327" t="s">
        <v>647</v>
      </c>
      <c r="C95" s="226" t="s">
        <v>119</v>
      </c>
      <c r="D95" s="944" t="s">
        <v>1384</v>
      </c>
      <c r="E95" s="945" t="s">
        <v>1385</v>
      </c>
      <c r="F95" s="1146" t="s">
        <v>1386</v>
      </c>
      <c r="G95" s="977" t="s">
        <v>1387</v>
      </c>
      <c r="H95" s="978" t="s">
        <v>1388</v>
      </c>
      <c r="I95" s="977" t="s">
        <v>1389</v>
      </c>
      <c r="J95" s="978" t="s">
        <v>1390</v>
      </c>
      <c r="K95" s="977" t="s">
        <v>1391</v>
      </c>
      <c r="L95" s="978" t="s">
        <v>1392</v>
      </c>
      <c r="M95" s="977" t="s">
        <v>1393</v>
      </c>
      <c r="N95" s="978" t="s">
        <v>1394</v>
      </c>
      <c r="O95" s="977" t="s">
        <v>1395</v>
      </c>
      <c r="P95" s="978" t="s">
        <v>1396</v>
      </c>
      <c r="Q95" s="977" t="s">
        <v>1397</v>
      </c>
      <c r="R95" s="978" t="s">
        <v>1398</v>
      </c>
      <c r="S95" s="977" t="s">
        <v>1399</v>
      </c>
      <c r="T95" s="978" t="s">
        <v>1400</v>
      </c>
      <c r="U95" s="977" t="s">
        <v>1401</v>
      </c>
      <c r="V95" s="978" t="s">
        <v>1402</v>
      </c>
      <c r="W95" s="977" t="s">
        <v>1403</v>
      </c>
      <c r="X95" s="978" t="s">
        <v>1404</v>
      </c>
      <c r="Y95" s="977" t="s">
        <v>1405</v>
      </c>
      <c r="Z95" s="978" t="s">
        <v>1406</v>
      </c>
      <c r="AA95" s="977" t="s">
        <v>1407</v>
      </c>
      <c r="AB95" s="978" t="s">
        <v>1408</v>
      </c>
      <c r="AC95" s="977" t="s">
        <v>1409</v>
      </c>
      <c r="AD95" s="978" t="s">
        <v>1410</v>
      </c>
      <c r="AE95" s="977" t="s">
        <v>1411</v>
      </c>
      <c r="AF95" s="978" t="s">
        <v>1412</v>
      </c>
      <c r="AG95" s="977" t="s">
        <v>1413</v>
      </c>
      <c r="AH95" s="978" t="s">
        <v>1414</v>
      </c>
      <c r="AI95" s="977" t="s">
        <v>1415</v>
      </c>
      <c r="AJ95" s="978" t="s">
        <v>1416</v>
      </c>
      <c r="AK95" s="977" t="s">
        <v>1417</v>
      </c>
      <c r="AL95" s="978" t="s">
        <v>1418</v>
      </c>
      <c r="AM95" s="977" t="s">
        <v>1419</v>
      </c>
      <c r="AN95" s="978" t="s">
        <v>1420</v>
      </c>
      <c r="AO95" s="1559" t="s">
        <v>1421</v>
      </c>
      <c r="AP95" s="1549" t="s">
        <v>1422</v>
      </c>
      <c r="AQ95" s="1526" t="s">
        <v>1423</v>
      </c>
      <c r="AR95" s="1526" t="s">
        <v>1424</v>
      </c>
      <c r="AS95" s="1048" t="s">
        <v>1425</v>
      </c>
      <c r="AT95" s="978" t="s">
        <v>1426</v>
      </c>
      <c r="AU95" s="978" t="s">
        <v>1427</v>
      </c>
      <c r="AV95" s="978" t="s">
        <v>1428</v>
      </c>
      <c r="AW95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</v>
      </c>
      <c r="CG95" s="465" t="str">
        <f t="shared" si="85"/>
        <v xml:space="preserve">* La celda 'Gestantes' debe ser menor o igual al Total de Mujeres en control. </v>
      </c>
      <c r="CH95" s="465" t="str">
        <f t="shared" si="86"/>
        <v xml:space="preserve">* La celda 'Madres de Hijos menor de 5 años' debe ser menor o igual al Total de Mujeres en control. </v>
      </c>
      <c r="CI95" s="465" t="str">
        <f t="shared" si="74"/>
        <v xml:space="preserve">* La celda 'Pueblos Originarios / Hombres' debe ser menor o igual al Total de Hombres en control. </v>
      </c>
      <c r="CJ95" s="465" t="str">
        <f t="shared" si="68"/>
        <v xml:space="preserve">* La celda 'Pueblos Originarios / Mujeres' debe ser menor o igual al Total de Mujeres en control. </v>
      </c>
      <c r="CK95" s="465" t="str">
        <f t="shared" si="75"/>
        <v xml:space="preserve">* La celda 'Población Migrantes / Hombres' debe ser menor o igual al Total de Hombres en control. </v>
      </c>
      <c r="CL95" s="465" t="str">
        <f t="shared" si="69"/>
        <v xml:space="preserve">* La celda 'Población Migrantes / Mujeres' debe ser menor o igual al Total de Mujeres en control. </v>
      </c>
      <c r="CM95" s="465" t="str">
        <f t="shared" si="76"/>
        <v xml:space="preserve">* La celda 'Población SENAME' debe ser menor o igual al Total de Personas en control. </v>
      </c>
      <c r="CN95" s="465"/>
      <c r="CO95" s="465"/>
      <c r="CQ95" s="465"/>
      <c r="CR95" s="465"/>
      <c r="CS95" s="465"/>
      <c r="CU95" s="465"/>
      <c r="CV95" s="465"/>
      <c r="CY95" s="470"/>
      <c r="CZ95" s="470"/>
      <c r="DA95" s="486">
        <f t="shared" si="89"/>
        <v>1</v>
      </c>
      <c r="DB95" s="486">
        <f t="shared" si="90"/>
        <v>1</v>
      </c>
      <c r="DC95" s="486">
        <f t="shared" si="80"/>
        <v>1</v>
      </c>
      <c r="DD95" s="486">
        <f t="shared" si="72"/>
        <v>1</v>
      </c>
      <c r="DE95" s="486">
        <f t="shared" si="81"/>
        <v>1</v>
      </c>
      <c r="DF95" s="486">
        <f t="shared" si="73"/>
        <v>1</v>
      </c>
      <c r="DG95" s="486">
        <f t="shared" si="82"/>
        <v>1</v>
      </c>
      <c r="DH95" s="486"/>
      <c r="DI95" s="486"/>
      <c r="DJ95" s="470"/>
      <c r="DK95" s="486">
        <f t="shared" si="83"/>
        <v>0</v>
      </c>
      <c r="DL95" s="486">
        <f t="shared" si="84"/>
        <v>0</v>
      </c>
      <c r="DM95" s="486">
        <f t="shared" si="63"/>
        <v>0</v>
      </c>
      <c r="DN95" s="1247"/>
      <c r="DO95" s="486">
        <f t="shared" si="64"/>
        <v>1</v>
      </c>
      <c r="DP95" s="486">
        <f t="shared" si="65"/>
        <v>0</v>
      </c>
    </row>
    <row r="96" spans="1:122" ht="24" customHeight="1" x14ac:dyDescent="0.25">
      <c r="A96" s="1773" t="s">
        <v>1288</v>
      </c>
      <c r="B96" s="2359"/>
      <c r="C96" s="227" t="s">
        <v>120</v>
      </c>
      <c r="D96" s="944" t="s">
        <v>1384</v>
      </c>
      <c r="E96" s="945" t="s">
        <v>1385</v>
      </c>
      <c r="F96" s="1146" t="s">
        <v>1386</v>
      </c>
      <c r="G96" s="957" t="s">
        <v>1387</v>
      </c>
      <c r="H96" s="958" t="s">
        <v>1388</v>
      </c>
      <c r="I96" s="957" t="s">
        <v>1389</v>
      </c>
      <c r="J96" s="958" t="s">
        <v>1390</v>
      </c>
      <c r="K96" s="957" t="s">
        <v>1391</v>
      </c>
      <c r="L96" s="958" t="s">
        <v>1392</v>
      </c>
      <c r="M96" s="957" t="s">
        <v>1393</v>
      </c>
      <c r="N96" s="958" t="s">
        <v>1394</v>
      </c>
      <c r="O96" s="957" t="s">
        <v>1395</v>
      </c>
      <c r="P96" s="958" t="s">
        <v>1396</v>
      </c>
      <c r="Q96" s="957" t="s">
        <v>1397</v>
      </c>
      <c r="R96" s="958" t="s">
        <v>1398</v>
      </c>
      <c r="S96" s="957" t="s">
        <v>1399</v>
      </c>
      <c r="T96" s="958" t="s">
        <v>1400</v>
      </c>
      <c r="U96" s="957" t="s">
        <v>1401</v>
      </c>
      <c r="V96" s="958" t="s">
        <v>1402</v>
      </c>
      <c r="W96" s="957" t="s">
        <v>1403</v>
      </c>
      <c r="X96" s="958" t="s">
        <v>1404</v>
      </c>
      <c r="Y96" s="957" t="s">
        <v>1405</v>
      </c>
      <c r="Z96" s="958" t="s">
        <v>1406</v>
      </c>
      <c r="AA96" s="957" t="s">
        <v>1407</v>
      </c>
      <c r="AB96" s="958" t="s">
        <v>1408</v>
      </c>
      <c r="AC96" s="957" t="s">
        <v>1409</v>
      </c>
      <c r="AD96" s="958" t="s">
        <v>1410</v>
      </c>
      <c r="AE96" s="957" t="s">
        <v>1411</v>
      </c>
      <c r="AF96" s="958" t="s">
        <v>1412</v>
      </c>
      <c r="AG96" s="957" t="s">
        <v>1413</v>
      </c>
      <c r="AH96" s="958" t="s">
        <v>1414</v>
      </c>
      <c r="AI96" s="957" t="s">
        <v>1415</v>
      </c>
      <c r="AJ96" s="958" t="s">
        <v>1416</v>
      </c>
      <c r="AK96" s="957" t="s">
        <v>1417</v>
      </c>
      <c r="AL96" s="958" t="s">
        <v>1418</v>
      </c>
      <c r="AM96" s="957" t="s">
        <v>1419</v>
      </c>
      <c r="AN96" s="958" t="s">
        <v>1420</v>
      </c>
      <c r="AO96" s="1556" t="s">
        <v>1421</v>
      </c>
      <c r="AP96" s="1557" t="s">
        <v>1422</v>
      </c>
      <c r="AQ96" s="1520" t="s">
        <v>1423</v>
      </c>
      <c r="AR96" s="1520" t="s">
        <v>1424</v>
      </c>
      <c r="AS96" s="1044" t="s">
        <v>1425</v>
      </c>
      <c r="AT96" s="958" t="s">
        <v>1426</v>
      </c>
      <c r="AU96" s="958" t="s">
        <v>1427</v>
      </c>
      <c r="AV96" s="958" t="s">
        <v>1428</v>
      </c>
      <c r="AW96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6" s="465" t="str">
        <f t="shared" si="85"/>
        <v xml:space="preserve">* La celda 'Gestantes' debe ser menor o igual al Total de Mujeres en control. </v>
      </c>
      <c r="CH96" s="465" t="str">
        <f t="shared" si="86"/>
        <v xml:space="preserve">* La celda 'Madres de Hijos menor de 5 años' debe ser menor o igual al Total de Mujeres en control. </v>
      </c>
      <c r="CI96" s="465" t="str">
        <f t="shared" si="74"/>
        <v xml:space="preserve">* La celda 'Pueblos Originarios / Hombres' debe ser menor o igual al Total de Hombres en control. </v>
      </c>
      <c r="CJ96" s="465" t="str">
        <f t="shared" si="68"/>
        <v xml:space="preserve">* La celda 'Pueblos Originarios / Mujeres' debe ser menor o igual al Total de Mujeres en control. </v>
      </c>
      <c r="CK96" s="465" t="str">
        <f t="shared" si="75"/>
        <v xml:space="preserve">* La celda 'Población Migrantes / Hombres' debe ser menor o igual al Total de Hombres en control. </v>
      </c>
      <c r="CL96" s="465" t="str">
        <f t="shared" si="69"/>
        <v xml:space="preserve">* La celda 'Población Migrantes / Mujeres' debe ser menor o igual al Total de Mujeres en control. </v>
      </c>
      <c r="CM96" s="465" t="str">
        <f t="shared" si="76"/>
        <v xml:space="preserve">* La celda 'Población SENAME' debe ser menor o igual al Total de Personas en control. </v>
      </c>
      <c r="CN96" s="465"/>
      <c r="CO96" s="465"/>
      <c r="CQ96" s="465"/>
      <c r="CR96" s="465"/>
      <c r="CS96" s="465"/>
      <c r="CU96" s="465" t="str">
        <f t="shared" si="66"/>
        <v xml:space="preserve">* La celda 'Plan Cuidado Integral Elaborado' debe ser menor o igual al Total de Personas en control. </v>
      </c>
      <c r="CV96" s="465" t="str">
        <f t="shared" si="54"/>
        <v/>
      </c>
      <c r="CY96" s="470"/>
      <c r="CZ96" s="470"/>
      <c r="DA96" s="486">
        <f t="shared" si="89"/>
        <v>1</v>
      </c>
      <c r="DB96" s="486">
        <f t="shared" si="90"/>
        <v>1</v>
      </c>
      <c r="DC96" s="486">
        <f t="shared" si="80"/>
        <v>1</v>
      </c>
      <c r="DD96" s="486">
        <f t="shared" si="72"/>
        <v>1</v>
      </c>
      <c r="DE96" s="486">
        <f t="shared" si="81"/>
        <v>1</v>
      </c>
      <c r="DF96" s="486">
        <f t="shared" si="73"/>
        <v>1</v>
      </c>
      <c r="DG96" s="486">
        <f t="shared" si="82"/>
        <v>1</v>
      </c>
      <c r="DH96" s="486"/>
      <c r="DI96" s="486"/>
      <c r="DJ96" s="470"/>
      <c r="DK96" s="486">
        <f t="shared" si="83"/>
        <v>0</v>
      </c>
      <c r="DL96" s="486">
        <f t="shared" si="84"/>
        <v>0</v>
      </c>
      <c r="DM96" s="486">
        <f t="shared" si="63"/>
        <v>0</v>
      </c>
      <c r="DN96" s="1247"/>
      <c r="DO96" s="486">
        <f t="shared" si="64"/>
        <v>1</v>
      </c>
      <c r="DP96" s="486">
        <f t="shared" si="65"/>
        <v>0</v>
      </c>
    </row>
    <row r="97" spans="1:120" ht="24" customHeight="1" x14ac:dyDescent="0.25">
      <c r="A97" s="1773" t="s">
        <v>1289</v>
      </c>
      <c r="B97" s="2328"/>
      <c r="C97" s="228" t="s">
        <v>443</v>
      </c>
      <c r="D97" s="967" t="s">
        <v>1384</v>
      </c>
      <c r="E97" s="1157" t="s">
        <v>1385</v>
      </c>
      <c r="F97" s="1158" t="s">
        <v>1386</v>
      </c>
      <c r="G97" s="962" t="s">
        <v>1387</v>
      </c>
      <c r="H97" s="963" t="s">
        <v>1388</v>
      </c>
      <c r="I97" s="962" t="s">
        <v>1389</v>
      </c>
      <c r="J97" s="963" t="s">
        <v>1390</v>
      </c>
      <c r="K97" s="962" t="s">
        <v>1391</v>
      </c>
      <c r="L97" s="963" t="s">
        <v>1392</v>
      </c>
      <c r="M97" s="962" t="s">
        <v>1393</v>
      </c>
      <c r="N97" s="963" t="s">
        <v>1394</v>
      </c>
      <c r="O97" s="962" t="s">
        <v>1395</v>
      </c>
      <c r="P97" s="963" t="s">
        <v>1396</v>
      </c>
      <c r="Q97" s="962" t="s">
        <v>1397</v>
      </c>
      <c r="R97" s="963" t="s">
        <v>1398</v>
      </c>
      <c r="S97" s="962" t="s">
        <v>1399</v>
      </c>
      <c r="T97" s="963" t="s">
        <v>1400</v>
      </c>
      <c r="U97" s="962" t="s">
        <v>1401</v>
      </c>
      <c r="V97" s="963" t="s">
        <v>1402</v>
      </c>
      <c r="W97" s="962" t="s">
        <v>1403</v>
      </c>
      <c r="X97" s="963" t="s">
        <v>1404</v>
      </c>
      <c r="Y97" s="962" t="s">
        <v>1405</v>
      </c>
      <c r="Z97" s="963" t="s">
        <v>1406</v>
      </c>
      <c r="AA97" s="962" t="s">
        <v>1407</v>
      </c>
      <c r="AB97" s="963" t="s">
        <v>1408</v>
      </c>
      <c r="AC97" s="962" t="s">
        <v>1409</v>
      </c>
      <c r="AD97" s="963" t="s">
        <v>1410</v>
      </c>
      <c r="AE97" s="962" t="s">
        <v>1411</v>
      </c>
      <c r="AF97" s="963" t="s">
        <v>1412</v>
      </c>
      <c r="AG97" s="962" t="s">
        <v>1413</v>
      </c>
      <c r="AH97" s="963" t="s">
        <v>1414</v>
      </c>
      <c r="AI97" s="962" t="s">
        <v>1415</v>
      </c>
      <c r="AJ97" s="963" t="s">
        <v>1416</v>
      </c>
      <c r="AK97" s="962" t="s">
        <v>1417</v>
      </c>
      <c r="AL97" s="963" t="s">
        <v>1418</v>
      </c>
      <c r="AM97" s="962" t="s">
        <v>1419</v>
      </c>
      <c r="AN97" s="963" t="s">
        <v>1420</v>
      </c>
      <c r="AO97" s="1560" t="s">
        <v>1421</v>
      </c>
      <c r="AP97" s="1561" t="s">
        <v>1422</v>
      </c>
      <c r="AQ97" s="1522" t="s">
        <v>1423</v>
      </c>
      <c r="AR97" s="1522" t="s">
        <v>1424</v>
      </c>
      <c r="AS97" s="1041" t="s">
        <v>1425</v>
      </c>
      <c r="AT97" s="963" t="s">
        <v>1426</v>
      </c>
      <c r="AU97" s="963" t="s">
        <v>1427</v>
      </c>
      <c r="AV97" s="963" t="s">
        <v>1428</v>
      </c>
      <c r="AW97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7" s="465" t="str">
        <f t="shared" si="85"/>
        <v xml:space="preserve">* La celda 'Gestantes' debe ser menor o igual al Total de Mujeres en control. </v>
      </c>
      <c r="CH97" s="465" t="str">
        <f t="shared" si="86"/>
        <v xml:space="preserve">* La celda 'Madres de Hijos menor de 5 años' debe ser menor o igual al Total de Mujeres en control. </v>
      </c>
      <c r="CI97" s="465" t="str">
        <f t="shared" si="74"/>
        <v xml:space="preserve">* La celda 'Pueblos Originarios / Hombres' debe ser menor o igual al Total de Hombres en control. </v>
      </c>
      <c r="CJ97" s="465" t="str">
        <f t="shared" si="68"/>
        <v xml:space="preserve">* La celda 'Pueblos Originarios / Mujeres' debe ser menor o igual al Total de Mujeres en control. </v>
      </c>
      <c r="CK97" s="465" t="str">
        <f t="shared" si="75"/>
        <v xml:space="preserve">* La celda 'Población Migrantes / Hombres' debe ser menor o igual al Total de Hombres en control. </v>
      </c>
      <c r="CL97" s="465" t="str">
        <f t="shared" si="69"/>
        <v xml:space="preserve">* La celda 'Población Migrantes / Mujeres' debe ser menor o igual al Total de Mujeres en control. </v>
      </c>
      <c r="CM97" s="465" t="str">
        <f t="shared" si="76"/>
        <v xml:space="preserve">* La celda 'Población SENAME' debe ser menor o igual al Total de Personas en control. </v>
      </c>
      <c r="CN97" s="465"/>
      <c r="CO97" s="465"/>
      <c r="CQ97" s="465"/>
      <c r="CR97" s="465"/>
      <c r="CS97" s="465"/>
      <c r="CU97" s="465" t="str">
        <f t="shared" si="66"/>
        <v xml:space="preserve">* La celda 'Plan Cuidado Integral Elaborado' debe ser menor o igual al Total de Personas en control. </v>
      </c>
      <c r="CV97" s="465" t="str">
        <f t="shared" si="54"/>
        <v/>
      </c>
      <c r="CY97" s="470"/>
      <c r="CZ97" s="470"/>
      <c r="DA97" s="486">
        <f t="shared" si="89"/>
        <v>1</v>
      </c>
      <c r="DB97" s="486">
        <f t="shared" si="90"/>
        <v>1</v>
      </c>
      <c r="DC97" s="486">
        <f t="shared" si="80"/>
        <v>1</v>
      </c>
      <c r="DD97" s="486">
        <f t="shared" si="72"/>
        <v>1</v>
      </c>
      <c r="DE97" s="486">
        <f t="shared" si="81"/>
        <v>1</v>
      </c>
      <c r="DF97" s="486">
        <f t="shared" si="73"/>
        <v>1</v>
      </c>
      <c r="DG97" s="486">
        <f t="shared" si="82"/>
        <v>1</v>
      </c>
      <c r="DH97" s="486"/>
      <c r="DI97" s="486"/>
      <c r="DJ97" s="470"/>
      <c r="DK97" s="486">
        <f t="shared" si="83"/>
        <v>0</v>
      </c>
      <c r="DL97" s="486">
        <f t="shared" si="84"/>
        <v>0</v>
      </c>
      <c r="DM97" s="486">
        <f t="shared" si="63"/>
        <v>0</v>
      </c>
      <c r="DN97" s="1247"/>
      <c r="DO97" s="486">
        <f t="shared" si="64"/>
        <v>1</v>
      </c>
      <c r="DP97" s="486">
        <f t="shared" si="65"/>
        <v>0</v>
      </c>
    </row>
    <row r="98" spans="1:120" ht="24" customHeight="1" x14ac:dyDescent="0.25">
      <c r="A98" s="1773" t="s">
        <v>1290</v>
      </c>
      <c r="B98" s="2360" t="s">
        <v>254</v>
      </c>
      <c r="C98" s="2361"/>
      <c r="D98" s="945" t="s">
        <v>1384</v>
      </c>
      <c r="E98" s="945" t="s">
        <v>1385</v>
      </c>
      <c r="F98" s="1146" t="s">
        <v>1386</v>
      </c>
      <c r="G98" s="977" t="s">
        <v>1387</v>
      </c>
      <c r="H98" s="978" t="s">
        <v>1388</v>
      </c>
      <c r="I98" s="977" t="s">
        <v>1389</v>
      </c>
      <c r="J98" s="978" t="s">
        <v>1390</v>
      </c>
      <c r="K98" s="977" t="s">
        <v>1391</v>
      </c>
      <c r="L98" s="978" t="s">
        <v>1392</v>
      </c>
      <c r="M98" s="977" t="s">
        <v>1393</v>
      </c>
      <c r="N98" s="978" t="s">
        <v>1394</v>
      </c>
      <c r="O98" s="977" t="s">
        <v>1395</v>
      </c>
      <c r="P98" s="978" t="s">
        <v>1396</v>
      </c>
      <c r="Q98" s="977" t="s">
        <v>1397</v>
      </c>
      <c r="R98" s="978" t="s">
        <v>1398</v>
      </c>
      <c r="S98" s="977" t="s">
        <v>1399</v>
      </c>
      <c r="T98" s="978" t="s">
        <v>1400</v>
      </c>
      <c r="U98" s="977" t="s">
        <v>1401</v>
      </c>
      <c r="V98" s="978" t="s">
        <v>1402</v>
      </c>
      <c r="W98" s="977" t="s">
        <v>1403</v>
      </c>
      <c r="X98" s="978" t="s">
        <v>1404</v>
      </c>
      <c r="Y98" s="977" t="s">
        <v>1405</v>
      </c>
      <c r="Z98" s="978" t="s">
        <v>1406</v>
      </c>
      <c r="AA98" s="977" t="s">
        <v>1407</v>
      </c>
      <c r="AB98" s="978" t="s">
        <v>1408</v>
      </c>
      <c r="AC98" s="977" t="s">
        <v>1409</v>
      </c>
      <c r="AD98" s="978" t="s">
        <v>1410</v>
      </c>
      <c r="AE98" s="977" t="s">
        <v>1411</v>
      </c>
      <c r="AF98" s="978" t="s">
        <v>1412</v>
      </c>
      <c r="AG98" s="977" t="s">
        <v>1413</v>
      </c>
      <c r="AH98" s="978" t="s">
        <v>1414</v>
      </c>
      <c r="AI98" s="977" t="s">
        <v>1415</v>
      </c>
      <c r="AJ98" s="978" t="s">
        <v>1416</v>
      </c>
      <c r="AK98" s="977" t="s">
        <v>1417</v>
      </c>
      <c r="AL98" s="978" t="s">
        <v>1418</v>
      </c>
      <c r="AM98" s="977" t="s">
        <v>1419</v>
      </c>
      <c r="AN98" s="978" t="s">
        <v>1420</v>
      </c>
      <c r="AO98" s="1029" t="s">
        <v>1421</v>
      </c>
      <c r="AP98" s="1526" t="s">
        <v>1422</v>
      </c>
      <c r="AQ98" s="1526" t="s">
        <v>1423</v>
      </c>
      <c r="AR98" s="1526" t="s">
        <v>1424</v>
      </c>
      <c r="AS98" s="1048" t="s">
        <v>1425</v>
      </c>
      <c r="AT98" s="978" t="s">
        <v>1426</v>
      </c>
      <c r="AU98" s="978" t="s">
        <v>1427</v>
      </c>
      <c r="AV98" s="978" t="s">
        <v>1428</v>
      </c>
      <c r="AW98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8" s="465" t="str">
        <f t="shared" si="85"/>
        <v xml:space="preserve">* La celda 'Gestantes' debe ser menor o igual al Total de Mujeres en control. </v>
      </c>
      <c r="CH98" s="465" t="str">
        <f t="shared" si="86"/>
        <v xml:space="preserve">* La celda 'Madres de Hijos menor de 5 años' debe ser menor o igual al Total de Mujeres en control. </v>
      </c>
      <c r="CI98" s="465" t="str">
        <f t="shared" si="74"/>
        <v xml:space="preserve">* La celda 'Pueblos Originarios / Hombres' debe ser menor o igual al Total de Hombres en control. </v>
      </c>
      <c r="CJ98" s="465" t="str">
        <f t="shared" si="68"/>
        <v xml:space="preserve">* La celda 'Pueblos Originarios / Mujeres' debe ser menor o igual al Total de Mujeres en control. </v>
      </c>
      <c r="CK98" s="465" t="str">
        <f t="shared" si="75"/>
        <v xml:space="preserve">* La celda 'Población Migrantes / Hombres' debe ser menor o igual al Total de Hombres en control. </v>
      </c>
      <c r="CL98" s="465" t="str">
        <f t="shared" si="69"/>
        <v xml:space="preserve">* La celda 'Población Migrantes / Mujeres' debe ser menor o igual al Total de Mujeres en control. </v>
      </c>
      <c r="CM98" s="465" t="str">
        <f t="shared" si="76"/>
        <v xml:space="preserve">* La celda 'Población SENAME' debe ser menor o igual al Total de Personas en control. </v>
      </c>
      <c r="CN98" s="465" t="str">
        <f t="shared" si="87"/>
        <v/>
      </c>
      <c r="CO98" s="465" t="str">
        <f t="shared" si="88"/>
        <v/>
      </c>
      <c r="CQ98" s="465" t="str">
        <f t="shared" si="77"/>
        <v/>
      </c>
      <c r="CR98" s="465" t="str">
        <f t="shared" si="78"/>
        <v/>
      </c>
      <c r="CS98" s="465" t="str">
        <f t="shared" si="79"/>
        <v/>
      </c>
      <c r="CU98" s="465" t="str">
        <f t="shared" si="66"/>
        <v xml:space="preserve">* La celda 'Plan Cuidado Integral Elaborado' debe ser menor o igual al Total de Personas en control. </v>
      </c>
      <c r="CV98" s="465" t="str">
        <f t="shared" si="54"/>
        <v/>
      </c>
      <c r="CY98" s="470"/>
      <c r="CZ98" s="470"/>
      <c r="DA98" s="486">
        <f t="shared" si="89"/>
        <v>1</v>
      </c>
      <c r="DB98" s="486">
        <f t="shared" si="90"/>
        <v>1</v>
      </c>
      <c r="DC98" s="486">
        <f t="shared" si="80"/>
        <v>1</v>
      </c>
      <c r="DD98" s="486">
        <f t="shared" si="72"/>
        <v>1</v>
      </c>
      <c r="DE98" s="486">
        <f t="shared" si="81"/>
        <v>1</v>
      </c>
      <c r="DF98" s="486">
        <f t="shared" si="73"/>
        <v>1</v>
      </c>
      <c r="DG98" s="486">
        <f t="shared" si="82"/>
        <v>1</v>
      </c>
      <c r="DH98" s="486">
        <f t="shared" si="91"/>
        <v>0</v>
      </c>
      <c r="DI98" s="486">
        <f t="shared" si="92"/>
        <v>0</v>
      </c>
      <c r="DJ98" s="470"/>
      <c r="DK98" s="486">
        <f t="shared" si="83"/>
        <v>0</v>
      </c>
      <c r="DL98" s="486">
        <f t="shared" si="84"/>
        <v>0</v>
      </c>
      <c r="DM98" s="486">
        <f t="shared" si="63"/>
        <v>0</v>
      </c>
      <c r="DN98" s="1247"/>
      <c r="DO98" s="486">
        <f t="shared" si="64"/>
        <v>1</v>
      </c>
      <c r="DP98" s="486">
        <f t="shared" si="65"/>
        <v>0</v>
      </c>
    </row>
    <row r="99" spans="1:120" ht="24" customHeight="1" x14ac:dyDescent="0.25">
      <c r="A99" s="1773" t="s">
        <v>1291</v>
      </c>
      <c r="B99" s="2360" t="s">
        <v>518</v>
      </c>
      <c r="C99" s="2361"/>
      <c r="D99" s="945" t="s">
        <v>1384</v>
      </c>
      <c r="E99" s="945" t="s">
        <v>1385</v>
      </c>
      <c r="F99" s="1146" t="s">
        <v>1386</v>
      </c>
      <c r="G99" s="977" t="s">
        <v>1387</v>
      </c>
      <c r="H99" s="978" t="s">
        <v>1388</v>
      </c>
      <c r="I99" s="977" t="s">
        <v>1389</v>
      </c>
      <c r="J99" s="978" t="s">
        <v>1390</v>
      </c>
      <c r="K99" s="977" t="s">
        <v>1391</v>
      </c>
      <c r="L99" s="978" t="s">
        <v>1392</v>
      </c>
      <c r="M99" s="977" t="s">
        <v>1393</v>
      </c>
      <c r="N99" s="978" t="s">
        <v>1394</v>
      </c>
      <c r="O99" s="977" t="s">
        <v>1395</v>
      </c>
      <c r="P99" s="978" t="s">
        <v>1396</v>
      </c>
      <c r="Q99" s="977" t="s">
        <v>1397</v>
      </c>
      <c r="R99" s="978" t="s">
        <v>1398</v>
      </c>
      <c r="S99" s="977" t="s">
        <v>1399</v>
      </c>
      <c r="T99" s="978" t="s">
        <v>1400</v>
      </c>
      <c r="U99" s="977" t="s">
        <v>1401</v>
      </c>
      <c r="V99" s="978" t="s">
        <v>1402</v>
      </c>
      <c r="W99" s="977" t="s">
        <v>1403</v>
      </c>
      <c r="X99" s="978" t="s">
        <v>1404</v>
      </c>
      <c r="Y99" s="977" t="s">
        <v>1405</v>
      </c>
      <c r="Z99" s="978" t="s">
        <v>1406</v>
      </c>
      <c r="AA99" s="977" t="s">
        <v>1407</v>
      </c>
      <c r="AB99" s="978" t="s">
        <v>1408</v>
      </c>
      <c r="AC99" s="977" t="s">
        <v>1409</v>
      </c>
      <c r="AD99" s="978" t="s">
        <v>1410</v>
      </c>
      <c r="AE99" s="977" t="s">
        <v>1411</v>
      </c>
      <c r="AF99" s="978" t="s">
        <v>1412</v>
      </c>
      <c r="AG99" s="977" t="s">
        <v>1413</v>
      </c>
      <c r="AH99" s="978" t="s">
        <v>1414</v>
      </c>
      <c r="AI99" s="977" t="s">
        <v>1415</v>
      </c>
      <c r="AJ99" s="978" t="s">
        <v>1416</v>
      </c>
      <c r="AK99" s="977" t="s">
        <v>1417</v>
      </c>
      <c r="AL99" s="978" t="s">
        <v>1418</v>
      </c>
      <c r="AM99" s="977" t="s">
        <v>1419</v>
      </c>
      <c r="AN99" s="978" t="s">
        <v>1420</v>
      </c>
      <c r="AO99" s="1029" t="s">
        <v>1421</v>
      </c>
      <c r="AP99" s="1526" t="s">
        <v>1422</v>
      </c>
      <c r="AQ99" s="1526" t="s">
        <v>1423</v>
      </c>
      <c r="AR99" s="1526" t="s">
        <v>1424</v>
      </c>
      <c r="AS99" s="1048" t="s">
        <v>1425</v>
      </c>
      <c r="AT99" s="978" t="s">
        <v>1426</v>
      </c>
      <c r="AU99" s="978" t="s">
        <v>1427</v>
      </c>
      <c r="AV99" s="978" t="s">
        <v>1428</v>
      </c>
      <c r="AW99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99" s="465" t="str">
        <f t="shared" si="85"/>
        <v xml:space="preserve">* La celda 'Gestantes' debe ser menor o igual al Total de Mujeres en control. </v>
      </c>
      <c r="CH99" s="465" t="str">
        <f t="shared" si="86"/>
        <v xml:space="preserve">* La celda 'Madres de Hijos menor de 5 años' debe ser menor o igual al Total de Mujeres en control. </v>
      </c>
      <c r="CI99" s="465" t="str">
        <f t="shared" si="74"/>
        <v xml:space="preserve">* La celda 'Pueblos Originarios / Hombres' debe ser menor o igual al Total de Hombres en control. </v>
      </c>
      <c r="CJ99" s="465" t="str">
        <f t="shared" si="68"/>
        <v xml:space="preserve">* La celda 'Pueblos Originarios / Mujeres' debe ser menor o igual al Total de Mujeres en control. </v>
      </c>
      <c r="CK99" s="465" t="str">
        <f t="shared" si="75"/>
        <v xml:space="preserve">* La celda 'Población Migrantes / Hombres' debe ser menor o igual al Total de Hombres en control. </v>
      </c>
      <c r="CL99" s="465" t="str">
        <f t="shared" si="69"/>
        <v xml:space="preserve">* La celda 'Población Migrantes / Mujeres' debe ser menor o igual al Total de Mujeres en control. </v>
      </c>
      <c r="CM99" s="465" t="str">
        <f t="shared" si="76"/>
        <v xml:space="preserve">* La celda 'Población SENAME' debe ser menor o igual al Total de Personas en control. </v>
      </c>
      <c r="CN99" s="465" t="str">
        <f t="shared" si="87"/>
        <v/>
      </c>
      <c r="CO99" s="465" t="str">
        <f t="shared" si="88"/>
        <v/>
      </c>
      <c r="CQ99" s="465" t="str">
        <f t="shared" si="77"/>
        <v/>
      </c>
      <c r="CR99" s="465" t="str">
        <f t="shared" si="78"/>
        <v/>
      </c>
      <c r="CS99" s="465" t="str">
        <f t="shared" si="79"/>
        <v/>
      </c>
      <c r="CU99" s="465" t="str">
        <f t="shared" si="66"/>
        <v xml:space="preserve">* La celda 'Plan Cuidado Integral Elaborado' debe ser menor o igual al Total de Personas en control. </v>
      </c>
      <c r="CV99" s="465" t="str">
        <f t="shared" si="54"/>
        <v/>
      </c>
      <c r="CY99" s="470"/>
      <c r="CZ99" s="470"/>
      <c r="DA99" s="486">
        <f t="shared" si="89"/>
        <v>1</v>
      </c>
      <c r="DB99" s="486">
        <f t="shared" si="90"/>
        <v>1</v>
      </c>
      <c r="DC99" s="486">
        <f t="shared" si="80"/>
        <v>1</v>
      </c>
      <c r="DD99" s="486">
        <f t="shared" si="72"/>
        <v>1</v>
      </c>
      <c r="DE99" s="486">
        <f t="shared" si="81"/>
        <v>1</v>
      </c>
      <c r="DF99" s="486">
        <f t="shared" si="73"/>
        <v>1</v>
      </c>
      <c r="DG99" s="486">
        <f t="shared" si="82"/>
        <v>1</v>
      </c>
      <c r="DH99" s="486">
        <f t="shared" si="91"/>
        <v>0</v>
      </c>
      <c r="DI99" s="486">
        <f t="shared" si="92"/>
        <v>0</v>
      </c>
      <c r="DJ99" s="470"/>
      <c r="DK99" s="486">
        <f t="shared" si="83"/>
        <v>0</v>
      </c>
      <c r="DL99" s="486">
        <f t="shared" si="84"/>
        <v>0</v>
      </c>
      <c r="DM99" s="486">
        <f t="shared" si="63"/>
        <v>0</v>
      </c>
      <c r="DN99" s="1247"/>
      <c r="DO99" s="486">
        <f t="shared" si="64"/>
        <v>1</v>
      </c>
      <c r="DP99" s="486">
        <f t="shared" si="65"/>
        <v>0</v>
      </c>
    </row>
    <row r="100" spans="1:120" ht="24" customHeight="1" x14ac:dyDescent="0.25">
      <c r="A100" s="1773" t="s">
        <v>1292</v>
      </c>
      <c r="B100" s="2362" t="s">
        <v>255</v>
      </c>
      <c r="C100" s="2363"/>
      <c r="D100" s="956" t="s">
        <v>1384</v>
      </c>
      <c r="E100" s="956" t="s">
        <v>1385</v>
      </c>
      <c r="F100" s="1150" t="s">
        <v>1386</v>
      </c>
      <c r="G100" s="957" t="s">
        <v>1387</v>
      </c>
      <c r="H100" s="958" t="s">
        <v>1388</v>
      </c>
      <c r="I100" s="957" t="s">
        <v>1389</v>
      </c>
      <c r="J100" s="958" t="s">
        <v>1390</v>
      </c>
      <c r="K100" s="957" t="s">
        <v>1391</v>
      </c>
      <c r="L100" s="958" t="s">
        <v>1392</v>
      </c>
      <c r="M100" s="957" t="s">
        <v>1393</v>
      </c>
      <c r="N100" s="958" t="s">
        <v>1394</v>
      </c>
      <c r="O100" s="957" t="s">
        <v>1395</v>
      </c>
      <c r="P100" s="958" t="s">
        <v>1396</v>
      </c>
      <c r="Q100" s="957" t="s">
        <v>1397</v>
      </c>
      <c r="R100" s="958" t="s">
        <v>1398</v>
      </c>
      <c r="S100" s="957" t="s">
        <v>1399</v>
      </c>
      <c r="T100" s="958" t="s">
        <v>1400</v>
      </c>
      <c r="U100" s="957" t="s">
        <v>1401</v>
      </c>
      <c r="V100" s="958" t="s">
        <v>1402</v>
      </c>
      <c r="W100" s="957" t="s">
        <v>1403</v>
      </c>
      <c r="X100" s="958" t="s">
        <v>1404</v>
      </c>
      <c r="Y100" s="957" t="s">
        <v>1405</v>
      </c>
      <c r="Z100" s="958" t="s">
        <v>1406</v>
      </c>
      <c r="AA100" s="957" t="s">
        <v>1407</v>
      </c>
      <c r="AB100" s="958" t="s">
        <v>1408</v>
      </c>
      <c r="AC100" s="957" t="s">
        <v>1409</v>
      </c>
      <c r="AD100" s="958" t="s">
        <v>1410</v>
      </c>
      <c r="AE100" s="957" t="s">
        <v>1411</v>
      </c>
      <c r="AF100" s="958" t="s">
        <v>1412</v>
      </c>
      <c r="AG100" s="957" t="s">
        <v>1413</v>
      </c>
      <c r="AH100" s="958" t="s">
        <v>1414</v>
      </c>
      <c r="AI100" s="957" t="s">
        <v>1415</v>
      </c>
      <c r="AJ100" s="958" t="s">
        <v>1416</v>
      </c>
      <c r="AK100" s="957" t="s">
        <v>1417</v>
      </c>
      <c r="AL100" s="958" t="s">
        <v>1418</v>
      </c>
      <c r="AM100" s="957" t="s">
        <v>1419</v>
      </c>
      <c r="AN100" s="958" t="s">
        <v>1420</v>
      </c>
      <c r="AO100" s="1030" t="s">
        <v>1421</v>
      </c>
      <c r="AP100" s="1520" t="s">
        <v>1422</v>
      </c>
      <c r="AQ100" s="1520" t="s">
        <v>1423</v>
      </c>
      <c r="AR100" s="1520" t="s">
        <v>1424</v>
      </c>
      <c r="AS100" s="1044" t="s">
        <v>1425</v>
      </c>
      <c r="AT100" s="958" t="s">
        <v>1426</v>
      </c>
      <c r="AU100" s="958" t="s">
        <v>1427</v>
      </c>
      <c r="AV100" s="958" t="s">
        <v>1428</v>
      </c>
      <c r="AW100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100" s="465" t="str">
        <f t="shared" si="85"/>
        <v xml:space="preserve">* La celda 'Gestantes' debe ser menor o igual al Total de Mujeres en control. </v>
      </c>
      <c r="CH100" s="465" t="str">
        <f t="shared" si="86"/>
        <v xml:space="preserve">* La celda 'Madres de Hijos menor de 5 años' debe ser menor o igual al Total de Mujeres en control. </v>
      </c>
      <c r="CI100" s="465" t="str">
        <f t="shared" si="74"/>
        <v xml:space="preserve">* La celda 'Pueblos Originarios / Hombres' debe ser menor o igual al Total de Hombres en control. </v>
      </c>
      <c r="CJ100" s="465" t="str">
        <f t="shared" si="68"/>
        <v xml:space="preserve">* La celda 'Pueblos Originarios / Mujeres' debe ser menor o igual al Total de Mujeres en control. </v>
      </c>
      <c r="CK100" s="465" t="str">
        <f t="shared" si="75"/>
        <v xml:space="preserve">* La celda 'Población Migrantes / Hombres' debe ser menor o igual al Total de Hombres en control. </v>
      </c>
      <c r="CL100" s="465" t="str">
        <f t="shared" si="69"/>
        <v xml:space="preserve">* La celda 'Población Migrantes / Mujeres' debe ser menor o igual al Total de Mujeres en control. </v>
      </c>
      <c r="CM100" s="465" t="str">
        <f t="shared" si="76"/>
        <v xml:space="preserve">* La celda 'Población SENAME' debe ser menor o igual al Total de Personas en control. </v>
      </c>
      <c r="CN100" s="465" t="str">
        <f t="shared" si="87"/>
        <v/>
      </c>
      <c r="CO100" s="465" t="str">
        <f t="shared" si="88"/>
        <v/>
      </c>
      <c r="CQ100" s="465" t="str">
        <f t="shared" si="77"/>
        <v/>
      </c>
      <c r="CR100" s="465" t="str">
        <f t="shared" si="78"/>
        <v/>
      </c>
      <c r="CS100" s="465" t="str">
        <f t="shared" si="79"/>
        <v/>
      </c>
      <c r="CU100" s="465" t="str">
        <f t="shared" si="66"/>
        <v xml:space="preserve">* La celda 'Plan Cuidado Integral Elaborado' debe ser menor o igual al Total de Personas en control. </v>
      </c>
      <c r="CV100" s="465" t="str">
        <f t="shared" si="54"/>
        <v/>
      </c>
      <c r="CY100" s="470"/>
      <c r="CZ100" s="470"/>
      <c r="DA100" s="486">
        <f t="shared" si="89"/>
        <v>1</v>
      </c>
      <c r="DB100" s="486">
        <f t="shared" si="90"/>
        <v>1</v>
      </c>
      <c r="DC100" s="486">
        <f t="shared" si="80"/>
        <v>1</v>
      </c>
      <c r="DD100" s="486">
        <f t="shared" si="72"/>
        <v>1</v>
      </c>
      <c r="DE100" s="486">
        <f t="shared" si="81"/>
        <v>1</v>
      </c>
      <c r="DF100" s="486">
        <f t="shared" si="73"/>
        <v>1</v>
      </c>
      <c r="DG100" s="486">
        <f t="shared" si="82"/>
        <v>1</v>
      </c>
      <c r="DH100" s="486">
        <f t="shared" si="91"/>
        <v>0</v>
      </c>
      <c r="DI100" s="486">
        <f t="shared" si="92"/>
        <v>0</v>
      </c>
      <c r="DJ100" s="470"/>
      <c r="DK100" s="486">
        <f t="shared" si="83"/>
        <v>0</v>
      </c>
      <c r="DL100" s="486">
        <f t="shared" si="84"/>
        <v>0</v>
      </c>
      <c r="DM100" s="486">
        <f t="shared" si="63"/>
        <v>0</v>
      </c>
      <c r="DN100" s="1247"/>
      <c r="DO100" s="486">
        <f t="shared" si="64"/>
        <v>1</v>
      </c>
      <c r="DP100" s="486">
        <f t="shared" si="65"/>
        <v>0</v>
      </c>
    </row>
    <row r="101" spans="1:120" ht="24" customHeight="1" x14ac:dyDescent="0.25">
      <c r="A101" s="1773" t="s">
        <v>1293</v>
      </c>
      <c r="B101" s="2362" t="s">
        <v>256</v>
      </c>
      <c r="C101" s="2363"/>
      <c r="D101" s="956" t="s">
        <v>1384</v>
      </c>
      <c r="E101" s="956" t="s">
        <v>1385</v>
      </c>
      <c r="F101" s="1150" t="s">
        <v>1386</v>
      </c>
      <c r="G101" s="957" t="s">
        <v>1387</v>
      </c>
      <c r="H101" s="958" t="s">
        <v>1388</v>
      </c>
      <c r="I101" s="957" t="s">
        <v>1389</v>
      </c>
      <c r="J101" s="958" t="s">
        <v>1390</v>
      </c>
      <c r="K101" s="957" t="s">
        <v>1391</v>
      </c>
      <c r="L101" s="958" t="s">
        <v>1392</v>
      </c>
      <c r="M101" s="957" t="s">
        <v>1393</v>
      </c>
      <c r="N101" s="958" t="s">
        <v>1394</v>
      </c>
      <c r="O101" s="957" t="s">
        <v>1395</v>
      </c>
      <c r="P101" s="958" t="s">
        <v>1396</v>
      </c>
      <c r="Q101" s="957" t="s">
        <v>1397</v>
      </c>
      <c r="R101" s="958" t="s">
        <v>1398</v>
      </c>
      <c r="S101" s="957" t="s">
        <v>1399</v>
      </c>
      <c r="T101" s="958" t="s">
        <v>1400</v>
      </c>
      <c r="U101" s="957" t="s">
        <v>1401</v>
      </c>
      <c r="V101" s="958" t="s">
        <v>1402</v>
      </c>
      <c r="W101" s="957" t="s">
        <v>1403</v>
      </c>
      <c r="X101" s="958" t="s">
        <v>1404</v>
      </c>
      <c r="Y101" s="957" t="s">
        <v>1405</v>
      </c>
      <c r="Z101" s="958" t="s">
        <v>1406</v>
      </c>
      <c r="AA101" s="957" t="s">
        <v>1407</v>
      </c>
      <c r="AB101" s="958" t="s">
        <v>1408</v>
      </c>
      <c r="AC101" s="957" t="s">
        <v>1409</v>
      </c>
      <c r="AD101" s="958" t="s">
        <v>1410</v>
      </c>
      <c r="AE101" s="957" t="s">
        <v>1411</v>
      </c>
      <c r="AF101" s="958" t="s">
        <v>1412</v>
      </c>
      <c r="AG101" s="957" t="s">
        <v>1413</v>
      </c>
      <c r="AH101" s="958" t="s">
        <v>1414</v>
      </c>
      <c r="AI101" s="957" t="s">
        <v>1415</v>
      </c>
      <c r="AJ101" s="958" t="s">
        <v>1416</v>
      </c>
      <c r="AK101" s="957" t="s">
        <v>1417</v>
      </c>
      <c r="AL101" s="958" t="s">
        <v>1418</v>
      </c>
      <c r="AM101" s="957" t="s">
        <v>1419</v>
      </c>
      <c r="AN101" s="958" t="s">
        <v>1420</v>
      </c>
      <c r="AO101" s="1030" t="s">
        <v>1421</v>
      </c>
      <c r="AP101" s="1520" t="s">
        <v>1422</v>
      </c>
      <c r="AQ101" s="1520" t="s">
        <v>1423</v>
      </c>
      <c r="AR101" s="1520" t="s">
        <v>1424</v>
      </c>
      <c r="AS101" s="1044" t="s">
        <v>1425</v>
      </c>
      <c r="AT101" s="958" t="s">
        <v>1426</v>
      </c>
      <c r="AU101" s="958" t="s">
        <v>1427</v>
      </c>
      <c r="AV101" s="958" t="s">
        <v>1428</v>
      </c>
      <c r="AW101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101" s="465" t="str">
        <f t="shared" si="85"/>
        <v xml:space="preserve">* La celda 'Gestantes' debe ser menor o igual al Total de Mujeres en control. </v>
      </c>
      <c r="CH101" s="465" t="str">
        <f t="shared" si="86"/>
        <v xml:space="preserve">* La celda 'Madres de Hijos menor de 5 años' debe ser menor o igual al Total de Mujeres en control. </v>
      </c>
      <c r="CI101" s="465" t="str">
        <f t="shared" si="74"/>
        <v xml:space="preserve">* La celda 'Pueblos Originarios / Hombres' debe ser menor o igual al Total de Hombres en control. </v>
      </c>
      <c r="CJ101" s="465" t="str">
        <f t="shared" si="68"/>
        <v xml:space="preserve">* La celda 'Pueblos Originarios / Mujeres' debe ser menor o igual al Total de Mujeres en control. </v>
      </c>
      <c r="CK101" s="465" t="str">
        <f t="shared" si="75"/>
        <v xml:space="preserve">* La celda 'Población Migrantes / Hombres' debe ser menor o igual al Total de Hombres en control. </v>
      </c>
      <c r="CL101" s="465" t="str">
        <f t="shared" si="69"/>
        <v xml:space="preserve">* La celda 'Población Migrantes / Mujeres' debe ser menor o igual al Total de Mujeres en control. </v>
      </c>
      <c r="CM101" s="465" t="str">
        <f t="shared" si="76"/>
        <v xml:space="preserve">* La celda 'Población SENAME' debe ser menor o igual al Total de Personas en control. </v>
      </c>
      <c r="CN101" s="465" t="str">
        <f t="shared" si="87"/>
        <v/>
      </c>
      <c r="CO101" s="465" t="str">
        <f t="shared" si="88"/>
        <v/>
      </c>
      <c r="CQ101" s="465" t="str">
        <f t="shared" si="77"/>
        <v/>
      </c>
      <c r="CR101" s="465" t="str">
        <f t="shared" si="78"/>
        <v/>
      </c>
      <c r="CS101" s="465" t="str">
        <f t="shared" si="79"/>
        <v/>
      </c>
      <c r="CU101" s="465" t="str">
        <f t="shared" si="66"/>
        <v xml:space="preserve">* La celda 'Plan Cuidado Integral Elaborado' debe ser menor o igual al Total de Personas en control. </v>
      </c>
      <c r="CV101" s="465" t="str">
        <f t="shared" si="54"/>
        <v/>
      </c>
      <c r="CY101" s="470"/>
      <c r="CZ101" s="470"/>
      <c r="DA101" s="486">
        <f t="shared" si="89"/>
        <v>1</v>
      </c>
      <c r="DB101" s="486">
        <f t="shared" si="90"/>
        <v>1</v>
      </c>
      <c r="DC101" s="486">
        <f t="shared" si="80"/>
        <v>1</v>
      </c>
      <c r="DD101" s="486">
        <f t="shared" si="72"/>
        <v>1</v>
      </c>
      <c r="DE101" s="486">
        <f t="shared" si="81"/>
        <v>1</v>
      </c>
      <c r="DF101" s="486">
        <f t="shared" si="73"/>
        <v>1</v>
      </c>
      <c r="DG101" s="486">
        <f t="shared" si="82"/>
        <v>1</v>
      </c>
      <c r="DH101" s="486">
        <f t="shared" si="91"/>
        <v>0</v>
      </c>
      <c r="DI101" s="486">
        <f t="shared" si="92"/>
        <v>0</v>
      </c>
      <c r="DJ101" s="470"/>
      <c r="DK101" s="486">
        <f t="shared" si="83"/>
        <v>0</v>
      </c>
      <c r="DL101" s="486">
        <f t="shared" si="84"/>
        <v>0</v>
      </c>
      <c r="DM101" s="486">
        <f t="shared" si="63"/>
        <v>0</v>
      </c>
      <c r="DN101" s="1247"/>
      <c r="DO101" s="486">
        <f t="shared" si="64"/>
        <v>1</v>
      </c>
      <c r="DP101" s="486">
        <f t="shared" si="65"/>
        <v>0</v>
      </c>
    </row>
    <row r="102" spans="1:120" ht="24" customHeight="1" x14ac:dyDescent="0.25">
      <c r="A102" s="1773" t="s">
        <v>1294</v>
      </c>
      <c r="B102" s="2364" t="s">
        <v>257</v>
      </c>
      <c r="C102" s="2365"/>
      <c r="D102" s="941" t="s">
        <v>1384</v>
      </c>
      <c r="E102" s="950" t="s">
        <v>1385</v>
      </c>
      <c r="F102" s="1147" t="s">
        <v>1386</v>
      </c>
      <c r="G102" s="962" t="s">
        <v>1387</v>
      </c>
      <c r="H102" s="963" t="s">
        <v>1388</v>
      </c>
      <c r="I102" s="962" t="s">
        <v>1389</v>
      </c>
      <c r="J102" s="963" t="s">
        <v>1390</v>
      </c>
      <c r="K102" s="962" t="s">
        <v>1391</v>
      </c>
      <c r="L102" s="963" t="s">
        <v>1392</v>
      </c>
      <c r="M102" s="962" t="s">
        <v>1393</v>
      </c>
      <c r="N102" s="963" t="s">
        <v>1394</v>
      </c>
      <c r="O102" s="962" t="s">
        <v>1395</v>
      </c>
      <c r="P102" s="963" t="s">
        <v>1396</v>
      </c>
      <c r="Q102" s="962" t="s">
        <v>1397</v>
      </c>
      <c r="R102" s="963" t="s">
        <v>1398</v>
      </c>
      <c r="S102" s="962" t="s">
        <v>1399</v>
      </c>
      <c r="T102" s="963" t="s">
        <v>1400</v>
      </c>
      <c r="U102" s="962" t="s">
        <v>1401</v>
      </c>
      <c r="V102" s="963" t="s">
        <v>1402</v>
      </c>
      <c r="W102" s="962" t="s">
        <v>1403</v>
      </c>
      <c r="X102" s="963" t="s">
        <v>1404</v>
      </c>
      <c r="Y102" s="962" t="s">
        <v>1405</v>
      </c>
      <c r="Z102" s="963" t="s">
        <v>1406</v>
      </c>
      <c r="AA102" s="962" t="s">
        <v>1407</v>
      </c>
      <c r="AB102" s="963" t="s">
        <v>1408</v>
      </c>
      <c r="AC102" s="962" t="s">
        <v>1409</v>
      </c>
      <c r="AD102" s="963" t="s">
        <v>1410</v>
      </c>
      <c r="AE102" s="962" t="s">
        <v>1411</v>
      </c>
      <c r="AF102" s="963" t="s">
        <v>1412</v>
      </c>
      <c r="AG102" s="962" t="s">
        <v>1413</v>
      </c>
      <c r="AH102" s="963" t="s">
        <v>1414</v>
      </c>
      <c r="AI102" s="962" t="s">
        <v>1415</v>
      </c>
      <c r="AJ102" s="963" t="s">
        <v>1416</v>
      </c>
      <c r="AK102" s="962" t="s">
        <v>1417</v>
      </c>
      <c r="AL102" s="963" t="s">
        <v>1418</v>
      </c>
      <c r="AM102" s="962" t="s">
        <v>1419</v>
      </c>
      <c r="AN102" s="963" t="s">
        <v>1420</v>
      </c>
      <c r="AO102" s="1521" t="s">
        <v>1421</v>
      </c>
      <c r="AP102" s="1522" t="s">
        <v>1422</v>
      </c>
      <c r="AQ102" s="1522" t="s">
        <v>1423</v>
      </c>
      <c r="AR102" s="1522" t="s">
        <v>1424</v>
      </c>
      <c r="AS102" s="1041" t="s">
        <v>1425</v>
      </c>
      <c r="AT102" s="963" t="s">
        <v>1426</v>
      </c>
      <c r="AU102" s="963" t="s">
        <v>1427</v>
      </c>
      <c r="AV102" s="963" t="s">
        <v>1428</v>
      </c>
      <c r="AW102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102" s="465" t="str">
        <f t="shared" si="85"/>
        <v xml:space="preserve">* La celda 'Gestantes' debe ser menor o igual al Total de Mujeres en control. </v>
      </c>
      <c r="CH102" s="465" t="str">
        <f t="shared" si="86"/>
        <v xml:space="preserve">* La celda 'Madres de Hijos menor de 5 años' debe ser menor o igual al Total de Mujeres en control. </v>
      </c>
      <c r="CI102" s="465" t="str">
        <f t="shared" si="74"/>
        <v xml:space="preserve">* La celda 'Pueblos Originarios / Hombres' debe ser menor o igual al Total de Hombres en control. </v>
      </c>
      <c r="CJ102" s="465" t="str">
        <f t="shared" si="68"/>
        <v xml:space="preserve">* La celda 'Pueblos Originarios / Mujeres' debe ser menor o igual al Total de Mujeres en control. </v>
      </c>
      <c r="CK102" s="465" t="str">
        <f t="shared" si="75"/>
        <v xml:space="preserve">* La celda 'Población Migrantes / Hombres' debe ser menor o igual al Total de Hombres en control. </v>
      </c>
      <c r="CL102" s="465" t="str">
        <f t="shared" si="69"/>
        <v xml:space="preserve">* La celda 'Población Migrantes / Mujeres' debe ser menor o igual al Total de Mujeres en control. </v>
      </c>
      <c r="CM102" s="465" t="str">
        <f t="shared" si="76"/>
        <v xml:space="preserve">* La celda 'Población SENAME' debe ser menor o igual al Total de Personas en control. </v>
      </c>
      <c r="CN102" s="465" t="str">
        <f t="shared" si="87"/>
        <v/>
      </c>
      <c r="CO102" s="465" t="str">
        <f t="shared" si="88"/>
        <v/>
      </c>
      <c r="CQ102" s="465" t="str">
        <f t="shared" si="77"/>
        <v/>
      </c>
      <c r="CR102" s="465" t="str">
        <f t="shared" si="78"/>
        <v/>
      </c>
      <c r="CS102" s="465" t="str">
        <f t="shared" si="79"/>
        <v/>
      </c>
      <c r="CU102" s="465" t="str">
        <f t="shared" si="66"/>
        <v xml:space="preserve">* La celda 'Plan Cuidado Integral Elaborado' debe ser menor o igual al Total de Personas en control. </v>
      </c>
      <c r="CV102" s="465" t="str">
        <f t="shared" si="54"/>
        <v/>
      </c>
      <c r="CY102" s="470"/>
      <c r="CZ102" s="470"/>
      <c r="DA102" s="486">
        <f t="shared" si="89"/>
        <v>1</v>
      </c>
      <c r="DB102" s="486">
        <f t="shared" si="90"/>
        <v>1</v>
      </c>
      <c r="DC102" s="486">
        <f t="shared" si="80"/>
        <v>1</v>
      </c>
      <c r="DD102" s="486">
        <f t="shared" si="72"/>
        <v>1</v>
      </c>
      <c r="DE102" s="486">
        <f t="shared" si="81"/>
        <v>1</v>
      </c>
      <c r="DF102" s="486">
        <f t="shared" si="73"/>
        <v>1</v>
      </c>
      <c r="DG102" s="486">
        <f t="shared" si="82"/>
        <v>1</v>
      </c>
      <c r="DH102" s="486">
        <f t="shared" si="91"/>
        <v>0</v>
      </c>
      <c r="DI102" s="486">
        <f t="shared" si="92"/>
        <v>0</v>
      </c>
      <c r="DJ102" s="470"/>
      <c r="DK102" s="486">
        <f t="shared" si="83"/>
        <v>0</v>
      </c>
      <c r="DL102" s="486">
        <f t="shared" si="84"/>
        <v>0</v>
      </c>
      <c r="DM102" s="486">
        <f t="shared" si="63"/>
        <v>0</v>
      </c>
      <c r="DN102" s="470"/>
      <c r="DO102" s="486">
        <f t="shared" si="64"/>
        <v>1</v>
      </c>
      <c r="DP102" s="486">
        <f t="shared" si="65"/>
        <v>0</v>
      </c>
    </row>
    <row r="103" spans="1:120" ht="24" customHeight="1" x14ac:dyDescent="0.25">
      <c r="A103" s="1794" t="s">
        <v>1321</v>
      </c>
      <c r="B103" s="2369" t="s">
        <v>258</v>
      </c>
      <c r="C103" s="1451" t="s">
        <v>723</v>
      </c>
      <c r="D103" s="948" t="s">
        <v>1384</v>
      </c>
      <c r="E103" s="948" t="s">
        <v>1385</v>
      </c>
      <c r="F103" s="1273" t="s">
        <v>1386</v>
      </c>
      <c r="G103" s="977" t="s">
        <v>1387</v>
      </c>
      <c r="H103" s="978" t="s">
        <v>1388</v>
      </c>
      <c r="I103" s="977" t="s">
        <v>1389</v>
      </c>
      <c r="J103" s="978" t="s">
        <v>1390</v>
      </c>
      <c r="K103" s="977" t="s">
        <v>1391</v>
      </c>
      <c r="L103" s="978" t="s">
        <v>1392</v>
      </c>
      <c r="M103" s="977" t="s">
        <v>1393</v>
      </c>
      <c r="N103" s="978" t="s">
        <v>1394</v>
      </c>
      <c r="O103" s="977" t="s">
        <v>1395</v>
      </c>
      <c r="P103" s="978" t="s">
        <v>1396</v>
      </c>
      <c r="Q103" s="977" t="s">
        <v>1397</v>
      </c>
      <c r="R103" s="978" t="s">
        <v>1398</v>
      </c>
      <c r="S103" s="977" t="s">
        <v>1399</v>
      </c>
      <c r="T103" s="978" t="s">
        <v>1400</v>
      </c>
      <c r="U103" s="977" t="s">
        <v>1401</v>
      </c>
      <c r="V103" s="978" t="s">
        <v>1402</v>
      </c>
      <c r="W103" s="977" t="s">
        <v>1403</v>
      </c>
      <c r="X103" s="978" t="s">
        <v>1404</v>
      </c>
      <c r="Y103" s="977" t="s">
        <v>1405</v>
      </c>
      <c r="Z103" s="978" t="s">
        <v>1406</v>
      </c>
      <c r="AA103" s="977" t="s">
        <v>1407</v>
      </c>
      <c r="AB103" s="978" t="s">
        <v>1408</v>
      </c>
      <c r="AC103" s="977" t="s">
        <v>1409</v>
      </c>
      <c r="AD103" s="978" t="s">
        <v>1410</v>
      </c>
      <c r="AE103" s="977" t="s">
        <v>1411</v>
      </c>
      <c r="AF103" s="978" t="s">
        <v>1412</v>
      </c>
      <c r="AG103" s="977" t="s">
        <v>1413</v>
      </c>
      <c r="AH103" s="978" t="s">
        <v>1414</v>
      </c>
      <c r="AI103" s="977" t="s">
        <v>1415</v>
      </c>
      <c r="AJ103" s="978" t="s">
        <v>1416</v>
      </c>
      <c r="AK103" s="977" t="s">
        <v>1417</v>
      </c>
      <c r="AL103" s="978" t="s">
        <v>1418</v>
      </c>
      <c r="AM103" s="977" t="s">
        <v>1419</v>
      </c>
      <c r="AN103" s="978" t="s">
        <v>1420</v>
      </c>
      <c r="AO103" s="1029" t="s">
        <v>1421</v>
      </c>
      <c r="AP103" s="1526" t="s">
        <v>1422</v>
      </c>
      <c r="AQ103" s="1526" t="s">
        <v>1423</v>
      </c>
      <c r="AR103" s="1526" t="s">
        <v>1424</v>
      </c>
      <c r="AS103" s="1048" t="s">
        <v>1425</v>
      </c>
      <c r="AT103" s="978" t="s">
        <v>1426</v>
      </c>
      <c r="AU103" s="978" t="s">
        <v>1427</v>
      </c>
      <c r="AV103" s="978" t="s">
        <v>1428</v>
      </c>
      <c r="AW103" s="411"/>
      <c r="CG103" s="465"/>
      <c r="CH103" s="465"/>
      <c r="CI103" s="465"/>
      <c r="CJ103" s="465"/>
      <c r="CK103" s="465"/>
      <c r="CL103" s="465"/>
      <c r="CM103" s="465"/>
      <c r="CN103" s="465"/>
      <c r="CO103" s="465"/>
      <c r="CQ103" s="465"/>
      <c r="CR103" s="465"/>
      <c r="CS103" s="465"/>
      <c r="CU103" s="465"/>
      <c r="CV103" s="465"/>
      <c r="CY103" s="470"/>
      <c r="CZ103" s="470"/>
      <c r="DA103" s="486"/>
      <c r="DB103" s="486"/>
      <c r="DC103" s="486"/>
      <c r="DD103" s="486"/>
      <c r="DE103" s="486"/>
      <c r="DF103" s="486"/>
      <c r="DG103" s="486"/>
      <c r="DH103" s="486"/>
      <c r="DI103" s="486"/>
      <c r="DJ103" s="470"/>
      <c r="DK103" s="486"/>
      <c r="DL103" s="486"/>
      <c r="DM103" s="486"/>
      <c r="DN103" s="470"/>
      <c r="DO103" s="486"/>
      <c r="DP103" s="486"/>
    </row>
    <row r="104" spans="1:120" ht="24" customHeight="1" x14ac:dyDescent="0.25">
      <c r="A104" s="1794" t="s">
        <v>1322</v>
      </c>
      <c r="B104" s="2370"/>
      <c r="C104" s="1449" t="s">
        <v>724</v>
      </c>
      <c r="D104" s="960" t="s">
        <v>1384</v>
      </c>
      <c r="E104" s="960" t="s">
        <v>1385</v>
      </c>
      <c r="F104" s="1153" t="s">
        <v>1386</v>
      </c>
      <c r="G104" s="957" t="s">
        <v>1387</v>
      </c>
      <c r="H104" s="958" t="s">
        <v>1388</v>
      </c>
      <c r="I104" s="957" t="s">
        <v>1389</v>
      </c>
      <c r="J104" s="958" t="s">
        <v>1390</v>
      </c>
      <c r="K104" s="957" t="s">
        <v>1391</v>
      </c>
      <c r="L104" s="958" t="s">
        <v>1392</v>
      </c>
      <c r="M104" s="957" t="s">
        <v>1393</v>
      </c>
      <c r="N104" s="958" t="s">
        <v>1394</v>
      </c>
      <c r="O104" s="957" t="s">
        <v>1395</v>
      </c>
      <c r="P104" s="958" t="s">
        <v>1396</v>
      </c>
      <c r="Q104" s="957" t="s">
        <v>1397</v>
      </c>
      <c r="R104" s="958" t="s">
        <v>1398</v>
      </c>
      <c r="S104" s="957" t="s">
        <v>1399</v>
      </c>
      <c r="T104" s="958" t="s">
        <v>1400</v>
      </c>
      <c r="U104" s="957" t="s">
        <v>1401</v>
      </c>
      <c r="V104" s="958" t="s">
        <v>1402</v>
      </c>
      <c r="W104" s="957" t="s">
        <v>1403</v>
      </c>
      <c r="X104" s="958" t="s">
        <v>1404</v>
      </c>
      <c r="Y104" s="957" t="s">
        <v>1405</v>
      </c>
      <c r="Z104" s="958" t="s">
        <v>1406</v>
      </c>
      <c r="AA104" s="957" t="s">
        <v>1407</v>
      </c>
      <c r="AB104" s="958" t="s">
        <v>1408</v>
      </c>
      <c r="AC104" s="957" t="s">
        <v>1409</v>
      </c>
      <c r="AD104" s="958" t="s">
        <v>1410</v>
      </c>
      <c r="AE104" s="957" t="s">
        <v>1411</v>
      </c>
      <c r="AF104" s="958" t="s">
        <v>1412</v>
      </c>
      <c r="AG104" s="957" t="s">
        <v>1413</v>
      </c>
      <c r="AH104" s="958" t="s">
        <v>1414</v>
      </c>
      <c r="AI104" s="957" t="s">
        <v>1415</v>
      </c>
      <c r="AJ104" s="958" t="s">
        <v>1416</v>
      </c>
      <c r="AK104" s="957" t="s">
        <v>1417</v>
      </c>
      <c r="AL104" s="958" t="s">
        <v>1418</v>
      </c>
      <c r="AM104" s="957" t="s">
        <v>1419</v>
      </c>
      <c r="AN104" s="958" t="s">
        <v>1420</v>
      </c>
      <c r="AO104" s="1030" t="s">
        <v>1421</v>
      </c>
      <c r="AP104" s="1520" t="s">
        <v>1422</v>
      </c>
      <c r="AQ104" s="1520" t="s">
        <v>1423</v>
      </c>
      <c r="AR104" s="1520" t="s">
        <v>1424</v>
      </c>
      <c r="AS104" s="1044" t="s">
        <v>1425</v>
      </c>
      <c r="AT104" s="958" t="s">
        <v>1426</v>
      </c>
      <c r="AU104" s="958" t="s">
        <v>1427</v>
      </c>
      <c r="AV104" s="958" t="s">
        <v>1428</v>
      </c>
      <c r="AW104" s="411"/>
      <c r="CG104" s="465"/>
      <c r="CH104" s="465"/>
      <c r="CI104" s="465"/>
      <c r="CJ104" s="465"/>
      <c r="CK104" s="465"/>
      <c r="CL104" s="465"/>
      <c r="CM104" s="465"/>
      <c r="CN104" s="465"/>
      <c r="CO104" s="465"/>
      <c r="CQ104" s="465"/>
      <c r="CR104" s="465"/>
      <c r="CS104" s="465"/>
      <c r="CU104" s="465"/>
      <c r="CV104" s="465"/>
      <c r="CY104" s="470"/>
      <c r="CZ104" s="470"/>
      <c r="DA104" s="486"/>
      <c r="DB104" s="486"/>
      <c r="DC104" s="486"/>
      <c r="DD104" s="486"/>
      <c r="DE104" s="486"/>
      <c r="DF104" s="486"/>
      <c r="DG104" s="486"/>
      <c r="DH104" s="486"/>
      <c r="DI104" s="486"/>
      <c r="DJ104" s="470"/>
      <c r="DK104" s="486"/>
      <c r="DL104" s="486"/>
      <c r="DM104" s="486"/>
      <c r="DN104" s="470"/>
      <c r="DO104" s="486"/>
      <c r="DP104" s="486"/>
    </row>
    <row r="105" spans="1:120" ht="24" customHeight="1" x14ac:dyDescent="0.25">
      <c r="A105" s="1794" t="s">
        <v>1323</v>
      </c>
      <c r="B105" s="2370"/>
      <c r="C105" s="1449" t="s">
        <v>725</v>
      </c>
      <c r="D105" s="960" t="s">
        <v>1384</v>
      </c>
      <c r="E105" s="960" t="s">
        <v>1385</v>
      </c>
      <c r="F105" s="1153" t="s">
        <v>1386</v>
      </c>
      <c r="G105" s="957" t="s">
        <v>1387</v>
      </c>
      <c r="H105" s="958" t="s">
        <v>1388</v>
      </c>
      <c r="I105" s="957" t="s">
        <v>1389</v>
      </c>
      <c r="J105" s="958" t="s">
        <v>1390</v>
      </c>
      <c r="K105" s="957" t="s">
        <v>1391</v>
      </c>
      <c r="L105" s="958" t="s">
        <v>1392</v>
      </c>
      <c r="M105" s="957" t="s">
        <v>1393</v>
      </c>
      <c r="N105" s="958" t="s">
        <v>1394</v>
      </c>
      <c r="O105" s="957" t="s">
        <v>1395</v>
      </c>
      <c r="P105" s="958" t="s">
        <v>1396</v>
      </c>
      <c r="Q105" s="957" t="s">
        <v>1397</v>
      </c>
      <c r="R105" s="958" t="s">
        <v>1398</v>
      </c>
      <c r="S105" s="957" t="s">
        <v>1399</v>
      </c>
      <c r="T105" s="958" t="s">
        <v>1400</v>
      </c>
      <c r="U105" s="957" t="s">
        <v>1401</v>
      </c>
      <c r="V105" s="958" t="s">
        <v>1402</v>
      </c>
      <c r="W105" s="957" t="s">
        <v>1403</v>
      </c>
      <c r="X105" s="958" t="s">
        <v>1404</v>
      </c>
      <c r="Y105" s="957" t="s">
        <v>1405</v>
      </c>
      <c r="Z105" s="958" t="s">
        <v>1406</v>
      </c>
      <c r="AA105" s="957" t="s">
        <v>1407</v>
      </c>
      <c r="AB105" s="958" t="s">
        <v>1408</v>
      </c>
      <c r="AC105" s="957" t="s">
        <v>1409</v>
      </c>
      <c r="AD105" s="958" t="s">
        <v>1410</v>
      </c>
      <c r="AE105" s="957" t="s">
        <v>1411</v>
      </c>
      <c r="AF105" s="958" t="s">
        <v>1412</v>
      </c>
      <c r="AG105" s="957" t="s">
        <v>1413</v>
      </c>
      <c r="AH105" s="958" t="s">
        <v>1414</v>
      </c>
      <c r="AI105" s="957" t="s">
        <v>1415</v>
      </c>
      <c r="AJ105" s="958" t="s">
        <v>1416</v>
      </c>
      <c r="AK105" s="957" t="s">
        <v>1417</v>
      </c>
      <c r="AL105" s="958" t="s">
        <v>1418</v>
      </c>
      <c r="AM105" s="957" t="s">
        <v>1419</v>
      </c>
      <c r="AN105" s="958" t="s">
        <v>1420</v>
      </c>
      <c r="AO105" s="1030" t="s">
        <v>1421</v>
      </c>
      <c r="AP105" s="1520" t="s">
        <v>1422</v>
      </c>
      <c r="AQ105" s="1520" t="s">
        <v>1423</v>
      </c>
      <c r="AR105" s="1520" t="s">
        <v>1424</v>
      </c>
      <c r="AS105" s="1044" t="s">
        <v>1425</v>
      </c>
      <c r="AT105" s="958" t="s">
        <v>1426</v>
      </c>
      <c r="AU105" s="958" t="s">
        <v>1427</v>
      </c>
      <c r="AV105" s="958" t="s">
        <v>1428</v>
      </c>
      <c r="AW105" s="411"/>
      <c r="CG105" s="465"/>
      <c r="CH105" s="465"/>
      <c r="CI105" s="465"/>
      <c r="CJ105" s="465"/>
      <c r="CK105" s="465"/>
      <c r="CL105" s="465"/>
      <c r="CM105" s="465"/>
      <c r="CN105" s="465"/>
      <c r="CO105" s="465"/>
      <c r="CQ105" s="465"/>
      <c r="CR105" s="465"/>
      <c r="CS105" s="465"/>
      <c r="CU105" s="465"/>
      <c r="CV105" s="465"/>
      <c r="CY105" s="470"/>
      <c r="CZ105" s="470"/>
      <c r="DA105" s="486"/>
      <c r="DB105" s="486"/>
      <c r="DC105" s="486"/>
      <c r="DD105" s="486"/>
      <c r="DE105" s="486"/>
      <c r="DF105" s="486"/>
      <c r="DG105" s="486"/>
      <c r="DH105" s="486"/>
      <c r="DI105" s="486"/>
      <c r="DJ105" s="470"/>
      <c r="DK105" s="486"/>
      <c r="DL105" s="486"/>
      <c r="DM105" s="486"/>
      <c r="DN105" s="470"/>
      <c r="DO105" s="486"/>
      <c r="DP105" s="486"/>
    </row>
    <row r="106" spans="1:120" ht="24" customHeight="1" x14ac:dyDescent="0.25">
      <c r="A106" s="1794" t="s">
        <v>1324</v>
      </c>
      <c r="B106" s="2370"/>
      <c r="C106" s="1449" t="s">
        <v>726</v>
      </c>
      <c r="D106" s="960" t="s">
        <v>1384</v>
      </c>
      <c r="E106" s="960" t="s">
        <v>1385</v>
      </c>
      <c r="F106" s="1153" t="s">
        <v>1386</v>
      </c>
      <c r="G106" s="957" t="s">
        <v>1387</v>
      </c>
      <c r="H106" s="958" t="s">
        <v>1388</v>
      </c>
      <c r="I106" s="957" t="s">
        <v>1389</v>
      </c>
      <c r="J106" s="958" t="s">
        <v>1390</v>
      </c>
      <c r="K106" s="957" t="s">
        <v>1391</v>
      </c>
      <c r="L106" s="958" t="s">
        <v>1392</v>
      </c>
      <c r="M106" s="957" t="s">
        <v>1393</v>
      </c>
      <c r="N106" s="958" t="s">
        <v>1394</v>
      </c>
      <c r="O106" s="957" t="s">
        <v>1395</v>
      </c>
      <c r="P106" s="958" t="s">
        <v>1396</v>
      </c>
      <c r="Q106" s="957" t="s">
        <v>1397</v>
      </c>
      <c r="R106" s="958" t="s">
        <v>1398</v>
      </c>
      <c r="S106" s="957" t="s">
        <v>1399</v>
      </c>
      <c r="T106" s="958" t="s">
        <v>1400</v>
      </c>
      <c r="U106" s="957" t="s">
        <v>1401</v>
      </c>
      <c r="V106" s="958" t="s">
        <v>1402</v>
      </c>
      <c r="W106" s="957" t="s">
        <v>1403</v>
      </c>
      <c r="X106" s="958" t="s">
        <v>1404</v>
      </c>
      <c r="Y106" s="957" t="s">
        <v>1405</v>
      </c>
      <c r="Z106" s="958" t="s">
        <v>1406</v>
      </c>
      <c r="AA106" s="957" t="s">
        <v>1407</v>
      </c>
      <c r="AB106" s="958" t="s">
        <v>1408</v>
      </c>
      <c r="AC106" s="957" t="s">
        <v>1409</v>
      </c>
      <c r="AD106" s="958" t="s">
        <v>1410</v>
      </c>
      <c r="AE106" s="957" t="s">
        <v>1411</v>
      </c>
      <c r="AF106" s="958" t="s">
        <v>1412</v>
      </c>
      <c r="AG106" s="957" t="s">
        <v>1413</v>
      </c>
      <c r="AH106" s="958" t="s">
        <v>1414</v>
      </c>
      <c r="AI106" s="957" t="s">
        <v>1415</v>
      </c>
      <c r="AJ106" s="958" t="s">
        <v>1416</v>
      </c>
      <c r="AK106" s="957" t="s">
        <v>1417</v>
      </c>
      <c r="AL106" s="958" t="s">
        <v>1418</v>
      </c>
      <c r="AM106" s="957" t="s">
        <v>1419</v>
      </c>
      <c r="AN106" s="958" t="s">
        <v>1420</v>
      </c>
      <c r="AO106" s="1030" t="s">
        <v>1421</v>
      </c>
      <c r="AP106" s="1520" t="s">
        <v>1422</v>
      </c>
      <c r="AQ106" s="1520" t="s">
        <v>1423</v>
      </c>
      <c r="AR106" s="1520" t="s">
        <v>1424</v>
      </c>
      <c r="AS106" s="1044" t="s">
        <v>1425</v>
      </c>
      <c r="AT106" s="958" t="s">
        <v>1426</v>
      </c>
      <c r="AU106" s="958" t="s">
        <v>1427</v>
      </c>
      <c r="AV106" s="958" t="s">
        <v>1428</v>
      </c>
      <c r="AW106" s="411"/>
      <c r="CG106" s="465"/>
      <c r="CH106" s="465"/>
      <c r="CI106" s="465"/>
      <c r="CJ106" s="465"/>
      <c r="CK106" s="465"/>
      <c r="CL106" s="465"/>
      <c r="CM106" s="465"/>
      <c r="CN106" s="465"/>
      <c r="CO106" s="465"/>
      <c r="CQ106" s="465"/>
      <c r="CR106" s="465"/>
      <c r="CS106" s="465"/>
      <c r="CU106" s="465"/>
      <c r="CV106" s="465"/>
      <c r="CY106" s="470"/>
      <c r="CZ106" s="470"/>
      <c r="DA106" s="486"/>
      <c r="DB106" s="486"/>
      <c r="DC106" s="486"/>
      <c r="DD106" s="486"/>
      <c r="DE106" s="486"/>
      <c r="DF106" s="486"/>
      <c r="DG106" s="486"/>
      <c r="DH106" s="486"/>
      <c r="DI106" s="486"/>
      <c r="DJ106" s="470"/>
      <c r="DK106" s="486"/>
      <c r="DL106" s="486"/>
      <c r="DM106" s="486"/>
      <c r="DN106" s="470"/>
      <c r="DO106" s="486"/>
      <c r="DP106" s="486"/>
    </row>
    <row r="107" spans="1:120" ht="24" customHeight="1" x14ac:dyDescent="0.25">
      <c r="A107" s="1794" t="s">
        <v>1325</v>
      </c>
      <c r="B107" s="2371"/>
      <c r="C107" s="1450" t="s">
        <v>727</v>
      </c>
      <c r="D107" s="941" t="s">
        <v>1384</v>
      </c>
      <c r="E107" s="950" t="s">
        <v>1385</v>
      </c>
      <c r="F107" s="1147" t="s">
        <v>1386</v>
      </c>
      <c r="G107" s="962" t="s">
        <v>1387</v>
      </c>
      <c r="H107" s="963" t="s">
        <v>1388</v>
      </c>
      <c r="I107" s="962" t="s">
        <v>1389</v>
      </c>
      <c r="J107" s="963" t="s">
        <v>1390</v>
      </c>
      <c r="K107" s="962" t="s">
        <v>1391</v>
      </c>
      <c r="L107" s="963" t="s">
        <v>1392</v>
      </c>
      <c r="M107" s="962" t="s">
        <v>1393</v>
      </c>
      <c r="N107" s="963" t="s">
        <v>1394</v>
      </c>
      <c r="O107" s="962" t="s">
        <v>1395</v>
      </c>
      <c r="P107" s="963" t="s">
        <v>1396</v>
      </c>
      <c r="Q107" s="962" t="s">
        <v>1397</v>
      </c>
      <c r="R107" s="963" t="s">
        <v>1398</v>
      </c>
      <c r="S107" s="962" t="s">
        <v>1399</v>
      </c>
      <c r="T107" s="963" t="s">
        <v>1400</v>
      </c>
      <c r="U107" s="962" t="s">
        <v>1401</v>
      </c>
      <c r="V107" s="963" t="s">
        <v>1402</v>
      </c>
      <c r="W107" s="962" t="s">
        <v>1403</v>
      </c>
      <c r="X107" s="963" t="s">
        <v>1404</v>
      </c>
      <c r="Y107" s="962" t="s">
        <v>1405</v>
      </c>
      <c r="Z107" s="963" t="s">
        <v>1406</v>
      </c>
      <c r="AA107" s="962" t="s">
        <v>1407</v>
      </c>
      <c r="AB107" s="963" t="s">
        <v>1408</v>
      </c>
      <c r="AC107" s="962" t="s">
        <v>1409</v>
      </c>
      <c r="AD107" s="963" t="s">
        <v>1410</v>
      </c>
      <c r="AE107" s="962" t="s">
        <v>1411</v>
      </c>
      <c r="AF107" s="963" t="s">
        <v>1412</v>
      </c>
      <c r="AG107" s="962" t="s">
        <v>1413</v>
      </c>
      <c r="AH107" s="963" t="s">
        <v>1414</v>
      </c>
      <c r="AI107" s="962" t="s">
        <v>1415</v>
      </c>
      <c r="AJ107" s="963" t="s">
        <v>1416</v>
      </c>
      <c r="AK107" s="962" t="s">
        <v>1417</v>
      </c>
      <c r="AL107" s="963" t="s">
        <v>1418</v>
      </c>
      <c r="AM107" s="962" t="s">
        <v>1419</v>
      </c>
      <c r="AN107" s="963" t="s">
        <v>1420</v>
      </c>
      <c r="AO107" s="1521" t="s">
        <v>1421</v>
      </c>
      <c r="AP107" s="1522" t="s">
        <v>1422</v>
      </c>
      <c r="AQ107" s="1522" t="s">
        <v>1423</v>
      </c>
      <c r="AR107" s="1522" t="s">
        <v>1424</v>
      </c>
      <c r="AS107" s="1041" t="s">
        <v>1425</v>
      </c>
      <c r="AT107" s="963" t="s">
        <v>1426</v>
      </c>
      <c r="AU107" s="963" t="s">
        <v>1427</v>
      </c>
      <c r="AV107" s="963" t="s">
        <v>1428</v>
      </c>
      <c r="AW107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107" s="465" t="str">
        <f t="shared" si="85"/>
        <v xml:space="preserve">* La celda 'Gestantes' debe ser menor o igual al Total de Mujeres en control. </v>
      </c>
      <c r="CH107" s="465" t="str">
        <f t="shared" si="86"/>
        <v xml:space="preserve">* La celda 'Madres de Hijos menor de 5 años' debe ser menor o igual al Total de Mujeres en control. </v>
      </c>
      <c r="CI107" s="465" t="str">
        <f t="shared" si="74"/>
        <v xml:space="preserve">* La celda 'Pueblos Originarios / Hombres' debe ser menor o igual al Total de Hombres en control. </v>
      </c>
      <c r="CJ107" s="465" t="str">
        <f t="shared" si="68"/>
        <v xml:space="preserve">* La celda 'Pueblos Originarios / Mujeres' debe ser menor o igual al Total de Mujeres en control. </v>
      </c>
      <c r="CK107" s="465" t="str">
        <f t="shared" si="75"/>
        <v xml:space="preserve">* La celda 'Población Migrantes / Hombres' debe ser menor o igual al Total de Hombres en control. </v>
      </c>
      <c r="CL107" s="465" t="str">
        <f t="shared" si="69"/>
        <v xml:space="preserve">* La celda 'Población Migrantes / Mujeres' debe ser menor o igual al Total de Mujeres en control. </v>
      </c>
      <c r="CM107" s="465" t="str">
        <f t="shared" si="76"/>
        <v xml:space="preserve">* La celda 'Población SENAME' debe ser menor o igual al Total de Personas en control. </v>
      </c>
      <c r="CN107" s="465" t="str">
        <f t="shared" si="87"/>
        <v/>
      </c>
      <c r="CO107" s="465" t="str">
        <f t="shared" si="88"/>
        <v/>
      </c>
      <c r="CQ107" s="465" t="str">
        <f t="shared" si="77"/>
        <v/>
      </c>
      <c r="CR107" s="465" t="str">
        <f t="shared" si="78"/>
        <v/>
      </c>
      <c r="CS107" s="465" t="str">
        <f t="shared" si="79"/>
        <v/>
      </c>
      <c r="CU107" s="465" t="str">
        <f t="shared" si="66"/>
        <v xml:space="preserve">* La celda 'Plan Cuidado Integral Elaborado' debe ser menor o igual al Total de Personas en control. </v>
      </c>
      <c r="CV107" s="465" t="str">
        <f t="shared" si="54"/>
        <v/>
      </c>
      <c r="CY107" s="470"/>
      <c r="CZ107" s="470"/>
      <c r="DA107" s="486">
        <f t="shared" si="89"/>
        <v>1</v>
      </c>
      <c r="DB107" s="486">
        <f t="shared" si="90"/>
        <v>1</v>
      </c>
      <c r="DC107" s="486">
        <f t="shared" si="80"/>
        <v>1</v>
      </c>
      <c r="DD107" s="486">
        <f t="shared" si="72"/>
        <v>1</v>
      </c>
      <c r="DE107" s="486">
        <f t="shared" si="81"/>
        <v>1</v>
      </c>
      <c r="DF107" s="486">
        <f t="shared" si="73"/>
        <v>1</v>
      </c>
      <c r="DG107" s="486">
        <f t="shared" si="82"/>
        <v>1</v>
      </c>
      <c r="DH107" s="486">
        <f t="shared" si="91"/>
        <v>0</v>
      </c>
      <c r="DI107" s="486">
        <f t="shared" si="92"/>
        <v>0</v>
      </c>
      <c r="DJ107" s="470"/>
      <c r="DK107" s="486">
        <f t="shared" si="83"/>
        <v>0</v>
      </c>
      <c r="DL107" s="486">
        <f t="shared" si="84"/>
        <v>0</v>
      </c>
      <c r="DM107" s="486">
        <f t="shared" si="63"/>
        <v>0</v>
      </c>
      <c r="DN107" s="470"/>
      <c r="DO107" s="486">
        <f t="shared" si="64"/>
        <v>1</v>
      </c>
      <c r="DP107" s="486">
        <f t="shared" si="65"/>
        <v>0</v>
      </c>
    </row>
    <row r="108" spans="1:120" ht="16.5" customHeight="1" x14ac:dyDescent="0.25">
      <c r="A108" s="1773" t="s">
        <v>1295</v>
      </c>
      <c r="B108" s="1454" t="s">
        <v>642</v>
      </c>
      <c r="C108" s="1284"/>
      <c r="D108" s="948" t="s">
        <v>1384</v>
      </c>
      <c r="E108" s="948" t="s">
        <v>1385</v>
      </c>
      <c r="F108" s="1273" t="s">
        <v>1386</v>
      </c>
      <c r="G108" s="1023" t="s">
        <v>1387</v>
      </c>
      <c r="H108" s="1024" t="s">
        <v>1388</v>
      </c>
      <c r="I108" s="1023" t="s">
        <v>1389</v>
      </c>
      <c r="J108" s="1024" t="s">
        <v>1390</v>
      </c>
      <c r="K108" s="1023" t="s">
        <v>1391</v>
      </c>
      <c r="L108" s="1024" t="s">
        <v>1392</v>
      </c>
      <c r="M108" s="1023" t="s">
        <v>1393</v>
      </c>
      <c r="N108" s="1024" t="s">
        <v>1394</v>
      </c>
      <c r="O108" s="1023" t="s">
        <v>1395</v>
      </c>
      <c r="P108" s="1024" t="s">
        <v>1396</v>
      </c>
      <c r="Q108" s="1023" t="s">
        <v>1397</v>
      </c>
      <c r="R108" s="1024" t="s">
        <v>1398</v>
      </c>
      <c r="S108" s="1023" t="s">
        <v>1399</v>
      </c>
      <c r="T108" s="1024" t="s">
        <v>1400</v>
      </c>
      <c r="U108" s="1023" t="s">
        <v>1401</v>
      </c>
      <c r="V108" s="1024" t="s">
        <v>1402</v>
      </c>
      <c r="W108" s="1023" t="s">
        <v>1403</v>
      </c>
      <c r="X108" s="1024" t="s">
        <v>1404</v>
      </c>
      <c r="Y108" s="1023" t="s">
        <v>1405</v>
      </c>
      <c r="Z108" s="1024" t="s">
        <v>1406</v>
      </c>
      <c r="AA108" s="1023" t="s">
        <v>1407</v>
      </c>
      <c r="AB108" s="1024" t="s">
        <v>1408</v>
      </c>
      <c r="AC108" s="1023" t="s">
        <v>1409</v>
      </c>
      <c r="AD108" s="1024" t="s">
        <v>1410</v>
      </c>
      <c r="AE108" s="1023" t="s">
        <v>1411</v>
      </c>
      <c r="AF108" s="1024" t="s">
        <v>1412</v>
      </c>
      <c r="AG108" s="1023" t="s">
        <v>1413</v>
      </c>
      <c r="AH108" s="1024" t="s">
        <v>1414</v>
      </c>
      <c r="AI108" s="1023" t="s">
        <v>1415</v>
      </c>
      <c r="AJ108" s="1024" t="s">
        <v>1416</v>
      </c>
      <c r="AK108" s="1023" t="s">
        <v>1417</v>
      </c>
      <c r="AL108" s="1024" t="s">
        <v>1418</v>
      </c>
      <c r="AM108" s="1023" t="s">
        <v>1419</v>
      </c>
      <c r="AN108" s="1024" t="s">
        <v>1420</v>
      </c>
      <c r="AO108" s="1524" t="s">
        <v>1421</v>
      </c>
      <c r="AP108" s="1525" t="s">
        <v>1422</v>
      </c>
      <c r="AQ108" s="1525" t="s">
        <v>1423</v>
      </c>
      <c r="AR108" s="1525" t="s">
        <v>1424</v>
      </c>
      <c r="AS108" s="1552" t="s">
        <v>1425</v>
      </c>
      <c r="AT108" s="1024" t="s">
        <v>1426</v>
      </c>
      <c r="AU108" s="1024" t="s">
        <v>1427</v>
      </c>
      <c r="AV108" s="1024" t="s">
        <v>1428</v>
      </c>
      <c r="AW108" s="411" t="str">
        <f t="shared" si="45"/>
        <v xml:space="preserve">* La celda 'Gestantes' debe ser menor o igual al Total de Mujeres en control. * La celda 'Madres de Hijos menor de 5 años' debe ser menor o igual al Total de Mujeres en control. 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G108" s="465" t="str">
        <f t="shared" si="85"/>
        <v xml:space="preserve">* La celda 'Gestantes' debe ser menor o igual al Total de Mujeres en control. </v>
      </c>
      <c r="CH108" s="465" t="str">
        <f t="shared" si="86"/>
        <v xml:space="preserve">* La celda 'Madres de Hijos menor de 5 años' debe ser menor o igual al Total de Mujeres en control. </v>
      </c>
      <c r="CI108" s="465" t="str">
        <f t="shared" si="74"/>
        <v xml:space="preserve">* La celda 'Pueblos Originarios / Hombres' debe ser menor o igual al Total de Hombres en control. </v>
      </c>
      <c r="CJ108" s="465" t="str">
        <f t="shared" si="68"/>
        <v xml:space="preserve">* La celda 'Pueblos Originarios / Mujeres' debe ser menor o igual al Total de Mujeres en control. </v>
      </c>
      <c r="CK108" s="465" t="str">
        <f t="shared" si="75"/>
        <v xml:space="preserve">* La celda 'Población Migrantes / Hombres' debe ser menor o igual al Total de Hombres en control. </v>
      </c>
      <c r="CL108" s="465" t="str">
        <f t="shared" si="69"/>
        <v xml:space="preserve">* La celda 'Población Migrantes / Mujeres' debe ser menor o igual al Total de Mujeres en control. </v>
      </c>
      <c r="CM108" s="465" t="str">
        <f t="shared" si="76"/>
        <v xml:space="preserve">* La celda 'Población SENAME' debe ser menor o igual al Total de Personas en control. </v>
      </c>
      <c r="CN108" s="465" t="str">
        <f t="shared" si="87"/>
        <v/>
      </c>
      <c r="CO108" s="465" t="str">
        <f t="shared" si="88"/>
        <v/>
      </c>
      <c r="CQ108" s="465" t="str">
        <f t="shared" si="77"/>
        <v/>
      </c>
      <c r="CR108" s="465" t="str">
        <f t="shared" si="78"/>
        <v/>
      </c>
      <c r="CS108" s="465" t="str">
        <f t="shared" si="79"/>
        <v/>
      </c>
      <c r="CU108" s="465" t="str">
        <f t="shared" si="66"/>
        <v xml:space="preserve">* La celda 'Plan Cuidado Integral Elaborado' debe ser menor o igual al Total de Personas en control. </v>
      </c>
      <c r="CV108" s="465" t="str">
        <f t="shared" si="54"/>
        <v/>
      </c>
      <c r="DA108" s="486">
        <f t="shared" si="89"/>
        <v>1</v>
      </c>
      <c r="DB108" s="486">
        <f t="shared" si="90"/>
        <v>1</v>
      </c>
      <c r="DC108" s="486">
        <f t="shared" si="80"/>
        <v>1</v>
      </c>
      <c r="DD108" s="486">
        <f t="shared" si="72"/>
        <v>1</v>
      </c>
      <c r="DE108" s="486">
        <f t="shared" si="81"/>
        <v>1</v>
      </c>
      <c r="DF108" s="486">
        <f t="shared" si="73"/>
        <v>1</v>
      </c>
      <c r="DG108" s="486">
        <f t="shared" si="82"/>
        <v>1</v>
      </c>
      <c r="DH108" s="486">
        <f t="shared" si="91"/>
        <v>0</v>
      </c>
      <c r="DI108" s="486">
        <f t="shared" si="92"/>
        <v>0</v>
      </c>
      <c r="DJ108" s="470"/>
      <c r="DK108" s="486">
        <f t="shared" si="83"/>
        <v>0</v>
      </c>
      <c r="DL108" s="486">
        <f t="shared" si="84"/>
        <v>0</v>
      </c>
      <c r="DM108" s="486">
        <f t="shared" si="63"/>
        <v>0</v>
      </c>
      <c r="DO108" s="486">
        <f t="shared" si="64"/>
        <v>1</v>
      </c>
      <c r="DP108" s="486">
        <f t="shared" si="65"/>
        <v>0</v>
      </c>
    </row>
    <row r="109" spans="1:120" ht="18.75" customHeight="1" x14ac:dyDescent="0.25">
      <c r="A109" s="1773" t="s">
        <v>1296</v>
      </c>
      <c r="B109" s="2364" t="s">
        <v>399</v>
      </c>
      <c r="C109" s="2365"/>
      <c r="D109" s="941" t="s">
        <v>1384</v>
      </c>
      <c r="E109" s="950" t="s">
        <v>1385</v>
      </c>
      <c r="F109" s="943" t="s">
        <v>1386</v>
      </c>
      <c r="G109" s="962" t="s">
        <v>1387</v>
      </c>
      <c r="H109" s="963" t="s">
        <v>1388</v>
      </c>
      <c r="I109" s="962" t="s">
        <v>1389</v>
      </c>
      <c r="J109" s="963" t="s">
        <v>1390</v>
      </c>
      <c r="K109" s="962" t="s">
        <v>1391</v>
      </c>
      <c r="L109" s="963" t="s">
        <v>1392</v>
      </c>
      <c r="M109" s="962" t="s">
        <v>1393</v>
      </c>
      <c r="N109" s="963" t="s">
        <v>1394</v>
      </c>
      <c r="O109" s="962" t="s">
        <v>1395</v>
      </c>
      <c r="P109" s="963" t="s">
        <v>1396</v>
      </c>
      <c r="Q109" s="962" t="s">
        <v>1397</v>
      </c>
      <c r="R109" s="963" t="s">
        <v>1398</v>
      </c>
      <c r="S109" s="962" t="s">
        <v>1399</v>
      </c>
      <c r="T109" s="963" t="s">
        <v>1400</v>
      </c>
      <c r="U109" s="962" t="s">
        <v>1401</v>
      </c>
      <c r="V109" s="963" t="s">
        <v>1402</v>
      </c>
      <c r="W109" s="962" t="s">
        <v>1403</v>
      </c>
      <c r="X109" s="963" t="s">
        <v>1404</v>
      </c>
      <c r="Y109" s="962" t="s">
        <v>1405</v>
      </c>
      <c r="Z109" s="963" t="s">
        <v>1406</v>
      </c>
      <c r="AA109" s="962" t="s">
        <v>1407</v>
      </c>
      <c r="AB109" s="963" t="s">
        <v>1408</v>
      </c>
      <c r="AC109" s="962" t="s">
        <v>1409</v>
      </c>
      <c r="AD109" s="963" t="s">
        <v>1410</v>
      </c>
      <c r="AE109" s="962" t="s">
        <v>1411</v>
      </c>
      <c r="AF109" s="963" t="s">
        <v>1412</v>
      </c>
      <c r="AG109" s="962" t="s">
        <v>1413</v>
      </c>
      <c r="AH109" s="963" t="s">
        <v>1414</v>
      </c>
      <c r="AI109" s="962" t="s">
        <v>1415</v>
      </c>
      <c r="AJ109" s="963" t="s">
        <v>1416</v>
      </c>
      <c r="AK109" s="962" t="s">
        <v>1417</v>
      </c>
      <c r="AL109" s="963" t="s">
        <v>1418</v>
      </c>
      <c r="AM109" s="962" t="s">
        <v>1419</v>
      </c>
      <c r="AN109" s="963" t="s">
        <v>1420</v>
      </c>
      <c r="AO109" s="1521" t="s">
        <v>1421</v>
      </c>
      <c r="AP109" s="1522" t="s">
        <v>1422</v>
      </c>
      <c r="AQ109" s="1522" t="s">
        <v>1423</v>
      </c>
      <c r="AR109" s="1522" t="s">
        <v>1424</v>
      </c>
      <c r="AS109" s="1041" t="s">
        <v>1425</v>
      </c>
      <c r="AT109" s="963" t="s">
        <v>1426</v>
      </c>
      <c r="AU109" s="963" t="s">
        <v>1427</v>
      </c>
      <c r="AV109" s="963" t="s">
        <v>1428</v>
      </c>
      <c r="AW109" s="411" t="str">
        <f t="shared" si="45"/>
        <v xml:space="preserve">* La celda 'Pueblos Originarios / Hombres' debe ser menor o igual al Total de Hombres en control. * La celda 'Pueblos Originarios / Mujeres' debe ser menor o igual al Total de Mujeres en control. * La celda 'Población Migrantes / Hombres' debe ser menor o igual al Total de Hombres en control. * La celda 'Población Migrantes / Mujeres' debe ser menor o igual al Total de Mujeres en control. * La celda 'Población SENAME' debe ser menor o igual al Total de Personas en control. * La celda 'Plan Cuidado Integral Elaborado' debe ser menor o igual al Total de Personas en control. </v>
      </c>
      <c r="CI109" s="465" t="str">
        <f t="shared" si="74"/>
        <v xml:space="preserve">* La celda 'Pueblos Originarios / Hombres' debe ser menor o igual al Total de Hombres en control. </v>
      </c>
      <c r="CJ109" s="465" t="str">
        <f t="shared" si="68"/>
        <v xml:space="preserve">* La celda 'Pueblos Originarios / Mujeres' debe ser menor o igual al Total de Mujeres en control. </v>
      </c>
      <c r="CK109" s="465" t="str">
        <f t="shared" si="75"/>
        <v xml:space="preserve">* La celda 'Población Migrantes / Hombres' debe ser menor o igual al Total de Hombres en control. </v>
      </c>
      <c r="CL109" s="465" t="str">
        <f t="shared" si="69"/>
        <v xml:space="preserve">* La celda 'Población Migrantes / Mujeres' debe ser menor o igual al Total de Mujeres en control. </v>
      </c>
      <c r="CM109" s="465" t="str">
        <f t="shared" si="76"/>
        <v xml:space="preserve">* La celda 'Población SENAME' debe ser menor o igual al Total de Personas en control. </v>
      </c>
      <c r="CQ109" s="465" t="str">
        <f t="shared" si="77"/>
        <v/>
      </c>
      <c r="CR109" s="465" t="str">
        <f t="shared" si="78"/>
        <v/>
      </c>
      <c r="CS109" s="465" t="str">
        <f t="shared" si="79"/>
        <v/>
      </c>
      <c r="CU109" s="465" t="str">
        <f t="shared" si="66"/>
        <v xml:space="preserve">* La celda 'Plan Cuidado Integral Elaborado' debe ser menor o igual al Total de Personas en control. </v>
      </c>
      <c r="CV109" s="465" t="str">
        <f t="shared" si="54"/>
        <v/>
      </c>
      <c r="DA109" s="470"/>
      <c r="DB109" s="470"/>
      <c r="DC109" s="486">
        <f t="shared" si="80"/>
        <v>1</v>
      </c>
      <c r="DD109" s="486">
        <f t="shared" si="72"/>
        <v>1</v>
      </c>
      <c r="DE109" s="486">
        <f t="shared" si="81"/>
        <v>1</v>
      </c>
      <c r="DF109" s="486">
        <f t="shared" si="73"/>
        <v>1</v>
      </c>
      <c r="DG109" s="486">
        <f t="shared" si="82"/>
        <v>1</v>
      </c>
      <c r="DH109" s="470"/>
      <c r="DI109" s="470"/>
      <c r="DJ109" s="470"/>
      <c r="DK109" s="486">
        <f t="shared" si="83"/>
        <v>0</v>
      </c>
      <c r="DL109" s="486">
        <f t="shared" si="84"/>
        <v>0</v>
      </c>
      <c r="DM109" s="486">
        <f t="shared" si="63"/>
        <v>0</v>
      </c>
      <c r="DO109" s="486">
        <f t="shared" si="64"/>
        <v>1</v>
      </c>
      <c r="DP109" s="486">
        <f t="shared" si="65"/>
        <v>0</v>
      </c>
    </row>
    <row r="110" spans="1:120" ht="33" customHeight="1" x14ac:dyDescent="0.25">
      <c r="B110" s="655" t="s">
        <v>266</v>
      </c>
      <c r="C110" s="645"/>
      <c r="D110" s="645"/>
      <c r="E110" s="645"/>
      <c r="F110" s="645"/>
      <c r="G110" s="645"/>
      <c r="H110" s="645"/>
      <c r="I110" s="645"/>
      <c r="J110" s="645"/>
      <c r="K110" s="645"/>
      <c r="L110" s="645"/>
      <c r="M110" s="645"/>
      <c r="N110" s="645"/>
      <c r="O110" s="645"/>
      <c r="P110" s="645"/>
      <c r="W110" s="481"/>
      <c r="AU110" s="662"/>
    </row>
    <row r="111" spans="1:120" x14ac:dyDescent="0.25">
      <c r="B111" s="2334" t="s">
        <v>259</v>
      </c>
      <c r="C111" s="2334" t="s">
        <v>260</v>
      </c>
      <c r="D111" s="2324" t="s">
        <v>110</v>
      </c>
      <c r="E111" s="2324"/>
      <c r="F111" s="2324"/>
      <c r="G111" s="2324" t="s">
        <v>16</v>
      </c>
      <c r="H111" s="2324"/>
      <c r="I111" s="2324"/>
      <c r="J111" s="2324"/>
      <c r="K111" s="2324"/>
      <c r="L111" s="2324"/>
      <c r="M111" s="2324"/>
      <c r="N111" s="2324"/>
      <c r="O111" s="2324"/>
      <c r="P111" s="2324"/>
      <c r="Q111" s="2324"/>
      <c r="R111" s="2324"/>
      <c r="S111" s="2324"/>
      <c r="T111" s="2324"/>
      <c r="U111" s="2324"/>
      <c r="V111" s="2324"/>
      <c r="W111" s="2324"/>
      <c r="X111" s="2324"/>
      <c r="Y111" s="2324"/>
      <c r="Z111" s="2324"/>
      <c r="AA111" s="2324"/>
      <c r="AB111" s="2324"/>
      <c r="AC111" s="2324"/>
      <c r="AD111" s="2324"/>
      <c r="AE111" s="2324"/>
      <c r="AF111" s="2324"/>
      <c r="AG111" s="2324"/>
      <c r="AH111" s="2324"/>
      <c r="AI111" s="2324"/>
      <c r="AJ111" s="2324"/>
      <c r="AK111" s="2324"/>
      <c r="AL111" s="2324"/>
      <c r="AM111" s="2324"/>
      <c r="AN111" s="2324"/>
      <c r="AU111" s="662"/>
    </row>
    <row r="112" spans="1:120" ht="27.75" customHeight="1" x14ac:dyDescent="0.25">
      <c r="B112" s="2334"/>
      <c r="C112" s="2334"/>
      <c r="D112" s="2324"/>
      <c r="E112" s="2324"/>
      <c r="F112" s="2324"/>
      <c r="G112" s="2324" t="s">
        <v>232</v>
      </c>
      <c r="H112" s="2324"/>
      <c r="I112" s="2324" t="s">
        <v>233</v>
      </c>
      <c r="J112" s="2324"/>
      <c r="K112" s="2336" t="s">
        <v>144</v>
      </c>
      <c r="L112" s="2336"/>
      <c r="M112" s="2336" t="s">
        <v>19</v>
      </c>
      <c r="N112" s="2336"/>
      <c r="O112" s="2336" t="s">
        <v>20</v>
      </c>
      <c r="P112" s="2336"/>
      <c r="Q112" s="2336" t="s">
        <v>21</v>
      </c>
      <c r="R112" s="2336"/>
      <c r="S112" s="2336" t="s">
        <v>22</v>
      </c>
      <c r="T112" s="2336"/>
      <c r="U112" s="2336" t="s">
        <v>23</v>
      </c>
      <c r="V112" s="2336"/>
      <c r="W112" s="2336" t="s">
        <v>24</v>
      </c>
      <c r="X112" s="2336"/>
      <c r="Y112" s="2336" t="s">
        <v>25</v>
      </c>
      <c r="Z112" s="2336"/>
      <c r="AA112" s="2336" t="s">
        <v>26</v>
      </c>
      <c r="AB112" s="2336"/>
      <c r="AC112" s="2336" t="s">
        <v>234</v>
      </c>
      <c r="AD112" s="2336"/>
      <c r="AE112" s="2336" t="s">
        <v>235</v>
      </c>
      <c r="AF112" s="2336"/>
      <c r="AG112" s="2385" t="s">
        <v>207</v>
      </c>
      <c r="AH112" s="2385"/>
      <c r="AI112" s="2385" t="s">
        <v>208</v>
      </c>
      <c r="AJ112" s="2385"/>
      <c r="AK112" s="2385" t="s">
        <v>209</v>
      </c>
      <c r="AL112" s="2385"/>
      <c r="AM112" s="2264" t="s">
        <v>221</v>
      </c>
      <c r="AN112" s="2264"/>
    </row>
    <row r="113" spans="1:119" ht="27.75" customHeight="1" x14ac:dyDescent="0.25">
      <c r="B113" s="2334"/>
      <c r="C113" s="2334"/>
      <c r="D113" s="219" t="s">
        <v>99</v>
      </c>
      <c r="E113" s="76" t="s">
        <v>33</v>
      </c>
      <c r="F113" s="477" t="s">
        <v>100</v>
      </c>
      <c r="G113" s="476" t="s">
        <v>33</v>
      </c>
      <c r="H113" s="477" t="s">
        <v>100</v>
      </c>
      <c r="I113" s="476" t="s">
        <v>33</v>
      </c>
      <c r="J113" s="477" t="s">
        <v>100</v>
      </c>
      <c r="K113" s="476" t="s">
        <v>33</v>
      </c>
      <c r="L113" s="477" t="s">
        <v>100</v>
      </c>
      <c r="M113" s="476" t="s">
        <v>33</v>
      </c>
      <c r="N113" s="477" t="s">
        <v>100</v>
      </c>
      <c r="O113" s="476" t="s">
        <v>33</v>
      </c>
      <c r="P113" s="477" t="s">
        <v>100</v>
      </c>
      <c r="Q113" s="476" t="s">
        <v>33</v>
      </c>
      <c r="R113" s="477" t="s">
        <v>100</v>
      </c>
      <c r="S113" s="476" t="s">
        <v>33</v>
      </c>
      <c r="T113" s="477" t="s">
        <v>100</v>
      </c>
      <c r="U113" s="476" t="s">
        <v>33</v>
      </c>
      <c r="V113" s="477" t="s">
        <v>100</v>
      </c>
      <c r="W113" s="476" t="s">
        <v>33</v>
      </c>
      <c r="X113" s="477" t="s">
        <v>100</v>
      </c>
      <c r="Y113" s="476" t="s">
        <v>33</v>
      </c>
      <c r="Z113" s="477" t="s">
        <v>100</v>
      </c>
      <c r="AA113" s="476" t="s">
        <v>33</v>
      </c>
      <c r="AB113" s="477" t="s">
        <v>100</v>
      </c>
      <c r="AC113" s="476" t="s">
        <v>33</v>
      </c>
      <c r="AD113" s="477" t="s">
        <v>100</v>
      </c>
      <c r="AE113" s="476" t="s">
        <v>33</v>
      </c>
      <c r="AF113" s="477" t="s">
        <v>100</v>
      </c>
      <c r="AG113" s="476" t="s">
        <v>33</v>
      </c>
      <c r="AH113" s="477" t="s">
        <v>100</v>
      </c>
      <c r="AI113" s="476" t="s">
        <v>33</v>
      </c>
      <c r="AJ113" s="477" t="s">
        <v>100</v>
      </c>
      <c r="AK113" s="476" t="s">
        <v>33</v>
      </c>
      <c r="AL113" s="477" t="s">
        <v>100</v>
      </c>
      <c r="AM113" s="476" t="s">
        <v>33</v>
      </c>
      <c r="AN113" s="477" t="s">
        <v>100</v>
      </c>
    </row>
    <row r="114" spans="1:119" ht="21" x14ac:dyDescent="0.25">
      <c r="A114" s="1773" t="s">
        <v>1298</v>
      </c>
      <c r="B114" s="229" t="s">
        <v>261</v>
      </c>
      <c r="C114" s="230" t="s">
        <v>236</v>
      </c>
      <c r="D114" s="341" t="s">
        <v>1384</v>
      </c>
      <c r="E114" s="342" t="s">
        <v>1385</v>
      </c>
      <c r="F114" s="343" t="s">
        <v>1386</v>
      </c>
      <c r="G114" s="1160" t="s">
        <v>1387</v>
      </c>
      <c r="H114" s="1161" t="s">
        <v>1388</v>
      </c>
      <c r="I114" s="1160" t="s">
        <v>1389</v>
      </c>
      <c r="J114" s="1161" t="s">
        <v>1390</v>
      </c>
      <c r="K114" s="1160" t="s">
        <v>1391</v>
      </c>
      <c r="L114" s="1163" t="s">
        <v>1392</v>
      </c>
      <c r="M114" s="1160" t="s">
        <v>1393</v>
      </c>
      <c r="N114" s="1163" t="s">
        <v>1394</v>
      </c>
      <c r="O114" s="1160" t="s">
        <v>1395</v>
      </c>
      <c r="P114" s="1163" t="s">
        <v>1396</v>
      </c>
      <c r="Q114" s="1160" t="s">
        <v>1397</v>
      </c>
      <c r="R114" s="1161" t="s">
        <v>1398</v>
      </c>
      <c r="S114" s="1160" t="s">
        <v>1399</v>
      </c>
      <c r="T114" s="1161" t="s">
        <v>1400</v>
      </c>
      <c r="U114" s="1160" t="s">
        <v>1401</v>
      </c>
      <c r="V114" s="1163" t="s">
        <v>1402</v>
      </c>
      <c r="W114" s="1160" t="s">
        <v>1403</v>
      </c>
      <c r="X114" s="1163" t="s">
        <v>1404</v>
      </c>
      <c r="Y114" s="1160" t="s">
        <v>1405</v>
      </c>
      <c r="Z114" s="1163" t="s">
        <v>1406</v>
      </c>
      <c r="AA114" s="1160" t="s">
        <v>1407</v>
      </c>
      <c r="AB114" s="1161" t="s">
        <v>1408</v>
      </c>
      <c r="AC114" s="1160" t="s">
        <v>1409</v>
      </c>
      <c r="AD114" s="1161" t="s">
        <v>1410</v>
      </c>
      <c r="AE114" s="1160" t="s">
        <v>1411</v>
      </c>
      <c r="AF114" s="1163" t="s">
        <v>1412</v>
      </c>
      <c r="AG114" s="1160" t="s">
        <v>1413</v>
      </c>
      <c r="AH114" s="1163" t="s">
        <v>1414</v>
      </c>
      <c r="AI114" s="1160" t="s">
        <v>1415</v>
      </c>
      <c r="AJ114" s="1163" t="s">
        <v>1416</v>
      </c>
      <c r="AK114" s="1160" t="s">
        <v>1417</v>
      </c>
      <c r="AL114" s="1163" t="s">
        <v>1418</v>
      </c>
      <c r="AM114" s="1160" t="s">
        <v>1419</v>
      </c>
      <c r="AN114" s="1172" t="s">
        <v>1420</v>
      </c>
      <c r="AO114" s="282"/>
    </row>
    <row r="115" spans="1:119" ht="21" x14ac:dyDescent="0.25">
      <c r="A115" s="1773" t="s">
        <v>1299</v>
      </c>
      <c r="B115" s="229" t="s">
        <v>262</v>
      </c>
      <c r="C115" s="230" t="s">
        <v>236</v>
      </c>
      <c r="D115" s="341" t="s">
        <v>1384</v>
      </c>
      <c r="E115" s="342" t="s">
        <v>1385</v>
      </c>
      <c r="F115" s="343" t="s">
        <v>1386</v>
      </c>
      <c r="G115" s="1160" t="s">
        <v>1387</v>
      </c>
      <c r="H115" s="1161" t="s">
        <v>1388</v>
      </c>
      <c r="I115" s="1160" t="s">
        <v>1389</v>
      </c>
      <c r="J115" s="1161" t="s">
        <v>1390</v>
      </c>
      <c r="K115" s="1160" t="s">
        <v>1391</v>
      </c>
      <c r="L115" s="1163" t="s">
        <v>1392</v>
      </c>
      <c r="M115" s="1160" t="s">
        <v>1393</v>
      </c>
      <c r="N115" s="1163" t="s">
        <v>1394</v>
      </c>
      <c r="O115" s="1160" t="s">
        <v>1395</v>
      </c>
      <c r="P115" s="1163" t="s">
        <v>1396</v>
      </c>
      <c r="Q115" s="1160" t="s">
        <v>1397</v>
      </c>
      <c r="R115" s="1161" t="s">
        <v>1398</v>
      </c>
      <c r="S115" s="1160" t="s">
        <v>1399</v>
      </c>
      <c r="T115" s="1161" t="s">
        <v>1400</v>
      </c>
      <c r="U115" s="1160" t="s">
        <v>1401</v>
      </c>
      <c r="V115" s="1163" t="s">
        <v>1402</v>
      </c>
      <c r="W115" s="1160" t="s">
        <v>1403</v>
      </c>
      <c r="X115" s="1163" t="s">
        <v>1404</v>
      </c>
      <c r="Y115" s="1160" t="s">
        <v>1405</v>
      </c>
      <c r="Z115" s="1163" t="s">
        <v>1406</v>
      </c>
      <c r="AA115" s="1160" t="s">
        <v>1407</v>
      </c>
      <c r="AB115" s="1161" t="s">
        <v>1408</v>
      </c>
      <c r="AC115" s="1160" t="s">
        <v>1409</v>
      </c>
      <c r="AD115" s="1161" t="s">
        <v>1410</v>
      </c>
      <c r="AE115" s="1160" t="s">
        <v>1411</v>
      </c>
      <c r="AF115" s="1163" t="s">
        <v>1412</v>
      </c>
      <c r="AG115" s="1160" t="s">
        <v>1413</v>
      </c>
      <c r="AH115" s="1163" t="s">
        <v>1414</v>
      </c>
      <c r="AI115" s="1160" t="s">
        <v>1415</v>
      </c>
      <c r="AJ115" s="1163" t="s">
        <v>1416</v>
      </c>
      <c r="AK115" s="1160" t="s">
        <v>1417</v>
      </c>
      <c r="AL115" s="1163" t="s">
        <v>1418</v>
      </c>
      <c r="AM115" s="1160" t="s">
        <v>1419</v>
      </c>
      <c r="AN115" s="1172" t="s">
        <v>1420</v>
      </c>
      <c r="AO115" s="282"/>
    </row>
    <row r="119" spans="1:119" x14ac:dyDescent="0.25">
      <c r="A119" s="215" t="s">
        <v>865</v>
      </c>
    </row>
    <row r="120" spans="1:119" x14ac:dyDescent="0.25">
      <c r="A120" s="1775" t="s">
        <v>1258</v>
      </c>
    </row>
    <row r="121" spans="1:119" s="474" customFormat="1" x14ac:dyDescent="0.25">
      <c r="A121" s="1775" t="s">
        <v>1297</v>
      </c>
      <c r="B121" s="215"/>
      <c r="C121" s="215"/>
      <c r="D121" s="215"/>
      <c r="E121" s="215"/>
      <c r="F121" s="215"/>
      <c r="G121" s="215"/>
      <c r="H121" s="215"/>
      <c r="I121" s="215"/>
      <c r="J121" s="215"/>
      <c r="K121" s="215"/>
      <c r="L121" s="215"/>
      <c r="M121" s="215"/>
      <c r="N121" s="215"/>
      <c r="O121" s="215"/>
      <c r="P121" s="215"/>
      <c r="Q121" s="215"/>
      <c r="R121" s="215"/>
      <c r="S121" s="215"/>
      <c r="T121" s="215"/>
      <c r="U121" s="215"/>
      <c r="V121" s="215"/>
      <c r="W121" s="216"/>
      <c r="X121" s="216"/>
      <c r="Y121" s="216"/>
      <c r="Z121" s="216"/>
      <c r="AA121" s="216"/>
      <c r="AB121" s="216"/>
      <c r="AC121" s="216"/>
      <c r="AD121" s="216"/>
      <c r="AE121" s="216"/>
      <c r="AF121" s="216"/>
      <c r="AG121" s="216"/>
      <c r="AH121" s="216"/>
      <c r="AI121" s="216"/>
      <c r="AJ121" s="216"/>
      <c r="AK121" s="216"/>
      <c r="AL121" s="216"/>
      <c r="AM121" s="215"/>
      <c r="AN121" s="215"/>
      <c r="AO121" s="215"/>
      <c r="AP121" s="215"/>
      <c r="AQ121" s="215"/>
      <c r="AR121" s="215"/>
      <c r="AS121" s="215"/>
      <c r="AT121" s="215"/>
      <c r="AU121" s="215"/>
      <c r="AV121" s="216"/>
      <c r="AW121" s="216"/>
      <c r="AX121" s="216"/>
      <c r="AY121" s="216"/>
      <c r="AZ121" s="216"/>
      <c r="BA121" s="216"/>
      <c r="BB121" s="216"/>
      <c r="CS121" s="1246"/>
      <c r="CT121" s="1246"/>
      <c r="CU121" s="1246"/>
      <c r="DM121" s="1246"/>
      <c r="DN121" s="1246"/>
      <c r="DO121" s="1246"/>
    </row>
    <row r="122" spans="1:119" s="474" customFormat="1" x14ac:dyDescent="0.25">
      <c r="A122" s="215"/>
      <c r="B122" s="215"/>
      <c r="C122" s="215"/>
      <c r="D122" s="215"/>
      <c r="E122" s="215"/>
      <c r="F122" s="215"/>
      <c r="G122" s="215"/>
      <c r="H122" s="215"/>
      <c r="I122" s="215"/>
      <c r="J122" s="215"/>
      <c r="K122" s="215"/>
      <c r="L122" s="215"/>
      <c r="M122" s="215"/>
      <c r="N122" s="215"/>
      <c r="O122" s="215"/>
      <c r="P122" s="215"/>
      <c r="Q122" s="215"/>
      <c r="R122" s="215"/>
      <c r="S122" s="215"/>
      <c r="T122" s="215"/>
      <c r="U122" s="215"/>
      <c r="V122" s="215"/>
      <c r="W122" s="216"/>
      <c r="X122" s="216"/>
      <c r="Y122" s="216"/>
      <c r="Z122" s="216"/>
      <c r="AA122" s="216"/>
      <c r="AB122" s="216"/>
      <c r="AC122" s="216"/>
      <c r="AD122" s="216"/>
      <c r="AE122" s="216"/>
      <c r="AF122" s="216"/>
      <c r="AG122" s="216"/>
      <c r="AH122" s="216"/>
      <c r="AI122" s="216"/>
      <c r="AJ122" s="216"/>
      <c r="AK122" s="216"/>
      <c r="AL122" s="216"/>
      <c r="AM122" s="215"/>
      <c r="AN122" s="215"/>
      <c r="AO122" s="215"/>
      <c r="AP122" s="215"/>
      <c r="AQ122" s="215"/>
      <c r="AR122" s="215"/>
      <c r="AS122" s="215"/>
      <c r="AT122" s="215"/>
      <c r="AU122" s="215"/>
      <c r="AV122" s="216"/>
      <c r="AW122" s="216"/>
      <c r="AX122" s="216"/>
      <c r="AY122" s="216"/>
      <c r="AZ122" s="216"/>
      <c r="BA122" s="216"/>
      <c r="BB122" s="216"/>
      <c r="CS122" s="1246"/>
      <c r="CT122" s="1246"/>
      <c r="CU122" s="1246"/>
      <c r="DM122" s="1246"/>
      <c r="DN122" s="1246"/>
      <c r="DO122" s="1246"/>
    </row>
    <row r="123" spans="1:119" x14ac:dyDescent="0.25">
      <c r="A123" s="237" t="s">
        <v>1200</v>
      </c>
    </row>
    <row r="124" spans="1:119" x14ac:dyDescent="0.25">
      <c r="A124" s="1807" t="s">
        <v>1316</v>
      </c>
    </row>
    <row r="125" spans="1:119" x14ac:dyDescent="0.25">
      <c r="A125" s="1807" t="s">
        <v>1317</v>
      </c>
    </row>
    <row r="126" spans="1:119" x14ac:dyDescent="0.25">
      <c r="A126" s="1807" t="s">
        <v>1318</v>
      </c>
    </row>
    <row r="127" spans="1:119" x14ac:dyDescent="0.25">
      <c r="A127" s="1807" t="s">
        <v>1319</v>
      </c>
    </row>
    <row r="128" spans="1:119" x14ac:dyDescent="0.25">
      <c r="A128" s="1807" t="s">
        <v>1320</v>
      </c>
    </row>
    <row r="129" spans="1:47" x14ac:dyDescent="0.25">
      <c r="A129" s="1807" t="s">
        <v>1321</v>
      </c>
    </row>
    <row r="130" spans="1:47" x14ac:dyDescent="0.25">
      <c r="A130" s="1807" t="s">
        <v>1322</v>
      </c>
    </row>
    <row r="131" spans="1:47" x14ac:dyDescent="0.25">
      <c r="A131" s="1807" t="s">
        <v>1323</v>
      </c>
    </row>
    <row r="132" spans="1:47" ht="19.5" customHeight="1" x14ac:dyDescent="0.25">
      <c r="A132" s="1807" t="s">
        <v>1324</v>
      </c>
    </row>
    <row r="133" spans="1:47" x14ac:dyDescent="0.25">
      <c r="A133" s="1807" t="s">
        <v>1325</v>
      </c>
    </row>
    <row r="135" spans="1:47" x14ac:dyDescent="0.25">
      <c r="B135" s="1808">
        <f>SUM(B13:AV115)</f>
        <v>0</v>
      </c>
      <c r="C135" s="474" t="s">
        <v>350</v>
      </c>
      <c r="D135" s="474"/>
      <c r="E135" s="474"/>
      <c r="F135" s="474"/>
      <c r="G135" s="474"/>
      <c r="H135" s="474"/>
      <c r="I135" s="474"/>
      <c r="J135" s="474"/>
      <c r="K135" s="474"/>
      <c r="L135" s="474"/>
      <c r="M135" s="474"/>
      <c r="N135" s="474"/>
      <c r="O135" s="474"/>
      <c r="P135" s="474"/>
      <c r="Q135" s="474"/>
      <c r="R135" s="474"/>
      <c r="S135" s="474"/>
      <c r="T135" s="474"/>
      <c r="U135" s="474"/>
      <c r="V135" s="474"/>
      <c r="W135" s="474"/>
      <c r="X135" s="474"/>
      <c r="Y135" s="474"/>
      <c r="Z135" s="474"/>
      <c r="AA135" s="474"/>
      <c r="AB135" s="474"/>
      <c r="AC135" s="474"/>
      <c r="AD135" s="474"/>
      <c r="AE135" s="474"/>
      <c r="AF135" s="474"/>
      <c r="AG135" s="474"/>
      <c r="AH135" s="474"/>
      <c r="AI135" s="474"/>
      <c r="AJ135" s="474"/>
      <c r="AK135" s="474"/>
      <c r="AL135" s="474"/>
      <c r="AM135" s="474"/>
      <c r="AN135" s="474"/>
      <c r="AO135" s="474"/>
      <c r="AP135" s="474"/>
      <c r="AQ135" s="474"/>
      <c r="AR135" s="474"/>
      <c r="AS135" s="474"/>
      <c r="AT135" s="474"/>
      <c r="AU135" s="474"/>
    </row>
    <row r="136" spans="1:47" x14ac:dyDescent="0.25">
      <c r="B136" s="1808">
        <f>SUM(CY10:DP115)</f>
        <v>514</v>
      </c>
      <c r="C136" s="474" t="s">
        <v>351</v>
      </c>
      <c r="D136" s="474"/>
      <c r="E136" s="474"/>
      <c r="F136" s="474"/>
      <c r="G136" s="474"/>
      <c r="H136" s="474"/>
      <c r="I136" s="474"/>
      <c r="J136" s="474"/>
      <c r="K136" s="474"/>
      <c r="L136" s="474"/>
      <c r="M136" s="474"/>
      <c r="N136" s="474"/>
      <c r="O136" s="474"/>
      <c r="P136" s="474"/>
      <c r="Q136" s="474"/>
      <c r="R136" s="474"/>
      <c r="S136" s="474"/>
      <c r="T136" s="474"/>
      <c r="U136" s="474"/>
      <c r="V136" s="474"/>
      <c r="W136" s="474"/>
      <c r="X136" s="474"/>
      <c r="Y136" s="474"/>
      <c r="Z136" s="474"/>
      <c r="AA136" s="474"/>
      <c r="AB136" s="474"/>
      <c r="AC136" s="474"/>
      <c r="AD136" s="474"/>
      <c r="AE136" s="474"/>
      <c r="AF136" s="474"/>
      <c r="AG136" s="474"/>
      <c r="AH136" s="474"/>
      <c r="AI136" s="474"/>
      <c r="AJ136" s="474"/>
      <c r="AK136" s="474"/>
      <c r="AL136" s="474"/>
      <c r="AM136" s="474"/>
      <c r="AN136" s="474"/>
      <c r="AO136" s="474"/>
      <c r="AP136" s="474"/>
      <c r="AQ136" s="474"/>
      <c r="AR136" s="474"/>
      <c r="AS136" s="474"/>
      <c r="AT136" s="474"/>
      <c r="AU136" s="474"/>
    </row>
    <row r="138" spans="1:47" x14ac:dyDescent="0.25">
      <c r="A138" s="237"/>
    </row>
  </sheetData>
  <dataConsolidate/>
  <mergeCells count="168">
    <mergeCell ref="W56:X56"/>
    <mergeCell ref="M56:N56"/>
    <mergeCell ref="O56:P56"/>
    <mergeCell ref="W11:X11"/>
    <mergeCell ref="CU67:CU68"/>
    <mergeCell ref="AK67:AL67"/>
    <mergeCell ref="AE67:AF67"/>
    <mergeCell ref="AS66:AT67"/>
    <mergeCell ref="AO66:AO68"/>
    <mergeCell ref="AP66:AP68"/>
    <mergeCell ref="AQ66:AR67"/>
    <mergeCell ref="AV66:AV68"/>
    <mergeCell ref="CH67:CH68"/>
    <mergeCell ref="CG67:CG68"/>
    <mergeCell ref="CM67:CM68"/>
    <mergeCell ref="AU66:AU68"/>
    <mergeCell ref="CM11:CM12"/>
    <mergeCell ref="CI11:CJ11"/>
    <mergeCell ref="CK11:CL11"/>
    <mergeCell ref="CG11:CG12"/>
    <mergeCell ref="CH11:CH12"/>
    <mergeCell ref="O11:P11"/>
    <mergeCell ref="Q11:R11"/>
    <mergeCell ref="AP10:AP12"/>
    <mergeCell ref="AK9:AL9"/>
    <mergeCell ref="G11:H11"/>
    <mergeCell ref="I11:J11"/>
    <mergeCell ref="Q56:R56"/>
    <mergeCell ref="AQ10:AR11"/>
    <mergeCell ref="AG56:AH56"/>
    <mergeCell ref="AI56:AJ56"/>
    <mergeCell ref="AC9:AD9"/>
    <mergeCell ref="AA9:AB9"/>
    <mergeCell ref="AE9:AF9"/>
    <mergeCell ref="AI9:AJ9"/>
    <mergeCell ref="AK56:AL56"/>
    <mergeCell ref="G55:AN55"/>
    <mergeCell ref="G56:H56"/>
    <mergeCell ref="I56:J56"/>
    <mergeCell ref="K56:L56"/>
    <mergeCell ref="AM56:AN56"/>
    <mergeCell ref="Y56:Z56"/>
    <mergeCell ref="AA56:AB56"/>
    <mergeCell ref="AC56:AD56"/>
    <mergeCell ref="AA11:AB11"/>
    <mergeCell ref="AE56:AF56"/>
    <mergeCell ref="S56:T56"/>
    <mergeCell ref="U56:V56"/>
    <mergeCell ref="G112:H112"/>
    <mergeCell ref="I112:J112"/>
    <mergeCell ref="K112:L112"/>
    <mergeCell ref="AG67:AH67"/>
    <mergeCell ref="AA67:AB67"/>
    <mergeCell ref="AI67:AJ67"/>
    <mergeCell ref="AM67:AN67"/>
    <mergeCell ref="W67:X67"/>
    <mergeCell ref="G67:H67"/>
    <mergeCell ref="I67:J67"/>
    <mergeCell ref="D111:F112"/>
    <mergeCell ref="U112:V112"/>
    <mergeCell ref="W112:X112"/>
    <mergeCell ref="M62:N62"/>
    <mergeCell ref="S67:T67"/>
    <mergeCell ref="Q67:R67"/>
    <mergeCell ref="Y67:Z67"/>
    <mergeCell ref="U67:V67"/>
    <mergeCell ref="O112:P112"/>
    <mergeCell ref="Q61:R62"/>
    <mergeCell ref="G66:AN66"/>
    <mergeCell ref="M112:N112"/>
    <mergeCell ref="Q112:R112"/>
    <mergeCell ref="S112:T112"/>
    <mergeCell ref="AM112:AN112"/>
    <mergeCell ref="AA112:AB112"/>
    <mergeCell ref="AC112:AD112"/>
    <mergeCell ref="AE112:AF112"/>
    <mergeCell ref="AG112:AH112"/>
    <mergeCell ref="AI112:AJ112"/>
    <mergeCell ref="AK112:AL112"/>
    <mergeCell ref="AC67:AD67"/>
    <mergeCell ref="G111:AN111"/>
    <mergeCell ref="Y112:Z112"/>
    <mergeCell ref="B7:V7"/>
    <mergeCell ref="I9:J9"/>
    <mergeCell ref="K9:L9"/>
    <mergeCell ref="M9:N9"/>
    <mergeCell ref="B10:C12"/>
    <mergeCell ref="D10:F11"/>
    <mergeCell ref="B9:H9"/>
    <mergeCell ref="O9:P9"/>
    <mergeCell ref="Q9:R9"/>
    <mergeCell ref="S9:T9"/>
    <mergeCell ref="G10:AN10"/>
    <mergeCell ref="U11:V11"/>
    <mergeCell ref="U9:V9"/>
    <mergeCell ref="M11:N11"/>
    <mergeCell ref="W9:X9"/>
    <mergeCell ref="Y9:Z9"/>
    <mergeCell ref="AK11:AL11"/>
    <mergeCell ref="AE11:AF11"/>
    <mergeCell ref="AG11:AH11"/>
    <mergeCell ref="AI11:AJ11"/>
    <mergeCell ref="AG9:AH9"/>
    <mergeCell ref="AM9:AN9"/>
    <mergeCell ref="AM11:AN11"/>
    <mergeCell ref="K11:L11"/>
    <mergeCell ref="B43:C43"/>
    <mergeCell ref="B20:C20"/>
    <mergeCell ref="B21:B25"/>
    <mergeCell ref="B26:B28"/>
    <mergeCell ref="B29:B32"/>
    <mergeCell ref="B39:B41"/>
    <mergeCell ref="B33:B38"/>
    <mergeCell ref="C111:C113"/>
    <mergeCell ref="B85:B88"/>
    <mergeCell ref="B76:C76"/>
    <mergeCell ref="B82:B84"/>
    <mergeCell ref="B95:B97"/>
    <mergeCell ref="B98:C98"/>
    <mergeCell ref="B100:C100"/>
    <mergeCell ref="B102:C102"/>
    <mergeCell ref="B77:B81"/>
    <mergeCell ref="B89:B94"/>
    <mergeCell ref="B99:C99"/>
    <mergeCell ref="B109:C109"/>
    <mergeCell ref="B111:B113"/>
    <mergeCell ref="B103:B107"/>
    <mergeCell ref="B101:C101"/>
    <mergeCell ref="B74:B75"/>
    <mergeCell ref="O62:P62"/>
    <mergeCell ref="G61:P61"/>
    <mergeCell ref="D61:F62"/>
    <mergeCell ref="G62:H62"/>
    <mergeCell ref="I62:J62"/>
    <mergeCell ref="K62:L62"/>
    <mergeCell ref="M67:N67"/>
    <mergeCell ref="O67:P67"/>
    <mergeCell ref="B73:C73"/>
    <mergeCell ref="B64:C64"/>
    <mergeCell ref="B69:C69"/>
    <mergeCell ref="K67:L67"/>
    <mergeCell ref="B65:P65"/>
    <mergeCell ref="B66:C68"/>
    <mergeCell ref="D66:F67"/>
    <mergeCell ref="AO10:AO12"/>
    <mergeCell ref="AU10:AU12"/>
    <mergeCell ref="AS10:AT11"/>
    <mergeCell ref="AV10:AV12"/>
    <mergeCell ref="AC11:AD11"/>
    <mergeCell ref="Y11:Z11"/>
    <mergeCell ref="S11:T11"/>
    <mergeCell ref="B17:C17"/>
    <mergeCell ref="B71:B72"/>
    <mergeCell ref="B70:C70"/>
    <mergeCell ref="B61:C63"/>
    <mergeCell ref="D55:F56"/>
    <mergeCell ref="B42:C42"/>
    <mergeCell ref="B13:C13"/>
    <mergeCell ref="B14:C14"/>
    <mergeCell ref="B15:B16"/>
    <mergeCell ref="B18:B19"/>
    <mergeCell ref="B45:C45"/>
    <mergeCell ref="B46:C46"/>
    <mergeCell ref="B44:C44"/>
    <mergeCell ref="B47:B51"/>
    <mergeCell ref="B55:B57"/>
    <mergeCell ref="C55:C57"/>
    <mergeCell ref="B53:C53"/>
  </mergeCells>
  <phoneticPr fontId="27" type="noConversion"/>
  <conditionalFormatting sqref="CP94:DR107">
    <cfRule type="cellIs" dxfId="0" priority="1" operator="equal">
      <formula>1</formula>
    </cfRule>
  </conditionalFormatting>
  <dataValidations count="1">
    <dataValidation type="whole" allowBlank="1" showInputMessage="1" showErrorMessage="1" sqref="CB1:XFD1048576 D1:BB1048576 B1:B47 C1:C46 B108:C1048576 C52:C102 B52:B103">
      <formula1>0</formula1>
      <formula2>100000000000000</formula2>
    </dataValidation>
  </dataValidations>
  <pageMargins left="0.70866141732283472" right="0.70866141732283472" top="0.74803149606299213" bottom="0.74803149606299213" header="0.31496062992125984" footer="0.31496062992125984"/>
  <pageSetup scale="46" pageOrder="overThenDown" orientation="landscape" r:id="rId1"/>
  <colBreaks count="1" manualBreakCount="1">
    <brk id="22" max="92" man="1"/>
  </col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N58"/>
  <sheetViews>
    <sheetView showGridLines="0" zoomScaleNormal="100" workbookViewId="0"/>
  </sheetViews>
  <sheetFormatPr baseColWidth="10" defaultColWidth="11.42578125" defaultRowHeight="10.5" x14ac:dyDescent="0.15"/>
  <cols>
    <col min="1" max="1" width="14.85546875" style="215" customWidth="1"/>
    <col min="2" max="2" width="54" style="215" customWidth="1"/>
    <col min="3" max="13" width="11.5703125" style="215" customWidth="1"/>
    <col min="14" max="14" width="11.42578125" style="215" customWidth="1"/>
    <col min="15" max="27" width="11.42578125" style="215"/>
    <col min="28" max="79" width="0" style="215" hidden="1" customWidth="1"/>
    <col min="80" max="16384" width="11.42578125" style="215"/>
  </cols>
  <sheetData>
    <row r="1" spans="1:14" s="460" customFormat="1" ht="13.5" customHeight="1" x14ac:dyDescent="0.15">
      <c r="B1" s="148" t="s">
        <v>0</v>
      </c>
      <c r="C1" s="149"/>
      <c r="D1" s="149"/>
      <c r="E1" s="149"/>
      <c r="F1" s="149"/>
      <c r="G1" s="149"/>
      <c r="H1" s="149"/>
      <c r="I1" s="149"/>
      <c r="J1" s="70"/>
      <c r="K1" s="70"/>
      <c r="L1" s="70"/>
      <c r="M1" s="70"/>
      <c r="N1" s="70"/>
    </row>
    <row r="2" spans="1:14" s="460" customFormat="1" ht="13.5" customHeight="1" x14ac:dyDescent="0.15">
      <c r="B2" s="148" t="str">
        <f>CONCATENATE("COMUNA: ",NOMBRE!$B$2," - ","( ",NOMBRE!$C$2,NOMBRE!$D$2,NOMBRE!$E$2,NOMBRE!$F$2,NOMBRE!$G$2," )")</f>
        <v>COMUNA:  - (  )</v>
      </c>
      <c r="C2" s="149"/>
      <c r="D2" s="149"/>
      <c r="E2" s="149"/>
      <c r="F2" s="149"/>
      <c r="G2" s="149"/>
      <c r="H2" s="149"/>
      <c r="I2" s="149"/>
      <c r="J2" s="70"/>
      <c r="K2" s="70"/>
      <c r="L2" s="70"/>
      <c r="M2" s="70"/>
      <c r="N2" s="70"/>
    </row>
    <row r="3" spans="1:14" s="460" customFormat="1" ht="13.5" customHeight="1" x14ac:dyDescent="0.15">
      <c r="B3" s="148" t="str">
        <f>CONCATENATE("ESTABLECIMIENTO/ESTRATEGIA: ",NOMBRE!$B$3," - ","( ",NOMBRE!$C$3,NOMBRE!$D$3,NOMBRE!$E$3,NOMBRE!$F$3,NOMBRE!$G$3,NOMBRE!$H$3," )")</f>
        <v>ESTABLECIMIENTO/ESTRATEGIA:  - (  )</v>
      </c>
      <c r="C3" s="149"/>
      <c r="D3" s="149"/>
      <c r="E3" s="150"/>
      <c r="F3" s="149"/>
      <c r="G3" s="149"/>
      <c r="H3" s="149"/>
      <c r="I3" s="149"/>
      <c r="J3" s="70"/>
      <c r="K3" s="70"/>
      <c r="L3" s="70"/>
      <c r="M3" s="70"/>
      <c r="N3" s="70"/>
    </row>
    <row r="4" spans="1:14" s="460" customFormat="1" ht="13.5" customHeight="1" x14ac:dyDescent="0.15">
      <c r="B4" s="148" t="str">
        <f>CONCATENATE("MES: ",NOMBRE!$B$6," - ","( ",NOMBRE!$C$6,NOMBRE!$D$6," )")</f>
        <v>MES:  - (  )</v>
      </c>
      <c r="C4" s="149"/>
      <c r="D4" s="149"/>
      <c r="E4" s="149"/>
      <c r="F4" s="149"/>
      <c r="G4" s="149"/>
      <c r="H4" s="149"/>
      <c r="I4" s="149"/>
      <c r="J4" s="70"/>
      <c r="K4" s="70"/>
      <c r="L4" s="70"/>
      <c r="M4" s="70"/>
      <c r="N4" s="70"/>
    </row>
    <row r="5" spans="1:14" s="460" customFormat="1" ht="13.5" customHeight="1" x14ac:dyDescent="0.15">
      <c r="B5" s="148" t="str">
        <f>CONCATENATE("AÑO: ",NOMBRE!$B$7)</f>
        <v>AÑO: 2021</v>
      </c>
      <c r="C5" s="149"/>
      <c r="D5" s="149"/>
      <c r="E5" s="149"/>
      <c r="F5" s="149"/>
      <c r="G5" s="149"/>
      <c r="H5" s="149"/>
      <c r="I5" s="149"/>
      <c r="J5" s="70"/>
      <c r="K5" s="70"/>
      <c r="L5" s="70"/>
      <c r="M5" s="70"/>
      <c r="N5" s="70"/>
    </row>
    <row r="6" spans="1:14" s="460" customFormat="1" ht="15" customHeight="1" x14ac:dyDescent="0.15">
      <c r="B6" s="148"/>
      <c r="C6" s="149"/>
      <c r="D6" s="149"/>
      <c r="E6" s="149"/>
      <c r="F6" s="149"/>
      <c r="G6" s="149"/>
      <c r="H6" s="149"/>
      <c r="I6" s="149"/>
      <c r="J6" s="70"/>
      <c r="K6" s="70"/>
      <c r="L6" s="70"/>
      <c r="M6" s="70"/>
      <c r="N6" s="70"/>
    </row>
    <row r="7" spans="1:14" s="90" customFormat="1" ht="21.75" customHeight="1" x14ac:dyDescent="0.15">
      <c r="B7" s="2403" t="s">
        <v>598</v>
      </c>
      <c r="C7" s="2403"/>
      <c r="D7" s="2403"/>
      <c r="E7" s="2403"/>
      <c r="F7" s="2403"/>
      <c r="G7" s="2403"/>
      <c r="H7" s="2403"/>
      <c r="I7" s="2403"/>
      <c r="J7" s="2403"/>
      <c r="K7" s="2403"/>
      <c r="L7" s="237"/>
      <c r="M7" s="215"/>
      <c r="N7" s="215"/>
    </row>
    <row r="8" spans="1:14" ht="44.1" customHeight="1" x14ac:dyDescent="0.2">
      <c r="B8" s="673" t="s">
        <v>444</v>
      </c>
      <c r="C8" s="670"/>
      <c r="D8" s="670"/>
      <c r="E8" s="500"/>
      <c r="F8" s="500"/>
      <c r="G8" s="500"/>
      <c r="H8" s="500"/>
      <c r="I8" s="500"/>
      <c r="J8" s="500"/>
      <c r="K8" s="500"/>
    </row>
    <row r="9" spans="1:14" ht="20.100000000000001" customHeight="1" x14ac:dyDescent="0.15">
      <c r="B9" s="442" t="s">
        <v>267</v>
      </c>
      <c r="C9" s="442" t="s">
        <v>15</v>
      </c>
      <c r="D9" s="493" t="s">
        <v>268</v>
      </c>
      <c r="E9" s="76" t="s">
        <v>269</v>
      </c>
      <c r="F9" s="76" t="s">
        <v>270</v>
      </c>
      <c r="G9" s="76" t="s">
        <v>271</v>
      </c>
      <c r="H9" s="76" t="s">
        <v>272</v>
      </c>
      <c r="I9" s="76" t="s">
        <v>273</v>
      </c>
      <c r="J9" s="76" t="s">
        <v>274</v>
      </c>
      <c r="K9" s="477" t="s">
        <v>275</v>
      </c>
    </row>
    <row r="10" spans="1:14" ht="15.75" customHeight="1" x14ac:dyDescent="0.2">
      <c r="A10" s="1773" t="s">
        <v>1203</v>
      </c>
      <c r="B10" s="501" t="s">
        <v>276</v>
      </c>
      <c r="C10" s="1176" t="s">
        <v>1384</v>
      </c>
      <c r="D10" s="732" t="s">
        <v>1385</v>
      </c>
      <c r="E10" s="733" t="s">
        <v>1386</v>
      </c>
      <c r="F10" s="733" t="s">
        <v>1387</v>
      </c>
      <c r="G10" s="733" t="s">
        <v>1388</v>
      </c>
      <c r="H10" s="733" t="s">
        <v>1389</v>
      </c>
      <c r="I10" s="733" t="s">
        <v>1390</v>
      </c>
      <c r="J10" s="733" t="s">
        <v>1391</v>
      </c>
      <c r="K10" s="827" t="s">
        <v>1392</v>
      </c>
      <c r="L10" s="137"/>
    </row>
    <row r="11" spans="1:14" ht="18" customHeight="1" x14ac:dyDescent="0.2">
      <c r="A11" s="1773" t="s">
        <v>1204</v>
      </c>
      <c r="B11" s="502" t="s">
        <v>445</v>
      </c>
      <c r="C11" s="1177" t="s">
        <v>1384</v>
      </c>
      <c r="D11" s="751" t="s">
        <v>1385</v>
      </c>
      <c r="E11" s="752" t="s">
        <v>1386</v>
      </c>
      <c r="F11" s="752" t="s">
        <v>1387</v>
      </c>
      <c r="G11" s="752" t="s">
        <v>1388</v>
      </c>
      <c r="H11" s="752" t="s">
        <v>1389</v>
      </c>
      <c r="I11" s="752" t="s">
        <v>1390</v>
      </c>
      <c r="J11" s="752" t="s">
        <v>1391</v>
      </c>
      <c r="K11" s="829" t="s">
        <v>1392</v>
      </c>
      <c r="L11" s="137"/>
    </row>
    <row r="12" spans="1:14" ht="15.75" customHeight="1" x14ac:dyDescent="0.2">
      <c r="A12" s="1773" t="s">
        <v>1205</v>
      </c>
      <c r="B12" s="503" t="s">
        <v>446</v>
      </c>
      <c r="C12" s="1177" t="s">
        <v>1384</v>
      </c>
      <c r="D12" s="751" t="s">
        <v>1385</v>
      </c>
      <c r="E12" s="752" t="s">
        <v>1386</v>
      </c>
      <c r="F12" s="752" t="s">
        <v>1387</v>
      </c>
      <c r="G12" s="752" t="s">
        <v>1388</v>
      </c>
      <c r="H12" s="752" t="s">
        <v>1389</v>
      </c>
      <c r="I12" s="752" t="s">
        <v>1390</v>
      </c>
      <c r="J12" s="752" t="s">
        <v>1391</v>
      </c>
      <c r="K12" s="829" t="s">
        <v>1392</v>
      </c>
      <c r="L12" s="137"/>
    </row>
    <row r="13" spans="1:14" ht="15.75" customHeight="1" x14ac:dyDescent="0.2">
      <c r="A13" s="1773" t="s">
        <v>1206</v>
      </c>
      <c r="B13" s="503" t="s">
        <v>447</v>
      </c>
      <c r="C13" s="1177" t="s">
        <v>1384</v>
      </c>
      <c r="D13" s="751" t="s">
        <v>1385</v>
      </c>
      <c r="E13" s="752" t="s">
        <v>1386</v>
      </c>
      <c r="F13" s="752" t="s">
        <v>1387</v>
      </c>
      <c r="G13" s="752" t="s">
        <v>1388</v>
      </c>
      <c r="H13" s="752" t="s">
        <v>1389</v>
      </c>
      <c r="I13" s="752" t="s">
        <v>1390</v>
      </c>
      <c r="J13" s="752" t="s">
        <v>1391</v>
      </c>
      <c r="K13" s="829" t="s">
        <v>1392</v>
      </c>
      <c r="L13" s="137"/>
    </row>
    <row r="14" spans="1:14" ht="15.75" customHeight="1" x14ac:dyDescent="0.2">
      <c r="A14" s="1773" t="s">
        <v>1207</v>
      </c>
      <c r="B14" s="504" t="s">
        <v>448</v>
      </c>
      <c r="C14" s="826" t="s">
        <v>1384</v>
      </c>
      <c r="D14" s="740" t="s">
        <v>1385</v>
      </c>
      <c r="E14" s="741" t="s">
        <v>1386</v>
      </c>
      <c r="F14" s="741" t="s">
        <v>1387</v>
      </c>
      <c r="G14" s="741" t="s">
        <v>1388</v>
      </c>
      <c r="H14" s="741" t="s">
        <v>1389</v>
      </c>
      <c r="I14" s="741" t="s">
        <v>1390</v>
      </c>
      <c r="J14" s="741" t="s">
        <v>1391</v>
      </c>
      <c r="K14" s="830" t="s">
        <v>1392</v>
      </c>
      <c r="L14" s="137"/>
    </row>
    <row r="15" spans="1:14" ht="15.75" customHeight="1" x14ac:dyDescent="0.15">
      <c r="B15" s="505"/>
      <c r="C15" s="238"/>
      <c r="D15" s="482"/>
      <c r="E15" s="482"/>
      <c r="F15" s="482"/>
      <c r="G15" s="482"/>
      <c r="H15" s="482"/>
      <c r="I15" s="482"/>
      <c r="J15" s="482"/>
      <c r="K15" s="482"/>
      <c r="L15" s="137"/>
    </row>
    <row r="16" spans="1:14" ht="15.75" customHeight="1" x14ac:dyDescent="0.2">
      <c r="B16" s="674" t="s">
        <v>449</v>
      </c>
      <c r="C16" s="671"/>
      <c r="D16" s="671"/>
      <c r="E16" s="482"/>
      <c r="F16" s="482"/>
      <c r="G16" s="482"/>
      <c r="H16" s="482"/>
      <c r="I16" s="482"/>
      <c r="J16" s="482"/>
      <c r="K16" s="482"/>
      <c r="L16" s="137"/>
    </row>
    <row r="17" spans="1:14" ht="15.75" customHeight="1" x14ac:dyDescent="0.15">
      <c r="B17" s="442" t="s">
        <v>267</v>
      </c>
      <c r="C17" s="442" t="s">
        <v>15</v>
      </c>
      <c r="D17" s="493" t="s">
        <v>268</v>
      </c>
      <c r="E17" s="76" t="s">
        <v>269</v>
      </c>
      <c r="F17" s="76" t="s">
        <v>270</v>
      </c>
      <c r="G17" s="76" t="s">
        <v>271</v>
      </c>
      <c r="H17" s="76" t="s">
        <v>272</v>
      </c>
      <c r="I17" s="76" t="s">
        <v>273</v>
      </c>
      <c r="J17" s="76" t="s">
        <v>274</v>
      </c>
      <c r="K17" s="429" t="s">
        <v>275</v>
      </c>
      <c r="L17" s="137"/>
    </row>
    <row r="18" spans="1:14" ht="15.75" customHeight="1" x14ac:dyDescent="0.2">
      <c r="A18" s="1773" t="s">
        <v>1208</v>
      </c>
      <c r="B18" s="501" t="s">
        <v>276</v>
      </c>
      <c r="C18" s="1176" t="s">
        <v>1384</v>
      </c>
      <c r="D18" s="732" t="s">
        <v>1385</v>
      </c>
      <c r="E18" s="733" t="s">
        <v>1386</v>
      </c>
      <c r="F18" s="733" t="s">
        <v>1387</v>
      </c>
      <c r="G18" s="733" t="s">
        <v>1388</v>
      </c>
      <c r="H18" s="733" t="s">
        <v>1389</v>
      </c>
      <c r="I18" s="733" t="s">
        <v>1390</v>
      </c>
      <c r="J18" s="733" t="s">
        <v>1391</v>
      </c>
      <c r="K18" s="827" t="s">
        <v>1392</v>
      </c>
      <c r="L18" s="137"/>
    </row>
    <row r="19" spans="1:14" ht="18" customHeight="1" x14ac:dyDescent="0.2">
      <c r="A19" s="1773" t="s">
        <v>1209</v>
      </c>
      <c r="B19" s="502" t="s">
        <v>445</v>
      </c>
      <c r="C19" s="1177" t="s">
        <v>1384</v>
      </c>
      <c r="D19" s="751" t="s">
        <v>1385</v>
      </c>
      <c r="E19" s="752" t="s">
        <v>1386</v>
      </c>
      <c r="F19" s="752" t="s">
        <v>1387</v>
      </c>
      <c r="G19" s="752" t="s">
        <v>1388</v>
      </c>
      <c r="H19" s="752" t="s">
        <v>1389</v>
      </c>
      <c r="I19" s="752" t="s">
        <v>1390</v>
      </c>
      <c r="J19" s="752" t="s">
        <v>1391</v>
      </c>
      <c r="K19" s="755" t="s">
        <v>1392</v>
      </c>
      <c r="L19" s="137"/>
    </row>
    <row r="20" spans="1:14" ht="15.75" customHeight="1" x14ac:dyDescent="0.2">
      <c r="A20" s="1773" t="s">
        <v>1210</v>
      </c>
      <c r="B20" s="503" t="s">
        <v>446</v>
      </c>
      <c r="C20" s="1177" t="s">
        <v>1384</v>
      </c>
      <c r="D20" s="751" t="s">
        <v>1385</v>
      </c>
      <c r="E20" s="752" t="s">
        <v>1386</v>
      </c>
      <c r="F20" s="752" t="s">
        <v>1387</v>
      </c>
      <c r="G20" s="752" t="s">
        <v>1388</v>
      </c>
      <c r="H20" s="752" t="s">
        <v>1389</v>
      </c>
      <c r="I20" s="752" t="s">
        <v>1390</v>
      </c>
      <c r="J20" s="752" t="s">
        <v>1391</v>
      </c>
      <c r="K20" s="755" t="s">
        <v>1392</v>
      </c>
      <c r="L20" s="137"/>
    </row>
    <row r="21" spans="1:14" ht="15.75" customHeight="1" x14ac:dyDescent="0.2">
      <c r="A21" s="1773" t="s">
        <v>1211</v>
      </c>
      <c r="B21" s="503" t="s">
        <v>447</v>
      </c>
      <c r="C21" s="1177" t="s">
        <v>1384</v>
      </c>
      <c r="D21" s="751" t="s">
        <v>1385</v>
      </c>
      <c r="E21" s="752" t="s">
        <v>1386</v>
      </c>
      <c r="F21" s="752" t="s">
        <v>1387</v>
      </c>
      <c r="G21" s="752" t="s">
        <v>1388</v>
      </c>
      <c r="H21" s="752" t="s">
        <v>1389</v>
      </c>
      <c r="I21" s="752" t="s">
        <v>1390</v>
      </c>
      <c r="J21" s="752" t="s">
        <v>1391</v>
      </c>
      <c r="K21" s="755" t="s">
        <v>1392</v>
      </c>
      <c r="L21" s="137"/>
    </row>
    <row r="22" spans="1:14" ht="15.75" customHeight="1" x14ac:dyDescent="0.2">
      <c r="A22" s="1773" t="s">
        <v>1212</v>
      </c>
      <c r="B22" s="504" t="s">
        <v>448</v>
      </c>
      <c r="C22" s="826" t="s">
        <v>1384</v>
      </c>
      <c r="D22" s="740" t="s">
        <v>1385</v>
      </c>
      <c r="E22" s="741" t="s">
        <v>1386</v>
      </c>
      <c r="F22" s="741" t="s">
        <v>1387</v>
      </c>
      <c r="G22" s="741" t="s">
        <v>1388</v>
      </c>
      <c r="H22" s="741" t="s">
        <v>1389</v>
      </c>
      <c r="I22" s="741" t="s">
        <v>1390</v>
      </c>
      <c r="J22" s="741" t="s">
        <v>1391</v>
      </c>
      <c r="K22" s="763" t="s">
        <v>1392</v>
      </c>
      <c r="L22" s="137"/>
    </row>
    <row r="23" spans="1:14" ht="30.75" customHeight="1" x14ac:dyDescent="0.2">
      <c r="B23" s="1566" t="s">
        <v>450</v>
      </c>
      <c r="C23" s="672"/>
      <c r="D23" s="672"/>
      <c r="E23" s="500"/>
      <c r="F23" s="500"/>
      <c r="G23" s="500"/>
      <c r="H23" s="500"/>
      <c r="I23" s="500"/>
      <c r="J23" s="500"/>
      <c r="K23" s="500"/>
      <c r="L23" s="506"/>
    </row>
    <row r="24" spans="1:14" ht="20.100000000000001" customHeight="1" x14ac:dyDescent="0.15">
      <c r="A24" s="1800"/>
      <c r="B24" s="2400" t="s">
        <v>455</v>
      </c>
      <c r="C24" s="2401"/>
      <c r="D24" s="2402"/>
      <c r="E24" s="507" t="s">
        <v>15</v>
      </c>
      <c r="F24" s="508" t="s">
        <v>268</v>
      </c>
      <c r="G24" s="509" t="s">
        <v>269</v>
      </c>
      <c r="H24" s="509" t="s">
        <v>270</v>
      </c>
      <c r="I24" s="509" t="s">
        <v>271</v>
      </c>
      <c r="J24" s="509" t="s">
        <v>272</v>
      </c>
      <c r="K24" s="509" t="s">
        <v>273</v>
      </c>
      <c r="L24" s="510" t="s">
        <v>274</v>
      </c>
      <c r="M24" s="511" t="s">
        <v>275</v>
      </c>
      <c r="N24" s="506"/>
    </row>
    <row r="25" spans="1:14" ht="16.5" customHeight="1" x14ac:dyDescent="0.2">
      <c r="A25" s="1801" t="s">
        <v>1213</v>
      </c>
      <c r="B25" s="2412" t="s">
        <v>451</v>
      </c>
      <c r="C25" s="2412"/>
      <c r="D25" s="2413"/>
      <c r="E25" s="1173" t="s">
        <v>1384</v>
      </c>
      <c r="F25" s="1178" t="s">
        <v>1385</v>
      </c>
      <c r="G25" s="1179" t="s">
        <v>1386</v>
      </c>
      <c r="H25" s="1179" t="s">
        <v>1387</v>
      </c>
      <c r="I25" s="1179" t="s">
        <v>1388</v>
      </c>
      <c r="J25" s="1179" t="s">
        <v>1389</v>
      </c>
      <c r="K25" s="1179" t="s">
        <v>1390</v>
      </c>
      <c r="L25" s="1179" t="s">
        <v>1391</v>
      </c>
      <c r="M25" s="1180" t="s">
        <v>1392</v>
      </c>
      <c r="N25" s="137"/>
    </row>
    <row r="26" spans="1:14" ht="21.75" customHeight="1" x14ac:dyDescent="0.2">
      <c r="A26" s="1773" t="s">
        <v>1214</v>
      </c>
      <c r="B26" s="2418" t="s">
        <v>452</v>
      </c>
      <c r="C26" s="2410" t="s">
        <v>573</v>
      </c>
      <c r="D26" s="2411"/>
      <c r="E26" s="1174" t="s">
        <v>1384</v>
      </c>
      <c r="F26" s="1181" t="s">
        <v>1385</v>
      </c>
      <c r="G26" s="1182" t="s">
        <v>1386</v>
      </c>
      <c r="H26" s="1182" t="s">
        <v>1387</v>
      </c>
      <c r="I26" s="1182" t="s">
        <v>1388</v>
      </c>
      <c r="J26" s="1182" t="s">
        <v>1389</v>
      </c>
      <c r="K26" s="1182" t="s">
        <v>1390</v>
      </c>
      <c r="L26" s="1182" t="s">
        <v>1391</v>
      </c>
      <c r="M26" s="1183" t="s">
        <v>1392</v>
      </c>
      <c r="N26" s="137"/>
    </row>
    <row r="27" spans="1:14" ht="21.75" customHeight="1" x14ac:dyDescent="0.2">
      <c r="A27" s="1773" t="s">
        <v>1215</v>
      </c>
      <c r="B27" s="2415"/>
      <c r="C27" s="2410" t="s">
        <v>574</v>
      </c>
      <c r="D27" s="2411"/>
      <c r="E27" s="1174" t="s">
        <v>1384</v>
      </c>
      <c r="F27" s="1181" t="s">
        <v>1385</v>
      </c>
      <c r="G27" s="1182" t="s">
        <v>1386</v>
      </c>
      <c r="H27" s="1182" t="s">
        <v>1387</v>
      </c>
      <c r="I27" s="1182" t="s">
        <v>1388</v>
      </c>
      <c r="J27" s="1182" t="s">
        <v>1389</v>
      </c>
      <c r="K27" s="1182" t="s">
        <v>1390</v>
      </c>
      <c r="L27" s="1182" t="s">
        <v>1391</v>
      </c>
      <c r="M27" s="1183" t="s">
        <v>1392</v>
      </c>
    </row>
    <row r="28" spans="1:14" ht="21.75" customHeight="1" x14ac:dyDescent="0.2">
      <c r="A28" s="1773" t="s">
        <v>1216</v>
      </c>
      <c r="B28" s="2413"/>
      <c r="C28" s="2408" t="s">
        <v>575</v>
      </c>
      <c r="D28" s="2409"/>
      <c r="E28" s="1173" t="s">
        <v>1384</v>
      </c>
      <c r="F28" s="1178" t="s">
        <v>1385</v>
      </c>
      <c r="G28" s="1179" t="s">
        <v>1386</v>
      </c>
      <c r="H28" s="1179" t="s">
        <v>1387</v>
      </c>
      <c r="I28" s="1179" t="s">
        <v>1388</v>
      </c>
      <c r="J28" s="1179" t="s">
        <v>1389</v>
      </c>
      <c r="K28" s="1179" t="s">
        <v>1390</v>
      </c>
      <c r="L28" s="1179" t="s">
        <v>1391</v>
      </c>
      <c r="M28" s="1180" t="s">
        <v>1392</v>
      </c>
    </row>
    <row r="29" spans="1:14" ht="21.75" customHeight="1" x14ac:dyDescent="0.2">
      <c r="A29" s="1773" t="s">
        <v>1218</v>
      </c>
      <c r="B29" s="2414" t="s">
        <v>453</v>
      </c>
      <c r="C29" s="2406" t="s">
        <v>454</v>
      </c>
      <c r="D29" s="2407"/>
      <c r="E29" s="1175" t="s">
        <v>1384</v>
      </c>
      <c r="F29" s="1184" t="s">
        <v>1385</v>
      </c>
      <c r="G29" s="1185" t="s">
        <v>1386</v>
      </c>
      <c r="H29" s="1185" t="s">
        <v>1387</v>
      </c>
      <c r="I29" s="1185" t="s">
        <v>1388</v>
      </c>
      <c r="J29" s="1185" t="s">
        <v>1389</v>
      </c>
      <c r="K29" s="1185" t="s">
        <v>1390</v>
      </c>
      <c r="L29" s="1185" t="s">
        <v>1391</v>
      </c>
      <c r="M29" s="1186" t="s">
        <v>1392</v>
      </c>
    </row>
    <row r="30" spans="1:14" ht="21.75" customHeight="1" x14ac:dyDescent="0.2">
      <c r="A30" s="1773" t="s">
        <v>1219</v>
      </c>
      <c r="B30" s="2415"/>
      <c r="C30" s="2404" t="s">
        <v>456</v>
      </c>
      <c r="D30" s="2405"/>
      <c r="E30" s="1174" t="s">
        <v>1384</v>
      </c>
      <c r="F30" s="1181" t="s">
        <v>1385</v>
      </c>
      <c r="G30" s="1182" t="s">
        <v>1386</v>
      </c>
      <c r="H30" s="1182" t="s">
        <v>1387</v>
      </c>
      <c r="I30" s="1182" t="s">
        <v>1388</v>
      </c>
      <c r="J30" s="1182" t="s">
        <v>1389</v>
      </c>
      <c r="K30" s="1182" t="s">
        <v>1390</v>
      </c>
      <c r="L30" s="1182" t="s">
        <v>1391</v>
      </c>
      <c r="M30" s="1187" t="s">
        <v>1392</v>
      </c>
    </row>
    <row r="31" spans="1:14" ht="21.75" customHeight="1" x14ac:dyDescent="0.2">
      <c r="A31" s="1773" t="s">
        <v>1220</v>
      </c>
      <c r="B31" s="2415"/>
      <c r="C31" s="2404" t="s">
        <v>457</v>
      </c>
      <c r="D31" s="2405"/>
      <c r="E31" s="1174" t="s">
        <v>1384</v>
      </c>
      <c r="F31" s="1181" t="s">
        <v>1385</v>
      </c>
      <c r="G31" s="1182" t="s">
        <v>1386</v>
      </c>
      <c r="H31" s="1182" t="s">
        <v>1387</v>
      </c>
      <c r="I31" s="1182" t="s">
        <v>1388</v>
      </c>
      <c r="J31" s="1182" t="s">
        <v>1389</v>
      </c>
      <c r="K31" s="1182" t="s">
        <v>1390</v>
      </c>
      <c r="L31" s="1182" t="s">
        <v>1391</v>
      </c>
      <c r="M31" s="1187" t="s">
        <v>1392</v>
      </c>
    </row>
    <row r="32" spans="1:14" ht="24.75" customHeight="1" x14ac:dyDescent="0.2">
      <c r="A32" s="1773" t="s">
        <v>1221</v>
      </c>
      <c r="B32" s="2415"/>
      <c r="C32" s="2404" t="s">
        <v>458</v>
      </c>
      <c r="D32" s="2405"/>
      <c r="E32" s="1174" t="s">
        <v>1384</v>
      </c>
      <c r="F32" s="1181" t="s">
        <v>1385</v>
      </c>
      <c r="G32" s="1182" t="s">
        <v>1386</v>
      </c>
      <c r="H32" s="1182" t="s">
        <v>1387</v>
      </c>
      <c r="I32" s="1182" t="s">
        <v>1388</v>
      </c>
      <c r="J32" s="1182" t="s">
        <v>1389</v>
      </c>
      <c r="K32" s="1182" t="s">
        <v>1390</v>
      </c>
      <c r="L32" s="1182" t="s">
        <v>1391</v>
      </c>
      <c r="M32" s="1187" t="s">
        <v>1392</v>
      </c>
    </row>
    <row r="33" spans="1:13" s="216" customFormat="1" ht="21.75" customHeight="1" x14ac:dyDescent="0.2">
      <c r="A33" s="1773" t="s">
        <v>1222</v>
      </c>
      <c r="B33" s="2413"/>
      <c r="C33" s="2416" t="s">
        <v>459</v>
      </c>
      <c r="D33" s="2417"/>
      <c r="E33" s="1173" t="s">
        <v>1384</v>
      </c>
      <c r="F33" s="1178" t="s">
        <v>1385</v>
      </c>
      <c r="G33" s="1179" t="s">
        <v>1386</v>
      </c>
      <c r="H33" s="1179" t="s">
        <v>1387</v>
      </c>
      <c r="I33" s="1179" t="s">
        <v>1388</v>
      </c>
      <c r="J33" s="1179" t="s">
        <v>1389</v>
      </c>
      <c r="K33" s="1179" t="s">
        <v>1390</v>
      </c>
      <c r="L33" s="1179" t="s">
        <v>1391</v>
      </c>
      <c r="M33" s="1188" t="s">
        <v>1392</v>
      </c>
    </row>
    <row r="40" spans="1:13" x14ac:dyDescent="0.15">
      <c r="A40" s="215" t="s">
        <v>865</v>
      </c>
    </row>
    <row r="41" spans="1:13" ht="14.25" x14ac:dyDescent="0.2">
      <c r="A41" s="1775" t="s">
        <v>1217</v>
      </c>
    </row>
    <row r="49" spans="2:3" hidden="1" x14ac:dyDescent="0.15"/>
    <row r="50" spans="2:3" s="474" customFormat="1" ht="13.9" hidden="1" customHeight="1" x14ac:dyDescent="0.15">
      <c r="B50" s="464">
        <f>SUM(C10:K14,C18:K22,E25:M33)</f>
        <v>0</v>
      </c>
      <c r="C50" s="465" t="s">
        <v>350</v>
      </c>
    </row>
    <row r="51" spans="2:3" s="474" customFormat="1" ht="13.9" hidden="1" customHeight="1" x14ac:dyDescent="0.15">
      <c r="B51" s="464">
        <f>SUM(0)</f>
        <v>0</v>
      </c>
      <c r="C51" s="465" t="s">
        <v>351</v>
      </c>
    </row>
    <row r="52" spans="2:3" ht="13.9" hidden="1" customHeight="1" x14ac:dyDescent="0.15"/>
    <row r="53" spans="2:3" hidden="1" x14ac:dyDescent="0.15"/>
    <row r="54" spans="2:3" hidden="1" x14ac:dyDescent="0.15"/>
    <row r="55" spans="2:3" hidden="1" x14ac:dyDescent="0.15"/>
    <row r="56" spans="2:3" hidden="1" x14ac:dyDescent="0.15"/>
    <row r="57" spans="2:3" hidden="1" x14ac:dyDescent="0.15">
      <c r="B57" s="512">
        <f>SUM(B8:K30)</f>
        <v>0</v>
      </c>
    </row>
    <row r="58" spans="2:3" hidden="1" x14ac:dyDescent="0.15"/>
  </sheetData>
  <mergeCells count="13">
    <mergeCell ref="B24:D24"/>
    <mergeCell ref="B7:K7"/>
    <mergeCell ref="C30:D30"/>
    <mergeCell ref="C29:D29"/>
    <mergeCell ref="C28:D28"/>
    <mergeCell ref="C27:D27"/>
    <mergeCell ref="B25:D25"/>
    <mergeCell ref="B29:B33"/>
    <mergeCell ref="C31:D31"/>
    <mergeCell ref="C32:D32"/>
    <mergeCell ref="C33:D33"/>
    <mergeCell ref="C26:D26"/>
    <mergeCell ref="B26:B28"/>
  </mergeCells>
  <phoneticPr fontId="27" type="noConversion"/>
  <dataValidations count="2">
    <dataValidation type="whole" allowBlank="1" showInputMessage="1" showErrorMessage="1" errorTitle="Error de ingreso" error="Debe ingresar sólo números enteros positivos." sqref="C1:XFD1048576 B1:B26 B29:B1048576">
      <formula1>0</formula1>
      <formula2>1000000000</formula2>
    </dataValidation>
    <dataValidation allowBlank="1" showInputMessage="1" showErrorMessage="1" errorTitle="Error de ingreso" error="Debe ingresar sólo números enteros positivos." sqref="A10:A14 A18:A22 A25:A33 A41"/>
  </dataValidations>
  <pageMargins left="0.70866141732283472" right="0.70866141732283472" top="0.74803149606299213" bottom="0.74803149606299213" header="0.31496062992125984" footer="0.31496062992125984"/>
  <pageSetup scale="8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C109"/>
  <sheetViews>
    <sheetView zoomScaleNormal="100" workbookViewId="0"/>
  </sheetViews>
  <sheetFormatPr baseColWidth="10" defaultColWidth="11.42578125" defaultRowHeight="10.5" x14ac:dyDescent="0.15"/>
  <cols>
    <col min="1" max="1" width="21.28515625" style="598" customWidth="1"/>
    <col min="2" max="2" width="19.5703125" style="598" customWidth="1"/>
    <col min="3" max="3" width="36.85546875" style="598" customWidth="1"/>
    <col min="4" max="18" width="10.5703125" style="598" customWidth="1"/>
    <col min="19" max="19" width="11.7109375" style="598" customWidth="1"/>
    <col min="20" max="20" width="11.42578125" style="598"/>
    <col min="21" max="25" width="11.42578125" style="598" customWidth="1"/>
    <col min="26" max="26" width="11.7109375" style="598" customWidth="1"/>
    <col min="27" max="27" width="11.7109375" style="598" hidden="1" customWidth="1"/>
    <col min="28" max="53" width="11.7109375" style="406" hidden="1" customWidth="1"/>
    <col min="54" max="55" width="11.7109375" style="598" hidden="1" customWidth="1"/>
    <col min="56" max="16384" width="11.42578125" style="598"/>
  </cols>
  <sheetData>
    <row r="1" spans="1:52" ht="13.5" customHeight="1" x14ac:dyDescent="0.15">
      <c r="B1" s="239" t="s">
        <v>0</v>
      </c>
    </row>
    <row r="2" spans="1:52" ht="13.5" customHeight="1" x14ac:dyDescent="0.15">
      <c r="B2" s="239" t="str">
        <f>CONCATENATE("COMUNA: ",NOMBRE!$B$2," - ","( ",NOMBRE!$C$2,NOMBRE!$D$2,NOMBRE!$E$2,NOMBRE!$F$2,NOMBRE!$G$2," )")</f>
        <v>COMUNA:  - (  )</v>
      </c>
    </row>
    <row r="3" spans="1:52" ht="13.5" customHeight="1" x14ac:dyDescent="0.15">
      <c r="B3" s="239" t="str">
        <f>CONCATENATE("ESTABLECIMIENTO/ESTRATEGIA: ",NOMBRE!$B$3," - ","( ",NOMBRE!$C$3,NOMBRE!$D$3,NOMBRE!$E$3,NOMBRE!$F$3,NOMBRE!$G$3,NOMBRE!$H$3," )")</f>
        <v>ESTABLECIMIENTO/ESTRATEGIA:  - (  )</v>
      </c>
    </row>
    <row r="4" spans="1:52" ht="13.5" customHeight="1" x14ac:dyDescent="0.15">
      <c r="B4" s="239" t="str">
        <f>CONCATENATE("MES: ",NOMBRE!$B$6," - ","( ",NOMBRE!$C$6,NOMBRE!$D$6," )")</f>
        <v>MES:  - (  )</v>
      </c>
    </row>
    <row r="5" spans="1:52" ht="13.5" customHeight="1" x14ac:dyDescent="0.15">
      <c r="B5" s="239" t="str">
        <f>CONCATENATE("AÑO: ",NOMBRE!$B$7)</f>
        <v>AÑO: 2021</v>
      </c>
    </row>
    <row r="6" spans="1:52" ht="15" customHeight="1" x14ac:dyDescent="0.15"/>
    <row r="7" spans="1:52" ht="26.25" customHeight="1" x14ac:dyDescent="0.2">
      <c r="D7" s="2419" t="s">
        <v>599</v>
      </c>
      <c r="E7" s="2419"/>
      <c r="F7" s="2419"/>
      <c r="G7" s="2419"/>
      <c r="H7" s="2419"/>
      <c r="I7" s="2419"/>
      <c r="J7" s="2419"/>
      <c r="K7" s="2419"/>
      <c r="L7" s="2419"/>
      <c r="M7" s="2419"/>
      <c r="N7" s="2419"/>
      <c r="O7" s="2419"/>
      <c r="P7" s="2419"/>
      <c r="Q7" s="2419"/>
      <c r="R7" s="2419"/>
      <c r="S7" s="600" t="str">
        <f>AL7 &amp; AM7 &amp; AN7 &amp; AO7 &amp; AL6 &amp; AM6 &amp; AN6 &amp; AO6</f>
        <v/>
      </c>
      <c r="T7" s="1239"/>
      <c r="U7" s="1239"/>
    </row>
    <row r="9" spans="1:52" ht="30.75" customHeight="1" x14ac:dyDescent="0.15">
      <c r="B9" s="240" t="s">
        <v>512</v>
      </c>
      <c r="C9" s="240"/>
      <c r="D9" s="675"/>
      <c r="E9" s="675"/>
      <c r="F9" s="675"/>
      <c r="G9" s="675"/>
      <c r="H9" s="675"/>
      <c r="I9" s="675"/>
      <c r="J9" s="676"/>
      <c r="K9" s="676"/>
      <c r="L9" s="676"/>
      <c r="M9" s="676"/>
      <c r="N9" s="676"/>
    </row>
    <row r="10" spans="1:52" ht="27" customHeight="1" x14ac:dyDescent="0.15">
      <c r="B10" s="2251" t="s">
        <v>82</v>
      </c>
      <c r="C10" s="2252"/>
      <c r="D10" s="2431" t="s">
        <v>15</v>
      </c>
      <c r="E10" s="2427"/>
      <c r="F10" s="2428"/>
      <c r="G10" s="2431" t="s">
        <v>419</v>
      </c>
      <c r="H10" s="2427"/>
      <c r="I10" s="2428"/>
      <c r="J10" s="2431" t="s">
        <v>420</v>
      </c>
      <c r="K10" s="2427"/>
      <c r="L10" s="2427"/>
      <c r="M10" s="2429" t="s">
        <v>411</v>
      </c>
      <c r="N10" s="2426"/>
      <c r="O10" s="2430"/>
      <c r="P10" s="2426" t="s">
        <v>528</v>
      </c>
      <c r="Q10" s="2427"/>
      <c r="R10" s="2428"/>
    </row>
    <row r="11" spans="1:52" ht="28.5" customHeight="1" x14ac:dyDescent="0.15">
      <c r="B11" s="2212"/>
      <c r="C11" s="2214"/>
      <c r="D11" s="440" t="s">
        <v>99</v>
      </c>
      <c r="E11" s="219" t="s">
        <v>33</v>
      </c>
      <c r="F11" s="231" t="s">
        <v>100</v>
      </c>
      <c r="G11" s="219" t="s">
        <v>99</v>
      </c>
      <c r="H11" s="219" t="s">
        <v>33</v>
      </c>
      <c r="I11" s="231" t="s">
        <v>100</v>
      </c>
      <c r="J11" s="219" t="s">
        <v>99</v>
      </c>
      <c r="K11" s="219" t="s">
        <v>33</v>
      </c>
      <c r="L11" s="446" t="s">
        <v>100</v>
      </c>
      <c r="M11" s="347" t="s">
        <v>99</v>
      </c>
      <c r="N11" s="219" t="s">
        <v>33</v>
      </c>
      <c r="O11" s="1564" t="s">
        <v>100</v>
      </c>
      <c r="P11" s="1562" t="s">
        <v>99</v>
      </c>
      <c r="Q11" s="219" t="s">
        <v>33</v>
      </c>
      <c r="R11" s="448" t="s">
        <v>100</v>
      </c>
      <c r="S11" s="600" t="e">
        <f>AL11 &amp; AM11 &amp; AN11 &amp; AO11</f>
        <v>#VALUE!</v>
      </c>
      <c r="AL11" s="490" t="e">
        <f>IF(G12=G40,"","* El Total de 'Adolescentes de 10 a 14 años' en control debe ser igual al Total del 'Diagnóstico Nutricional Integrado' (F40). ")</f>
        <v>#VALUE!</v>
      </c>
      <c r="AM11" s="490" t="e">
        <f>IF(J12=J40,"","* El Total de 'Adolescentes de 15 a 19 años' en control debe ser igual al Total del 'Diagnóstico Nutricional Integrado' (I40). ")</f>
        <v>#VALUE!</v>
      </c>
      <c r="AN11" s="490" t="e">
        <f>IF(M12=M40,"","* El Total de 'Adolescentes de Pueblos Originarios' en control debe ser igual al Total del 'Diagnóstico Nutricional Integrado' (L40). ")</f>
        <v>#VALUE!</v>
      </c>
      <c r="AO11" s="490" t="e">
        <f>IF(P12&lt;=P40,"","* El Total de 'Adolescentes Migrantes' en control (O12) debe ser menor o igual al Total del 'Diagnóstico Nutricional Integrado' (040). ")</f>
        <v>#VALUE!</v>
      </c>
      <c r="AU11" s="581"/>
      <c r="AV11" s="581"/>
      <c r="AW11" s="677" t="e">
        <f>IF(G12=G40,0,1)</f>
        <v>#VALUE!</v>
      </c>
      <c r="AX11" s="677" t="e">
        <f>IF(J12=J40,0,1)</f>
        <v>#VALUE!</v>
      </c>
      <c r="AY11" s="677" t="e">
        <f>IF(M12=M40,0,1)</f>
        <v>#VALUE!</v>
      </c>
      <c r="AZ11" s="677" t="e">
        <f>IF(P12=P40,0,1)</f>
        <v>#VALUE!</v>
      </c>
    </row>
    <row r="12" spans="1:52" ht="18" customHeight="1" x14ac:dyDescent="0.2">
      <c r="A12" s="1787" t="s">
        <v>1034</v>
      </c>
      <c r="B12" s="2482" t="s">
        <v>600</v>
      </c>
      <c r="C12" s="2483"/>
      <c r="D12" s="697" t="s">
        <v>1384</v>
      </c>
      <c r="E12" s="698" t="s">
        <v>1385</v>
      </c>
      <c r="F12" s="699" t="s">
        <v>1386</v>
      </c>
      <c r="G12" s="697" t="s">
        <v>1387</v>
      </c>
      <c r="H12" s="305" t="s">
        <v>1388</v>
      </c>
      <c r="I12" s="306" t="s">
        <v>1389</v>
      </c>
      <c r="J12" s="697" t="s">
        <v>1390</v>
      </c>
      <c r="K12" s="305" t="s">
        <v>1391</v>
      </c>
      <c r="L12" s="344" t="s">
        <v>1392</v>
      </c>
      <c r="M12" s="700" t="s">
        <v>1393</v>
      </c>
      <c r="N12" s="305" t="s">
        <v>1394</v>
      </c>
      <c r="O12" s="306" t="s">
        <v>1395</v>
      </c>
      <c r="P12" s="1563" t="s">
        <v>1396</v>
      </c>
      <c r="Q12" s="305" t="s">
        <v>1397</v>
      </c>
      <c r="R12" s="306" t="s">
        <v>1398</v>
      </c>
      <c r="S12" s="600" t="str">
        <f>AL12 &amp; AM12 &amp; AN12 &amp; AO12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2" s="490" t="str">
        <f>IF($D12&lt;$M12,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2" s="490" t="str">
        <f>IF($D12&lt;$P12, "* El total de 'Adolescentes de Migrantes' debe ser menor o igual al Total Adolecentes 'Ambos sexos'. ", "")</f>
        <v xml:space="preserve">* El total de 'Adolescentes de Migrantes' debe ser menor o igual al Total Adolecentes 'Ambos sexos'. </v>
      </c>
      <c r="AN12" s="465" t="str">
        <f>IF(AND(E12&lt;&gt;0,N12=""),"* No olvide escribir en la celda de 'Pueblos Originarios' (Digite CERO si no tiene). ",IF(AND(F12&lt;&gt;0,O12=""),"* No olvide escribir en la celda de 'Pueblos Originarios' (Digite CERO si no tiene). ",""))</f>
        <v/>
      </c>
      <c r="AO12" s="465" t="str">
        <f>IF(AND(E12&lt;&gt;0,Q12=""),"* No olvide escribir en la celda de 'Población Migrantes' (Digite CERO si no tiene). ",IF(AND(F12&lt;&gt;0,R12=""),"* No olvide escribir en la celda de 'Población Migrantes' (Digite CERO si no tiene). ",""))</f>
        <v/>
      </c>
      <c r="AU12" s="581"/>
      <c r="AV12" s="581"/>
      <c r="AW12" s="677">
        <f>IF($D12&lt;$M12, 1,0)</f>
        <v>1</v>
      </c>
      <c r="AX12" s="677">
        <f>IF($D12&lt;$P12, 1,0)</f>
        <v>1</v>
      </c>
      <c r="AY12" s="613">
        <f>IF(AND(E12&lt;&gt;0,N12=""),1,IF(AND(F12&lt;&gt;0,O12=""),1,0))</f>
        <v>0</v>
      </c>
      <c r="AZ12" s="613">
        <f>IF(AND(E12&lt;&gt;0,Q12=""),1,IF(AND(F12&lt;&gt;0,R12=""),1,0))</f>
        <v>0</v>
      </c>
    </row>
    <row r="13" spans="1:52" ht="16.5" customHeight="1" x14ac:dyDescent="0.2">
      <c r="A13" s="1787" t="s">
        <v>1035</v>
      </c>
      <c r="B13" s="1967" t="s">
        <v>421</v>
      </c>
      <c r="C13" s="241" t="s">
        <v>500</v>
      </c>
      <c r="D13" s="701" t="s">
        <v>1384</v>
      </c>
      <c r="E13" s="702" t="s">
        <v>1385</v>
      </c>
      <c r="F13" s="703" t="s">
        <v>1386</v>
      </c>
      <c r="G13" s="701" t="s">
        <v>1387</v>
      </c>
      <c r="H13" s="319" t="s">
        <v>1388</v>
      </c>
      <c r="I13" s="320" t="s">
        <v>1389</v>
      </c>
      <c r="J13" s="701" t="s">
        <v>1390</v>
      </c>
      <c r="K13" s="319" t="s">
        <v>1391</v>
      </c>
      <c r="L13" s="335" t="s">
        <v>1392</v>
      </c>
      <c r="M13" s="704" t="s">
        <v>1393</v>
      </c>
      <c r="N13" s="319" t="s">
        <v>1394</v>
      </c>
      <c r="O13" s="320" t="s">
        <v>1395</v>
      </c>
      <c r="P13" s="705" t="s">
        <v>1396</v>
      </c>
      <c r="Q13" s="319" t="s">
        <v>1397</v>
      </c>
      <c r="R13" s="320" t="s">
        <v>1398</v>
      </c>
      <c r="S13" s="600" t="str">
        <f>AL13 &amp; AM13 &amp; AN13 &amp; AO13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3" s="490" t="str">
        <f>IF($D13&lt;$M13,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3" s="490" t="str">
        <f>IF($D13&lt;$P13, "* El total de 'Adolescentes de Migrantes' debe ser menor o igual al Total Adolecentes 'Ambos sexos'. ", "")</f>
        <v xml:space="preserve">* El total de 'Adolescentes de Migrantes' debe ser menor o igual al Total Adolecentes 'Ambos sexos'. </v>
      </c>
      <c r="AN13" s="465" t="str">
        <f>IF(AND(E13&lt;&gt;0,N13=""),"* No olvide escribir en la celda de 'Pueblos Originarios' (Digite CERO si no tiene). ",IF(AND(F13&lt;&gt;0,O13=""),"* No olvide escribir en la celda de 'Pueblos Originarios' (Digite CERO si no tiene). ",""))</f>
        <v/>
      </c>
      <c r="AO13" s="465" t="str">
        <f>IF(AND(E13&lt;&gt;0,Q13=""),"* No olvide escribir en la celda de 'Población Migrantes' (Digite CERO si no tiene). ",IF(AND(F13&lt;&gt;0,R13=""),"* No olvide escribir en la celda de 'Población Migrantes' (Digite CERO si no tiene). ",""))</f>
        <v/>
      </c>
      <c r="AU13" s="581"/>
      <c r="AV13" s="581"/>
      <c r="AW13" s="677">
        <f t="shared" ref="AW13:AW39" si="0">IF($D13&lt;$M13, 1,0)</f>
        <v>1</v>
      </c>
      <c r="AX13" s="677">
        <f t="shared" ref="AX13:AX39" si="1">IF($D13&lt;$P13, 1,0)</f>
        <v>1</v>
      </c>
      <c r="AY13" s="613">
        <f>IF(AND(E13&lt;&gt;0,N13=""),1,IF(AND(F13&lt;&gt;0,O13=""),1,0))</f>
        <v>0</v>
      </c>
      <c r="AZ13" s="613">
        <f>IF(AND(E13&lt;&gt;0,Q13=""),1,IF(AND(F13&lt;&gt;0,R13=""),1,0))</f>
        <v>0</v>
      </c>
    </row>
    <row r="14" spans="1:52" ht="16.5" customHeight="1" x14ac:dyDescent="0.2">
      <c r="A14" s="1787" t="s">
        <v>1036</v>
      </c>
      <c r="B14" s="1967"/>
      <c r="C14" s="242" t="s">
        <v>501</v>
      </c>
      <c r="D14" s="706" t="s">
        <v>1384</v>
      </c>
      <c r="E14" s="707" t="s">
        <v>1385</v>
      </c>
      <c r="F14" s="703" t="s">
        <v>1386</v>
      </c>
      <c r="G14" s="706" t="s">
        <v>1387</v>
      </c>
      <c r="H14" s="321" t="s">
        <v>1388</v>
      </c>
      <c r="I14" s="322" t="s">
        <v>1389</v>
      </c>
      <c r="J14" s="706" t="s">
        <v>1390</v>
      </c>
      <c r="K14" s="321" t="s">
        <v>1391</v>
      </c>
      <c r="L14" s="345" t="s">
        <v>1392</v>
      </c>
      <c r="M14" s="708" t="s">
        <v>1393</v>
      </c>
      <c r="N14" s="321" t="s">
        <v>1394</v>
      </c>
      <c r="O14" s="322" t="s">
        <v>1395</v>
      </c>
      <c r="P14" s="709" t="s">
        <v>1396</v>
      </c>
      <c r="Q14" s="321" t="s">
        <v>1397</v>
      </c>
      <c r="R14" s="322" t="s">
        <v>1398</v>
      </c>
      <c r="S14" s="600" t="str">
        <f>AL14 &amp; AM14 &amp; AN14 &amp; AO14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4" s="490" t="str">
        <f>IF($D14&lt;$M14,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4" s="490" t="str">
        <f>IF($D14&lt;$P14, "* El total de 'Adolescentes de Migrantes' debe ser menor o igual al Total Adolecentes 'Ambos sexos'. ", "")</f>
        <v xml:space="preserve">* El total de 'Adolescentes de Migrantes' debe ser menor o igual al Total Adolecentes 'Ambos sexos'. </v>
      </c>
      <c r="AN14" s="465" t="str">
        <f>IF(AND(E14&lt;&gt;0,N14=""),"* No olvide escribir en la celda de 'Pueblos Originarios' (Digite CERO si no tiene). ",IF(AND(F14&lt;&gt;0,O14=""),"* No olvide escribir en la celda de 'Pueblos Originarios' (Digite CERO si no tiene). ",""))</f>
        <v/>
      </c>
      <c r="AO14" s="465" t="str">
        <f>IF(AND(E14&lt;&gt;0,Q14=""),"* No olvide escribir en la celda de 'Población Migrantes' (Digite CERO si no tiene). ",IF(AND(F14&lt;&gt;0,R14=""),"* No olvide escribir en la celda de 'Población Migrantes' (Digite CERO si no tiene). ",""))</f>
        <v/>
      </c>
      <c r="AU14" s="581"/>
      <c r="AV14" s="581"/>
      <c r="AW14" s="677">
        <f t="shared" si="0"/>
        <v>1</v>
      </c>
      <c r="AX14" s="677">
        <f t="shared" si="1"/>
        <v>1</v>
      </c>
      <c r="AY14" s="613">
        <f>IF(AND(E14&lt;&gt;0,N14=""),1,IF(AND(F14&lt;&gt;0,O14=""),1,0))</f>
        <v>0</v>
      </c>
      <c r="AZ14" s="613">
        <f>IF(AND(E14&lt;&gt;0,Q14=""),1,IF(AND(F14&lt;&gt;0,R14=""),1,0))</f>
        <v>0</v>
      </c>
    </row>
    <row r="15" spans="1:52" ht="16.5" customHeight="1" x14ac:dyDescent="0.2">
      <c r="A15" s="1787" t="s">
        <v>1037</v>
      </c>
      <c r="B15" s="1967"/>
      <c r="C15" s="243" t="s">
        <v>502</v>
      </c>
      <c r="D15" s="710" t="s">
        <v>1384</v>
      </c>
      <c r="E15" s="711" t="s">
        <v>1385</v>
      </c>
      <c r="F15" s="712" t="s">
        <v>1386</v>
      </c>
      <c r="G15" s="710" t="s">
        <v>1387</v>
      </c>
      <c r="H15" s="323" t="s">
        <v>1388</v>
      </c>
      <c r="I15" s="324" t="s">
        <v>1389</v>
      </c>
      <c r="J15" s="710" t="s">
        <v>1390</v>
      </c>
      <c r="K15" s="323" t="s">
        <v>1391</v>
      </c>
      <c r="L15" s="333" t="s">
        <v>1392</v>
      </c>
      <c r="M15" s="713" t="s">
        <v>1393</v>
      </c>
      <c r="N15" s="323" t="s">
        <v>1394</v>
      </c>
      <c r="O15" s="324" t="s">
        <v>1395</v>
      </c>
      <c r="P15" s="712" t="s">
        <v>1396</v>
      </c>
      <c r="Q15" s="323" t="s">
        <v>1397</v>
      </c>
      <c r="R15" s="324" t="s">
        <v>1398</v>
      </c>
      <c r="S15" s="600" t="str">
        <f>AL15 &amp; AM15 &amp; AN15 &amp; AO15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5" s="490" t="str">
        <f>IF($D15&lt;$M15,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5" s="490" t="str">
        <f>IF($D15&lt;$P15, "* El total de 'Adolescentes de Migrantes' debe ser menor o igual al Total Adolecentes 'Ambos sexos'. ", "")</f>
        <v xml:space="preserve">* El total de 'Adolescentes de Migrantes' debe ser menor o igual al Total Adolecentes 'Ambos sexos'. </v>
      </c>
      <c r="AN15" s="465" t="str">
        <f>IF(AND(E15&lt;&gt;0,N15=""),"* No olvide escribir en la celda de 'Pueblos Originarios' (Digite CERO si no tiene). ",IF(AND(F15&lt;&gt;0,O15=""),"* No olvide escribir en la celda de 'Pueblos Originarios' (Digite CERO si no tiene). ",""))</f>
        <v/>
      </c>
      <c r="AO15" s="465" t="str">
        <f>IF(AND(E15&lt;&gt;0,Q15=""),"* No olvide escribir en la celda de 'Población Migrantes' (Digite CERO si no tiene). ",IF(AND(F15&lt;&gt;0,R15=""),"* No olvide escribir en la celda de 'Población Migrantes' (Digite CERO si no tiene). ",""))</f>
        <v/>
      </c>
      <c r="AU15" s="581"/>
      <c r="AV15" s="581"/>
      <c r="AW15" s="677">
        <f t="shared" si="0"/>
        <v>1</v>
      </c>
      <c r="AX15" s="677">
        <f t="shared" si="1"/>
        <v>1</v>
      </c>
      <c r="AY15" s="613">
        <f>IF(AND(E15&lt;&gt;0,N15=""),1,IF(AND(F15&lt;&gt;0,O15=""),1,0))</f>
        <v>0</v>
      </c>
      <c r="AZ15" s="613">
        <f>IF(AND(E15&lt;&gt;0,Q15=""),1,IF(AND(F15&lt;&gt;0,R15=""),1,0))</f>
        <v>0</v>
      </c>
    </row>
    <row r="16" spans="1:52" ht="13.5" customHeight="1" x14ac:dyDescent="0.2">
      <c r="A16" s="1788"/>
      <c r="B16" s="1967"/>
      <c r="C16" s="244" t="s">
        <v>108</v>
      </c>
      <c r="D16" s="714">
        <f t="shared" ref="D16:D38" si="2">SUM(E16:F16)</f>
        <v>0</v>
      </c>
      <c r="E16" s="715">
        <f>+H16+K16</f>
        <v>0</v>
      </c>
      <c r="F16" s="716">
        <f t="shared" ref="F16:F38" si="3">+I16+L16</f>
        <v>0</v>
      </c>
      <c r="G16" s="714">
        <f t="shared" ref="G16:L16" si="4">SUM(G13:G15)</f>
        <v>0</v>
      </c>
      <c r="H16" s="715">
        <f>SUM(H13:H15)</f>
        <v>0</v>
      </c>
      <c r="I16" s="716">
        <f>SUM(I13:I15)</f>
        <v>0</v>
      </c>
      <c r="J16" s="714">
        <f t="shared" si="4"/>
        <v>0</v>
      </c>
      <c r="K16" s="715">
        <f t="shared" si="4"/>
        <v>0</v>
      </c>
      <c r="L16" s="717">
        <f t="shared" si="4"/>
        <v>0</v>
      </c>
      <c r="M16" s="718">
        <f t="shared" ref="M16:R16" si="5">SUM(M13:M15)</f>
        <v>0</v>
      </c>
      <c r="N16" s="715">
        <f t="shared" si="5"/>
        <v>0</v>
      </c>
      <c r="O16" s="716">
        <f t="shared" si="5"/>
        <v>0</v>
      </c>
      <c r="P16" s="716">
        <f t="shared" si="5"/>
        <v>0</v>
      </c>
      <c r="Q16" s="715">
        <f t="shared" si="5"/>
        <v>0</v>
      </c>
      <c r="R16" s="719">
        <f t="shared" si="5"/>
        <v>0</v>
      </c>
      <c r="AU16" s="581"/>
      <c r="AV16" s="581"/>
      <c r="AW16" s="581"/>
      <c r="AX16" s="581"/>
      <c r="AY16" s="581"/>
      <c r="AZ16" s="581"/>
    </row>
    <row r="17" spans="1:52" ht="18.75" customHeight="1" x14ac:dyDescent="0.2">
      <c r="A17" s="1787" t="s">
        <v>1038</v>
      </c>
      <c r="B17" s="1967"/>
      <c r="C17" s="245" t="s">
        <v>618</v>
      </c>
      <c r="D17" s="701" t="s">
        <v>1384</v>
      </c>
      <c r="E17" s="702" t="s">
        <v>1385</v>
      </c>
      <c r="F17" s="703" t="s">
        <v>1386</v>
      </c>
      <c r="G17" s="701" t="s">
        <v>1387</v>
      </c>
      <c r="H17" s="307" t="s">
        <v>1388</v>
      </c>
      <c r="I17" s="308" t="s">
        <v>1389</v>
      </c>
      <c r="J17" s="701" t="s">
        <v>1390</v>
      </c>
      <c r="K17" s="307" t="s">
        <v>1391</v>
      </c>
      <c r="L17" s="331" t="s">
        <v>1392</v>
      </c>
      <c r="M17" s="720" t="s">
        <v>1393</v>
      </c>
      <c r="N17" s="307" t="s">
        <v>1394</v>
      </c>
      <c r="O17" s="308" t="s">
        <v>1395</v>
      </c>
      <c r="P17" s="703" t="s">
        <v>1396</v>
      </c>
      <c r="Q17" s="307" t="s">
        <v>1397</v>
      </c>
      <c r="R17" s="308" t="s">
        <v>1398</v>
      </c>
      <c r="S17" s="600" t="str">
        <f>AL17 &amp; AM17 &amp; AN17 &amp; AO17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7" s="490" t="str">
        <f>IF($D17&lt;$M17,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7" s="490" t="str">
        <f>IF($D17&lt;$P17, "* El total de 'Adolescentes de Migrantes' debe ser menor o igual al Total Adolecentes 'Ambos sexos'. ", "")</f>
        <v xml:space="preserve">* El total de 'Adolescentes de Migrantes' debe ser menor o igual al Total Adolecentes 'Ambos sexos'. </v>
      </c>
      <c r="AN17" s="465" t="str">
        <f>IF(AND(E17&lt;&gt;0,N17=""),"* No olvide escribir en la celda de 'Pueblos Originarios' (Digite CERO si no tiene). ",IF(AND(F17&lt;&gt;0,O17=""),"* No olvide escribir en la celda de 'Pueblos Originarios' (Digite CERO si no tiene). ",""))</f>
        <v/>
      </c>
      <c r="AO17" s="465" t="str">
        <f>IF(AND(E17&lt;&gt;0,Q17=""),"* No olvide escribir en la celda de 'Población Migrantes' (Digite CERO si no tiene). ",IF(AND(F17&lt;&gt;0,R17=""),"* No olvide escribir en la celda de 'Población Migrantes' (Digite CERO si no tiene). ",""))</f>
        <v/>
      </c>
      <c r="AU17" s="581"/>
      <c r="AV17" s="581"/>
      <c r="AW17" s="677">
        <f t="shared" si="0"/>
        <v>1</v>
      </c>
      <c r="AX17" s="677">
        <f t="shared" si="1"/>
        <v>1</v>
      </c>
      <c r="AY17" s="613">
        <f>IF(AND(E17&lt;&gt;0,N17=""),1,IF(AND(F17&lt;&gt;0,O17=""),1,0))</f>
        <v>0</v>
      </c>
      <c r="AZ17" s="613">
        <f>IF(AND(E17&lt;&gt;0,Q17=""),1,IF(AND(F17&lt;&gt;0,R17=""),1,0))</f>
        <v>0</v>
      </c>
    </row>
    <row r="18" spans="1:52" ht="18.75" customHeight="1" x14ac:dyDescent="0.2">
      <c r="A18" s="1787" t="s">
        <v>1039</v>
      </c>
      <c r="B18" s="1967"/>
      <c r="C18" s="119" t="s">
        <v>601</v>
      </c>
      <c r="D18" s="721" t="s">
        <v>1384</v>
      </c>
      <c r="E18" s="722" t="s">
        <v>1385</v>
      </c>
      <c r="F18" s="326" t="s">
        <v>1386</v>
      </c>
      <c r="G18" s="721" t="s">
        <v>1387</v>
      </c>
      <c r="H18" s="309" t="s">
        <v>1388</v>
      </c>
      <c r="I18" s="310" t="s">
        <v>1389</v>
      </c>
      <c r="J18" s="721" t="s">
        <v>1390</v>
      </c>
      <c r="K18" s="309" t="s">
        <v>1391</v>
      </c>
      <c r="L18" s="346" t="s">
        <v>1392</v>
      </c>
      <c r="M18" s="723" t="s">
        <v>1393</v>
      </c>
      <c r="N18" s="309" t="s">
        <v>1394</v>
      </c>
      <c r="O18" s="310" t="s">
        <v>1395</v>
      </c>
      <c r="P18" s="724" t="s">
        <v>1396</v>
      </c>
      <c r="Q18" s="309" t="s">
        <v>1397</v>
      </c>
      <c r="R18" s="310" t="s">
        <v>1398</v>
      </c>
      <c r="S18" s="600" t="str">
        <f>AL18 &amp; AM18 &amp; AN18 &amp; AO18</f>
        <v xml:space="preserve">* El Total de 'Adolescentes de Pueblos Originarios' debe ser menor o igual al Total Adolecentes 'Ambos sexos'. * El total de 'Adolescentes de Migrantes' debe ser menor o igual al Total Adolecentes 'Ambos sexos'. </v>
      </c>
      <c r="AL18" s="490" t="str">
        <f>IF($D18&lt;$M18,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18" s="490" t="str">
        <f>IF($D18&lt;$P18, "* El total de 'Adolescentes de Migrantes' debe ser menor o igual al Total Adolecentes 'Ambos sexos'. ", "")</f>
        <v xml:space="preserve">* El total de 'Adolescentes de Migrantes' debe ser menor o igual al Total Adolecentes 'Ambos sexos'. </v>
      </c>
      <c r="AN18" s="465" t="str">
        <f>IF(AND(E18&lt;&gt;0,N18=""),"* No olvide escribir en la celda de 'Pueblos Originarios' (Digite CERO si no tiene). ",IF(AND(F18&lt;&gt;0,O18=""),"* No olvide escribir en la celda de 'Pueblos Originarios' (Digite CERO si no tiene). ",""))</f>
        <v/>
      </c>
      <c r="AO18" s="465" t="str">
        <f>IF(AND(E18&lt;&gt;0,Q18=""),"* No olvide escribir en la celda de 'Población Migrantes' (Digite CERO si no tiene). ",IF(AND(F18&lt;&gt;0,R18=""),"* No olvide escribir en la celda de 'Población Migrantes' (Digite CERO si no tiene). ",""))</f>
        <v/>
      </c>
      <c r="AU18" s="581"/>
      <c r="AV18" s="581"/>
      <c r="AW18" s="677">
        <f t="shared" si="0"/>
        <v>1</v>
      </c>
      <c r="AX18" s="677">
        <f t="shared" si="1"/>
        <v>1</v>
      </c>
      <c r="AY18" s="613">
        <f>IF(AND(E18&lt;&gt;0,N18=""),1,IF(AND(F18&lt;&gt;0,O18=""),1,0))</f>
        <v>0</v>
      </c>
      <c r="AZ18" s="613">
        <f>IF(AND(E18&lt;&gt;0,Q18=""),1,IF(AND(F18&lt;&gt;0,R18=""),1,0))</f>
        <v>0</v>
      </c>
    </row>
    <row r="19" spans="1:52" ht="18.75" customHeight="1" x14ac:dyDescent="0.2">
      <c r="A19" s="1788"/>
      <c r="B19" s="1967"/>
      <c r="C19" s="246" t="s">
        <v>108</v>
      </c>
      <c r="D19" s="697">
        <f t="shared" si="2"/>
        <v>0</v>
      </c>
      <c r="E19" s="698">
        <f t="shared" ref="E19" si="6">+H19+K19</f>
        <v>0</v>
      </c>
      <c r="F19" s="699">
        <f t="shared" si="3"/>
        <v>0</v>
      </c>
      <c r="G19" s="697">
        <f t="shared" ref="G19:L19" si="7">SUM(G17:G18)</f>
        <v>0</v>
      </c>
      <c r="H19" s="698">
        <f>SUM(H17:H18)</f>
        <v>0</v>
      </c>
      <c r="I19" s="699">
        <f>SUM(I17:I18)</f>
        <v>0</v>
      </c>
      <c r="J19" s="697">
        <f t="shared" si="7"/>
        <v>0</v>
      </c>
      <c r="K19" s="698">
        <f t="shared" si="7"/>
        <v>0</v>
      </c>
      <c r="L19" s="725">
        <f t="shared" si="7"/>
        <v>0</v>
      </c>
      <c r="M19" s="700">
        <f t="shared" ref="M19:R19" si="8">SUM(M17:M18)</f>
        <v>0</v>
      </c>
      <c r="N19" s="698">
        <f t="shared" si="8"/>
        <v>0</v>
      </c>
      <c r="O19" s="1563">
        <f t="shared" si="8"/>
        <v>0</v>
      </c>
      <c r="P19" s="1563">
        <f t="shared" si="8"/>
        <v>0</v>
      </c>
      <c r="Q19" s="698">
        <f t="shared" si="8"/>
        <v>0</v>
      </c>
      <c r="R19" s="727">
        <f t="shared" si="8"/>
        <v>0</v>
      </c>
      <c r="AU19" s="581"/>
      <c r="AV19" s="581"/>
      <c r="AW19" s="581"/>
      <c r="AX19" s="581"/>
      <c r="AY19" s="581"/>
      <c r="AZ19" s="581"/>
    </row>
    <row r="20" spans="1:52" ht="13.5" customHeight="1" x14ac:dyDescent="0.2">
      <c r="A20" s="1787" t="s">
        <v>1040</v>
      </c>
      <c r="B20" s="1968"/>
      <c r="C20" s="246" t="s">
        <v>629</v>
      </c>
      <c r="D20" s="697" t="s">
        <v>1384</v>
      </c>
      <c r="E20" s="698" t="s">
        <v>1385</v>
      </c>
      <c r="F20" s="699" t="s">
        <v>1386</v>
      </c>
      <c r="G20" s="697" t="s">
        <v>1387</v>
      </c>
      <c r="H20" s="305" t="s">
        <v>1388</v>
      </c>
      <c r="I20" s="306" t="s">
        <v>1389</v>
      </c>
      <c r="J20" s="697" t="s">
        <v>1390</v>
      </c>
      <c r="K20" s="305" t="s">
        <v>1391</v>
      </c>
      <c r="L20" s="344" t="s">
        <v>1392</v>
      </c>
      <c r="M20" s="700" t="s">
        <v>1393</v>
      </c>
      <c r="N20" s="305" t="s">
        <v>1394</v>
      </c>
      <c r="O20" s="306" t="s">
        <v>1395</v>
      </c>
      <c r="P20" s="1563" t="s">
        <v>1396</v>
      </c>
      <c r="Q20" s="305" t="s">
        <v>1397</v>
      </c>
      <c r="R20" s="306" t="s">
        <v>1398</v>
      </c>
      <c r="S20" s="600" t="str">
        <f>AL20 &amp; AM20 &amp; AN20 &amp; AO20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0" s="490" t="str">
        <f>IF($D20&lt;$M20,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0" s="490" t="str">
        <f>IF($D20&lt;$P20, "* El total de 'Adolescentes de Migrantes' debe ser menor o igual al Total Adolecentes 'Ambos sexos'. ", "")</f>
        <v xml:space="preserve">* El total de 'Adolescentes de Migrantes' debe ser menor o igual al Total Adolecentes 'Ambos sexos'. </v>
      </c>
      <c r="AN20" s="465" t="str">
        <f>IF(AND(E20&lt;&gt;0,N20=""),"* No olvide escribir en la celda de 'Pueblos Originarios' (Digite CERO si no tiene). ",IF(AND(F20&lt;&gt;0,O20=""),"* No olvide escribir en la celda de 'Pueblos Originarios' (Digite CERO si no tiene). ",""))</f>
        <v/>
      </c>
      <c r="AO20" s="465" t="str">
        <f>IF(AND(E20&lt;&gt;0,Q20=""),"* No olvide escribir en la celda de 'Población Migrantes' (Digite CERO si no tiene). ",IF(AND(F20&lt;&gt;0,R20=""),"* No olvide escribir en la celda de 'Población Migrantes' (Digite CERO si no tiene). ",""))</f>
        <v/>
      </c>
      <c r="AU20" s="581"/>
      <c r="AV20" s="581"/>
      <c r="AW20" s="677">
        <f t="shared" si="0"/>
        <v>1</v>
      </c>
      <c r="AX20" s="677">
        <f t="shared" si="1"/>
        <v>1</v>
      </c>
      <c r="AY20" s="613">
        <f>IF(AND(E20&lt;&gt;0,N20=""),1,IF(AND(F20&lt;&gt;0,O20=""),1,0))</f>
        <v>0</v>
      </c>
      <c r="AZ20" s="613">
        <f>IF(AND(E20&lt;&gt;0,Q20=""),1,IF(AND(F20&lt;&gt;0,R20=""),1,0))</f>
        <v>0</v>
      </c>
    </row>
    <row r="21" spans="1:52" ht="18.75" customHeight="1" x14ac:dyDescent="0.2">
      <c r="A21" s="1787" t="s">
        <v>1041</v>
      </c>
      <c r="B21" s="1982" t="s">
        <v>104</v>
      </c>
      <c r="C21" s="248" t="s">
        <v>496</v>
      </c>
      <c r="D21" s="311" t="s">
        <v>1384</v>
      </c>
      <c r="E21" s="702" t="s">
        <v>1385</v>
      </c>
      <c r="F21" s="703" t="s">
        <v>1386</v>
      </c>
      <c r="G21" s="311" t="s">
        <v>1387</v>
      </c>
      <c r="H21" s="307" t="s">
        <v>1388</v>
      </c>
      <c r="I21" s="308" t="s">
        <v>1389</v>
      </c>
      <c r="J21" s="311" t="s">
        <v>1390</v>
      </c>
      <c r="K21" s="307" t="s">
        <v>1391</v>
      </c>
      <c r="L21" s="331" t="s">
        <v>1392</v>
      </c>
      <c r="M21" s="513" t="s">
        <v>1393</v>
      </c>
      <c r="N21" s="307" t="s">
        <v>1394</v>
      </c>
      <c r="O21" s="308" t="s">
        <v>1395</v>
      </c>
      <c r="P21" s="514" t="s">
        <v>1396</v>
      </c>
      <c r="Q21" s="307" t="s">
        <v>1397</v>
      </c>
      <c r="R21" s="308" t="s">
        <v>1398</v>
      </c>
      <c r="S21" s="600" t="str">
        <f>AL21 &amp; AM21 &amp; AN21 &amp; AO21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1" s="490" t="str">
        <f>IF($D21&lt;$M21,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1" s="490" t="str">
        <f>IF($D21&lt;$P21, "* El total de 'Adolescentes de Migrantes' debe ser menor o igual al Total Adolecentes 'Ambos sexos'. ", "")</f>
        <v xml:space="preserve">* El total de 'Adolescentes de Migrantes' debe ser menor o igual al Total Adolecentes 'Ambos sexos'. </v>
      </c>
      <c r="AN21" s="465" t="str">
        <f>IF(AND(E21&lt;&gt;0,N21=""),"* No olvide escribir en la celda de 'Pueblos Originarios' (Digite CERO si no tiene). ",IF(AND(F21&lt;&gt;0,O21=""),"* No olvide escribir en la celda de 'Pueblos Originarios' (Digite CERO si no tiene). ",""))</f>
        <v/>
      </c>
      <c r="AO21" s="465" t="str">
        <f>IF(AND(E21&lt;&gt;0,Q21=""),"* No olvide escribir en la celda de 'Población Migrantes' (Digite CERO si no tiene). ",IF(AND(F21&lt;&gt;0,R21=""),"* No olvide escribir en la celda de 'Población Migrantes' (Digite CERO si no tiene). ",""))</f>
        <v/>
      </c>
      <c r="AU21" s="581"/>
      <c r="AV21" s="581"/>
      <c r="AW21" s="677">
        <f t="shared" si="0"/>
        <v>1</v>
      </c>
      <c r="AX21" s="677">
        <f t="shared" si="1"/>
        <v>1</v>
      </c>
      <c r="AY21" s="613">
        <f>IF(AND(E21&lt;&gt;0,N21=""),1,IF(AND(F21&lt;&gt;0,O21=""),1,0))</f>
        <v>0</v>
      </c>
      <c r="AZ21" s="613">
        <f>IF(AND(E21&lt;&gt;0,Q21=""),1,IF(AND(F21&lt;&gt;0,R21=""),1,0))</f>
        <v>0</v>
      </c>
    </row>
    <row r="22" spans="1:52" ht="15.75" customHeight="1" x14ac:dyDescent="0.2">
      <c r="A22" s="1787" t="s">
        <v>1042</v>
      </c>
      <c r="B22" s="1967"/>
      <c r="C22" s="242" t="s">
        <v>497</v>
      </c>
      <c r="D22" s="312" t="s">
        <v>1384</v>
      </c>
      <c r="E22" s="722" t="s">
        <v>1385</v>
      </c>
      <c r="F22" s="326" t="s">
        <v>1386</v>
      </c>
      <c r="G22" s="312" t="s">
        <v>1387</v>
      </c>
      <c r="H22" s="323" t="s">
        <v>1388</v>
      </c>
      <c r="I22" s="324" t="s">
        <v>1389</v>
      </c>
      <c r="J22" s="451" t="s">
        <v>1390</v>
      </c>
      <c r="K22" s="323" t="s">
        <v>1391</v>
      </c>
      <c r="L22" s="333" t="s">
        <v>1392</v>
      </c>
      <c r="M22" s="515" t="s">
        <v>1393</v>
      </c>
      <c r="N22" s="323" t="s">
        <v>1394</v>
      </c>
      <c r="O22" s="324" t="s">
        <v>1395</v>
      </c>
      <c r="P22" s="456" t="s">
        <v>1396</v>
      </c>
      <c r="Q22" s="323" t="s">
        <v>1397</v>
      </c>
      <c r="R22" s="324" t="s">
        <v>1398</v>
      </c>
      <c r="S22" s="600" t="str">
        <f>AL22 &amp; AM22 &amp; AN22 &amp; AO22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2" s="490" t="str">
        <f>IF($D22&lt;$M22,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2" s="490" t="str">
        <f>IF($D22&lt;$P22, "* El total de 'Adolescentes de Migrantes' debe ser menor o igual al Total Adolecentes 'Ambos sexos'. ", "")</f>
        <v xml:space="preserve">* El total de 'Adolescentes de Migrantes' debe ser menor o igual al Total Adolecentes 'Ambos sexos'. </v>
      </c>
      <c r="AN22" s="465" t="str">
        <f>IF(AND(E22&lt;&gt;0,N22=""),"* No olvide escribir en la celda de 'Pueblos Originarios' (Digite CERO si no tiene). ",IF(AND(F22&lt;&gt;0,O22=""),"* No olvide escribir en la celda de 'Pueblos Originarios' (Digite CERO si no tiene). ",""))</f>
        <v/>
      </c>
      <c r="AO22" s="465" t="str">
        <f>IF(AND(E22&lt;&gt;0,Q22=""),"* No olvide escribir en la celda de 'Población Migrantes' (Digite CERO si no tiene). ",IF(AND(F22&lt;&gt;0,R22=""),"* No olvide escribir en la celda de 'Población Migrantes' (Digite CERO si no tiene). ",""))</f>
        <v/>
      </c>
      <c r="AU22" s="581"/>
      <c r="AV22" s="581"/>
      <c r="AW22" s="677">
        <f t="shared" si="0"/>
        <v>1</v>
      </c>
      <c r="AX22" s="677">
        <f t="shared" si="1"/>
        <v>1</v>
      </c>
      <c r="AY22" s="613">
        <f>IF(AND(E22&lt;&gt;0,N22=""),1,IF(AND(F22&lt;&gt;0,O22=""),1,0))</f>
        <v>0</v>
      </c>
      <c r="AZ22" s="613">
        <f>IF(AND(E22&lt;&gt;0,Q22=""),1,IF(AND(F22&lt;&gt;0,R22=""),1,0))</f>
        <v>0</v>
      </c>
    </row>
    <row r="23" spans="1:52" ht="13.5" customHeight="1" x14ac:dyDescent="0.2">
      <c r="A23" s="1788"/>
      <c r="B23" s="1967"/>
      <c r="C23" s="249" t="s">
        <v>108</v>
      </c>
      <c r="D23" s="313">
        <f t="shared" si="2"/>
        <v>0</v>
      </c>
      <c r="E23" s="698">
        <f t="shared" ref="E23:E31" si="9">+H23+K23</f>
        <v>0</v>
      </c>
      <c r="F23" s="699">
        <f t="shared" si="3"/>
        <v>0</v>
      </c>
      <c r="G23" s="697">
        <f t="shared" ref="G23:R23" si="10">SUM(G21:G22)</f>
        <v>0</v>
      </c>
      <c r="H23" s="698">
        <f>SUM(H21:H22)</f>
        <v>0</v>
      </c>
      <c r="I23" s="699">
        <f>SUM(I21:I22)</f>
        <v>0</v>
      </c>
      <c r="J23" s="697">
        <f>SUM(J21:J22)</f>
        <v>0</v>
      </c>
      <c r="K23" s="698">
        <f t="shared" si="10"/>
        <v>0</v>
      </c>
      <c r="L23" s="725">
        <f t="shared" si="10"/>
        <v>0</v>
      </c>
      <c r="M23" s="700">
        <f>SUM(M21:M22)</f>
        <v>0</v>
      </c>
      <c r="N23" s="698">
        <f t="shared" si="10"/>
        <v>0</v>
      </c>
      <c r="O23" s="1563">
        <f t="shared" si="10"/>
        <v>0</v>
      </c>
      <c r="P23" s="1563">
        <f>SUM(P21:P22)</f>
        <v>0</v>
      </c>
      <c r="Q23" s="698">
        <f t="shared" si="10"/>
        <v>0</v>
      </c>
      <c r="R23" s="727">
        <f t="shared" si="10"/>
        <v>0</v>
      </c>
      <c r="AU23" s="581"/>
      <c r="AV23" s="581"/>
      <c r="AW23" s="581"/>
      <c r="AX23" s="581"/>
      <c r="AY23" s="581"/>
      <c r="AZ23" s="581"/>
    </row>
    <row r="24" spans="1:52" ht="18" customHeight="1" x14ac:dyDescent="0.2">
      <c r="A24" s="1787" t="s">
        <v>1043</v>
      </c>
      <c r="B24" s="1967"/>
      <c r="C24" s="241" t="s">
        <v>602</v>
      </c>
      <c r="D24" s="311" t="s">
        <v>1384</v>
      </c>
      <c r="E24" s="702" t="s">
        <v>1385</v>
      </c>
      <c r="F24" s="703" t="s">
        <v>1386</v>
      </c>
      <c r="G24" s="311" t="s">
        <v>1387</v>
      </c>
      <c r="H24" s="307" t="s">
        <v>1388</v>
      </c>
      <c r="I24" s="308" t="s">
        <v>1389</v>
      </c>
      <c r="J24" s="311" t="s">
        <v>1390</v>
      </c>
      <c r="K24" s="307" t="s">
        <v>1391</v>
      </c>
      <c r="L24" s="335" t="s">
        <v>1392</v>
      </c>
      <c r="M24" s="513" t="s">
        <v>1393</v>
      </c>
      <c r="N24" s="307" t="s">
        <v>1394</v>
      </c>
      <c r="O24" s="308" t="s">
        <v>1395</v>
      </c>
      <c r="P24" s="514" t="s">
        <v>1396</v>
      </c>
      <c r="Q24" s="307" t="s">
        <v>1397</v>
      </c>
      <c r="R24" s="308" t="s">
        <v>1398</v>
      </c>
      <c r="S24" s="600" t="str">
        <f>AL24 &amp; AM24 &amp; AN24 &amp; AO24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4" s="490" t="str">
        <f>IF($D24&lt;$M24,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4" s="490" t="str">
        <f>IF($D24&lt;$P24, "* El total de 'Adolescentes de Migrantes' debe ser menor o igual al Total Adolecentes 'Ambos sexos'. ", "")</f>
        <v xml:space="preserve">* El total de 'Adolescentes de Migrantes' debe ser menor o igual al Total Adolecentes 'Ambos sexos'. </v>
      </c>
      <c r="AN24" s="465" t="str">
        <f>IF(AND(E24&lt;&gt;0,N24=""),"* No olvide escribir en la celda de 'Pueblos Originarios' (Digite CERO si no tiene). ",IF(AND(F24&lt;&gt;0,O24=""),"* No olvide escribir en la celda de 'Pueblos Originarios' (Digite CERO si no tiene). ",""))</f>
        <v/>
      </c>
      <c r="AO24" s="465" t="str">
        <f>IF(AND(E24&lt;&gt;0,Q24=""),"* No olvide escribir en la celda de 'Población Migrantes' (Digite CERO si no tiene). ",IF(AND(F24&lt;&gt;0,R24=""),"* No olvide escribir en la celda de 'Población Migrantes' (Digite CERO si no tiene). ",""))</f>
        <v/>
      </c>
      <c r="AU24" s="581"/>
      <c r="AV24" s="581"/>
      <c r="AW24" s="677">
        <f t="shared" si="0"/>
        <v>1</v>
      </c>
      <c r="AX24" s="677">
        <f t="shared" si="1"/>
        <v>1</v>
      </c>
      <c r="AY24" s="613">
        <f>IF(AND(E24&lt;&gt;0,N24=""),1,IF(AND(F24&lt;&gt;0,O24=""),1,0))</f>
        <v>0</v>
      </c>
      <c r="AZ24" s="613">
        <f>IF(AND(E24&lt;&gt;0,Q24=""),1,IF(AND(F24&lt;&gt;0,R24=""),1,0))</f>
        <v>0</v>
      </c>
    </row>
    <row r="25" spans="1:52" ht="18" customHeight="1" x14ac:dyDescent="0.2">
      <c r="A25" s="1787" t="s">
        <v>1044</v>
      </c>
      <c r="B25" s="1967"/>
      <c r="C25" s="250" t="s">
        <v>498</v>
      </c>
      <c r="D25" s="312" t="s">
        <v>1384</v>
      </c>
      <c r="E25" s="722" t="s">
        <v>1385</v>
      </c>
      <c r="F25" s="326" t="s">
        <v>1386</v>
      </c>
      <c r="G25" s="312" t="s">
        <v>1387</v>
      </c>
      <c r="H25" s="309" t="s">
        <v>1388</v>
      </c>
      <c r="I25" s="310" t="s">
        <v>1389</v>
      </c>
      <c r="J25" s="312" t="s">
        <v>1390</v>
      </c>
      <c r="K25" s="309" t="s">
        <v>1391</v>
      </c>
      <c r="L25" s="333" t="s">
        <v>1392</v>
      </c>
      <c r="M25" s="516" t="s">
        <v>1393</v>
      </c>
      <c r="N25" s="309" t="s">
        <v>1394</v>
      </c>
      <c r="O25" s="310" t="s">
        <v>1395</v>
      </c>
      <c r="P25" s="517" t="s">
        <v>1396</v>
      </c>
      <c r="Q25" s="309" t="s">
        <v>1397</v>
      </c>
      <c r="R25" s="310" t="s">
        <v>1398</v>
      </c>
      <c r="S25" s="600" t="str">
        <f>AL25 &amp; AM25 &amp; AN25 &amp; AO25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5" s="490" t="str">
        <f>IF($D25&lt;$M25,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5" s="490" t="str">
        <f>IF($D25&lt;$P25, "* El total de 'Adolescentes de Migrantes' debe ser menor o igual al Total Adolecentes 'Ambos sexos'. ", "")</f>
        <v xml:space="preserve">* El total de 'Adolescentes de Migrantes' debe ser menor o igual al Total Adolecentes 'Ambos sexos'. </v>
      </c>
      <c r="AN25" s="465" t="str">
        <f>IF(AND(E25&lt;&gt;0,N25=""),"* No olvide escribir en la celda de 'Pueblos Originarios' (Digite CERO si no tiene). ",IF(AND(F25&lt;&gt;0,O25=""),"* No olvide escribir en la celda de 'Pueblos Originarios' (Digite CERO si no tiene). ",""))</f>
        <v/>
      </c>
      <c r="AO25" s="465" t="str">
        <f>IF(AND(E25&lt;&gt;0,Q25=""),"* No olvide escribir en la celda de 'Población Migrantes' (Digite CERO si no tiene). ",IF(AND(F25&lt;&gt;0,R25=""),"* No olvide escribir en la celda de 'Población Migrantes' (Digite CERO si no tiene). ",""))</f>
        <v/>
      </c>
      <c r="AU25" s="581"/>
      <c r="AV25" s="581"/>
      <c r="AW25" s="677">
        <f t="shared" si="0"/>
        <v>1</v>
      </c>
      <c r="AX25" s="677">
        <f t="shared" si="1"/>
        <v>1</v>
      </c>
      <c r="AY25" s="613">
        <f>IF(AND(E25&lt;&gt;0,N25=""),1,IF(AND(F25&lt;&gt;0,O25=""),1,0))</f>
        <v>0</v>
      </c>
      <c r="AZ25" s="613">
        <f>IF(AND(E25&lt;&gt;0,Q25=""),1,IF(AND(F25&lt;&gt;0,R25=""),1,0))</f>
        <v>0</v>
      </c>
    </row>
    <row r="26" spans="1:52" ht="13.5" customHeight="1" x14ac:dyDescent="0.2">
      <c r="A26" s="1788"/>
      <c r="B26" s="1967"/>
      <c r="C26" s="249" t="s">
        <v>108</v>
      </c>
      <c r="D26" s="697">
        <f t="shared" si="2"/>
        <v>0</v>
      </c>
      <c r="E26" s="698">
        <f t="shared" si="9"/>
        <v>0</v>
      </c>
      <c r="F26" s="699">
        <f t="shared" si="3"/>
        <v>0</v>
      </c>
      <c r="G26" s="697">
        <f t="shared" ref="G26:R26" si="11">SUM(G24:G25)</f>
        <v>0</v>
      </c>
      <c r="H26" s="698">
        <f>SUM(H24:H25)</f>
        <v>0</v>
      </c>
      <c r="I26" s="699">
        <f t="shared" si="11"/>
        <v>0</v>
      </c>
      <c r="J26" s="697">
        <f>SUM(J24:J25)</f>
        <v>0</v>
      </c>
      <c r="K26" s="698">
        <f t="shared" si="11"/>
        <v>0</v>
      </c>
      <c r="L26" s="725">
        <f t="shared" si="11"/>
        <v>0</v>
      </c>
      <c r="M26" s="700">
        <f t="shared" si="11"/>
        <v>0</v>
      </c>
      <c r="N26" s="698">
        <f t="shared" si="11"/>
        <v>0</v>
      </c>
      <c r="O26" s="1563">
        <f t="shared" si="11"/>
        <v>0</v>
      </c>
      <c r="P26" s="1563">
        <f>SUM(P24:P25)</f>
        <v>0</v>
      </c>
      <c r="Q26" s="698">
        <f t="shared" si="11"/>
        <v>0</v>
      </c>
      <c r="R26" s="727">
        <f t="shared" si="11"/>
        <v>0</v>
      </c>
      <c r="AU26" s="581"/>
      <c r="AV26" s="581"/>
      <c r="AW26" s="581"/>
      <c r="AX26" s="581"/>
      <c r="AY26" s="581"/>
      <c r="AZ26" s="581"/>
    </row>
    <row r="27" spans="1:52" ht="15.75" customHeight="1" x14ac:dyDescent="0.2">
      <c r="A27" s="1787" t="s">
        <v>1045</v>
      </c>
      <c r="B27" s="1968"/>
      <c r="C27" s="247" t="s">
        <v>499</v>
      </c>
      <c r="D27" s="452" t="s">
        <v>1384</v>
      </c>
      <c r="E27" s="715" t="s">
        <v>1385</v>
      </c>
      <c r="F27" s="716" t="s">
        <v>1386</v>
      </c>
      <c r="G27" s="452" t="s">
        <v>1387</v>
      </c>
      <c r="H27" s="321" t="s">
        <v>1388</v>
      </c>
      <c r="I27" s="322" t="s">
        <v>1389</v>
      </c>
      <c r="J27" s="452" t="s">
        <v>1390</v>
      </c>
      <c r="K27" s="305" t="s">
        <v>1391</v>
      </c>
      <c r="L27" s="344" t="s">
        <v>1392</v>
      </c>
      <c r="M27" s="518" t="s">
        <v>1393</v>
      </c>
      <c r="N27" s="305" t="s">
        <v>1394</v>
      </c>
      <c r="O27" s="306" t="s">
        <v>1395</v>
      </c>
      <c r="P27" s="519" t="s">
        <v>1396</v>
      </c>
      <c r="Q27" s="305" t="s">
        <v>1397</v>
      </c>
      <c r="R27" s="306" t="s">
        <v>1398</v>
      </c>
      <c r="S27" s="600" t="str">
        <f>AL27 &amp; AM27 &amp; AN27 &amp; AO27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7" s="490" t="str">
        <f>IF($D27&lt;$M27,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7" s="490" t="str">
        <f>IF($D27&lt;$P27, "* El total de 'Adolescentes de Migrantes' debe ser menor o igual al Total Adolecentes 'Ambos sexos'. ", "")</f>
        <v xml:space="preserve">* El total de 'Adolescentes de Migrantes' debe ser menor o igual al Total Adolecentes 'Ambos sexos'. </v>
      </c>
      <c r="AN27" s="465" t="str">
        <f>IF(AND(E27&lt;&gt;0,N27=""),"* No olvide escribir en la celda de 'Pueblos Originarios' (Digite CERO si no tiene). ",IF(AND(F27&lt;&gt;0,O27=""),"* No olvide escribir en la celda de 'Pueblos Originarios' (Digite CERO si no tiene). ",""))</f>
        <v/>
      </c>
      <c r="AO27" s="465" t="str">
        <f>IF(AND(E27&lt;&gt;0,Q27=""),"* No olvide escribir en la celda de 'Población Migrantes' (Digite CERO si no tiene). ",IF(AND(F27&lt;&gt;0,R27=""),"* No olvide escribir en la celda de 'Población Migrantes' (Digite CERO si no tiene). ",""))</f>
        <v/>
      </c>
      <c r="AU27" s="581"/>
      <c r="AV27" s="581"/>
      <c r="AW27" s="677">
        <f t="shared" si="0"/>
        <v>1</v>
      </c>
      <c r="AX27" s="677">
        <f t="shared" si="1"/>
        <v>1</v>
      </c>
      <c r="AY27" s="613">
        <f>IF(AND(E27&lt;&gt;0,N27=""),1,IF(AND(F27&lt;&gt;0,O27=""),1,0))</f>
        <v>0</v>
      </c>
      <c r="AZ27" s="613">
        <f>IF(AND(E27&lt;&gt;0,Q27=""),1,IF(AND(F27&lt;&gt;0,R27=""),1,0))</f>
        <v>0</v>
      </c>
    </row>
    <row r="28" spans="1:52" ht="15.75" customHeight="1" x14ac:dyDescent="0.2">
      <c r="A28" s="1787" t="s">
        <v>1046</v>
      </c>
      <c r="B28" s="1982" t="s">
        <v>494</v>
      </c>
      <c r="C28" s="122" t="s">
        <v>495</v>
      </c>
      <c r="D28" s="311" t="s">
        <v>1384</v>
      </c>
      <c r="E28" s="702" t="s">
        <v>1385</v>
      </c>
      <c r="F28" s="703" t="s">
        <v>1386</v>
      </c>
      <c r="G28" s="311" t="s">
        <v>1387</v>
      </c>
      <c r="H28" s="319" t="s">
        <v>1388</v>
      </c>
      <c r="I28" s="320" t="s">
        <v>1389</v>
      </c>
      <c r="J28" s="453" t="s">
        <v>1390</v>
      </c>
      <c r="K28" s="319" t="s">
        <v>1391</v>
      </c>
      <c r="L28" s="335" t="s">
        <v>1392</v>
      </c>
      <c r="M28" s="520" t="s">
        <v>1393</v>
      </c>
      <c r="N28" s="319" t="s">
        <v>1394</v>
      </c>
      <c r="O28" s="320" t="s">
        <v>1395</v>
      </c>
      <c r="P28" s="521" t="s">
        <v>1396</v>
      </c>
      <c r="Q28" s="319" t="s">
        <v>1397</v>
      </c>
      <c r="R28" s="320" t="s">
        <v>1398</v>
      </c>
      <c r="S28" s="600" t="str">
        <f>AL28 &amp; AM28 &amp; AN28 &amp; AO28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8" s="490" t="str">
        <f>IF($D28&lt;$M28,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8" s="490" t="str">
        <f>IF($D28&lt;$P28, "* El total de 'Adolescentes de Migrantes' debe ser menor o igual al Total Adolecentes 'Ambos sexos'. ", "")</f>
        <v xml:space="preserve">* El total de 'Adolescentes de Migrantes' debe ser menor o igual al Total Adolecentes 'Ambos sexos'. </v>
      </c>
      <c r="AN28" s="465" t="str">
        <f>IF(AND(E28&lt;&gt;0,N28=""),"* No olvide escribir en la celda de 'Pueblos Originarios' (Digite CERO si no tiene). ",IF(AND(F28&lt;&gt;0,O28=""),"* No olvide escribir en la celda de 'Pueblos Originarios' (Digite CERO si no tiene). ",""))</f>
        <v/>
      </c>
      <c r="AO28" s="465" t="str">
        <f>IF(AND(E28&lt;&gt;0,Q28=""),"* No olvide escribir en la celda de 'Población Migrantes' (Digite CERO si no tiene). ",IF(AND(F28&lt;&gt;0,R28=""),"* No olvide escribir en la celda de 'Población Migrantes' (Digite CERO si no tiene). ",""))</f>
        <v/>
      </c>
      <c r="AU28" s="581"/>
      <c r="AV28" s="581"/>
      <c r="AW28" s="677">
        <f t="shared" si="0"/>
        <v>1</v>
      </c>
      <c r="AX28" s="677">
        <f t="shared" si="1"/>
        <v>1</v>
      </c>
      <c r="AY28" s="613">
        <f>IF(AND(E28&lt;&gt;0,N28=""),1,IF(AND(F28&lt;&gt;0,O28=""),1,0))</f>
        <v>0</v>
      </c>
      <c r="AZ28" s="613">
        <f>IF(AND(E28&lt;&gt;0,Q28=""),1,IF(AND(F28&lt;&gt;0,R28=""),1,0))</f>
        <v>0</v>
      </c>
    </row>
    <row r="29" spans="1:52" ht="15.75" customHeight="1" x14ac:dyDescent="0.2">
      <c r="A29" s="1787" t="s">
        <v>1047</v>
      </c>
      <c r="B29" s="1967"/>
      <c r="C29" s="251" t="s">
        <v>603</v>
      </c>
      <c r="D29" s="315" t="s">
        <v>1384</v>
      </c>
      <c r="E29" s="707" t="s">
        <v>1385</v>
      </c>
      <c r="F29" s="703" t="s">
        <v>1386</v>
      </c>
      <c r="G29" s="315" t="s">
        <v>1387</v>
      </c>
      <c r="H29" s="321" t="s">
        <v>1388</v>
      </c>
      <c r="I29" s="322" t="s">
        <v>1389</v>
      </c>
      <c r="J29" s="315" t="s">
        <v>1390</v>
      </c>
      <c r="K29" s="321" t="s">
        <v>1391</v>
      </c>
      <c r="L29" s="345" t="s">
        <v>1392</v>
      </c>
      <c r="M29" s="522" t="s">
        <v>1393</v>
      </c>
      <c r="N29" s="321" t="s">
        <v>1394</v>
      </c>
      <c r="O29" s="322" t="s">
        <v>1395</v>
      </c>
      <c r="P29" s="455" t="s">
        <v>1396</v>
      </c>
      <c r="Q29" s="321" t="s">
        <v>1397</v>
      </c>
      <c r="R29" s="322" t="s">
        <v>1398</v>
      </c>
      <c r="S29" s="600" t="str">
        <f>AL29 &amp; AM29 &amp; AN29 &amp; AO29</f>
        <v xml:space="preserve">* El Total de 'Adolescentes de Pueblos Originarios' debe ser menor o igual al Total Adolecentes 'Ambos sexos'. * El total de 'Adolescentes de Migrantes' debe ser menor o igual al Total Adolecentes 'Ambos sexos'. </v>
      </c>
      <c r="AL29" s="490" t="str">
        <f>IF($D29&lt;$M29,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29" s="490" t="str">
        <f>IF($D29&lt;$P29, "* El total de 'Adolescentes de Migrantes' debe ser menor o igual al Total Adolecentes 'Ambos sexos'. ", "")</f>
        <v xml:space="preserve">* El total de 'Adolescentes de Migrantes' debe ser menor o igual al Total Adolecentes 'Ambos sexos'. </v>
      </c>
      <c r="AN29" s="465" t="str">
        <f>IF(AND(E29&lt;&gt;0,N29=""),"* No olvide escribir en la celda de 'Pueblos Originarios' (Digite CERO si no tiene). ",IF(AND(F29&lt;&gt;0,O29=""),"* No olvide escribir en la celda de 'Pueblos Originarios' (Digite CERO si no tiene). ",""))</f>
        <v/>
      </c>
      <c r="AO29" s="465" t="str">
        <f>IF(AND(E29&lt;&gt;0,Q29=""),"* No olvide escribir en la celda de 'Población Migrantes' (Digite CERO si no tiene). ",IF(AND(F29&lt;&gt;0,R29=""),"* No olvide escribir en la celda de 'Población Migrantes' (Digite CERO si no tiene). ",""))</f>
        <v/>
      </c>
      <c r="AU29" s="581"/>
      <c r="AV29" s="581"/>
      <c r="AW29" s="677">
        <f t="shared" si="0"/>
        <v>1</v>
      </c>
      <c r="AX29" s="677">
        <f t="shared" si="1"/>
        <v>1</v>
      </c>
      <c r="AY29" s="613">
        <f>IF(AND(E29&lt;&gt;0,N29=""),1,IF(AND(F29&lt;&gt;0,O29=""),1,0))</f>
        <v>0</v>
      </c>
      <c r="AZ29" s="613">
        <f>IF(AND(E29&lt;&gt;0,Q29=""),1,IF(AND(F29&lt;&gt;0,R29=""),1,0))</f>
        <v>0</v>
      </c>
    </row>
    <row r="30" spans="1:52" ht="15.75" customHeight="1" x14ac:dyDescent="0.2">
      <c r="A30" s="1787" t="s">
        <v>1048</v>
      </c>
      <c r="B30" s="1967"/>
      <c r="C30" s="246" t="s">
        <v>519</v>
      </c>
      <c r="D30" s="312" t="s">
        <v>1384</v>
      </c>
      <c r="E30" s="722" t="s">
        <v>1385</v>
      </c>
      <c r="F30" s="326" t="s">
        <v>1386</v>
      </c>
      <c r="G30" s="312" t="s">
        <v>1387</v>
      </c>
      <c r="H30" s="323" t="s">
        <v>1388</v>
      </c>
      <c r="I30" s="324" t="s">
        <v>1389</v>
      </c>
      <c r="J30" s="451" t="s">
        <v>1390</v>
      </c>
      <c r="K30" s="323" t="s">
        <v>1391</v>
      </c>
      <c r="L30" s="333" t="s">
        <v>1392</v>
      </c>
      <c r="M30" s="515" t="s">
        <v>1393</v>
      </c>
      <c r="N30" s="323" t="s">
        <v>1394</v>
      </c>
      <c r="O30" s="324" t="s">
        <v>1395</v>
      </c>
      <c r="P30" s="456" t="s">
        <v>1396</v>
      </c>
      <c r="Q30" s="323" t="s">
        <v>1397</v>
      </c>
      <c r="R30" s="324" t="s">
        <v>1398</v>
      </c>
      <c r="S30" s="600" t="str">
        <f>AL30 &amp; AM30 &amp; AN30 &amp; AO30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0" s="490" t="str">
        <f>IF($D30&lt;$M30,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30" s="490" t="str">
        <f>IF($D30&lt;$P30, "* El total de 'Adolescentes de Migrantes' debe ser menor o igual al Total Adolecentes 'Ambos sexos'. ", "")</f>
        <v xml:space="preserve">* El total de 'Adolescentes de Migrantes' debe ser menor o igual al Total Adolecentes 'Ambos sexos'. </v>
      </c>
      <c r="AN30" s="465" t="str">
        <f>IF(AND(E30&lt;&gt;0,N30=""),"* No olvide escribir en la celda de 'Pueblos Originarios' (Digite CERO si no tiene). ",IF(AND(F30&lt;&gt;0,O30=""),"* No olvide escribir en la celda de 'Pueblos Originarios' (Digite CERO si no tiene). ",""))</f>
        <v/>
      </c>
      <c r="AO30" s="465" t="str">
        <f>IF(AND(E30&lt;&gt;0,Q30=""),"* No olvide escribir en la celda de 'Población Migrantes' (Digite CERO si no tiene). ",IF(AND(F30&lt;&gt;0,R30=""),"* No olvide escribir en la celda de 'Población Migrantes' (Digite CERO si no tiene). ",""))</f>
        <v/>
      </c>
      <c r="AU30" s="581"/>
      <c r="AV30" s="581"/>
      <c r="AW30" s="677">
        <f t="shared" si="0"/>
        <v>1</v>
      </c>
      <c r="AX30" s="677">
        <f t="shared" si="1"/>
        <v>1</v>
      </c>
      <c r="AY30" s="613">
        <f>IF(AND(E30&lt;&gt;0,N30=""),1,IF(AND(F30&lt;&gt;0,O30=""),1,0))</f>
        <v>0</v>
      </c>
      <c r="AZ30" s="613">
        <f>IF(AND(E30&lt;&gt;0,Q30=""),1,IF(AND(F30&lt;&gt;0,R30=""),1,0))</f>
        <v>0</v>
      </c>
    </row>
    <row r="31" spans="1:52" ht="13.5" customHeight="1" x14ac:dyDescent="0.2">
      <c r="A31" s="1788"/>
      <c r="B31" s="1968"/>
      <c r="C31" s="120" t="s">
        <v>15</v>
      </c>
      <c r="D31" s="697">
        <f t="shared" si="2"/>
        <v>0</v>
      </c>
      <c r="E31" s="698">
        <f t="shared" si="9"/>
        <v>0</v>
      </c>
      <c r="F31" s="699">
        <f t="shared" si="3"/>
        <v>0</v>
      </c>
      <c r="G31" s="697">
        <f t="shared" ref="G31:R31" si="12">SUM(G28:G30)</f>
        <v>0</v>
      </c>
      <c r="H31" s="698">
        <f>SUM(H28:H30)</f>
        <v>0</v>
      </c>
      <c r="I31" s="699">
        <f t="shared" si="12"/>
        <v>0</v>
      </c>
      <c r="J31" s="697">
        <f>SUM(J28:J30)</f>
        <v>0</v>
      </c>
      <c r="K31" s="698">
        <f t="shared" si="12"/>
        <v>0</v>
      </c>
      <c r="L31" s="726">
        <f t="shared" si="12"/>
        <v>0</v>
      </c>
      <c r="M31" s="700">
        <f t="shared" si="12"/>
        <v>0</v>
      </c>
      <c r="N31" s="698">
        <f t="shared" si="12"/>
        <v>0</v>
      </c>
      <c r="O31" s="1563">
        <f t="shared" si="12"/>
        <v>0</v>
      </c>
      <c r="P31" s="1563">
        <f>SUM(P28:P30)</f>
        <v>0</v>
      </c>
      <c r="Q31" s="698">
        <f t="shared" si="12"/>
        <v>0</v>
      </c>
      <c r="R31" s="727">
        <f t="shared" si="12"/>
        <v>0</v>
      </c>
      <c r="AU31" s="581"/>
      <c r="AV31" s="581"/>
      <c r="AW31" s="581"/>
      <c r="AX31" s="581"/>
      <c r="AY31" s="581"/>
      <c r="AZ31" s="581"/>
    </row>
    <row r="32" spans="1:52" ht="13.5" customHeight="1" x14ac:dyDescent="0.2">
      <c r="A32" s="1787" t="s">
        <v>1049</v>
      </c>
      <c r="B32" s="1967" t="s">
        <v>105</v>
      </c>
      <c r="C32" s="252" t="s">
        <v>493</v>
      </c>
      <c r="D32" s="311" t="s">
        <v>1384</v>
      </c>
      <c r="E32" s="702" t="s">
        <v>1385</v>
      </c>
      <c r="F32" s="703" t="s">
        <v>1386</v>
      </c>
      <c r="G32" s="311" t="s">
        <v>1387</v>
      </c>
      <c r="H32" s="321" t="s">
        <v>1388</v>
      </c>
      <c r="I32" s="322" t="s">
        <v>1389</v>
      </c>
      <c r="J32" s="453" t="s">
        <v>1390</v>
      </c>
      <c r="K32" s="321" t="s">
        <v>1391</v>
      </c>
      <c r="L32" s="349" t="s">
        <v>1392</v>
      </c>
      <c r="M32" s="520" t="s">
        <v>1393</v>
      </c>
      <c r="N32" s="321" t="s">
        <v>1394</v>
      </c>
      <c r="O32" s="320" t="s">
        <v>1395</v>
      </c>
      <c r="P32" s="521" t="s">
        <v>1396</v>
      </c>
      <c r="Q32" s="321" t="s">
        <v>1397</v>
      </c>
      <c r="R32" s="322" t="s">
        <v>1398</v>
      </c>
      <c r="S32" s="600" t="str">
        <f t="shared" ref="S32:S37" si="13">AL32 &amp; AM32 &amp; AN32 &amp; AO32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2" s="490" t="str">
        <f t="shared" ref="AL32:AL37" si="14">IF($D32&lt;$M32,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32" s="490" t="str">
        <f t="shared" ref="AM32:AM37" si="15">IF($D32&lt;$P32, "* El total de 'Adolescentes de Migrantes' debe ser menor o igual al Total Adolecentes 'Ambos sexos'. ", "")</f>
        <v xml:space="preserve">* El total de 'Adolescentes de Migrantes' debe ser menor o igual al Total Adolecentes 'Ambos sexos'. </v>
      </c>
      <c r="AN32" s="465" t="str">
        <f t="shared" ref="AN32:AN37" si="16">IF(AND(E32&lt;&gt;0,N32=""),"* No olvide escribir en la celda de 'Pueblos Originarios' (Digite CERO si no tiene). ",IF(AND(F32&lt;&gt;0,O32=""),"* No olvide escribir en la celda de 'Pueblos Originarios' (Digite CERO si no tiene). ",""))</f>
        <v/>
      </c>
      <c r="AO32" s="465" t="str">
        <f t="shared" ref="AO32:AO37" si="17">IF(AND(E32&lt;&gt;0,Q32=""),"* No olvide escribir en la celda de 'Población Migrantes' (Digite CERO si no tiene). ",IF(AND(F32&lt;&gt;0,R32=""),"* No olvide escribir en la celda de 'Población Migrantes' (Digite CERO si no tiene). ",""))</f>
        <v/>
      </c>
      <c r="AU32" s="581"/>
      <c r="AV32" s="581"/>
      <c r="AW32" s="677">
        <f t="shared" si="0"/>
        <v>1</v>
      </c>
      <c r="AX32" s="677">
        <f t="shared" si="1"/>
        <v>1</v>
      </c>
      <c r="AY32" s="613">
        <f t="shared" ref="AY32:AY37" si="18">IF(AND(E32&lt;&gt;0,N32=""),1,IF(AND(F32&lt;&gt;0,O32=""),1,0))</f>
        <v>0</v>
      </c>
      <c r="AZ32" s="613">
        <f t="shared" ref="AZ32:AZ37" si="19">IF(AND(E32&lt;&gt;0,Q32=""),1,IF(AND(F32&lt;&gt;0,R32=""),1,0))</f>
        <v>0</v>
      </c>
    </row>
    <row r="33" spans="1:52" ht="13.5" customHeight="1" x14ac:dyDescent="0.2">
      <c r="A33" s="1787" t="s">
        <v>1050</v>
      </c>
      <c r="B33" s="1967"/>
      <c r="C33" s="117" t="s">
        <v>106</v>
      </c>
      <c r="D33" s="315" t="s">
        <v>1384</v>
      </c>
      <c r="E33" s="707" t="s">
        <v>1385</v>
      </c>
      <c r="F33" s="703" t="s">
        <v>1386</v>
      </c>
      <c r="G33" s="315" t="s">
        <v>1387</v>
      </c>
      <c r="H33" s="321" t="s">
        <v>1388</v>
      </c>
      <c r="I33" s="322" t="s">
        <v>1389</v>
      </c>
      <c r="J33" s="315" t="s">
        <v>1390</v>
      </c>
      <c r="K33" s="321" t="s">
        <v>1391</v>
      </c>
      <c r="L33" s="349" t="s">
        <v>1392</v>
      </c>
      <c r="M33" s="522" t="s">
        <v>1393</v>
      </c>
      <c r="N33" s="321" t="s">
        <v>1394</v>
      </c>
      <c r="O33" s="322" t="s">
        <v>1395</v>
      </c>
      <c r="P33" s="455" t="s">
        <v>1396</v>
      </c>
      <c r="Q33" s="321" t="s">
        <v>1397</v>
      </c>
      <c r="R33" s="322" t="s">
        <v>1398</v>
      </c>
      <c r="S33" s="600" t="str">
        <f t="shared" si="13"/>
        <v xml:space="preserve">* El Total de 'Adolescentes de Pueblos Originarios' debe ser menor o igual al Total Adolecentes 'Ambos sexos'. * El total de 'Adolescentes de Migrantes' debe ser menor o igual al Total Adolecentes 'Ambos sexos'. </v>
      </c>
      <c r="AL33" s="490" t="str">
        <f t="shared" si="14"/>
        <v xml:space="preserve">* El Total de 'Adolescentes de Pueblos Originarios' debe ser menor o igual al Total Adolecentes 'Ambos sexos'. </v>
      </c>
      <c r="AM33" s="490" t="str">
        <f t="shared" si="15"/>
        <v xml:space="preserve">* El total de 'Adolescentes de Migrantes' debe ser menor o igual al Total Adolecentes 'Ambos sexos'. </v>
      </c>
      <c r="AN33" s="465" t="str">
        <f t="shared" si="16"/>
        <v/>
      </c>
      <c r="AO33" s="465" t="str">
        <f t="shared" si="17"/>
        <v/>
      </c>
      <c r="AU33" s="581"/>
      <c r="AV33" s="581"/>
      <c r="AW33" s="677">
        <f t="shared" si="0"/>
        <v>1</v>
      </c>
      <c r="AX33" s="677">
        <f t="shared" si="1"/>
        <v>1</v>
      </c>
      <c r="AY33" s="613">
        <f t="shared" si="18"/>
        <v>0</v>
      </c>
      <c r="AZ33" s="613">
        <f t="shared" si="19"/>
        <v>0</v>
      </c>
    </row>
    <row r="34" spans="1:52" ht="13.5" customHeight="1" x14ac:dyDescent="0.2">
      <c r="A34" s="1787" t="s">
        <v>1051</v>
      </c>
      <c r="B34" s="1967"/>
      <c r="C34" s="251" t="s">
        <v>414</v>
      </c>
      <c r="D34" s="315" t="s">
        <v>1384</v>
      </c>
      <c r="E34" s="707" t="s">
        <v>1385</v>
      </c>
      <c r="F34" s="703" t="s">
        <v>1386</v>
      </c>
      <c r="G34" s="315" t="s">
        <v>1387</v>
      </c>
      <c r="H34" s="321" t="s">
        <v>1388</v>
      </c>
      <c r="I34" s="322" t="s">
        <v>1389</v>
      </c>
      <c r="J34" s="315" t="s">
        <v>1390</v>
      </c>
      <c r="K34" s="321" t="s">
        <v>1391</v>
      </c>
      <c r="L34" s="349" t="s">
        <v>1392</v>
      </c>
      <c r="M34" s="522" t="s">
        <v>1393</v>
      </c>
      <c r="N34" s="321" t="s">
        <v>1394</v>
      </c>
      <c r="O34" s="322" t="s">
        <v>1395</v>
      </c>
      <c r="P34" s="455" t="s">
        <v>1396</v>
      </c>
      <c r="Q34" s="321" t="s">
        <v>1397</v>
      </c>
      <c r="R34" s="322" t="s">
        <v>1398</v>
      </c>
      <c r="S34" s="600" t="str">
        <f t="shared" si="13"/>
        <v xml:space="preserve">* El Total de 'Adolescentes de Pueblos Originarios' debe ser menor o igual al Total Adolecentes 'Ambos sexos'. * El total de 'Adolescentes de Migrantes' debe ser menor o igual al Total Adolecentes 'Ambos sexos'. </v>
      </c>
      <c r="AL34" s="490" t="str">
        <f t="shared" si="14"/>
        <v xml:space="preserve">* El Total de 'Adolescentes de Pueblos Originarios' debe ser menor o igual al Total Adolecentes 'Ambos sexos'. </v>
      </c>
      <c r="AM34" s="490" t="str">
        <f t="shared" si="15"/>
        <v xml:space="preserve">* El total de 'Adolescentes de Migrantes' debe ser menor o igual al Total Adolecentes 'Ambos sexos'. </v>
      </c>
      <c r="AN34" s="465" t="str">
        <f t="shared" si="16"/>
        <v/>
      </c>
      <c r="AO34" s="465" t="str">
        <f t="shared" si="17"/>
        <v/>
      </c>
      <c r="AU34" s="581"/>
      <c r="AV34" s="581"/>
      <c r="AW34" s="677">
        <f t="shared" si="0"/>
        <v>1</v>
      </c>
      <c r="AX34" s="677">
        <f t="shared" si="1"/>
        <v>1</v>
      </c>
      <c r="AY34" s="613">
        <f t="shared" si="18"/>
        <v>0</v>
      </c>
      <c r="AZ34" s="613">
        <f t="shared" si="19"/>
        <v>0</v>
      </c>
    </row>
    <row r="35" spans="1:52" ht="13.5" customHeight="1" x14ac:dyDescent="0.2">
      <c r="A35" s="1787" t="s">
        <v>1052</v>
      </c>
      <c r="B35" s="1967"/>
      <c r="C35" s="117" t="s">
        <v>107</v>
      </c>
      <c r="D35" s="315" t="s">
        <v>1384</v>
      </c>
      <c r="E35" s="707" t="s">
        <v>1385</v>
      </c>
      <c r="F35" s="703" t="s">
        <v>1386</v>
      </c>
      <c r="G35" s="315" t="s">
        <v>1387</v>
      </c>
      <c r="H35" s="321" t="s">
        <v>1388</v>
      </c>
      <c r="I35" s="322" t="s">
        <v>1389</v>
      </c>
      <c r="J35" s="315" t="s">
        <v>1390</v>
      </c>
      <c r="K35" s="321" t="s">
        <v>1391</v>
      </c>
      <c r="L35" s="349" t="s">
        <v>1392</v>
      </c>
      <c r="M35" s="522" t="s">
        <v>1393</v>
      </c>
      <c r="N35" s="321" t="s">
        <v>1394</v>
      </c>
      <c r="O35" s="322" t="s">
        <v>1395</v>
      </c>
      <c r="P35" s="455" t="s">
        <v>1396</v>
      </c>
      <c r="Q35" s="321" t="s">
        <v>1397</v>
      </c>
      <c r="R35" s="322" t="s">
        <v>1398</v>
      </c>
      <c r="S35" s="600" t="str">
        <f t="shared" si="13"/>
        <v xml:space="preserve">* El Total de 'Adolescentes de Pueblos Originarios' debe ser menor o igual al Total Adolecentes 'Ambos sexos'. * El total de 'Adolescentes de Migrantes' debe ser menor o igual al Total Adolecentes 'Ambos sexos'. </v>
      </c>
      <c r="AL35" s="490" t="str">
        <f t="shared" si="14"/>
        <v xml:space="preserve">* El Total de 'Adolescentes de Pueblos Originarios' debe ser menor o igual al Total Adolecentes 'Ambos sexos'. </v>
      </c>
      <c r="AM35" s="490" t="str">
        <f t="shared" si="15"/>
        <v xml:space="preserve">* El total de 'Adolescentes de Migrantes' debe ser menor o igual al Total Adolecentes 'Ambos sexos'. </v>
      </c>
      <c r="AN35" s="465" t="str">
        <f t="shared" si="16"/>
        <v/>
      </c>
      <c r="AO35" s="465" t="str">
        <f t="shared" si="17"/>
        <v/>
      </c>
      <c r="AU35" s="581"/>
      <c r="AV35" s="581"/>
      <c r="AW35" s="677">
        <f t="shared" si="0"/>
        <v>1</v>
      </c>
      <c r="AX35" s="677">
        <f t="shared" si="1"/>
        <v>1</v>
      </c>
      <c r="AY35" s="613">
        <f t="shared" si="18"/>
        <v>0</v>
      </c>
      <c r="AZ35" s="613">
        <f t="shared" si="19"/>
        <v>0</v>
      </c>
    </row>
    <row r="36" spans="1:52" ht="13.5" customHeight="1" x14ac:dyDescent="0.2">
      <c r="A36" s="1787" t="s">
        <v>1053</v>
      </c>
      <c r="B36" s="1967"/>
      <c r="C36" s="117" t="s">
        <v>436</v>
      </c>
      <c r="D36" s="315" t="s">
        <v>1384</v>
      </c>
      <c r="E36" s="707" t="s">
        <v>1385</v>
      </c>
      <c r="F36" s="703" t="s">
        <v>1386</v>
      </c>
      <c r="G36" s="315" t="s">
        <v>1387</v>
      </c>
      <c r="H36" s="321" t="s">
        <v>1388</v>
      </c>
      <c r="I36" s="322" t="s">
        <v>1389</v>
      </c>
      <c r="J36" s="315" t="s">
        <v>1390</v>
      </c>
      <c r="K36" s="321" t="s">
        <v>1391</v>
      </c>
      <c r="L36" s="349" t="s">
        <v>1392</v>
      </c>
      <c r="M36" s="522" t="s">
        <v>1393</v>
      </c>
      <c r="N36" s="321" t="s">
        <v>1394</v>
      </c>
      <c r="O36" s="322" t="s">
        <v>1395</v>
      </c>
      <c r="P36" s="455" t="s">
        <v>1396</v>
      </c>
      <c r="Q36" s="321" t="s">
        <v>1397</v>
      </c>
      <c r="R36" s="322" t="s">
        <v>1398</v>
      </c>
      <c r="S36" s="600" t="str">
        <f t="shared" si="13"/>
        <v xml:space="preserve">* El Total de 'Adolescentes de Pueblos Originarios' debe ser menor o igual al Total Adolecentes 'Ambos sexos'. * El total de 'Adolescentes de Migrantes' debe ser menor o igual al Total Adolecentes 'Ambos sexos'. </v>
      </c>
      <c r="AL36" s="490" t="str">
        <f t="shared" si="14"/>
        <v xml:space="preserve">* El Total de 'Adolescentes de Pueblos Originarios' debe ser menor o igual al Total Adolecentes 'Ambos sexos'. </v>
      </c>
      <c r="AM36" s="490" t="str">
        <f t="shared" si="15"/>
        <v xml:space="preserve">* El total de 'Adolescentes de Migrantes' debe ser menor o igual al Total Adolecentes 'Ambos sexos'. </v>
      </c>
      <c r="AN36" s="465" t="str">
        <f t="shared" si="16"/>
        <v/>
      </c>
      <c r="AO36" s="465" t="str">
        <f t="shared" si="17"/>
        <v/>
      </c>
      <c r="AU36" s="581"/>
      <c r="AV36" s="581"/>
      <c r="AW36" s="677">
        <f t="shared" si="0"/>
        <v>1</v>
      </c>
      <c r="AX36" s="677">
        <f t="shared" si="1"/>
        <v>1</v>
      </c>
      <c r="AY36" s="613">
        <f t="shared" si="18"/>
        <v>0</v>
      </c>
      <c r="AZ36" s="613">
        <f t="shared" si="19"/>
        <v>0</v>
      </c>
    </row>
    <row r="37" spans="1:52" ht="13.5" customHeight="1" x14ac:dyDescent="0.2">
      <c r="A37" s="1787" t="s">
        <v>1054</v>
      </c>
      <c r="B37" s="1967"/>
      <c r="C37" s="118" t="s">
        <v>492</v>
      </c>
      <c r="D37" s="312" t="s">
        <v>1384</v>
      </c>
      <c r="E37" s="722" t="s">
        <v>1385</v>
      </c>
      <c r="F37" s="326" t="s">
        <v>1386</v>
      </c>
      <c r="G37" s="312" t="s">
        <v>1387</v>
      </c>
      <c r="H37" s="321" t="s">
        <v>1388</v>
      </c>
      <c r="I37" s="322" t="s">
        <v>1389</v>
      </c>
      <c r="J37" s="451" t="s">
        <v>1390</v>
      </c>
      <c r="K37" s="321" t="s">
        <v>1391</v>
      </c>
      <c r="L37" s="349" t="s">
        <v>1392</v>
      </c>
      <c r="M37" s="515" t="s">
        <v>1393</v>
      </c>
      <c r="N37" s="321" t="s">
        <v>1394</v>
      </c>
      <c r="O37" s="324" t="s">
        <v>1395</v>
      </c>
      <c r="P37" s="456" t="s">
        <v>1396</v>
      </c>
      <c r="Q37" s="321" t="s">
        <v>1397</v>
      </c>
      <c r="R37" s="322" t="s">
        <v>1398</v>
      </c>
      <c r="S37" s="600" t="str">
        <f t="shared" si="13"/>
        <v xml:space="preserve">* El Total de 'Adolescentes de Pueblos Originarios' debe ser menor o igual al Total Adolecentes 'Ambos sexos'. * El total de 'Adolescentes de Migrantes' debe ser menor o igual al Total Adolecentes 'Ambos sexos'. </v>
      </c>
      <c r="AL37" s="490" t="str">
        <f t="shared" si="14"/>
        <v xml:space="preserve">* El Total de 'Adolescentes de Pueblos Originarios' debe ser menor o igual al Total Adolecentes 'Ambos sexos'. </v>
      </c>
      <c r="AM37" s="490" t="str">
        <f t="shared" si="15"/>
        <v xml:space="preserve">* El total de 'Adolescentes de Migrantes' debe ser menor o igual al Total Adolecentes 'Ambos sexos'. </v>
      </c>
      <c r="AN37" s="465" t="str">
        <f t="shared" si="16"/>
        <v/>
      </c>
      <c r="AO37" s="465" t="str">
        <f t="shared" si="17"/>
        <v/>
      </c>
      <c r="AU37" s="581"/>
      <c r="AV37" s="581"/>
      <c r="AW37" s="677">
        <f t="shared" si="0"/>
        <v>1</v>
      </c>
      <c r="AX37" s="677">
        <f t="shared" si="1"/>
        <v>1</v>
      </c>
      <c r="AY37" s="613">
        <f t="shared" si="18"/>
        <v>0</v>
      </c>
      <c r="AZ37" s="613">
        <f t="shared" si="19"/>
        <v>0</v>
      </c>
    </row>
    <row r="38" spans="1:52" ht="16.5" customHeight="1" x14ac:dyDescent="0.2">
      <c r="A38" s="1788"/>
      <c r="B38" s="1967"/>
      <c r="C38" s="120" t="s">
        <v>108</v>
      </c>
      <c r="D38" s="697">
        <f t="shared" si="2"/>
        <v>0</v>
      </c>
      <c r="E38" s="698">
        <f>+H38+K38</f>
        <v>0</v>
      </c>
      <c r="F38" s="699">
        <f t="shared" si="3"/>
        <v>0</v>
      </c>
      <c r="G38" s="697">
        <f t="shared" ref="G38:R38" si="20">SUM(G32:G37)</f>
        <v>0</v>
      </c>
      <c r="H38" s="698">
        <f>SUM(H32:H37)</f>
        <v>0</v>
      </c>
      <c r="I38" s="699">
        <f t="shared" si="20"/>
        <v>0</v>
      </c>
      <c r="J38" s="697">
        <f>SUM(J32:J37)</f>
        <v>0</v>
      </c>
      <c r="K38" s="698">
        <f>SUM(K32:K37)</f>
        <v>0</v>
      </c>
      <c r="L38" s="728">
        <f t="shared" si="20"/>
        <v>0</v>
      </c>
      <c r="M38" s="700">
        <f t="shared" si="20"/>
        <v>0</v>
      </c>
      <c r="N38" s="698">
        <f>SUM(N32:N37)</f>
        <v>0</v>
      </c>
      <c r="O38" s="727">
        <f>SUM(O32:O37)</f>
        <v>0</v>
      </c>
      <c r="P38" s="1563">
        <f>SUM(P32:P37)</f>
        <v>0</v>
      </c>
      <c r="Q38" s="698">
        <f t="shared" si="20"/>
        <v>0</v>
      </c>
      <c r="R38" s="727">
        <f t="shared" si="20"/>
        <v>0</v>
      </c>
      <c r="AU38" s="581"/>
      <c r="AV38" s="581"/>
      <c r="AW38" s="581"/>
      <c r="AX38" s="581"/>
      <c r="AY38" s="581"/>
      <c r="AZ38" s="581"/>
    </row>
    <row r="39" spans="1:52" ht="27" customHeight="1" x14ac:dyDescent="0.2">
      <c r="A39" s="1787" t="s">
        <v>1055</v>
      </c>
      <c r="B39" s="1967"/>
      <c r="C39" s="253" t="s">
        <v>109</v>
      </c>
      <c r="D39" s="316" t="s">
        <v>1384</v>
      </c>
      <c r="E39" s="325" t="s">
        <v>1385</v>
      </c>
      <c r="F39" s="326" t="s">
        <v>1386</v>
      </c>
      <c r="G39" s="454" t="s">
        <v>1387</v>
      </c>
      <c r="H39" s="317" t="s">
        <v>1388</v>
      </c>
      <c r="I39" s="318" t="s">
        <v>1389</v>
      </c>
      <c r="J39" s="454" t="s">
        <v>1390</v>
      </c>
      <c r="K39" s="317" t="s">
        <v>1391</v>
      </c>
      <c r="L39" s="362" t="s">
        <v>1392</v>
      </c>
      <c r="M39" s="523" t="s">
        <v>1393</v>
      </c>
      <c r="N39" s="317" t="s">
        <v>1394</v>
      </c>
      <c r="O39" s="318" t="s">
        <v>1395</v>
      </c>
      <c r="P39" s="524" t="s">
        <v>1396</v>
      </c>
      <c r="Q39" s="317" t="s">
        <v>1397</v>
      </c>
      <c r="R39" s="318" t="s">
        <v>1398</v>
      </c>
      <c r="S39" s="600" t="str">
        <f>AL39 &amp; AM39 &amp; AN39 &amp; AO39</f>
        <v xml:space="preserve">* El Total de 'Adolescentes de Pueblos Originarios' debe ser menor o igual al Total Adolecentes 'Ambos sexos'. * El total de 'Adolescentes de Migrantes' debe ser menor o igual al Total Adolecentes 'Ambos sexos'. </v>
      </c>
      <c r="AL39" s="490" t="str">
        <f>IF($D39&lt;$M39, "* El Total de 'Adolescentes de Pueblos Originarios' debe ser menor o igual al Total Adolecentes 'Ambos sexos'. ", "")</f>
        <v xml:space="preserve">* El Total de 'Adolescentes de Pueblos Originarios' debe ser menor o igual al Total Adolecentes 'Ambos sexos'. </v>
      </c>
      <c r="AM39" s="490" t="str">
        <f>IF($D39&lt;$P39, "* El total de 'Adolescentes de Migrantes' debe ser menor o igual al Total Adolecentes 'Ambos sexos'. ", "")</f>
        <v xml:space="preserve">* El total de 'Adolescentes de Migrantes' debe ser menor o igual al Total Adolecentes 'Ambos sexos'. </v>
      </c>
      <c r="AN39" s="465" t="str">
        <f>IF(AND(E39&lt;&gt;0,N39=""),"* No olvide escribir en la celda de 'Pueblos Originarios' (Digite CERO si no tiene). ",IF(AND(F39&lt;&gt;0,O39=""),"* No olvide escribir en la celda de 'Pueblos Originarios' (Digite CERO si no tiene). ",""))</f>
        <v/>
      </c>
      <c r="AO39" s="465" t="str">
        <f>IF(AND(E39&lt;&gt;0,Q39=""),"* No olvide escribir en la celda de 'Población Migrantes' (Digite CERO si no tiene). ",IF(AND(F39&lt;&gt;0,R39=""),"* No olvide escribir en la celda de 'Población Migrantes' (Digite CERO si no tiene). ",""))</f>
        <v/>
      </c>
      <c r="AU39" s="581"/>
      <c r="AV39" s="581"/>
      <c r="AW39" s="677">
        <f t="shared" si="0"/>
        <v>1</v>
      </c>
      <c r="AX39" s="677">
        <f t="shared" si="1"/>
        <v>1</v>
      </c>
      <c r="AY39" s="613">
        <f>IF(AND(E39&lt;&gt;0,N39=""),1,IF(AND(F39&lt;&gt;0,O39=""),1,0))</f>
        <v>0</v>
      </c>
      <c r="AZ39" s="613">
        <f>IF(AND(E39&lt;&gt;0,Q39=""),1,IF(AND(F39&lt;&gt;0,R39=""),1,0))</f>
        <v>0</v>
      </c>
    </row>
    <row r="40" spans="1:52" ht="18" customHeight="1" x14ac:dyDescent="0.2">
      <c r="A40" s="1789"/>
      <c r="B40" s="1968"/>
      <c r="C40" s="121" t="s">
        <v>110</v>
      </c>
      <c r="D40" s="697" t="e">
        <f t="shared" ref="D40:J40" si="21">SUM(D32:D37)+D39</f>
        <v>#VALUE!</v>
      </c>
      <c r="E40" s="698" t="e">
        <f t="shared" si="21"/>
        <v>#VALUE!</v>
      </c>
      <c r="F40" s="729" t="e">
        <f t="shared" si="21"/>
        <v>#VALUE!</v>
      </c>
      <c r="G40" s="697" t="e">
        <f t="shared" si="21"/>
        <v>#VALUE!</v>
      </c>
      <c r="H40" s="698" t="e">
        <f t="shared" si="21"/>
        <v>#VALUE!</v>
      </c>
      <c r="I40" s="729" t="e">
        <f t="shared" si="21"/>
        <v>#VALUE!</v>
      </c>
      <c r="J40" s="697" t="e">
        <f t="shared" si="21"/>
        <v>#VALUE!</v>
      </c>
      <c r="K40" s="698" t="e">
        <f t="shared" ref="K40:R40" si="22">SUM(K32:K37)+K39</f>
        <v>#VALUE!</v>
      </c>
      <c r="L40" s="728" t="e">
        <f t="shared" si="22"/>
        <v>#VALUE!</v>
      </c>
      <c r="M40" s="700" t="e">
        <f>SUM(M32:M37)+M39</f>
        <v>#VALUE!</v>
      </c>
      <c r="N40" s="698" t="e">
        <f t="shared" si="22"/>
        <v>#VALUE!</v>
      </c>
      <c r="O40" s="727" t="e">
        <f t="shared" si="22"/>
        <v>#VALUE!</v>
      </c>
      <c r="P40" s="1563" t="e">
        <f>SUM(P32:P37)+P39</f>
        <v>#VALUE!</v>
      </c>
      <c r="Q40" s="698" t="e">
        <f t="shared" si="22"/>
        <v>#VALUE!</v>
      </c>
      <c r="R40" s="727" t="e">
        <f t="shared" si="22"/>
        <v>#VALUE!</v>
      </c>
      <c r="AU40" s="581"/>
      <c r="AV40" s="581"/>
      <c r="AW40" s="581"/>
      <c r="AX40" s="581"/>
      <c r="AY40" s="581"/>
      <c r="AZ40" s="581"/>
    </row>
    <row r="41" spans="1:52" ht="24.75" customHeight="1" x14ac:dyDescent="0.2">
      <c r="A41" s="1790"/>
      <c r="B41" s="240" t="s">
        <v>604</v>
      </c>
      <c r="AU41" s="581"/>
      <c r="AV41" s="581"/>
      <c r="AW41" s="581"/>
      <c r="AX41" s="581"/>
      <c r="AY41" s="581"/>
      <c r="AZ41" s="581"/>
    </row>
    <row r="42" spans="1:52" ht="12" customHeight="1" x14ac:dyDescent="0.2">
      <c r="A42" s="1790"/>
      <c r="B42" s="2438" t="s">
        <v>415</v>
      </c>
      <c r="C42" s="2439"/>
      <c r="D42" s="2251" t="s">
        <v>15</v>
      </c>
      <c r="E42" s="2210"/>
      <c r="F42" s="2252"/>
      <c r="G42" s="2432" t="s">
        <v>437</v>
      </c>
      <c r="H42" s="2388"/>
      <c r="I42" s="2310"/>
      <c r="J42" s="2432" t="s">
        <v>438</v>
      </c>
      <c r="K42" s="2388"/>
      <c r="L42" s="2433"/>
      <c r="M42" s="2304" t="s">
        <v>411</v>
      </c>
      <c r="N42" s="2388"/>
      <c r="O42" s="2310"/>
      <c r="P42" s="2388" t="s">
        <v>528</v>
      </c>
      <c r="Q42" s="2388"/>
      <c r="R42" s="2310"/>
      <c r="AU42" s="581"/>
      <c r="AV42" s="581"/>
      <c r="AW42" s="581"/>
      <c r="AX42" s="581"/>
      <c r="AY42" s="581"/>
      <c r="AZ42" s="581"/>
    </row>
    <row r="43" spans="1:52" ht="15" customHeight="1" x14ac:dyDescent="0.2">
      <c r="A43" s="1790"/>
      <c r="B43" s="2440"/>
      <c r="C43" s="2441"/>
      <c r="D43" s="2420"/>
      <c r="E43" s="2421"/>
      <c r="F43" s="2257"/>
      <c r="G43" s="2434"/>
      <c r="H43" s="2422"/>
      <c r="I43" s="2311"/>
      <c r="J43" s="2434"/>
      <c r="K43" s="2422"/>
      <c r="L43" s="2435"/>
      <c r="M43" s="2305"/>
      <c r="N43" s="2422"/>
      <c r="O43" s="2311"/>
      <c r="P43" s="2422"/>
      <c r="Q43" s="2422"/>
      <c r="R43" s="2311"/>
      <c r="AU43" s="581"/>
      <c r="AV43" s="581"/>
      <c r="AW43" s="581"/>
      <c r="AX43" s="581"/>
      <c r="AY43" s="581"/>
      <c r="AZ43" s="581"/>
    </row>
    <row r="44" spans="1:52" ht="0.75" customHeight="1" x14ac:dyDescent="0.2">
      <c r="A44" s="1790"/>
      <c r="B44" s="2440"/>
      <c r="C44" s="2441"/>
      <c r="D44" s="2420"/>
      <c r="E44" s="2421"/>
      <c r="F44" s="2257"/>
      <c r="G44" s="2436"/>
      <c r="H44" s="2389"/>
      <c r="I44" s="2312"/>
      <c r="J44" s="2436"/>
      <c r="K44" s="2389"/>
      <c r="L44" s="2437"/>
      <c r="M44" s="2306"/>
      <c r="N44" s="2389"/>
      <c r="O44" s="2312"/>
      <c r="P44" s="2389"/>
      <c r="Q44" s="2389"/>
      <c r="R44" s="2312"/>
      <c r="AU44" s="581"/>
      <c r="AV44" s="581"/>
      <c r="AW44" s="581"/>
      <c r="AX44" s="581"/>
      <c r="AY44" s="581"/>
      <c r="AZ44" s="581"/>
    </row>
    <row r="45" spans="1:52" ht="24" customHeight="1" x14ac:dyDescent="0.2">
      <c r="A45" s="1790"/>
      <c r="B45" s="2442"/>
      <c r="C45" s="2443"/>
      <c r="D45" s="525" t="s">
        <v>412</v>
      </c>
      <c r="E45" s="219" t="s">
        <v>460</v>
      </c>
      <c r="F45" s="231" t="s">
        <v>32</v>
      </c>
      <c r="G45" s="525" t="s">
        <v>412</v>
      </c>
      <c r="H45" s="219" t="s">
        <v>460</v>
      </c>
      <c r="I45" s="231" t="s">
        <v>32</v>
      </c>
      <c r="J45" s="525" t="s">
        <v>412</v>
      </c>
      <c r="K45" s="219" t="s">
        <v>460</v>
      </c>
      <c r="L45" s="447" t="s">
        <v>32</v>
      </c>
      <c r="M45" s="526" t="s">
        <v>412</v>
      </c>
      <c r="N45" s="219" t="s">
        <v>460</v>
      </c>
      <c r="O45" s="1564" t="s">
        <v>32</v>
      </c>
      <c r="P45" s="1565" t="s">
        <v>412</v>
      </c>
      <c r="Q45" s="219" t="s">
        <v>460</v>
      </c>
      <c r="R45" s="448" t="s">
        <v>32</v>
      </c>
      <c r="AU45" s="581"/>
      <c r="AV45" s="581"/>
      <c r="AW45" s="581"/>
      <c r="AX45" s="581"/>
      <c r="AY45" s="581"/>
      <c r="AZ45" s="581"/>
    </row>
    <row r="46" spans="1:52" ht="15" customHeight="1" x14ac:dyDescent="0.2">
      <c r="A46" s="1787" t="s">
        <v>1056</v>
      </c>
      <c r="B46" s="2476" t="s">
        <v>486</v>
      </c>
      <c r="C46" s="2477"/>
      <c r="D46" s="528" t="s">
        <v>1384</v>
      </c>
      <c r="E46" s="529" t="s">
        <v>1385</v>
      </c>
      <c r="F46" s="528" t="s">
        <v>1386</v>
      </c>
      <c r="G46" s="530" t="s">
        <v>1387</v>
      </c>
      <c r="H46" s="327" t="s">
        <v>1388</v>
      </c>
      <c r="I46" s="308" t="s">
        <v>1389</v>
      </c>
      <c r="J46" s="531" t="s">
        <v>1390</v>
      </c>
      <c r="K46" s="327" t="s">
        <v>1391</v>
      </c>
      <c r="L46" s="314" t="s">
        <v>1392</v>
      </c>
      <c r="M46" s="532" t="s">
        <v>1393</v>
      </c>
      <c r="N46" s="327" t="s">
        <v>1394</v>
      </c>
      <c r="O46" s="308" t="s">
        <v>1395</v>
      </c>
      <c r="P46" s="514" t="s">
        <v>1396</v>
      </c>
      <c r="Q46" s="327" t="s">
        <v>1397</v>
      </c>
      <c r="R46" s="308" t="s">
        <v>1398</v>
      </c>
      <c r="S46" s="600" t="str">
        <f t="shared" ref="S46:S51" si="23">AK46 &amp; " " &amp; AL46 &amp; AM46 &amp; AN46 &amp; AO46</f>
        <v xml:space="preserve"> * El total de Adolescentes de Pueblos Originarios no puede ser mayor al total de Adolescentes. * El total de Adolescentes de Migrantes no puede ser mayor al total de Adolescentes. </v>
      </c>
      <c r="AK46" s="490" t="str">
        <f>IF($D$12&lt;$D46, "* El total de Adolescentes según educacion y trabajono puede ser mayor al total de Adolescentes en control. ", "")</f>
        <v/>
      </c>
      <c r="AL46" s="490" t="str">
        <f t="shared" ref="AL46:AL51" si="24">IF($D46&lt;$M46, "* El total de Adolescentes de Pueblos Originarios no puede ser mayor al total de Adolescentes. ", "")</f>
        <v xml:space="preserve">* El total de Adolescentes de Pueblos Originarios no puede ser mayor al total de Adolescentes. </v>
      </c>
      <c r="AM46" s="490" t="str">
        <f t="shared" ref="AM46:AM51" si="25">IF($D46&lt;$P46, "* El total de Adolescentes de Migrantes no puede ser mayor al total de Adolescentes. ", "")</f>
        <v xml:space="preserve">* El total de Adolescentes de Migrantes no puede ser mayor al total de Adolescentes. </v>
      </c>
      <c r="AN46" s="465" t="str">
        <f t="shared" ref="AN46:AN51" si="26">IF(AND(E46&lt;&gt;0,N46=""),"* No olvide escribir en la celda de Pueblos Originarios (Digite CERO si no tiene). ",IF(AND(F46&lt;&gt;0,O46=""),"* No olvide escribir en la celda de Pueblos Originarios (Digite CERO si no tiene). ",""))</f>
        <v/>
      </c>
      <c r="AO46" s="465" t="str">
        <f t="shared" ref="AO46:AO51" si="27">IF(AND(E46&lt;&gt;0,Q46=""),"* No olvide escribir en la celda de Población Migrantes (Digite CERO si no tiene). ",IF(AND(F46&lt;&gt;0,R46=""),"* No olvide escribir en la celda de Población Migrantes (Digite CERO si no tiene). ",""))</f>
        <v/>
      </c>
      <c r="AU46" s="581"/>
      <c r="AV46" s="677">
        <f>IF($D$12&lt;$D46, 1,0)</f>
        <v>0</v>
      </c>
      <c r="AW46" s="677">
        <f t="shared" ref="AW46:AW51" si="28">IF($D46&lt;$M46, 1,0)</f>
        <v>1</v>
      </c>
      <c r="AX46" s="677">
        <f t="shared" ref="AX46:AX51" si="29">IF($D46&lt;$P46, 1,0)</f>
        <v>1</v>
      </c>
      <c r="AY46" s="613">
        <f t="shared" ref="AY46:AY51" si="30">IF(AND(E46&lt;&gt;0,N46=""),1,IF(AND(F46&lt;&gt;0,O46=""),1,0))</f>
        <v>0</v>
      </c>
      <c r="AZ46" s="613">
        <f t="shared" ref="AZ46:AZ51" si="31">IF(AND(E46&lt;&gt;0,Q46=""),1,IF(AND(F46&lt;&gt;0,R46=""),1,0))</f>
        <v>0</v>
      </c>
    </row>
    <row r="47" spans="1:52" ht="15" customHeight="1" x14ac:dyDescent="0.2">
      <c r="A47" s="1787" t="s">
        <v>1057</v>
      </c>
      <c r="B47" s="2465" t="s">
        <v>487</v>
      </c>
      <c r="C47" s="2466"/>
      <c r="D47" s="533" t="s">
        <v>1384</v>
      </c>
      <c r="E47" s="534" t="s">
        <v>1385</v>
      </c>
      <c r="F47" s="533" t="s">
        <v>1386</v>
      </c>
      <c r="G47" s="535" t="s">
        <v>1387</v>
      </c>
      <c r="H47" s="327" t="s">
        <v>1388</v>
      </c>
      <c r="I47" s="308" t="s">
        <v>1389</v>
      </c>
      <c r="J47" s="536" t="s">
        <v>1390</v>
      </c>
      <c r="K47" s="327" t="s">
        <v>1391</v>
      </c>
      <c r="L47" s="314" t="s">
        <v>1392</v>
      </c>
      <c r="M47" s="537" t="s">
        <v>1393</v>
      </c>
      <c r="N47" s="327" t="s">
        <v>1394</v>
      </c>
      <c r="O47" s="308" t="s">
        <v>1395</v>
      </c>
      <c r="P47" s="455" t="s">
        <v>1396</v>
      </c>
      <c r="Q47" s="327" t="s">
        <v>1397</v>
      </c>
      <c r="R47" s="308" t="s">
        <v>1398</v>
      </c>
      <c r="S47" s="600" t="str">
        <f t="shared" si="23"/>
        <v xml:space="preserve"> * El total de Adolescentes de Pueblos Originarios no puede ser mayor al total de Adolescentes. * El total de Adolescentes de Migrantes no puede ser mayor al total de Adolescentes. </v>
      </c>
      <c r="AK47" s="490" t="str">
        <f>IF($D$12&lt;$D47, "* El total de Adolescentes según educacion y trabajo no puede ser mayor al total de Adolescentes en control. ", "")</f>
        <v/>
      </c>
      <c r="AL47" s="490" t="str">
        <f t="shared" si="24"/>
        <v xml:space="preserve">* El total de Adolescentes de Pueblos Originarios no puede ser mayor al total de Adolescentes. </v>
      </c>
      <c r="AM47" s="490" t="str">
        <f t="shared" si="25"/>
        <v xml:space="preserve">* El total de Adolescentes de Migrantes no puede ser mayor al total de Adolescentes. </v>
      </c>
      <c r="AN47" s="465" t="str">
        <f t="shared" si="26"/>
        <v/>
      </c>
      <c r="AO47" s="465" t="str">
        <f t="shared" si="27"/>
        <v/>
      </c>
      <c r="AU47" s="581"/>
      <c r="AV47" s="677">
        <f t="shared" ref="AV47:AV77" si="32">IF($D$12&lt;$D47, 1,0)</f>
        <v>0</v>
      </c>
      <c r="AW47" s="677">
        <f t="shared" si="28"/>
        <v>1</v>
      </c>
      <c r="AX47" s="677">
        <f t="shared" si="29"/>
        <v>1</v>
      </c>
      <c r="AY47" s="613">
        <f t="shared" si="30"/>
        <v>0</v>
      </c>
      <c r="AZ47" s="613">
        <f t="shared" si="31"/>
        <v>0</v>
      </c>
    </row>
    <row r="48" spans="1:52" ht="15" customHeight="1" x14ac:dyDescent="0.2">
      <c r="A48" s="1787" t="s">
        <v>1058</v>
      </c>
      <c r="B48" s="2465" t="s">
        <v>491</v>
      </c>
      <c r="C48" s="2466"/>
      <c r="D48" s="533" t="s">
        <v>1384</v>
      </c>
      <c r="E48" s="534" t="s">
        <v>1385</v>
      </c>
      <c r="F48" s="533" t="s">
        <v>1386</v>
      </c>
      <c r="G48" s="535" t="s">
        <v>1387</v>
      </c>
      <c r="H48" s="327" t="s">
        <v>1388</v>
      </c>
      <c r="I48" s="308" t="s">
        <v>1389</v>
      </c>
      <c r="J48" s="536" t="s">
        <v>1390</v>
      </c>
      <c r="K48" s="351" t="s">
        <v>1391</v>
      </c>
      <c r="L48" s="353" t="s">
        <v>1392</v>
      </c>
      <c r="M48" s="537" t="s">
        <v>1393</v>
      </c>
      <c r="N48" s="327" t="s">
        <v>1394</v>
      </c>
      <c r="O48" s="308" t="s">
        <v>1395</v>
      </c>
      <c r="P48" s="455" t="s">
        <v>1396</v>
      </c>
      <c r="Q48" s="327" t="s">
        <v>1397</v>
      </c>
      <c r="R48" s="308" t="s">
        <v>1398</v>
      </c>
      <c r="S48" s="600" t="str">
        <f t="shared" si="23"/>
        <v xml:space="preserve"> * El total de Adolescentes de Pueblos Originarios no puede ser mayor al total de Adolescentes. * El total de Adolescentes de Migrantes no puede ser mayor al total de Adolescentes. </v>
      </c>
      <c r="AK48" s="490" t="str">
        <f>IF($D$12&lt;$D48, "* El total de Adolescentes según educacion y trabajo no puede ser mayor al total de Adolescentes en control. ", "")</f>
        <v/>
      </c>
      <c r="AL48" s="490" t="str">
        <f t="shared" si="24"/>
        <v xml:space="preserve">* El total de Adolescentes de Pueblos Originarios no puede ser mayor al total de Adolescentes. </v>
      </c>
      <c r="AM48" s="490" t="str">
        <f t="shared" si="25"/>
        <v xml:space="preserve">* El total de Adolescentes de Migrantes no puede ser mayor al total de Adolescentes. </v>
      </c>
      <c r="AN48" s="465" t="str">
        <f t="shared" si="26"/>
        <v/>
      </c>
      <c r="AO48" s="465" t="str">
        <f t="shared" si="27"/>
        <v/>
      </c>
      <c r="AU48" s="581"/>
      <c r="AV48" s="677">
        <f t="shared" si="32"/>
        <v>0</v>
      </c>
      <c r="AW48" s="677">
        <f t="shared" si="28"/>
        <v>1</v>
      </c>
      <c r="AX48" s="677">
        <f t="shared" si="29"/>
        <v>1</v>
      </c>
      <c r="AY48" s="613">
        <f t="shared" si="30"/>
        <v>0</v>
      </c>
      <c r="AZ48" s="613">
        <f t="shared" si="31"/>
        <v>0</v>
      </c>
    </row>
    <row r="49" spans="1:52" ht="15" customHeight="1" x14ac:dyDescent="0.2">
      <c r="A49" s="1787" t="s">
        <v>1059</v>
      </c>
      <c r="B49" s="2465" t="s">
        <v>488</v>
      </c>
      <c r="C49" s="2466"/>
      <c r="D49" s="533" t="s">
        <v>1384</v>
      </c>
      <c r="E49" s="534" t="s">
        <v>1385</v>
      </c>
      <c r="F49" s="533" t="s">
        <v>1386</v>
      </c>
      <c r="G49" s="535" t="s">
        <v>1387</v>
      </c>
      <c r="H49" s="351" t="s">
        <v>1388</v>
      </c>
      <c r="I49" s="352" t="s">
        <v>1389</v>
      </c>
      <c r="J49" s="535" t="s">
        <v>1390</v>
      </c>
      <c r="K49" s="327" t="s">
        <v>1391</v>
      </c>
      <c r="L49" s="314" t="s">
        <v>1392</v>
      </c>
      <c r="M49" s="538" t="s">
        <v>1393</v>
      </c>
      <c r="N49" s="327" t="s">
        <v>1394</v>
      </c>
      <c r="O49" s="308" t="s">
        <v>1395</v>
      </c>
      <c r="P49" s="539" t="s">
        <v>1396</v>
      </c>
      <c r="Q49" s="327" t="s">
        <v>1397</v>
      </c>
      <c r="R49" s="308" t="s">
        <v>1398</v>
      </c>
      <c r="S49" s="600" t="str">
        <f t="shared" si="23"/>
        <v xml:space="preserve"> * El total de Adolescentes de Pueblos Originarios no puede ser mayor al total de Adolescentes. * El total de Adolescentes de Migrantes no puede ser mayor al total de Adolescentes. </v>
      </c>
      <c r="AK49" s="490" t="str">
        <f>IF($D$12&lt;$D49, "* El total de Adolescentes según educacion y trabajo no puede ser mayor al total de Adolescentes en control. ", "")</f>
        <v/>
      </c>
      <c r="AL49" s="490" t="str">
        <f t="shared" si="24"/>
        <v xml:space="preserve">* El total de Adolescentes de Pueblos Originarios no puede ser mayor al total de Adolescentes. </v>
      </c>
      <c r="AM49" s="490" t="str">
        <f t="shared" si="25"/>
        <v xml:space="preserve">* El total de Adolescentes de Migrantes no puede ser mayor al total de Adolescentes. </v>
      </c>
      <c r="AN49" s="465" t="str">
        <f t="shared" si="26"/>
        <v/>
      </c>
      <c r="AO49" s="465" t="str">
        <f t="shared" si="27"/>
        <v/>
      </c>
      <c r="AU49" s="581"/>
      <c r="AV49" s="677">
        <f t="shared" si="32"/>
        <v>0</v>
      </c>
      <c r="AW49" s="677">
        <f t="shared" si="28"/>
        <v>1</v>
      </c>
      <c r="AX49" s="677">
        <f t="shared" si="29"/>
        <v>1</v>
      </c>
      <c r="AY49" s="613">
        <f t="shared" si="30"/>
        <v>0</v>
      </c>
      <c r="AZ49" s="613">
        <f t="shared" si="31"/>
        <v>0</v>
      </c>
    </row>
    <row r="50" spans="1:52" ht="15" customHeight="1" x14ac:dyDescent="0.2">
      <c r="A50" s="1787" t="s">
        <v>1060</v>
      </c>
      <c r="B50" s="2465" t="s">
        <v>489</v>
      </c>
      <c r="C50" s="2466"/>
      <c r="D50" s="533" t="s">
        <v>1384</v>
      </c>
      <c r="E50" s="534" t="s">
        <v>1385</v>
      </c>
      <c r="F50" s="533" t="s">
        <v>1386</v>
      </c>
      <c r="G50" s="535" t="s">
        <v>1387</v>
      </c>
      <c r="H50" s="328" t="s">
        <v>1388</v>
      </c>
      <c r="I50" s="322" t="s">
        <v>1389</v>
      </c>
      <c r="J50" s="536" t="s">
        <v>1390</v>
      </c>
      <c r="K50" s="327" t="s">
        <v>1391</v>
      </c>
      <c r="L50" s="314" t="s">
        <v>1392</v>
      </c>
      <c r="M50" s="522" t="s">
        <v>1393</v>
      </c>
      <c r="N50" s="327" t="s">
        <v>1394</v>
      </c>
      <c r="O50" s="308" t="s">
        <v>1395</v>
      </c>
      <c r="P50" s="455" t="s">
        <v>1396</v>
      </c>
      <c r="Q50" s="327" t="s">
        <v>1397</v>
      </c>
      <c r="R50" s="308" t="s">
        <v>1398</v>
      </c>
      <c r="S50" s="600" t="str">
        <f t="shared" si="23"/>
        <v xml:space="preserve"> * El total de Adolescentes de Pueblos Originarios no puede ser mayor al total de Adolescentes. * El total de Adolescentes de Migrantes no puede ser mayor al total de Adolescentes. </v>
      </c>
      <c r="AK50" s="490" t="str">
        <f>IF($D$12&lt;$D50, "* El total de Adolescentes según educacion y trabajo no puede ser mayor al total de Adolescentes en control. ", "")</f>
        <v/>
      </c>
      <c r="AL50" s="490" t="str">
        <f t="shared" si="24"/>
        <v xml:space="preserve">* El total de Adolescentes de Pueblos Originarios no puede ser mayor al total de Adolescentes. </v>
      </c>
      <c r="AM50" s="490" t="str">
        <f t="shared" si="25"/>
        <v xml:space="preserve">* El total de Adolescentes de Migrantes no puede ser mayor al total de Adolescentes. </v>
      </c>
      <c r="AN50" s="465" t="str">
        <f t="shared" si="26"/>
        <v/>
      </c>
      <c r="AO50" s="465" t="str">
        <f t="shared" si="27"/>
        <v/>
      </c>
      <c r="AU50" s="581"/>
      <c r="AV50" s="677">
        <f t="shared" si="32"/>
        <v>0</v>
      </c>
      <c r="AW50" s="677">
        <f t="shared" si="28"/>
        <v>1</v>
      </c>
      <c r="AX50" s="677">
        <f t="shared" si="29"/>
        <v>1</v>
      </c>
      <c r="AY50" s="613">
        <f t="shared" si="30"/>
        <v>0</v>
      </c>
      <c r="AZ50" s="613">
        <f t="shared" si="31"/>
        <v>0</v>
      </c>
    </row>
    <row r="51" spans="1:52" ht="18" customHeight="1" x14ac:dyDescent="0.2">
      <c r="A51" s="1787" t="s">
        <v>1061</v>
      </c>
      <c r="B51" s="2474" t="s">
        <v>490</v>
      </c>
      <c r="C51" s="2475"/>
      <c r="D51" s="540" t="s">
        <v>1384</v>
      </c>
      <c r="E51" s="541" t="s">
        <v>1385</v>
      </c>
      <c r="F51" s="540" t="s">
        <v>1386</v>
      </c>
      <c r="G51" s="542" t="s">
        <v>1387</v>
      </c>
      <c r="H51" s="323" t="s">
        <v>1388</v>
      </c>
      <c r="I51" s="324" t="s">
        <v>1389</v>
      </c>
      <c r="J51" s="543" t="s">
        <v>1390</v>
      </c>
      <c r="K51" s="338" t="s">
        <v>1391</v>
      </c>
      <c r="L51" s="339" t="s">
        <v>1392</v>
      </c>
      <c r="M51" s="515" t="s">
        <v>1393</v>
      </c>
      <c r="N51" s="338" t="s">
        <v>1394</v>
      </c>
      <c r="O51" s="324" t="s">
        <v>1395</v>
      </c>
      <c r="P51" s="456" t="s">
        <v>1396</v>
      </c>
      <c r="Q51" s="338" t="s">
        <v>1397</v>
      </c>
      <c r="R51" s="324" t="s">
        <v>1398</v>
      </c>
      <c r="S51" s="600" t="str">
        <f t="shared" si="23"/>
        <v xml:space="preserve"> * El total de Adolescentes de Pueblos Originarios no puede ser mayor al total de Adolescentes. * El total de Adolescentes de Migrantes no puede ser mayor al total de Adolescentes. </v>
      </c>
      <c r="AK51" s="490" t="str">
        <f>IF($D$12&lt;$D51, "* El total de Adolescentes según educacion y trabajo no puede ser mayor al total de Adolescentes en control. ", "")</f>
        <v/>
      </c>
      <c r="AL51" s="490" t="str">
        <f t="shared" si="24"/>
        <v xml:space="preserve">* El total de Adolescentes de Pueblos Originarios no puede ser mayor al total de Adolescentes. </v>
      </c>
      <c r="AM51" s="490" t="str">
        <f t="shared" si="25"/>
        <v xml:space="preserve">* El total de Adolescentes de Migrantes no puede ser mayor al total de Adolescentes. </v>
      </c>
      <c r="AN51" s="465" t="str">
        <f t="shared" si="26"/>
        <v/>
      </c>
      <c r="AO51" s="465" t="str">
        <f t="shared" si="27"/>
        <v/>
      </c>
      <c r="AU51" s="581"/>
      <c r="AV51" s="677">
        <f t="shared" si="32"/>
        <v>0</v>
      </c>
      <c r="AW51" s="677">
        <f t="shared" si="28"/>
        <v>1</v>
      </c>
      <c r="AX51" s="677">
        <f t="shared" si="29"/>
        <v>1</v>
      </c>
      <c r="AY51" s="613">
        <f t="shared" si="30"/>
        <v>0</v>
      </c>
      <c r="AZ51" s="613">
        <f t="shared" si="31"/>
        <v>0</v>
      </c>
    </row>
    <row r="52" spans="1:52" ht="22.5" customHeight="1" x14ac:dyDescent="0.2">
      <c r="A52" s="1790"/>
      <c r="B52" s="240" t="s">
        <v>605</v>
      </c>
      <c r="S52" s="600"/>
      <c r="AU52" s="581"/>
      <c r="AV52" s="581"/>
      <c r="AW52" s="581"/>
      <c r="AX52" s="581"/>
      <c r="AY52" s="581"/>
      <c r="AZ52" s="581"/>
    </row>
    <row r="53" spans="1:52" ht="15" customHeight="1" x14ac:dyDescent="0.2">
      <c r="A53" s="1790"/>
      <c r="B53" s="2479" t="s">
        <v>416</v>
      </c>
      <c r="C53" s="2479"/>
      <c r="D53" s="2251" t="s">
        <v>15</v>
      </c>
      <c r="E53" s="2210"/>
      <c r="F53" s="2252"/>
      <c r="G53" s="2432" t="s">
        <v>437</v>
      </c>
      <c r="H53" s="2446"/>
      <c r="I53" s="2307"/>
      <c r="J53" s="2458" t="s">
        <v>438</v>
      </c>
      <c r="K53" s="2458"/>
      <c r="L53" s="2459"/>
      <c r="M53" s="2304" t="s">
        <v>411</v>
      </c>
      <c r="N53" s="2446"/>
      <c r="O53" s="2307"/>
      <c r="P53" s="2423" t="s">
        <v>528</v>
      </c>
      <c r="Q53" s="2424"/>
      <c r="R53" s="2424"/>
      <c r="S53" s="544"/>
      <c r="T53" s="544"/>
      <c r="AU53" s="581"/>
      <c r="AV53" s="581"/>
      <c r="AW53" s="581"/>
      <c r="AX53" s="581"/>
      <c r="AY53" s="581"/>
      <c r="AZ53" s="581"/>
    </row>
    <row r="54" spans="1:52" ht="14.25" x14ac:dyDescent="0.2">
      <c r="A54" s="1790"/>
      <c r="B54" s="2479"/>
      <c r="C54" s="2479"/>
      <c r="D54" s="2420"/>
      <c r="E54" s="2421"/>
      <c r="F54" s="2257"/>
      <c r="G54" s="2455"/>
      <c r="H54" s="2456"/>
      <c r="I54" s="2308"/>
      <c r="J54" s="2458"/>
      <c r="K54" s="2458"/>
      <c r="L54" s="2459"/>
      <c r="M54" s="2447"/>
      <c r="N54" s="2448"/>
      <c r="O54" s="2308"/>
      <c r="P54" s="2425"/>
      <c r="Q54" s="2424"/>
      <c r="R54" s="2424"/>
      <c r="S54" s="544"/>
      <c r="T54" s="544"/>
      <c r="AU54" s="581"/>
      <c r="AV54" s="581"/>
      <c r="AW54" s="581"/>
      <c r="AX54" s="581"/>
      <c r="AY54" s="581"/>
      <c r="AZ54" s="581"/>
    </row>
    <row r="55" spans="1:52" ht="14.25" x14ac:dyDescent="0.2">
      <c r="A55" s="1790"/>
      <c r="B55" s="2479"/>
      <c r="C55" s="2479"/>
      <c r="D55" s="2420"/>
      <c r="E55" s="2421"/>
      <c r="F55" s="2257"/>
      <c r="G55" s="2457"/>
      <c r="H55" s="2450"/>
      <c r="I55" s="2309"/>
      <c r="J55" s="2458"/>
      <c r="K55" s="2458"/>
      <c r="L55" s="2459"/>
      <c r="M55" s="2449"/>
      <c r="N55" s="2450"/>
      <c r="O55" s="2309"/>
      <c r="P55" s="2425"/>
      <c r="Q55" s="2424"/>
      <c r="R55" s="2424"/>
      <c r="S55" s="544"/>
      <c r="T55" s="544"/>
      <c r="AU55" s="581"/>
      <c r="AV55" s="581"/>
      <c r="AW55" s="581"/>
      <c r="AX55" s="581"/>
      <c r="AY55" s="581"/>
      <c r="AZ55" s="581"/>
    </row>
    <row r="56" spans="1:52" ht="27" customHeight="1" x14ac:dyDescent="0.2">
      <c r="A56" s="1790"/>
      <c r="B56" s="2479"/>
      <c r="C56" s="2479"/>
      <c r="D56" s="525" t="s">
        <v>412</v>
      </c>
      <c r="E56" s="219" t="s">
        <v>460</v>
      </c>
      <c r="F56" s="231" t="s">
        <v>32</v>
      </c>
      <c r="G56" s="525" t="s">
        <v>412</v>
      </c>
      <c r="H56" s="219" t="s">
        <v>460</v>
      </c>
      <c r="I56" s="231" t="s">
        <v>32</v>
      </c>
      <c r="J56" s="525" t="s">
        <v>412</v>
      </c>
      <c r="K56" s="219" t="s">
        <v>460</v>
      </c>
      <c r="L56" s="446" t="s">
        <v>32</v>
      </c>
      <c r="M56" s="526" t="s">
        <v>412</v>
      </c>
      <c r="N56" s="219" t="s">
        <v>460</v>
      </c>
      <c r="O56" s="1564" t="s">
        <v>32</v>
      </c>
      <c r="P56" s="527" t="s">
        <v>412</v>
      </c>
      <c r="Q56" s="219" t="s">
        <v>460</v>
      </c>
      <c r="R56" s="254" t="s">
        <v>32</v>
      </c>
      <c r="S56" s="568"/>
      <c r="T56" s="568"/>
      <c r="AU56" s="581"/>
      <c r="AV56" s="581"/>
      <c r="AW56" s="581"/>
      <c r="AX56" s="581"/>
      <c r="AY56" s="581"/>
      <c r="AZ56" s="581"/>
    </row>
    <row r="57" spans="1:52" ht="15.75" customHeight="1" x14ac:dyDescent="0.2">
      <c r="A57" s="1787" t="s">
        <v>1062</v>
      </c>
      <c r="B57" s="2451" t="s">
        <v>480</v>
      </c>
      <c r="C57" s="2451"/>
      <c r="D57" s="545" t="s">
        <v>1384</v>
      </c>
      <c r="E57" s="546" t="s">
        <v>1385</v>
      </c>
      <c r="F57" s="547" t="s">
        <v>1386</v>
      </c>
      <c r="G57" s="545" t="s">
        <v>1387</v>
      </c>
      <c r="H57" s="327" t="s">
        <v>1388</v>
      </c>
      <c r="I57" s="308" t="s">
        <v>1389</v>
      </c>
      <c r="J57" s="548" t="s">
        <v>1390</v>
      </c>
      <c r="K57" s="327" t="s">
        <v>1391</v>
      </c>
      <c r="L57" s="331" t="s">
        <v>1392</v>
      </c>
      <c r="M57" s="549" t="s">
        <v>1393</v>
      </c>
      <c r="N57" s="327" t="s">
        <v>1394</v>
      </c>
      <c r="O57" s="308" t="s">
        <v>1395</v>
      </c>
      <c r="P57" s="550" t="s">
        <v>1396</v>
      </c>
      <c r="Q57" s="327" t="s">
        <v>1397</v>
      </c>
      <c r="R57" s="308" t="s">
        <v>1398</v>
      </c>
      <c r="S57" s="600" t="str">
        <f t="shared" ref="S57:S62" si="33">AK57 &amp; " " &amp; AL57 &amp; AM57 &amp; AN57 &amp; AO57</f>
        <v xml:space="preserve"> * El total de Adolescentes de Pueblos Originarios no puede ser mayor al total de Adolescentes. * El total de Adolescentes de Migrantes no puede ser mayor al total de Adolescentes. </v>
      </c>
      <c r="AK57" s="490" t="str">
        <f>IF($D$12&lt;$D57, "* El total de Adolescentes según areas de riesgo no puede ser mayor al total de Adolescentes en control. ", "")</f>
        <v/>
      </c>
      <c r="AL57" s="490" t="str">
        <f t="shared" ref="AL57:AL62" si="34">IF($D57&lt;$M57, "* El total de Adolescentes de Pueblos Originarios no puede ser mayor al total de Adolescentes. ", "")</f>
        <v xml:space="preserve">* El total de Adolescentes de Pueblos Originarios no puede ser mayor al total de Adolescentes. </v>
      </c>
      <c r="AM57" s="490" t="str">
        <f t="shared" ref="AM57:AM62" si="35">IF($D57&lt;$P57, "* El total de Adolescentes de Migrantes no puede ser mayor al total de Adolescentes. ", "")</f>
        <v xml:space="preserve">* El total de Adolescentes de Migrantes no puede ser mayor al total de Adolescentes. </v>
      </c>
      <c r="AN57" s="465" t="str">
        <f t="shared" ref="AN57:AN62" si="36">IF(AND(E57&lt;&gt;0,N57=""),"* No olvide escribir en la celda de Pueblos Originarios (Digite CERO si no tiene). ",IF(AND(F57&lt;&gt;0,O57=""),"* No olvide escribir en la celda de Pueblos Originarios (Digite CERO si no tiene). ",""))</f>
        <v/>
      </c>
      <c r="AO57" s="465" t="str">
        <f t="shared" ref="AO57:AO62" si="37">IF(AND(E57&lt;&gt;0,Q57=""),"* No olvide escribir en la celda de Población Migrantes (Digite CERO si no tiene). ",IF(AND(F57&lt;&gt;0,R57=""),"* No olvide escribir en la celda de Población Migrantes (Digite CERO si no tiene). ",""))</f>
        <v/>
      </c>
      <c r="AU57" s="581"/>
      <c r="AV57" s="677">
        <f t="shared" si="32"/>
        <v>0</v>
      </c>
      <c r="AW57" s="677">
        <f t="shared" ref="AW57:AW62" si="38">IF($D57&lt;$M57, 1,0)</f>
        <v>1</v>
      </c>
      <c r="AX57" s="677">
        <f t="shared" ref="AX57:AX62" si="39">IF($D57&lt;$P57, 1,0)</f>
        <v>1</v>
      </c>
      <c r="AY57" s="613">
        <f t="shared" ref="AY57:AY62" si="40">IF(AND(E57&lt;&gt;0,N57=""),1,IF(AND(F57&lt;&gt;0,O57=""),1,0))</f>
        <v>0</v>
      </c>
      <c r="AZ57" s="613">
        <f t="shared" ref="AZ57:AZ62" si="41">IF(AND(E57&lt;&gt;0,Q57=""),1,IF(AND(F57&lt;&gt;0,R57=""),1,0))</f>
        <v>0</v>
      </c>
    </row>
    <row r="58" spans="1:52" ht="15.75" customHeight="1" x14ac:dyDescent="0.2">
      <c r="A58" s="1787" t="s">
        <v>1063</v>
      </c>
      <c r="B58" s="2452" t="s">
        <v>481</v>
      </c>
      <c r="C58" s="2452"/>
      <c r="D58" s="551" t="s">
        <v>1384</v>
      </c>
      <c r="E58" s="552" t="s">
        <v>1385</v>
      </c>
      <c r="F58" s="539" t="s">
        <v>1386</v>
      </c>
      <c r="G58" s="551" t="s">
        <v>1387</v>
      </c>
      <c r="H58" s="327" t="s">
        <v>1388</v>
      </c>
      <c r="I58" s="308" t="s">
        <v>1389</v>
      </c>
      <c r="J58" s="553" t="s">
        <v>1390</v>
      </c>
      <c r="K58" s="327" t="s">
        <v>1391</v>
      </c>
      <c r="L58" s="331" t="s">
        <v>1392</v>
      </c>
      <c r="M58" s="554" t="s">
        <v>1393</v>
      </c>
      <c r="N58" s="327" t="s">
        <v>1394</v>
      </c>
      <c r="O58" s="308" t="s">
        <v>1395</v>
      </c>
      <c r="P58" s="555" t="s">
        <v>1396</v>
      </c>
      <c r="Q58" s="327" t="s">
        <v>1397</v>
      </c>
      <c r="R58" s="308" t="s">
        <v>1398</v>
      </c>
      <c r="S58" s="600" t="str">
        <f t="shared" si="33"/>
        <v xml:space="preserve"> * El total de Adolescentes de Pueblos Originarios no puede ser mayor al total de Adolescentes. * El total de Adolescentes de Migrantes no puede ser mayor al total de Adolescentes. </v>
      </c>
      <c r="AK58" s="490" t="str">
        <f>IF($D$12&lt;$D58, "* El total de Adolescentes según areas de riesgo no puede ser mayor al total de Adolescentes en control. ", "")</f>
        <v/>
      </c>
      <c r="AL58" s="490" t="str">
        <f t="shared" si="34"/>
        <v xml:space="preserve">* El total de Adolescentes de Pueblos Originarios no puede ser mayor al total de Adolescentes. </v>
      </c>
      <c r="AM58" s="490" t="str">
        <f t="shared" si="35"/>
        <v xml:space="preserve">* El total de Adolescentes de Migrantes no puede ser mayor al total de Adolescentes. </v>
      </c>
      <c r="AN58" s="465" t="str">
        <f t="shared" si="36"/>
        <v/>
      </c>
      <c r="AO58" s="465" t="str">
        <f t="shared" si="37"/>
        <v/>
      </c>
      <c r="AU58" s="581"/>
      <c r="AV58" s="677">
        <f t="shared" si="32"/>
        <v>0</v>
      </c>
      <c r="AW58" s="677">
        <f t="shared" si="38"/>
        <v>1</v>
      </c>
      <c r="AX58" s="677">
        <f t="shared" si="39"/>
        <v>1</v>
      </c>
      <c r="AY58" s="613">
        <f t="shared" si="40"/>
        <v>0</v>
      </c>
      <c r="AZ58" s="613">
        <f t="shared" si="41"/>
        <v>0</v>
      </c>
    </row>
    <row r="59" spans="1:52" ht="15.75" customHeight="1" x14ac:dyDescent="0.2">
      <c r="A59" s="1787" t="s">
        <v>1064</v>
      </c>
      <c r="B59" s="2453" t="s">
        <v>482</v>
      </c>
      <c r="C59" s="2454"/>
      <c r="D59" s="455" t="s">
        <v>1384</v>
      </c>
      <c r="E59" s="556" t="s">
        <v>1385</v>
      </c>
      <c r="F59" s="455" t="s">
        <v>1386</v>
      </c>
      <c r="G59" s="455" t="s">
        <v>1387</v>
      </c>
      <c r="H59" s="327" t="s">
        <v>1388</v>
      </c>
      <c r="I59" s="308" t="s">
        <v>1389</v>
      </c>
      <c r="J59" s="553" t="s">
        <v>1390</v>
      </c>
      <c r="K59" s="327" t="s">
        <v>1391</v>
      </c>
      <c r="L59" s="331" t="s">
        <v>1392</v>
      </c>
      <c r="M59" s="554" t="s">
        <v>1393</v>
      </c>
      <c r="N59" s="327" t="s">
        <v>1394</v>
      </c>
      <c r="O59" s="308" t="s">
        <v>1395</v>
      </c>
      <c r="P59" s="555" t="s">
        <v>1396</v>
      </c>
      <c r="Q59" s="327" t="s">
        <v>1397</v>
      </c>
      <c r="R59" s="308" t="s">
        <v>1398</v>
      </c>
      <c r="S59" s="600" t="str">
        <f t="shared" si="33"/>
        <v xml:space="preserve"> * El total de Adolescentes de Pueblos Originarios no puede ser mayor al total de Adolescentes. * El total de Adolescentes de Migrantes no puede ser mayor al total de Adolescentes. </v>
      </c>
      <c r="AK59" s="490" t="str">
        <f>IF($D$12&lt;$D59, "* El total de Adolescentes según areas de riesgo no puede ser mayor al total de Adolescentes en control. ", "")</f>
        <v/>
      </c>
      <c r="AL59" s="490" t="str">
        <f t="shared" si="34"/>
        <v xml:space="preserve">* El total de Adolescentes de Pueblos Originarios no puede ser mayor al total de Adolescentes. </v>
      </c>
      <c r="AM59" s="490" t="str">
        <f t="shared" si="35"/>
        <v xml:space="preserve">* El total de Adolescentes de Migrantes no puede ser mayor al total de Adolescentes. </v>
      </c>
      <c r="AN59" s="465" t="str">
        <f t="shared" si="36"/>
        <v/>
      </c>
      <c r="AO59" s="465" t="str">
        <f t="shared" si="37"/>
        <v/>
      </c>
      <c r="AU59" s="581"/>
      <c r="AV59" s="677">
        <f t="shared" si="32"/>
        <v>0</v>
      </c>
      <c r="AW59" s="677">
        <f t="shared" si="38"/>
        <v>1</v>
      </c>
      <c r="AX59" s="677">
        <f t="shared" si="39"/>
        <v>1</v>
      </c>
      <c r="AY59" s="613">
        <f t="shared" si="40"/>
        <v>0</v>
      </c>
      <c r="AZ59" s="613">
        <f t="shared" si="41"/>
        <v>0</v>
      </c>
    </row>
    <row r="60" spans="1:52" ht="15.75" customHeight="1" x14ac:dyDescent="0.2">
      <c r="A60" s="1787" t="s">
        <v>1065</v>
      </c>
      <c r="B60" s="2460" t="s">
        <v>483</v>
      </c>
      <c r="C60" s="2460"/>
      <c r="D60" s="535" t="s">
        <v>1384</v>
      </c>
      <c r="E60" s="534" t="s">
        <v>1385</v>
      </c>
      <c r="F60" s="533" t="s">
        <v>1386</v>
      </c>
      <c r="G60" s="535" t="s">
        <v>1387</v>
      </c>
      <c r="H60" s="327" t="s">
        <v>1388</v>
      </c>
      <c r="I60" s="308" t="s">
        <v>1389</v>
      </c>
      <c r="J60" s="553" t="s">
        <v>1390</v>
      </c>
      <c r="K60" s="327" t="s">
        <v>1391</v>
      </c>
      <c r="L60" s="331" t="s">
        <v>1392</v>
      </c>
      <c r="M60" s="554" t="s">
        <v>1393</v>
      </c>
      <c r="N60" s="327" t="s">
        <v>1394</v>
      </c>
      <c r="O60" s="308" t="s">
        <v>1395</v>
      </c>
      <c r="P60" s="555" t="s">
        <v>1396</v>
      </c>
      <c r="Q60" s="327" t="s">
        <v>1397</v>
      </c>
      <c r="R60" s="308" t="s">
        <v>1398</v>
      </c>
      <c r="S60" s="600" t="str">
        <f t="shared" si="33"/>
        <v xml:space="preserve"> * El total de Adolescentes de Pueblos Originarios no puede ser mayor al total de Adolescentes. * El total de Adolescentes de Migrantes no puede ser mayor al total de Adolescentes. </v>
      </c>
      <c r="AK60" s="490" t="str">
        <f>IF($D$12&lt;$D60, "* El total de Adolescentes según areras de riesgo no puede ser mayor al total de Adolescentes en control. ", "")</f>
        <v/>
      </c>
      <c r="AL60" s="490" t="str">
        <f t="shared" si="34"/>
        <v xml:space="preserve">* El total de Adolescentes de Pueblos Originarios no puede ser mayor al total de Adolescentes. </v>
      </c>
      <c r="AM60" s="490" t="str">
        <f t="shared" si="35"/>
        <v xml:space="preserve">* El total de Adolescentes de Migrantes no puede ser mayor al total de Adolescentes. </v>
      </c>
      <c r="AN60" s="465" t="str">
        <f t="shared" si="36"/>
        <v/>
      </c>
      <c r="AO60" s="465" t="str">
        <f t="shared" si="37"/>
        <v/>
      </c>
      <c r="AU60" s="581"/>
      <c r="AV60" s="677">
        <f t="shared" si="32"/>
        <v>0</v>
      </c>
      <c r="AW60" s="677">
        <f t="shared" si="38"/>
        <v>1</v>
      </c>
      <c r="AX60" s="677">
        <f t="shared" si="39"/>
        <v>1</v>
      </c>
      <c r="AY60" s="613">
        <f t="shared" si="40"/>
        <v>0</v>
      </c>
      <c r="AZ60" s="613">
        <f t="shared" si="41"/>
        <v>0</v>
      </c>
    </row>
    <row r="61" spans="1:52" ht="15.75" customHeight="1" x14ac:dyDescent="0.2">
      <c r="A61" s="1787" t="s">
        <v>1066</v>
      </c>
      <c r="B61" s="2460" t="s">
        <v>484</v>
      </c>
      <c r="C61" s="2460"/>
      <c r="D61" s="535" t="s">
        <v>1384</v>
      </c>
      <c r="E61" s="534" t="s">
        <v>1385</v>
      </c>
      <c r="F61" s="533" t="s">
        <v>1386</v>
      </c>
      <c r="G61" s="535" t="s">
        <v>1387</v>
      </c>
      <c r="H61" s="327" t="s">
        <v>1388</v>
      </c>
      <c r="I61" s="308" t="s">
        <v>1389</v>
      </c>
      <c r="J61" s="553" t="s">
        <v>1390</v>
      </c>
      <c r="K61" s="327" t="s">
        <v>1391</v>
      </c>
      <c r="L61" s="331" t="s">
        <v>1392</v>
      </c>
      <c r="M61" s="554" t="s">
        <v>1393</v>
      </c>
      <c r="N61" s="327" t="s">
        <v>1394</v>
      </c>
      <c r="O61" s="308" t="s">
        <v>1395</v>
      </c>
      <c r="P61" s="555" t="s">
        <v>1396</v>
      </c>
      <c r="Q61" s="327" t="s">
        <v>1397</v>
      </c>
      <c r="R61" s="308" t="s">
        <v>1398</v>
      </c>
      <c r="S61" s="600" t="str">
        <f t="shared" si="33"/>
        <v xml:space="preserve"> * El total de Adolescentes de Pueblos Originarios no puede ser mayor al total de Adolescentes. * El total de Adolescentes de Migrantes no puede ser mayor al total de Adolescentes. </v>
      </c>
      <c r="AK61" s="490" t="str">
        <f>IF($D$12&lt;$D61, "* El total de Adolescentes según areas de riesgo no puede ser mayor al total de Adolescentes en control. ", "")</f>
        <v/>
      </c>
      <c r="AL61" s="490" t="str">
        <f t="shared" si="34"/>
        <v xml:space="preserve">* El total de Adolescentes de Pueblos Originarios no puede ser mayor al total de Adolescentes. </v>
      </c>
      <c r="AM61" s="490" t="str">
        <f t="shared" si="35"/>
        <v xml:space="preserve">* El total de Adolescentes de Migrantes no puede ser mayor al total de Adolescentes. </v>
      </c>
      <c r="AN61" s="465" t="str">
        <f t="shared" si="36"/>
        <v/>
      </c>
      <c r="AO61" s="465" t="str">
        <f t="shared" si="37"/>
        <v/>
      </c>
      <c r="AU61" s="581"/>
      <c r="AV61" s="677">
        <f t="shared" si="32"/>
        <v>0</v>
      </c>
      <c r="AW61" s="677">
        <f t="shared" si="38"/>
        <v>1</v>
      </c>
      <c r="AX61" s="677">
        <f t="shared" si="39"/>
        <v>1</v>
      </c>
      <c r="AY61" s="613">
        <f t="shared" si="40"/>
        <v>0</v>
      </c>
      <c r="AZ61" s="613">
        <f t="shared" si="41"/>
        <v>0</v>
      </c>
    </row>
    <row r="62" spans="1:52" ht="15.75" customHeight="1" x14ac:dyDescent="0.2">
      <c r="A62" s="1787" t="s">
        <v>1067</v>
      </c>
      <c r="B62" s="2461" t="s">
        <v>485</v>
      </c>
      <c r="C62" s="2461"/>
      <c r="D62" s="557" t="s">
        <v>1384</v>
      </c>
      <c r="E62" s="558" t="s">
        <v>1385</v>
      </c>
      <c r="F62" s="559" t="s">
        <v>1386</v>
      </c>
      <c r="G62" s="557" t="s">
        <v>1387</v>
      </c>
      <c r="H62" s="323" t="s">
        <v>1388</v>
      </c>
      <c r="I62" s="324" t="s">
        <v>1389</v>
      </c>
      <c r="J62" s="560" t="s">
        <v>1390</v>
      </c>
      <c r="K62" s="338" t="s">
        <v>1391</v>
      </c>
      <c r="L62" s="333" t="s">
        <v>1392</v>
      </c>
      <c r="M62" s="561" t="s">
        <v>1393</v>
      </c>
      <c r="N62" s="338" t="s">
        <v>1394</v>
      </c>
      <c r="O62" s="324" t="s">
        <v>1395</v>
      </c>
      <c r="P62" s="562" t="s">
        <v>1396</v>
      </c>
      <c r="Q62" s="338" t="s">
        <v>1397</v>
      </c>
      <c r="R62" s="330" t="s">
        <v>1398</v>
      </c>
      <c r="S62" s="600" t="str">
        <f t="shared" si="33"/>
        <v xml:space="preserve"> * El total de Adolescentes de Pueblos Originarios no puede ser mayor al total de Adolescentes. * El total de Adolescentes de Migrantes no puede ser mayor al total de Adolescentes. </v>
      </c>
      <c r="AK62" s="490" t="str">
        <f>IF($D$12&lt;$D62, "* El total de Adolescentes según areas de riesgo no puede ser mayor al total de Adolescentes en control. ", "")</f>
        <v/>
      </c>
      <c r="AL62" s="490" t="str">
        <f t="shared" si="34"/>
        <v xml:space="preserve">* El total de Adolescentes de Pueblos Originarios no puede ser mayor al total de Adolescentes. </v>
      </c>
      <c r="AM62" s="490" t="str">
        <f t="shared" si="35"/>
        <v xml:space="preserve">* El total de Adolescentes de Migrantes no puede ser mayor al total de Adolescentes. </v>
      </c>
      <c r="AN62" s="465" t="str">
        <f t="shared" si="36"/>
        <v/>
      </c>
      <c r="AO62" s="465" t="str">
        <f t="shared" si="37"/>
        <v/>
      </c>
      <c r="AU62" s="581"/>
      <c r="AV62" s="677">
        <f t="shared" si="32"/>
        <v>0</v>
      </c>
      <c r="AW62" s="677">
        <f t="shared" si="38"/>
        <v>1</v>
      </c>
      <c r="AX62" s="677">
        <f t="shared" si="39"/>
        <v>1</v>
      </c>
      <c r="AY62" s="613">
        <f t="shared" si="40"/>
        <v>0</v>
      </c>
      <c r="AZ62" s="613">
        <f t="shared" si="41"/>
        <v>0</v>
      </c>
    </row>
    <row r="63" spans="1:52" ht="25.5" customHeight="1" x14ac:dyDescent="0.2">
      <c r="A63" s="1790"/>
      <c r="B63" s="240" t="s">
        <v>513</v>
      </c>
      <c r="AU63" s="581"/>
      <c r="AV63" s="581"/>
      <c r="AW63" s="581"/>
      <c r="AX63" s="581"/>
      <c r="AY63" s="581"/>
      <c r="AZ63" s="581"/>
    </row>
    <row r="64" spans="1:52" ht="15" customHeight="1" x14ac:dyDescent="0.2">
      <c r="A64" s="1790"/>
      <c r="B64" s="2438" t="s">
        <v>417</v>
      </c>
      <c r="C64" s="2439"/>
      <c r="D64" s="2251" t="s">
        <v>15</v>
      </c>
      <c r="E64" s="2210"/>
      <c r="F64" s="2252"/>
      <c r="G64" s="2432" t="s">
        <v>437</v>
      </c>
      <c r="H64" s="2388"/>
      <c r="I64" s="2310"/>
      <c r="J64" s="2432" t="s">
        <v>438</v>
      </c>
      <c r="K64" s="2388"/>
      <c r="L64" s="2388"/>
      <c r="M64" s="2444" t="s">
        <v>411</v>
      </c>
      <c r="N64" s="2424"/>
      <c r="O64" s="2424"/>
      <c r="P64" s="2388" t="s">
        <v>528</v>
      </c>
      <c r="Q64" s="2388"/>
      <c r="R64" s="2310"/>
      <c r="S64" s="563"/>
      <c r="T64" s="563"/>
      <c r="AU64" s="581"/>
      <c r="AV64" s="581"/>
      <c r="AW64" s="581"/>
      <c r="AX64" s="581"/>
      <c r="AY64" s="581"/>
      <c r="AZ64" s="581"/>
    </row>
    <row r="65" spans="1:52" ht="14.25" x14ac:dyDescent="0.2">
      <c r="A65" s="1790"/>
      <c r="B65" s="2440"/>
      <c r="C65" s="2441"/>
      <c r="D65" s="2420"/>
      <c r="E65" s="2421"/>
      <c r="F65" s="2257"/>
      <c r="G65" s="2434"/>
      <c r="H65" s="2422"/>
      <c r="I65" s="2311"/>
      <c r="J65" s="2434"/>
      <c r="K65" s="2422"/>
      <c r="L65" s="2422"/>
      <c r="M65" s="2445"/>
      <c r="N65" s="2424"/>
      <c r="O65" s="2424"/>
      <c r="P65" s="2422"/>
      <c r="Q65" s="2422"/>
      <c r="R65" s="2311"/>
      <c r="S65" s="563"/>
      <c r="T65" s="563"/>
      <c r="AU65" s="581"/>
      <c r="AV65" s="581"/>
      <c r="AW65" s="581"/>
      <c r="AX65" s="581"/>
      <c r="AY65" s="581"/>
      <c r="AZ65" s="581"/>
    </row>
    <row r="66" spans="1:52" ht="14.25" x14ac:dyDescent="0.2">
      <c r="A66" s="1790"/>
      <c r="B66" s="2440"/>
      <c r="C66" s="2441"/>
      <c r="D66" s="2420"/>
      <c r="E66" s="2421"/>
      <c r="F66" s="2257"/>
      <c r="G66" s="2436"/>
      <c r="H66" s="2389"/>
      <c r="I66" s="2312"/>
      <c r="J66" s="2436"/>
      <c r="K66" s="2389"/>
      <c r="L66" s="2389"/>
      <c r="M66" s="2445"/>
      <c r="N66" s="2424"/>
      <c r="O66" s="2424"/>
      <c r="P66" s="2389"/>
      <c r="Q66" s="2389"/>
      <c r="R66" s="2312"/>
      <c r="S66" s="563"/>
      <c r="T66" s="563"/>
      <c r="AU66" s="581"/>
      <c r="AV66" s="581"/>
      <c r="AW66" s="581"/>
      <c r="AX66" s="581"/>
      <c r="AY66" s="581"/>
      <c r="AZ66" s="581"/>
    </row>
    <row r="67" spans="1:52" ht="29.25" customHeight="1" x14ac:dyDescent="0.2">
      <c r="A67" s="1790"/>
      <c r="B67" s="2442"/>
      <c r="C67" s="2443"/>
      <c r="D67" s="525" t="s">
        <v>412</v>
      </c>
      <c r="E67" s="219" t="s">
        <v>460</v>
      </c>
      <c r="F67" s="254" t="s">
        <v>32</v>
      </c>
      <c r="G67" s="525" t="s">
        <v>412</v>
      </c>
      <c r="H67" s="219" t="s">
        <v>460</v>
      </c>
      <c r="I67" s="254" t="s">
        <v>32</v>
      </c>
      <c r="J67" s="525" t="s">
        <v>412</v>
      </c>
      <c r="K67" s="219" t="s">
        <v>460</v>
      </c>
      <c r="L67" s="332" t="s">
        <v>32</v>
      </c>
      <c r="M67" s="526" t="s">
        <v>412</v>
      </c>
      <c r="N67" s="219" t="s">
        <v>460</v>
      </c>
      <c r="O67" s="254" t="s">
        <v>32</v>
      </c>
      <c r="P67" s="1565" t="s">
        <v>412</v>
      </c>
      <c r="Q67" s="219" t="s">
        <v>460</v>
      </c>
      <c r="R67" s="254" t="s">
        <v>32</v>
      </c>
      <c r="S67" s="568"/>
      <c r="T67" s="568"/>
      <c r="AU67" s="581"/>
      <c r="AV67" s="581"/>
      <c r="AW67" s="581"/>
      <c r="AX67" s="581"/>
      <c r="AY67" s="581"/>
      <c r="AZ67" s="581"/>
    </row>
    <row r="68" spans="1:52" ht="24" customHeight="1" x14ac:dyDescent="0.2">
      <c r="A68" s="1787" t="s">
        <v>1068</v>
      </c>
      <c r="B68" s="2480" t="s">
        <v>470</v>
      </c>
      <c r="C68" s="2481"/>
      <c r="D68" s="528" t="s">
        <v>1384</v>
      </c>
      <c r="E68" s="529" t="s">
        <v>1385</v>
      </c>
      <c r="F68" s="528" t="s">
        <v>1386</v>
      </c>
      <c r="G68" s="455" t="s">
        <v>1387</v>
      </c>
      <c r="H68" s="307" t="s">
        <v>1388</v>
      </c>
      <c r="I68" s="308" t="s">
        <v>1389</v>
      </c>
      <c r="J68" s="455" t="s">
        <v>1390</v>
      </c>
      <c r="K68" s="307" t="s">
        <v>1391</v>
      </c>
      <c r="L68" s="331" t="s">
        <v>1392</v>
      </c>
      <c r="M68" s="513" t="s">
        <v>1393</v>
      </c>
      <c r="N68" s="307" t="s">
        <v>1394</v>
      </c>
      <c r="O68" s="308" t="s">
        <v>1395</v>
      </c>
      <c r="P68" s="514" t="s">
        <v>1396</v>
      </c>
      <c r="Q68" s="307" t="s">
        <v>1397</v>
      </c>
      <c r="R68" s="308" t="s">
        <v>1398</v>
      </c>
      <c r="S68" s="600" t="str">
        <f t="shared" ref="S68:S77" si="42">AK68 &amp; " " &amp; AL68 &amp; AM68 &amp; AN68 &amp; AO68</f>
        <v xml:space="preserve"> * El total de Adolescentes de Pueblos Originarios no puede ser mayor al total de Adolescentes. * El total de Adolescentes de Migrantes no puede ser mayor al total de Adolescentes. </v>
      </c>
      <c r="AK68" s="490" t="str">
        <f t="shared" ref="AK68:AK77" si="43">IF($D$12&lt;$D68, "* El total de Adolescentes según ambitos no puede ser mayor al total de Adolescentes en control. ", "")</f>
        <v/>
      </c>
      <c r="AL68" s="490" t="str">
        <f t="shared" ref="AL68:AL77" si="44">IF($D68&lt;$M68, "* El total de Adolescentes de Pueblos Originarios no puede ser mayor al total de Adolescentes. ", "")</f>
        <v xml:space="preserve">* El total de Adolescentes de Pueblos Originarios no puede ser mayor al total de Adolescentes. </v>
      </c>
      <c r="AM68" s="490" t="str">
        <f t="shared" ref="AM68:AM77" si="45">IF($D68&lt;$P68, "* El total de Adolescentes de Migrantes no puede ser mayor al total de Adolescentes. ", "")</f>
        <v xml:space="preserve">* El total de Adolescentes de Migrantes no puede ser mayor al total de Adolescentes. </v>
      </c>
      <c r="AN68" s="465" t="str">
        <f t="shared" ref="AN68:AN77" si="46">IF(AND(E68&lt;&gt;0,N68=""),"* No olvide escribir en la celda de Pueblos Originarios (Digite CERO si no tiene). ",IF(AND(F68&lt;&gt;0,O68=""),"* No olvide escribir en la celda de Pueblos Originarios (Digite CERO si no tiene). ",""))</f>
        <v/>
      </c>
      <c r="AO68" s="465" t="str">
        <f t="shared" ref="AO68:AO77" si="47">IF(AND(E68&lt;&gt;0,Q68=""),"* No olvide escribir en la celda de Población Migrantes (Digite CERO si no tiene). ",IF(AND(F68&lt;&gt;0,R68=""),"* No olvide escribir en la celda de Población Migrantes (Digite CERO si no tiene). ",""))</f>
        <v/>
      </c>
      <c r="AU68" s="581"/>
      <c r="AV68" s="677">
        <f t="shared" si="32"/>
        <v>0</v>
      </c>
      <c r="AW68" s="677">
        <f t="shared" ref="AW68:AW77" si="48">IF($D68&lt;$M68, 1,0)</f>
        <v>1</v>
      </c>
      <c r="AX68" s="677">
        <f t="shared" ref="AX68:AX77" si="49">IF($D68&lt;$P68, 1,0)</f>
        <v>1</v>
      </c>
      <c r="AY68" s="613">
        <f t="shared" ref="AY68:AY77" si="50">IF(AND(E68&lt;&gt;0,N68=""),1,IF(AND(F68&lt;&gt;0,O68=""),1,0))</f>
        <v>0</v>
      </c>
      <c r="AZ68" s="613">
        <f t="shared" ref="AZ68:AZ77" si="51">IF(AND(E68&lt;&gt;0,Q68=""),1,IF(AND(F68&lt;&gt;0,R68=""),1,0))</f>
        <v>0</v>
      </c>
    </row>
    <row r="69" spans="1:52" ht="21.75" customHeight="1" x14ac:dyDescent="0.2">
      <c r="A69" s="1787" t="s">
        <v>1069</v>
      </c>
      <c r="B69" s="2465" t="s">
        <v>471</v>
      </c>
      <c r="C69" s="2466"/>
      <c r="D69" s="533" t="s">
        <v>1384</v>
      </c>
      <c r="E69" s="534" t="s">
        <v>1385</v>
      </c>
      <c r="F69" s="533" t="s">
        <v>1386</v>
      </c>
      <c r="G69" s="455" t="s">
        <v>1387</v>
      </c>
      <c r="H69" s="307" t="s">
        <v>1388</v>
      </c>
      <c r="I69" s="308" t="s">
        <v>1389</v>
      </c>
      <c r="J69" s="455" t="s">
        <v>1390</v>
      </c>
      <c r="K69" s="307" t="s">
        <v>1391</v>
      </c>
      <c r="L69" s="331" t="s">
        <v>1392</v>
      </c>
      <c r="M69" s="522" t="s">
        <v>1393</v>
      </c>
      <c r="N69" s="307" t="s">
        <v>1394</v>
      </c>
      <c r="O69" s="308" t="s">
        <v>1395</v>
      </c>
      <c r="P69" s="455" t="s">
        <v>1396</v>
      </c>
      <c r="Q69" s="307" t="s">
        <v>1397</v>
      </c>
      <c r="R69" s="308" t="s">
        <v>1398</v>
      </c>
      <c r="S69" s="600" t="str">
        <f t="shared" si="42"/>
        <v xml:space="preserve"> * El total de Adolescentes de Pueblos Originarios no puede ser mayor al total de Adolescentes. * El total de Adolescentes de Migrantes no puede ser mayor al total de Adolescentes. </v>
      </c>
      <c r="AK69" s="490" t="str">
        <f t="shared" si="43"/>
        <v/>
      </c>
      <c r="AL69" s="490" t="str">
        <f t="shared" si="44"/>
        <v xml:space="preserve">* El total de Adolescentes de Pueblos Originarios no puede ser mayor al total de Adolescentes. </v>
      </c>
      <c r="AM69" s="490" t="str">
        <f t="shared" si="45"/>
        <v xml:space="preserve">* El total de Adolescentes de Migrantes no puede ser mayor al total de Adolescentes. </v>
      </c>
      <c r="AN69" s="465" t="str">
        <f t="shared" si="46"/>
        <v/>
      </c>
      <c r="AO69" s="465" t="str">
        <f t="shared" si="47"/>
        <v/>
      </c>
      <c r="AU69" s="581"/>
      <c r="AV69" s="677">
        <f t="shared" si="32"/>
        <v>0</v>
      </c>
      <c r="AW69" s="677">
        <f t="shared" si="48"/>
        <v>1</v>
      </c>
      <c r="AX69" s="677">
        <f t="shared" si="49"/>
        <v>1</v>
      </c>
      <c r="AY69" s="613">
        <f t="shared" si="50"/>
        <v>0</v>
      </c>
      <c r="AZ69" s="613">
        <f t="shared" si="51"/>
        <v>0</v>
      </c>
    </row>
    <row r="70" spans="1:52" ht="16.5" customHeight="1" x14ac:dyDescent="0.2">
      <c r="A70" s="1787" t="s">
        <v>1070</v>
      </c>
      <c r="B70" s="2465" t="s">
        <v>472</v>
      </c>
      <c r="C70" s="2466"/>
      <c r="D70" s="533" t="s">
        <v>1384</v>
      </c>
      <c r="E70" s="534" t="s">
        <v>1385</v>
      </c>
      <c r="F70" s="533" t="s">
        <v>1386</v>
      </c>
      <c r="G70" s="455" t="s">
        <v>1387</v>
      </c>
      <c r="H70" s="307" t="s">
        <v>1388</v>
      </c>
      <c r="I70" s="308" t="s">
        <v>1389</v>
      </c>
      <c r="J70" s="455" t="s">
        <v>1390</v>
      </c>
      <c r="K70" s="307" t="s">
        <v>1391</v>
      </c>
      <c r="L70" s="331" t="s">
        <v>1392</v>
      </c>
      <c r="M70" s="522" t="s">
        <v>1393</v>
      </c>
      <c r="N70" s="307" t="s">
        <v>1394</v>
      </c>
      <c r="O70" s="308" t="s">
        <v>1395</v>
      </c>
      <c r="P70" s="455" t="s">
        <v>1396</v>
      </c>
      <c r="Q70" s="307" t="s">
        <v>1397</v>
      </c>
      <c r="R70" s="308" t="s">
        <v>1398</v>
      </c>
      <c r="S70" s="600" t="str">
        <f t="shared" si="42"/>
        <v xml:space="preserve"> * El total de Adolescentes de Pueblos Originarios no puede ser mayor al total de Adolescentes. * El total de Adolescentes de Migrantes no puede ser mayor al total de Adolescentes. </v>
      </c>
      <c r="AK70" s="490" t="str">
        <f t="shared" si="43"/>
        <v/>
      </c>
      <c r="AL70" s="490" t="str">
        <f t="shared" si="44"/>
        <v xml:space="preserve">* El total de Adolescentes de Pueblos Originarios no puede ser mayor al total de Adolescentes. </v>
      </c>
      <c r="AM70" s="490" t="str">
        <f t="shared" si="45"/>
        <v xml:space="preserve">* El total de Adolescentes de Migrantes no puede ser mayor al total de Adolescentes. </v>
      </c>
      <c r="AN70" s="465" t="str">
        <f t="shared" si="46"/>
        <v/>
      </c>
      <c r="AO70" s="465" t="str">
        <f t="shared" si="47"/>
        <v/>
      </c>
      <c r="AU70" s="581"/>
      <c r="AV70" s="677">
        <f t="shared" si="32"/>
        <v>0</v>
      </c>
      <c r="AW70" s="677">
        <f t="shared" si="48"/>
        <v>1</v>
      </c>
      <c r="AX70" s="677">
        <f t="shared" si="49"/>
        <v>1</v>
      </c>
      <c r="AY70" s="613">
        <f t="shared" si="50"/>
        <v>0</v>
      </c>
      <c r="AZ70" s="613">
        <f t="shared" si="51"/>
        <v>0</v>
      </c>
    </row>
    <row r="71" spans="1:52" ht="16.5" customHeight="1" x14ac:dyDescent="0.2">
      <c r="A71" s="1787" t="s">
        <v>1071</v>
      </c>
      <c r="B71" s="2460" t="s">
        <v>473</v>
      </c>
      <c r="C71" s="2460"/>
      <c r="D71" s="533" t="s">
        <v>1384</v>
      </c>
      <c r="E71" s="534" t="s">
        <v>1385</v>
      </c>
      <c r="F71" s="533" t="s">
        <v>1386</v>
      </c>
      <c r="G71" s="455" t="s">
        <v>1387</v>
      </c>
      <c r="H71" s="307" t="s">
        <v>1388</v>
      </c>
      <c r="I71" s="308" t="s">
        <v>1389</v>
      </c>
      <c r="J71" s="455" t="s">
        <v>1390</v>
      </c>
      <c r="K71" s="307" t="s">
        <v>1391</v>
      </c>
      <c r="L71" s="331" t="s">
        <v>1392</v>
      </c>
      <c r="M71" s="522" t="s">
        <v>1393</v>
      </c>
      <c r="N71" s="307" t="s">
        <v>1394</v>
      </c>
      <c r="O71" s="308" t="s">
        <v>1395</v>
      </c>
      <c r="P71" s="455" t="s">
        <v>1396</v>
      </c>
      <c r="Q71" s="307" t="s">
        <v>1397</v>
      </c>
      <c r="R71" s="308" t="s">
        <v>1398</v>
      </c>
      <c r="S71" s="600" t="str">
        <f t="shared" si="42"/>
        <v xml:space="preserve"> * El total de Adolescentes de Pueblos Originarios no puede ser mayor al total de Adolescentes. * El total de Adolescentes de Migrantes no puede ser mayor al total de Adolescentes. </v>
      </c>
      <c r="AK71" s="490" t="str">
        <f t="shared" si="43"/>
        <v/>
      </c>
      <c r="AL71" s="490" t="str">
        <f t="shared" si="44"/>
        <v xml:space="preserve">* El total de Adolescentes de Pueblos Originarios no puede ser mayor al total de Adolescentes. </v>
      </c>
      <c r="AM71" s="490" t="str">
        <f t="shared" si="45"/>
        <v xml:space="preserve">* El total de Adolescentes de Migrantes no puede ser mayor al total de Adolescentes. </v>
      </c>
      <c r="AN71" s="465" t="str">
        <f t="shared" si="46"/>
        <v/>
      </c>
      <c r="AO71" s="465" t="str">
        <f t="shared" si="47"/>
        <v/>
      </c>
      <c r="AU71" s="581"/>
      <c r="AV71" s="677">
        <f t="shared" si="32"/>
        <v>0</v>
      </c>
      <c r="AW71" s="677">
        <f t="shared" si="48"/>
        <v>1</v>
      </c>
      <c r="AX71" s="677">
        <f t="shared" si="49"/>
        <v>1</v>
      </c>
      <c r="AY71" s="613">
        <f t="shared" si="50"/>
        <v>0</v>
      </c>
      <c r="AZ71" s="613">
        <f t="shared" si="51"/>
        <v>0</v>
      </c>
    </row>
    <row r="72" spans="1:52" ht="16.5" customHeight="1" x14ac:dyDescent="0.2">
      <c r="A72" s="1787" t="s">
        <v>1072</v>
      </c>
      <c r="B72" s="2033" t="s">
        <v>474</v>
      </c>
      <c r="C72" s="2034"/>
      <c r="D72" s="539" t="s">
        <v>1384</v>
      </c>
      <c r="E72" s="552" t="s">
        <v>1385</v>
      </c>
      <c r="F72" s="539" t="s">
        <v>1386</v>
      </c>
      <c r="G72" s="455" t="s">
        <v>1387</v>
      </c>
      <c r="H72" s="307" t="s">
        <v>1388</v>
      </c>
      <c r="I72" s="308" t="s">
        <v>1389</v>
      </c>
      <c r="J72" s="455" t="s">
        <v>1390</v>
      </c>
      <c r="K72" s="307" t="s">
        <v>1391</v>
      </c>
      <c r="L72" s="331" t="s">
        <v>1392</v>
      </c>
      <c r="M72" s="522" t="s">
        <v>1393</v>
      </c>
      <c r="N72" s="307" t="s">
        <v>1394</v>
      </c>
      <c r="O72" s="308" t="s">
        <v>1395</v>
      </c>
      <c r="P72" s="455" t="s">
        <v>1396</v>
      </c>
      <c r="Q72" s="307" t="s">
        <v>1397</v>
      </c>
      <c r="R72" s="308" t="s">
        <v>1398</v>
      </c>
      <c r="S72" s="600" t="str">
        <f t="shared" si="42"/>
        <v xml:space="preserve"> * El total de Adolescentes de Pueblos Originarios no puede ser mayor al total de Adolescentes. * El total de Adolescentes de Migrantes no puede ser mayor al total de Adolescentes. </v>
      </c>
      <c r="AK72" s="490" t="str">
        <f t="shared" si="43"/>
        <v/>
      </c>
      <c r="AL72" s="490" t="str">
        <f t="shared" si="44"/>
        <v xml:space="preserve">* El total de Adolescentes de Pueblos Originarios no puede ser mayor al total de Adolescentes. </v>
      </c>
      <c r="AM72" s="490" t="str">
        <f t="shared" si="45"/>
        <v xml:space="preserve">* El total de Adolescentes de Migrantes no puede ser mayor al total de Adolescentes. </v>
      </c>
      <c r="AN72" s="465" t="str">
        <f t="shared" si="46"/>
        <v/>
      </c>
      <c r="AO72" s="465" t="str">
        <f t="shared" si="47"/>
        <v/>
      </c>
      <c r="AU72" s="581"/>
      <c r="AV72" s="677">
        <f t="shared" si="32"/>
        <v>0</v>
      </c>
      <c r="AW72" s="677">
        <f t="shared" si="48"/>
        <v>1</v>
      </c>
      <c r="AX72" s="677">
        <f t="shared" si="49"/>
        <v>1</v>
      </c>
      <c r="AY72" s="613">
        <f t="shared" si="50"/>
        <v>0</v>
      </c>
      <c r="AZ72" s="613">
        <f t="shared" si="51"/>
        <v>0</v>
      </c>
    </row>
    <row r="73" spans="1:52" ht="23.25" customHeight="1" x14ac:dyDescent="0.2">
      <c r="A73" s="1787" t="s">
        <v>1073</v>
      </c>
      <c r="B73" s="2465" t="s">
        <v>475</v>
      </c>
      <c r="C73" s="2466"/>
      <c r="D73" s="533" t="s">
        <v>1384</v>
      </c>
      <c r="E73" s="534" t="s">
        <v>1385</v>
      </c>
      <c r="F73" s="533" t="s">
        <v>1386</v>
      </c>
      <c r="G73" s="455" t="s">
        <v>1387</v>
      </c>
      <c r="H73" s="307" t="s">
        <v>1388</v>
      </c>
      <c r="I73" s="308" t="s">
        <v>1389</v>
      </c>
      <c r="J73" s="455" t="s">
        <v>1390</v>
      </c>
      <c r="K73" s="307" t="s">
        <v>1391</v>
      </c>
      <c r="L73" s="331" t="s">
        <v>1392</v>
      </c>
      <c r="M73" s="522" t="s">
        <v>1393</v>
      </c>
      <c r="N73" s="307" t="s">
        <v>1394</v>
      </c>
      <c r="O73" s="308" t="s">
        <v>1395</v>
      </c>
      <c r="P73" s="455" t="s">
        <v>1396</v>
      </c>
      <c r="Q73" s="307" t="s">
        <v>1397</v>
      </c>
      <c r="R73" s="308" t="s">
        <v>1398</v>
      </c>
      <c r="S73" s="600" t="str">
        <f t="shared" si="42"/>
        <v xml:space="preserve"> * El total de Adolescentes de Pueblos Originarios no puede ser mayor al total de Adolescentes. * El total de Adolescentes de Migrantes no puede ser mayor al total de Adolescentes. </v>
      </c>
      <c r="AK73" s="490" t="str">
        <f t="shared" si="43"/>
        <v/>
      </c>
      <c r="AL73" s="490" t="str">
        <f t="shared" si="44"/>
        <v xml:space="preserve">* El total de Adolescentes de Pueblos Originarios no puede ser mayor al total de Adolescentes. </v>
      </c>
      <c r="AM73" s="490" t="str">
        <f t="shared" si="45"/>
        <v xml:space="preserve">* El total de Adolescentes de Migrantes no puede ser mayor al total de Adolescentes. </v>
      </c>
      <c r="AN73" s="465" t="str">
        <f t="shared" si="46"/>
        <v/>
      </c>
      <c r="AO73" s="465" t="str">
        <f t="shared" si="47"/>
        <v/>
      </c>
      <c r="AU73" s="581"/>
      <c r="AV73" s="677">
        <f t="shared" si="32"/>
        <v>0</v>
      </c>
      <c r="AW73" s="677">
        <f t="shared" si="48"/>
        <v>1</v>
      </c>
      <c r="AX73" s="677">
        <f t="shared" si="49"/>
        <v>1</v>
      </c>
      <c r="AY73" s="613">
        <f t="shared" si="50"/>
        <v>0</v>
      </c>
      <c r="AZ73" s="613">
        <f t="shared" si="51"/>
        <v>0</v>
      </c>
    </row>
    <row r="74" spans="1:52" ht="24.75" customHeight="1" x14ac:dyDescent="0.2">
      <c r="A74" s="1787" t="s">
        <v>1074</v>
      </c>
      <c r="B74" s="2460" t="s">
        <v>476</v>
      </c>
      <c r="C74" s="2460"/>
      <c r="D74" s="535" t="s">
        <v>1384</v>
      </c>
      <c r="E74" s="534" t="s">
        <v>1385</v>
      </c>
      <c r="F74" s="533" t="s">
        <v>1386</v>
      </c>
      <c r="G74" s="455" t="s">
        <v>1387</v>
      </c>
      <c r="H74" s="307" t="s">
        <v>1388</v>
      </c>
      <c r="I74" s="308" t="s">
        <v>1389</v>
      </c>
      <c r="J74" s="455" t="s">
        <v>1390</v>
      </c>
      <c r="K74" s="307" t="s">
        <v>1391</v>
      </c>
      <c r="L74" s="331" t="s">
        <v>1392</v>
      </c>
      <c r="M74" s="522" t="s">
        <v>1393</v>
      </c>
      <c r="N74" s="307" t="s">
        <v>1394</v>
      </c>
      <c r="O74" s="308" t="s">
        <v>1395</v>
      </c>
      <c r="P74" s="455" t="s">
        <v>1396</v>
      </c>
      <c r="Q74" s="307" t="s">
        <v>1397</v>
      </c>
      <c r="R74" s="308" t="s">
        <v>1398</v>
      </c>
      <c r="S74" s="600" t="str">
        <f t="shared" si="42"/>
        <v xml:space="preserve"> * El total de Adolescentes de Pueblos Originarios no puede ser mayor al total de Adolescentes. * El total de Adolescentes de Migrantes no puede ser mayor al total de Adolescentes. </v>
      </c>
      <c r="AK74" s="490" t="str">
        <f t="shared" si="43"/>
        <v/>
      </c>
      <c r="AL74" s="490" t="str">
        <f t="shared" si="44"/>
        <v xml:space="preserve">* El total de Adolescentes de Pueblos Originarios no puede ser mayor al total de Adolescentes. </v>
      </c>
      <c r="AM74" s="490" t="str">
        <f t="shared" si="45"/>
        <v xml:space="preserve">* El total de Adolescentes de Migrantes no puede ser mayor al total de Adolescentes. </v>
      </c>
      <c r="AN74" s="465" t="str">
        <f t="shared" si="46"/>
        <v/>
      </c>
      <c r="AO74" s="465" t="str">
        <f t="shared" si="47"/>
        <v/>
      </c>
      <c r="AU74" s="581"/>
      <c r="AV74" s="677">
        <f t="shared" si="32"/>
        <v>0</v>
      </c>
      <c r="AW74" s="677">
        <f t="shared" si="48"/>
        <v>1</v>
      </c>
      <c r="AX74" s="677">
        <f t="shared" si="49"/>
        <v>1</v>
      </c>
      <c r="AY74" s="613">
        <f t="shared" si="50"/>
        <v>0</v>
      </c>
      <c r="AZ74" s="613">
        <f t="shared" si="51"/>
        <v>0</v>
      </c>
    </row>
    <row r="75" spans="1:52" ht="21.75" customHeight="1" x14ac:dyDescent="0.2">
      <c r="A75" s="1787" t="s">
        <v>1075</v>
      </c>
      <c r="B75" s="2465" t="s">
        <v>477</v>
      </c>
      <c r="C75" s="2466"/>
      <c r="D75" s="533" t="s">
        <v>1384</v>
      </c>
      <c r="E75" s="534" t="s">
        <v>1385</v>
      </c>
      <c r="F75" s="533" t="s">
        <v>1386</v>
      </c>
      <c r="G75" s="455" t="s">
        <v>1387</v>
      </c>
      <c r="H75" s="307" t="s">
        <v>1388</v>
      </c>
      <c r="I75" s="308" t="s">
        <v>1389</v>
      </c>
      <c r="J75" s="455" t="s">
        <v>1390</v>
      </c>
      <c r="K75" s="307" t="s">
        <v>1391</v>
      </c>
      <c r="L75" s="331" t="s">
        <v>1392</v>
      </c>
      <c r="M75" s="522" t="s">
        <v>1393</v>
      </c>
      <c r="N75" s="307" t="s">
        <v>1394</v>
      </c>
      <c r="O75" s="308" t="s">
        <v>1395</v>
      </c>
      <c r="P75" s="455" t="s">
        <v>1396</v>
      </c>
      <c r="Q75" s="307" t="s">
        <v>1397</v>
      </c>
      <c r="R75" s="308" t="s">
        <v>1398</v>
      </c>
      <c r="S75" s="600" t="str">
        <f t="shared" si="42"/>
        <v xml:space="preserve"> * El total de Adolescentes de Pueblos Originarios no puede ser mayor al total de Adolescentes. * El total de Adolescentes de Migrantes no puede ser mayor al total de Adolescentes. </v>
      </c>
      <c r="AK75" s="490" t="str">
        <f t="shared" si="43"/>
        <v/>
      </c>
      <c r="AL75" s="490" t="str">
        <f t="shared" si="44"/>
        <v xml:space="preserve">* El total de Adolescentes de Pueblos Originarios no puede ser mayor al total de Adolescentes. </v>
      </c>
      <c r="AM75" s="490" t="str">
        <f t="shared" si="45"/>
        <v xml:space="preserve">* El total de Adolescentes de Migrantes no puede ser mayor al total de Adolescentes. </v>
      </c>
      <c r="AN75" s="465" t="str">
        <f t="shared" si="46"/>
        <v/>
      </c>
      <c r="AO75" s="465" t="str">
        <f t="shared" si="47"/>
        <v/>
      </c>
      <c r="AU75" s="581"/>
      <c r="AV75" s="677">
        <f t="shared" si="32"/>
        <v>0</v>
      </c>
      <c r="AW75" s="677">
        <f t="shared" si="48"/>
        <v>1</v>
      </c>
      <c r="AX75" s="677">
        <f t="shared" si="49"/>
        <v>1</v>
      </c>
      <c r="AY75" s="613">
        <f t="shared" si="50"/>
        <v>0</v>
      </c>
      <c r="AZ75" s="613">
        <f t="shared" si="51"/>
        <v>0</v>
      </c>
    </row>
    <row r="76" spans="1:52" ht="22.5" customHeight="1" x14ac:dyDescent="0.2">
      <c r="A76" s="1787" t="s">
        <v>1076</v>
      </c>
      <c r="B76" s="2465" t="s">
        <v>478</v>
      </c>
      <c r="C76" s="2466"/>
      <c r="D76" s="533" t="s">
        <v>1384</v>
      </c>
      <c r="E76" s="534" t="s">
        <v>1385</v>
      </c>
      <c r="F76" s="533" t="s">
        <v>1386</v>
      </c>
      <c r="G76" s="455" t="s">
        <v>1387</v>
      </c>
      <c r="H76" s="307" t="s">
        <v>1388</v>
      </c>
      <c r="I76" s="308" t="s">
        <v>1389</v>
      </c>
      <c r="J76" s="455" t="s">
        <v>1390</v>
      </c>
      <c r="K76" s="307" t="s">
        <v>1391</v>
      </c>
      <c r="L76" s="331" t="s">
        <v>1392</v>
      </c>
      <c r="M76" s="522" t="s">
        <v>1393</v>
      </c>
      <c r="N76" s="307" t="s">
        <v>1394</v>
      </c>
      <c r="O76" s="308" t="s">
        <v>1395</v>
      </c>
      <c r="P76" s="455" t="s">
        <v>1396</v>
      </c>
      <c r="Q76" s="307" t="s">
        <v>1397</v>
      </c>
      <c r="R76" s="308" t="s">
        <v>1398</v>
      </c>
      <c r="S76" s="600" t="str">
        <f t="shared" si="42"/>
        <v xml:space="preserve"> * El total de Adolescentes de Pueblos Originarios no puede ser mayor al total de Adolescentes. * El total de Adolescentes de Migrantes no puede ser mayor al total de Adolescentes. </v>
      </c>
      <c r="AK76" s="490" t="str">
        <f t="shared" si="43"/>
        <v/>
      </c>
      <c r="AL76" s="490" t="str">
        <f t="shared" si="44"/>
        <v xml:space="preserve">* El total de Adolescentes de Pueblos Originarios no puede ser mayor al total de Adolescentes. </v>
      </c>
      <c r="AM76" s="490" t="str">
        <f t="shared" si="45"/>
        <v xml:space="preserve">* El total de Adolescentes de Migrantes no puede ser mayor al total de Adolescentes. </v>
      </c>
      <c r="AN76" s="465" t="str">
        <f t="shared" si="46"/>
        <v/>
      </c>
      <c r="AO76" s="465" t="str">
        <f t="shared" si="47"/>
        <v/>
      </c>
      <c r="AU76" s="581"/>
      <c r="AV76" s="677">
        <f t="shared" si="32"/>
        <v>0</v>
      </c>
      <c r="AW76" s="677">
        <f t="shared" si="48"/>
        <v>1</v>
      </c>
      <c r="AX76" s="677">
        <f t="shared" si="49"/>
        <v>1</v>
      </c>
      <c r="AY76" s="613">
        <f t="shared" si="50"/>
        <v>0</v>
      </c>
      <c r="AZ76" s="613">
        <f t="shared" si="51"/>
        <v>0</v>
      </c>
    </row>
    <row r="77" spans="1:52" ht="24.75" customHeight="1" x14ac:dyDescent="0.2">
      <c r="A77" s="1787" t="s">
        <v>1077</v>
      </c>
      <c r="B77" s="2467" t="s">
        <v>479</v>
      </c>
      <c r="C77" s="2468"/>
      <c r="D77" s="540" t="s">
        <v>1384</v>
      </c>
      <c r="E77" s="541" t="s">
        <v>1385</v>
      </c>
      <c r="F77" s="540" t="s">
        <v>1386</v>
      </c>
      <c r="G77" s="456" t="s">
        <v>1387</v>
      </c>
      <c r="H77" s="323" t="s">
        <v>1388</v>
      </c>
      <c r="I77" s="324" t="s">
        <v>1389</v>
      </c>
      <c r="J77" s="456" t="s">
        <v>1390</v>
      </c>
      <c r="K77" s="323" t="s">
        <v>1391</v>
      </c>
      <c r="L77" s="333" t="s">
        <v>1392</v>
      </c>
      <c r="M77" s="515" t="s">
        <v>1393</v>
      </c>
      <c r="N77" s="323" t="s">
        <v>1394</v>
      </c>
      <c r="O77" s="324" t="s">
        <v>1395</v>
      </c>
      <c r="P77" s="456" t="s">
        <v>1396</v>
      </c>
      <c r="Q77" s="323" t="s">
        <v>1397</v>
      </c>
      <c r="R77" s="324" t="s">
        <v>1398</v>
      </c>
      <c r="S77" s="600" t="str">
        <f t="shared" si="42"/>
        <v xml:space="preserve"> * El total de Adolescentes de Pueblos Originarios no puede ser mayor al total de Adolescentes. * El total de Adolescentes de Migrantes no puede ser mayor al total de Adolescentes. </v>
      </c>
      <c r="AK77" s="490" t="str">
        <f t="shared" si="43"/>
        <v/>
      </c>
      <c r="AL77" s="490" t="str">
        <f t="shared" si="44"/>
        <v xml:space="preserve">* El total de Adolescentes de Pueblos Originarios no puede ser mayor al total de Adolescentes. </v>
      </c>
      <c r="AM77" s="490" t="str">
        <f t="shared" si="45"/>
        <v xml:space="preserve">* El total de Adolescentes de Migrantes no puede ser mayor al total de Adolescentes. </v>
      </c>
      <c r="AN77" s="465" t="str">
        <f t="shared" si="46"/>
        <v/>
      </c>
      <c r="AO77" s="465" t="str">
        <f t="shared" si="47"/>
        <v/>
      </c>
      <c r="AU77" s="581"/>
      <c r="AV77" s="677">
        <f t="shared" si="32"/>
        <v>0</v>
      </c>
      <c r="AW77" s="677">
        <f t="shared" si="48"/>
        <v>1</v>
      </c>
      <c r="AX77" s="677">
        <f t="shared" si="49"/>
        <v>1</v>
      </c>
      <c r="AY77" s="613">
        <f t="shared" si="50"/>
        <v>0</v>
      </c>
      <c r="AZ77" s="613">
        <f t="shared" si="51"/>
        <v>0</v>
      </c>
    </row>
    <row r="78" spans="1:52" ht="24.75" customHeight="1" x14ac:dyDescent="0.2">
      <c r="A78" s="1790"/>
      <c r="B78" s="240" t="s">
        <v>514</v>
      </c>
      <c r="G78" s="678"/>
      <c r="AU78" s="581"/>
      <c r="AV78" s="581"/>
      <c r="AW78" s="581"/>
      <c r="AX78" s="581"/>
      <c r="AY78" s="581"/>
      <c r="AZ78" s="581"/>
    </row>
    <row r="79" spans="1:52" ht="15" customHeight="1" x14ac:dyDescent="0.2">
      <c r="A79" s="1790"/>
      <c r="B79" s="2469" t="s">
        <v>505</v>
      </c>
      <c r="C79" s="2458" t="s">
        <v>410</v>
      </c>
      <c r="D79" s="2458" t="s">
        <v>418</v>
      </c>
      <c r="E79" s="2458"/>
      <c r="F79" s="2459"/>
      <c r="G79" s="2444" t="s">
        <v>411</v>
      </c>
      <c r="H79" s="2458"/>
      <c r="I79" s="2458"/>
      <c r="J79" s="2478" t="s">
        <v>528</v>
      </c>
      <c r="K79" s="2388"/>
      <c r="L79" s="2310"/>
      <c r="M79" s="2388" t="s">
        <v>632</v>
      </c>
      <c r="N79" s="2388"/>
      <c r="O79" s="2310"/>
      <c r="AU79" s="581"/>
      <c r="AV79" s="581"/>
      <c r="AW79" s="581"/>
      <c r="AX79" s="581"/>
      <c r="AY79" s="581"/>
      <c r="AZ79" s="581"/>
    </row>
    <row r="80" spans="1:52" ht="15" customHeight="1" x14ac:dyDescent="0.2">
      <c r="A80" s="1790"/>
      <c r="B80" s="2393"/>
      <c r="C80" s="2458"/>
      <c r="D80" s="2458"/>
      <c r="E80" s="2458"/>
      <c r="F80" s="2459"/>
      <c r="G80" s="2444"/>
      <c r="H80" s="2458"/>
      <c r="I80" s="2458"/>
      <c r="J80" s="2436"/>
      <c r="K80" s="2389"/>
      <c r="L80" s="2312"/>
      <c r="M80" s="2389"/>
      <c r="N80" s="2389"/>
      <c r="O80" s="2312"/>
      <c r="AU80" s="581"/>
      <c r="AV80" s="581"/>
      <c r="AW80" s="581"/>
      <c r="AX80" s="581"/>
      <c r="AY80" s="581"/>
      <c r="AZ80" s="581"/>
    </row>
    <row r="81" spans="1:52" ht="33" customHeight="1" x14ac:dyDescent="0.2">
      <c r="A81" s="1790"/>
      <c r="B81" s="2394"/>
      <c r="C81" s="2458"/>
      <c r="D81" s="525" t="s">
        <v>412</v>
      </c>
      <c r="E81" s="219" t="s">
        <v>460</v>
      </c>
      <c r="F81" s="446" t="s">
        <v>32</v>
      </c>
      <c r="G81" s="526" t="s">
        <v>412</v>
      </c>
      <c r="H81" s="219" t="s">
        <v>460</v>
      </c>
      <c r="I81" s="254" t="s">
        <v>32</v>
      </c>
      <c r="J81" s="525" t="s">
        <v>412</v>
      </c>
      <c r="K81" s="219" t="s">
        <v>460</v>
      </c>
      <c r="L81" s="254" t="s">
        <v>32</v>
      </c>
      <c r="M81" s="1565" t="s">
        <v>412</v>
      </c>
      <c r="N81" s="219" t="s">
        <v>460</v>
      </c>
      <c r="O81" s="254" t="s">
        <v>32</v>
      </c>
      <c r="AU81" s="581"/>
      <c r="AV81" s="581"/>
      <c r="AW81" s="581"/>
      <c r="AX81" s="581"/>
      <c r="AY81" s="581"/>
      <c r="AZ81" s="581"/>
    </row>
    <row r="82" spans="1:52" ht="16.5" customHeight="1" x14ac:dyDescent="0.2">
      <c r="A82" s="1787" t="s">
        <v>1078</v>
      </c>
      <c r="B82" s="2472" t="s">
        <v>617</v>
      </c>
      <c r="C82" s="564" t="s">
        <v>606</v>
      </c>
      <c r="D82" s="565" t="s">
        <v>1384</v>
      </c>
      <c r="E82" s="307" t="s">
        <v>1385</v>
      </c>
      <c r="F82" s="331" t="s">
        <v>1386</v>
      </c>
      <c r="G82" s="566" t="s">
        <v>1387</v>
      </c>
      <c r="H82" s="307" t="s">
        <v>1388</v>
      </c>
      <c r="I82" s="308" t="s">
        <v>1389</v>
      </c>
      <c r="J82" s="565" t="s">
        <v>1390</v>
      </c>
      <c r="K82" s="307" t="s">
        <v>1391</v>
      </c>
      <c r="L82" s="308" t="s">
        <v>1392</v>
      </c>
      <c r="M82" s="567" t="s">
        <v>1393</v>
      </c>
      <c r="N82" s="307" t="s">
        <v>1394</v>
      </c>
      <c r="O82" s="308" t="s">
        <v>1395</v>
      </c>
      <c r="P82" s="600" t="str">
        <f>AJ82 &amp; AK82 &amp; AL82 &amp; AM82 &amp; AN82 &amp; AO82</f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2" s="490" t="str">
        <f t="shared" ref="AJ82:AJ95" si="52">IF($D82&lt;$G82, "* El total de Adolescentes de Pueblos Originarios no puede ser mayor al total de Adolescentes. ", "")</f>
        <v xml:space="preserve">* El total de Adolescentes de Pueblos Originarios no puede ser mayor al total de Adolescentes. </v>
      </c>
      <c r="AK82" s="490" t="str">
        <f t="shared" ref="AK82:AK95" si="53">IF($D82&lt;$J82, "* El total de Adolescentes de Migrantes no puede ser mayor al total de Adolescentes. ", "")</f>
        <v xml:space="preserve">* El total de Adolescentes de Migrantes no puede ser mayor al total de Adolescentes. </v>
      </c>
      <c r="AL82" s="490" t="str">
        <f>IF($D82&lt;$M82, "* El total de Adolescentes de Espacios Amigables no puede ser mayor al total de Adolescentes. ", "")</f>
        <v xml:space="preserve">* El total de Adolescentes de Espacios Amigables no puede ser mayor al total de Adolescentes. </v>
      </c>
      <c r="AM82" s="465" t="str">
        <f t="shared" ref="AM82:AM95" si="54">IF(AND(E82&lt;&gt;0,H82=""),"* No olvide escribir en la celda de Pueblos Originarios (Digite CERO si no tiene). ",IF(AND(F82&lt;&gt;0,I82=""),"* No olvide escribir en la celda de Pueblos Originarios (Digite CERO si no tiene). ",""))</f>
        <v/>
      </c>
      <c r="AN82" s="465" t="str">
        <f t="shared" ref="AN82:AN95" si="55">IF(AND(E82&lt;&gt;0,K82=""),"* No olvide escribir en la celda de Población Migrantes (Digite CERO si no tiene). ",IF(AND(F82&lt;&gt;0,L82=""),"* No olvide escribir en la celda de Población Migrantes (Digite CERO si no tiene). ",""))</f>
        <v/>
      </c>
      <c r="AO82" s="465" t="str">
        <f>IF(AND(E82&lt;&gt;0,N82=""),"* No olvide escribir en la celda de Espacios Amigables (Digite CERO si no tiene). ",IF(AND(F82&lt;&gt;0,O82=""),"* No olvide escribir en la celda de Espacios Amigables (Digite CERO si no tiene). ",""))</f>
        <v/>
      </c>
      <c r="AU82" s="677">
        <f>IF($D82&lt;$G82, 1,0)</f>
        <v>1</v>
      </c>
      <c r="AV82" s="677">
        <f>IF($D82&lt;$J82, 1,0)</f>
        <v>1</v>
      </c>
      <c r="AW82" s="677">
        <f>IF($D82&lt;$M82, 1,0)</f>
        <v>1</v>
      </c>
      <c r="AX82" s="613">
        <f t="shared" ref="AX82:AX95" si="56">IF(AND(E82&lt;&gt;0,H82=""),1,IF(AND(F82&lt;&gt;0,I82=""),1,0))</f>
        <v>0</v>
      </c>
      <c r="AY82" s="613">
        <f t="shared" ref="AY82:AY95" si="57">IF(AND(E82&lt;&gt;0,K82=""),1,IF(AND(F82&lt;&gt;0,L82=""),1,0))</f>
        <v>0</v>
      </c>
      <c r="AZ82" s="613">
        <f>IF(AND(E82&lt;&gt;0,N82=""),1,IF(AND(F82&lt;&gt;0,O82=""),1,0))</f>
        <v>0</v>
      </c>
    </row>
    <row r="83" spans="1:52" ht="16.5" customHeight="1" x14ac:dyDescent="0.2">
      <c r="A83" s="1787" t="s">
        <v>1079</v>
      </c>
      <c r="B83" s="2473"/>
      <c r="C83" s="569" t="s">
        <v>413</v>
      </c>
      <c r="D83" s="570" t="s">
        <v>1384</v>
      </c>
      <c r="E83" s="317" t="s">
        <v>1385</v>
      </c>
      <c r="F83" s="334" t="s">
        <v>1386</v>
      </c>
      <c r="G83" s="571" t="s">
        <v>1387</v>
      </c>
      <c r="H83" s="317" t="s">
        <v>1388</v>
      </c>
      <c r="I83" s="318" t="s">
        <v>1389</v>
      </c>
      <c r="J83" s="570" t="s">
        <v>1390</v>
      </c>
      <c r="K83" s="317" t="s">
        <v>1391</v>
      </c>
      <c r="L83" s="318" t="s">
        <v>1392</v>
      </c>
      <c r="M83" s="572" t="s">
        <v>1393</v>
      </c>
      <c r="N83" s="317" t="s">
        <v>1394</v>
      </c>
      <c r="O83" s="318" t="s">
        <v>1395</v>
      </c>
      <c r="P83" s="600" t="str">
        <f t="shared" ref="P83:P95" si="58">AJ83 &amp; AK83 &amp; AL83 &amp; AM83 &amp; AN83 &amp; AO83</f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3" s="490" t="str">
        <f t="shared" si="52"/>
        <v xml:space="preserve">* El total de Adolescentes de Pueblos Originarios no puede ser mayor al total de Adolescentes. </v>
      </c>
      <c r="AK83" s="490" t="str">
        <f t="shared" si="53"/>
        <v xml:space="preserve">* El total de Adolescentes de Migrantes no puede ser mayor al total de Adolescentes. </v>
      </c>
      <c r="AL83" s="490" t="str">
        <f t="shared" ref="AL83:AL95" si="59">IF($D83&lt;$M83, "* El total de Adolescentes de Espacios Amigables no puede ser mayor al total de Adolescentes. ", "")</f>
        <v xml:space="preserve">* El total de Adolescentes de Espacios Amigables no puede ser mayor al total de Adolescentes. </v>
      </c>
      <c r="AM83" s="465" t="str">
        <f t="shared" si="54"/>
        <v/>
      </c>
      <c r="AN83" s="465" t="str">
        <f t="shared" si="55"/>
        <v/>
      </c>
      <c r="AO83" s="465" t="str">
        <f t="shared" ref="AO83:AO95" si="60">IF(AND(E83&lt;&gt;0,N83=""),"* No olvide escribir en la celda de Espacios Amigables (Digite CERO si no tiene). ",IF(AND(F83&lt;&gt;0,O83=""),"* No olvide escribir en la celda de Espacios Amigables (Digite CERO si no tiene). ",""))</f>
        <v/>
      </c>
      <c r="AU83" s="677">
        <f t="shared" ref="AU83:AU95" si="61">IF($D83&lt;$G83, 1,0)</f>
        <v>1</v>
      </c>
      <c r="AV83" s="677">
        <f t="shared" ref="AV83:AV95" si="62">IF($D83&lt;$J83, 1,0)</f>
        <v>1</v>
      </c>
      <c r="AW83" s="677">
        <f t="shared" ref="AW83:AW95" si="63">IF($D83&lt;$M83, 1,0)</f>
        <v>1</v>
      </c>
      <c r="AX83" s="613">
        <f t="shared" si="56"/>
        <v>0</v>
      </c>
      <c r="AY83" s="613">
        <f t="shared" si="57"/>
        <v>0</v>
      </c>
      <c r="AZ83" s="613">
        <f t="shared" ref="AZ83:AZ95" si="64">IF(AND(E83&lt;&gt;0,N83=""),1,IF(AND(F83&lt;&gt;0,O83=""),1,0))</f>
        <v>0</v>
      </c>
    </row>
    <row r="84" spans="1:52" ht="16.5" customHeight="1" x14ac:dyDescent="0.2">
      <c r="A84" s="1787" t="s">
        <v>1080</v>
      </c>
      <c r="B84" s="2462" t="s">
        <v>464</v>
      </c>
      <c r="C84" s="564" t="s">
        <v>606</v>
      </c>
      <c r="D84" s="573" t="s">
        <v>1384</v>
      </c>
      <c r="E84" s="319" t="s">
        <v>1385</v>
      </c>
      <c r="F84" s="335" t="s">
        <v>1386</v>
      </c>
      <c r="G84" s="520" t="s">
        <v>1387</v>
      </c>
      <c r="H84" s="319" t="s">
        <v>1388</v>
      </c>
      <c r="I84" s="320" t="s">
        <v>1389</v>
      </c>
      <c r="J84" s="573" t="s">
        <v>1390</v>
      </c>
      <c r="K84" s="319" t="s">
        <v>1391</v>
      </c>
      <c r="L84" s="320" t="s">
        <v>1392</v>
      </c>
      <c r="M84" s="521" t="s">
        <v>1393</v>
      </c>
      <c r="N84" s="319" t="s">
        <v>1394</v>
      </c>
      <c r="O84" s="320" t="s">
        <v>1395</v>
      </c>
      <c r="P84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4" s="490" t="str">
        <f t="shared" si="52"/>
        <v xml:space="preserve">* El total de Adolescentes de Pueblos Originarios no puede ser mayor al total de Adolescentes. </v>
      </c>
      <c r="AK84" s="490" t="str">
        <f t="shared" si="53"/>
        <v xml:space="preserve">* El total de Adolescentes de Migrantes no puede ser mayor al total de Adolescentes. </v>
      </c>
      <c r="AL84" s="490" t="str">
        <f t="shared" si="59"/>
        <v xml:space="preserve">* El total de Adolescentes de Espacios Amigables no puede ser mayor al total de Adolescentes. </v>
      </c>
      <c r="AM84" s="465" t="str">
        <f t="shared" si="54"/>
        <v/>
      </c>
      <c r="AN84" s="465" t="str">
        <f t="shared" si="55"/>
        <v/>
      </c>
      <c r="AO84" s="465" t="str">
        <f t="shared" si="60"/>
        <v/>
      </c>
      <c r="AU84" s="677">
        <f t="shared" si="61"/>
        <v>1</v>
      </c>
      <c r="AV84" s="677">
        <f t="shared" si="62"/>
        <v>1</v>
      </c>
      <c r="AW84" s="677">
        <f t="shared" si="63"/>
        <v>1</v>
      </c>
      <c r="AX84" s="613">
        <f t="shared" si="56"/>
        <v>0</v>
      </c>
      <c r="AY84" s="613">
        <f t="shared" si="57"/>
        <v>0</v>
      </c>
      <c r="AZ84" s="613">
        <f t="shared" si="64"/>
        <v>0</v>
      </c>
    </row>
    <row r="85" spans="1:52" ht="16.5" customHeight="1" x14ac:dyDescent="0.2">
      <c r="A85" s="1787" t="s">
        <v>1081</v>
      </c>
      <c r="B85" s="2463"/>
      <c r="C85" s="574" t="s">
        <v>413</v>
      </c>
      <c r="D85" s="575" t="s">
        <v>1384</v>
      </c>
      <c r="E85" s="329" t="s">
        <v>1385</v>
      </c>
      <c r="F85" s="336" t="s">
        <v>1386</v>
      </c>
      <c r="G85" s="515" t="s">
        <v>1387</v>
      </c>
      <c r="H85" s="329" t="s">
        <v>1388</v>
      </c>
      <c r="I85" s="330" t="s">
        <v>1389</v>
      </c>
      <c r="J85" s="575" t="s">
        <v>1390</v>
      </c>
      <c r="K85" s="329" t="s">
        <v>1391</v>
      </c>
      <c r="L85" s="330" t="s">
        <v>1392</v>
      </c>
      <c r="M85" s="456" t="s">
        <v>1393</v>
      </c>
      <c r="N85" s="329" t="s">
        <v>1394</v>
      </c>
      <c r="O85" s="330" t="s">
        <v>1395</v>
      </c>
      <c r="P85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5" s="490" t="str">
        <f t="shared" si="52"/>
        <v xml:space="preserve">* El total de Adolescentes de Pueblos Originarios no puede ser mayor al total de Adolescentes. </v>
      </c>
      <c r="AK85" s="490" t="str">
        <f t="shared" si="53"/>
        <v xml:space="preserve">* El total de Adolescentes de Migrantes no puede ser mayor al total de Adolescentes. </v>
      </c>
      <c r="AL85" s="490" t="str">
        <f t="shared" si="59"/>
        <v xml:space="preserve">* El total de Adolescentes de Espacios Amigables no puede ser mayor al total de Adolescentes. </v>
      </c>
      <c r="AM85" s="465" t="str">
        <f t="shared" si="54"/>
        <v/>
      </c>
      <c r="AN85" s="465" t="str">
        <f t="shared" si="55"/>
        <v/>
      </c>
      <c r="AO85" s="465" t="str">
        <f t="shared" si="60"/>
        <v/>
      </c>
      <c r="AU85" s="677">
        <f t="shared" si="61"/>
        <v>1</v>
      </c>
      <c r="AV85" s="677">
        <f t="shared" si="62"/>
        <v>1</v>
      </c>
      <c r="AW85" s="677">
        <f t="shared" si="63"/>
        <v>1</v>
      </c>
      <c r="AX85" s="613">
        <f t="shared" si="56"/>
        <v>0</v>
      </c>
      <c r="AY85" s="613">
        <f t="shared" si="57"/>
        <v>0</v>
      </c>
      <c r="AZ85" s="613">
        <f t="shared" si="64"/>
        <v>0</v>
      </c>
    </row>
    <row r="86" spans="1:52" ht="16.5" customHeight="1" x14ac:dyDescent="0.2">
      <c r="A86" s="1787" t="s">
        <v>1082</v>
      </c>
      <c r="B86" s="2470" t="s">
        <v>465</v>
      </c>
      <c r="C86" s="564" t="s">
        <v>606</v>
      </c>
      <c r="D86" s="573" t="s">
        <v>1384</v>
      </c>
      <c r="E86" s="319" t="s">
        <v>1385</v>
      </c>
      <c r="F86" s="335" t="s">
        <v>1386</v>
      </c>
      <c r="G86" s="520" t="s">
        <v>1387</v>
      </c>
      <c r="H86" s="319" t="s">
        <v>1388</v>
      </c>
      <c r="I86" s="320" t="s">
        <v>1389</v>
      </c>
      <c r="J86" s="573" t="s">
        <v>1390</v>
      </c>
      <c r="K86" s="319" t="s">
        <v>1391</v>
      </c>
      <c r="L86" s="320" t="s">
        <v>1392</v>
      </c>
      <c r="M86" s="521" t="s">
        <v>1393</v>
      </c>
      <c r="N86" s="319" t="s">
        <v>1394</v>
      </c>
      <c r="O86" s="320" t="s">
        <v>1395</v>
      </c>
      <c r="P86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6" s="490" t="str">
        <f t="shared" si="52"/>
        <v xml:space="preserve">* El total de Adolescentes de Pueblos Originarios no puede ser mayor al total de Adolescentes. </v>
      </c>
      <c r="AK86" s="490" t="str">
        <f t="shared" si="53"/>
        <v xml:space="preserve">* El total de Adolescentes de Migrantes no puede ser mayor al total de Adolescentes. </v>
      </c>
      <c r="AL86" s="490" t="str">
        <f t="shared" si="59"/>
        <v xml:space="preserve">* El total de Adolescentes de Espacios Amigables no puede ser mayor al total de Adolescentes. </v>
      </c>
      <c r="AM86" s="465" t="str">
        <f t="shared" si="54"/>
        <v/>
      </c>
      <c r="AN86" s="465" t="str">
        <f t="shared" si="55"/>
        <v/>
      </c>
      <c r="AO86" s="465" t="str">
        <f t="shared" si="60"/>
        <v/>
      </c>
      <c r="AU86" s="677">
        <f t="shared" si="61"/>
        <v>1</v>
      </c>
      <c r="AV86" s="677">
        <f t="shared" si="62"/>
        <v>1</v>
      </c>
      <c r="AW86" s="677">
        <f t="shared" si="63"/>
        <v>1</v>
      </c>
      <c r="AX86" s="613">
        <f t="shared" si="56"/>
        <v>0</v>
      </c>
      <c r="AY86" s="613">
        <f t="shared" si="57"/>
        <v>0</v>
      </c>
      <c r="AZ86" s="613">
        <f t="shared" si="64"/>
        <v>0</v>
      </c>
    </row>
    <row r="87" spans="1:52" ht="16.5" customHeight="1" x14ac:dyDescent="0.2">
      <c r="A87" s="1787" t="s">
        <v>1083</v>
      </c>
      <c r="B87" s="2471"/>
      <c r="C87" s="574" t="s">
        <v>413</v>
      </c>
      <c r="D87" s="575" t="s">
        <v>1384</v>
      </c>
      <c r="E87" s="329" t="s">
        <v>1385</v>
      </c>
      <c r="F87" s="336" t="s">
        <v>1386</v>
      </c>
      <c r="G87" s="515" t="s">
        <v>1387</v>
      </c>
      <c r="H87" s="329" t="s">
        <v>1388</v>
      </c>
      <c r="I87" s="330" t="s">
        <v>1389</v>
      </c>
      <c r="J87" s="575" t="s">
        <v>1390</v>
      </c>
      <c r="K87" s="329" t="s">
        <v>1391</v>
      </c>
      <c r="L87" s="330" t="s">
        <v>1392</v>
      </c>
      <c r="M87" s="456" t="s">
        <v>1393</v>
      </c>
      <c r="N87" s="329" t="s">
        <v>1394</v>
      </c>
      <c r="O87" s="330" t="s">
        <v>1395</v>
      </c>
      <c r="P87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7" s="490" t="str">
        <f t="shared" si="52"/>
        <v xml:space="preserve">* El total de Adolescentes de Pueblos Originarios no puede ser mayor al total de Adolescentes. </v>
      </c>
      <c r="AK87" s="490" t="str">
        <f t="shared" si="53"/>
        <v xml:space="preserve">* El total de Adolescentes de Migrantes no puede ser mayor al total de Adolescentes. </v>
      </c>
      <c r="AL87" s="490" t="str">
        <f t="shared" si="59"/>
        <v xml:space="preserve">* El total de Adolescentes de Espacios Amigables no puede ser mayor al total de Adolescentes. </v>
      </c>
      <c r="AM87" s="465" t="str">
        <f t="shared" si="54"/>
        <v/>
      </c>
      <c r="AN87" s="465" t="str">
        <f t="shared" si="55"/>
        <v/>
      </c>
      <c r="AO87" s="465" t="str">
        <f t="shared" si="60"/>
        <v/>
      </c>
      <c r="AU87" s="677">
        <f t="shared" si="61"/>
        <v>1</v>
      </c>
      <c r="AV87" s="677">
        <f t="shared" si="62"/>
        <v>1</v>
      </c>
      <c r="AW87" s="677">
        <f t="shared" si="63"/>
        <v>1</v>
      </c>
      <c r="AX87" s="613">
        <f t="shared" si="56"/>
        <v>0</v>
      </c>
      <c r="AY87" s="613">
        <f t="shared" si="57"/>
        <v>0</v>
      </c>
      <c r="AZ87" s="613">
        <f t="shared" si="64"/>
        <v>0</v>
      </c>
    </row>
    <row r="88" spans="1:52" ht="16.5" customHeight="1" x14ac:dyDescent="0.2">
      <c r="A88" s="1787" t="s">
        <v>1084</v>
      </c>
      <c r="B88" s="2462" t="s">
        <v>466</v>
      </c>
      <c r="C88" s="564" t="s">
        <v>606</v>
      </c>
      <c r="D88" s="573" t="s">
        <v>1384</v>
      </c>
      <c r="E88" s="319" t="s">
        <v>1385</v>
      </c>
      <c r="F88" s="335" t="s">
        <v>1386</v>
      </c>
      <c r="G88" s="520" t="s">
        <v>1387</v>
      </c>
      <c r="H88" s="319" t="s">
        <v>1388</v>
      </c>
      <c r="I88" s="320" t="s">
        <v>1389</v>
      </c>
      <c r="J88" s="573" t="s">
        <v>1390</v>
      </c>
      <c r="K88" s="319" t="s">
        <v>1391</v>
      </c>
      <c r="L88" s="320" t="s">
        <v>1392</v>
      </c>
      <c r="M88" s="521" t="s">
        <v>1393</v>
      </c>
      <c r="N88" s="319" t="s">
        <v>1394</v>
      </c>
      <c r="O88" s="320" t="s">
        <v>1395</v>
      </c>
      <c r="P88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8" s="490" t="str">
        <f t="shared" si="52"/>
        <v xml:space="preserve">* El total de Adolescentes de Pueblos Originarios no puede ser mayor al total de Adolescentes. </v>
      </c>
      <c r="AK88" s="490" t="str">
        <f t="shared" si="53"/>
        <v xml:space="preserve">* El total de Adolescentes de Migrantes no puede ser mayor al total de Adolescentes. </v>
      </c>
      <c r="AL88" s="490" t="str">
        <f t="shared" si="59"/>
        <v xml:space="preserve">* El total de Adolescentes de Espacios Amigables no puede ser mayor al total de Adolescentes. </v>
      </c>
      <c r="AM88" s="465" t="str">
        <f t="shared" si="54"/>
        <v/>
      </c>
      <c r="AN88" s="465" t="str">
        <f t="shared" si="55"/>
        <v/>
      </c>
      <c r="AO88" s="465" t="str">
        <f t="shared" si="60"/>
        <v/>
      </c>
      <c r="AU88" s="677">
        <f t="shared" si="61"/>
        <v>1</v>
      </c>
      <c r="AV88" s="677">
        <f t="shared" si="62"/>
        <v>1</v>
      </c>
      <c r="AW88" s="677">
        <f t="shared" si="63"/>
        <v>1</v>
      </c>
      <c r="AX88" s="613">
        <f t="shared" si="56"/>
        <v>0</v>
      </c>
      <c r="AY88" s="613">
        <f t="shared" si="57"/>
        <v>0</v>
      </c>
      <c r="AZ88" s="613">
        <f t="shared" si="64"/>
        <v>0</v>
      </c>
    </row>
    <row r="89" spans="1:52" ht="16.5" customHeight="1" x14ac:dyDescent="0.2">
      <c r="A89" s="1787" t="s">
        <v>1085</v>
      </c>
      <c r="B89" s="2463"/>
      <c r="C89" s="574" t="s">
        <v>413</v>
      </c>
      <c r="D89" s="575" t="s">
        <v>1384</v>
      </c>
      <c r="E89" s="329" t="s">
        <v>1385</v>
      </c>
      <c r="F89" s="336" t="s">
        <v>1386</v>
      </c>
      <c r="G89" s="515" t="s">
        <v>1387</v>
      </c>
      <c r="H89" s="329" t="s">
        <v>1388</v>
      </c>
      <c r="I89" s="330" t="s">
        <v>1389</v>
      </c>
      <c r="J89" s="575" t="s">
        <v>1390</v>
      </c>
      <c r="K89" s="329" t="s">
        <v>1391</v>
      </c>
      <c r="L89" s="330" t="s">
        <v>1392</v>
      </c>
      <c r="M89" s="456" t="s">
        <v>1393</v>
      </c>
      <c r="N89" s="329" t="s">
        <v>1394</v>
      </c>
      <c r="O89" s="330" t="s">
        <v>1395</v>
      </c>
      <c r="P89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89" s="490" t="str">
        <f t="shared" si="52"/>
        <v xml:space="preserve">* El total de Adolescentes de Pueblos Originarios no puede ser mayor al total de Adolescentes. </v>
      </c>
      <c r="AK89" s="490" t="str">
        <f t="shared" si="53"/>
        <v xml:space="preserve">* El total de Adolescentes de Migrantes no puede ser mayor al total de Adolescentes. </v>
      </c>
      <c r="AL89" s="490" t="str">
        <f t="shared" si="59"/>
        <v xml:space="preserve">* El total de Adolescentes de Espacios Amigables no puede ser mayor al total de Adolescentes. </v>
      </c>
      <c r="AM89" s="465" t="str">
        <f t="shared" si="54"/>
        <v/>
      </c>
      <c r="AN89" s="465" t="str">
        <f t="shared" si="55"/>
        <v/>
      </c>
      <c r="AO89" s="465" t="str">
        <f t="shared" si="60"/>
        <v/>
      </c>
      <c r="AU89" s="677">
        <f t="shared" si="61"/>
        <v>1</v>
      </c>
      <c r="AV89" s="677">
        <f t="shared" si="62"/>
        <v>1</v>
      </c>
      <c r="AW89" s="677">
        <f t="shared" si="63"/>
        <v>1</v>
      </c>
      <c r="AX89" s="613">
        <f t="shared" si="56"/>
        <v>0</v>
      </c>
      <c r="AY89" s="613">
        <f t="shared" si="57"/>
        <v>0</v>
      </c>
      <c r="AZ89" s="613">
        <f t="shared" si="64"/>
        <v>0</v>
      </c>
    </row>
    <row r="90" spans="1:52" ht="16.5" customHeight="1" x14ac:dyDescent="0.2">
      <c r="A90" s="1787" t="s">
        <v>1086</v>
      </c>
      <c r="B90" s="2462" t="s">
        <v>467</v>
      </c>
      <c r="C90" s="564" t="s">
        <v>606</v>
      </c>
      <c r="D90" s="573" t="s">
        <v>1384</v>
      </c>
      <c r="E90" s="319" t="s">
        <v>1385</v>
      </c>
      <c r="F90" s="335" t="s">
        <v>1386</v>
      </c>
      <c r="G90" s="520" t="s">
        <v>1387</v>
      </c>
      <c r="H90" s="319" t="s">
        <v>1388</v>
      </c>
      <c r="I90" s="320" t="s">
        <v>1389</v>
      </c>
      <c r="J90" s="573" t="s">
        <v>1390</v>
      </c>
      <c r="K90" s="319" t="s">
        <v>1391</v>
      </c>
      <c r="L90" s="320" t="s">
        <v>1392</v>
      </c>
      <c r="M90" s="521" t="s">
        <v>1393</v>
      </c>
      <c r="N90" s="319" t="s">
        <v>1394</v>
      </c>
      <c r="O90" s="320" t="s">
        <v>1395</v>
      </c>
      <c r="P90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0" s="490" t="str">
        <f t="shared" si="52"/>
        <v xml:space="preserve">* El total de Adolescentes de Pueblos Originarios no puede ser mayor al total de Adolescentes. </v>
      </c>
      <c r="AK90" s="490" t="str">
        <f t="shared" si="53"/>
        <v xml:space="preserve">* El total de Adolescentes de Migrantes no puede ser mayor al total de Adolescentes. </v>
      </c>
      <c r="AL90" s="490" t="str">
        <f t="shared" si="59"/>
        <v xml:space="preserve">* El total de Adolescentes de Espacios Amigables no puede ser mayor al total de Adolescentes. </v>
      </c>
      <c r="AM90" s="465" t="str">
        <f t="shared" si="54"/>
        <v/>
      </c>
      <c r="AN90" s="465" t="str">
        <f t="shared" si="55"/>
        <v/>
      </c>
      <c r="AO90" s="465" t="str">
        <f t="shared" si="60"/>
        <v/>
      </c>
      <c r="AU90" s="677">
        <f t="shared" si="61"/>
        <v>1</v>
      </c>
      <c r="AV90" s="677">
        <f t="shared" si="62"/>
        <v>1</v>
      </c>
      <c r="AW90" s="677">
        <f t="shared" si="63"/>
        <v>1</v>
      </c>
      <c r="AX90" s="613">
        <f t="shared" si="56"/>
        <v>0</v>
      </c>
      <c r="AY90" s="613">
        <f t="shared" si="57"/>
        <v>0</v>
      </c>
      <c r="AZ90" s="613">
        <f t="shared" si="64"/>
        <v>0</v>
      </c>
    </row>
    <row r="91" spans="1:52" ht="16.5" customHeight="1" x14ac:dyDescent="0.2">
      <c r="A91" s="1787" t="s">
        <v>1087</v>
      </c>
      <c r="B91" s="2463"/>
      <c r="C91" s="574" t="s">
        <v>413</v>
      </c>
      <c r="D91" s="575" t="s">
        <v>1384</v>
      </c>
      <c r="E91" s="329" t="s">
        <v>1385</v>
      </c>
      <c r="F91" s="336" t="s">
        <v>1386</v>
      </c>
      <c r="G91" s="515" t="s">
        <v>1387</v>
      </c>
      <c r="H91" s="329" t="s">
        <v>1388</v>
      </c>
      <c r="I91" s="330" t="s">
        <v>1389</v>
      </c>
      <c r="J91" s="575" t="s">
        <v>1390</v>
      </c>
      <c r="K91" s="329" t="s">
        <v>1391</v>
      </c>
      <c r="L91" s="330" t="s">
        <v>1392</v>
      </c>
      <c r="M91" s="456" t="s">
        <v>1393</v>
      </c>
      <c r="N91" s="329" t="s">
        <v>1394</v>
      </c>
      <c r="O91" s="330" t="s">
        <v>1395</v>
      </c>
      <c r="P91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1" s="490" t="str">
        <f t="shared" si="52"/>
        <v xml:space="preserve">* El total de Adolescentes de Pueblos Originarios no puede ser mayor al total de Adolescentes. </v>
      </c>
      <c r="AK91" s="490" t="str">
        <f t="shared" si="53"/>
        <v xml:space="preserve">* El total de Adolescentes de Migrantes no puede ser mayor al total de Adolescentes. </v>
      </c>
      <c r="AL91" s="490" t="str">
        <f t="shared" si="59"/>
        <v xml:space="preserve">* El total de Adolescentes de Espacios Amigables no puede ser mayor al total de Adolescentes. </v>
      </c>
      <c r="AM91" s="465" t="str">
        <f t="shared" si="54"/>
        <v/>
      </c>
      <c r="AN91" s="465" t="str">
        <f t="shared" si="55"/>
        <v/>
      </c>
      <c r="AO91" s="465" t="str">
        <f t="shared" si="60"/>
        <v/>
      </c>
      <c r="AU91" s="677">
        <f t="shared" si="61"/>
        <v>1</v>
      </c>
      <c r="AV91" s="677">
        <f t="shared" si="62"/>
        <v>1</v>
      </c>
      <c r="AW91" s="677">
        <f t="shared" si="63"/>
        <v>1</v>
      </c>
      <c r="AX91" s="613">
        <f t="shared" si="56"/>
        <v>0</v>
      </c>
      <c r="AY91" s="613">
        <f t="shared" si="57"/>
        <v>0</v>
      </c>
      <c r="AZ91" s="613">
        <f t="shared" si="64"/>
        <v>0</v>
      </c>
    </row>
    <row r="92" spans="1:52" ht="16.5" customHeight="1" x14ac:dyDescent="0.2">
      <c r="A92" s="1787" t="s">
        <v>1088</v>
      </c>
      <c r="B92" s="2462" t="s">
        <v>468</v>
      </c>
      <c r="C92" s="564" t="s">
        <v>606</v>
      </c>
      <c r="D92" s="573" t="s">
        <v>1384</v>
      </c>
      <c r="E92" s="319" t="s">
        <v>1385</v>
      </c>
      <c r="F92" s="335" t="s">
        <v>1386</v>
      </c>
      <c r="G92" s="520" t="s">
        <v>1387</v>
      </c>
      <c r="H92" s="319" t="s">
        <v>1388</v>
      </c>
      <c r="I92" s="320" t="s">
        <v>1389</v>
      </c>
      <c r="J92" s="573" t="s">
        <v>1390</v>
      </c>
      <c r="K92" s="319" t="s">
        <v>1391</v>
      </c>
      <c r="L92" s="320" t="s">
        <v>1392</v>
      </c>
      <c r="M92" s="521" t="s">
        <v>1393</v>
      </c>
      <c r="N92" s="319" t="s">
        <v>1394</v>
      </c>
      <c r="O92" s="320" t="s">
        <v>1395</v>
      </c>
      <c r="P92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2" s="490" t="str">
        <f t="shared" si="52"/>
        <v xml:space="preserve">* El total de Adolescentes de Pueblos Originarios no puede ser mayor al total de Adolescentes. </v>
      </c>
      <c r="AK92" s="490" t="str">
        <f t="shared" si="53"/>
        <v xml:space="preserve">* El total de Adolescentes de Migrantes no puede ser mayor al total de Adolescentes. </v>
      </c>
      <c r="AL92" s="490" t="str">
        <f t="shared" si="59"/>
        <v xml:space="preserve">* El total de Adolescentes de Espacios Amigables no puede ser mayor al total de Adolescentes. </v>
      </c>
      <c r="AM92" s="465" t="str">
        <f t="shared" si="54"/>
        <v/>
      </c>
      <c r="AN92" s="465" t="str">
        <f t="shared" si="55"/>
        <v/>
      </c>
      <c r="AO92" s="465" t="str">
        <f t="shared" si="60"/>
        <v/>
      </c>
      <c r="AU92" s="677">
        <f t="shared" si="61"/>
        <v>1</v>
      </c>
      <c r="AV92" s="677">
        <f t="shared" si="62"/>
        <v>1</v>
      </c>
      <c r="AW92" s="677">
        <f t="shared" si="63"/>
        <v>1</v>
      </c>
      <c r="AX92" s="613">
        <f t="shared" si="56"/>
        <v>0</v>
      </c>
      <c r="AY92" s="613">
        <f t="shared" si="57"/>
        <v>0</v>
      </c>
      <c r="AZ92" s="613">
        <f t="shared" si="64"/>
        <v>0</v>
      </c>
    </row>
    <row r="93" spans="1:52" ht="16.5" customHeight="1" x14ac:dyDescent="0.2">
      <c r="A93" s="1787" t="s">
        <v>1089</v>
      </c>
      <c r="B93" s="2463"/>
      <c r="C93" s="574" t="s">
        <v>413</v>
      </c>
      <c r="D93" s="575" t="s">
        <v>1384</v>
      </c>
      <c r="E93" s="329" t="s">
        <v>1385</v>
      </c>
      <c r="F93" s="336" t="s">
        <v>1386</v>
      </c>
      <c r="G93" s="515" t="s">
        <v>1387</v>
      </c>
      <c r="H93" s="329" t="s">
        <v>1388</v>
      </c>
      <c r="I93" s="330" t="s">
        <v>1389</v>
      </c>
      <c r="J93" s="575" t="s">
        <v>1390</v>
      </c>
      <c r="K93" s="329" t="s">
        <v>1391</v>
      </c>
      <c r="L93" s="330" t="s">
        <v>1392</v>
      </c>
      <c r="M93" s="456" t="s">
        <v>1393</v>
      </c>
      <c r="N93" s="329" t="s">
        <v>1394</v>
      </c>
      <c r="O93" s="330" t="s">
        <v>1395</v>
      </c>
      <c r="P93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3" s="490" t="str">
        <f t="shared" si="52"/>
        <v xml:space="preserve">* El total de Adolescentes de Pueblos Originarios no puede ser mayor al total de Adolescentes. </v>
      </c>
      <c r="AK93" s="490" t="str">
        <f t="shared" si="53"/>
        <v xml:space="preserve">* El total de Adolescentes de Migrantes no puede ser mayor al total de Adolescentes. </v>
      </c>
      <c r="AL93" s="490" t="str">
        <f t="shared" si="59"/>
        <v xml:space="preserve">* El total de Adolescentes de Espacios Amigables no puede ser mayor al total de Adolescentes. </v>
      </c>
      <c r="AM93" s="465" t="str">
        <f t="shared" si="54"/>
        <v/>
      </c>
      <c r="AN93" s="465" t="str">
        <f t="shared" si="55"/>
        <v/>
      </c>
      <c r="AO93" s="465" t="str">
        <f t="shared" si="60"/>
        <v/>
      </c>
      <c r="AU93" s="677">
        <f t="shared" si="61"/>
        <v>1</v>
      </c>
      <c r="AV93" s="677">
        <f t="shared" si="62"/>
        <v>1</v>
      </c>
      <c r="AW93" s="677">
        <f t="shared" si="63"/>
        <v>1</v>
      </c>
      <c r="AX93" s="613">
        <f t="shared" si="56"/>
        <v>0</v>
      </c>
      <c r="AY93" s="613">
        <f t="shared" si="57"/>
        <v>0</v>
      </c>
      <c r="AZ93" s="613">
        <f t="shared" si="64"/>
        <v>0</v>
      </c>
    </row>
    <row r="94" spans="1:52" ht="16.5" customHeight="1" x14ac:dyDescent="0.2">
      <c r="A94" s="1787" t="s">
        <v>1090</v>
      </c>
      <c r="B94" s="2464" t="s">
        <v>469</v>
      </c>
      <c r="C94" s="576" t="s">
        <v>606</v>
      </c>
      <c r="D94" s="577" t="s">
        <v>1384</v>
      </c>
      <c r="E94" s="307" t="s">
        <v>1385</v>
      </c>
      <c r="F94" s="331" t="s">
        <v>1386</v>
      </c>
      <c r="G94" s="513" t="s">
        <v>1387</v>
      </c>
      <c r="H94" s="307" t="s">
        <v>1388</v>
      </c>
      <c r="I94" s="308" t="s">
        <v>1389</v>
      </c>
      <c r="J94" s="577" t="s">
        <v>1390</v>
      </c>
      <c r="K94" s="307" t="s">
        <v>1391</v>
      </c>
      <c r="L94" s="308" t="s">
        <v>1392</v>
      </c>
      <c r="M94" s="514" t="s">
        <v>1393</v>
      </c>
      <c r="N94" s="307" t="s">
        <v>1394</v>
      </c>
      <c r="O94" s="308" t="s">
        <v>1395</v>
      </c>
      <c r="P94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AJ94" s="490" t="str">
        <f t="shared" si="52"/>
        <v xml:space="preserve">* El total de Adolescentes de Pueblos Originarios no puede ser mayor al total de Adolescentes. </v>
      </c>
      <c r="AK94" s="490" t="str">
        <f t="shared" si="53"/>
        <v xml:space="preserve">* El total de Adolescentes de Migrantes no puede ser mayor al total de Adolescentes. </v>
      </c>
      <c r="AL94" s="490" t="str">
        <f t="shared" si="59"/>
        <v xml:space="preserve">* El total de Adolescentes de Espacios Amigables no puede ser mayor al total de Adolescentes. </v>
      </c>
      <c r="AM94" s="465" t="str">
        <f t="shared" si="54"/>
        <v/>
      </c>
      <c r="AN94" s="465" t="str">
        <f t="shared" si="55"/>
        <v/>
      </c>
      <c r="AO94" s="465" t="str">
        <f t="shared" si="60"/>
        <v/>
      </c>
      <c r="AU94" s="677">
        <f t="shared" si="61"/>
        <v>1</v>
      </c>
      <c r="AV94" s="677">
        <f t="shared" si="62"/>
        <v>1</v>
      </c>
      <c r="AW94" s="677">
        <f t="shared" si="63"/>
        <v>1</v>
      </c>
      <c r="AX94" s="613">
        <f t="shared" si="56"/>
        <v>0</v>
      </c>
      <c r="AY94" s="613">
        <f t="shared" si="57"/>
        <v>0</v>
      </c>
      <c r="AZ94" s="613">
        <f t="shared" si="64"/>
        <v>0</v>
      </c>
    </row>
    <row r="95" spans="1:52" ht="16.5" customHeight="1" x14ac:dyDescent="0.2">
      <c r="A95" s="1787" t="s">
        <v>1091</v>
      </c>
      <c r="B95" s="2463"/>
      <c r="C95" s="574" t="s">
        <v>413</v>
      </c>
      <c r="D95" s="452" t="s">
        <v>1384</v>
      </c>
      <c r="E95" s="329" t="s">
        <v>1385</v>
      </c>
      <c r="F95" s="337" t="s">
        <v>1386</v>
      </c>
      <c r="G95" s="518" t="s">
        <v>1387</v>
      </c>
      <c r="H95" s="329" t="s">
        <v>1388</v>
      </c>
      <c r="I95" s="330" t="s">
        <v>1389</v>
      </c>
      <c r="J95" s="452" t="s">
        <v>1390</v>
      </c>
      <c r="K95" s="329" t="s">
        <v>1391</v>
      </c>
      <c r="L95" s="330" t="s">
        <v>1392</v>
      </c>
      <c r="M95" s="519" t="s">
        <v>1393</v>
      </c>
      <c r="N95" s="329" t="s">
        <v>1394</v>
      </c>
      <c r="O95" s="330" t="s">
        <v>1395</v>
      </c>
      <c r="P95" s="600" t="str">
        <f t="shared" si="58"/>
        <v xml:space="preserve">* El total de Adolescentes de Pueblos Originarios no puede ser mayor al total de Adolescentes. * El total de Adolescentes de Migrantes no puede ser mayor al total de Adolescentes. * El total de Adolescentes de Espacios Amigables no puede ser mayor al total de Adolescentes. </v>
      </c>
      <c r="Q95" s="578"/>
      <c r="R95" s="578"/>
      <c r="S95" s="578"/>
      <c r="AJ95" s="490" t="str">
        <f t="shared" si="52"/>
        <v xml:space="preserve">* El total de Adolescentes de Pueblos Originarios no puede ser mayor al total de Adolescentes. </v>
      </c>
      <c r="AK95" s="490" t="str">
        <f t="shared" si="53"/>
        <v xml:space="preserve">* El total de Adolescentes de Migrantes no puede ser mayor al total de Adolescentes. </v>
      </c>
      <c r="AL95" s="490" t="str">
        <f t="shared" si="59"/>
        <v xml:space="preserve">* El total de Adolescentes de Espacios Amigables no puede ser mayor al total de Adolescentes. </v>
      </c>
      <c r="AM95" s="465" t="str">
        <f t="shared" si="54"/>
        <v/>
      </c>
      <c r="AN95" s="465" t="str">
        <f t="shared" si="55"/>
        <v/>
      </c>
      <c r="AO95" s="465" t="str">
        <f t="shared" si="60"/>
        <v/>
      </c>
      <c r="AU95" s="677">
        <f t="shared" si="61"/>
        <v>1</v>
      </c>
      <c r="AV95" s="677">
        <f t="shared" si="62"/>
        <v>1</v>
      </c>
      <c r="AW95" s="677">
        <f t="shared" si="63"/>
        <v>1</v>
      </c>
      <c r="AX95" s="613">
        <f t="shared" si="56"/>
        <v>0</v>
      </c>
      <c r="AY95" s="613">
        <f t="shared" si="57"/>
        <v>0</v>
      </c>
      <c r="AZ95" s="613">
        <f t="shared" si="64"/>
        <v>0</v>
      </c>
    </row>
    <row r="96" spans="1:52" ht="15" customHeight="1" x14ac:dyDescent="0.15">
      <c r="AU96" s="581"/>
      <c r="AV96" s="581"/>
      <c r="AW96" s="581"/>
      <c r="AX96" s="581"/>
      <c r="AY96" s="581"/>
      <c r="AZ96" s="581"/>
    </row>
    <row r="97" spans="2:3" ht="15" customHeight="1" x14ac:dyDescent="0.15"/>
    <row r="100" spans="2:3" hidden="1" x14ac:dyDescent="0.15">
      <c r="B100" s="679"/>
      <c r="C100" s="679"/>
    </row>
    <row r="101" spans="2:3" s="406" customFormat="1" ht="11.45" hidden="1" customHeight="1" x14ac:dyDescent="0.15">
      <c r="B101" s="464" t="e">
        <f>SUM(D12:R40,D46:R51,D57:R62,D68:R77,D82:O95)</f>
        <v>#VALUE!</v>
      </c>
      <c r="C101" s="465" t="s">
        <v>350</v>
      </c>
    </row>
    <row r="102" spans="2:3" s="406" customFormat="1" ht="11.45" hidden="1" customHeight="1" x14ac:dyDescent="0.15">
      <c r="B102" s="464" t="e">
        <f>SUM(AU11:AZ96)</f>
        <v>#VALUE!</v>
      </c>
      <c r="C102" s="465" t="s">
        <v>351</v>
      </c>
    </row>
    <row r="103" spans="2:3" ht="11.45" hidden="1" customHeight="1" x14ac:dyDescent="0.15"/>
    <row r="104" spans="2:3" hidden="1" x14ac:dyDescent="0.15"/>
    <row r="105" spans="2:3" hidden="1" x14ac:dyDescent="0.15"/>
    <row r="106" spans="2:3" hidden="1" x14ac:dyDescent="0.15"/>
    <row r="107" spans="2:3" hidden="1" x14ac:dyDescent="0.15"/>
    <row r="108" spans="2:3" hidden="1" x14ac:dyDescent="0.15"/>
    <row r="109" spans="2:3" hidden="1" x14ac:dyDescent="0.15"/>
  </sheetData>
  <mergeCells count="65">
    <mergeCell ref="B12:C12"/>
    <mergeCell ref="B10:C11"/>
    <mergeCell ref="D10:F10"/>
    <mergeCell ref="B21:B27"/>
    <mergeCell ref="B32:B40"/>
    <mergeCell ref="B13:B20"/>
    <mergeCell ref="B28:B31"/>
    <mergeCell ref="B42:C45"/>
    <mergeCell ref="G42:I44"/>
    <mergeCell ref="J79:L80"/>
    <mergeCell ref="D79:F80"/>
    <mergeCell ref="G79:I80"/>
    <mergeCell ref="B53:C56"/>
    <mergeCell ref="B49:C49"/>
    <mergeCell ref="B72:C72"/>
    <mergeCell ref="B73:C73"/>
    <mergeCell ref="B74:C74"/>
    <mergeCell ref="B75:C75"/>
    <mergeCell ref="B68:C68"/>
    <mergeCell ref="B69:C69"/>
    <mergeCell ref="B70:C70"/>
    <mergeCell ref="B60:C60"/>
    <mergeCell ref="B71:C71"/>
    <mergeCell ref="B50:C50"/>
    <mergeCell ref="B51:C51"/>
    <mergeCell ref="B46:C46"/>
    <mergeCell ref="B47:C47"/>
    <mergeCell ref="B48:C48"/>
    <mergeCell ref="B92:B93"/>
    <mergeCell ref="B94:B95"/>
    <mergeCell ref="B76:C76"/>
    <mergeCell ref="B77:C77"/>
    <mergeCell ref="B79:B81"/>
    <mergeCell ref="C79:C81"/>
    <mergeCell ref="B88:B89"/>
    <mergeCell ref="B90:B91"/>
    <mergeCell ref="B86:B87"/>
    <mergeCell ref="B82:B83"/>
    <mergeCell ref="B84:B85"/>
    <mergeCell ref="B64:C67"/>
    <mergeCell ref="G64:I66"/>
    <mergeCell ref="J64:L66"/>
    <mergeCell ref="M64:O66"/>
    <mergeCell ref="M53:O55"/>
    <mergeCell ref="B57:C57"/>
    <mergeCell ref="B58:C58"/>
    <mergeCell ref="B59:C59"/>
    <mergeCell ref="G53:I55"/>
    <mergeCell ref="J53:L55"/>
    <mergeCell ref="B61:C61"/>
    <mergeCell ref="B62:C62"/>
    <mergeCell ref="M79:O80"/>
    <mergeCell ref="D7:R7"/>
    <mergeCell ref="D42:F44"/>
    <mergeCell ref="D53:F55"/>
    <mergeCell ref="D64:F66"/>
    <mergeCell ref="P64:R66"/>
    <mergeCell ref="P53:R55"/>
    <mergeCell ref="P42:R44"/>
    <mergeCell ref="M42:O44"/>
    <mergeCell ref="P10:R10"/>
    <mergeCell ref="M10:O10"/>
    <mergeCell ref="J10:L10"/>
    <mergeCell ref="G10:I10"/>
    <mergeCell ref="J42:L44"/>
  </mergeCells>
  <dataValidations count="1">
    <dataValidation type="whole" allowBlank="1" showInputMessage="1" showErrorMessage="1" sqref="A1:XFD1048576">
      <formula1>0</formula1>
      <formula2>1E+28</formula2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CA43"/>
  <sheetViews>
    <sheetView showGridLines="0" zoomScaleNormal="100" workbookViewId="0"/>
  </sheetViews>
  <sheetFormatPr baseColWidth="10" defaultColWidth="11.42578125" defaultRowHeight="10.5" x14ac:dyDescent="0.15"/>
  <cols>
    <col min="1" max="1" width="16.140625" style="215" customWidth="1"/>
    <col min="2" max="2" width="27.85546875" style="356" customWidth="1"/>
    <col min="3" max="3" width="18.85546875" style="356" customWidth="1"/>
    <col min="4" max="4" width="14.5703125" style="356" customWidth="1"/>
    <col min="5" max="5" width="13.42578125" style="356" customWidth="1"/>
    <col min="6" max="19" width="11.140625" style="356" customWidth="1"/>
    <col min="20" max="33" width="11.140625" style="215" customWidth="1"/>
    <col min="34" max="35" width="9.28515625" style="215" customWidth="1"/>
    <col min="36" max="36" width="11.7109375" style="215" customWidth="1"/>
    <col min="37" max="37" width="11.42578125" style="215" customWidth="1"/>
    <col min="38" max="44" width="10.7109375" style="215" customWidth="1"/>
    <col min="45" max="45" width="9.42578125" style="215" customWidth="1"/>
    <col min="46" max="46" width="11.7109375" style="215" customWidth="1"/>
    <col min="47" max="47" width="11" style="215" customWidth="1"/>
    <col min="48" max="48" width="10.5703125" style="215" customWidth="1"/>
    <col min="49" max="49" width="12.85546875" style="215" customWidth="1"/>
    <col min="50" max="50" width="13.28515625" style="215" customWidth="1"/>
    <col min="51" max="52" width="7.85546875" style="215" customWidth="1"/>
    <col min="53" max="53" width="12.140625" style="215" customWidth="1"/>
    <col min="54" max="54" width="12.140625" style="216" hidden="1" customWidth="1"/>
    <col min="55" max="77" width="12.140625" style="474" hidden="1" customWidth="1"/>
    <col min="78" max="79" width="11.7109375" style="474" hidden="1" customWidth="1"/>
    <col min="80" max="85" width="11.7109375" style="215" customWidth="1"/>
    <col min="86" max="16384" width="11.42578125" style="215"/>
  </cols>
  <sheetData>
    <row r="1" spans="1:75" ht="13.5" customHeight="1" x14ac:dyDescent="0.15">
      <c r="B1" s="148" t="s">
        <v>0</v>
      </c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680"/>
    </row>
    <row r="2" spans="1:75" ht="13.5" customHeight="1" x14ac:dyDescent="0.15">
      <c r="B2" s="148" t="str">
        <f>CONCATENATE("COMUNA: ",NOMBRE!$B$2," - ","( ",NOMBRE!$C$2,NOMBRE!$D$2,NOMBRE!$E$2,NOMBRE!$F$2,NOMBRE!$G$2," )")</f>
        <v>COMUNA:  - (  )</v>
      </c>
      <c r="C2" s="255"/>
      <c r="D2" s="255"/>
      <c r="E2" s="255"/>
      <c r="F2" s="255"/>
      <c r="G2" s="255"/>
      <c r="H2" s="255"/>
      <c r="I2" s="255"/>
      <c r="J2" s="255"/>
      <c r="K2" s="255"/>
      <c r="L2" s="255"/>
      <c r="M2" s="680"/>
    </row>
    <row r="3" spans="1:75" ht="13.5" customHeight="1" x14ac:dyDescent="0.15">
      <c r="B3" s="148" t="str">
        <f>CONCATENATE("ESTABLECIMIENTO/ESTRATEGIA: ",NOMBRE!$B$3," - ","( ",NOMBRE!$C$3,NOMBRE!$D$3,NOMBRE!$E$3,NOMBRE!$F$3,NOMBRE!$G$3,NOMBRE!$H$3," )")</f>
        <v>ESTABLECIMIENTO/ESTRATEGIA:  - (  )</v>
      </c>
      <c r="C3" s="255"/>
      <c r="D3" s="256"/>
      <c r="E3" s="255"/>
      <c r="F3" s="255"/>
      <c r="G3" s="255"/>
      <c r="H3" s="255"/>
      <c r="I3" s="255"/>
      <c r="J3" s="255"/>
      <c r="K3" s="255"/>
      <c r="L3" s="255"/>
      <c r="M3" s="680"/>
    </row>
    <row r="4" spans="1:75" ht="13.5" customHeight="1" x14ac:dyDescent="0.15">
      <c r="B4" s="148" t="str">
        <f>CONCATENATE("MES: ",NOMBRE!$B$6," - ","( ",NOMBRE!$C$6,NOMBRE!$D$6," )")</f>
        <v>MES:  - (  )</v>
      </c>
      <c r="C4" s="255"/>
      <c r="D4" s="255"/>
      <c r="E4" s="255"/>
      <c r="F4" s="255"/>
      <c r="G4" s="255"/>
      <c r="H4" s="255"/>
      <c r="I4" s="255"/>
      <c r="J4" s="255"/>
      <c r="K4" s="255"/>
      <c r="L4" s="255"/>
      <c r="M4" s="680"/>
    </row>
    <row r="5" spans="1:75" ht="13.5" customHeight="1" x14ac:dyDescent="0.15">
      <c r="B5" s="148" t="str">
        <f>CONCATENATE("AÑO: ",NOMBRE!$B$7)</f>
        <v>AÑO: 2021</v>
      </c>
      <c r="C5" s="255"/>
      <c r="D5" s="255"/>
      <c r="E5" s="255"/>
      <c r="F5" s="255"/>
      <c r="G5" s="255"/>
      <c r="H5" s="255"/>
      <c r="I5" s="255"/>
      <c r="J5" s="255"/>
      <c r="K5" s="255"/>
      <c r="L5" s="255"/>
      <c r="M5" s="680"/>
    </row>
    <row r="6" spans="1:75" x14ac:dyDescent="0.15">
      <c r="B6" s="257"/>
      <c r="C6" s="255"/>
      <c r="D6" s="255"/>
      <c r="E6" s="255"/>
      <c r="F6" s="255"/>
      <c r="G6" s="255"/>
      <c r="H6" s="255"/>
      <c r="I6" s="255"/>
      <c r="J6" s="255"/>
      <c r="K6" s="255"/>
      <c r="L6" s="255"/>
      <c r="M6" s="680"/>
    </row>
    <row r="7" spans="1:75" ht="18" customHeight="1" x14ac:dyDescent="0.15">
      <c r="B7" s="2504" t="s">
        <v>693</v>
      </c>
      <c r="C7" s="2504"/>
      <c r="D7" s="2504"/>
      <c r="E7" s="2504"/>
      <c r="F7" s="2504"/>
      <c r="G7" s="2504"/>
      <c r="H7" s="2504"/>
      <c r="I7" s="2504"/>
      <c r="J7" s="2504"/>
      <c r="K7" s="2504"/>
      <c r="L7" s="2504"/>
      <c r="M7" s="2504"/>
      <c r="N7" s="2504"/>
      <c r="O7" s="2504"/>
      <c r="P7" s="2504"/>
      <c r="Q7" s="2504"/>
      <c r="R7" s="2504"/>
    </row>
    <row r="8" spans="1:75" ht="44.25" customHeight="1" x14ac:dyDescent="0.2">
      <c r="B8" s="684" t="s">
        <v>694</v>
      </c>
      <c r="C8" s="681"/>
      <c r="D8" s="681"/>
      <c r="E8" s="681"/>
      <c r="F8" s="681"/>
      <c r="G8" s="681"/>
      <c r="H8" s="680"/>
      <c r="I8" s="680"/>
      <c r="J8" s="680"/>
      <c r="K8" s="680"/>
      <c r="L8" s="680"/>
      <c r="M8" s="680"/>
    </row>
    <row r="9" spans="1:75" ht="22.5" customHeight="1" x14ac:dyDescent="0.15">
      <c r="A9" s="1800"/>
      <c r="B9" s="2492" t="s">
        <v>170</v>
      </c>
      <c r="C9" s="2492"/>
      <c r="D9" s="2493"/>
      <c r="E9" s="2491" t="s">
        <v>15</v>
      </c>
      <c r="F9" s="2492"/>
      <c r="G9" s="2493"/>
      <c r="H9" s="2382" t="s">
        <v>49</v>
      </c>
      <c r="I9" s="2497"/>
      <c r="J9" s="2497"/>
      <c r="K9" s="2497"/>
      <c r="L9" s="2497"/>
      <c r="M9" s="2497"/>
      <c r="N9" s="2497"/>
      <c r="O9" s="2497"/>
      <c r="P9" s="2497"/>
      <c r="Q9" s="2497"/>
      <c r="R9" s="2497"/>
      <c r="S9" s="2497"/>
      <c r="T9" s="2497"/>
      <c r="U9" s="2497"/>
      <c r="V9" s="2497"/>
      <c r="W9" s="2497"/>
      <c r="X9" s="2497"/>
      <c r="Y9" s="2497"/>
      <c r="Z9" s="2497"/>
      <c r="AA9" s="2497"/>
      <c r="AB9" s="2497"/>
      <c r="AC9" s="2497"/>
      <c r="AD9" s="2497"/>
      <c r="AE9" s="2497"/>
      <c r="AF9" s="2497"/>
      <c r="AG9" s="2497"/>
      <c r="AH9" s="2497"/>
      <c r="AI9" s="2497"/>
      <c r="AJ9" s="2497"/>
      <c r="AK9" s="2497"/>
      <c r="AL9" s="2497"/>
      <c r="AM9" s="2497"/>
      <c r="AN9" s="2497"/>
      <c r="AO9" s="2497"/>
      <c r="AP9" s="2497"/>
      <c r="AQ9" s="2497"/>
      <c r="AR9" s="2497"/>
      <c r="AS9" s="2498"/>
      <c r="AT9" s="2517" t="s">
        <v>278</v>
      </c>
      <c r="AU9" s="2513"/>
      <c r="AV9" s="2514" t="s">
        <v>17</v>
      </c>
      <c r="AW9" s="2510" t="s">
        <v>527</v>
      </c>
      <c r="AX9" s="2487" t="s">
        <v>648</v>
      </c>
      <c r="BB9" s="215"/>
      <c r="BD9" s="2522" t="s">
        <v>278</v>
      </c>
      <c r="BE9" s="2523"/>
      <c r="BF9" s="2396" t="s">
        <v>17</v>
      </c>
      <c r="BG9" s="2396" t="s">
        <v>527</v>
      </c>
      <c r="BH9" s="2396" t="s">
        <v>660</v>
      </c>
      <c r="BI9" s="2396" t="s">
        <v>278</v>
      </c>
      <c r="BJ9" s="2396" t="s">
        <v>17</v>
      </c>
      <c r="BK9" s="2396" t="s">
        <v>527</v>
      </c>
      <c r="BL9" s="2396" t="s">
        <v>660</v>
      </c>
      <c r="BO9" s="2522" t="s">
        <v>278</v>
      </c>
      <c r="BP9" s="2523"/>
      <c r="BQ9" s="2396" t="s">
        <v>17</v>
      </c>
      <c r="BR9" s="2396" t="s">
        <v>527</v>
      </c>
      <c r="BS9" s="2396" t="s">
        <v>660</v>
      </c>
      <c r="BT9" s="2396" t="s">
        <v>278</v>
      </c>
      <c r="BU9" s="2396" t="s">
        <v>17</v>
      </c>
      <c r="BV9" s="2396" t="s">
        <v>527</v>
      </c>
      <c r="BW9" s="2396" t="s">
        <v>660</v>
      </c>
    </row>
    <row r="10" spans="1:75" ht="23.25" customHeight="1" x14ac:dyDescent="0.15">
      <c r="A10" s="1800"/>
      <c r="B10" s="2507"/>
      <c r="C10" s="2507"/>
      <c r="D10" s="2508"/>
      <c r="E10" s="2494"/>
      <c r="F10" s="2495"/>
      <c r="G10" s="2496"/>
      <c r="H10" s="2085" t="s">
        <v>279</v>
      </c>
      <c r="I10" s="2086"/>
      <c r="J10" s="2502" t="s">
        <v>280</v>
      </c>
      <c r="K10" s="2502"/>
      <c r="L10" s="2519" t="s">
        <v>277</v>
      </c>
      <c r="M10" s="2520"/>
      <c r="N10" s="2502" t="s">
        <v>233</v>
      </c>
      <c r="O10" s="2502"/>
      <c r="P10" s="2085" t="s">
        <v>144</v>
      </c>
      <c r="Q10" s="2086"/>
      <c r="R10" s="2502" t="s">
        <v>19</v>
      </c>
      <c r="S10" s="2502"/>
      <c r="T10" s="2499" t="s">
        <v>20</v>
      </c>
      <c r="U10" s="2503"/>
      <c r="V10" s="2500" t="s">
        <v>21</v>
      </c>
      <c r="W10" s="2500"/>
      <c r="X10" s="2499" t="s">
        <v>22</v>
      </c>
      <c r="Y10" s="2503"/>
      <c r="Z10" s="2500" t="s">
        <v>23</v>
      </c>
      <c r="AA10" s="2500"/>
      <c r="AB10" s="2499" t="s">
        <v>24</v>
      </c>
      <c r="AC10" s="2503"/>
      <c r="AD10" s="2500" t="s">
        <v>25</v>
      </c>
      <c r="AE10" s="2500"/>
      <c r="AF10" s="2499" t="s">
        <v>26</v>
      </c>
      <c r="AG10" s="2503"/>
      <c r="AH10" s="2499" t="s">
        <v>234</v>
      </c>
      <c r="AI10" s="2503"/>
      <c r="AJ10" s="2500" t="s">
        <v>235</v>
      </c>
      <c r="AK10" s="2500"/>
      <c r="AL10" s="2499" t="s">
        <v>207</v>
      </c>
      <c r="AM10" s="2503"/>
      <c r="AN10" s="2502" t="s">
        <v>208</v>
      </c>
      <c r="AO10" s="2502"/>
      <c r="AP10" s="2085" t="s">
        <v>209</v>
      </c>
      <c r="AQ10" s="2086"/>
      <c r="AR10" s="2502" t="s">
        <v>221</v>
      </c>
      <c r="AS10" s="2501"/>
      <c r="AT10" s="2518"/>
      <c r="AU10" s="2489"/>
      <c r="AV10" s="2515"/>
      <c r="AW10" s="2511"/>
      <c r="AX10" s="2488"/>
      <c r="BB10" s="215"/>
      <c r="BD10" s="2524"/>
      <c r="BE10" s="2525"/>
      <c r="BF10" s="2486"/>
      <c r="BG10" s="2486"/>
      <c r="BH10" s="2486"/>
      <c r="BI10" s="2397"/>
      <c r="BJ10" s="2397"/>
      <c r="BK10" s="2397"/>
      <c r="BL10" s="2397"/>
      <c r="BO10" s="2524"/>
      <c r="BP10" s="2525"/>
      <c r="BQ10" s="2486"/>
      <c r="BR10" s="2486"/>
      <c r="BS10" s="2486"/>
      <c r="BT10" s="2397"/>
      <c r="BU10" s="2397"/>
      <c r="BV10" s="2397"/>
      <c r="BW10" s="2397"/>
    </row>
    <row r="11" spans="1:75" ht="32.25" customHeight="1" x14ac:dyDescent="0.15">
      <c r="A11" s="1800"/>
      <c r="B11" s="2495"/>
      <c r="C11" s="2495"/>
      <c r="D11" s="2496"/>
      <c r="E11" s="1339" t="s">
        <v>99</v>
      </c>
      <c r="F11" s="258" t="s">
        <v>33</v>
      </c>
      <c r="G11" s="259" t="s">
        <v>100</v>
      </c>
      <c r="H11" s="103" t="s">
        <v>145</v>
      </c>
      <c r="I11" s="260" t="s">
        <v>100</v>
      </c>
      <c r="J11" s="104" t="s">
        <v>145</v>
      </c>
      <c r="K11" s="261" t="s">
        <v>100</v>
      </c>
      <c r="L11" s="103" t="s">
        <v>145</v>
      </c>
      <c r="M11" s="260" t="s">
        <v>100</v>
      </c>
      <c r="N11" s="104" t="s">
        <v>145</v>
      </c>
      <c r="O11" s="261" t="s">
        <v>100</v>
      </c>
      <c r="P11" s="103" t="s">
        <v>145</v>
      </c>
      <c r="Q11" s="260" t="s">
        <v>100</v>
      </c>
      <c r="R11" s="104" t="s">
        <v>145</v>
      </c>
      <c r="S11" s="261" t="s">
        <v>100</v>
      </c>
      <c r="T11" s="103" t="s">
        <v>145</v>
      </c>
      <c r="U11" s="260" t="s">
        <v>100</v>
      </c>
      <c r="V11" s="104" t="s">
        <v>145</v>
      </c>
      <c r="W11" s="261" t="s">
        <v>100</v>
      </c>
      <c r="X11" s="103" t="s">
        <v>145</v>
      </c>
      <c r="Y11" s="260" t="s">
        <v>100</v>
      </c>
      <c r="Z11" s="104" t="s">
        <v>145</v>
      </c>
      <c r="AA11" s="261" t="s">
        <v>100</v>
      </c>
      <c r="AB11" s="103" t="s">
        <v>145</v>
      </c>
      <c r="AC11" s="260" t="s">
        <v>100</v>
      </c>
      <c r="AD11" s="104" t="s">
        <v>145</v>
      </c>
      <c r="AE11" s="261" t="s">
        <v>100</v>
      </c>
      <c r="AF11" s="103" t="s">
        <v>145</v>
      </c>
      <c r="AG11" s="260" t="s">
        <v>100</v>
      </c>
      <c r="AH11" s="103" t="s">
        <v>145</v>
      </c>
      <c r="AI11" s="260" t="s">
        <v>100</v>
      </c>
      <c r="AJ11" s="104" t="s">
        <v>145</v>
      </c>
      <c r="AK11" s="261" t="s">
        <v>100</v>
      </c>
      <c r="AL11" s="103" t="s">
        <v>145</v>
      </c>
      <c r="AM11" s="260" t="s">
        <v>100</v>
      </c>
      <c r="AN11" s="104" t="s">
        <v>145</v>
      </c>
      <c r="AO11" s="261" t="s">
        <v>100</v>
      </c>
      <c r="AP11" s="103" t="s">
        <v>145</v>
      </c>
      <c r="AQ11" s="260" t="s">
        <v>100</v>
      </c>
      <c r="AR11" s="104" t="s">
        <v>145</v>
      </c>
      <c r="AS11" s="263" t="s">
        <v>100</v>
      </c>
      <c r="AT11" s="389" t="s">
        <v>525</v>
      </c>
      <c r="AU11" s="260" t="s">
        <v>526</v>
      </c>
      <c r="AV11" s="2516"/>
      <c r="AW11" s="2512"/>
      <c r="AX11" s="2489"/>
      <c r="BB11" s="215"/>
      <c r="BD11" s="1323" t="s">
        <v>525</v>
      </c>
      <c r="BE11" s="1323" t="s">
        <v>627</v>
      </c>
      <c r="BF11" s="2397"/>
      <c r="BG11" s="2397"/>
      <c r="BH11" s="2397"/>
      <c r="BI11" s="1323" t="s">
        <v>625</v>
      </c>
      <c r="BJ11" s="1323" t="s">
        <v>625</v>
      </c>
      <c r="BK11" s="1323" t="s">
        <v>625</v>
      </c>
      <c r="BL11" s="1323" t="s">
        <v>625</v>
      </c>
      <c r="BO11" s="1323" t="s">
        <v>525</v>
      </c>
      <c r="BP11" s="1323" t="s">
        <v>627</v>
      </c>
      <c r="BQ11" s="2397"/>
      <c r="BR11" s="2397"/>
      <c r="BS11" s="2397"/>
      <c r="BT11" s="1323" t="s">
        <v>625</v>
      </c>
      <c r="BU11" s="1323" t="s">
        <v>625</v>
      </c>
      <c r="BV11" s="1323" t="s">
        <v>625</v>
      </c>
      <c r="BW11" s="1323" t="s">
        <v>625</v>
      </c>
    </row>
    <row r="12" spans="1:75" ht="36.75" customHeight="1" x14ac:dyDescent="0.15">
      <c r="A12" s="1797" t="s">
        <v>1195</v>
      </c>
      <c r="B12" s="2073" t="s">
        <v>649</v>
      </c>
      <c r="C12" s="2505" t="s">
        <v>650</v>
      </c>
      <c r="D12" s="1340" t="s">
        <v>651</v>
      </c>
      <c r="E12" s="1341" t="s">
        <v>1384</v>
      </c>
      <c r="F12" s="1342" t="s">
        <v>1385</v>
      </c>
      <c r="G12" s="1343" t="s">
        <v>1386</v>
      </c>
      <c r="H12" s="1411" t="s">
        <v>1387</v>
      </c>
      <c r="I12" s="1412" t="s">
        <v>1388</v>
      </c>
      <c r="J12" s="1411" t="s">
        <v>1389</v>
      </c>
      <c r="K12" s="1412" t="s">
        <v>1390</v>
      </c>
      <c r="L12" s="1411" t="s">
        <v>1391</v>
      </c>
      <c r="M12" s="1412" t="s">
        <v>1392</v>
      </c>
      <c r="N12" s="1411" t="s">
        <v>1393</v>
      </c>
      <c r="O12" s="1412" t="s">
        <v>1394</v>
      </c>
      <c r="P12" s="1411" t="s">
        <v>1395</v>
      </c>
      <c r="Q12" s="320" t="s">
        <v>1396</v>
      </c>
      <c r="R12" s="1411" t="s">
        <v>1397</v>
      </c>
      <c r="S12" s="320" t="s">
        <v>1398</v>
      </c>
      <c r="T12" s="1411" t="s">
        <v>1399</v>
      </c>
      <c r="U12" s="320" t="s">
        <v>1400</v>
      </c>
      <c r="V12" s="1411" t="s">
        <v>1401</v>
      </c>
      <c r="W12" s="320" t="s">
        <v>1402</v>
      </c>
      <c r="X12" s="1411" t="s">
        <v>1403</v>
      </c>
      <c r="Y12" s="320" t="s">
        <v>1404</v>
      </c>
      <c r="Z12" s="1411" t="s">
        <v>1405</v>
      </c>
      <c r="AA12" s="320" t="s">
        <v>1406</v>
      </c>
      <c r="AB12" s="1411" t="s">
        <v>1407</v>
      </c>
      <c r="AC12" s="320" t="s">
        <v>1408</v>
      </c>
      <c r="AD12" s="1411" t="s">
        <v>1409</v>
      </c>
      <c r="AE12" s="320" t="s">
        <v>1410</v>
      </c>
      <c r="AF12" s="1411" t="s">
        <v>1411</v>
      </c>
      <c r="AG12" s="320" t="s">
        <v>1412</v>
      </c>
      <c r="AH12" s="1411" t="s">
        <v>1413</v>
      </c>
      <c r="AI12" s="320" t="s">
        <v>1414</v>
      </c>
      <c r="AJ12" s="1411" t="s">
        <v>1415</v>
      </c>
      <c r="AK12" s="1412" t="s">
        <v>1416</v>
      </c>
      <c r="AL12" s="1411" t="s">
        <v>1417</v>
      </c>
      <c r="AM12" s="1412" t="s">
        <v>1418</v>
      </c>
      <c r="AN12" s="1411" t="s">
        <v>1419</v>
      </c>
      <c r="AO12" s="1412" t="s">
        <v>1420</v>
      </c>
      <c r="AP12" s="1411" t="s">
        <v>1421</v>
      </c>
      <c r="AQ12" s="1412" t="s">
        <v>1422</v>
      </c>
      <c r="AR12" s="1411" t="s">
        <v>1423</v>
      </c>
      <c r="AS12" s="1415" t="s">
        <v>1424</v>
      </c>
      <c r="AT12" s="1459" t="s">
        <v>1425</v>
      </c>
      <c r="AU12" s="320" t="s">
        <v>1426</v>
      </c>
      <c r="AV12" s="1293" t="s">
        <v>1427</v>
      </c>
      <c r="AW12" s="1460" t="s">
        <v>1428</v>
      </c>
      <c r="AX12" s="1294" t="s">
        <v>1429</v>
      </c>
      <c r="AY12" s="262" t="e">
        <f>BD12&amp;BE12&amp;BF12&amp;BG12&amp;BH12&amp;BI12&amp;BJ12&amp;BK12&amp;BL12</f>
        <v>#VALUE!</v>
      </c>
      <c r="BB12" s="215"/>
      <c r="BD12" s="682" t="e">
        <f>IF(($AT12+$AU12)&lt;=$G12,"","* La suma de las celdas 'Trans' no debe ser mayor al Total de personas bajo control. ")</f>
        <v>#VALUE!</v>
      </c>
      <c r="BE12" s="682"/>
      <c r="BF12" s="682" t="str">
        <f>IF($AV12&lt;=$G12,"","* La celda de 'Pueblos Originarios' no debe ser mayor al Total de personas bajo control. ")</f>
        <v xml:space="preserve">* La celda de 'Pueblos Originarios' no debe ser mayor al Total de personas bajo control. </v>
      </c>
      <c r="BG12" s="682" t="str">
        <f>IF($AW12&lt;=$G12,"","* La celda de 'Población Migrantes' no debe ser mayor al Total de personas bajo control. ")</f>
        <v xml:space="preserve">* La celda de 'Población Migrantes' no debe ser mayor al Total de personas bajo control. </v>
      </c>
      <c r="BH12" s="682" t="str">
        <f>IF($AX12&lt;=$G12,"","* La celda de 'Población SENAME' no debe ser mayor al Total de personas bajo control. ")</f>
        <v xml:space="preserve">* La celda de 'Población SENAME' no debe ser mayor al Total de personas bajo control. </v>
      </c>
      <c r="BI12" s="465" t="str">
        <f>IF(AND($G12&lt;&gt;0,$AU12=""),"* No olvide escribir en la celda de Trans (Digite CERO si no tiene). ",IF(AND(E12&lt;&gt;0,AT12=""),"* No olvide escribir en la celda Trans (Digite CERO si no tiene). ",""))</f>
        <v/>
      </c>
      <c r="BJ12" s="465" t="str">
        <f>IF(AND($G12&lt;&gt;0,$AV12=""),"* No olvide escribir en la celda de Pueblos Originarios (Digite CERO si no tiene). ","")</f>
        <v/>
      </c>
      <c r="BK12" s="465" t="str">
        <f>IF(AND($G12&lt;&gt;0,$AW12=""),"* No olvide escribir en la celda de Población Migrantes (Digite CERO si no tiene). ","")</f>
        <v/>
      </c>
      <c r="BL12" s="465" t="str">
        <f>IF(AND($G12&lt;&gt;0,$AX12=""),"* No olvide escribir en la celda de Población SENAME (Digite CERO si no tiene). ","")</f>
        <v/>
      </c>
      <c r="BO12" s="683" t="e">
        <f>IF(($AT12+$AU12)&lt;=$G12,0,1)</f>
        <v>#VALUE!</v>
      </c>
      <c r="BP12" s="683"/>
      <c r="BQ12" s="683">
        <f>IF($AV12&lt;=$G12,0,1)</f>
        <v>1</v>
      </c>
      <c r="BR12" s="683">
        <f>IF($AW12&lt;=$G12,0,1)</f>
        <v>1</v>
      </c>
      <c r="BS12" s="683">
        <f>IF($AX12&lt;=$G12,0,1)</f>
        <v>1</v>
      </c>
      <c r="BT12" s="613">
        <f>IF(AND($G12&lt;&gt;0,$AU12=""),1,0)</f>
        <v>0</v>
      </c>
      <c r="BU12" s="613">
        <f>IF(AND($G12&lt;&gt;0,$AV12=""),1,0)</f>
        <v>0</v>
      </c>
      <c r="BV12" s="613">
        <f>IF(AND($G12&lt;&gt;0,$AW12=""),1,0)</f>
        <v>0</v>
      </c>
      <c r="BW12" s="613">
        <f>IF(AND($G12&lt;&gt;0,$AX12=""),1,0)</f>
        <v>0</v>
      </c>
    </row>
    <row r="13" spans="1:75" ht="27" customHeight="1" x14ac:dyDescent="0.15">
      <c r="A13" s="1797" t="s">
        <v>1196</v>
      </c>
      <c r="B13" s="2175"/>
      <c r="C13" s="2506"/>
      <c r="D13" s="1344" t="s">
        <v>652</v>
      </c>
      <c r="E13" s="1345" t="s">
        <v>1384</v>
      </c>
      <c r="F13" s="1346" t="s">
        <v>1385</v>
      </c>
      <c r="G13" s="1347" t="s">
        <v>1386</v>
      </c>
      <c r="H13" s="1413" t="s">
        <v>1387</v>
      </c>
      <c r="I13" s="1414" t="s">
        <v>1388</v>
      </c>
      <c r="J13" s="1413" t="s">
        <v>1389</v>
      </c>
      <c r="K13" s="1414" t="s">
        <v>1390</v>
      </c>
      <c r="L13" s="1413" t="s">
        <v>1391</v>
      </c>
      <c r="M13" s="1414" t="s">
        <v>1392</v>
      </c>
      <c r="N13" s="1413" t="s">
        <v>1393</v>
      </c>
      <c r="O13" s="1414" t="s">
        <v>1394</v>
      </c>
      <c r="P13" s="1413" t="s">
        <v>1395</v>
      </c>
      <c r="Q13" s="330" t="s">
        <v>1396</v>
      </c>
      <c r="R13" s="1413" t="s">
        <v>1397</v>
      </c>
      <c r="S13" s="330" t="s">
        <v>1398</v>
      </c>
      <c r="T13" s="1413" t="s">
        <v>1399</v>
      </c>
      <c r="U13" s="330" t="s">
        <v>1400</v>
      </c>
      <c r="V13" s="1413" t="s">
        <v>1401</v>
      </c>
      <c r="W13" s="330" t="s">
        <v>1402</v>
      </c>
      <c r="X13" s="1413" t="s">
        <v>1403</v>
      </c>
      <c r="Y13" s="330" t="s">
        <v>1404</v>
      </c>
      <c r="Z13" s="1413" t="s">
        <v>1405</v>
      </c>
      <c r="AA13" s="330" t="s">
        <v>1406</v>
      </c>
      <c r="AB13" s="1413" t="s">
        <v>1407</v>
      </c>
      <c r="AC13" s="330" t="s">
        <v>1408</v>
      </c>
      <c r="AD13" s="1413" t="s">
        <v>1409</v>
      </c>
      <c r="AE13" s="330" t="s">
        <v>1410</v>
      </c>
      <c r="AF13" s="1413" t="s">
        <v>1411</v>
      </c>
      <c r="AG13" s="330" t="s">
        <v>1412</v>
      </c>
      <c r="AH13" s="1413" t="s">
        <v>1413</v>
      </c>
      <c r="AI13" s="330" t="s">
        <v>1414</v>
      </c>
      <c r="AJ13" s="1413" t="s">
        <v>1415</v>
      </c>
      <c r="AK13" s="1414" t="s">
        <v>1416</v>
      </c>
      <c r="AL13" s="1413" t="s">
        <v>1417</v>
      </c>
      <c r="AM13" s="1414" t="s">
        <v>1418</v>
      </c>
      <c r="AN13" s="1413" t="s">
        <v>1419</v>
      </c>
      <c r="AO13" s="1414" t="s">
        <v>1420</v>
      </c>
      <c r="AP13" s="1413" t="s">
        <v>1421</v>
      </c>
      <c r="AQ13" s="1414" t="s">
        <v>1422</v>
      </c>
      <c r="AR13" s="1413" t="s">
        <v>1423</v>
      </c>
      <c r="AS13" s="1416" t="s">
        <v>1424</v>
      </c>
      <c r="AT13" s="1461" t="s">
        <v>1425</v>
      </c>
      <c r="AU13" s="330" t="s">
        <v>1426</v>
      </c>
      <c r="AV13" s="1291" t="s">
        <v>1427</v>
      </c>
      <c r="AW13" s="1462" t="s">
        <v>1428</v>
      </c>
      <c r="AX13" s="1292" t="s">
        <v>1429</v>
      </c>
      <c r="AY13" s="262" t="e">
        <f>BD13&amp;BE13&amp;BF13&amp;BG13&amp;BH13&amp;BI13&amp;BJ13&amp;BK13&amp;BL13</f>
        <v>#VALUE!</v>
      </c>
      <c r="BB13" s="215"/>
      <c r="BD13" s="682" t="e">
        <f>IF(($AT13+$AU13)&lt;=$G13,"","* La suma de las celdas 'Trans' no debe ser mayor al Total de personas bajo control. ")</f>
        <v>#VALUE!</v>
      </c>
      <c r="BE13" s="682"/>
      <c r="BF13" s="682" t="str">
        <f>IF($AV13&lt;=$G13,"","* La celda de 'Pueblos Originarios' no debe ser mayor al Total de personas bajo control. ")</f>
        <v xml:space="preserve">* La celda de 'Pueblos Originarios' no debe ser mayor al Total de personas bajo control. </v>
      </c>
      <c r="BG13" s="682" t="str">
        <f>IF($AW13&lt;=$G13,"","* La celda de 'Población Migrantes' no debe ser mayor al Total de personas bajo control. ")</f>
        <v xml:space="preserve">* La celda de 'Población Migrantes' no debe ser mayor al Total de personas bajo control. </v>
      </c>
      <c r="BH13" s="682" t="str">
        <f>IF($AX13&lt;=$G13,"","* La celda de 'Población SENAME' no debe ser mayor al Total de personas bajo control. ")</f>
        <v xml:space="preserve">* La celda de 'Población SENAME' no debe ser mayor al Total de personas bajo control. </v>
      </c>
      <c r="BI13" s="465" t="str">
        <f>IF(AND($G13&lt;&gt;0,$AU13=""),"* No olvide escribir en la celda de Trans (Digite CERO si no tiene). ",IF(AND(E13&lt;&gt;0,AT13=""),"* No olvide escribir en la celda Trans (Digite CERO si no tiene). ",""))</f>
        <v/>
      </c>
      <c r="BJ13" s="465" t="str">
        <f>IF(AND($G13&lt;&gt;0,$AV13=""),"* No olvide escribir en la celda de Pueblos Originarios (Digite CERO si no tiene). ","")</f>
        <v/>
      </c>
      <c r="BK13" s="465" t="str">
        <f>IF(AND($G13&lt;&gt;0,$AW13=""),"* No olvide escribir en la celda de Población Migrantes (Digite CERO si no tiene). ","")</f>
        <v/>
      </c>
      <c r="BL13" s="465" t="str">
        <f>IF(AND($G13&lt;&gt;0,$AX13=""),"* No olvide escribir en la celda de Población SENAME (Digite CERO si no tiene). ","")</f>
        <v/>
      </c>
      <c r="BO13" s="683" t="e">
        <f>IF(($AT13+$AU13)&lt;=$G13,0,1)</f>
        <v>#VALUE!</v>
      </c>
      <c r="BP13" s="683"/>
      <c r="BQ13" s="683">
        <f>IF($AV13&lt;=$G13,0,1)</f>
        <v>1</v>
      </c>
      <c r="BR13" s="683">
        <f>IF($AW13&lt;=$G13,0,1)</f>
        <v>1</v>
      </c>
      <c r="BS13" s="683">
        <f>IF($AX13&lt;=$G13,0,1)</f>
        <v>1</v>
      </c>
      <c r="BT13" s="613">
        <f>IF(AND($G13&lt;&gt;0,$AU13=""),1,0)</f>
        <v>0</v>
      </c>
      <c r="BU13" s="613">
        <f>IF(AND($G13&lt;&gt;0,$AV13=""),1,0)</f>
        <v>0</v>
      </c>
      <c r="BV13" s="613">
        <f>IF(AND($G13&lt;&gt;0,$AW13=""),1,0)</f>
        <v>0</v>
      </c>
      <c r="BW13" s="613">
        <f>IF(AND($G13&lt;&gt;0,$AX13=""),1,0)</f>
        <v>0</v>
      </c>
    </row>
    <row r="14" spans="1:75" ht="25.5" customHeight="1" x14ac:dyDescent="0.15">
      <c r="A14" s="1797" t="s">
        <v>1197</v>
      </c>
      <c r="B14" s="2175"/>
      <c r="C14" s="2509" t="s">
        <v>653</v>
      </c>
      <c r="D14" s="1348" t="s">
        <v>654</v>
      </c>
      <c r="E14" s="1341" t="s">
        <v>1384</v>
      </c>
      <c r="F14" s="1349" t="s">
        <v>1385</v>
      </c>
      <c r="G14" s="1350" t="s">
        <v>1386</v>
      </c>
      <c r="H14" s="307" t="s">
        <v>1387</v>
      </c>
      <c r="I14" s="308" t="s">
        <v>1388</v>
      </c>
      <c r="J14" s="307" t="s">
        <v>1389</v>
      </c>
      <c r="K14" s="308" t="s">
        <v>1390</v>
      </c>
      <c r="L14" s="307" t="s">
        <v>1391</v>
      </c>
      <c r="M14" s="308" t="s">
        <v>1392</v>
      </c>
      <c r="N14" s="307" t="s">
        <v>1393</v>
      </c>
      <c r="O14" s="308" t="s">
        <v>1394</v>
      </c>
      <c r="P14" s="307" t="s">
        <v>1395</v>
      </c>
      <c r="Q14" s="308" t="s">
        <v>1396</v>
      </c>
      <c r="R14" s="307" t="s">
        <v>1397</v>
      </c>
      <c r="S14" s="308" t="s">
        <v>1398</v>
      </c>
      <c r="T14" s="307" t="s">
        <v>1399</v>
      </c>
      <c r="U14" s="308" t="s">
        <v>1400</v>
      </c>
      <c r="V14" s="307" t="s">
        <v>1401</v>
      </c>
      <c r="W14" s="308" t="s">
        <v>1402</v>
      </c>
      <c r="X14" s="307" t="s">
        <v>1403</v>
      </c>
      <c r="Y14" s="308" t="s">
        <v>1404</v>
      </c>
      <c r="Z14" s="307" t="s">
        <v>1405</v>
      </c>
      <c r="AA14" s="308" t="s">
        <v>1406</v>
      </c>
      <c r="AB14" s="307" t="s">
        <v>1407</v>
      </c>
      <c r="AC14" s="308" t="s">
        <v>1408</v>
      </c>
      <c r="AD14" s="307" t="s">
        <v>1409</v>
      </c>
      <c r="AE14" s="308" t="s">
        <v>1410</v>
      </c>
      <c r="AF14" s="307" t="s">
        <v>1411</v>
      </c>
      <c r="AG14" s="308" t="s">
        <v>1412</v>
      </c>
      <c r="AH14" s="307" t="s">
        <v>1413</v>
      </c>
      <c r="AI14" s="308" t="s">
        <v>1414</v>
      </c>
      <c r="AJ14" s="307" t="s">
        <v>1415</v>
      </c>
      <c r="AK14" s="308" t="s">
        <v>1416</v>
      </c>
      <c r="AL14" s="307" t="s">
        <v>1417</v>
      </c>
      <c r="AM14" s="308" t="s">
        <v>1418</v>
      </c>
      <c r="AN14" s="307" t="s">
        <v>1419</v>
      </c>
      <c r="AO14" s="308" t="s">
        <v>1420</v>
      </c>
      <c r="AP14" s="307" t="s">
        <v>1421</v>
      </c>
      <c r="AQ14" s="308" t="s">
        <v>1422</v>
      </c>
      <c r="AR14" s="307" t="s">
        <v>1423</v>
      </c>
      <c r="AS14" s="314" t="s">
        <v>1424</v>
      </c>
      <c r="AT14" s="1463" t="s">
        <v>1425</v>
      </c>
      <c r="AU14" s="308" t="s">
        <v>1426</v>
      </c>
      <c r="AV14" s="327" t="s">
        <v>1427</v>
      </c>
      <c r="AW14" s="1464" t="s">
        <v>1428</v>
      </c>
      <c r="AX14" s="1290" t="s">
        <v>1429</v>
      </c>
      <c r="AY14" s="262" t="e">
        <f>BD14&amp;BE14&amp;BF14&amp;BG14&amp;BH14&amp;BI14&amp;BJ14&amp;BK14&amp;BL14</f>
        <v>#VALUE!</v>
      </c>
      <c r="BB14" s="215"/>
      <c r="BD14" s="682" t="e">
        <f>IF(($AT14+$AU14)&lt;=$E14,"","* La suma de las celdas 'Trans' no debe ser mayor al Total de personas bajo control. ")</f>
        <v>#VALUE!</v>
      </c>
      <c r="BE14" s="682"/>
      <c r="BF14" s="682" t="str">
        <f>IF($AV14&lt;=$E14,"","* La celda de 'Pueblos Originarios' no debe ser mayor al Total de personas bajo control. ")</f>
        <v xml:space="preserve">* La celda de 'Pueblos Originarios' no debe ser mayor al Total de personas bajo control. </v>
      </c>
      <c r="BG14" s="682" t="str">
        <f>IF($AW14&lt;=$E14,"","* La celda de 'Población Migrantes' no debe ser mayor al Total de personas bajo control. ")</f>
        <v xml:space="preserve">* La celda de 'Población Migrantes' no debe ser mayor al Total de personas bajo control. </v>
      </c>
      <c r="BH14" s="682" t="str">
        <f>IF($AX14&lt;=$E14,"","* La celda de 'Población SENAME' no debe ser mayor al Total de personas bajo control. ")</f>
        <v xml:space="preserve">* La celda de 'Población SENAME' no debe ser mayor al Total de personas bajo control. </v>
      </c>
      <c r="BI14" s="465" t="str">
        <f>IF(AND($E14&lt;&gt;0,$AU14=""),"* No olvide escribir en la celda de Trans (Digite CERO si no tiene). ",IF(AND(E14&lt;&gt;0,AT14=""),"* No olvide escribir en la celda Trans (Digite CERO si no tiene). ",""))</f>
        <v/>
      </c>
      <c r="BJ14" s="465" t="str">
        <f>IF(AND($E14&lt;&gt;0,$AV14=""),"* No olvide escribir en la celda de Pueblos Originarios (Digite CERO si no tiene). ","")</f>
        <v/>
      </c>
      <c r="BK14" s="465" t="str">
        <f>IF(AND($E14&lt;&gt;0,$AW14=""),"* No olvide escribir en la celda de Población Migrantes (Digite CERO si no tiene). ","")</f>
        <v/>
      </c>
      <c r="BL14" s="465" t="str">
        <f>IF(AND($E14&lt;&gt;0,$AX14=""),"* No olvide escribir en la celda de Población SENAME (Digite CERO si no tiene). ","")</f>
        <v/>
      </c>
      <c r="BO14" s="683" t="e">
        <f>IF(($AT14+$AU14)&lt;=$E14,0,1)</f>
        <v>#VALUE!</v>
      </c>
      <c r="BP14" s="683"/>
      <c r="BQ14" s="683">
        <f>IF($AV14&lt;=$E14,0,1)</f>
        <v>1</v>
      </c>
      <c r="BR14" s="683">
        <f>IF($AW14&lt;=$E14,0,1)</f>
        <v>1</v>
      </c>
      <c r="BS14" s="683">
        <f>IF($AX14&lt;=$E14,0,1)</f>
        <v>1</v>
      </c>
      <c r="BT14" s="613">
        <f>IF(AND($E14&lt;&gt;0,$AU14=""),1,0)</f>
        <v>0</v>
      </c>
      <c r="BU14" s="613">
        <f>IF(AND($E14&lt;&gt;0,$AV14=""),1,0)</f>
        <v>0</v>
      </c>
      <c r="BV14" s="613">
        <f>IF(AND($E14&lt;&gt;0,$AW14=""),1,0)</f>
        <v>0</v>
      </c>
      <c r="BW14" s="613">
        <f>IF(AND($E14&lt;&gt;0,$AX14=""),1,0)</f>
        <v>0</v>
      </c>
    </row>
    <row r="15" spans="1:75" ht="27.75" customHeight="1" x14ac:dyDescent="0.15">
      <c r="A15" s="1797" t="s">
        <v>1198</v>
      </c>
      <c r="B15" s="2075"/>
      <c r="C15" s="2506"/>
      <c r="D15" s="1344" t="s">
        <v>655</v>
      </c>
      <c r="E15" s="1351" t="s">
        <v>1384</v>
      </c>
      <c r="F15" s="1352" t="s">
        <v>1385</v>
      </c>
      <c r="G15" s="1347" t="s">
        <v>1386</v>
      </c>
      <c r="H15" s="329" t="s">
        <v>1387</v>
      </c>
      <c r="I15" s="330" t="s">
        <v>1388</v>
      </c>
      <c r="J15" s="329" t="s">
        <v>1389</v>
      </c>
      <c r="K15" s="330" t="s">
        <v>1390</v>
      </c>
      <c r="L15" s="329" t="s">
        <v>1391</v>
      </c>
      <c r="M15" s="330" t="s">
        <v>1392</v>
      </c>
      <c r="N15" s="329" t="s">
        <v>1393</v>
      </c>
      <c r="O15" s="330" t="s">
        <v>1394</v>
      </c>
      <c r="P15" s="329" t="s">
        <v>1395</v>
      </c>
      <c r="Q15" s="330" t="s">
        <v>1396</v>
      </c>
      <c r="R15" s="329" t="s">
        <v>1397</v>
      </c>
      <c r="S15" s="330" t="s">
        <v>1398</v>
      </c>
      <c r="T15" s="329" t="s">
        <v>1399</v>
      </c>
      <c r="U15" s="330" t="s">
        <v>1400</v>
      </c>
      <c r="V15" s="329" t="s">
        <v>1401</v>
      </c>
      <c r="W15" s="330" t="s">
        <v>1402</v>
      </c>
      <c r="X15" s="329" t="s">
        <v>1403</v>
      </c>
      <c r="Y15" s="330" t="s">
        <v>1404</v>
      </c>
      <c r="Z15" s="329" t="s">
        <v>1405</v>
      </c>
      <c r="AA15" s="330" t="s">
        <v>1406</v>
      </c>
      <c r="AB15" s="329" t="s">
        <v>1407</v>
      </c>
      <c r="AC15" s="330" t="s">
        <v>1408</v>
      </c>
      <c r="AD15" s="329" t="s">
        <v>1409</v>
      </c>
      <c r="AE15" s="330" t="s">
        <v>1410</v>
      </c>
      <c r="AF15" s="329" t="s">
        <v>1411</v>
      </c>
      <c r="AG15" s="330" t="s">
        <v>1412</v>
      </c>
      <c r="AH15" s="329" t="s">
        <v>1413</v>
      </c>
      <c r="AI15" s="330" t="s">
        <v>1414</v>
      </c>
      <c r="AJ15" s="329" t="s">
        <v>1415</v>
      </c>
      <c r="AK15" s="330" t="s">
        <v>1416</v>
      </c>
      <c r="AL15" s="329" t="s">
        <v>1417</v>
      </c>
      <c r="AM15" s="330" t="s">
        <v>1418</v>
      </c>
      <c r="AN15" s="329" t="s">
        <v>1419</v>
      </c>
      <c r="AO15" s="330" t="s">
        <v>1420</v>
      </c>
      <c r="AP15" s="329" t="s">
        <v>1421</v>
      </c>
      <c r="AQ15" s="330" t="s">
        <v>1422</v>
      </c>
      <c r="AR15" s="329" t="s">
        <v>1423</v>
      </c>
      <c r="AS15" s="350" t="s">
        <v>1424</v>
      </c>
      <c r="AT15" s="1461" t="s">
        <v>1425</v>
      </c>
      <c r="AU15" s="330" t="s">
        <v>1426</v>
      </c>
      <c r="AV15" s="1291" t="s">
        <v>1427</v>
      </c>
      <c r="AW15" s="1462" t="s">
        <v>1428</v>
      </c>
      <c r="AX15" s="1292" t="s">
        <v>1429</v>
      </c>
      <c r="AY15" s="262" t="e">
        <f>BD15&amp;BE15&amp;BF15&amp;BG15&amp;BH15&amp;BI15&amp;BJ15&amp;BK15&amp;BL15</f>
        <v>#VALUE!</v>
      </c>
      <c r="BB15" s="215"/>
      <c r="BD15" s="682" t="e">
        <f>IF(($AT15+$AU15)&lt;=$E15,"","* La suma de las celdas 'Trans' no debe ser mayor al Total de personas bajo control. ")</f>
        <v>#VALUE!</v>
      </c>
      <c r="BE15" s="682"/>
      <c r="BF15" s="682" t="str">
        <f>IF($AV15&lt;=$E15,"","* La celda de 'Pueblos Originarios' no debe ser mayor al Total de personas bajo control. ")</f>
        <v xml:space="preserve">* La celda de 'Pueblos Originarios' no debe ser mayor al Total de personas bajo control. </v>
      </c>
      <c r="BG15" s="682" t="str">
        <f>IF($AW15&lt;=$E15,"","* La celda de 'Población Migrantes' no debe ser mayor al Total de personas bajo control. ")</f>
        <v xml:space="preserve">* La celda de 'Población Migrantes' no debe ser mayor al Total de personas bajo control. </v>
      </c>
      <c r="BH15" s="682" t="str">
        <f>IF($AX15&lt;=$E15,"","* La celda de 'Población SENAME' no debe ser mayor al Total de personas bajo control. ")</f>
        <v xml:space="preserve">* La celda de 'Población SENAME' no debe ser mayor al Total de personas bajo control. </v>
      </c>
      <c r="BI15" s="465" t="str">
        <f>IF(AND($E15&lt;&gt;0,$AU15=""),"* No olvide escribir en la celda de Trans (Digite CERO si no tiene). ",IF(AND(E15&lt;&gt;0,AT15=""),"* No olvide escribir en la celda Trans (Digite CERO si no tiene). ",""))</f>
        <v/>
      </c>
      <c r="BJ15" s="465" t="str">
        <f>IF(AND($E15&lt;&gt;0,$AV15=""),"* No olvide escribir en la celda de Pueblos Originarios (Digite CERO si no tiene). ","")</f>
        <v/>
      </c>
      <c r="BK15" s="465" t="str">
        <f>IF(AND($E15&lt;&gt;0,$AW15=""),"* No olvide escribir en la celda de Población Migrantes (Digite CERO si no tiene). ","")</f>
        <v/>
      </c>
      <c r="BL15" s="465" t="str">
        <f>IF(AND($E15&lt;&gt;0,$AX15=""),"* No olvide escribir en la celda de Población SENAME (Digite CERO si no tiene). ","")</f>
        <v/>
      </c>
      <c r="BO15" s="683" t="e">
        <f>IF(($AT15+$AU15)&lt;=$E15,0,1)</f>
        <v>#VALUE!</v>
      </c>
      <c r="BP15" s="683"/>
      <c r="BQ15" s="683">
        <f>IF($AV15&lt;=$E15,0,1)</f>
        <v>1</v>
      </c>
      <c r="BR15" s="683">
        <f>IF($AW15&lt;=$E15,0,1)</f>
        <v>1</v>
      </c>
      <c r="BS15" s="683">
        <f>IF($AX15&lt;=$E15,0,1)</f>
        <v>1</v>
      </c>
      <c r="BT15" s="613">
        <f>IF(AND($E15&lt;&gt;0,$AU15=""),1,0)</f>
        <v>0</v>
      </c>
      <c r="BU15" s="613">
        <f>IF(AND($E15&lt;&gt;0,$AV15=""),1,0)</f>
        <v>0</v>
      </c>
      <c r="BV15" s="613">
        <f>IF(AND($E15&lt;&gt;0,$AW15=""),1,0)</f>
        <v>0</v>
      </c>
      <c r="BW15" s="613">
        <f>IF(AND($E15&lt;&gt;0,$AX15=""),1,0)</f>
        <v>0</v>
      </c>
    </row>
    <row r="16" spans="1:75" ht="42.75" customHeight="1" x14ac:dyDescent="0.15">
      <c r="A16" s="1798" t="s">
        <v>1201</v>
      </c>
      <c r="B16" s="2521" t="s">
        <v>728</v>
      </c>
      <c r="C16" s="1456" t="s">
        <v>650</v>
      </c>
      <c r="D16" s="1457" t="s">
        <v>750</v>
      </c>
      <c r="E16" s="1458" t="s">
        <v>1384</v>
      </c>
      <c r="F16" s="1342" t="s">
        <v>1385</v>
      </c>
      <c r="G16" s="1343" t="s">
        <v>1386</v>
      </c>
      <c r="H16" s="1411" t="s">
        <v>1387</v>
      </c>
      <c r="I16" s="1412" t="s">
        <v>1388</v>
      </c>
      <c r="J16" s="1411" t="s">
        <v>1389</v>
      </c>
      <c r="K16" s="1412" t="s">
        <v>1390</v>
      </c>
      <c r="L16" s="1411" t="s">
        <v>1391</v>
      </c>
      <c r="M16" s="1412" t="s">
        <v>1392</v>
      </c>
      <c r="N16" s="1411" t="s">
        <v>1393</v>
      </c>
      <c r="O16" s="1412" t="s">
        <v>1394</v>
      </c>
      <c r="P16" s="1411" t="s">
        <v>1395</v>
      </c>
      <c r="Q16" s="320" t="s">
        <v>1396</v>
      </c>
      <c r="R16" s="1411" t="s">
        <v>1397</v>
      </c>
      <c r="S16" s="320" t="s">
        <v>1398</v>
      </c>
      <c r="T16" s="1411" t="s">
        <v>1399</v>
      </c>
      <c r="U16" s="320" t="s">
        <v>1400</v>
      </c>
      <c r="V16" s="1411" t="s">
        <v>1401</v>
      </c>
      <c r="W16" s="320" t="s">
        <v>1402</v>
      </c>
      <c r="X16" s="1411" t="s">
        <v>1403</v>
      </c>
      <c r="Y16" s="320" t="s">
        <v>1404</v>
      </c>
      <c r="Z16" s="1411" t="s">
        <v>1405</v>
      </c>
      <c r="AA16" s="320" t="s">
        <v>1406</v>
      </c>
      <c r="AB16" s="1411" t="s">
        <v>1407</v>
      </c>
      <c r="AC16" s="320" t="s">
        <v>1408</v>
      </c>
      <c r="AD16" s="1411" t="s">
        <v>1409</v>
      </c>
      <c r="AE16" s="320" t="s">
        <v>1410</v>
      </c>
      <c r="AF16" s="1411" t="s">
        <v>1411</v>
      </c>
      <c r="AG16" s="320" t="s">
        <v>1412</v>
      </c>
      <c r="AH16" s="1411" t="s">
        <v>1413</v>
      </c>
      <c r="AI16" s="320" t="s">
        <v>1414</v>
      </c>
      <c r="AJ16" s="1411" t="s">
        <v>1415</v>
      </c>
      <c r="AK16" s="1412" t="s">
        <v>1416</v>
      </c>
      <c r="AL16" s="1411" t="s">
        <v>1417</v>
      </c>
      <c r="AM16" s="1412" t="s">
        <v>1418</v>
      </c>
      <c r="AN16" s="1411" t="s">
        <v>1419</v>
      </c>
      <c r="AO16" s="1412" t="s">
        <v>1420</v>
      </c>
      <c r="AP16" s="1411" t="s">
        <v>1421</v>
      </c>
      <c r="AQ16" s="1412" t="s">
        <v>1422</v>
      </c>
      <c r="AR16" s="1411" t="s">
        <v>1423</v>
      </c>
      <c r="AS16" s="1415" t="s">
        <v>1424</v>
      </c>
      <c r="AT16" s="1459" t="s">
        <v>1425</v>
      </c>
      <c r="AU16" s="320" t="s">
        <v>1426</v>
      </c>
      <c r="AV16" s="1293" t="s">
        <v>1427</v>
      </c>
      <c r="AW16" s="1460" t="s">
        <v>1428</v>
      </c>
      <c r="AX16" s="1294" t="s">
        <v>1429</v>
      </c>
      <c r="AY16" s="262"/>
      <c r="BB16" s="215"/>
      <c r="BD16" s="682"/>
      <c r="BE16" s="682"/>
      <c r="BF16" s="682"/>
      <c r="BG16" s="682"/>
      <c r="BH16" s="682"/>
      <c r="BI16" s="465"/>
      <c r="BJ16" s="465"/>
      <c r="BK16" s="465"/>
      <c r="BL16" s="465"/>
      <c r="BO16" s="683"/>
      <c r="BP16" s="683"/>
      <c r="BQ16" s="683"/>
      <c r="BR16" s="683"/>
      <c r="BS16" s="683"/>
      <c r="BT16" s="613"/>
      <c r="BU16" s="613"/>
      <c r="BV16" s="613"/>
      <c r="BW16" s="613"/>
    </row>
    <row r="17" spans="1:75" ht="36" customHeight="1" x14ac:dyDescent="0.15">
      <c r="A17" s="1798" t="s">
        <v>1202</v>
      </c>
      <c r="B17" s="2199"/>
      <c r="C17" s="1455" t="s">
        <v>653</v>
      </c>
      <c r="D17" s="1708" t="s">
        <v>750</v>
      </c>
      <c r="E17" s="1351" t="s">
        <v>1384</v>
      </c>
      <c r="F17" s="1352" t="s">
        <v>1385</v>
      </c>
      <c r="G17" s="1347" t="s">
        <v>1386</v>
      </c>
      <c r="H17" s="329" t="s">
        <v>1387</v>
      </c>
      <c r="I17" s="330" t="s">
        <v>1388</v>
      </c>
      <c r="J17" s="329" t="s">
        <v>1389</v>
      </c>
      <c r="K17" s="330" t="s">
        <v>1390</v>
      </c>
      <c r="L17" s="329" t="s">
        <v>1391</v>
      </c>
      <c r="M17" s="330" t="s">
        <v>1392</v>
      </c>
      <c r="N17" s="329" t="s">
        <v>1393</v>
      </c>
      <c r="O17" s="330" t="s">
        <v>1394</v>
      </c>
      <c r="P17" s="329" t="s">
        <v>1395</v>
      </c>
      <c r="Q17" s="330" t="s">
        <v>1396</v>
      </c>
      <c r="R17" s="329" t="s">
        <v>1397</v>
      </c>
      <c r="S17" s="330" t="s">
        <v>1398</v>
      </c>
      <c r="T17" s="329" t="s">
        <v>1399</v>
      </c>
      <c r="U17" s="330" t="s">
        <v>1400</v>
      </c>
      <c r="V17" s="329" t="s">
        <v>1401</v>
      </c>
      <c r="W17" s="330" t="s">
        <v>1402</v>
      </c>
      <c r="X17" s="329" t="s">
        <v>1403</v>
      </c>
      <c r="Y17" s="330" t="s">
        <v>1404</v>
      </c>
      <c r="Z17" s="329" t="s">
        <v>1405</v>
      </c>
      <c r="AA17" s="330" t="s">
        <v>1406</v>
      </c>
      <c r="AB17" s="329" t="s">
        <v>1407</v>
      </c>
      <c r="AC17" s="330" t="s">
        <v>1408</v>
      </c>
      <c r="AD17" s="329" t="s">
        <v>1409</v>
      </c>
      <c r="AE17" s="330" t="s">
        <v>1410</v>
      </c>
      <c r="AF17" s="329" t="s">
        <v>1411</v>
      </c>
      <c r="AG17" s="330" t="s">
        <v>1412</v>
      </c>
      <c r="AH17" s="329" t="s">
        <v>1413</v>
      </c>
      <c r="AI17" s="330" t="s">
        <v>1414</v>
      </c>
      <c r="AJ17" s="329" t="s">
        <v>1415</v>
      </c>
      <c r="AK17" s="330" t="s">
        <v>1416</v>
      </c>
      <c r="AL17" s="329" t="s">
        <v>1417</v>
      </c>
      <c r="AM17" s="330" t="s">
        <v>1418</v>
      </c>
      <c r="AN17" s="329" t="s">
        <v>1419</v>
      </c>
      <c r="AO17" s="330" t="s">
        <v>1420</v>
      </c>
      <c r="AP17" s="329" t="s">
        <v>1421</v>
      </c>
      <c r="AQ17" s="330" t="s">
        <v>1422</v>
      </c>
      <c r="AR17" s="329" t="s">
        <v>1423</v>
      </c>
      <c r="AS17" s="350" t="s">
        <v>1424</v>
      </c>
      <c r="AT17" s="1461" t="s">
        <v>1425</v>
      </c>
      <c r="AU17" s="330" t="s">
        <v>1426</v>
      </c>
      <c r="AV17" s="1291" t="s">
        <v>1427</v>
      </c>
      <c r="AW17" s="1462" t="s">
        <v>1428</v>
      </c>
      <c r="AX17" s="1292" t="s">
        <v>1429</v>
      </c>
      <c r="AY17" s="262"/>
      <c r="BB17" s="215"/>
      <c r="BD17" s="682"/>
      <c r="BE17" s="682"/>
      <c r="BF17" s="682"/>
      <c r="BG17" s="682"/>
      <c r="BH17" s="682"/>
      <c r="BI17" s="465"/>
      <c r="BJ17" s="465"/>
      <c r="BK17" s="465"/>
      <c r="BL17" s="465"/>
      <c r="BO17" s="683"/>
      <c r="BP17" s="683"/>
      <c r="BQ17" s="683"/>
      <c r="BR17" s="683"/>
      <c r="BS17" s="683"/>
      <c r="BT17" s="613"/>
      <c r="BU17" s="613"/>
      <c r="BV17" s="613"/>
      <c r="BW17" s="613"/>
    </row>
    <row r="18" spans="1:75" ht="22.5" customHeight="1" x14ac:dyDescent="0.2">
      <c r="B18" s="684" t="s">
        <v>775</v>
      </c>
      <c r="C18" s="681"/>
      <c r="D18" s="681"/>
      <c r="E18" s="681"/>
      <c r="F18" s="681"/>
      <c r="G18" s="681"/>
      <c r="H18" s="680"/>
      <c r="I18" s="680"/>
      <c r="J18" s="680"/>
      <c r="K18" s="680"/>
      <c r="L18" s="680"/>
      <c r="M18" s="680"/>
      <c r="R18" s="460"/>
      <c r="BB18" s="215"/>
    </row>
    <row r="19" spans="1:75" ht="24" customHeight="1" x14ac:dyDescent="0.15">
      <c r="B19" s="2490" t="s">
        <v>170</v>
      </c>
      <c r="C19" s="2491" t="s">
        <v>15</v>
      </c>
      <c r="D19" s="2492"/>
      <c r="E19" s="2493"/>
      <c r="F19" s="2382" t="s">
        <v>49</v>
      </c>
      <c r="G19" s="2497"/>
      <c r="H19" s="2497"/>
      <c r="I19" s="2497"/>
      <c r="J19" s="2497"/>
      <c r="K19" s="2497"/>
      <c r="L19" s="2497"/>
      <c r="M19" s="2497"/>
      <c r="N19" s="2497"/>
      <c r="O19" s="2497"/>
      <c r="P19" s="2497"/>
      <c r="Q19" s="2497"/>
      <c r="R19" s="2497"/>
      <c r="S19" s="2497"/>
      <c r="T19" s="2497"/>
      <c r="U19" s="2497"/>
      <c r="V19" s="2497"/>
      <c r="W19" s="2497"/>
      <c r="X19" s="2497"/>
      <c r="Y19" s="2497"/>
      <c r="Z19" s="2497"/>
      <c r="AA19" s="2497"/>
      <c r="AB19" s="2497"/>
      <c r="AC19" s="2497"/>
      <c r="AD19" s="2497"/>
      <c r="AE19" s="2497"/>
      <c r="AF19" s="2497"/>
      <c r="AG19" s="2498"/>
      <c r="AH19" s="2517" t="s">
        <v>278</v>
      </c>
      <c r="AI19" s="2513"/>
      <c r="AJ19" s="2514" t="s">
        <v>17</v>
      </c>
      <c r="AK19" s="2513" t="s">
        <v>527</v>
      </c>
      <c r="BB19" s="215"/>
      <c r="BE19" s="2222" t="s">
        <v>278</v>
      </c>
      <c r="BF19" s="2222"/>
      <c r="BG19" s="2222" t="s">
        <v>17</v>
      </c>
      <c r="BH19" s="2222" t="s">
        <v>527</v>
      </c>
      <c r="BI19" s="2222" t="s">
        <v>278</v>
      </c>
      <c r="BJ19" s="2396" t="s">
        <v>17</v>
      </c>
      <c r="BK19" s="2396" t="s">
        <v>527</v>
      </c>
      <c r="BP19" s="2258" t="s">
        <v>278</v>
      </c>
      <c r="BQ19" s="2258"/>
      <c r="BR19" s="2258" t="s">
        <v>17</v>
      </c>
      <c r="BS19" s="2258" t="s">
        <v>527</v>
      </c>
      <c r="BT19" s="2258" t="s">
        <v>278</v>
      </c>
      <c r="BU19" s="2484" t="s">
        <v>17</v>
      </c>
      <c r="BV19" s="2484" t="s">
        <v>527</v>
      </c>
    </row>
    <row r="20" spans="1:75" ht="25.5" customHeight="1" x14ac:dyDescent="0.15">
      <c r="B20" s="2490"/>
      <c r="C20" s="2494"/>
      <c r="D20" s="2495"/>
      <c r="E20" s="2496"/>
      <c r="F20" s="2085" t="s">
        <v>19</v>
      </c>
      <c r="G20" s="2086"/>
      <c r="H20" s="2085" t="s">
        <v>20</v>
      </c>
      <c r="I20" s="2086"/>
      <c r="J20" s="2085" t="s">
        <v>21</v>
      </c>
      <c r="K20" s="2086"/>
      <c r="L20" s="2499" t="s">
        <v>22</v>
      </c>
      <c r="M20" s="2500"/>
      <c r="N20" s="2499" t="s">
        <v>23</v>
      </c>
      <c r="O20" s="2500"/>
      <c r="P20" s="2499" t="s">
        <v>24</v>
      </c>
      <c r="Q20" s="2500"/>
      <c r="R20" s="2499" t="s">
        <v>25</v>
      </c>
      <c r="S20" s="2500"/>
      <c r="T20" s="2499" t="s">
        <v>26</v>
      </c>
      <c r="U20" s="2500"/>
      <c r="V20" s="2499" t="s">
        <v>234</v>
      </c>
      <c r="W20" s="2500"/>
      <c r="X20" s="2499" t="s">
        <v>235</v>
      </c>
      <c r="Y20" s="2500"/>
      <c r="Z20" s="2499" t="s">
        <v>207</v>
      </c>
      <c r="AA20" s="2500"/>
      <c r="AB20" s="2085" t="s">
        <v>208</v>
      </c>
      <c r="AC20" s="2502"/>
      <c r="AD20" s="2085" t="s">
        <v>209</v>
      </c>
      <c r="AE20" s="2502"/>
      <c r="AF20" s="2085" t="s">
        <v>221</v>
      </c>
      <c r="AG20" s="2501"/>
      <c r="AH20" s="2518"/>
      <c r="AI20" s="2489"/>
      <c r="AJ20" s="2515"/>
      <c r="AK20" s="2488"/>
      <c r="BB20" s="215"/>
      <c r="BE20" s="2222"/>
      <c r="BF20" s="2222"/>
      <c r="BG20" s="2222"/>
      <c r="BH20" s="2222"/>
      <c r="BI20" s="2222"/>
      <c r="BJ20" s="2397"/>
      <c r="BK20" s="2397"/>
      <c r="BP20" s="2258"/>
      <c r="BQ20" s="2258"/>
      <c r="BR20" s="2258"/>
      <c r="BS20" s="2258"/>
      <c r="BT20" s="2258"/>
      <c r="BU20" s="2485"/>
      <c r="BV20" s="2485"/>
    </row>
    <row r="21" spans="1:75" ht="27.75" customHeight="1" x14ac:dyDescent="0.15">
      <c r="B21" s="2490"/>
      <c r="C21" s="219" t="s">
        <v>99</v>
      </c>
      <c r="D21" s="258" t="s">
        <v>33</v>
      </c>
      <c r="E21" s="259" t="s">
        <v>100</v>
      </c>
      <c r="F21" s="103" t="s">
        <v>145</v>
      </c>
      <c r="G21" s="260" t="s">
        <v>100</v>
      </c>
      <c r="H21" s="103" t="s">
        <v>145</v>
      </c>
      <c r="I21" s="260" t="s">
        <v>100</v>
      </c>
      <c r="J21" s="103" t="s">
        <v>145</v>
      </c>
      <c r="K21" s="260" t="s">
        <v>100</v>
      </c>
      <c r="L21" s="103" t="s">
        <v>145</v>
      </c>
      <c r="M21" s="260" t="s">
        <v>100</v>
      </c>
      <c r="N21" s="103" t="s">
        <v>145</v>
      </c>
      <c r="O21" s="260" t="s">
        <v>100</v>
      </c>
      <c r="P21" s="103" t="s">
        <v>145</v>
      </c>
      <c r="Q21" s="260" t="s">
        <v>100</v>
      </c>
      <c r="R21" s="103" t="s">
        <v>145</v>
      </c>
      <c r="S21" s="260" t="s">
        <v>100</v>
      </c>
      <c r="T21" s="103" t="s">
        <v>145</v>
      </c>
      <c r="U21" s="260" t="s">
        <v>100</v>
      </c>
      <c r="V21" s="103" t="s">
        <v>145</v>
      </c>
      <c r="W21" s="260" t="s">
        <v>100</v>
      </c>
      <c r="X21" s="103" t="s">
        <v>145</v>
      </c>
      <c r="Y21" s="260" t="s">
        <v>100</v>
      </c>
      <c r="Z21" s="103" t="s">
        <v>145</v>
      </c>
      <c r="AA21" s="260" t="s">
        <v>100</v>
      </c>
      <c r="AB21" s="103" t="s">
        <v>145</v>
      </c>
      <c r="AC21" s="260" t="s">
        <v>100</v>
      </c>
      <c r="AD21" s="103" t="s">
        <v>145</v>
      </c>
      <c r="AE21" s="260" t="s">
        <v>100</v>
      </c>
      <c r="AF21" s="103" t="s">
        <v>145</v>
      </c>
      <c r="AG21" s="263" t="s">
        <v>100</v>
      </c>
      <c r="AH21" s="389" t="s">
        <v>525</v>
      </c>
      <c r="AI21" s="260" t="s">
        <v>526</v>
      </c>
      <c r="AJ21" s="2516"/>
      <c r="AK21" s="2489"/>
      <c r="BB21" s="215"/>
      <c r="BE21" s="1248" t="s">
        <v>525</v>
      </c>
      <c r="BF21" s="1255" t="s">
        <v>627</v>
      </c>
      <c r="BG21" s="2222"/>
      <c r="BH21" s="2222"/>
      <c r="BI21" s="1248" t="s">
        <v>625</v>
      </c>
      <c r="BJ21" s="1248" t="s">
        <v>625</v>
      </c>
      <c r="BK21" s="1248" t="s">
        <v>625</v>
      </c>
      <c r="BP21" s="1252" t="s">
        <v>525</v>
      </c>
      <c r="BQ21" s="1256" t="s">
        <v>627</v>
      </c>
      <c r="BR21" s="2258"/>
      <c r="BS21" s="2258"/>
      <c r="BT21" s="1252" t="s">
        <v>625</v>
      </c>
      <c r="BU21" s="1252" t="s">
        <v>625</v>
      </c>
      <c r="BV21" s="1252" t="s">
        <v>625</v>
      </c>
    </row>
    <row r="22" spans="1:75" ht="26.25" customHeight="1" x14ac:dyDescent="0.15">
      <c r="A22" s="1797" t="s">
        <v>1199</v>
      </c>
      <c r="B22" s="264" t="s">
        <v>281</v>
      </c>
      <c r="C22" s="1190" t="s">
        <v>1384</v>
      </c>
      <c r="D22" s="1191" t="s">
        <v>1385</v>
      </c>
      <c r="E22" s="1189" t="s">
        <v>1386</v>
      </c>
      <c r="F22" s="305" t="s">
        <v>1387</v>
      </c>
      <c r="G22" s="1192" t="s">
        <v>1388</v>
      </c>
      <c r="H22" s="305" t="s">
        <v>1389</v>
      </c>
      <c r="I22" s="1192" t="s">
        <v>1390</v>
      </c>
      <c r="J22" s="305" t="s">
        <v>1391</v>
      </c>
      <c r="K22" s="1192" t="s">
        <v>1392</v>
      </c>
      <c r="L22" s="305" t="s">
        <v>1393</v>
      </c>
      <c r="M22" s="1192" t="s">
        <v>1394</v>
      </c>
      <c r="N22" s="305" t="s">
        <v>1395</v>
      </c>
      <c r="O22" s="1192" t="s">
        <v>1396</v>
      </c>
      <c r="P22" s="305" t="s">
        <v>1397</v>
      </c>
      <c r="Q22" s="1192" t="s">
        <v>1398</v>
      </c>
      <c r="R22" s="305" t="s">
        <v>1399</v>
      </c>
      <c r="S22" s="1192" t="s">
        <v>1400</v>
      </c>
      <c r="T22" s="305" t="s">
        <v>1401</v>
      </c>
      <c r="U22" s="1192" t="s">
        <v>1402</v>
      </c>
      <c r="V22" s="305" t="s">
        <v>1403</v>
      </c>
      <c r="W22" s="1192" t="s">
        <v>1404</v>
      </c>
      <c r="X22" s="305" t="s">
        <v>1405</v>
      </c>
      <c r="Y22" s="1192" t="s">
        <v>1406</v>
      </c>
      <c r="Z22" s="305" t="s">
        <v>1407</v>
      </c>
      <c r="AA22" s="1192" t="s">
        <v>1408</v>
      </c>
      <c r="AB22" s="305" t="s">
        <v>1409</v>
      </c>
      <c r="AC22" s="1192" t="s">
        <v>1410</v>
      </c>
      <c r="AD22" s="305" t="s">
        <v>1411</v>
      </c>
      <c r="AE22" s="1192" t="s">
        <v>1412</v>
      </c>
      <c r="AF22" s="305" t="s">
        <v>1413</v>
      </c>
      <c r="AG22" s="348" t="s">
        <v>1414</v>
      </c>
      <c r="AH22" s="1193" t="s">
        <v>1415</v>
      </c>
      <c r="AI22" s="1465" t="s">
        <v>1416</v>
      </c>
      <c r="AJ22" s="1466" t="s">
        <v>1417</v>
      </c>
      <c r="AK22" s="1465" t="s">
        <v>1418</v>
      </c>
      <c r="AL22" s="262" t="e">
        <f xml:space="preserve"> BE22 &amp; BF22 &amp; BG22 &amp; BH22 &amp; BI22 &amp; BJ22 &amp; BK22</f>
        <v>#VALUE!</v>
      </c>
      <c r="BE22" s="682" t="e">
        <f>IF(($AH22+$AI22)&lt;=$C22,"","* La suma de las celdas 'Trans' no debe ser mayor al Total de personas bajo control. ")</f>
        <v>#VALUE!</v>
      </c>
      <c r="BF22" s="682"/>
      <c r="BG22" s="682" t="str">
        <f>IF($AJ22&lt;=$C22,"","* La celda de 'Pueblos Originarios' no debe ser mayor al Total de personas bajo control. ")</f>
        <v xml:space="preserve">* La celda de 'Pueblos Originarios' no debe ser mayor al Total de personas bajo control. </v>
      </c>
      <c r="BH22" s="682" t="str">
        <f>IF($AK22&lt;=$C22,"","* La celda de 'Población Migrantes' no debe ser mayor al Total de personas bajo control. ")</f>
        <v xml:space="preserve">* La celda de 'Población Migrantes' no debe ser mayor al Total de personas bajo control. </v>
      </c>
      <c r="BI22" s="465" t="str">
        <f>IF(AND($C22&lt;&gt;0,$AH22=""),"* No olvide escribir en la celda de Trans (Digite CERO si no tiene). ",IF(AND($C22&lt;&gt;0,$AI22=""),"* No olvide escribir en la celda Trans (Digite CERO si no tiene). ",""))</f>
        <v/>
      </c>
      <c r="BJ22" s="465" t="str">
        <f>IF(AND($C22&lt;&gt;0,$AJ22=""),"* No olvide escribir en la celda de Pueblos Originarios (Digite CERO si no tiene). ","")</f>
        <v/>
      </c>
      <c r="BK22" s="465" t="str">
        <f>IF(AND($C22&lt;&gt;0,$AK22=""),"* No olvide escribir en la celda de Población Migrantes (Digite CERO si no tiene). ","")</f>
        <v/>
      </c>
      <c r="BM22" s="399"/>
      <c r="BP22" s="683" t="e">
        <f>IF(($AH22+$AI22)&lt;=$C22,0,1)</f>
        <v>#VALUE!</v>
      </c>
      <c r="BQ22" s="683">
        <f>IF($AI22&lt;=$E22,0,0)</f>
        <v>0</v>
      </c>
      <c r="BR22" s="683">
        <f>IF($AJ22&lt;=$C22,0,1)</f>
        <v>1</v>
      </c>
      <c r="BS22" s="683">
        <f>IF($AK22&lt;=$C22,0,1)</f>
        <v>1</v>
      </c>
      <c r="BT22" s="486">
        <f>IF(AND($C22&lt;&gt;0,$AH22=""),1,IF(AND($C22&lt;&gt;0,$AI22=""),1,0))</f>
        <v>0</v>
      </c>
      <c r="BU22" s="486">
        <f>IF(AND($C22&lt;&gt;0,$AJ22=""),1,0)</f>
        <v>0</v>
      </c>
      <c r="BV22" s="486">
        <f>IF(AND($C22&lt;&gt;0,$AK22=""),1,0)</f>
        <v>0</v>
      </c>
    </row>
    <row r="23" spans="1:75" x14ac:dyDescent="0.15">
      <c r="BM23" s="399"/>
      <c r="BN23" s="399"/>
      <c r="BO23" s="399"/>
      <c r="BP23" s="399"/>
    </row>
    <row r="24" spans="1:75" x14ac:dyDescent="0.15">
      <c r="R24" s="460"/>
      <c r="BM24" s="399"/>
      <c r="BN24" s="399"/>
      <c r="BO24" s="399"/>
      <c r="BP24" s="399"/>
    </row>
    <row r="25" spans="1:75" x14ac:dyDescent="0.15">
      <c r="BM25" s="399"/>
      <c r="BN25" s="399"/>
      <c r="BO25" s="399"/>
    </row>
    <row r="26" spans="1:75" x14ac:dyDescent="0.15">
      <c r="BM26" s="399"/>
      <c r="BN26" s="399"/>
      <c r="BO26" s="399"/>
    </row>
    <row r="27" spans="1:75" x14ac:dyDescent="0.15">
      <c r="BM27" s="399"/>
      <c r="BN27" s="399"/>
      <c r="BO27" s="399"/>
    </row>
    <row r="28" spans="1:75" x14ac:dyDescent="0.15">
      <c r="BM28" s="399"/>
      <c r="BN28" s="399"/>
    </row>
    <row r="29" spans="1:75" x14ac:dyDescent="0.15">
      <c r="BM29" s="399"/>
      <c r="BN29" s="399"/>
    </row>
    <row r="30" spans="1:75" x14ac:dyDescent="0.15">
      <c r="A30" s="215" t="s">
        <v>1200</v>
      </c>
      <c r="BM30" s="399"/>
    </row>
    <row r="32" spans="1:75" hidden="1" x14ac:dyDescent="0.15"/>
    <row r="33" spans="1:49" s="474" customFormat="1" ht="14.45" hidden="1" customHeight="1" x14ac:dyDescent="0.15">
      <c r="B33" s="464">
        <f>SUM(E12:AW14,C22:AK22)</f>
        <v>0</v>
      </c>
      <c r="C33" s="465" t="s">
        <v>350</v>
      </c>
    </row>
    <row r="34" spans="1:49" ht="14.45" hidden="1" customHeight="1" x14ac:dyDescent="0.15">
      <c r="B34" s="464" t="e">
        <f>SUM(BO12:BW22)</f>
        <v>#VALUE!</v>
      </c>
      <c r="C34" s="465" t="s">
        <v>351</v>
      </c>
      <c r="D34" s="474"/>
      <c r="E34" s="474"/>
      <c r="F34" s="474"/>
      <c r="G34" s="474"/>
      <c r="H34" s="474"/>
      <c r="I34" s="474"/>
      <c r="J34" s="474"/>
      <c r="K34" s="474"/>
      <c r="L34" s="474"/>
      <c r="M34" s="474"/>
      <c r="N34" s="474"/>
      <c r="O34" s="474"/>
      <c r="P34" s="474"/>
      <c r="Q34" s="474"/>
      <c r="R34" s="474"/>
      <c r="S34" s="474"/>
      <c r="T34" s="474"/>
      <c r="U34" s="474"/>
      <c r="V34" s="474"/>
      <c r="W34" s="474"/>
      <c r="X34" s="474"/>
      <c r="Y34" s="474"/>
      <c r="Z34" s="474"/>
      <c r="AA34" s="474"/>
      <c r="AB34" s="474"/>
      <c r="AC34" s="474"/>
      <c r="AD34" s="474"/>
      <c r="AE34" s="474"/>
      <c r="AF34" s="474"/>
      <c r="AG34" s="474"/>
      <c r="AH34" s="474"/>
      <c r="AI34" s="474"/>
      <c r="AJ34" s="474"/>
      <c r="AK34" s="474"/>
      <c r="AL34" s="474"/>
      <c r="AM34" s="474"/>
      <c r="AN34" s="474"/>
      <c r="AO34" s="474"/>
      <c r="AP34" s="474"/>
      <c r="AQ34" s="474"/>
      <c r="AR34" s="474"/>
      <c r="AS34" s="474"/>
      <c r="AT34" s="474"/>
      <c r="AU34" s="474"/>
      <c r="AV34" s="474"/>
      <c r="AW34" s="474"/>
    </row>
    <row r="35" spans="1:49" hidden="1" x14ac:dyDescent="0.15"/>
    <row r="36" spans="1:49" hidden="1" x14ac:dyDescent="0.15"/>
    <row r="37" spans="1:49" hidden="1" x14ac:dyDescent="0.15"/>
    <row r="38" spans="1:49" hidden="1" x14ac:dyDescent="0.15"/>
    <row r="39" spans="1:49" hidden="1" x14ac:dyDescent="0.15"/>
    <row r="40" spans="1:49" hidden="1" x14ac:dyDescent="0.15"/>
    <row r="41" spans="1:49" hidden="1" x14ac:dyDescent="0.15"/>
    <row r="42" spans="1:49" ht="24.75" customHeight="1" x14ac:dyDescent="0.15">
      <c r="A42" s="1799" t="s">
        <v>1201</v>
      </c>
    </row>
    <row r="43" spans="1:49" ht="21" customHeight="1" x14ac:dyDescent="0.15">
      <c r="A43" s="1799" t="s">
        <v>1202</v>
      </c>
    </row>
  </sheetData>
  <mergeCells count="79">
    <mergeCell ref="B16:B17"/>
    <mergeCell ref="BW9:BW10"/>
    <mergeCell ref="BH9:BH11"/>
    <mergeCell ref="BS9:BS11"/>
    <mergeCell ref="BV9:BV10"/>
    <mergeCell ref="BD9:BE10"/>
    <mergeCell ref="BF9:BF11"/>
    <mergeCell ref="BI9:BI10"/>
    <mergeCell ref="BG9:BG11"/>
    <mergeCell ref="BJ9:BJ10"/>
    <mergeCell ref="BT9:BT10"/>
    <mergeCell ref="BU9:BU10"/>
    <mergeCell ref="BL9:BL10"/>
    <mergeCell ref="BK9:BK10"/>
    <mergeCell ref="BO9:BP10"/>
    <mergeCell ref="B12:B15"/>
    <mergeCell ref="C12:C13"/>
    <mergeCell ref="B9:D11"/>
    <mergeCell ref="C14:C15"/>
    <mergeCell ref="AW9:AW11"/>
    <mergeCell ref="AK19:AK21"/>
    <mergeCell ref="AJ19:AJ21"/>
    <mergeCell ref="AV9:AV11"/>
    <mergeCell ref="AR10:AS10"/>
    <mergeCell ref="AP10:AQ10"/>
    <mergeCell ref="AT9:AU10"/>
    <mergeCell ref="AH19:AI20"/>
    <mergeCell ref="AD20:AE20"/>
    <mergeCell ref="H10:I10"/>
    <mergeCell ref="J10:K10"/>
    <mergeCell ref="L10:M10"/>
    <mergeCell ref="N10:O10"/>
    <mergeCell ref="Z10:AA10"/>
    <mergeCell ref="T10:U10"/>
    <mergeCell ref="X10:Y10"/>
    <mergeCell ref="V10:W10"/>
    <mergeCell ref="B7:R7"/>
    <mergeCell ref="H9:AS9"/>
    <mergeCell ref="AL10:AM10"/>
    <mergeCell ref="P10:Q10"/>
    <mergeCell ref="R10:S10"/>
    <mergeCell ref="AN10:AO10"/>
    <mergeCell ref="AJ10:AK10"/>
    <mergeCell ref="AB10:AC10"/>
    <mergeCell ref="AH10:AI10"/>
    <mergeCell ref="AD10:AE10"/>
    <mergeCell ref="AF10:AG10"/>
    <mergeCell ref="E9:G10"/>
    <mergeCell ref="B19:B21"/>
    <mergeCell ref="C19:E20"/>
    <mergeCell ref="F19:AG19"/>
    <mergeCell ref="F20:G20"/>
    <mergeCell ref="H20:I20"/>
    <mergeCell ref="L20:M20"/>
    <mergeCell ref="N20:O20"/>
    <mergeCell ref="P20:Q20"/>
    <mergeCell ref="J20:K20"/>
    <mergeCell ref="T20:U20"/>
    <mergeCell ref="X20:Y20"/>
    <mergeCell ref="AF20:AG20"/>
    <mergeCell ref="V20:W20"/>
    <mergeCell ref="R20:S20"/>
    <mergeCell ref="Z20:AA20"/>
    <mergeCell ref="AB20:AC20"/>
    <mergeCell ref="AX9:AX11"/>
    <mergeCell ref="BE19:BF20"/>
    <mergeCell ref="BG19:BG21"/>
    <mergeCell ref="BH19:BH21"/>
    <mergeCell ref="BI19:BI20"/>
    <mergeCell ref="BJ19:BJ20"/>
    <mergeCell ref="BK19:BK20"/>
    <mergeCell ref="BP19:BQ20"/>
    <mergeCell ref="BR19:BR21"/>
    <mergeCell ref="BS19:BS21"/>
    <mergeCell ref="BT19:BT20"/>
    <mergeCell ref="BU19:BU20"/>
    <mergeCell ref="BV19:BV20"/>
    <mergeCell ref="BQ9:BQ11"/>
    <mergeCell ref="BR9:BR11"/>
  </mergeCells>
  <phoneticPr fontId="27" type="noConversion"/>
  <pageMargins left="0.70866141732283472" right="0.70866141732283472" top="0.74803149606299213" bottom="0.74803149606299213" header="0.31496062992125984" footer="0.31496062992125984"/>
  <pageSetup scale="60" pageOrder="overThenDown" orientation="landscape" r:id="rId1"/>
  <colBreaks count="2" manualBreakCount="2">
    <brk id="15" max="20" man="1"/>
    <brk id="31" max="20" man="1"/>
  </col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0" tint="-0.14999847407452621"/>
  </sheetPr>
  <dimension ref="A1:CA208"/>
  <sheetViews>
    <sheetView showGridLines="0" zoomScaleNormal="100" workbookViewId="0"/>
  </sheetViews>
  <sheetFormatPr baseColWidth="10" defaultColWidth="11.42578125" defaultRowHeight="15" x14ac:dyDescent="0.25"/>
  <cols>
    <col min="1" max="1" width="18.42578125" style="266" customWidth="1"/>
    <col min="2" max="2" width="23.85546875" style="288" customWidth="1"/>
    <col min="3" max="11" width="18" style="288" customWidth="1"/>
    <col min="12" max="12" width="18" style="266" customWidth="1"/>
    <col min="13" max="13" width="18.5703125" style="266" customWidth="1"/>
    <col min="14" max="26" width="10.140625" style="415" customWidth="1"/>
    <col min="27" max="27" width="12.85546875" style="415" customWidth="1"/>
    <col min="28" max="42" width="12.85546875" style="401" customWidth="1"/>
    <col min="54" max="65" width="12.85546875" style="401" customWidth="1"/>
    <col min="66" max="79" width="11.42578125" style="266" customWidth="1"/>
    <col min="80" max="16384" width="11.42578125" style="266"/>
  </cols>
  <sheetData>
    <row r="1" spans="1:79" s="460" customFormat="1" ht="13.5" customHeight="1" x14ac:dyDescent="0.15">
      <c r="B1" s="148" t="s">
        <v>0</v>
      </c>
      <c r="C1" s="149"/>
      <c r="D1" s="149"/>
      <c r="E1" s="149"/>
      <c r="F1" s="149"/>
      <c r="G1" s="149"/>
      <c r="H1" s="149"/>
      <c r="I1" s="149"/>
      <c r="J1" s="70"/>
      <c r="K1" s="70"/>
      <c r="L1" s="70"/>
      <c r="M1" s="70"/>
      <c r="N1" s="392"/>
      <c r="O1" s="392"/>
      <c r="P1" s="392"/>
      <c r="Q1" s="392"/>
      <c r="R1" s="392"/>
      <c r="S1" s="392"/>
      <c r="T1" s="392"/>
      <c r="U1" s="392"/>
      <c r="V1" s="392"/>
      <c r="W1" s="392"/>
      <c r="X1" s="392"/>
      <c r="Y1" s="392"/>
      <c r="Z1" s="392"/>
      <c r="AA1" s="392"/>
      <c r="AB1" s="391"/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BB1" s="391"/>
      <c r="BC1" s="391"/>
      <c r="BD1" s="391"/>
      <c r="BE1" s="391"/>
      <c r="BF1" s="391"/>
      <c r="BG1" s="391"/>
      <c r="BH1" s="391"/>
      <c r="BI1" s="391"/>
      <c r="BJ1" s="391"/>
      <c r="BK1" s="391"/>
      <c r="BL1" s="391"/>
      <c r="BM1" s="391"/>
      <c r="BN1" s="70"/>
      <c r="BO1" s="70"/>
      <c r="BP1" s="70"/>
      <c r="BQ1" s="70"/>
      <c r="BR1" s="70"/>
      <c r="BS1" s="70"/>
      <c r="BT1" s="70"/>
      <c r="BU1" s="70"/>
      <c r="BV1" s="70"/>
      <c r="BW1" s="70"/>
      <c r="BX1" s="70"/>
      <c r="BY1" s="70"/>
      <c r="BZ1" s="70"/>
      <c r="CA1" s="70"/>
    </row>
    <row r="2" spans="1:79" s="460" customFormat="1" ht="13.5" customHeight="1" x14ac:dyDescent="0.15">
      <c r="B2" s="148" t="str">
        <f>CONCATENATE("COMUNA: ",NOMBRE!$B$2," - ","( ",NOMBRE!$C$2,NOMBRE!$D$2,NOMBRE!$E$2,NOMBRE!$F$2,NOMBRE!$G$2," )")</f>
        <v>COMUNA:  - (  )</v>
      </c>
      <c r="C2" s="149"/>
      <c r="D2" s="149"/>
      <c r="E2" s="149"/>
      <c r="F2" s="149"/>
      <c r="G2" s="149"/>
      <c r="H2" s="149"/>
      <c r="I2" s="149"/>
      <c r="J2" s="70"/>
      <c r="K2" s="70"/>
      <c r="L2" s="70"/>
      <c r="M2" s="70"/>
      <c r="N2" s="392"/>
      <c r="O2" s="392"/>
      <c r="P2" s="392"/>
      <c r="Q2" s="392"/>
      <c r="R2" s="392"/>
      <c r="S2" s="392"/>
      <c r="T2" s="392"/>
      <c r="U2" s="392"/>
      <c r="V2" s="392"/>
      <c r="W2" s="392"/>
      <c r="X2" s="392"/>
      <c r="Y2" s="392"/>
      <c r="Z2" s="392"/>
      <c r="AA2" s="392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BB2" s="391"/>
      <c r="BC2" s="391"/>
      <c r="BD2" s="391"/>
      <c r="BE2" s="391"/>
      <c r="BF2" s="391"/>
      <c r="BG2" s="391"/>
      <c r="BH2" s="391"/>
      <c r="BI2" s="391"/>
      <c r="BJ2" s="391"/>
      <c r="BK2" s="391"/>
      <c r="BL2" s="391"/>
      <c r="BM2" s="391"/>
      <c r="BN2" s="70"/>
      <c r="BO2" s="70"/>
      <c r="BP2" s="70"/>
      <c r="BQ2" s="70"/>
      <c r="BR2" s="70"/>
      <c r="BS2" s="70"/>
      <c r="BT2" s="70"/>
      <c r="BU2" s="70"/>
      <c r="BV2" s="70"/>
      <c r="BW2" s="70"/>
      <c r="BX2" s="70"/>
      <c r="BY2" s="70"/>
      <c r="BZ2" s="70"/>
      <c r="CA2" s="70"/>
    </row>
    <row r="3" spans="1:79" s="460" customFormat="1" ht="13.5" customHeight="1" x14ac:dyDescent="0.15">
      <c r="B3" s="148" t="str">
        <f>CONCATENATE("ESTABLECIMIENTO/ESTRATEGIA: ",NOMBRE!$B$3," - ","( ",NOMBRE!$C$3,NOMBRE!$D$3,NOMBRE!$E$3,NOMBRE!$F$3,NOMBRE!$G$3,NOMBRE!$H$3," )")</f>
        <v>ESTABLECIMIENTO/ESTRATEGIA:  - (  )</v>
      </c>
      <c r="C3" s="149"/>
      <c r="D3" s="149"/>
      <c r="E3" s="150"/>
      <c r="F3" s="149"/>
      <c r="G3" s="149"/>
      <c r="H3" s="149"/>
      <c r="I3" s="149"/>
      <c r="J3" s="70"/>
      <c r="K3" s="70"/>
      <c r="L3" s="70"/>
      <c r="M3" s="70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391"/>
      <c r="AC3" s="391"/>
      <c r="AD3" s="391"/>
      <c r="AE3" s="391"/>
      <c r="AF3" s="391"/>
      <c r="AG3" s="391"/>
      <c r="AH3" s="391"/>
      <c r="AI3" s="391"/>
      <c r="AJ3" s="391"/>
      <c r="AK3" s="391"/>
      <c r="AL3" s="391"/>
      <c r="AM3" s="391"/>
      <c r="AN3" s="391"/>
      <c r="AO3" s="391"/>
      <c r="AP3" s="391"/>
      <c r="BB3" s="391"/>
      <c r="BC3" s="391"/>
      <c r="BD3" s="391"/>
      <c r="BE3" s="391"/>
      <c r="BF3" s="391"/>
      <c r="BG3" s="391"/>
      <c r="BH3" s="391"/>
      <c r="BI3" s="391"/>
      <c r="BJ3" s="391"/>
      <c r="BK3" s="391"/>
      <c r="BL3" s="391"/>
      <c r="BM3" s="391"/>
      <c r="BN3" s="70"/>
      <c r="BO3" s="70"/>
      <c r="BP3" s="70"/>
      <c r="BQ3" s="70"/>
      <c r="BR3" s="70"/>
      <c r="BS3" s="70"/>
      <c r="BT3" s="70"/>
      <c r="BU3" s="70"/>
      <c r="BV3" s="70"/>
      <c r="BW3" s="70"/>
      <c r="BX3" s="70"/>
      <c r="BY3" s="70"/>
      <c r="BZ3" s="70"/>
      <c r="CA3" s="70"/>
    </row>
    <row r="4" spans="1:79" s="460" customFormat="1" ht="13.5" customHeight="1" x14ac:dyDescent="0.15">
      <c r="B4" s="148" t="str">
        <f>CONCATENATE("MES: ",NOMBRE!$B$6," - ","( ",NOMBRE!$C$6,NOMBRE!$D$6," )")</f>
        <v>MES:  - (  )</v>
      </c>
      <c r="C4" s="149"/>
      <c r="D4" s="149"/>
      <c r="E4" s="149"/>
      <c r="F4" s="149"/>
      <c r="G4" s="149"/>
      <c r="H4" s="149"/>
      <c r="I4" s="149"/>
      <c r="J4" s="70"/>
      <c r="K4" s="70"/>
      <c r="L4" s="70"/>
      <c r="M4" s="70"/>
      <c r="N4" s="392"/>
      <c r="O4" s="392"/>
      <c r="P4" s="392"/>
      <c r="Q4" s="392"/>
      <c r="R4" s="392"/>
      <c r="S4" s="392"/>
      <c r="T4" s="392"/>
      <c r="U4" s="392"/>
      <c r="V4" s="392"/>
      <c r="W4" s="392"/>
      <c r="X4" s="392"/>
      <c r="Y4" s="392"/>
      <c r="Z4" s="392"/>
      <c r="AA4" s="392"/>
      <c r="AB4" s="391"/>
      <c r="AC4" s="391"/>
      <c r="AD4" s="391"/>
      <c r="AE4" s="391"/>
      <c r="AF4" s="391"/>
      <c r="AG4" s="391"/>
      <c r="AH4" s="391"/>
      <c r="AI4" s="391"/>
      <c r="AJ4" s="391"/>
      <c r="AK4" s="391"/>
      <c r="AL4" s="391"/>
      <c r="AM4" s="391"/>
      <c r="AN4" s="391"/>
      <c r="AO4" s="391"/>
      <c r="AP4" s="391"/>
      <c r="BB4" s="391"/>
      <c r="BC4" s="391"/>
      <c r="BD4" s="391"/>
      <c r="BE4" s="391"/>
      <c r="BF4" s="391"/>
      <c r="BG4" s="391"/>
      <c r="BH4" s="391"/>
      <c r="BI4" s="391"/>
      <c r="BJ4" s="391"/>
      <c r="BK4" s="391"/>
      <c r="BL4" s="391"/>
      <c r="BM4" s="391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</row>
    <row r="5" spans="1:79" s="460" customFormat="1" ht="13.5" customHeight="1" x14ac:dyDescent="0.15">
      <c r="B5" s="148" t="str">
        <f>CONCATENATE("AÑO: ",NOMBRE!$B$7)</f>
        <v>AÑO: 2021</v>
      </c>
      <c r="C5" s="149"/>
      <c r="D5" s="149"/>
      <c r="E5" s="149"/>
      <c r="F5" s="149"/>
      <c r="G5" s="149"/>
      <c r="H5" s="149"/>
      <c r="I5" s="149"/>
      <c r="J5" s="70"/>
      <c r="K5" s="70"/>
      <c r="L5" s="70"/>
      <c r="M5" s="70"/>
      <c r="N5" s="392"/>
      <c r="O5" s="2547"/>
      <c r="P5" s="2547"/>
      <c r="Q5" s="428"/>
      <c r="R5" s="428"/>
      <c r="S5" s="428"/>
      <c r="T5" s="428"/>
      <c r="U5" s="428"/>
      <c r="V5" s="428"/>
      <c r="W5" s="428"/>
      <c r="X5" s="428"/>
      <c r="Y5" s="428"/>
      <c r="Z5" s="428"/>
      <c r="AA5" s="428"/>
      <c r="AB5" s="427"/>
      <c r="AC5" s="427"/>
      <c r="AD5" s="427"/>
      <c r="AE5" s="427"/>
      <c r="AF5" s="427"/>
      <c r="AG5" s="427"/>
      <c r="AH5" s="427"/>
      <c r="AI5" s="427"/>
      <c r="AJ5" s="427"/>
      <c r="AK5" s="427"/>
      <c r="AL5" s="427"/>
      <c r="AM5" s="427"/>
      <c r="AN5" s="427"/>
      <c r="AO5" s="427"/>
      <c r="AP5" s="427"/>
      <c r="BB5" s="427"/>
      <c r="BC5" s="427"/>
      <c r="BD5" s="427"/>
      <c r="BE5" s="427"/>
      <c r="BF5" s="427"/>
      <c r="BG5" s="427"/>
      <c r="BH5" s="427"/>
      <c r="BI5" s="427"/>
      <c r="BJ5" s="427"/>
      <c r="BK5" s="409"/>
      <c r="BL5" s="391"/>
      <c r="BM5" s="391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</row>
    <row r="6" spans="1:79" s="460" customFormat="1" ht="15" customHeight="1" x14ac:dyDescent="0.15">
      <c r="B6" s="148"/>
      <c r="C6" s="149"/>
      <c r="D6" s="149"/>
      <c r="E6" s="149"/>
      <c r="F6" s="149"/>
      <c r="G6" s="149"/>
      <c r="H6" s="149"/>
      <c r="I6" s="149"/>
      <c r="J6" s="70"/>
      <c r="K6" s="70"/>
      <c r="L6" s="70"/>
      <c r="M6" s="70"/>
      <c r="N6" s="392"/>
      <c r="O6" s="449"/>
      <c r="P6" s="449"/>
      <c r="Q6" s="449"/>
      <c r="R6" s="449"/>
      <c r="S6" s="449"/>
      <c r="T6" s="449"/>
      <c r="U6" s="449"/>
      <c r="V6" s="449"/>
      <c r="W6" s="449"/>
      <c r="X6" s="449"/>
      <c r="Y6" s="449"/>
      <c r="Z6" s="449"/>
      <c r="AA6" s="449"/>
      <c r="AB6" s="409"/>
      <c r="AC6" s="409"/>
      <c r="AD6" s="409"/>
      <c r="AE6" s="409"/>
      <c r="AF6" s="409"/>
      <c r="AG6" s="409"/>
      <c r="AH6" s="409"/>
      <c r="AI6" s="409"/>
      <c r="AJ6" s="409"/>
      <c r="AK6" s="409"/>
      <c r="AL6" s="409"/>
      <c r="AM6" s="409"/>
      <c r="AN6" s="409"/>
      <c r="AO6" s="409"/>
      <c r="AP6" s="409"/>
      <c r="BB6" s="409"/>
      <c r="BC6" s="409"/>
      <c r="BD6" s="409"/>
      <c r="BE6" s="409"/>
      <c r="BF6" s="409"/>
      <c r="BG6" s="409"/>
      <c r="BH6" s="409"/>
      <c r="BI6" s="409"/>
      <c r="BJ6" s="409"/>
      <c r="BK6" s="409"/>
      <c r="BL6" s="391"/>
      <c r="BM6" s="391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</row>
    <row r="7" spans="1:79" ht="22.5" customHeight="1" x14ac:dyDescent="0.25">
      <c r="B7" s="2548" t="s">
        <v>721</v>
      </c>
      <c r="C7" s="2548"/>
      <c r="D7" s="2548"/>
      <c r="E7" s="2548"/>
      <c r="F7" s="2548"/>
      <c r="G7" s="2548"/>
      <c r="H7" s="2548"/>
      <c r="I7" s="2548"/>
      <c r="J7" s="2548"/>
      <c r="K7" s="2548"/>
      <c r="L7" s="2548"/>
      <c r="M7" s="686"/>
      <c r="N7" s="687"/>
      <c r="O7" s="687"/>
      <c r="P7" s="687"/>
      <c r="Q7" s="687"/>
      <c r="R7" s="687"/>
      <c r="S7" s="687"/>
      <c r="T7" s="687"/>
      <c r="U7" s="687"/>
      <c r="V7" s="687"/>
      <c r="W7" s="687"/>
      <c r="X7" s="687"/>
      <c r="Y7" s="687"/>
      <c r="Z7" s="687"/>
      <c r="AA7" s="687"/>
      <c r="AB7" s="688"/>
      <c r="AC7" s="688"/>
      <c r="AD7" s="688"/>
      <c r="AE7" s="688"/>
      <c r="AF7" s="688"/>
      <c r="AG7" s="688"/>
      <c r="AH7" s="688"/>
      <c r="AI7" s="688"/>
      <c r="AJ7" s="688"/>
      <c r="AK7" s="688"/>
      <c r="AL7" s="688"/>
      <c r="AM7" s="688"/>
      <c r="AN7" s="688"/>
      <c r="AO7" s="688"/>
      <c r="AP7" s="688"/>
      <c r="BB7" s="688"/>
      <c r="BC7" s="688"/>
      <c r="BD7" s="688"/>
      <c r="BE7" s="688"/>
      <c r="BF7" s="688"/>
      <c r="BG7" s="688"/>
      <c r="BH7" s="688"/>
      <c r="BI7" s="688"/>
      <c r="BJ7" s="688"/>
      <c r="BK7" s="400"/>
    </row>
    <row r="8" spans="1:79" ht="44.1" customHeight="1" x14ac:dyDescent="0.25">
      <c r="B8" s="693" t="s">
        <v>504</v>
      </c>
      <c r="C8" s="280"/>
      <c r="D8" s="280"/>
      <c r="E8" s="280"/>
      <c r="F8" s="268"/>
      <c r="G8" s="268"/>
      <c r="H8" s="269"/>
      <c r="I8" s="269"/>
      <c r="J8" s="269"/>
      <c r="K8" s="269"/>
      <c r="L8" s="270"/>
      <c r="M8" s="270"/>
      <c r="N8" s="423"/>
    </row>
    <row r="9" spans="1:79" ht="72.75" customHeight="1" x14ac:dyDescent="0.25">
      <c r="B9" s="271" t="s">
        <v>49</v>
      </c>
      <c r="C9" s="360" t="s">
        <v>657</v>
      </c>
      <c r="D9" s="360" t="s">
        <v>658</v>
      </c>
      <c r="E9" s="273"/>
      <c r="F9" s="266"/>
      <c r="G9" s="266"/>
      <c r="H9" s="266"/>
      <c r="I9" s="266"/>
      <c r="J9" s="266"/>
      <c r="K9" s="266"/>
      <c r="BY9" s="267"/>
      <c r="BZ9" s="267"/>
      <c r="CA9" s="267"/>
    </row>
    <row r="10" spans="1:79" s="274" customFormat="1" ht="15.75" customHeight="1" x14ac:dyDescent="0.2">
      <c r="A10" s="1773" t="s">
        <v>1092</v>
      </c>
      <c r="B10" s="281" t="s">
        <v>282</v>
      </c>
      <c r="C10" s="1194" t="s">
        <v>1384</v>
      </c>
      <c r="D10" s="1194" t="s">
        <v>1385</v>
      </c>
      <c r="N10" s="424"/>
      <c r="O10" s="424"/>
      <c r="P10" s="424"/>
      <c r="Q10" s="424"/>
      <c r="R10" s="424"/>
      <c r="S10" s="424"/>
      <c r="T10" s="424"/>
      <c r="U10" s="424"/>
      <c r="V10" s="424"/>
      <c r="W10" s="424"/>
      <c r="X10" s="424"/>
      <c r="Y10" s="424"/>
      <c r="Z10" s="424"/>
      <c r="AA10" s="424"/>
      <c r="AB10" s="402"/>
      <c r="AC10" s="402"/>
      <c r="AD10" s="402"/>
      <c r="AE10" s="402"/>
      <c r="AF10" s="402"/>
      <c r="AG10" s="402"/>
      <c r="AH10" s="402"/>
      <c r="AI10" s="402"/>
      <c r="AJ10" s="402"/>
      <c r="AK10" s="402"/>
      <c r="AL10" s="402"/>
      <c r="AM10" s="402"/>
      <c r="AN10" s="402"/>
      <c r="AO10" s="402"/>
      <c r="AP10" s="402"/>
      <c r="BB10" s="402"/>
      <c r="BC10" s="402"/>
      <c r="BD10" s="402"/>
      <c r="BE10" s="402"/>
      <c r="BF10" s="402"/>
      <c r="BG10" s="402"/>
      <c r="BH10" s="402"/>
      <c r="BI10" s="402"/>
      <c r="BJ10" s="402"/>
      <c r="BK10" s="402"/>
      <c r="BL10" s="402"/>
      <c r="BM10" s="402"/>
      <c r="BY10" s="275"/>
      <c r="BZ10" s="275"/>
      <c r="CA10" s="275"/>
    </row>
    <row r="11" spans="1:79" s="274" customFormat="1" ht="15.75" customHeight="1" x14ac:dyDescent="0.2">
      <c r="A11" s="1773" t="s">
        <v>1093</v>
      </c>
      <c r="B11" s="276" t="s">
        <v>283</v>
      </c>
      <c r="C11" s="1194" t="s">
        <v>1384</v>
      </c>
      <c r="D11" s="1194" t="s">
        <v>1385</v>
      </c>
      <c r="N11" s="424"/>
      <c r="O11" s="424"/>
      <c r="P11" s="424"/>
      <c r="Q11" s="424"/>
      <c r="R11" s="424"/>
      <c r="S11" s="424"/>
      <c r="T11" s="424"/>
      <c r="U11" s="424"/>
      <c r="V11" s="424"/>
      <c r="W11" s="424"/>
      <c r="X11" s="424"/>
      <c r="Y11" s="424"/>
      <c r="Z11" s="424"/>
      <c r="AA11" s="424"/>
      <c r="AB11" s="402"/>
      <c r="AC11" s="402"/>
      <c r="AD11" s="402"/>
      <c r="AE11" s="402"/>
      <c r="AF11" s="402"/>
      <c r="AG11" s="402"/>
      <c r="AH11" s="402"/>
      <c r="AI11" s="402"/>
      <c r="AJ11" s="402"/>
      <c r="AK11" s="402"/>
      <c r="AL11" s="402"/>
      <c r="AM11" s="402"/>
      <c r="AN11" s="402"/>
      <c r="AO11" s="402"/>
      <c r="AP11" s="402"/>
      <c r="BB11" s="416"/>
      <c r="BC11" s="416"/>
      <c r="BD11" s="416"/>
      <c r="BE11" s="416"/>
      <c r="BF11" s="416"/>
      <c r="BG11" s="416"/>
      <c r="BH11" s="416"/>
      <c r="BI11" s="416"/>
      <c r="BJ11" s="416"/>
      <c r="BK11" s="416"/>
      <c r="BL11" s="416"/>
      <c r="BM11" s="416"/>
      <c r="BY11" s="275"/>
      <c r="BZ11" s="275"/>
      <c r="CA11" s="275"/>
    </row>
    <row r="12" spans="1:79" ht="15.75" customHeight="1" x14ac:dyDescent="0.25">
      <c r="A12" s="1773" t="s">
        <v>1094</v>
      </c>
      <c r="B12" s="276" t="s">
        <v>22</v>
      </c>
      <c r="C12" s="1194" t="s">
        <v>1384</v>
      </c>
      <c r="D12" s="1194" t="s">
        <v>1385</v>
      </c>
      <c r="E12" s="266"/>
      <c r="F12" s="266"/>
      <c r="G12" s="266"/>
      <c r="H12" s="266"/>
      <c r="I12" s="266"/>
      <c r="J12" s="266"/>
      <c r="K12" s="266"/>
      <c r="BB12" s="417"/>
      <c r="BC12" s="417"/>
      <c r="BD12" s="417"/>
      <c r="BE12" s="417"/>
      <c r="BF12" s="417"/>
      <c r="BG12" s="417"/>
      <c r="BH12" s="417"/>
      <c r="BI12" s="417"/>
      <c r="BJ12" s="417"/>
      <c r="BK12" s="417"/>
      <c r="BL12" s="417"/>
      <c r="BM12" s="417"/>
      <c r="BY12" s="267"/>
      <c r="BZ12" s="267"/>
      <c r="CA12" s="267"/>
    </row>
    <row r="13" spans="1:79" ht="15.75" customHeight="1" x14ac:dyDescent="0.25">
      <c r="A13" s="1773" t="s">
        <v>1095</v>
      </c>
      <c r="B13" s="276" t="s">
        <v>23</v>
      </c>
      <c r="C13" s="1194" t="s">
        <v>1384</v>
      </c>
      <c r="D13" s="1194" t="s">
        <v>1385</v>
      </c>
      <c r="E13" s="266"/>
      <c r="F13" s="266"/>
      <c r="G13" s="266"/>
      <c r="H13" s="266"/>
      <c r="I13" s="266"/>
      <c r="J13" s="266"/>
      <c r="K13" s="266"/>
      <c r="BB13" s="417"/>
      <c r="BC13" s="417"/>
      <c r="BD13" s="417"/>
      <c r="BE13" s="417"/>
      <c r="BF13" s="417"/>
      <c r="BG13" s="417"/>
      <c r="BH13" s="417"/>
      <c r="BI13" s="417"/>
      <c r="BJ13" s="417"/>
      <c r="BK13" s="417"/>
      <c r="BL13" s="417"/>
      <c r="BM13" s="417"/>
      <c r="BY13" s="267"/>
      <c r="BZ13" s="267"/>
      <c r="CA13" s="267"/>
    </row>
    <row r="14" spans="1:79" ht="15.75" customHeight="1" x14ac:dyDescent="0.25">
      <c r="A14" s="1773" t="s">
        <v>1096</v>
      </c>
      <c r="B14" s="276" t="s">
        <v>24</v>
      </c>
      <c r="C14" s="1194" t="s">
        <v>1384</v>
      </c>
      <c r="D14" s="1194" t="s">
        <v>1385</v>
      </c>
      <c r="E14" s="266"/>
      <c r="F14" s="266"/>
      <c r="G14" s="266"/>
      <c r="H14" s="266"/>
      <c r="I14" s="266"/>
      <c r="J14" s="266"/>
      <c r="K14" s="266"/>
      <c r="BB14" s="417"/>
      <c r="BC14" s="417"/>
      <c r="BD14" s="417"/>
      <c r="BE14" s="417"/>
      <c r="BF14" s="417"/>
      <c r="BG14" s="417"/>
      <c r="BH14" s="417"/>
      <c r="BI14" s="417"/>
      <c r="BJ14" s="417"/>
      <c r="BK14" s="417"/>
      <c r="BL14" s="417"/>
      <c r="BM14" s="417"/>
      <c r="BY14" s="267"/>
      <c r="BZ14" s="267"/>
      <c r="CA14" s="267"/>
    </row>
    <row r="15" spans="1:79" ht="15.75" customHeight="1" x14ac:dyDescent="0.25">
      <c r="A15" s="1773" t="s">
        <v>1097</v>
      </c>
      <c r="B15" s="276" t="s">
        <v>25</v>
      </c>
      <c r="C15" s="1194" t="s">
        <v>1384</v>
      </c>
      <c r="D15" s="1194" t="s">
        <v>1385</v>
      </c>
      <c r="E15" s="266"/>
      <c r="F15" s="266"/>
      <c r="G15" s="266"/>
      <c r="H15" s="266"/>
      <c r="I15" s="266"/>
      <c r="J15" s="266"/>
      <c r="K15" s="266"/>
      <c r="BB15" s="417"/>
      <c r="BC15" s="417"/>
      <c r="BD15" s="417"/>
      <c r="BE15" s="417"/>
      <c r="BF15" s="417"/>
      <c r="BG15" s="417"/>
      <c r="BH15" s="417"/>
      <c r="BI15" s="417"/>
      <c r="BJ15" s="417"/>
      <c r="BK15" s="417"/>
      <c r="BL15" s="417"/>
      <c r="BM15" s="417"/>
      <c r="BY15" s="267"/>
      <c r="BZ15" s="267"/>
      <c r="CA15" s="267"/>
    </row>
    <row r="16" spans="1:79" ht="15.75" customHeight="1" x14ac:dyDescent="0.25">
      <c r="A16" s="1773" t="s">
        <v>1098</v>
      </c>
      <c r="B16" s="276" t="s">
        <v>26</v>
      </c>
      <c r="C16" s="1194" t="s">
        <v>1384</v>
      </c>
      <c r="D16" s="1194" t="s">
        <v>1385</v>
      </c>
      <c r="E16" s="266"/>
      <c r="F16" s="266"/>
      <c r="G16" s="266"/>
      <c r="H16" s="266"/>
      <c r="I16" s="266"/>
      <c r="J16" s="266"/>
      <c r="K16" s="266"/>
      <c r="BB16" s="417"/>
      <c r="BC16" s="417"/>
      <c r="BD16" s="417"/>
      <c r="BE16" s="417"/>
      <c r="BF16" s="417"/>
      <c r="BG16" s="417"/>
      <c r="BH16" s="417"/>
      <c r="BI16" s="417"/>
      <c r="BJ16" s="417"/>
      <c r="BK16" s="417"/>
      <c r="BL16" s="417"/>
      <c r="BM16" s="417"/>
      <c r="BY16" s="267"/>
      <c r="BZ16" s="267"/>
      <c r="CA16" s="267"/>
    </row>
    <row r="17" spans="1:79" ht="15.75" customHeight="1" x14ac:dyDescent="0.25">
      <c r="A17" s="1773" t="s">
        <v>1099</v>
      </c>
      <c r="B17" s="276" t="s">
        <v>234</v>
      </c>
      <c r="C17" s="1194" t="s">
        <v>1384</v>
      </c>
      <c r="D17" s="1194" t="s">
        <v>1385</v>
      </c>
      <c r="E17" s="266"/>
      <c r="F17" s="266"/>
      <c r="G17" s="266"/>
      <c r="H17" s="266"/>
      <c r="I17" s="266"/>
      <c r="J17" s="266"/>
      <c r="K17" s="266"/>
      <c r="BB17" s="417"/>
      <c r="BC17" s="417"/>
      <c r="BD17" s="417"/>
      <c r="BE17" s="417"/>
      <c r="BF17" s="417"/>
      <c r="BG17" s="417"/>
      <c r="BH17" s="417"/>
      <c r="BI17" s="417"/>
      <c r="BJ17" s="417"/>
      <c r="BK17" s="417"/>
      <c r="BL17" s="417"/>
      <c r="BM17" s="417"/>
      <c r="BY17" s="267"/>
      <c r="BZ17" s="267"/>
      <c r="CA17" s="267"/>
    </row>
    <row r="18" spans="1:79" ht="15.75" customHeight="1" x14ac:dyDescent="0.25">
      <c r="A18" s="1773" t="s">
        <v>1100</v>
      </c>
      <c r="B18" s="276" t="s">
        <v>235</v>
      </c>
      <c r="C18" s="1194" t="s">
        <v>1384</v>
      </c>
      <c r="D18" s="1194" t="s">
        <v>1385</v>
      </c>
      <c r="E18" s="266"/>
      <c r="F18" s="266"/>
      <c r="G18" s="266"/>
      <c r="H18" s="266"/>
      <c r="I18" s="266"/>
      <c r="J18" s="266"/>
      <c r="K18" s="266"/>
      <c r="BB18" s="417"/>
      <c r="BC18" s="417"/>
      <c r="BD18" s="417"/>
      <c r="BE18" s="417"/>
      <c r="BF18" s="417"/>
      <c r="BG18" s="417"/>
      <c r="BH18" s="417"/>
      <c r="BI18" s="417"/>
      <c r="BJ18" s="417"/>
      <c r="BK18" s="417"/>
      <c r="BL18" s="417"/>
      <c r="BM18" s="417"/>
      <c r="BY18" s="267"/>
      <c r="BZ18" s="267"/>
      <c r="CA18" s="267"/>
    </row>
    <row r="19" spans="1:79" ht="15.75" customHeight="1" x14ac:dyDescent="0.25">
      <c r="A19" s="1773" t="s">
        <v>1101</v>
      </c>
      <c r="B19" s="276" t="s">
        <v>207</v>
      </c>
      <c r="C19" s="1194" t="s">
        <v>1384</v>
      </c>
      <c r="D19" s="1194" t="s">
        <v>1385</v>
      </c>
      <c r="E19" s="266"/>
      <c r="F19" s="266"/>
      <c r="G19" s="266"/>
      <c r="H19" s="266"/>
      <c r="I19" s="266"/>
      <c r="J19" s="266"/>
      <c r="K19" s="266"/>
      <c r="BB19" s="417"/>
      <c r="BC19" s="417"/>
      <c r="BD19" s="417"/>
      <c r="BE19" s="417"/>
      <c r="BF19" s="417"/>
      <c r="BG19" s="417"/>
      <c r="BH19" s="417"/>
      <c r="BI19" s="417"/>
      <c r="BJ19" s="417"/>
      <c r="BK19" s="417"/>
      <c r="BL19" s="417"/>
      <c r="BM19" s="417"/>
      <c r="BY19" s="267"/>
      <c r="BZ19" s="267"/>
      <c r="CA19" s="267"/>
    </row>
    <row r="20" spans="1:79" ht="15.75" customHeight="1" x14ac:dyDescent="0.25">
      <c r="A20" s="1773" t="s">
        <v>1102</v>
      </c>
      <c r="B20" s="276" t="s">
        <v>208</v>
      </c>
      <c r="C20" s="1194" t="s">
        <v>1384</v>
      </c>
      <c r="D20" s="1194" t="s">
        <v>1385</v>
      </c>
      <c r="E20" s="266"/>
      <c r="F20" s="266"/>
      <c r="G20" s="266"/>
      <c r="H20" s="266"/>
      <c r="I20" s="266"/>
      <c r="J20" s="266"/>
      <c r="K20" s="266"/>
      <c r="BB20" s="417"/>
      <c r="BC20" s="417"/>
      <c r="BD20" s="417"/>
      <c r="BE20" s="417"/>
      <c r="BF20" s="417"/>
      <c r="BG20" s="417"/>
      <c r="BH20" s="417"/>
      <c r="BI20" s="417"/>
      <c r="BJ20" s="417"/>
      <c r="BK20" s="417"/>
      <c r="BL20" s="417"/>
      <c r="BM20" s="417"/>
      <c r="BY20" s="267"/>
      <c r="BZ20" s="267"/>
      <c r="CA20" s="267"/>
    </row>
    <row r="21" spans="1:79" ht="15.75" customHeight="1" x14ac:dyDescent="0.25">
      <c r="A21" s="1773" t="s">
        <v>1103</v>
      </c>
      <c r="B21" s="276" t="s">
        <v>209</v>
      </c>
      <c r="C21" s="1194" t="s">
        <v>1384</v>
      </c>
      <c r="D21" s="1194" t="s">
        <v>1385</v>
      </c>
      <c r="E21" s="266"/>
      <c r="F21" s="266"/>
      <c r="G21" s="266"/>
      <c r="H21" s="266"/>
      <c r="I21" s="266"/>
      <c r="J21" s="266"/>
      <c r="K21" s="266"/>
      <c r="BB21" s="417"/>
      <c r="BC21" s="417"/>
      <c r="BD21" s="417"/>
      <c r="BE21" s="417"/>
      <c r="BF21" s="417"/>
      <c r="BG21" s="417"/>
      <c r="BH21" s="417"/>
      <c r="BI21" s="417"/>
      <c r="BJ21" s="417"/>
      <c r="BK21" s="417"/>
      <c r="BL21" s="417"/>
      <c r="BM21" s="417"/>
      <c r="BY21" s="267"/>
      <c r="BZ21" s="267"/>
      <c r="CA21" s="267"/>
    </row>
    <row r="22" spans="1:79" ht="15.75" customHeight="1" x14ac:dyDescent="0.25">
      <c r="A22" s="1773" t="s">
        <v>1104</v>
      </c>
      <c r="B22" s="276" t="s">
        <v>221</v>
      </c>
      <c r="C22" s="1194" t="s">
        <v>1384</v>
      </c>
      <c r="D22" s="1194" t="s">
        <v>1385</v>
      </c>
      <c r="E22" s="266"/>
      <c r="F22" s="266"/>
      <c r="G22" s="266"/>
      <c r="H22" s="266"/>
      <c r="I22" s="266"/>
      <c r="J22" s="266"/>
      <c r="K22" s="266"/>
      <c r="BB22" s="417"/>
      <c r="BC22" s="417"/>
      <c r="BD22" s="417"/>
      <c r="BE22" s="417"/>
      <c r="BF22" s="417"/>
      <c r="BG22" s="417"/>
      <c r="BH22" s="417"/>
      <c r="BI22" s="417"/>
      <c r="BJ22" s="417"/>
      <c r="BK22" s="417"/>
      <c r="BL22" s="417"/>
      <c r="BM22" s="417"/>
      <c r="BY22" s="267"/>
      <c r="BZ22" s="267"/>
      <c r="CA22" s="267"/>
    </row>
    <row r="23" spans="1:79" ht="15.75" customHeight="1" x14ac:dyDescent="0.25">
      <c r="A23" s="1791"/>
      <c r="B23" s="277" t="s">
        <v>15</v>
      </c>
      <c r="C23" s="278">
        <f>SUM(C10:C22)</f>
        <v>0</v>
      </c>
      <c r="D23" s="278">
        <f>SUM(D10:D22)</f>
        <v>0</v>
      </c>
      <c r="E23" s="279"/>
      <c r="F23" s="279"/>
      <c r="G23" s="266"/>
      <c r="H23" s="266"/>
      <c r="I23" s="266"/>
      <c r="J23" s="266"/>
      <c r="K23" s="266"/>
      <c r="BB23" s="417"/>
      <c r="BC23" s="417"/>
      <c r="BD23" s="417"/>
      <c r="BE23" s="417"/>
      <c r="BF23" s="417"/>
      <c r="BG23" s="417"/>
      <c r="BH23" s="417"/>
      <c r="BI23" s="417"/>
      <c r="BJ23" s="417"/>
      <c r="BK23" s="417"/>
      <c r="BL23" s="417"/>
      <c r="BM23" s="417"/>
      <c r="BY23" s="267"/>
      <c r="BZ23" s="267"/>
      <c r="CA23" s="267"/>
    </row>
    <row r="24" spans="1:79" ht="15.75" customHeight="1" x14ac:dyDescent="0.25">
      <c r="A24" s="1792"/>
      <c r="B24" s="2546" t="s">
        <v>284</v>
      </c>
      <c r="C24" s="2546"/>
      <c r="D24" s="2546"/>
      <c r="E24" s="280"/>
      <c r="F24" s="280"/>
      <c r="G24" s="280"/>
      <c r="H24" s="280"/>
      <c r="I24" s="279"/>
      <c r="J24" s="279"/>
      <c r="K24" s="266"/>
      <c r="BB24" s="417"/>
      <c r="BC24" s="417"/>
      <c r="BD24" s="417"/>
      <c r="BE24" s="417"/>
      <c r="BF24" s="417"/>
      <c r="BG24" s="417"/>
      <c r="BH24" s="417"/>
      <c r="BI24" s="417"/>
      <c r="BJ24" s="417"/>
      <c r="BK24" s="417"/>
      <c r="BL24" s="417"/>
      <c r="BM24" s="417"/>
    </row>
    <row r="25" spans="1:79" ht="43.5" customHeight="1" x14ac:dyDescent="0.25">
      <c r="A25" s="1792"/>
      <c r="B25" s="2549" t="s">
        <v>688</v>
      </c>
      <c r="C25" s="2549"/>
      <c r="D25" s="2549"/>
      <c r="E25" s="2549"/>
      <c r="F25" s="2549"/>
      <c r="G25" s="2549"/>
      <c r="H25" s="2549"/>
      <c r="I25" s="2549"/>
      <c r="J25" s="2549"/>
      <c r="K25" s="2549"/>
      <c r="L25" s="2549"/>
      <c r="M25" s="689"/>
      <c r="N25" s="690"/>
      <c r="O25" s="690"/>
      <c r="P25" s="690"/>
      <c r="Q25" s="690"/>
      <c r="R25" s="690"/>
      <c r="S25" s="690"/>
      <c r="T25" s="690"/>
      <c r="U25" s="690"/>
      <c r="V25" s="690"/>
      <c r="W25" s="690"/>
      <c r="X25" s="690"/>
      <c r="Y25" s="690"/>
      <c r="Z25" s="690"/>
      <c r="AA25" s="690"/>
      <c r="AB25" s="691"/>
      <c r="AC25" s="691"/>
      <c r="AD25" s="691"/>
      <c r="AE25" s="691"/>
      <c r="AF25" s="691"/>
      <c r="AG25" s="691"/>
      <c r="AH25" s="691"/>
      <c r="AI25" s="691"/>
      <c r="AJ25" s="691"/>
      <c r="AK25" s="691"/>
      <c r="AL25" s="691"/>
      <c r="AM25" s="691"/>
      <c r="AN25" s="691"/>
      <c r="AO25" s="691"/>
      <c r="AP25" s="691"/>
      <c r="BB25" s="692"/>
      <c r="BC25" s="692"/>
      <c r="BD25" s="692"/>
      <c r="BE25" s="692"/>
      <c r="BF25" s="692"/>
      <c r="BG25" s="692"/>
      <c r="BH25" s="692"/>
      <c r="BI25" s="692"/>
      <c r="BJ25" s="692"/>
      <c r="BK25" s="692"/>
      <c r="BL25" s="417"/>
      <c r="BM25" s="417"/>
    </row>
    <row r="26" spans="1:79" ht="18" customHeight="1" x14ac:dyDescent="0.25">
      <c r="A26" s="1792"/>
      <c r="B26" s="2526" t="s">
        <v>607</v>
      </c>
      <c r="C26" s="2528" t="s">
        <v>285</v>
      </c>
      <c r="D26" s="2542"/>
      <c r="E26" s="2542"/>
      <c r="F26" s="2542"/>
      <c r="G26" s="2542"/>
      <c r="H26" s="2542"/>
      <c r="I26" s="2542"/>
      <c r="J26" s="2542"/>
      <c r="K26" s="2542"/>
      <c r="L26" s="2542"/>
      <c r="M26" s="2543"/>
      <c r="N26" s="425"/>
      <c r="O26" s="425"/>
      <c r="P26" s="425"/>
      <c r="Q26" s="425"/>
      <c r="R26" s="425"/>
      <c r="S26" s="425"/>
      <c r="T26" s="425"/>
      <c r="U26" s="425"/>
      <c r="V26" s="425"/>
      <c r="W26" s="425"/>
      <c r="X26" s="425"/>
      <c r="Y26" s="425"/>
      <c r="Z26" s="425"/>
      <c r="AA26" s="425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BB26" s="418"/>
      <c r="BC26" s="418"/>
      <c r="BD26" s="418"/>
      <c r="BE26" s="418"/>
      <c r="BF26" s="418"/>
      <c r="BG26" s="418"/>
      <c r="BH26" s="418"/>
      <c r="BI26" s="418"/>
      <c r="BJ26" s="418"/>
      <c r="BK26" s="418"/>
      <c r="BL26" s="419"/>
      <c r="BM26" s="419"/>
    </row>
    <row r="27" spans="1:79" ht="23.25" customHeight="1" x14ac:dyDescent="0.25">
      <c r="A27" s="1792"/>
      <c r="B27" s="2527"/>
      <c r="C27" s="2544" t="s">
        <v>15</v>
      </c>
      <c r="D27" s="2545" t="s">
        <v>286</v>
      </c>
      <c r="E27" s="2526" t="s">
        <v>287</v>
      </c>
      <c r="F27" s="2526"/>
      <c r="G27" s="2528" t="s">
        <v>288</v>
      </c>
      <c r="H27" s="2542"/>
      <c r="I27" s="2542"/>
      <c r="J27" s="2542"/>
      <c r="K27" s="2542"/>
      <c r="L27" s="2550"/>
      <c r="M27" s="2551" t="s">
        <v>720</v>
      </c>
      <c r="N27" s="425"/>
      <c r="O27" s="425"/>
      <c r="P27" s="425"/>
      <c r="Q27" s="425"/>
      <c r="R27" s="425"/>
      <c r="S27" s="425"/>
      <c r="T27" s="425"/>
      <c r="U27" s="425"/>
      <c r="V27" s="425"/>
      <c r="W27" s="425"/>
      <c r="X27" s="425"/>
      <c r="Y27" s="425"/>
      <c r="Z27" s="425"/>
      <c r="AA27" s="425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BB27" s="418"/>
      <c r="BC27" s="418"/>
      <c r="BD27" s="418"/>
      <c r="BE27" s="418"/>
      <c r="BF27" s="418"/>
      <c r="BG27" s="418"/>
      <c r="BH27" s="418"/>
      <c r="BI27" s="418"/>
      <c r="BJ27" s="418"/>
      <c r="BK27" s="418"/>
      <c r="BL27" s="419"/>
      <c r="BM27" s="419"/>
    </row>
    <row r="28" spans="1:79" ht="24.75" customHeight="1" x14ac:dyDescent="0.25">
      <c r="A28" s="1792"/>
      <c r="B28" s="2527"/>
      <c r="C28" s="2532"/>
      <c r="D28" s="2534"/>
      <c r="E28" s="450" t="s">
        <v>289</v>
      </c>
      <c r="F28" s="365" t="s">
        <v>290</v>
      </c>
      <c r="G28" s="1295" t="s">
        <v>291</v>
      </c>
      <c r="H28" s="1295" t="s">
        <v>292</v>
      </c>
      <c r="I28" s="1295" t="s">
        <v>293</v>
      </c>
      <c r="J28" s="1295" t="s">
        <v>294</v>
      </c>
      <c r="K28" s="1295" t="s">
        <v>295</v>
      </c>
      <c r="L28" s="1297" t="s">
        <v>296</v>
      </c>
      <c r="M28" s="2552"/>
      <c r="BB28" s="417"/>
      <c r="BC28" s="417"/>
      <c r="BD28" s="417"/>
      <c r="BE28" s="417"/>
      <c r="BF28" s="417"/>
      <c r="BG28" s="417"/>
      <c r="BH28" s="417"/>
      <c r="BI28" s="417"/>
      <c r="BJ28" s="417"/>
      <c r="BK28" s="417"/>
      <c r="BL28" s="417"/>
      <c r="BM28" s="417"/>
    </row>
    <row r="29" spans="1:79" ht="15.75" customHeight="1" x14ac:dyDescent="0.25">
      <c r="A29" s="1773" t="s">
        <v>1105</v>
      </c>
      <c r="B29" s="281" t="s">
        <v>282</v>
      </c>
      <c r="C29" s="1195" t="s">
        <v>1384</v>
      </c>
      <c r="D29" s="1194" t="s">
        <v>1385</v>
      </c>
      <c r="E29" s="1196" t="s">
        <v>1386</v>
      </c>
      <c r="F29" s="1194" t="s">
        <v>1387</v>
      </c>
      <c r="G29" s="1196" t="s">
        <v>1388</v>
      </c>
      <c r="H29" s="1196" t="s">
        <v>1389</v>
      </c>
      <c r="I29" s="1196" t="s">
        <v>1390</v>
      </c>
      <c r="J29" s="1196" t="s">
        <v>1391</v>
      </c>
      <c r="K29" s="1196" t="s">
        <v>1392</v>
      </c>
      <c r="L29" s="1299" t="s">
        <v>1393</v>
      </c>
      <c r="M29" s="1312" t="s">
        <v>1394</v>
      </c>
      <c r="BB29" s="417"/>
      <c r="BC29" s="417"/>
      <c r="BD29" s="417"/>
      <c r="BE29" s="417"/>
      <c r="BF29" s="417"/>
      <c r="BG29" s="417"/>
      <c r="BH29" s="417"/>
      <c r="BI29" s="417"/>
      <c r="BJ29" s="417"/>
      <c r="BK29" s="417"/>
      <c r="BL29" s="417"/>
      <c r="BM29" s="417"/>
    </row>
    <row r="30" spans="1:79" ht="15.75" customHeight="1" x14ac:dyDescent="0.25">
      <c r="A30" s="1773" t="s">
        <v>1106</v>
      </c>
      <c r="B30" s="276" t="s">
        <v>283</v>
      </c>
      <c r="C30" s="1195" t="s">
        <v>1384</v>
      </c>
      <c r="D30" s="1194" t="s">
        <v>1385</v>
      </c>
      <c r="E30" s="1196" t="s">
        <v>1386</v>
      </c>
      <c r="F30" s="1194" t="s">
        <v>1387</v>
      </c>
      <c r="G30" s="1196" t="s">
        <v>1388</v>
      </c>
      <c r="H30" s="1196" t="s">
        <v>1389</v>
      </c>
      <c r="I30" s="1196" t="s">
        <v>1390</v>
      </c>
      <c r="J30" s="1196" t="s">
        <v>1391</v>
      </c>
      <c r="K30" s="1196" t="s">
        <v>1392</v>
      </c>
      <c r="L30" s="1299" t="s">
        <v>1393</v>
      </c>
      <c r="M30" s="1194" t="s">
        <v>1394</v>
      </c>
      <c r="BB30" s="417"/>
      <c r="BC30" s="417"/>
      <c r="BD30" s="417"/>
      <c r="BE30" s="417"/>
      <c r="BF30" s="417"/>
      <c r="BG30" s="417"/>
      <c r="BH30" s="417"/>
      <c r="BI30" s="417"/>
      <c r="BJ30" s="417"/>
      <c r="BK30" s="417"/>
      <c r="BL30" s="417"/>
      <c r="BM30" s="417"/>
    </row>
    <row r="31" spans="1:79" ht="15.75" customHeight="1" x14ac:dyDescent="0.25">
      <c r="A31" s="1773" t="s">
        <v>1107</v>
      </c>
      <c r="B31" s="276" t="s">
        <v>22</v>
      </c>
      <c r="C31" s="1195" t="s">
        <v>1384</v>
      </c>
      <c r="D31" s="1194" t="s">
        <v>1385</v>
      </c>
      <c r="E31" s="1196" t="s">
        <v>1386</v>
      </c>
      <c r="F31" s="1194" t="s">
        <v>1387</v>
      </c>
      <c r="G31" s="1196" t="s">
        <v>1388</v>
      </c>
      <c r="H31" s="1196" t="s">
        <v>1389</v>
      </c>
      <c r="I31" s="1196" t="s">
        <v>1390</v>
      </c>
      <c r="J31" s="1196" t="s">
        <v>1391</v>
      </c>
      <c r="K31" s="1196" t="s">
        <v>1392</v>
      </c>
      <c r="L31" s="1299" t="s">
        <v>1393</v>
      </c>
      <c r="M31" s="1194" t="s">
        <v>1394</v>
      </c>
      <c r="BB31" s="417"/>
      <c r="BC31" s="417"/>
      <c r="BD31" s="417"/>
      <c r="BE31" s="417"/>
      <c r="BF31" s="417"/>
      <c r="BG31" s="417"/>
      <c r="BH31" s="417"/>
      <c r="BI31" s="417"/>
      <c r="BJ31" s="417"/>
      <c r="BK31" s="417"/>
      <c r="BL31" s="417"/>
      <c r="BM31" s="417"/>
    </row>
    <row r="32" spans="1:79" ht="15.75" customHeight="1" x14ac:dyDescent="0.25">
      <c r="A32" s="1773" t="s">
        <v>1108</v>
      </c>
      <c r="B32" s="276" t="s">
        <v>23</v>
      </c>
      <c r="C32" s="1195" t="s">
        <v>1384</v>
      </c>
      <c r="D32" s="1194" t="s">
        <v>1385</v>
      </c>
      <c r="E32" s="1196" t="s">
        <v>1386</v>
      </c>
      <c r="F32" s="1194" t="s">
        <v>1387</v>
      </c>
      <c r="G32" s="1196" t="s">
        <v>1388</v>
      </c>
      <c r="H32" s="1196" t="s">
        <v>1389</v>
      </c>
      <c r="I32" s="1196" t="s">
        <v>1390</v>
      </c>
      <c r="J32" s="1196" t="s">
        <v>1391</v>
      </c>
      <c r="K32" s="1196" t="s">
        <v>1392</v>
      </c>
      <c r="L32" s="1299" t="s">
        <v>1393</v>
      </c>
      <c r="M32" s="1194" t="s">
        <v>1394</v>
      </c>
      <c r="BB32" s="417"/>
      <c r="BC32" s="417"/>
      <c r="BD32" s="417"/>
      <c r="BE32" s="417"/>
      <c r="BF32" s="417"/>
      <c r="BG32" s="417"/>
      <c r="BH32" s="417"/>
      <c r="BI32" s="417"/>
      <c r="BJ32" s="417"/>
      <c r="BK32" s="417"/>
      <c r="BL32" s="417"/>
      <c r="BM32" s="417"/>
    </row>
    <row r="33" spans="1:79" ht="15.75" customHeight="1" x14ac:dyDescent="0.25">
      <c r="A33" s="1773" t="s">
        <v>1109</v>
      </c>
      <c r="B33" s="276" t="s">
        <v>24</v>
      </c>
      <c r="C33" s="1195" t="s">
        <v>1384</v>
      </c>
      <c r="D33" s="1194" t="s">
        <v>1385</v>
      </c>
      <c r="E33" s="1196" t="s">
        <v>1386</v>
      </c>
      <c r="F33" s="1194" t="s">
        <v>1387</v>
      </c>
      <c r="G33" s="1196" t="s">
        <v>1388</v>
      </c>
      <c r="H33" s="1196" t="s">
        <v>1389</v>
      </c>
      <c r="I33" s="1196" t="s">
        <v>1390</v>
      </c>
      <c r="J33" s="1196" t="s">
        <v>1391</v>
      </c>
      <c r="K33" s="1196" t="s">
        <v>1392</v>
      </c>
      <c r="L33" s="1299" t="s">
        <v>1393</v>
      </c>
      <c r="M33" s="1194" t="s">
        <v>1394</v>
      </c>
      <c r="BB33" s="417"/>
      <c r="BC33" s="417"/>
      <c r="BD33" s="417"/>
      <c r="BE33" s="417"/>
      <c r="BF33" s="417"/>
      <c r="BG33" s="417"/>
      <c r="BH33" s="417"/>
      <c r="BI33" s="417"/>
      <c r="BJ33" s="417"/>
      <c r="BK33" s="417"/>
      <c r="BL33" s="417"/>
      <c r="BM33" s="417"/>
    </row>
    <row r="34" spans="1:79" ht="15.75" customHeight="1" x14ac:dyDescent="0.25">
      <c r="A34" s="1773" t="s">
        <v>1110</v>
      </c>
      <c r="B34" s="276" t="s">
        <v>25</v>
      </c>
      <c r="C34" s="1195" t="s">
        <v>1384</v>
      </c>
      <c r="D34" s="1194" t="s">
        <v>1385</v>
      </c>
      <c r="E34" s="1196" t="s">
        <v>1386</v>
      </c>
      <c r="F34" s="1194" t="s">
        <v>1387</v>
      </c>
      <c r="G34" s="1196" t="s">
        <v>1388</v>
      </c>
      <c r="H34" s="1196" t="s">
        <v>1389</v>
      </c>
      <c r="I34" s="1196" t="s">
        <v>1390</v>
      </c>
      <c r="J34" s="1196" t="s">
        <v>1391</v>
      </c>
      <c r="K34" s="1196" t="s">
        <v>1392</v>
      </c>
      <c r="L34" s="1299" t="s">
        <v>1393</v>
      </c>
      <c r="M34" s="1194" t="s">
        <v>1394</v>
      </c>
      <c r="BB34" s="417"/>
      <c r="BC34" s="417"/>
      <c r="BD34" s="417"/>
      <c r="BE34" s="417"/>
      <c r="BF34" s="417"/>
      <c r="BG34" s="417"/>
      <c r="BH34" s="417"/>
      <c r="BI34" s="417"/>
      <c r="BJ34" s="417"/>
      <c r="BK34" s="417"/>
      <c r="BL34" s="417"/>
      <c r="BM34" s="417"/>
    </row>
    <row r="35" spans="1:79" ht="15.75" customHeight="1" x14ac:dyDescent="0.25">
      <c r="A35" s="1773" t="s">
        <v>1111</v>
      </c>
      <c r="B35" s="276" t="s">
        <v>26</v>
      </c>
      <c r="C35" s="1195" t="s">
        <v>1384</v>
      </c>
      <c r="D35" s="1194" t="s">
        <v>1385</v>
      </c>
      <c r="E35" s="1196" t="s">
        <v>1386</v>
      </c>
      <c r="F35" s="1194" t="s">
        <v>1387</v>
      </c>
      <c r="G35" s="1196" t="s">
        <v>1388</v>
      </c>
      <c r="H35" s="1196" t="s">
        <v>1389</v>
      </c>
      <c r="I35" s="1196" t="s">
        <v>1390</v>
      </c>
      <c r="J35" s="1196" t="s">
        <v>1391</v>
      </c>
      <c r="K35" s="1196" t="s">
        <v>1392</v>
      </c>
      <c r="L35" s="1299" t="s">
        <v>1393</v>
      </c>
      <c r="M35" s="1194" t="s">
        <v>1394</v>
      </c>
      <c r="BB35" s="417"/>
      <c r="BC35" s="417"/>
      <c r="BD35" s="417"/>
      <c r="BE35" s="417"/>
      <c r="BF35" s="417"/>
      <c r="BG35" s="417"/>
      <c r="BH35" s="417"/>
      <c r="BI35" s="417"/>
      <c r="BJ35" s="417"/>
      <c r="BK35" s="417"/>
      <c r="BL35" s="417"/>
      <c r="BM35" s="417"/>
    </row>
    <row r="36" spans="1:79" ht="15.75" customHeight="1" x14ac:dyDescent="0.25">
      <c r="A36" s="1773" t="s">
        <v>1112</v>
      </c>
      <c r="B36" s="276" t="s">
        <v>234</v>
      </c>
      <c r="C36" s="1195" t="s">
        <v>1384</v>
      </c>
      <c r="D36" s="1194" t="s">
        <v>1385</v>
      </c>
      <c r="E36" s="1196" t="s">
        <v>1386</v>
      </c>
      <c r="F36" s="1194" t="s">
        <v>1387</v>
      </c>
      <c r="G36" s="1196" t="s">
        <v>1388</v>
      </c>
      <c r="H36" s="1196" t="s">
        <v>1389</v>
      </c>
      <c r="I36" s="1196" t="s">
        <v>1390</v>
      </c>
      <c r="J36" s="1196" t="s">
        <v>1391</v>
      </c>
      <c r="K36" s="1196" t="s">
        <v>1392</v>
      </c>
      <c r="L36" s="1299" t="s">
        <v>1393</v>
      </c>
      <c r="M36" s="1194" t="s">
        <v>1394</v>
      </c>
      <c r="BB36" s="417"/>
      <c r="BC36" s="417"/>
      <c r="BD36" s="417"/>
      <c r="BE36" s="417"/>
      <c r="BF36" s="417"/>
      <c r="BG36" s="417"/>
      <c r="BH36" s="417"/>
      <c r="BI36" s="417"/>
      <c r="BJ36" s="417"/>
      <c r="BK36" s="417"/>
      <c r="BL36" s="417"/>
      <c r="BM36" s="417"/>
    </row>
    <row r="37" spans="1:79" ht="15.75" customHeight="1" x14ac:dyDescent="0.25">
      <c r="A37" s="1773" t="s">
        <v>1113</v>
      </c>
      <c r="B37" s="276" t="s">
        <v>235</v>
      </c>
      <c r="C37" s="1195" t="s">
        <v>1384</v>
      </c>
      <c r="D37" s="1194" t="s">
        <v>1385</v>
      </c>
      <c r="E37" s="1196" t="s">
        <v>1386</v>
      </c>
      <c r="F37" s="1194" t="s">
        <v>1387</v>
      </c>
      <c r="G37" s="1196" t="s">
        <v>1388</v>
      </c>
      <c r="H37" s="1196" t="s">
        <v>1389</v>
      </c>
      <c r="I37" s="1196" t="s">
        <v>1390</v>
      </c>
      <c r="J37" s="1196" t="s">
        <v>1391</v>
      </c>
      <c r="K37" s="1196" t="s">
        <v>1392</v>
      </c>
      <c r="L37" s="1299" t="s">
        <v>1393</v>
      </c>
      <c r="M37" s="1194" t="s">
        <v>1394</v>
      </c>
      <c r="BB37" s="417"/>
      <c r="BC37" s="417"/>
      <c r="BD37" s="417"/>
      <c r="BE37" s="417"/>
      <c r="BF37" s="417"/>
      <c r="BG37" s="417"/>
      <c r="BH37" s="417"/>
      <c r="BI37" s="417"/>
      <c r="BJ37" s="417"/>
      <c r="BK37" s="417"/>
      <c r="BL37" s="417"/>
      <c r="BM37" s="417"/>
    </row>
    <row r="38" spans="1:79" ht="15.75" customHeight="1" x14ac:dyDescent="0.25">
      <c r="A38" s="1773" t="s">
        <v>1114</v>
      </c>
      <c r="B38" s="276" t="s">
        <v>207</v>
      </c>
      <c r="C38" s="1195" t="s">
        <v>1384</v>
      </c>
      <c r="D38" s="1194" t="s">
        <v>1385</v>
      </c>
      <c r="E38" s="1196" t="s">
        <v>1386</v>
      </c>
      <c r="F38" s="1194" t="s">
        <v>1387</v>
      </c>
      <c r="G38" s="1196" t="s">
        <v>1388</v>
      </c>
      <c r="H38" s="1196" t="s">
        <v>1389</v>
      </c>
      <c r="I38" s="1196" t="s">
        <v>1390</v>
      </c>
      <c r="J38" s="1196" t="s">
        <v>1391</v>
      </c>
      <c r="K38" s="1196" t="s">
        <v>1392</v>
      </c>
      <c r="L38" s="1299" t="s">
        <v>1393</v>
      </c>
      <c r="M38" s="1194" t="s">
        <v>1394</v>
      </c>
      <c r="BB38" s="417"/>
      <c r="BC38" s="417"/>
      <c r="BD38" s="417"/>
      <c r="BE38" s="417"/>
      <c r="BF38" s="417"/>
      <c r="BG38" s="417"/>
      <c r="BH38" s="417"/>
      <c r="BI38" s="417"/>
      <c r="BJ38" s="417"/>
      <c r="BK38" s="417"/>
      <c r="BL38" s="417"/>
      <c r="BM38" s="417"/>
    </row>
    <row r="39" spans="1:79" s="361" customFormat="1" ht="15.75" customHeight="1" x14ac:dyDescent="0.2">
      <c r="A39" s="1773" t="s">
        <v>1115</v>
      </c>
      <c r="B39" s="276" t="s">
        <v>208</v>
      </c>
      <c r="C39" s="1195" t="s">
        <v>1384</v>
      </c>
      <c r="D39" s="1194" t="s">
        <v>1385</v>
      </c>
      <c r="E39" s="1196" t="s">
        <v>1386</v>
      </c>
      <c r="F39" s="1194" t="s">
        <v>1387</v>
      </c>
      <c r="G39" s="1196" t="s">
        <v>1388</v>
      </c>
      <c r="H39" s="1196" t="s">
        <v>1389</v>
      </c>
      <c r="I39" s="1196" t="s">
        <v>1390</v>
      </c>
      <c r="J39" s="1196" t="s">
        <v>1391</v>
      </c>
      <c r="K39" s="1196" t="s">
        <v>1392</v>
      </c>
      <c r="L39" s="1299" t="s">
        <v>1393</v>
      </c>
      <c r="M39" s="1194" t="s">
        <v>1394</v>
      </c>
      <c r="N39" s="415"/>
      <c r="O39" s="415"/>
      <c r="P39" s="415"/>
      <c r="Q39" s="415"/>
      <c r="R39" s="415"/>
      <c r="S39" s="415"/>
      <c r="T39" s="415"/>
      <c r="U39" s="415"/>
      <c r="V39" s="415"/>
      <c r="W39" s="415"/>
      <c r="X39" s="415"/>
      <c r="Y39" s="415"/>
      <c r="Z39" s="415"/>
      <c r="AA39" s="415"/>
      <c r="AB39" s="401"/>
      <c r="AC39" s="401"/>
      <c r="AD39" s="401"/>
      <c r="AE39" s="401"/>
      <c r="AF39" s="401"/>
      <c r="AG39" s="401"/>
      <c r="AH39" s="401"/>
      <c r="AI39" s="401"/>
      <c r="AJ39" s="401"/>
      <c r="AK39" s="401"/>
      <c r="AL39" s="401"/>
      <c r="AM39" s="401"/>
      <c r="AN39" s="401"/>
      <c r="AO39" s="401"/>
      <c r="AP39" s="401"/>
      <c r="BB39" s="417"/>
      <c r="BC39" s="417"/>
      <c r="BD39" s="417"/>
      <c r="BE39" s="417"/>
      <c r="BF39" s="417"/>
      <c r="BG39" s="417"/>
      <c r="BH39" s="417"/>
      <c r="BI39" s="417"/>
      <c r="BJ39" s="417"/>
      <c r="BK39" s="417"/>
      <c r="BL39" s="417"/>
      <c r="BM39" s="417"/>
      <c r="BN39" s="266"/>
      <c r="BO39" s="266"/>
      <c r="BP39" s="266"/>
      <c r="BQ39" s="266"/>
      <c r="BR39" s="266"/>
      <c r="BS39" s="266"/>
      <c r="BT39" s="266"/>
      <c r="BU39" s="266"/>
      <c r="BV39" s="266"/>
      <c r="BW39" s="266"/>
      <c r="BX39" s="266"/>
      <c r="BY39" s="266"/>
      <c r="BZ39" s="266"/>
      <c r="CA39" s="266"/>
    </row>
    <row r="40" spans="1:79" s="361" customFormat="1" ht="15.75" customHeight="1" x14ac:dyDescent="0.2">
      <c r="A40" s="1773" t="s">
        <v>1116</v>
      </c>
      <c r="B40" s="276" t="s">
        <v>209</v>
      </c>
      <c r="C40" s="1195" t="s">
        <v>1384</v>
      </c>
      <c r="D40" s="1194" t="s">
        <v>1385</v>
      </c>
      <c r="E40" s="1196" t="s">
        <v>1386</v>
      </c>
      <c r="F40" s="1194" t="s">
        <v>1387</v>
      </c>
      <c r="G40" s="1196" t="s">
        <v>1388</v>
      </c>
      <c r="H40" s="1196" t="s">
        <v>1389</v>
      </c>
      <c r="I40" s="1196" t="s">
        <v>1390</v>
      </c>
      <c r="J40" s="1196" t="s">
        <v>1391</v>
      </c>
      <c r="K40" s="1196" t="s">
        <v>1392</v>
      </c>
      <c r="L40" s="1299" t="s">
        <v>1393</v>
      </c>
      <c r="M40" s="1194" t="s">
        <v>1394</v>
      </c>
      <c r="N40" s="415"/>
      <c r="O40" s="415"/>
      <c r="P40" s="415"/>
      <c r="Q40" s="415"/>
      <c r="R40" s="415"/>
      <c r="S40" s="415"/>
      <c r="T40" s="415"/>
      <c r="U40" s="415"/>
      <c r="V40" s="415"/>
      <c r="W40" s="415"/>
      <c r="X40" s="415"/>
      <c r="Y40" s="415"/>
      <c r="Z40" s="415"/>
      <c r="AA40" s="415"/>
      <c r="AB40" s="401"/>
      <c r="AC40" s="401"/>
      <c r="AD40" s="401"/>
      <c r="AE40" s="401"/>
      <c r="AF40" s="401"/>
      <c r="AG40" s="401"/>
      <c r="AH40" s="401"/>
      <c r="AI40" s="401"/>
      <c r="AJ40" s="401"/>
      <c r="AK40" s="401"/>
      <c r="AL40" s="401"/>
      <c r="AM40" s="401"/>
      <c r="AN40" s="401"/>
      <c r="AO40" s="401"/>
      <c r="AP40" s="401"/>
      <c r="BB40" s="417"/>
      <c r="BC40" s="417"/>
      <c r="BD40" s="417"/>
      <c r="BE40" s="417"/>
      <c r="BF40" s="417"/>
      <c r="BG40" s="417"/>
      <c r="BH40" s="417"/>
      <c r="BI40" s="417"/>
      <c r="BJ40" s="417"/>
      <c r="BK40" s="417"/>
      <c r="BL40" s="417"/>
      <c r="BM40" s="417"/>
      <c r="BN40" s="266"/>
      <c r="BO40" s="266"/>
      <c r="BP40" s="266"/>
      <c r="BQ40" s="266"/>
      <c r="BR40" s="266"/>
      <c r="BS40" s="266"/>
      <c r="BT40" s="266"/>
      <c r="BU40" s="266"/>
      <c r="BV40" s="266"/>
      <c r="BW40" s="266"/>
      <c r="BX40" s="266"/>
      <c r="BY40" s="266"/>
      <c r="BZ40" s="266"/>
      <c r="CA40" s="266"/>
    </row>
    <row r="41" spans="1:79" s="361" customFormat="1" ht="15.75" customHeight="1" x14ac:dyDescent="0.2">
      <c r="A41" s="1773" t="s">
        <v>1117</v>
      </c>
      <c r="B41" s="283" t="s">
        <v>221</v>
      </c>
      <c r="C41" s="1197" t="s">
        <v>1384</v>
      </c>
      <c r="D41" s="1198" t="s">
        <v>1385</v>
      </c>
      <c r="E41" s="1199" t="s">
        <v>1386</v>
      </c>
      <c r="F41" s="1198" t="s">
        <v>1387</v>
      </c>
      <c r="G41" s="1199" t="s">
        <v>1388</v>
      </c>
      <c r="H41" s="1199" t="s">
        <v>1389</v>
      </c>
      <c r="I41" s="1199" t="s">
        <v>1390</v>
      </c>
      <c r="J41" s="1199" t="s">
        <v>1391</v>
      </c>
      <c r="K41" s="1199" t="s">
        <v>1392</v>
      </c>
      <c r="L41" s="1300" t="s">
        <v>1393</v>
      </c>
      <c r="M41" s="1198" t="s">
        <v>1394</v>
      </c>
      <c r="N41" s="415"/>
      <c r="O41" s="415"/>
      <c r="P41" s="415"/>
      <c r="Q41" s="415"/>
      <c r="R41" s="415"/>
      <c r="S41" s="415"/>
      <c r="T41" s="415"/>
      <c r="U41" s="415"/>
      <c r="V41" s="415"/>
      <c r="W41" s="415"/>
      <c r="X41" s="415"/>
      <c r="Y41" s="415"/>
      <c r="Z41" s="415"/>
      <c r="AA41" s="415"/>
      <c r="AB41" s="401"/>
      <c r="AC41" s="401"/>
      <c r="AD41" s="401"/>
      <c r="AE41" s="401"/>
      <c r="AF41" s="401"/>
      <c r="AG41" s="401"/>
      <c r="AH41" s="401"/>
      <c r="AI41" s="401"/>
      <c r="AJ41" s="401"/>
      <c r="AK41" s="401"/>
      <c r="AL41" s="401"/>
      <c r="AM41" s="401"/>
      <c r="AN41" s="401"/>
      <c r="AO41" s="401"/>
      <c r="AP41" s="401"/>
      <c r="BB41" s="417"/>
      <c r="BC41" s="417"/>
      <c r="BD41" s="417"/>
      <c r="BE41" s="417"/>
      <c r="BF41" s="417"/>
      <c r="BG41" s="417"/>
      <c r="BH41" s="417"/>
      <c r="BI41" s="417"/>
      <c r="BJ41" s="417"/>
      <c r="BK41" s="417"/>
      <c r="BL41" s="417"/>
      <c r="BM41" s="417"/>
      <c r="BN41" s="266"/>
      <c r="BO41" s="266"/>
      <c r="BP41" s="266"/>
      <c r="BQ41" s="266"/>
      <c r="BR41" s="266"/>
      <c r="BS41" s="266"/>
      <c r="BT41" s="266"/>
      <c r="BU41" s="266"/>
      <c r="BV41" s="266"/>
      <c r="BW41" s="266"/>
      <c r="BX41" s="266"/>
      <c r="BY41" s="266"/>
      <c r="BZ41" s="266"/>
      <c r="CA41" s="266"/>
    </row>
    <row r="42" spans="1:79" ht="15.75" customHeight="1" x14ac:dyDescent="0.25">
      <c r="A42" s="1791"/>
      <c r="B42" s="286" t="s">
        <v>15</v>
      </c>
      <c r="C42" s="1200">
        <f>SUM(D42:L42)</f>
        <v>0</v>
      </c>
      <c r="D42" s="1200">
        <f t="shared" ref="D42:L42" si="0">SUM(D29:D41)</f>
        <v>0</v>
      </c>
      <c r="E42" s="1200">
        <f t="shared" si="0"/>
        <v>0</v>
      </c>
      <c r="F42" s="1201">
        <f t="shared" si="0"/>
        <v>0</v>
      </c>
      <c r="G42" s="1200">
        <f t="shared" si="0"/>
        <v>0</v>
      </c>
      <c r="H42" s="1200">
        <f t="shared" si="0"/>
        <v>0</v>
      </c>
      <c r="I42" s="1200">
        <f t="shared" si="0"/>
        <v>0</v>
      </c>
      <c r="J42" s="1200">
        <f t="shared" si="0"/>
        <v>0</v>
      </c>
      <c r="K42" s="1200">
        <f t="shared" si="0"/>
        <v>0</v>
      </c>
      <c r="L42" s="1301">
        <f t="shared" si="0"/>
        <v>0</v>
      </c>
      <c r="M42" s="1201">
        <f>SUM(M29:M41)</f>
        <v>0</v>
      </c>
      <c r="BB42" s="417"/>
      <c r="BC42" s="417"/>
      <c r="BD42" s="417"/>
      <c r="BE42" s="417"/>
      <c r="BF42" s="417"/>
      <c r="BG42" s="417"/>
      <c r="BH42" s="417"/>
      <c r="BI42" s="417"/>
      <c r="BJ42" s="417"/>
      <c r="BK42" s="417"/>
      <c r="BL42" s="417"/>
      <c r="BM42" s="417"/>
    </row>
    <row r="43" spans="1:79" ht="15.75" customHeight="1" x14ac:dyDescent="0.25">
      <c r="A43" s="1792"/>
      <c r="B43" s="2546" t="s">
        <v>284</v>
      </c>
      <c r="C43" s="2546"/>
      <c r="D43" s="2546"/>
      <c r="E43" s="284"/>
      <c r="F43" s="284"/>
      <c r="G43" s="284"/>
      <c r="H43" s="284"/>
      <c r="I43" s="284"/>
      <c r="J43" s="284"/>
      <c r="K43" s="284"/>
      <c r="L43" s="284"/>
      <c r="M43" s="579"/>
      <c r="BB43" s="417"/>
      <c r="BC43" s="417"/>
      <c r="BD43" s="417"/>
      <c r="BE43" s="417"/>
      <c r="BF43" s="417"/>
      <c r="BG43" s="417"/>
      <c r="BH43" s="417"/>
      <c r="BI43" s="417"/>
      <c r="BJ43" s="417"/>
      <c r="BK43" s="417"/>
      <c r="BL43" s="420"/>
      <c r="BM43" s="417"/>
    </row>
    <row r="44" spans="1:79" ht="43.5" customHeight="1" x14ac:dyDescent="0.25">
      <c r="A44" s="1792"/>
      <c r="B44" s="2549" t="s">
        <v>689</v>
      </c>
      <c r="C44" s="2549"/>
      <c r="D44" s="2549"/>
      <c r="E44" s="2549"/>
      <c r="F44" s="2549"/>
      <c r="G44" s="2549"/>
      <c r="H44" s="2549"/>
      <c r="I44" s="2549"/>
      <c r="J44" s="2549"/>
      <c r="K44" s="2549"/>
      <c r="L44" s="2549"/>
      <c r="BB44" s="417"/>
      <c r="BC44" s="417"/>
      <c r="BD44" s="417"/>
      <c r="BE44" s="417"/>
      <c r="BF44" s="417"/>
      <c r="BG44" s="417"/>
      <c r="BH44" s="417"/>
      <c r="BI44" s="417"/>
      <c r="BJ44" s="417"/>
      <c r="BK44" s="417"/>
      <c r="BL44" s="417"/>
      <c r="BM44" s="417"/>
    </row>
    <row r="45" spans="1:79" ht="19.5" customHeight="1" x14ac:dyDescent="0.25">
      <c r="A45" s="1792"/>
      <c r="B45" s="2526" t="s">
        <v>607</v>
      </c>
      <c r="C45" s="2528" t="s">
        <v>285</v>
      </c>
      <c r="D45" s="2542"/>
      <c r="E45" s="2542"/>
      <c r="F45" s="2542"/>
      <c r="G45" s="2542"/>
      <c r="H45" s="2542"/>
      <c r="I45" s="2542"/>
      <c r="J45" s="2542"/>
      <c r="K45" s="2542"/>
      <c r="L45" s="2542"/>
      <c r="M45" s="2543"/>
      <c r="O45" s="426"/>
      <c r="P45" s="426"/>
      <c r="Q45" s="426"/>
      <c r="R45" s="426"/>
      <c r="S45" s="426"/>
      <c r="T45" s="426"/>
      <c r="U45" s="426"/>
      <c r="V45" s="426"/>
      <c r="W45" s="426"/>
      <c r="X45" s="426"/>
      <c r="Y45" s="426"/>
      <c r="Z45" s="426"/>
      <c r="AA45" s="426"/>
      <c r="AB45" s="400"/>
      <c r="AC45" s="400"/>
      <c r="AD45" s="400"/>
      <c r="AE45" s="400"/>
      <c r="AF45" s="400"/>
      <c r="AG45" s="400"/>
      <c r="AH45" s="400"/>
      <c r="AI45" s="400"/>
      <c r="AJ45" s="400"/>
      <c r="AK45" s="400"/>
      <c r="AL45" s="400"/>
      <c r="AM45" s="400"/>
      <c r="AN45" s="400"/>
      <c r="AO45" s="400"/>
      <c r="AP45" s="400"/>
      <c r="BB45" s="419"/>
      <c r="BC45" s="419"/>
      <c r="BD45" s="419"/>
      <c r="BE45" s="419"/>
      <c r="BF45" s="419"/>
      <c r="BG45" s="419"/>
      <c r="BH45" s="419"/>
      <c r="BI45" s="419"/>
      <c r="BJ45" s="419"/>
      <c r="BK45" s="419"/>
      <c r="BL45" s="417"/>
      <c r="BM45" s="417"/>
      <c r="BW45" s="267"/>
      <c r="BX45" s="267"/>
      <c r="BY45" s="267"/>
      <c r="BZ45" s="267"/>
    </row>
    <row r="46" spans="1:79" ht="13.5" customHeight="1" x14ac:dyDescent="0.25">
      <c r="A46" s="1792"/>
      <c r="B46" s="2527"/>
      <c r="C46" s="2544" t="s">
        <v>15</v>
      </c>
      <c r="D46" s="2545" t="s">
        <v>286</v>
      </c>
      <c r="E46" s="2526" t="s">
        <v>287</v>
      </c>
      <c r="F46" s="2526"/>
      <c r="G46" s="2528" t="s">
        <v>288</v>
      </c>
      <c r="H46" s="2542"/>
      <c r="I46" s="2542"/>
      <c r="J46" s="2542"/>
      <c r="K46" s="2542"/>
      <c r="L46" s="2550"/>
      <c r="M46" s="2551" t="s">
        <v>720</v>
      </c>
      <c r="O46" s="426"/>
      <c r="P46" s="426"/>
      <c r="Q46" s="426"/>
      <c r="R46" s="426"/>
      <c r="S46" s="426"/>
      <c r="T46" s="426"/>
      <c r="U46" s="426"/>
      <c r="V46" s="426"/>
      <c r="W46" s="426"/>
      <c r="X46" s="426"/>
      <c r="Y46" s="426"/>
      <c r="Z46" s="426"/>
      <c r="AA46" s="426"/>
      <c r="AB46" s="400"/>
      <c r="AC46" s="400"/>
      <c r="AD46" s="400"/>
      <c r="AE46" s="400"/>
      <c r="AF46" s="400"/>
      <c r="AG46" s="400"/>
      <c r="AH46" s="400"/>
      <c r="AI46" s="400"/>
      <c r="AJ46" s="400"/>
      <c r="AK46" s="400"/>
      <c r="AL46" s="400"/>
      <c r="AM46" s="400"/>
      <c r="AN46" s="400"/>
      <c r="AO46" s="400"/>
      <c r="AP46" s="400"/>
      <c r="BB46" s="419"/>
      <c r="BC46" s="419"/>
      <c r="BD46" s="419"/>
      <c r="BE46" s="419"/>
      <c r="BF46" s="419"/>
      <c r="BG46" s="419"/>
      <c r="BH46" s="419"/>
      <c r="BI46" s="419"/>
      <c r="BJ46" s="419"/>
      <c r="BK46" s="419"/>
      <c r="BL46" s="417"/>
      <c r="BM46" s="417"/>
      <c r="BW46" s="267"/>
      <c r="BX46" s="267"/>
      <c r="BY46" s="267"/>
      <c r="BZ46" s="267"/>
    </row>
    <row r="47" spans="1:79" s="265" customFormat="1" ht="21.75" customHeight="1" x14ac:dyDescent="0.2">
      <c r="A47" s="1793"/>
      <c r="B47" s="2527"/>
      <c r="C47" s="2532"/>
      <c r="D47" s="2534"/>
      <c r="E47" s="450" t="s">
        <v>289</v>
      </c>
      <c r="F47" s="450" t="s">
        <v>290</v>
      </c>
      <c r="G47" s="1295" t="s">
        <v>291</v>
      </c>
      <c r="H47" s="1295" t="s">
        <v>292</v>
      </c>
      <c r="I47" s="1295" t="s">
        <v>293</v>
      </c>
      <c r="J47" s="1295" t="s">
        <v>294</v>
      </c>
      <c r="K47" s="1295" t="s">
        <v>295</v>
      </c>
      <c r="L47" s="1297" t="s">
        <v>296</v>
      </c>
      <c r="M47" s="2552"/>
      <c r="N47" s="415"/>
      <c r="O47" s="415"/>
      <c r="P47" s="415"/>
      <c r="Q47" s="415"/>
      <c r="R47" s="415"/>
      <c r="S47" s="415"/>
      <c r="T47" s="415"/>
      <c r="U47" s="415"/>
      <c r="V47" s="415"/>
      <c r="W47" s="415"/>
      <c r="X47" s="415"/>
      <c r="Y47" s="415"/>
      <c r="Z47" s="415"/>
      <c r="AA47" s="415"/>
      <c r="AB47" s="401"/>
      <c r="AC47" s="401"/>
      <c r="AD47" s="401"/>
      <c r="AE47" s="401"/>
      <c r="AF47" s="401"/>
      <c r="AG47" s="401"/>
      <c r="AH47" s="401"/>
      <c r="AI47" s="401"/>
      <c r="AJ47" s="401"/>
      <c r="AK47" s="401"/>
      <c r="AL47" s="401"/>
      <c r="AM47" s="401"/>
      <c r="AN47" s="401"/>
      <c r="AO47" s="401"/>
      <c r="AP47" s="401"/>
      <c r="BB47" s="417"/>
      <c r="BC47" s="417"/>
      <c r="BD47" s="417"/>
      <c r="BE47" s="417"/>
      <c r="BF47" s="417"/>
      <c r="BG47" s="417"/>
      <c r="BH47" s="417"/>
      <c r="BI47" s="417"/>
      <c r="BJ47" s="417"/>
      <c r="BK47" s="417"/>
      <c r="BL47" s="419"/>
      <c r="BM47" s="419"/>
      <c r="BW47" s="285"/>
      <c r="BX47" s="285"/>
      <c r="BY47" s="285"/>
      <c r="BZ47" s="285"/>
    </row>
    <row r="48" spans="1:79" s="265" customFormat="1" ht="15.75" customHeight="1" x14ac:dyDescent="0.2">
      <c r="A48" s="1773" t="s">
        <v>1118</v>
      </c>
      <c r="B48" s="281" t="s">
        <v>282</v>
      </c>
      <c r="C48" s="1195" t="s">
        <v>1384</v>
      </c>
      <c r="D48" s="1202" t="s">
        <v>1385</v>
      </c>
      <c r="E48" s="1202" t="s">
        <v>1386</v>
      </c>
      <c r="F48" s="1202" t="s">
        <v>1387</v>
      </c>
      <c r="G48" s="1202" t="s">
        <v>1388</v>
      </c>
      <c r="H48" s="1202" t="s">
        <v>1389</v>
      </c>
      <c r="I48" s="1202" t="s">
        <v>1390</v>
      </c>
      <c r="J48" s="1202" t="s">
        <v>1391</v>
      </c>
      <c r="K48" s="1202" t="s">
        <v>1392</v>
      </c>
      <c r="L48" s="1298" t="s">
        <v>1393</v>
      </c>
      <c r="M48" s="1296" t="s">
        <v>1394</v>
      </c>
      <c r="N48" s="415"/>
      <c r="O48" s="415"/>
      <c r="P48" s="415"/>
      <c r="Q48" s="415"/>
      <c r="R48" s="415"/>
      <c r="S48" s="415"/>
      <c r="T48" s="415"/>
      <c r="U48" s="415"/>
      <c r="V48" s="415"/>
      <c r="W48" s="415"/>
      <c r="X48" s="415"/>
      <c r="Y48" s="415"/>
      <c r="Z48" s="415"/>
      <c r="AA48" s="415"/>
      <c r="AB48" s="401"/>
      <c r="AC48" s="401"/>
      <c r="AD48" s="401"/>
      <c r="AE48" s="401"/>
      <c r="AF48" s="401"/>
      <c r="AG48" s="401"/>
      <c r="AH48" s="401"/>
      <c r="AI48" s="401"/>
      <c r="AJ48" s="401"/>
      <c r="AK48" s="401"/>
      <c r="AL48" s="401"/>
      <c r="AM48" s="401"/>
      <c r="AN48" s="401"/>
      <c r="AO48" s="401"/>
      <c r="AP48" s="401"/>
      <c r="BB48" s="417"/>
      <c r="BC48" s="417"/>
      <c r="BD48" s="417"/>
      <c r="BE48" s="417"/>
      <c r="BF48" s="417"/>
      <c r="BG48" s="417"/>
      <c r="BH48" s="417"/>
      <c r="BI48" s="417"/>
      <c r="BJ48" s="417"/>
      <c r="BK48" s="417"/>
      <c r="BL48" s="419"/>
      <c r="BM48" s="419"/>
      <c r="BW48" s="285"/>
      <c r="BX48" s="285"/>
      <c r="BY48" s="285"/>
      <c r="BZ48" s="285"/>
    </row>
    <row r="49" spans="1:79" s="265" customFormat="1" ht="15.75" customHeight="1" x14ac:dyDescent="0.2">
      <c r="A49" s="1773" t="s">
        <v>1119</v>
      </c>
      <c r="B49" s="276" t="s">
        <v>283</v>
      </c>
      <c r="C49" s="1203" t="s">
        <v>1384</v>
      </c>
      <c r="D49" s="1196" t="s">
        <v>1385</v>
      </c>
      <c r="E49" s="1196" t="s">
        <v>1386</v>
      </c>
      <c r="F49" s="1196" t="s">
        <v>1387</v>
      </c>
      <c r="G49" s="1196" t="s">
        <v>1388</v>
      </c>
      <c r="H49" s="1196" t="s">
        <v>1389</v>
      </c>
      <c r="I49" s="1196" t="s">
        <v>1390</v>
      </c>
      <c r="J49" s="1196" t="s">
        <v>1391</v>
      </c>
      <c r="K49" s="1196" t="s">
        <v>1392</v>
      </c>
      <c r="L49" s="1299" t="s">
        <v>1393</v>
      </c>
      <c r="M49" s="1194" t="s">
        <v>1394</v>
      </c>
      <c r="N49" s="415"/>
      <c r="O49" s="415"/>
      <c r="P49" s="415"/>
      <c r="Q49" s="415"/>
      <c r="R49" s="415"/>
      <c r="S49" s="415"/>
      <c r="T49" s="415"/>
      <c r="U49" s="415"/>
      <c r="V49" s="415"/>
      <c r="W49" s="415"/>
      <c r="X49" s="415"/>
      <c r="Y49" s="415"/>
      <c r="Z49" s="415"/>
      <c r="AA49" s="415"/>
      <c r="AB49" s="401"/>
      <c r="AC49" s="401"/>
      <c r="AD49" s="401"/>
      <c r="AE49" s="401"/>
      <c r="AF49" s="401"/>
      <c r="AG49" s="401"/>
      <c r="AH49" s="401"/>
      <c r="AI49" s="401"/>
      <c r="AJ49" s="401"/>
      <c r="AK49" s="401"/>
      <c r="AL49" s="401"/>
      <c r="AM49" s="401"/>
      <c r="AN49" s="401"/>
      <c r="AO49" s="401"/>
      <c r="AP49" s="401"/>
      <c r="BB49" s="417"/>
      <c r="BC49" s="417"/>
      <c r="BD49" s="417"/>
      <c r="BE49" s="417"/>
      <c r="BF49" s="417"/>
      <c r="BG49" s="417"/>
      <c r="BH49" s="417"/>
      <c r="BI49" s="417"/>
      <c r="BJ49" s="417"/>
      <c r="BK49" s="417"/>
      <c r="BL49" s="419"/>
      <c r="BM49" s="419"/>
      <c r="BW49" s="285"/>
      <c r="BX49" s="285"/>
      <c r="BY49" s="285"/>
      <c r="BZ49" s="285"/>
    </row>
    <row r="50" spans="1:79" s="265" customFormat="1" ht="15.75" customHeight="1" x14ac:dyDescent="0.2">
      <c r="A50" s="1773" t="s">
        <v>1120</v>
      </c>
      <c r="B50" s="276" t="s">
        <v>22</v>
      </c>
      <c r="C50" s="1195" t="s">
        <v>1384</v>
      </c>
      <c r="D50" s="1196" t="s">
        <v>1385</v>
      </c>
      <c r="E50" s="1196" t="s">
        <v>1386</v>
      </c>
      <c r="F50" s="1196" t="s">
        <v>1387</v>
      </c>
      <c r="G50" s="1196" t="s">
        <v>1388</v>
      </c>
      <c r="H50" s="1196" t="s">
        <v>1389</v>
      </c>
      <c r="I50" s="1196" t="s">
        <v>1390</v>
      </c>
      <c r="J50" s="1196" t="s">
        <v>1391</v>
      </c>
      <c r="K50" s="1196" t="s">
        <v>1392</v>
      </c>
      <c r="L50" s="1299" t="s">
        <v>1393</v>
      </c>
      <c r="M50" s="1194" t="s">
        <v>1394</v>
      </c>
      <c r="N50" s="415"/>
      <c r="O50" s="415"/>
      <c r="P50" s="415"/>
      <c r="Q50" s="415"/>
      <c r="R50" s="415"/>
      <c r="S50" s="415"/>
      <c r="T50" s="415"/>
      <c r="U50" s="415"/>
      <c r="V50" s="415"/>
      <c r="W50" s="415"/>
      <c r="X50" s="415"/>
      <c r="Y50" s="415"/>
      <c r="Z50" s="415"/>
      <c r="AA50" s="415"/>
      <c r="AB50" s="401"/>
      <c r="AC50" s="401"/>
      <c r="AD50" s="401"/>
      <c r="AE50" s="401"/>
      <c r="AF50" s="401"/>
      <c r="AG50" s="401"/>
      <c r="AH50" s="401"/>
      <c r="AI50" s="401"/>
      <c r="AJ50" s="401"/>
      <c r="AK50" s="401"/>
      <c r="AL50" s="401"/>
      <c r="AM50" s="401"/>
      <c r="AN50" s="401"/>
      <c r="AO50" s="401"/>
      <c r="AP50" s="401"/>
      <c r="BB50" s="417"/>
      <c r="BC50" s="417"/>
      <c r="BD50" s="417"/>
      <c r="BE50" s="417"/>
      <c r="BF50" s="417"/>
      <c r="BG50" s="417"/>
      <c r="BH50" s="417"/>
      <c r="BI50" s="417"/>
      <c r="BJ50" s="417"/>
      <c r="BK50" s="417"/>
      <c r="BL50" s="419"/>
      <c r="BM50" s="419"/>
      <c r="BW50" s="285"/>
      <c r="BX50" s="285"/>
      <c r="BY50" s="285"/>
      <c r="BZ50" s="285"/>
    </row>
    <row r="51" spans="1:79" s="265" customFormat="1" ht="15.75" customHeight="1" x14ac:dyDescent="0.2">
      <c r="A51" s="1773" t="s">
        <v>1121</v>
      </c>
      <c r="B51" s="276" t="s">
        <v>23</v>
      </c>
      <c r="C51" s="1203" t="s">
        <v>1384</v>
      </c>
      <c r="D51" s="1196" t="s">
        <v>1385</v>
      </c>
      <c r="E51" s="1196" t="s">
        <v>1386</v>
      </c>
      <c r="F51" s="1196" t="s">
        <v>1387</v>
      </c>
      <c r="G51" s="1196" t="s">
        <v>1388</v>
      </c>
      <c r="H51" s="1196" t="s">
        <v>1389</v>
      </c>
      <c r="I51" s="1196" t="s">
        <v>1390</v>
      </c>
      <c r="J51" s="1196" t="s">
        <v>1391</v>
      </c>
      <c r="K51" s="1196" t="s">
        <v>1392</v>
      </c>
      <c r="L51" s="1299" t="s">
        <v>1393</v>
      </c>
      <c r="M51" s="1194" t="s">
        <v>1394</v>
      </c>
      <c r="N51" s="415"/>
      <c r="O51" s="415"/>
      <c r="P51" s="415"/>
      <c r="Q51" s="415"/>
      <c r="R51" s="415"/>
      <c r="S51" s="415"/>
      <c r="T51" s="415"/>
      <c r="U51" s="415"/>
      <c r="V51" s="415"/>
      <c r="W51" s="415"/>
      <c r="X51" s="415"/>
      <c r="Y51" s="415"/>
      <c r="Z51" s="415"/>
      <c r="AA51" s="415"/>
      <c r="AB51" s="401"/>
      <c r="AC51" s="401"/>
      <c r="AD51" s="401"/>
      <c r="AE51" s="401"/>
      <c r="AF51" s="401"/>
      <c r="AG51" s="401"/>
      <c r="AH51" s="401"/>
      <c r="AI51" s="401"/>
      <c r="AJ51" s="401"/>
      <c r="AK51" s="401"/>
      <c r="AL51" s="401"/>
      <c r="AM51" s="401"/>
      <c r="AN51" s="401"/>
      <c r="AO51" s="401"/>
      <c r="AP51" s="401"/>
      <c r="BB51" s="417"/>
      <c r="BC51" s="417"/>
      <c r="BD51" s="417"/>
      <c r="BE51" s="417"/>
      <c r="BF51" s="417"/>
      <c r="BG51" s="417"/>
      <c r="BH51" s="417"/>
      <c r="BI51" s="417"/>
      <c r="BJ51" s="417"/>
      <c r="BK51" s="417"/>
      <c r="BL51" s="419"/>
      <c r="BM51" s="419"/>
      <c r="BW51" s="285"/>
      <c r="BX51" s="285"/>
      <c r="BY51" s="285"/>
      <c r="BZ51" s="285"/>
    </row>
    <row r="52" spans="1:79" s="265" customFormat="1" ht="15.75" customHeight="1" x14ac:dyDescent="0.2">
      <c r="A52" s="1773" t="s">
        <v>1122</v>
      </c>
      <c r="B52" s="276" t="s">
        <v>24</v>
      </c>
      <c r="C52" s="1203" t="s">
        <v>1384</v>
      </c>
      <c r="D52" s="1196" t="s">
        <v>1385</v>
      </c>
      <c r="E52" s="1196" t="s">
        <v>1386</v>
      </c>
      <c r="F52" s="1196" t="s">
        <v>1387</v>
      </c>
      <c r="G52" s="1196" t="s">
        <v>1388</v>
      </c>
      <c r="H52" s="1196" t="s">
        <v>1389</v>
      </c>
      <c r="I52" s="1196" t="s">
        <v>1390</v>
      </c>
      <c r="J52" s="1196" t="s">
        <v>1391</v>
      </c>
      <c r="K52" s="1196" t="s">
        <v>1392</v>
      </c>
      <c r="L52" s="1299" t="s">
        <v>1393</v>
      </c>
      <c r="M52" s="1194" t="s">
        <v>1394</v>
      </c>
      <c r="N52" s="415"/>
      <c r="O52" s="415"/>
      <c r="P52" s="415"/>
      <c r="Q52" s="415"/>
      <c r="R52" s="415"/>
      <c r="S52" s="415"/>
      <c r="T52" s="415"/>
      <c r="U52" s="415"/>
      <c r="V52" s="415"/>
      <c r="W52" s="415"/>
      <c r="X52" s="415"/>
      <c r="Y52" s="415"/>
      <c r="Z52" s="415"/>
      <c r="AA52" s="415"/>
      <c r="AB52" s="401"/>
      <c r="AC52" s="401"/>
      <c r="AD52" s="401"/>
      <c r="AE52" s="401"/>
      <c r="AF52" s="401"/>
      <c r="AG52" s="401"/>
      <c r="AH52" s="401"/>
      <c r="AI52" s="401"/>
      <c r="AJ52" s="401"/>
      <c r="AK52" s="401"/>
      <c r="AL52" s="401"/>
      <c r="AM52" s="401"/>
      <c r="AN52" s="401"/>
      <c r="AO52" s="401"/>
      <c r="AP52" s="401"/>
      <c r="BB52" s="417"/>
      <c r="BC52" s="417"/>
      <c r="BD52" s="417"/>
      <c r="BE52" s="417"/>
      <c r="BF52" s="417"/>
      <c r="BG52" s="417"/>
      <c r="BH52" s="417"/>
      <c r="BI52" s="417"/>
      <c r="BJ52" s="417"/>
      <c r="BK52" s="417"/>
      <c r="BL52" s="419"/>
      <c r="BM52" s="419"/>
      <c r="BW52" s="285"/>
      <c r="BX52" s="285"/>
      <c r="BY52" s="285"/>
      <c r="BZ52" s="285"/>
    </row>
    <row r="53" spans="1:79" s="265" customFormat="1" ht="15.75" customHeight="1" x14ac:dyDescent="0.2">
      <c r="A53" s="1773" t="s">
        <v>1123</v>
      </c>
      <c r="B53" s="276" t="s">
        <v>25</v>
      </c>
      <c r="C53" s="1203" t="s">
        <v>1384</v>
      </c>
      <c r="D53" s="1196" t="s">
        <v>1385</v>
      </c>
      <c r="E53" s="1196" t="s">
        <v>1386</v>
      </c>
      <c r="F53" s="1196" t="s">
        <v>1387</v>
      </c>
      <c r="G53" s="1196" t="s">
        <v>1388</v>
      </c>
      <c r="H53" s="1196" t="s">
        <v>1389</v>
      </c>
      <c r="I53" s="1196" t="s">
        <v>1390</v>
      </c>
      <c r="J53" s="1196" t="s">
        <v>1391</v>
      </c>
      <c r="K53" s="1196" t="s">
        <v>1392</v>
      </c>
      <c r="L53" s="1299" t="s">
        <v>1393</v>
      </c>
      <c r="M53" s="1194" t="s">
        <v>1394</v>
      </c>
      <c r="N53" s="415"/>
      <c r="O53" s="415"/>
      <c r="P53" s="415"/>
      <c r="Q53" s="415"/>
      <c r="R53" s="415"/>
      <c r="S53" s="415"/>
      <c r="T53" s="415"/>
      <c r="U53" s="415"/>
      <c r="V53" s="415"/>
      <c r="W53" s="415"/>
      <c r="X53" s="415"/>
      <c r="Y53" s="415"/>
      <c r="Z53" s="415"/>
      <c r="AA53" s="415"/>
      <c r="AB53" s="401"/>
      <c r="AC53" s="401"/>
      <c r="AD53" s="401"/>
      <c r="AE53" s="401"/>
      <c r="AF53" s="401"/>
      <c r="AG53" s="401"/>
      <c r="AH53" s="401"/>
      <c r="AI53" s="401"/>
      <c r="AJ53" s="401"/>
      <c r="AK53" s="401"/>
      <c r="AL53" s="401"/>
      <c r="AM53" s="401"/>
      <c r="AN53" s="401"/>
      <c r="AO53" s="401"/>
      <c r="AP53" s="401"/>
      <c r="BB53" s="417"/>
      <c r="BC53" s="417"/>
      <c r="BD53" s="417"/>
      <c r="BE53" s="417"/>
      <c r="BF53" s="417"/>
      <c r="BG53" s="417"/>
      <c r="BH53" s="417"/>
      <c r="BI53" s="417"/>
      <c r="BJ53" s="417"/>
      <c r="BK53" s="417"/>
      <c r="BL53" s="419"/>
      <c r="BM53" s="419"/>
      <c r="BW53" s="285"/>
      <c r="BX53" s="285"/>
      <c r="BY53" s="285"/>
      <c r="BZ53" s="285"/>
    </row>
    <row r="54" spans="1:79" s="265" customFormat="1" ht="15.75" customHeight="1" x14ac:dyDescent="0.2">
      <c r="A54" s="1773" t="s">
        <v>1124</v>
      </c>
      <c r="B54" s="276" t="s">
        <v>26</v>
      </c>
      <c r="C54" s="1203" t="s">
        <v>1384</v>
      </c>
      <c r="D54" s="1196" t="s">
        <v>1385</v>
      </c>
      <c r="E54" s="1196" t="s">
        <v>1386</v>
      </c>
      <c r="F54" s="1196" t="s">
        <v>1387</v>
      </c>
      <c r="G54" s="1196" t="s">
        <v>1388</v>
      </c>
      <c r="H54" s="1196" t="s">
        <v>1389</v>
      </c>
      <c r="I54" s="1196" t="s">
        <v>1390</v>
      </c>
      <c r="J54" s="1196" t="s">
        <v>1391</v>
      </c>
      <c r="K54" s="1196" t="s">
        <v>1392</v>
      </c>
      <c r="L54" s="1299" t="s">
        <v>1393</v>
      </c>
      <c r="M54" s="1194" t="s">
        <v>1394</v>
      </c>
      <c r="N54" s="415"/>
      <c r="O54" s="415"/>
      <c r="P54" s="415"/>
      <c r="Q54" s="415"/>
      <c r="R54" s="415"/>
      <c r="S54" s="415"/>
      <c r="T54" s="415"/>
      <c r="U54" s="415"/>
      <c r="V54" s="415"/>
      <c r="W54" s="415"/>
      <c r="X54" s="415"/>
      <c r="Y54" s="415"/>
      <c r="Z54" s="415"/>
      <c r="AA54" s="415"/>
      <c r="AB54" s="401"/>
      <c r="AC54" s="401"/>
      <c r="AD54" s="401"/>
      <c r="AE54" s="401"/>
      <c r="AF54" s="401"/>
      <c r="AG54" s="401"/>
      <c r="AH54" s="401"/>
      <c r="AI54" s="401"/>
      <c r="AJ54" s="401"/>
      <c r="AK54" s="401"/>
      <c r="AL54" s="401"/>
      <c r="AM54" s="401"/>
      <c r="AN54" s="401"/>
      <c r="AO54" s="401"/>
      <c r="AP54" s="401"/>
      <c r="BB54" s="417"/>
      <c r="BC54" s="417"/>
      <c r="BD54" s="417"/>
      <c r="BE54" s="417"/>
      <c r="BF54" s="417"/>
      <c r="BG54" s="417"/>
      <c r="BH54" s="417"/>
      <c r="BI54" s="417"/>
      <c r="BJ54" s="417"/>
      <c r="BK54" s="417"/>
      <c r="BL54" s="419"/>
      <c r="BM54" s="419"/>
      <c r="BW54" s="285"/>
      <c r="BX54" s="285"/>
      <c r="BY54" s="285"/>
      <c r="BZ54" s="285"/>
    </row>
    <row r="55" spans="1:79" s="265" customFormat="1" ht="15.75" customHeight="1" x14ac:dyDescent="0.2">
      <c r="A55" s="1773" t="s">
        <v>1125</v>
      </c>
      <c r="B55" s="276" t="s">
        <v>234</v>
      </c>
      <c r="C55" s="1203" t="s">
        <v>1384</v>
      </c>
      <c r="D55" s="1196" t="s">
        <v>1385</v>
      </c>
      <c r="E55" s="1196" t="s">
        <v>1386</v>
      </c>
      <c r="F55" s="1196" t="s">
        <v>1387</v>
      </c>
      <c r="G55" s="1196" t="s">
        <v>1388</v>
      </c>
      <c r="H55" s="1196" t="s">
        <v>1389</v>
      </c>
      <c r="I55" s="1196" t="s">
        <v>1390</v>
      </c>
      <c r="J55" s="1196" t="s">
        <v>1391</v>
      </c>
      <c r="K55" s="1196" t="s">
        <v>1392</v>
      </c>
      <c r="L55" s="1299" t="s">
        <v>1393</v>
      </c>
      <c r="M55" s="1194" t="s">
        <v>1394</v>
      </c>
      <c r="N55" s="415"/>
      <c r="O55" s="415"/>
      <c r="P55" s="415"/>
      <c r="Q55" s="415"/>
      <c r="R55" s="415"/>
      <c r="S55" s="415"/>
      <c r="T55" s="415"/>
      <c r="U55" s="415"/>
      <c r="V55" s="415"/>
      <c r="W55" s="415"/>
      <c r="X55" s="415"/>
      <c r="Y55" s="415"/>
      <c r="Z55" s="415"/>
      <c r="AA55" s="415"/>
      <c r="AB55" s="401"/>
      <c r="AC55" s="401"/>
      <c r="AD55" s="401"/>
      <c r="AE55" s="401"/>
      <c r="AF55" s="401"/>
      <c r="AG55" s="401"/>
      <c r="AH55" s="401"/>
      <c r="AI55" s="401"/>
      <c r="AJ55" s="401"/>
      <c r="AK55" s="401"/>
      <c r="AL55" s="401"/>
      <c r="AM55" s="401"/>
      <c r="AN55" s="401"/>
      <c r="AO55" s="401"/>
      <c r="AP55" s="401"/>
      <c r="BB55" s="417"/>
      <c r="BC55" s="417"/>
      <c r="BD55" s="417"/>
      <c r="BE55" s="417"/>
      <c r="BF55" s="417"/>
      <c r="BG55" s="417"/>
      <c r="BH55" s="417"/>
      <c r="BI55" s="417"/>
      <c r="BJ55" s="417"/>
      <c r="BK55" s="420"/>
      <c r="BL55" s="419"/>
      <c r="BM55" s="419"/>
      <c r="BW55" s="285"/>
      <c r="BX55" s="285"/>
      <c r="BY55" s="285"/>
      <c r="BZ55" s="285"/>
    </row>
    <row r="56" spans="1:79" s="265" customFormat="1" ht="15" customHeight="1" x14ac:dyDescent="0.2">
      <c r="A56" s="1773" t="s">
        <v>1126</v>
      </c>
      <c r="B56" s="276" t="s">
        <v>235</v>
      </c>
      <c r="C56" s="1203" t="s">
        <v>1384</v>
      </c>
      <c r="D56" s="1196" t="s">
        <v>1385</v>
      </c>
      <c r="E56" s="1196" t="s">
        <v>1386</v>
      </c>
      <c r="F56" s="1196" t="s">
        <v>1387</v>
      </c>
      <c r="G56" s="1196" t="s">
        <v>1388</v>
      </c>
      <c r="H56" s="1196" t="s">
        <v>1389</v>
      </c>
      <c r="I56" s="1196" t="s">
        <v>1390</v>
      </c>
      <c r="J56" s="1196" t="s">
        <v>1391</v>
      </c>
      <c r="K56" s="1196" t="s">
        <v>1392</v>
      </c>
      <c r="L56" s="1299" t="s">
        <v>1393</v>
      </c>
      <c r="M56" s="1194" t="s">
        <v>1394</v>
      </c>
      <c r="N56" s="415"/>
      <c r="O56" s="415"/>
      <c r="P56" s="415"/>
      <c r="Q56" s="415"/>
      <c r="R56" s="415"/>
      <c r="S56" s="415"/>
      <c r="T56" s="415"/>
      <c r="U56" s="415"/>
      <c r="V56" s="415"/>
      <c r="W56" s="415"/>
      <c r="X56" s="415"/>
      <c r="Y56" s="415"/>
      <c r="Z56" s="415"/>
      <c r="AA56" s="415"/>
      <c r="AB56" s="401"/>
      <c r="AC56" s="401"/>
      <c r="AD56" s="401"/>
      <c r="AE56" s="401"/>
      <c r="AF56" s="401"/>
      <c r="AG56" s="401"/>
      <c r="AH56" s="401"/>
      <c r="AI56" s="401"/>
      <c r="AJ56" s="401"/>
      <c r="AK56" s="401"/>
      <c r="AL56" s="401"/>
      <c r="AM56" s="401"/>
      <c r="AN56" s="401"/>
      <c r="AO56" s="401"/>
      <c r="AP56" s="401"/>
      <c r="BB56" s="417"/>
      <c r="BC56" s="417"/>
      <c r="BD56" s="417"/>
      <c r="BE56" s="417"/>
      <c r="BF56" s="417"/>
      <c r="BG56" s="417"/>
      <c r="BH56" s="417"/>
      <c r="BI56" s="417"/>
      <c r="BJ56" s="417"/>
      <c r="BK56" s="417"/>
      <c r="BL56" s="417"/>
      <c r="BM56" s="417"/>
    </row>
    <row r="57" spans="1:79" ht="14.25" customHeight="1" x14ac:dyDescent="0.25">
      <c r="A57" s="1773" t="s">
        <v>1127</v>
      </c>
      <c r="B57" s="276" t="s">
        <v>207</v>
      </c>
      <c r="C57" s="1203" t="s">
        <v>1384</v>
      </c>
      <c r="D57" s="1196" t="s">
        <v>1385</v>
      </c>
      <c r="E57" s="1196" t="s">
        <v>1386</v>
      </c>
      <c r="F57" s="1196" t="s">
        <v>1387</v>
      </c>
      <c r="G57" s="1196" t="s">
        <v>1388</v>
      </c>
      <c r="H57" s="1196" t="s">
        <v>1389</v>
      </c>
      <c r="I57" s="1196" t="s">
        <v>1390</v>
      </c>
      <c r="J57" s="1196" t="s">
        <v>1391</v>
      </c>
      <c r="K57" s="1196" t="s">
        <v>1392</v>
      </c>
      <c r="L57" s="1299" t="s">
        <v>1393</v>
      </c>
      <c r="M57" s="1194" t="s">
        <v>1394</v>
      </c>
      <c r="BB57" s="417"/>
      <c r="BC57" s="417"/>
      <c r="BD57" s="417"/>
      <c r="BE57" s="417"/>
      <c r="BF57" s="417"/>
      <c r="BG57" s="417"/>
      <c r="BH57" s="417"/>
      <c r="BI57" s="417"/>
      <c r="BJ57" s="417"/>
      <c r="BK57" s="417"/>
      <c r="BL57" s="417"/>
      <c r="BM57" s="417"/>
    </row>
    <row r="58" spans="1:79" s="361" customFormat="1" ht="14.25" customHeight="1" x14ac:dyDescent="0.2">
      <c r="A58" s="1773" t="s">
        <v>1128</v>
      </c>
      <c r="B58" s="276" t="s">
        <v>208</v>
      </c>
      <c r="C58" s="1203" t="s">
        <v>1384</v>
      </c>
      <c r="D58" s="1196" t="s">
        <v>1385</v>
      </c>
      <c r="E58" s="1196" t="s">
        <v>1386</v>
      </c>
      <c r="F58" s="1196" t="s">
        <v>1387</v>
      </c>
      <c r="G58" s="1196" t="s">
        <v>1388</v>
      </c>
      <c r="H58" s="1196" t="s">
        <v>1389</v>
      </c>
      <c r="I58" s="1196" t="s">
        <v>1390</v>
      </c>
      <c r="J58" s="1196" t="s">
        <v>1391</v>
      </c>
      <c r="K58" s="1196" t="s">
        <v>1392</v>
      </c>
      <c r="L58" s="1299" t="s">
        <v>1393</v>
      </c>
      <c r="M58" s="1194" t="s">
        <v>1394</v>
      </c>
      <c r="N58" s="415"/>
      <c r="O58" s="415"/>
      <c r="P58" s="415"/>
      <c r="Q58" s="415"/>
      <c r="R58" s="415"/>
      <c r="S58" s="415"/>
      <c r="T58" s="415"/>
      <c r="U58" s="415"/>
      <c r="V58" s="415"/>
      <c r="W58" s="415"/>
      <c r="X58" s="415"/>
      <c r="Y58" s="415"/>
      <c r="Z58" s="415"/>
      <c r="AA58" s="415"/>
      <c r="AB58" s="401"/>
      <c r="AC58" s="401"/>
      <c r="AD58" s="401"/>
      <c r="AE58" s="401"/>
      <c r="AF58" s="401"/>
      <c r="AG58" s="401"/>
      <c r="AH58" s="401"/>
      <c r="AI58" s="401"/>
      <c r="AJ58" s="401"/>
      <c r="AK58" s="401"/>
      <c r="AL58" s="401"/>
      <c r="AM58" s="401"/>
      <c r="AN58" s="401"/>
      <c r="AO58" s="401"/>
      <c r="AP58" s="401"/>
      <c r="BB58" s="417"/>
      <c r="BC58" s="417"/>
      <c r="BD58" s="417"/>
      <c r="BE58" s="417"/>
      <c r="BF58" s="417"/>
      <c r="BG58" s="417"/>
      <c r="BH58" s="417"/>
      <c r="BI58" s="417"/>
      <c r="BJ58" s="417"/>
      <c r="BK58" s="417"/>
      <c r="BL58" s="417"/>
      <c r="BM58" s="417"/>
      <c r="BN58" s="266"/>
      <c r="BO58" s="266"/>
      <c r="BP58" s="266"/>
      <c r="BQ58" s="266"/>
      <c r="BR58" s="266"/>
      <c r="BS58" s="266"/>
      <c r="BT58" s="266"/>
      <c r="BU58" s="266"/>
      <c r="BV58" s="266"/>
      <c r="BW58" s="266"/>
      <c r="BX58" s="266"/>
      <c r="BY58" s="266"/>
      <c r="BZ58" s="266"/>
      <c r="CA58" s="266"/>
    </row>
    <row r="59" spans="1:79" s="361" customFormat="1" ht="14.25" customHeight="1" x14ac:dyDescent="0.2">
      <c r="A59" s="1773" t="s">
        <v>1129</v>
      </c>
      <c r="B59" s="276" t="s">
        <v>209</v>
      </c>
      <c r="C59" s="1203" t="s">
        <v>1384</v>
      </c>
      <c r="D59" s="1196" t="s">
        <v>1385</v>
      </c>
      <c r="E59" s="1196" t="s">
        <v>1386</v>
      </c>
      <c r="F59" s="1196" t="s">
        <v>1387</v>
      </c>
      <c r="G59" s="1196" t="s">
        <v>1388</v>
      </c>
      <c r="H59" s="1196" t="s">
        <v>1389</v>
      </c>
      <c r="I59" s="1196" t="s">
        <v>1390</v>
      </c>
      <c r="J59" s="1196" t="s">
        <v>1391</v>
      </c>
      <c r="K59" s="1196" t="s">
        <v>1392</v>
      </c>
      <c r="L59" s="1299" t="s">
        <v>1393</v>
      </c>
      <c r="M59" s="1194" t="s">
        <v>1394</v>
      </c>
      <c r="N59" s="415"/>
      <c r="O59" s="415"/>
      <c r="P59" s="415"/>
      <c r="Q59" s="415"/>
      <c r="R59" s="415"/>
      <c r="S59" s="415"/>
      <c r="T59" s="415"/>
      <c r="U59" s="415"/>
      <c r="V59" s="415"/>
      <c r="W59" s="415"/>
      <c r="X59" s="415"/>
      <c r="Y59" s="415"/>
      <c r="Z59" s="415"/>
      <c r="AA59" s="415"/>
      <c r="AB59" s="401"/>
      <c r="AC59" s="401"/>
      <c r="AD59" s="401"/>
      <c r="AE59" s="401"/>
      <c r="AF59" s="401"/>
      <c r="AG59" s="401"/>
      <c r="AH59" s="401"/>
      <c r="AI59" s="401"/>
      <c r="AJ59" s="401"/>
      <c r="AK59" s="401"/>
      <c r="AL59" s="401"/>
      <c r="AM59" s="401"/>
      <c r="AN59" s="401"/>
      <c r="AO59" s="401"/>
      <c r="AP59" s="401"/>
      <c r="BB59" s="417"/>
      <c r="BC59" s="417"/>
      <c r="BD59" s="417"/>
      <c r="BE59" s="417"/>
      <c r="BF59" s="417"/>
      <c r="BG59" s="417"/>
      <c r="BH59" s="417"/>
      <c r="BI59" s="417"/>
      <c r="BJ59" s="417"/>
      <c r="BK59" s="417"/>
      <c r="BL59" s="417"/>
      <c r="BM59" s="417"/>
      <c r="BN59" s="266"/>
      <c r="BO59" s="266"/>
      <c r="BP59" s="266"/>
      <c r="BQ59" s="266"/>
      <c r="BR59" s="266"/>
      <c r="BS59" s="266"/>
      <c r="BT59" s="266"/>
      <c r="BU59" s="266"/>
      <c r="BV59" s="266"/>
      <c r="BW59" s="266"/>
      <c r="BX59" s="266"/>
      <c r="BY59" s="266"/>
      <c r="BZ59" s="266"/>
      <c r="CA59" s="266"/>
    </row>
    <row r="60" spans="1:79" s="361" customFormat="1" ht="14.25" customHeight="1" x14ac:dyDescent="0.2">
      <c r="A60" s="1773" t="s">
        <v>1130</v>
      </c>
      <c r="B60" s="283" t="s">
        <v>221</v>
      </c>
      <c r="C60" s="1197" t="s">
        <v>1384</v>
      </c>
      <c r="D60" s="1199" t="s">
        <v>1385</v>
      </c>
      <c r="E60" s="1199" t="s">
        <v>1386</v>
      </c>
      <c r="F60" s="1199" t="s">
        <v>1387</v>
      </c>
      <c r="G60" s="1199" t="s">
        <v>1388</v>
      </c>
      <c r="H60" s="1199" t="s">
        <v>1389</v>
      </c>
      <c r="I60" s="1199" t="s">
        <v>1390</v>
      </c>
      <c r="J60" s="1199" t="s">
        <v>1391</v>
      </c>
      <c r="K60" s="1199" t="s">
        <v>1392</v>
      </c>
      <c r="L60" s="1300" t="s">
        <v>1393</v>
      </c>
      <c r="M60" s="1198" t="s">
        <v>1394</v>
      </c>
      <c r="N60" s="415"/>
      <c r="O60" s="415"/>
      <c r="P60" s="415"/>
      <c r="Q60" s="415"/>
      <c r="R60" s="415"/>
      <c r="S60" s="415"/>
      <c r="T60" s="415"/>
      <c r="U60" s="415"/>
      <c r="V60" s="415"/>
      <c r="W60" s="415"/>
      <c r="X60" s="415"/>
      <c r="Y60" s="415"/>
      <c r="Z60" s="415"/>
      <c r="AA60" s="415"/>
      <c r="AB60" s="401"/>
      <c r="AC60" s="401"/>
      <c r="AD60" s="401"/>
      <c r="AE60" s="401"/>
      <c r="AF60" s="401"/>
      <c r="AG60" s="401"/>
      <c r="AH60" s="401"/>
      <c r="AI60" s="401"/>
      <c r="AJ60" s="401"/>
      <c r="AK60" s="401"/>
      <c r="AL60" s="401"/>
      <c r="AM60" s="401"/>
      <c r="AN60" s="401"/>
      <c r="AO60" s="401"/>
      <c r="AP60" s="401"/>
      <c r="BB60" s="417"/>
      <c r="BC60" s="417"/>
      <c r="BD60" s="417"/>
      <c r="BE60" s="417"/>
      <c r="BF60" s="417"/>
      <c r="BG60" s="417"/>
      <c r="BH60" s="417"/>
      <c r="BI60" s="417"/>
      <c r="BJ60" s="417"/>
      <c r="BK60" s="417"/>
      <c r="BL60" s="417"/>
      <c r="BM60" s="417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  <c r="BY60" s="266"/>
      <c r="BZ60" s="266"/>
      <c r="CA60" s="266"/>
    </row>
    <row r="61" spans="1:79" ht="14.25" customHeight="1" x14ac:dyDescent="0.25">
      <c r="A61" s="1791"/>
      <c r="B61" s="286" t="s">
        <v>15</v>
      </c>
      <c r="C61" s="1200">
        <f>SUM(D61:L61)</f>
        <v>0</v>
      </c>
      <c r="D61" s="1200">
        <f>SUM(D48:D60)</f>
        <v>0</v>
      </c>
      <c r="E61" s="1200">
        <f>SUM(E48:E60)</f>
        <v>0</v>
      </c>
      <c r="F61" s="1200">
        <f t="shared" ref="F61:L61" si="1">SUM(F48:F60)</f>
        <v>0</v>
      </c>
      <c r="G61" s="1200">
        <f t="shared" si="1"/>
        <v>0</v>
      </c>
      <c r="H61" s="1200">
        <f t="shared" si="1"/>
        <v>0</v>
      </c>
      <c r="I61" s="1200">
        <f t="shared" si="1"/>
        <v>0</v>
      </c>
      <c r="J61" s="1200">
        <f t="shared" si="1"/>
        <v>0</v>
      </c>
      <c r="K61" s="1200">
        <f t="shared" si="1"/>
        <v>0</v>
      </c>
      <c r="L61" s="1301">
        <f t="shared" si="1"/>
        <v>0</v>
      </c>
      <c r="M61" s="1201">
        <f>SUM(M48:M60)</f>
        <v>0</v>
      </c>
      <c r="BB61" s="417"/>
      <c r="BC61" s="417"/>
      <c r="BD61" s="417"/>
      <c r="BE61" s="417"/>
      <c r="BF61" s="417"/>
      <c r="BG61" s="417"/>
      <c r="BH61" s="417"/>
      <c r="BI61" s="417"/>
      <c r="BJ61" s="417"/>
      <c r="BK61" s="417"/>
      <c r="BL61" s="417"/>
      <c r="BM61" s="417"/>
    </row>
    <row r="62" spans="1:79" s="265" customFormat="1" ht="15.75" customHeight="1" x14ac:dyDescent="0.2">
      <c r="A62" s="1793"/>
      <c r="B62" s="287" t="s">
        <v>284</v>
      </c>
      <c r="C62" s="284"/>
      <c r="D62" s="284"/>
      <c r="E62" s="284"/>
      <c r="F62" s="284"/>
      <c r="G62" s="284"/>
      <c r="H62" s="284"/>
      <c r="I62" s="284"/>
      <c r="J62" s="284"/>
      <c r="K62" s="284"/>
      <c r="L62" s="284"/>
      <c r="M62" s="266"/>
      <c r="N62" s="415"/>
      <c r="O62" s="415"/>
      <c r="P62" s="415"/>
      <c r="Q62" s="415"/>
      <c r="R62" s="415"/>
      <c r="S62" s="415"/>
      <c r="T62" s="415"/>
      <c r="U62" s="415"/>
      <c r="V62" s="415"/>
      <c r="W62" s="415"/>
      <c r="X62" s="415"/>
      <c r="Y62" s="415"/>
      <c r="Z62" s="415"/>
      <c r="AA62" s="415"/>
      <c r="AB62" s="401"/>
      <c r="AC62" s="401"/>
      <c r="AD62" s="401"/>
      <c r="AE62" s="401"/>
      <c r="AF62" s="401"/>
      <c r="AG62" s="401"/>
      <c r="AH62" s="401"/>
      <c r="AI62" s="401"/>
      <c r="AJ62" s="401"/>
      <c r="AK62" s="401"/>
      <c r="AL62" s="401"/>
      <c r="AM62" s="401"/>
      <c r="AN62" s="401"/>
      <c r="AO62" s="401"/>
      <c r="AP62" s="401"/>
      <c r="BB62" s="417"/>
      <c r="BC62" s="417"/>
      <c r="BD62" s="417"/>
      <c r="BE62" s="417"/>
      <c r="BF62" s="417"/>
      <c r="BG62" s="417"/>
      <c r="BH62" s="417"/>
      <c r="BI62" s="417"/>
      <c r="BJ62" s="417"/>
      <c r="BK62" s="417"/>
      <c r="BL62" s="419"/>
      <c r="BM62" s="419"/>
      <c r="BW62" s="285"/>
      <c r="BX62" s="285"/>
      <c r="BY62" s="285"/>
      <c r="BZ62" s="285"/>
    </row>
    <row r="63" spans="1:79" s="265" customFormat="1" ht="18" customHeight="1" x14ac:dyDescent="0.2">
      <c r="A63" s="1793"/>
      <c r="B63" s="693" t="s">
        <v>297</v>
      </c>
      <c r="C63" s="288"/>
      <c r="D63" s="288"/>
      <c r="E63" s="288"/>
      <c r="F63" s="288"/>
      <c r="G63" s="288"/>
      <c r="H63" s="288"/>
      <c r="I63" s="288"/>
      <c r="J63" s="288"/>
      <c r="K63" s="288"/>
      <c r="L63" s="266"/>
      <c r="M63" s="266"/>
      <c r="N63" s="415"/>
      <c r="O63" s="415"/>
      <c r="P63" s="415"/>
      <c r="Q63" s="415"/>
      <c r="R63" s="415"/>
      <c r="S63" s="415"/>
      <c r="T63" s="415"/>
      <c r="U63" s="415"/>
      <c r="V63" s="415"/>
      <c r="W63" s="415"/>
      <c r="X63" s="415"/>
      <c r="Y63" s="415"/>
      <c r="Z63" s="415"/>
      <c r="AA63" s="415"/>
      <c r="AB63" s="401"/>
      <c r="AC63" s="401"/>
      <c r="AD63" s="401"/>
      <c r="AE63" s="401"/>
      <c r="AF63" s="401"/>
      <c r="AG63" s="401"/>
      <c r="AH63" s="401"/>
      <c r="AI63" s="401"/>
      <c r="AJ63" s="401"/>
      <c r="AK63" s="401"/>
      <c r="AL63" s="401"/>
      <c r="AM63" s="401"/>
      <c r="AN63" s="401"/>
      <c r="AO63" s="401"/>
      <c r="AP63" s="401"/>
      <c r="BB63" s="417"/>
      <c r="BC63" s="417"/>
      <c r="BD63" s="417"/>
      <c r="BE63" s="417"/>
      <c r="BF63" s="417"/>
      <c r="BG63" s="417"/>
      <c r="BH63" s="417"/>
      <c r="BI63" s="417"/>
      <c r="BJ63" s="417"/>
      <c r="BK63" s="417"/>
      <c r="BL63" s="419"/>
      <c r="BM63" s="419"/>
      <c r="BW63" s="285"/>
      <c r="BX63" s="285"/>
      <c r="BY63" s="285"/>
      <c r="BZ63" s="285"/>
    </row>
    <row r="64" spans="1:79" s="265" customFormat="1" ht="64.5" customHeight="1" x14ac:dyDescent="0.2">
      <c r="A64" s="1793"/>
      <c r="B64" s="272" t="s">
        <v>607</v>
      </c>
      <c r="C64" s="360" t="s">
        <v>614</v>
      </c>
      <c r="D64" s="288"/>
      <c r="E64" s="266"/>
      <c r="F64" s="266"/>
      <c r="G64" s="266"/>
      <c r="H64" s="266"/>
      <c r="I64" s="266"/>
      <c r="J64" s="266"/>
      <c r="K64" s="266"/>
      <c r="L64" s="266"/>
      <c r="M64" s="266"/>
      <c r="N64" s="415"/>
      <c r="O64" s="415"/>
      <c r="P64" s="415"/>
      <c r="Q64" s="415"/>
      <c r="R64" s="415"/>
      <c r="S64" s="415"/>
      <c r="T64" s="415"/>
      <c r="U64" s="415"/>
      <c r="V64" s="415"/>
      <c r="W64" s="415"/>
      <c r="X64" s="415"/>
      <c r="Y64" s="415"/>
      <c r="Z64" s="415"/>
      <c r="AA64" s="415"/>
      <c r="AB64" s="401"/>
      <c r="AC64" s="401"/>
      <c r="AD64" s="401"/>
      <c r="AE64" s="401"/>
      <c r="AF64" s="401"/>
      <c r="AG64" s="401"/>
      <c r="AH64" s="401"/>
      <c r="AI64" s="401"/>
      <c r="AJ64" s="401"/>
      <c r="AK64" s="401"/>
      <c r="AL64" s="401"/>
      <c r="AM64" s="401"/>
      <c r="AN64" s="401"/>
      <c r="AO64" s="401"/>
      <c r="AP64" s="401"/>
      <c r="BB64" s="417"/>
      <c r="BC64" s="417"/>
      <c r="BD64" s="417"/>
      <c r="BE64" s="417"/>
      <c r="BF64" s="417"/>
      <c r="BG64" s="417"/>
      <c r="BH64" s="417"/>
      <c r="BI64" s="417"/>
      <c r="BJ64" s="417"/>
      <c r="BK64" s="417"/>
      <c r="BL64" s="419"/>
      <c r="BM64" s="419"/>
      <c r="BW64" s="285"/>
      <c r="BX64" s="285"/>
      <c r="BY64" s="285"/>
      <c r="BZ64" s="285"/>
    </row>
    <row r="65" spans="1:78" s="265" customFormat="1" ht="21" customHeight="1" x14ac:dyDescent="0.2">
      <c r="A65" s="1773" t="s">
        <v>1131</v>
      </c>
      <c r="B65" s="289" t="s">
        <v>298</v>
      </c>
      <c r="C65" s="1194" t="s">
        <v>1384</v>
      </c>
      <c r="D65" s="288"/>
      <c r="E65" s="266"/>
      <c r="F65" s="266"/>
      <c r="G65" s="266"/>
      <c r="H65" s="266"/>
      <c r="I65" s="266"/>
      <c r="J65" s="266"/>
      <c r="K65" s="266"/>
      <c r="L65" s="266"/>
      <c r="M65" s="266"/>
      <c r="N65" s="415"/>
      <c r="O65" s="415"/>
      <c r="P65" s="415"/>
      <c r="Q65" s="415"/>
      <c r="R65" s="415"/>
      <c r="S65" s="415"/>
      <c r="T65" s="415"/>
      <c r="U65" s="415"/>
      <c r="V65" s="415"/>
      <c r="W65" s="415"/>
      <c r="X65" s="415"/>
      <c r="Y65" s="415"/>
      <c r="Z65" s="415"/>
      <c r="AA65" s="415"/>
      <c r="AB65" s="401"/>
      <c r="AC65" s="401"/>
      <c r="AD65" s="401"/>
      <c r="AE65" s="401"/>
      <c r="AF65" s="401"/>
      <c r="AG65" s="401"/>
      <c r="AH65" s="401"/>
      <c r="AI65" s="401"/>
      <c r="AJ65" s="401"/>
      <c r="AK65" s="401"/>
      <c r="AL65" s="401"/>
      <c r="AM65" s="401"/>
      <c r="AN65" s="401"/>
      <c r="AO65" s="401"/>
      <c r="AP65" s="401"/>
      <c r="BB65" s="417"/>
      <c r="BC65" s="417"/>
      <c r="BD65" s="417"/>
      <c r="BE65" s="417"/>
      <c r="BF65" s="417"/>
      <c r="BG65" s="417"/>
      <c r="BH65" s="417"/>
      <c r="BI65" s="417"/>
      <c r="BJ65" s="417"/>
      <c r="BK65" s="417"/>
      <c r="BL65" s="419"/>
      <c r="BM65" s="419"/>
      <c r="BW65" s="285"/>
      <c r="BX65" s="285"/>
      <c r="BY65" s="285"/>
      <c r="BZ65" s="285"/>
    </row>
    <row r="66" spans="1:78" s="265" customFormat="1" ht="21" customHeight="1" x14ac:dyDescent="0.2">
      <c r="A66" s="1773" t="s">
        <v>1132</v>
      </c>
      <c r="B66" s="290" t="s">
        <v>299</v>
      </c>
      <c r="C66" s="1194" t="s">
        <v>1384</v>
      </c>
      <c r="D66" s="288"/>
      <c r="E66" s="266"/>
      <c r="F66" s="266"/>
      <c r="G66" s="266"/>
      <c r="H66" s="266"/>
      <c r="I66" s="266"/>
      <c r="J66" s="266"/>
      <c r="K66" s="266"/>
      <c r="L66" s="266"/>
      <c r="M66" s="266"/>
      <c r="N66" s="415"/>
      <c r="O66" s="415"/>
      <c r="P66" s="415"/>
      <c r="Q66" s="415"/>
      <c r="R66" s="415"/>
      <c r="S66" s="415"/>
      <c r="T66" s="415"/>
      <c r="U66" s="415"/>
      <c r="V66" s="415"/>
      <c r="W66" s="415"/>
      <c r="X66" s="415"/>
      <c r="Y66" s="415"/>
      <c r="Z66" s="415"/>
      <c r="AA66" s="415"/>
      <c r="AB66" s="401"/>
      <c r="AC66" s="401"/>
      <c r="AD66" s="401"/>
      <c r="AE66" s="401"/>
      <c r="AF66" s="401"/>
      <c r="AG66" s="401"/>
      <c r="AH66" s="401"/>
      <c r="AI66" s="401"/>
      <c r="AJ66" s="401"/>
      <c r="AK66" s="401"/>
      <c r="AL66" s="401"/>
      <c r="AM66" s="401"/>
      <c r="AN66" s="401"/>
      <c r="AO66" s="401"/>
      <c r="AP66" s="401"/>
      <c r="BB66" s="417"/>
      <c r="BC66" s="417"/>
      <c r="BD66" s="417"/>
      <c r="BE66" s="417"/>
      <c r="BF66" s="417"/>
      <c r="BG66" s="417"/>
      <c r="BH66" s="417"/>
      <c r="BI66" s="417"/>
      <c r="BJ66" s="417"/>
      <c r="BK66" s="417"/>
      <c r="BL66" s="419"/>
      <c r="BM66" s="419"/>
      <c r="BW66" s="285"/>
      <c r="BX66" s="285"/>
      <c r="BY66" s="285"/>
      <c r="BZ66" s="285"/>
    </row>
    <row r="67" spans="1:78" s="265" customFormat="1" ht="21" customHeight="1" x14ac:dyDescent="0.2">
      <c r="A67" s="1773" t="s">
        <v>1133</v>
      </c>
      <c r="B67" s="276" t="s">
        <v>26</v>
      </c>
      <c r="C67" s="1194" t="s">
        <v>1384</v>
      </c>
      <c r="D67" s="288"/>
      <c r="E67" s="266"/>
      <c r="F67" s="266"/>
      <c r="G67" s="266"/>
      <c r="H67" s="266"/>
      <c r="I67" s="266"/>
      <c r="J67" s="266"/>
      <c r="K67" s="266"/>
      <c r="L67" s="266"/>
      <c r="M67" s="266"/>
      <c r="N67" s="415"/>
      <c r="O67" s="415"/>
      <c r="P67" s="415"/>
      <c r="Q67" s="415"/>
      <c r="R67" s="415"/>
      <c r="S67" s="415"/>
      <c r="T67" s="415"/>
      <c r="U67" s="415"/>
      <c r="V67" s="415"/>
      <c r="W67" s="415"/>
      <c r="X67" s="415"/>
      <c r="Y67" s="415"/>
      <c r="Z67" s="415"/>
      <c r="AA67" s="415"/>
      <c r="AB67" s="401"/>
      <c r="AC67" s="401"/>
      <c r="AD67" s="401"/>
      <c r="AE67" s="401"/>
      <c r="AF67" s="401"/>
      <c r="AG67" s="401"/>
      <c r="AH67" s="401"/>
      <c r="AI67" s="401"/>
      <c r="AJ67" s="401"/>
      <c r="AK67" s="401"/>
      <c r="AL67" s="401"/>
      <c r="AM67" s="401"/>
      <c r="AN67" s="401"/>
      <c r="AO67" s="401"/>
      <c r="AP67" s="401"/>
      <c r="BB67" s="417"/>
      <c r="BC67" s="417"/>
      <c r="BD67" s="417"/>
      <c r="BE67" s="417"/>
      <c r="BF67" s="417"/>
      <c r="BG67" s="417"/>
      <c r="BH67" s="417"/>
      <c r="BI67" s="417"/>
      <c r="BJ67" s="417"/>
      <c r="BK67" s="417"/>
      <c r="BL67" s="419"/>
      <c r="BM67" s="419"/>
      <c r="BW67" s="285"/>
      <c r="BX67" s="285"/>
      <c r="BY67" s="285"/>
      <c r="BZ67" s="285"/>
    </row>
    <row r="68" spans="1:78" s="265" customFormat="1" ht="21" customHeight="1" x14ac:dyDescent="0.2">
      <c r="A68" s="1773" t="s">
        <v>1134</v>
      </c>
      <c r="B68" s="276" t="s">
        <v>234</v>
      </c>
      <c r="C68" s="1194" t="s">
        <v>1384</v>
      </c>
      <c r="D68" s="288"/>
      <c r="E68" s="266"/>
      <c r="F68" s="266"/>
      <c r="G68" s="266"/>
      <c r="H68" s="266"/>
      <c r="I68" s="266"/>
      <c r="J68" s="266"/>
      <c r="K68" s="266"/>
      <c r="L68" s="266"/>
      <c r="M68" s="266"/>
      <c r="N68" s="415"/>
      <c r="O68" s="415"/>
      <c r="P68" s="415"/>
      <c r="Q68" s="415"/>
      <c r="R68" s="415"/>
      <c r="S68" s="415"/>
      <c r="T68" s="415"/>
      <c r="U68" s="415"/>
      <c r="V68" s="415"/>
      <c r="W68" s="415"/>
      <c r="X68" s="415"/>
      <c r="Y68" s="415"/>
      <c r="Z68" s="415"/>
      <c r="AA68" s="415"/>
      <c r="AB68" s="401"/>
      <c r="AC68" s="401"/>
      <c r="AD68" s="401"/>
      <c r="AE68" s="401"/>
      <c r="AF68" s="401"/>
      <c r="AG68" s="401"/>
      <c r="AH68" s="401"/>
      <c r="AI68" s="401"/>
      <c r="AJ68" s="401"/>
      <c r="AK68" s="401"/>
      <c r="AL68" s="401"/>
      <c r="AM68" s="401"/>
      <c r="AN68" s="401"/>
      <c r="AO68" s="401"/>
      <c r="AP68" s="401"/>
      <c r="BB68" s="417"/>
      <c r="BC68" s="417"/>
      <c r="BD68" s="417"/>
      <c r="BE68" s="417"/>
      <c r="BF68" s="417"/>
      <c r="BG68" s="417"/>
      <c r="BH68" s="417"/>
      <c r="BI68" s="417"/>
      <c r="BJ68" s="417"/>
      <c r="BK68" s="417"/>
      <c r="BL68" s="419"/>
      <c r="BM68" s="419"/>
      <c r="BW68" s="285"/>
      <c r="BX68" s="285"/>
      <c r="BY68" s="285"/>
      <c r="BZ68" s="285"/>
    </row>
    <row r="69" spans="1:78" s="265" customFormat="1" ht="21" customHeight="1" x14ac:dyDescent="0.2">
      <c r="A69" s="1773" t="s">
        <v>1135</v>
      </c>
      <c r="B69" s="276" t="s">
        <v>235</v>
      </c>
      <c r="C69" s="1194" t="s">
        <v>1384</v>
      </c>
      <c r="D69" s="288"/>
      <c r="E69" s="266"/>
      <c r="F69" s="266"/>
      <c r="G69" s="266"/>
      <c r="H69" s="266"/>
      <c r="I69" s="266"/>
      <c r="J69" s="266"/>
      <c r="K69" s="266"/>
      <c r="L69" s="266"/>
      <c r="M69" s="266"/>
      <c r="N69" s="415"/>
      <c r="O69" s="415"/>
      <c r="P69" s="415"/>
      <c r="Q69" s="415"/>
      <c r="R69" s="415"/>
      <c r="S69" s="415"/>
      <c r="T69" s="415"/>
      <c r="U69" s="415"/>
      <c r="V69" s="415"/>
      <c r="W69" s="415"/>
      <c r="X69" s="415"/>
      <c r="Y69" s="415"/>
      <c r="Z69" s="415"/>
      <c r="AA69" s="415"/>
      <c r="AB69" s="401"/>
      <c r="AC69" s="401"/>
      <c r="AD69" s="401"/>
      <c r="AE69" s="401"/>
      <c r="AF69" s="401"/>
      <c r="AG69" s="401"/>
      <c r="AH69" s="401"/>
      <c r="AI69" s="401"/>
      <c r="AJ69" s="401"/>
      <c r="AK69" s="401"/>
      <c r="AL69" s="401"/>
      <c r="AM69" s="401"/>
      <c r="AN69" s="401"/>
      <c r="AO69" s="401"/>
      <c r="AP69" s="401"/>
      <c r="BB69" s="417"/>
      <c r="BC69" s="417"/>
      <c r="BD69" s="417"/>
      <c r="BE69" s="417"/>
      <c r="BF69" s="417"/>
      <c r="BG69" s="417"/>
      <c r="BH69" s="417"/>
      <c r="BI69" s="417"/>
      <c r="BJ69" s="417"/>
      <c r="BK69" s="417"/>
      <c r="BL69" s="419"/>
      <c r="BM69" s="470"/>
    </row>
    <row r="70" spans="1:78" s="265" customFormat="1" ht="21" customHeight="1" x14ac:dyDescent="0.2">
      <c r="A70" s="1773" t="s">
        <v>1136</v>
      </c>
      <c r="B70" s="276" t="s">
        <v>207</v>
      </c>
      <c r="C70" s="1194" t="s">
        <v>1384</v>
      </c>
      <c r="D70" s="288"/>
      <c r="E70" s="266"/>
      <c r="F70" s="266"/>
      <c r="G70" s="266"/>
      <c r="H70" s="266"/>
      <c r="I70" s="266"/>
      <c r="J70" s="266"/>
      <c r="K70" s="266"/>
      <c r="L70" s="266"/>
      <c r="M70" s="266"/>
      <c r="N70" s="415"/>
      <c r="O70" s="415"/>
      <c r="P70" s="415"/>
      <c r="Q70" s="415"/>
      <c r="R70" s="415"/>
      <c r="S70" s="415"/>
      <c r="T70" s="415"/>
      <c r="U70" s="415"/>
      <c r="V70" s="415"/>
      <c r="W70" s="415"/>
      <c r="X70" s="415"/>
      <c r="Y70" s="415"/>
      <c r="Z70" s="415"/>
      <c r="AA70" s="415"/>
      <c r="AB70" s="401"/>
      <c r="AC70" s="401"/>
      <c r="AD70" s="401"/>
      <c r="AE70" s="401"/>
      <c r="AF70" s="401"/>
      <c r="AG70" s="401"/>
      <c r="AH70" s="401"/>
      <c r="AI70" s="401"/>
      <c r="AJ70" s="401"/>
      <c r="AK70" s="401"/>
      <c r="AL70" s="401"/>
      <c r="AM70" s="401"/>
      <c r="AN70" s="401"/>
      <c r="AO70" s="401"/>
      <c r="AP70" s="401"/>
      <c r="BB70" s="417"/>
      <c r="BC70" s="417"/>
      <c r="BD70" s="417"/>
      <c r="BE70" s="417"/>
      <c r="BF70" s="417"/>
      <c r="BG70" s="417"/>
      <c r="BH70" s="417"/>
      <c r="BI70" s="417"/>
      <c r="BJ70" s="417"/>
      <c r="BK70" s="417"/>
      <c r="BL70" s="417"/>
      <c r="BM70" s="417"/>
    </row>
    <row r="71" spans="1:78" ht="21" customHeight="1" x14ac:dyDescent="0.25">
      <c r="A71" s="1773" t="s">
        <v>1137</v>
      </c>
      <c r="B71" s="276" t="s">
        <v>208</v>
      </c>
      <c r="C71" s="1194" t="s">
        <v>1384</v>
      </c>
      <c r="E71" s="266"/>
      <c r="F71" s="266"/>
      <c r="G71" s="266"/>
      <c r="H71" s="266"/>
      <c r="I71" s="266"/>
      <c r="J71" s="266"/>
      <c r="K71" s="266"/>
      <c r="BB71" s="417"/>
      <c r="BC71" s="417"/>
      <c r="BD71" s="417"/>
      <c r="BE71" s="417"/>
      <c r="BF71" s="417"/>
      <c r="BG71" s="417"/>
      <c r="BH71" s="417"/>
      <c r="BI71" s="417"/>
      <c r="BJ71" s="417"/>
      <c r="BK71" s="417"/>
      <c r="BL71" s="417"/>
      <c r="BM71" s="417"/>
    </row>
    <row r="72" spans="1:78" ht="21" customHeight="1" x14ac:dyDescent="0.25">
      <c r="A72" s="1773" t="s">
        <v>1138</v>
      </c>
      <c r="B72" s="276" t="s">
        <v>209</v>
      </c>
      <c r="C72" s="1194" t="s">
        <v>1384</v>
      </c>
      <c r="E72" s="266"/>
      <c r="F72" s="266"/>
      <c r="G72" s="266"/>
      <c r="H72" s="266"/>
      <c r="I72" s="266"/>
      <c r="J72" s="266"/>
      <c r="K72" s="266"/>
      <c r="BB72" s="417"/>
      <c r="BC72" s="417"/>
      <c r="BD72" s="417"/>
      <c r="BE72" s="417"/>
      <c r="BF72" s="417"/>
      <c r="BG72" s="417"/>
      <c r="BH72" s="417"/>
      <c r="BI72" s="417"/>
      <c r="BJ72" s="417"/>
      <c r="BK72" s="417"/>
      <c r="BL72" s="417"/>
      <c r="BM72" s="417"/>
    </row>
    <row r="73" spans="1:78" ht="21" customHeight="1" x14ac:dyDescent="0.25">
      <c r="A73" s="1773" t="s">
        <v>1139</v>
      </c>
      <c r="B73" s="276" t="s">
        <v>221</v>
      </c>
      <c r="C73" s="1194" t="s">
        <v>1384</v>
      </c>
      <c r="E73" s="266"/>
      <c r="F73" s="266"/>
      <c r="G73" s="266"/>
      <c r="H73" s="266"/>
      <c r="I73" s="266"/>
      <c r="J73" s="266"/>
      <c r="K73" s="266"/>
      <c r="BB73" s="417"/>
      <c r="BC73" s="417"/>
      <c r="BD73" s="417"/>
      <c r="BE73" s="417"/>
      <c r="BF73" s="417"/>
      <c r="BG73" s="417"/>
      <c r="BH73" s="417"/>
      <c r="BI73" s="417"/>
      <c r="BJ73" s="417"/>
      <c r="BK73" s="417"/>
      <c r="BL73" s="417"/>
      <c r="BM73" s="417"/>
    </row>
    <row r="74" spans="1:78" ht="24.75" customHeight="1" x14ac:dyDescent="0.25">
      <c r="A74" s="1791"/>
      <c r="B74" s="291" t="s">
        <v>15</v>
      </c>
      <c r="C74" s="1204">
        <f>SUM(C65:C73)</f>
        <v>0</v>
      </c>
      <c r="D74" s="685"/>
      <c r="E74" s="266"/>
      <c r="F74" s="266"/>
      <c r="G74" s="266"/>
      <c r="H74" s="266"/>
      <c r="I74" s="266"/>
      <c r="J74" s="266"/>
      <c r="K74" s="266"/>
      <c r="BB74" s="417"/>
      <c r="BC74" s="417"/>
      <c r="BD74" s="417"/>
      <c r="BE74" s="417"/>
      <c r="BF74" s="417"/>
      <c r="BG74" s="417"/>
      <c r="BH74" s="417"/>
      <c r="BI74" s="417"/>
      <c r="BJ74" s="417"/>
      <c r="BK74" s="417"/>
      <c r="BL74" s="417"/>
      <c r="BM74" s="417"/>
    </row>
    <row r="75" spans="1:78" ht="17.25" customHeight="1" x14ac:dyDescent="0.25">
      <c r="A75" s="1792"/>
      <c r="B75" s="292" t="s">
        <v>301</v>
      </c>
      <c r="C75" s="293"/>
      <c r="D75" s="506"/>
      <c r="E75" s="265"/>
      <c r="K75" s="266"/>
      <c r="BB75" s="417"/>
      <c r="BC75" s="417"/>
      <c r="BD75" s="417"/>
      <c r="BE75" s="417"/>
      <c r="BF75" s="417"/>
      <c r="BG75" s="417"/>
      <c r="BH75" s="417"/>
      <c r="BI75" s="417"/>
      <c r="BJ75" s="417"/>
      <c r="BK75" s="417"/>
      <c r="BL75" s="417"/>
      <c r="BM75" s="417"/>
    </row>
    <row r="76" spans="1:78" ht="20.25" customHeight="1" x14ac:dyDescent="0.25">
      <c r="A76" s="1792"/>
      <c r="B76" s="694" t="s">
        <v>300</v>
      </c>
      <c r="C76" s="294"/>
      <c r="D76" s="287"/>
      <c r="E76" s="287"/>
      <c r="F76" s="287"/>
      <c r="BB76" s="417"/>
      <c r="BC76" s="417"/>
      <c r="BD76" s="417"/>
      <c r="BE76" s="417"/>
      <c r="BF76" s="417"/>
      <c r="BG76" s="417"/>
      <c r="BH76" s="417"/>
      <c r="BI76" s="417"/>
      <c r="BJ76" s="417"/>
      <c r="BK76" s="417"/>
      <c r="BL76" s="417"/>
      <c r="BM76" s="417"/>
    </row>
    <row r="77" spans="1:78" ht="69" customHeight="1" x14ac:dyDescent="0.25">
      <c r="A77" s="1792"/>
      <c r="B77" s="295" t="s">
        <v>607</v>
      </c>
      <c r="C77" s="360" t="s">
        <v>394</v>
      </c>
      <c r="D77" s="296"/>
      <c r="E77" s="297"/>
      <c r="F77" s="297"/>
      <c r="K77" s="266"/>
      <c r="BB77" s="417"/>
      <c r="BC77" s="417"/>
      <c r="BD77" s="417"/>
      <c r="BE77" s="417"/>
      <c r="BF77" s="417"/>
      <c r="BG77" s="417"/>
      <c r="BH77" s="417"/>
      <c r="BI77" s="417"/>
      <c r="BJ77" s="417"/>
      <c r="BK77" s="417"/>
      <c r="BL77" s="417"/>
      <c r="BM77" s="417"/>
    </row>
    <row r="78" spans="1:78" ht="21" customHeight="1" x14ac:dyDescent="0.25">
      <c r="A78" s="1773" t="s">
        <v>1140</v>
      </c>
      <c r="B78" s="289" t="s">
        <v>298</v>
      </c>
      <c r="C78" s="1194" t="s">
        <v>1384</v>
      </c>
      <c r="D78" s="298"/>
      <c r="E78" s="297"/>
      <c r="F78" s="297"/>
      <c r="G78" s="297"/>
      <c r="K78" s="266"/>
      <c r="BB78" s="417"/>
      <c r="BC78" s="417"/>
      <c r="BD78" s="417"/>
      <c r="BE78" s="417"/>
      <c r="BF78" s="417"/>
      <c r="BG78" s="417"/>
      <c r="BH78" s="417"/>
      <c r="BI78" s="417"/>
      <c r="BJ78" s="417"/>
      <c r="BK78" s="417"/>
      <c r="BL78" s="417"/>
      <c r="BM78" s="417"/>
    </row>
    <row r="79" spans="1:78" ht="21" customHeight="1" x14ac:dyDescent="0.25">
      <c r="A79" s="1773" t="s">
        <v>1141</v>
      </c>
      <c r="B79" s="290" t="s">
        <v>299</v>
      </c>
      <c r="C79" s="1194" t="s">
        <v>1384</v>
      </c>
      <c r="E79" s="266"/>
      <c r="F79" s="266"/>
      <c r="G79" s="266"/>
      <c r="H79" s="266"/>
      <c r="I79" s="266"/>
      <c r="J79" s="266"/>
      <c r="K79" s="266"/>
      <c r="BB79" s="417"/>
      <c r="BC79" s="417"/>
      <c r="BD79" s="417"/>
      <c r="BE79" s="417"/>
      <c r="BF79" s="417"/>
      <c r="BG79" s="417"/>
      <c r="BH79" s="417"/>
      <c r="BI79" s="417"/>
      <c r="BJ79" s="417"/>
      <c r="BK79" s="417"/>
      <c r="BL79" s="417"/>
      <c r="BM79" s="417"/>
    </row>
    <row r="80" spans="1:78" ht="21" customHeight="1" x14ac:dyDescent="0.25">
      <c r="A80" s="1773" t="s">
        <v>1142</v>
      </c>
      <c r="B80" s="276" t="s">
        <v>26</v>
      </c>
      <c r="C80" s="1194" t="s">
        <v>1384</v>
      </c>
      <c r="E80" s="266"/>
      <c r="F80" s="266"/>
      <c r="G80" s="266"/>
      <c r="H80" s="266"/>
      <c r="I80" s="266"/>
      <c r="J80" s="266"/>
      <c r="K80" s="266"/>
      <c r="BB80" s="417"/>
      <c r="BC80" s="417"/>
      <c r="BD80" s="417"/>
      <c r="BE80" s="417"/>
      <c r="BF80" s="417"/>
      <c r="BG80" s="417"/>
      <c r="BH80" s="417"/>
      <c r="BI80" s="417"/>
      <c r="BJ80" s="417"/>
      <c r="BK80" s="417"/>
      <c r="BL80" s="417"/>
      <c r="BM80" s="417"/>
    </row>
    <row r="81" spans="1:79" ht="21" customHeight="1" x14ac:dyDescent="0.25">
      <c r="A81" s="1773" t="s">
        <v>1143</v>
      </c>
      <c r="B81" s="276" t="s">
        <v>234</v>
      </c>
      <c r="C81" s="1194" t="s">
        <v>1384</v>
      </c>
      <c r="E81" s="266"/>
      <c r="F81" s="266"/>
      <c r="G81" s="266"/>
      <c r="H81" s="266"/>
      <c r="I81" s="266"/>
      <c r="J81" s="266"/>
      <c r="K81" s="266"/>
      <c r="BB81" s="417"/>
      <c r="BC81" s="417"/>
      <c r="BD81" s="417"/>
      <c r="BE81" s="417"/>
      <c r="BF81" s="417"/>
      <c r="BG81" s="417"/>
      <c r="BH81" s="417"/>
      <c r="BI81" s="417"/>
      <c r="BJ81" s="417"/>
      <c r="BK81" s="417"/>
      <c r="BL81" s="417"/>
      <c r="BM81" s="417"/>
    </row>
    <row r="82" spans="1:79" ht="21" customHeight="1" x14ac:dyDescent="0.25">
      <c r="A82" s="1773" t="s">
        <v>1144</v>
      </c>
      <c r="B82" s="276" t="s">
        <v>235</v>
      </c>
      <c r="C82" s="1194" t="s">
        <v>1384</v>
      </c>
      <c r="E82" s="266"/>
      <c r="F82" s="266"/>
      <c r="G82" s="266"/>
      <c r="H82" s="266"/>
      <c r="I82" s="266"/>
      <c r="J82" s="266"/>
      <c r="K82" s="266"/>
      <c r="BB82" s="417"/>
      <c r="BC82" s="417"/>
      <c r="BD82" s="417"/>
      <c r="BE82" s="417"/>
      <c r="BF82" s="417"/>
      <c r="BG82" s="417"/>
      <c r="BH82" s="417"/>
      <c r="BI82" s="417"/>
      <c r="BJ82" s="417"/>
      <c r="BK82" s="417"/>
      <c r="BL82" s="417"/>
      <c r="BM82" s="417"/>
    </row>
    <row r="83" spans="1:79" ht="21" customHeight="1" x14ac:dyDescent="0.25">
      <c r="A83" s="1773" t="s">
        <v>1145</v>
      </c>
      <c r="B83" s="276" t="s">
        <v>207</v>
      </c>
      <c r="C83" s="1194" t="s">
        <v>1384</v>
      </c>
      <c r="E83" s="266"/>
      <c r="F83" s="266"/>
      <c r="G83" s="266"/>
      <c r="H83" s="266"/>
      <c r="I83" s="266"/>
      <c r="J83" s="266"/>
      <c r="K83" s="266"/>
      <c r="BB83" s="417"/>
      <c r="BC83" s="417"/>
      <c r="BD83" s="417"/>
      <c r="BE83" s="417"/>
      <c r="BF83" s="417"/>
      <c r="BG83" s="417"/>
      <c r="BH83" s="417"/>
      <c r="BI83" s="417"/>
      <c r="BJ83" s="417"/>
      <c r="BK83" s="417"/>
      <c r="BL83" s="417"/>
      <c r="BM83" s="417"/>
    </row>
    <row r="84" spans="1:79" ht="21" customHeight="1" x14ac:dyDescent="0.25">
      <c r="A84" s="1773" t="s">
        <v>1146</v>
      </c>
      <c r="B84" s="276" t="s">
        <v>208</v>
      </c>
      <c r="C84" s="1194" t="s">
        <v>1384</v>
      </c>
      <c r="E84" s="266"/>
      <c r="F84" s="266"/>
      <c r="G84" s="266"/>
      <c r="H84" s="266"/>
      <c r="I84" s="266"/>
      <c r="J84" s="266"/>
      <c r="K84" s="266"/>
      <c r="BB84" s="417"/>
      <c r="BC84" s="417"/>
      <c r="BD84" s="417"/>
      <c r="BE84" s="417"/>
      <c r="BF84" s="417"/>
      <c r="BG84" s="417"/>
      <c r="BH84" s="417"/>
      <c r="BI84" s="417"/>
      <c r="BJ84" s="417"/>
      <c r="BK84" s="417"/>
      <c r="BL84" s="417"/>
      <c r="BM84" s="417"/>
    </row>
    <row r="85" spans="1:79" ht="21" customHeight="1" x14ac:dyDescent="0.25">
      <c r="A85" s="1773" t="s">
        <v>1147</v>
      </c>
      <c r="B85" s="276" t="s">
        <v>209</v>
      </c>
      <c r="C85" s="1194" t="s">
        <v>1384</v>
      </c>
      <c r="E85" s="266"/>
      <c r="F85" s="266"/>
      <c r="G85" s="266"/>
      <c r="H85" s="266"/>
      <c r="I85" s="266"/>
      <c r="J85" s="266"/>
      <c r="K85" s="266"/>
      <c r="BB85" s="417"/>
      <c r="BC85" s="417"/>
      <c r="BD85" s="417"/>
      <c r="BE85" s="417"/>
      <c r="BF85" s="417"/>
      <c r="BG85" s="417"/>
      <c r="BH85" s="417"/>
      <c r="BI85" s="417"/>
      <c r="BJ85" s="417"/>
      <c r="BK85" s="417"/>
      <c r="BL85" s="417"/>
      <c r="BM85" s="417"/>
    </row>
    <row r="86" spans="1:79" ht="21" customHeight="1" x14ac:dyDescent="0.25">
      <c r="A86" s="1773" t="s">
        <v>1148</v>
      </c>
      <c r="B86" s="276" t="s">
        <v>221</v>
      </c>
      <c r="C86" s="1194" t="s">
        <v>1384</v>
      </c>
      <c r="E86" s="266"/>
      <c r="F86" s="266"/>
      <c r="G86" s="266"/>
      <c r="H86" s="266"/>
      <c r="I86" s="266"/>
      <c r="J86" s="266"/>
      <c r="K86" s="266"/>
      <c r="BB86" s="417"/>
      <c r="BC86" s="417"/>
      <c r="BD86" s="417"/>
      <c r="BE86" s="417"/>
      <c r="BF86" s="417"/>
      <c r="BG86" s="417"/>
      <c r="BH86" s="417"/>
      <c r="BI86" s="417"/>
      <c r="BJ86" s="417"/>
      <c r="BK86" s="417"/>
      <c r="BL86" s="417"/>
      <c r="BM86" s="417"/>
    </row>
    <row r="87" spans="1:79" ht="21.75" customHeight="1" x14ac:dyDescent="0.25">
      <c r="A87" s="361"/>
      <c r="B87" s="291" t="s">
        <v>15</v>
      </c>
      <c r="C87" s="1204">
        <f>SUM(C78:C86)</f>
        <v>0</v>
      </c>
      <c r="D87" s="685"/>
      <c r="E87" s="265"/>
      <c r="K87" s="266"/>
      <c r="BB87" s="417"/>
      <c r="BC87" s="417"/>
      <c r="BD87" s="417"/>
      <c r="BE87" s="417"/>
      <c r="BF87" s="417"/>
      <c r="BG87" s="417"/>
      <c r="BH87" s="417"/>
      <c r="BI87" s="417"/>
      <c r="BJ87" s="417"/>
      <c r="BK87" s="417"/>
      <c r="BL87" s="417"/>
      <c r="BM87" s="417"/>
    </row>
    <row r="88" spans="1:79" x14ac:dyDescent="0.25">
      <c r="B88" s="292" t="s">
        <v>301</v>
      </c>
      <c r="C88" s="293"/>
      <c r="D88" s="506"/>
      <c r="E88" s="265"/>
      <c r="K88" s="266"/>
      <c r="BB88" s="417"/>
      <c r="BC88" s="417"/>
      <c r="BD88" s="417"/>
      <c r="BE88" s="417"/>
      <c r="BF88" s="417"/>
      <c r="BG88" s="417"/>
      <c r="BH88" s="417"/>
      <c r="BI88" s="417"/>
      <c r="BJ88" s="417"/>
      <c r="BK88" s="417"/>
      <c r="BL88" s="417"/>
      <c r="BM88" s="417"/>
    </row>
    <row r="89" spans="1:79" ht="25.5" customHeight="1" x14ac:dyDescent="0.25">
      <c r="B89" s="693" t="s">
        <v>719</v>
      </c>
      <c r="C89" s="1364"/>
      <c r="D89" s="1364"/>
      <c r="BB89" s="417"/>
      <c r="BC89" s="417"/>
      <c r="BD89" s="417"/>
      <c r="BE89" s="417"/>
      <c r="BF89" s="417"/>
      <c r="BG89" s="417"/>
      <c r="BH89" s="417"/>
      <c r="BI89" s="417"/>
      <c r="BJ89" s="417"/>
      <c r="BK89" s="417"/>
      <c r="BL89" s="417"/>
      <c r="BM89" s="417"/>
    </row>
    <row r="90" spans="1:79" ht="63" x14ac:dyDescent="0.25">
      <c r="B90" s="271" t="s">
        <v>49</v>
      </c>
      <c r="C90" s="1365" t="s">
        <v>709</v>
      </c>
      <c r="D90" s="1365" t="s">
        <v>710</v>
      </c>
    </row>
    <row r="91" spans="1:79" s="288" customFormat="1" ht="14.25" customHeight="1" x14ac:dyDescent="0.2">
      <c r="A91" s="1773" t="s">
        <v>1149</v>
      </c>
      <c r="B91" s="276" t="s">
        <v>22</v>
      </c>
      <c r="C91" s="1366" t="s">
        <v>1384</v>
      </c>
      <c r="D91" s="1366" t="s">
        <v>1385</v>
      </c>
      <c r="L91" s="266"/>
      <c r="M91" s="266"/>
      <c r="N91" s="415"/>
      <c r="O91" s="415"/>
      <c r="P91" s="415"/>
      <c r="Q91" s="415"/>
      <c r="R91" s="415"/>
      <c r="S91" s="415"/>
      <c r="T91" s="415"/>
      <c r="U91" s="415"/>
      <c r="V91" s="415"/>
      <c r="W91" s="415"/>
      <c r="X91" s="415"/>
      <c r="Y91" s="415"/>
      <c r="Z91" s="415"/>
      <c r="AA91" s="415"/>
      <c r="AB91" s="401"/>
      <c r="AC91" s="401"/>
      <c r="AD91" s="401"/>
      <c r="AE91" s="401"/>
      <c r="AF91" s="401"/>
      <c r="AG91" s="401"/>
      <c r="AH91" s="401"/>
      <c r="AI91" s="401"/>
      <c r="AJ91" s="401"/>
      <c r="AK91" s="401"/>
      <c r="AL91" s="401"/>
      <c r="AM91" s="401"/>
      <c r="AN91" s="401"/>
      <c r="AO91" s="401"/>
      <c r="AP91" s="401"/>
      <c r="BB91" s="401"/>
      <c r="BC91" s="401"/>
      <c r="BD91" s="401"/>
      <c r="BE91" s="401"/>
      <c r="BF91" s="401"/>
      <c r="BG91" s="401"/>
      <c r="BH91" s="401"/>
      <c r="BI91" s="401"/>
      <c r="BJ91" s="401"/>
      <c r="BK91" s="401"/>
      <c r="BL91" s="401"/>
      <c r="BM91" s="404"/>
      <c r="BN91" s="266"/>
      <c r="BO91" s="266"/>
      <c r="BP91" s="266"/>
      <c r="BQ91" s="266"/>
      <c r="BR91" s="266"/>
      <c r="BS91" s="266"/>
      <c r="BT91" s="266"/>
      <c r="BU91" s="266"/>
      <c r="BV91" s="266"/>
      <c r="BW91" s="266"/>
      <c r="BX91" s="266"/>
      <c r="BY91" s="266"/>
      <c r="BZ91" s="266"/>
      <c r="CA91" s="266"/>
    </row>
    <row r="92" spans="1:79" ht="14.25" customHeight="1" x14ac:dyDescent="0.25">
      <c r="A92" s="1773" t="s">
        <v>1150</v>
      </c>
      <c r="B92" s="276" t="s">
        <v>23</v>
      </c>
      <c r="C92" s="1366" t="s">
        <v>1384</v>
      </c>
      <c r="D92" s="1366" t="s">
        <v>1385</v>
      </c>
    </row>
    <row r="93" spans="1:79" ht="14.25" customHeight="1" x14ac:dyDescent="0.25">
      <c r="A93" s="1773" t="s">
        <v>1151</v>
      </c>
      <c r="B93" s="276" t="s">
        <v>24</v>
      </c>
      <c r="C93" s="1366" t="s">
        <v>1384</v>
      </c>
      <c r="D93" s="1366" t="s">
        <v>1385</v>
      </c>
    </row>
    <row r="94" spans="1:79" ht="14.25" customHeight="1" x14ac:dyDescent="0.25">
      <c r="A94" s="1773" t="s">
        <v>1152</v>
      </c>
      <c r="B94" s="276" t="s">
        <v>25</v>
      </c>
      <c r="C94" s="1366" t="s">
        <v>1384</v>
      </c>
      <c r="D94" s="1366" t="s">
        <v>1385</v>
      </c>
    </row>
    <row r="95" spans="1:79" ht="14.25" customHeight="1" x14ac:dyDescent="0.25">
      <c r="A95" s="1773" t="s">
        <v>1153</v>
      </c>
      <c r="B95" s="276" t="s">
        <v>26</v>
      </c>
      <c r="C95" s="1366" t="s">
        <v>1384</v>
      </c>
      <c r="D95" s="1366" t="s">
        <v>1385</v>
      </c>
    </row>
    <row r="96" spans="1:79" ht="14.25" customHeight="1" x14ac:dyDescent="0.25">
      <c r="A96" s="1773" t="s">
        <v>1154</v>
      </c>
      <c r="B96" s="276" t="s">
        <v>234</v>
      </c>
      <c r="C96" s="1366" t="s">
        <v>1384</v>
      </c>
      <c r="D96" s="1366" t="s">
        <v>1385</v>
      </c>
    </row>
    <row r="97" spans="1:12" ht="14.25" customHeight="1" x14ac:dyDescent="0.25">
      <c r="A97" s="1773" t="s">
        <v>1155</v>
      </c>
      <c r="B97" s="276" t="s">
        <v>235</v>
      </c>
      <c r="C97" s="1367" t="s">
        <v>1384</v>
      </c>
      <c r="D97" s="1367" t="s">
        <v>1385</v>
      </c>
    </row>
    <row r="98" spans="1:12" x14ac:dyDescent="0.25">
      <c r="A98" s="361"/>
      <c r="B98" s="1368" t="s">
        <v>15</v>
      </c>
      <c r="C98" s="1369">
        <f>SUM(C91:C97)</f>
        <v>0</v>
      </c>
      <c r="D98" s="1370">
        <f>SUM(D91:D97)</f>
        <v>0</v>
      </c>
    </row>
    <row r="99" spans="1:12" ht="35.25" customHeight="1" x14ac:dyDescent="0.25">
      <c r="B99" s="2538" t="s">
        <v>731</v>
      </c>
      <c r="C99" s="2538"/>
      <c r="D99" s="2538"/>
      <c r="E99" s="2538"/>
      <c r="F99" s="2538"/>
      <c r="G99" s="2538"/>
      <c r="H99" s="2538"/>
      <c r="I99" s="2538"/>
      <c r="J99" s="2538"/>
      <c r="K99" s="2538"/>
      <c r="L99" s="2538"/>
    </row>
    <row r="100" spans="1:12" x14ac:dyDescent="0.25">
      <c r="B100" s="2539" t="s">
        <v>607</v>
      </c>
      <c r="C100" s="2541" t="s">
        <v>711</v>
      </c>
      <c r="D100" s="2542"/>
      <c r="E100" s="2542"/>
      <c r="F100" s="2542"/>
      <c r="G100" s="2542"/>
      <c r="H100" s="2543"/>
      <c r="I100" s="1364"/>
      <c r="J100" s="1364"/>
      <c r="K100" s="1364"/>
      <c r="L100" s="1364"/>
    </row>
    <row r="101" spans="1:12" x14ac:dyDescent="0.25">
      <c r="B101" s="2540"/>
      <c r="C101" s="2544" t="s">
        <v>15</v>
      </c>
      <c r="D101" s="2545" t="s">
        <v>712</v>
      </c>
      <c r="E101" s="2528" t="s">
        <v>288</v>
      </c>
      <c r="F101" s="2529"/>
      <c r="G101" s="2535"/>
      <c r="H101" s="2536" t="s">
        <v>717</v>
      </c>
      <c r="I101" s="1364"/>
      <c r="J101" s="1364"/>
      <c r="K101" s="1364"/>
      <c r="L101" s="1364"/>
    </row>
    <row r="102" spans="1:12" ht="24" customHeight="1" x14ac:dyDescent="0.25">
      <c r="B102" s="2540"/>
      <c r="C102" s="2532"/>
      <c r="D102" s="2534"/>
      <c r="E102" s="1295" t="s">
        <v>713</v>
      </c>
      <c r="F102" s="1295" t="s">
        <v>714</v>
      </c>
      <c r="G102" s="1297" t="s">
        <v>715</v>
      </c>
      <c r="H102" s="2537"/>
      <c r="I102" s="1364"/>
      <c r="J102" s="1364"/>
      <c r="K102" s="1364"/>
      <c r="L102" s="1364"/>
    </row>
    <row r="103" spans="1:12" ht="18" customHeight="1" x14ac:dyDescent="0.25">
      <c r="A103" s="1773" t="s">
        <v>1156</v>
      </c>
      <c r="B103" s="276" t="s">
        <v>22</v>
      </c>
      <c r="C103" s="1195" t="s">
        <v>1384</v>
      </c>
      <c r="D103" s="1371" t="s">
        <v>1385</v>
      </c>
      <c r="E103" s="1372" t="s">
        <v>1386</v>
      </c>
      <c r="F103" s="1372" t="s">
        <v>1387</v>
      </c>
      <c r="G103" s="1373" t="s">
        <v>1388</v>
      </c>
      <c r="H103" s="1371" t="s">
        <v>1389</v>
      </c>
      <c r="I103" s="1364"/>
      <c r="J103" s="1364"/>
      <c r="K103" s="1364"/>
      <c r="L103" s="1364"/>
    </row>
    <row r="104" spans="1:12" ht="18" customHeight="1" x14ac:dyDescent="0.25">
      <c r="A104" s="1773" t="s">
        <v>1157</v>
      </c>
      <c r="B104" s="276" t="s">
        <v>23</v>
      </c>
      <c r="C104" s="1195" t="s">
        <v>1384</v>
      </c>
      <c r="D104" s="1371" t="s">
        <v>1385</v>
      </c>
      <c r="E104" s="1372" t="s">
        <v>1386</v>
      </c>
      <c r="F104" s="1372" t="s">
        <v>1387</v>
      </c>
      <c r="G104" s="1373" t="s">
        <v>1388</v>
      </c>
      <c r="H104" s="1371" t="s">
        <v>1389</v>
      </c>
      <c r="I104" s="1364"/>
      <c r="J104" s="1364"/>
      <c r="K104" s="1364"/>
      <c r="L104" s="1364"/>
    </row>
    <row r="105" spans="1:12" ht="18" customHeight="1" x14ac:dyDescent="0.25">
      <c r="A105" s="1773" t="s">
        <v>1158</v>
      </c>
      <c r="B105" s="276" t="s">
        <v>24</v>
      </c>
      <c r="C105" s="1195" t="s">
        <v>1384</v>
      </c>
      <c r="D105" s="1371" t="s">
        <v>1385</v>
      </c>
      <c r="E105" s="1372" t="s">
        <v>1386</v>
      </c>
      <c r="F105" s="1372" t="s">
        <v>1387</v>
      </c>
      <c r="G105" s="1373" t="s">
        <v>1388</v>
      </c>
      <c r="H105" s="1371" t="s">
        <v>1389</v>
      </c>
      <c r="I105" s="1364"/>
      <c r="J105" s="1364"/>
      <c r="K105" s="1364"/>
      <c r="L105" s="1364"/>
    </row>
    <row r="106" spans="1:12" ht="18" customHeight="1" x14ac:dyDescent="0.25">
      <c r="A106" s="1773" t="s">
        <v>1159</v>
      </c>
      <c r="B106" s="276" t="s">
        <v>25</v>
      </c>
      <c r="C106" s="1195" t="s">
        <v>1384</v>
      </c>
      <c r="D106" s="1371" t="s">
        <v>1385</v>
      </c>
      <c r="E106" s="1372" t="s">
        <v>1386</v>
      </c>
      <c r="F106" s="1372" t="s">
        <v>1387</v>
      </c>
      <c r="G106" s="1373" t="s">
        <v>1388</v>
      </c>
      <c r="H106" s="1371" t="s">
        <v>1389</v>
      </c>
      <c r="I106" s="1364"/>
      <c r="J106" s="1364"/>
      <c r="K106" s="1364"/>
      <c r="L106" s="1364"/>
    </row>
    <row r="107" spans="1:12" ht="18" customHeight="1" x14ac:dyDescent="0.25">
      <c r="A107" s="1773" t="s">
        <v>1160</v>
      </c>
      <c r="B107" s="276" t="s">
        <v>26</v>
      </c>
      <c r="C107" s="1195" t="s">
        <v>1384</v>
      </c>
      <c r="D107" s="1371" t="s">
        <v>1385</v>
      </c>
      <c r="E107" s="1372" t="s">
        <v>1386</v>
      </c>
      <c r="F107" s="1372" t="s">
        <v>1387</v>
      </c>
      <c r="G107" s="1373" t="s">
        <v>1388</v>
      </c>
      <c r="H107" s="1371" t="s">
        <v>1389</v>
      </c>
      <c r="I107" s="1364"/>
      <c r="J107" s="1364"/>
      <c r="K107" s="1364"/>
      <c r="L107" s="1364"/>
    </row>
    <row r="108" spans="1:12" ht="18" customHeight="1" x14ac:dyDescent="0.25">
      <c r="A108" s="1773" t="s">
        <v>1161</v>
      </c>
      <c r="B108" s="276" t="s">
        <v>234</v>
      </c>
      <c r="C108" s="1195" t="s">
        <v>1384</v>
      </c>
      <c r="D108" s="1371" t="s">
        <v>1385</v>
      </c>
      <c r="E108" s="1372" t="s">
        <v>1386</v>
      </c>
      <c r="F108" s="1372" t="s">
        <v>1387</v>
      </c>
      <c r="G108" s="1373" t="s">
        <v>1388</v>
      </c>
      <c r="H108" s="1371" t="s">
        <v>1389</v>
      </c>
      <c r="I108" s="1364"/>
      <c r="J108" s="1364"/>
      <c r="K108" s="1364"/>
      <c r="L108" s="1364"/>
    </row>
    <row r="109" spans="1:12" ht="18" customHeight="1" x14ac:dyDescent="0.25">
      <c r="A109" s="1773" t="s">
        <v>1162</v>
      </c>
      <c r="B109" s="276" t="s">
        <v>235</v>
      </c>
      <c r="C109" s="1195" t="s">
        <v>1384</v>
      </c>
      <c r="D109" s="1371" t="s">
        <v>1385</v>
      </c>
      <c r="E109" s="1372" t="s">
        <v>1386</v>
      </c>
      <c r="F109" s="1372" t="s">
        <v>1387</v>
      </c>
      <c r="G109" s="1373" t="s">
        <v>1388</v>
      </c>
      <c r="H109" s="1371" t="s">
        <v>1389</v>
      </c>
      <c r="I109" s="1364"/>
      <c r="J109" s="1364"/>
      <c r="K109" s="1364"/>
      <c r="L109" s="1364"/>
    </row>
    <row r="110" spans="1:12" ht="18" customHeight="1" x14ac:dyDescent="0.25">
      <c r="A110" s="1773" t="s">
        <v>1163</v>
      </c>
      <c r="B110" s="276" t="s">
        <v>207</v>
      </c>
      <c r="C110" s="1195" t="s">
        <v>1384</v>
      </c>
      <c r="D110" s="1371" t="s">
        <v>1385</v>
      </c>
      <c r="E110" s="1372" t="s">
        <v>1386</v>
      </c>
      <c r="F110" s="1372" t="s">
        <v>1387</v>
      </c>
      <c r="G110" s="1373" t="s">
        <v>1388</v>
      </c>
      <c r="H110" s="1371" t="s">
        <v>1389</v>
      </c>
      <c r="I110" s="1364"/>
      <c r="J110" s="1364"/>
      <c r="K110" s="1364"/>
      <c r="L110" s="1364"/>
    </row>
    <row r="111" spans="1:12" ht="18" customHeight="1" x14ac:dyDescent="0.25">
      <c r="A111" s="1773" t="s">
        <v>1164</v>
      </c>
      <c r="B111" s="276" t="s">
        <v>208</v>
      </c>
      <c r="C111" s="1195" t="s">
        <v>1384</v>
      </c>
      <c r="D111" s="1371" t="s">
        <v>1385</v>
      </c>
      <c r="E111" s="1372" t="s">
        <v>1386</v>
      </c>
      <c r="F111" s="1372" t="s">
        <v>1387</v>
      </c>
      <c r="G111" s="1373" t="s">
        <v>1388</v>
      </c>
      <c r="H111" s="1371" t="s">
        <v>1389</v>
      </c>
      <c r="I111" s="1364"/>
      <c r="J111" s="1364"/>
      <c r="K111" s="1364"/>
      <c r="L111" s="1364"/>
    </row>
    <row r="112" spans="1:12" ht="18" customHeight="1" x14ac:dyDescent="0.25">
      <c r="A112" s="1773" t="s">
        <v>1165</v>
      </c>
      <c r="B112" s="276" t="s">
        <v>209</v>
      </c>
      <c r="C112" s="1195" t="s">
        <v>1384</v>
      </c>
      <c r="D112" s="1371" t="s">
        <v>1385</v>
      </c>
      <c r="E112" s="1372" t="s">
        <v>1386</v>
      </c>
      <c r="F112" s="1372" t="s">
        <v>1387</v>
      </c>
      <c r="G112" s="1373" t="s">
        <v>1388</v>
      </c>
      <c r="H112" s="1371" t="s">
        <v>1389</v>
      </c>
      <c r="I112" s="1364"/>
      <c r="J112" s="1364"/>
      <c r="K112" s="1364"/>
      <c r="L112" s="1364"/>
    </row>
    <row r="113" spans="1:12" ht="18" customHeight="1" x14ac:dyDescent="0.25">
      <c r="A113" s="1773" t="s">
        <v>1166</v>
      </c>
      <c r="B113" s="283" t="s">
        <v>221</v>
      </c>
      <c r="C113" s="1197" t="s">
        <v>1384</v>
      </c>
      <c r="D113" s="1374" t="s">
        <v>1385</v>
      </c>
      <c r="E113" s="1375" t="s">
        <v>1386</v>
      </c>
      <c r="F113" s="1375" t="s">
        <v>1387</v>
      </c>
      <c r="G113" s="1376" t="s">
        <v>1388</v>
      </c>
      <c r="H113" s="1374" t="s">
        <v>1389</v>
      </c>
      <c r="I113" s="1364"/>
      <c r="J113" s="1364"/>
      <c r="K113" s="1364"/>
      <c r="L113" s="1364"/>
    </row>
    <row r="114" spans="1:12" x14ac:dyDescent="0.25">
      <c r="A114" s="361"/>
      <c r="B114" s="286" t="s">
        <v>15</v>
      </c>
      <c r="C114" s="1200">
        <f>SUM(D114:G114)</f>
        <v>0</v>
      </c>
      <c r="D114" s="1200">
        <f>SUM(D103:D113)</f>
        <v>0</v>
      </c>
      <c r="E114" s="1200">
        <f>SUM(E103:E113)</f>
        <v>0</v>
      </c>
      <c r="F114" s="1200">
        <f>SUM(F103:F113)</f>
        <v>0</v>
      </c>
      <c r="G114" s="1301">
        <f>SUM(G103:G113)</f>
        <v>0</v>
      </c>
      <c r="H114" s="1201">
        <f>SUM(H103:H113)</f>
        <v>0</v>
      </c>
      <c r="I114" s="1364"/>
      <c r="J114" s="1364"/>
      <c r="K114" s="1364"/>
      <c r="L114" s="1364"/>
    </row>
    <row r="115" spans="1:12" x14ac:dyDescent="0.25">
      <c r="B115" s="1364" t="s">
        <v>716</v>
      </c>
      <c r="C115" s="1364"/>
      <c r="D115" s="1364"/>
      <c r="E115" s="1364"/>
      <c r="F115" s="1364"/>
      <c r="G115" s="1364"/>
      <c r="H115" s="1364"/>
      <c r="I115" s="1364"/>
      <c r="J115" s="1364"/>
      <c r="K115" s="1364"/>
      <c r="L115" s="1364"/>
    </row>
    <row r="116" spans="1:12" ht="45.75" customHeight="1" x14ac:dyDescent="0.25">
      <c r="B116" s="2538" t="s">
        <v>732</v>
      </c>
      <c r="C116" s="2538"/>
      <c r="D116" s="2538"/>
      <c r="E116" s="2538"/>
      <c r="F116" s="2538"/>
      <c r="G116" s="2538"/>
      <c r="H116" s="2538"/>
      <c r="I116" s="2538"/>
      <c r="J116" s="2538"/>
      <c r="K116" s="2538"/>
      <c r="L116" s="2538"/>
    </row>
    <row r="117" spans="1:12" x14ac:dyDescent="0.25">
      <c r="B117" s="2526" t="s">
        <v>607</v>
      </c>
      <c r="C117" s="2528" t="s">
        <v>711</v>
      </c>
      <c r="D117" s="2529"/>
      <c r="E117" s="2529"/>
      <c r="F117" s="2529"/>
      <c r="G117" s="2529"/>
      <c r="H117" s="2530"/>
      <c r="I117" s="1364"/>
      <c r="J117" s="1364"/>
      <c r="K117" s="1364"/>
    </row>
    <row r="118" spans="1:12" ht="18.75" customHeight="1" x14ac:dyDescent="0.25">
      <c r="B118" s="2527"/>
      <c r="C118" s="2531" t="s">
        <v>15</v>
      </c>
      <c r="D118" s="2533" t="s">
        <v>712</v>
      </c>
      <c r="E118" s="2528" t="s">
        <v>288</v>
      </c>
      <c r="F118" s="2529"/>
      <c r="G118" s="2535"/>
      <c r="H118" s="2536" t="s">
        <v>717</v>
      </c>
      <c r="I118" s="1364"/>
      <c r="J118" s="1364"/>
      <c r="K118" s="1364"/>
    </row>
    <row r="119" spans="1:12" ht="21.75" customHeight="1" x14ac:dyDescent="0.25">
      <c r="B119" s="2527"/>
      <c r="C119" s="2532"/>
      <c r="D119" s="2534"/>
      <c r="E119" s="1295" t="s">
        <v>713</v>
      </c>
      <c r="F119" s="1295" t="s">
        <v>714</v>
      </c>
      <c r="G119" s="1297" t="s">
        <v>718</v>
      </c>
      <c r="H119" s="2537"/>
      <c r="I119" s="1364"/>
      <c r="J119" s="1364"/>
      <c r="K119" s="1364"/>
    </row>
    <row r="120" spans="1:12" ht="20.25" customHeight="1" x14ac:dyDescent="0.25">
      <c r="A120" s="1773" t="s">
        <v>1167</v>
      </c>
      <c r="B120" s="276" t="s">
        <v>22</v>
      </c>
      <c r="C120" s="1195" t="s">
        <v>1384</v>
      </c>
      <c r="D120" s="1371" t="s">
        <v>1385</v>
      </c>
      <c r="E120" s="1372" t="s">
        <v>1386</v>
      </c>
      <c r="F120" s="1372" t="s">
        <v>1387</v>
      </c>
      <c r="G120" s="1373" t="s">
        <v>1388</v>
      </c>
      <c r="H120" s="1371" t="s">
        <v>1389</v>
      </c>
      <c r="I120" s="1364"/>
      <c r="J120" s="1364"/>
      <c r="K120" s="1364"/>
    </row>
    <row r="121" spans="1:12" ht="20.25" customHeight="1" x14ac:dyDescent="0.25">
      <c r="A121" s="1773" t="s">
        <v>1168</v>
      </c>
      <c r="B121" s="276" t="s">
        <v>23</v>
      </c>
      <c r="C121" s="1195" t="s">
        <v>1384</v>
      </c>
      <c r="D121" s="1371" t="s">
        <v>1385</v>
      </c>
      <c r="E121" s="1372" t="s">
        <v>1386</v>
      </c>
      <c r="F121" s="1372" t="s">
        <v>1387</v>
      </c>
      <c r="G121" s="1373" t="s">
        <v>1388</v>
      </c>
      <c r="H121" s="1371" t="s">
        <v>1389</v>
      </c>
      <c r="I121" s="1364"/>
      <c r="J121" s="1364"/>
      <c r="K121" s="1364"/>
    </row>
    <row r="122" spans="1:12" ht="20.25" customHeight="1" x14ac:dyDescent="0.25">
      <c r="A122" s="1773" t="s">
        <v>1169</v>
      </c>
      <c r="B122" s="276" t="s">
        <v>24</v>
      </c>
      <c r="C122" s="1195" t="s">
        <v>1384</v>
      </c>
      <c r="D122" s="1371" t="s">
        <v>1385</v>
      </c>
      <c r="E122" s="1372" t="s">
        <v>1386</v>
      </c>
      <c r="F122" s="1372" t="s">
        <v>1387</v>
      </c>
      <c r="G122" s="1373" t="s">
        <v>1388</v>
      </c>
      <c r="H122" s="1371" t="s">
        <v>1389</v>
      </c>
      <c r="I122" s="1364"/>
      <c r="J122" s="1364"/>
      <c r="K122" s="1364"/>
    </row>
    <row r="123" spans="1:12" ht="20.25" customHeight="1" x14ac:dyDescent="0.25">
      <c r="A123" s="1773" t="s">
        <v>1170</v>
      </c>
      <c r="B123" s="276" t="s">
        <v>25</v>
      </c>
      <c r="C123" s="1195" t="s">
        <v>1384</v>
      </c>
      <c r="D123" s="1371" t="s">
        <v>1385</v>
      </c>
      <c r="E123" s="1372" t="s">
        <v>1386</v>
      </c>
      <c r="F123" s="1372" t="s">
        <v>1387</v>
      </c>
      <c r="G123" s="1373" t="s">
        <v>1388</v>
      </c>
      <c r="H123" s="1371" t="s">
        <v>1389</v>
      </c>
      <c r="I123" s="1364"/>
      <c r="J123" s="1364"/>
      <c r="K123" s="1364"/>
    </row>
    <row r="124" spans="1:12" ht="20.25" customHeight="1" x14ac:dyDescent="0.25">
      <c r="A124" s="1773" t="s">
        <v>1171</v>
      </c>
      <c r="B124" s="276" t="s">
        <v>26</v>
      </c>
      <c r="C124" s="1195" t="s">
        <v>1384</v>
      </c>
      <c r="D124" s="1371" t="s">
        <v>1385</v>
      </c>
      <c r="E124" s="1372" t="s">
        <v>1386</v>
      </c>
      <c r="F124" s="1372" t="s">
        <v>1387</v>
      </c>
      <c r="G124" s="1373" t="s">
        <v>1388</v>
      </c>
      <c r="H124" s="1371" t="s">
        <v>1389</v>
      </c>
      <c r="I124" s="1364"/>
      <c r="J124" s="1364"/>
      <c r="K124" s="1364"/>
    </row>
    <row r="125" spans="1:12" ht="20.25" customHeight="1" x14ac:dyDescent="0.25">
      <c r="A125" s="1773" t="s">
        <v>1172</v>
      </c>
      <c r="B125" s="276" t="s">
        <v>234</v>
      </c>
      <c r="C125" s="1195" t="s">
        <v>1384</v>
      </c>
      <c r="D125" s="1371" t="s">
        <v>1385</v>
      </c>
      <c r="E125" s="1372" t="s">
        <v>1386</v>
      </c>
      <c r="F125" s="1372" t="s">
        <v>1387</v>
      </c>
      <c r="G125" s="1373" t="s">
        <v>1388</v>
      </c>
      <c r="H125" s="1371" t="s">
        <v>1389</v>
      </c>
      <c r="I125" s="1364"/>
      <c r="J125" s="1364"/>
      <c r="K125" s="1364"/>
    </row>
    <row r="126" spans="1:12" ht="20.25" customHeight="1" x14ac:dyDescent="0.25">
      <c r="A126" s="1773" t="s">
        <v>1173</v>
      </c>
      <c r="B126" s="276" t="s">
        <v>235</v>
      </c>
      <c r="C126" s="1195" t="s">
        <v>1384</v>
      </c>
      <c r="D126" s="1371" t="s">
        <v>1385</v>
      </c>
      <c r="E126" s="1372" t="s">
        <v>1386</v>
      </c>
      <c r="F126" s="1372" t="s">
        <v>1387</v>
      </c>
      <c r="G126" s="1373" t="s">
        <v>1388</v>
      </c>
      <c r="H126" s="1371" t="s">
        <v>1389</v>
      </c>
      <c r="I126" s="1364"/>
      <c r="J126" s="1364"/>
      <c r="K126" s="1364"/>
    </row>
    <row r="127" spans="1:12" ht="20.25" customHeight="1" x14ac:dyDescent="0.25">
      <c r="A127" s="1773" t="s">
        <v>1174</v>
      </c>
      <c r="B127" s="276" t="s">
        <v>207</v>
      </c>
      <c r="C127" s="1195" t="s">
        <v>1384</v>
      </c>
      <c r="D127" s="1371" t="s">
        <v>1385</v>
      </c>
      <c r="E127" s="1372" t="s">
        <v>1386</v>
      </c>
      <c r="F127" s="1372" t="s">
        <v>1387</v>
      </c>
      <c r="G127" s="1373" t="s">
        <v>1388</v>
      </c>
      <c r="H127" s="1371" t="s">
        <v>1389</v>
      </c>
      <c r="I127" s="1364"/>
      <c r="J127" s="1364"/>
      <c r="K127" s="1364"/>
    </row>
    <row r="128" spans="1:12" ht="20.25" customHeight="1" x14ac:dyDescent="0.25">
      <c r="A128" s="1773" t="s">
        <v>1175</v>
      </c>
      <c r="B128" s="276" t="s">
        <v>208</v>
      </c>
      <c r="C128" s="1195" t="s">
        <v>1384</v>
      </c>
      <c r="D128" s="1371" t="s">
        <v>1385</v>
      </c>
      <c r="E128" s="1372" t="s">
        <v>1386</v>
      </c>
      <c r="F128" s="1372" t="s">
        <v>1387</v>
      </c>
      <c r="G128" s="1373" t="s">
        <v>1388</v>
      </c>
      <c r="H128" s="1371" t="s">
        <v>1389</v>
      </c>
      <c r="I128" s="1364"/>
      <c r="J128" s="1364"/>
      <c r="K128" s="1364"/>
    </row>
    <row r="129" spans="1:11" ht="20.25" customHeight="1" x14ac:dyDescent="0.25">
      <c r="A129" s="1773" t="s">
        <v>1176</v>
      </c>
      <c r="B129" s="276" t="s">
        <v>209</v>
      </c>
      <c r="C129" s="1195" t="s">
        <v>1384</v>
      </c>
      <c r="D129" s="1371" t="s">
        <v>1385</v>
      </c>
      <c r="E129" s="1372" t="s">
        <v>1386</v>
      </c>
      <c r="F129" s="1372" t="s">
        <v>1387</v>
      </c>
      <c r="G129" s="1373" t="s">
        <v>1388</v>
      </c>
      <c r="H129" s="1371" t="s">
        <v>1389</v>
      </c>
      <c r="I129" s="1364"/>
      <c r="J129" s="1364"/>
      <c r="K129" s="1364"/>
    </row>
    <row r="130" spans="1:11" ht="20.25" customHeight="1" x14ac:dyDescent="0.25">
      <c r="A130" s="1773" t="s">
        <v>1177</v>
      </c>
      <c r="B130" s="283" t="s">
        <v>221</v>
      </c>
      <c r="C130" s="1197" t="s">
        <v>1384</v>
      </c>
      <c r="D130" s="1374" t="s">
        <v>1385</v>
      </c>
      <c r="E130" s="1375" t="s">
        <v>1386</v>
      </c>
      <c r="F130" s="1375" t="s">
        <v>1387</v>
      </c>
      <c r="G130" s="1376" t="s">
        <v>1388</v>
      </c>
      <c r="H130" s="1374" t="s">
        <v>1389</v>
      </c>
      <c r="I130" s="1364"/>
      <c r="J130" s="1364"/>
      <c r="K130" s="1364"/>
    </row>
    <row r="131" spans="1:11" x14ac:dyDescent="0.25">
      <c r="A131" s="361"/>
      <c r="B131" s="286" t="s">
        <v>15</v>
      </c>
      <c r="C131" s="1200">
        <f>SUM(D131:G131)</f>
        <v>0</v>
      </c>
      <c r="D131" s="1200">
        <f>SUM(D120:D130)</f>
        <v>0</v>
      </c>
      <c r="E131" s="1200">
        <f>SUM(E120:E130)</f>
        <v>0</v>
      </c>
      <c r="F131" s="1200">
        <f>SUM(F120:F130)</f>
        <v>0</v>
      </c>
      <c r="G131" s="1301">
        <f>SUM(G120:G130)</f>
        <v>0</v>
      </c>
      <c r="H131" s="1201">
        <f>SUM(H120:H130)</f>
        <v>0</v>
      </c>
      <c r="I131" s="1364"/>
      <c r="J131" s="1364"/>
      <c r="K131" s="1364"/>
    </row>
    <row r="199" spans="2:3" hidden="1" x14ac:dyDescent="0.25">
      <c r="B199" s="1330">
        <f>SUM(C10:D22,D29:M41,D48:M60,C65:C73,C78:C86,C91:D97,D103:H113,D120:H130)</f>
        <v>0</v>
      </c>
      <c r="C199" s="1331" t="s">
        <v>350</v>
      </c>
    </row>
    <row r="200" spans="2:3" hidden="1" x14ac:dyDescent="0.25">
      <c r="B200" s="1330">
        <f>SUM(BB$10:CA130)</f>
        <v>0</v>
      </c>
      <c r="C200" s="1331" t="s">
        <v>351</v>
      </c>
    </row>
    <row r="201" spans="2:3" hidden="1" x14ac:dyDescent="0.25"/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</sheetData>
  <mergeCells count="34">
    <mergeCell ref="B43:D43"/>
    <mergeCell ref="B44:L44"/>
    <mergeCell ref="B45:B47"/>
    <mergeCell ref="C46:C47"/>
    <mergeCell ref="D46:D47"/>
    <mergeCell ref="E46:F46"/>
    <mergeCell ref="G46:L46"/>
    <mergeCell ref="C45:M45"/>
    <mergeCell ref="M46:M47"/>
    <mergeCell ref="B24:D24"/>
    <mergeCell ref="O5:P5"/>
    <mergeCell ref="B7:L7"/>
    <mergeCell ref="B25:L25"/>
    <mergeCell ref="G27:L27"/>
    <mergeCell ref="B26:B28"/>
    <mergeCell ref="C27:C28"/>
    <mergeCell ref="D27:D28"/>
    <mergeCell ref="E27:F27"/>
    <mergeCell ref="C26:M26"/>
    <mergeCell ref="M27:M28"/>
    <mergeCell ref="B116:L116"/>
    <mergeCell ref="B99:L99"/>
    <mergeCell ref="B100:B102"/>
    <mergeCell ref="C100:H100"/>
    <mergeCell ref="C101:C102"/>
    <mergeCell ref="D101:D102"/>
    <mergeCell ref="E101:G101"/>
    <mergeCell ref="H101:H102"/>
    <mergeCell ref="B117:B119"/>
    <mergeCell ref="C117:H117"/>
    <mergeCell ref="C118:C119"/>
    <mergeCell ref="D118:D119"/>
    <mergeCell ref="E118:G118"/>
    <mergeCell ref="H118:H119"/>
  </mergeCells>
  <phoneticPr fontId="27" type="noConversion"/>
  <dataValidations count="1">
    <dataValidation allowBlank="1" showInputMessage="1" showErrorMessage="1" errorTitle="Error de ingreso" error="Debe ingresar sólo números enteros positivos." sqref="D117:K1048576 C117:C198 B199:C1048576 BB1:XFD1048576 L1:AP1048576 B1:B198 C1:K115"/>
  </dataValidations>
  <pageMargins left="0.70866141732283472" right="0.70866141732283472" top="0.74803149606299213" bottom="0.74803149606299213" header="0.31496062992125984" footer="0.31496062992125984"/>
  <pageSetup scale="65" orientation="landscape" r:id="rId1"/>
  <rowBreaks count="1" manualBreakCount="1">
    <brk id="62" min="1" max="11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CA60"/>
  <sheetViews>
    <sheetView showGridLines="0" zoomScaleNormal="100" workbookViewId="0"/>
  </sheetViews>
  <sheetFormatPr baseColWidth="10" defaultColWidth="11.42578125" defaultRowHeight="10.5" x14ac:dyDescent="0.15"/>
  <cols>
    <col min="1" max="1" width="17.5703125" style="386" customWidth="1"/>
    <col min="2" max="2" width="56.5703125" style="386" customWidth="1"/>
    <col min="3" max="3" width="13.5703125" style="386" customWidth="1"/>
    <col min="4" max="10" width="11.5703125" style="386" customWidth="1"/>
    <col min="11" max="11" width="11.140625" style="386" customWidth="1"/>
    <col min="12" max="12" width="11.5703125" style="386" customWidth="1"/>
    <col min="13" max="13" width="12.7109375" style="386" customWidth="1"/>
    <col min="14" max="14" width="10.5703125" style="386" customWidth="1"/>
    <col min="15" max="15" width="9.5703125" style="386" customWidth="1"/>
    <col min="16" max="16" width="11" style="386" customWidth="1"/>
    <col min="17" max="17" width="10.85546875" style="386" customWidth="1"/>
    <col min="18" max="18" width="11.42578125" style="386" customWidth="1"/>
    <col min="19" max="19" width="12.5703125" style="386" customWidth="1"/>
    <col min="20" max="27" width="11.42578125" style="386" customWidth="1"/>
    <col min="28" max="49" width="11.42578125" style="386" hidden="1" customWidth="1"/>
    <col min="50" max="50" width="9.42578125" style="386" hidden="1" customWidth="1"/>
    <col min="51" max="53" width="9.42578125" style="383" hidden="1" customWidth="1"/>
    <col min="54" max="74" width="9.42578125" style="406" hidden="1" customWidth="1"/>
    <col min="75" max="75" width="9.42578125" style="386" hidden="1" customWidth="1"/>
    <col min="76" max="76" width="11.42578125" style="598" hidden="1" customWidth="1"/>
    <col min="77" max="79" width="0" style="598" hidden="1" customWidth="1"/>
    <col min="80" max="16384" width="11.42578125" style="386"/>
  </cols>
  <sheetData>
    <row r="1" spans="1:79" s="666" customFormat="1" ht="13.5" customHeight="1" x14ac:dyDescent="0.15">
      <c r="B1" s="381" t="s">
        <v>0</v>
      </c>
      <c r="C1" s="382"/>
      <c r="D1" s="382"/>
      <c r="E1" s="382"/>
      <c r="F1" s="382"/>
      <c r="G1" s="382"/>
      <c r="H1" s="382"/>
      <c r="I1" s="382"/>
      <c r="J1" s="383"/>
      <c r="K1" s="383"/>
      <c r="L1" s="383"/>
      <c r="M1" s="383"/>
      <c r="N1" s="383"/>
      <c r="O1" s="383"/>
      <c r="P1" s="383"/>
      <c r="Q1" s="383"/>
      <c r="R1" s="383"/>
      <c r="S1" s="383"/>
      <c r="T1" s="383"/>
      <c r="U1" s="383"/>
      <c r="V1" s="383"/>
      <c r="W1" s="383"/>
      <c r="X1" s="383"/>
      <c r="Y1" s="383"/>
      <c r="Z1" s="383"/>
      <c r="AA1" s="383"/>
      <c r="AB1" s="383"/>
      <c r="AC1" s="383"/>
      <c r="AD1" s="383"/>
      <c r="AE1" s="383"/>
      <c r="AF1" s="383"/>
      <c r="AG1" s="383"/>
      <c r="AH1" s="383"/>
      <c r="AI1" s="383"/>
      <c r="AJ1" s="383"/>
      <c r="AK1" s="383"/>
      <c r="AL1" s="383"/>
      <c r="AM1" s="383"/>
      <c r="AN1" s="383"/>
      <c r="AO1" s="383"/>
      <c r="AP1" s="383"/>
      <c r="AQ1" s="383"/>
      <c r="AR1" s="383"/>
      <c r="AS1" s="383"/>
      <c r="AT1" s="383"/>
      <c r="AU1" s="383"/>
      <c r="AV1" s="383"/>
      <c r="AW1" s="383"/>
      <c r="AX1" s="383"/>
      <c r="AY1" s="383"/>
      <c r="AZ1" s="383"/>
      <c r="BA1" s="383"/>
      <c r="BB1" s="405"/>
      <c r="BC1" s="405"/>
      <c r="BD1" s="405"/>
      <c r="BE1" s="405"/>
      <c r="BF1" s="405"/>
      <c r="BG1" s="405"/>
      <c r="BH1" s="405"/>
      <c r="BI1" s="405"/>
      <c r="BJ1" s="405"/>
      <c r="BK1" s="405"/>
      <c r="BL1" s="405"/>
      <c r="BM1" s="405"/>
      <c r="BN1" s="405"/>
      <c r="BO1" s="405"/>
      <c r="BP1" s="405"/>
      <c r="BQ1" s="405"/>
      <c r="BR1" s="405"/>
      <c r="BS1" s="405"/>
      <c r="BT1" s="405"/>
      <c r="BU1" s="405"/>
      <c r="BV1" s="405"/>
      <c r="BW1" s="383"/>
      <c r="BX1" s="695"/>
      <c r="BY1" s="695"/>
      <c r="BZ1" s="695"/>
      <c r="CA1" s="695"/>
    </row>
    <row r="2" spans="1:79" s="666" customFormat="1" ht="13.5" customHeight="1" x14ac:dyDescent="0.15">
      <c r="B2" s="381" t="str">
        <f>CONCATENATE("COMUNA: ",NOMBRE!$B$2," - ","( ",NOMBRE!$C$2,NOMBRE!$D$2,NOMBRE!$E$2,NOMBRE!$F$2,NOMBRE!$G$2," )")</f>
        <v>COMUNA:  - (  )</v>
      </c>
      <c r="C2" s="382"/>
      <c r="D2" s="382"/>
      <c r="E2" s="382"/>
      <c r="F2" s="382"/>
      <c r="G2" s="382"/>
      <c r="H2" s="382"/>
      <c r="I2" s="382"/>
      <c r="J2" s="383"/>
      <c r="K2" s="383"/>
      <c r="L2" s="383"/>
      <c r="M2" s="383"/>
      <c r="N2" s="383"/>
      <c r="O2" s="383"/>
      <c r="P2" s="383"/>
      <c r="Q2" s="383"/>
      <c r="R2" s="383"/>
      <c r="S2" s="383"/>
      <c r="T2" s="383"/>
      <c r="U2" s="383"/>
      <c r="V2" s="383"/>
      <c r="W2" s="383"/>
      <c r="X2" s="383"/>
      <c r="Y2" s="383"/>
      <c r="Z2" s="383"/>
      <c r="AA2" s="383"/>
      <c r="AB2" s="383"/>
      <c r="AC2" s="383"/>
      <c r="AD2" s="383"/>
      <c r="AE2" s="383"/>
      <c r="AF2" s="383"/>
      <c r="AG2" s="383"/>
      <c r="AH2" s="383"/>
      <c r="AI2" s="383"/>
      <c r="AJ2" s="383"/>
      <c r="AK2" s="383"/>
      <c r="AL2" s="383"/>
      <c r="AM2" s="383"/>
      <c r="AN2" s="383"/>
      <c r="AO2" s="383"/>
      <c r="AP2" s="383"/>
      <c r="AQ2" s="383"/>
      <c r="AR2" s="383"/>
      <c r="AS2" s="383"/>
      <c r="AT2" s="383"/>
      <c r="AU2" s="383"/>
      <c r="AV2" s="383"/>
      <c r="AW2" s="383"/>
      <c r="AX2" s="383"/>
      <c r="AY2" s="383"/>
      <c r="AZ2" s="383"/>
      <c r="BA2" s="383"/>
      <c r="BB2" s="405"/>
      <c r="BC2" s="405"/>
      <c r="BD2" s="405"/>
      <c r="BE2" s="405"/>
      <c r="BF2" s="405"/>
      <c r="BG2" s="405"/>
      <c r="BH2" s="405"/>
      <c r="BI2" s="405"/>
      <c r="BJ2" s="405"/>
      <c r="BK2" s="405"/>
      <c r="BL2" s="405"/>
      <c r="BM2" s="405"/>
      <c r="BN2" s="405"/>
      <c r="BO2" s="405"/>
      <c r="BP2" s="405"/>
      <c r="BQ2" s="405"/>
      <c r="BR2" s="405"/>
      <c r="BS2" s="405"/>
      <c r="BT2" s="405"/>
      <c r="BU2" s="405"/>
      <c r="BV2" s="405"/>
      <c r="BW2" s="383"/>
      <c r="BX2" s="695"/>
      <c r="BY2" s="695"/>
      <c r="BZ2" s="695"/>
      <c r="CA2" s="695"/>
    </row>
    <row r="3" spans="1:79" s="666" customFormat="1" ht="13.5" customHeight="1" x14ac:dyDescent="0.15">
      <c r="B3" s="381" t="str">
        <f>CONCATENATE("ESTABLECIMIENTO/ESTRATEGIA: ",NOMBRE!$B$3," - ","( ",NOMBRE!$C$3,NOMBRE!$D$3,NOMBRE!$E$3,NOMBRE!$F$3,NOMBRE!$G$3,NOMBRE!$H$3," )")</f>
        <v>ESTABLECIMIENTO/ESTRATEGIA:  - (  )</v>
      </c>
      <c r="C3" s="382"/>
      <c r="D3" s="382"/>
      <c r="E3" s="384"/>
      <c r="F3" s="382"/>
      <c r="G3" s="382"/>
      <c r="H3" s="382"/>
      <c r="I3" s="382"/>
      <c r="J3" s="383"/>
      <c r="K3" s="383"/>
      <c r="L3" s="383"/>
      <c r="M3" s="383"/>
      <c r="N3" s="383"/>
      <c r="O3" s="383"/>
      <c r="P3" s="383"/>
      <c r="Q3" s="383"/>
      <c r="R3" s="383"/>
      <c r="S3" s="383"/>
      <c r="T3" s="383"/>
      <c r="U3" s="383"/>
      <c r="V3" s="383"/>
      <c r="W3" s="383"/>
      <c r="X3" s="383"/>
      <c r="Y3" s="383"/>
      <c r="Z3" s="383"/>
      <c r="AA3" s="383"/>
      <c r="AB3" s="383"/>
      <c r="AC3" s="383"/>
      <c r="AD3" s="383"/>
      <c r="AE3" s="383"/>
      <c r="AF3" s="383"/>
      <c r="AG3" s="383"/>
      <c r="AH3" s="383"/>
      <c r="AI3" s="383"/>
      <c r="AJ3" s="383"/>
      <c r="AK3" s="383"/>
      <c r="AL3" s="383"/>
      <c r="AM3" s="383"/>
      <c r="AN3" s="383"/>
      <c r="AO3" s="383"/>
      <c r="AP3" s="383"/>
      <c r="AQ3" s="383"/>
      <c r="AR3" s="383"/>
      <c r="AS3" s="383"/>
      <c r="AT3" s="383"/>
      <c r="AU3" s="383"/>
      <c r="AV3" s="383"/>
      <c r="AW3" s="383"/>
      <c r="AX3" s="383"/>
      <c r="AY3" s="383"/>
      <c r="AZ3" s="383"/>
      <c r="BA3" s="383"/>
      <c r="BB3" s="405"/>
      <c r="BC3" s="405"/>
      <c r="BD3" s="405"/>
      <c r="BE3" s="405"/>
      <c r="BF3" s="405"/>
      <c r="BG3" s="405"/>
      <c r="BH3" s="405"/>
      <c r="BI3" s="405"/>
      <c r="BJ3" s="405"/>
      <c r="BK3" s="405"/>
      <c r="BL3" s="405"/>
      <c r="BM3" s="405"/>
      <c r="BN3" s="405"/>
      <c r="BO3" s="405"/>
      <c r="BP3" s="405"/>
      <c r="BQ3" s="405"/>
      <c r="BR3" s="405"/>
      <c r="BS3" s="405"/>
      <c r="BT3" s="405"/>
      <c r="BU3" s="405"/>
      <c r="BV3" s="405"/>
      <c r="BW3" s="383"/>
      <c r="BX3" s="695"/>
      <c r="BY3" s="695"/>
      <c r="BZ3" s="695"/>
      <c r="CA3" s="695"/>
    </row>
    <row r="4" spans="1:79" s="666" customFormat="1" ht="13.5" customHeight="1" x14ac:dyDescent="0.15">
      <c r="B4" s="381" t="str">
        <f>CONCATENATE("MES: ",NOMBRE!$B$6," - ","( ",NOMBRE!$C$6,NOMBRE!$D$6," )")</f>
        <v>MES:  - (  )</v>
      </c>
      <c r="C4" s="382"/>
      <c r="D4" s="382"/>
      <c r="E4" s="382"/>
      <c r="F4" s="382"/>
      <c r="G4" s="382"/>
      <c r="H4" s="382"/>
      <c r="I4" s="382"/>
      <c r="J4" s="383"/>
      <c r="K4" s="383"/>
      <c r="L4" s="383"/>
      <c r="M4" s="383"/>
      <c r="N4" s="383"/>
      <c r="O4" s="383"/>
      <c r="P4" s="383"/>
      <c r="Q4" s="383"/>
      <c r="R4" s="383"/>
      <c r="S4" s="383"/>
      <c r="T4" s="383"/>
      <c r="U4" s="383"/>
      <c r="V4" s="383"/>
      <c r="W4" s="383"/>
      <c r="X4" s="383"/>
      <c r="Y4" s="383"/>
      <c r="Z4" s="383"/>
      <c r="AA4" s="383"/>
      <c r="AB4" s="383"/>
      <c r="AC4" s="383"/>
      <c r="AD4" s="383"/>
      <c r="AE4" s="383"/>
      <c r="AF4" s="383"/>
      <c r="AG4" s="383"/>
      <c r="AH4" s="383"/>
      <c r="AI4" s="383"/>
      <c r="AJ4" s="383"/>
      <c r="AK4" s="383"/>
      <c r="AL4" s="383"/>
      <c r="AM4" s="383"/>
      <c r="AN4" s="383"/>
      <c r="AO4" s="383"/>
      <c r="AP4" s="383"/>
      <c r="AQ4" s="383"/>
      <c r="AR4" s="383"/>
      <c r="AS4" s="383"/>
      <c r="AT4" s="383"/>
      <c r="AU4" s="383"/>
      <c r="AV4" s="383"/>
      <c r="AW4" s="383"/>
      <c r="AX4" s="383"/>
      <c r="AY4" s="383"/>
      <c r="AZ4" s="383"/>
      <c r="BA4" s="383"/>
      <c r="BB4" s="405"/>
      <c r="BC4" s="405"/>
      <c r="BD4" s="405"/>
      <c r="BE4" s="405"/>
      <c r="BF4" s="405"/>
      <c r="BG4" s="405"/>
      <c r="BH4" s="405"/>
      <c r="BI4" s="405"/>
      <c r="BJ4" s="405"/>
      <c r="BK4" s="405"/>
      <c r="BL4" s="405"/>
      <c r="BM4" s="405"/>
      <c r="BN4" s="405"/>
      <c r="BO4" s="405"/>
      <c r="BP4" s="405"/>
      <c r="BQ4" s="405"/>
      <c r="BR4" s="405"/>
      <c r="BS4" s="405"/>
      <c r="BT4" s="405"/>
      <c r="BU4" s="405"/>
      <c r="BV4" s="405"/>
      <c r="BW4" s="383"/>
      <c r="BX4" s="695"/>
      <c r="BY4" s="695"/>
      <c r="BZ4" s="695"/>
      <c r="CA4" s="695"/>
    </row>
    <row r="5" spans="1:79" s="666" customFormat="1" ht="13.5" customHeight="1" x14ac:dyDescent="0.15">
      <c r="B5" s="381" t="str">
        <f>CONCATENATE("AÑO: ",NOMBRE!$B$7)</f>
        <v>AÑO: 2021</v>
      </c>
      <c r="C5" s="382"/>
      <c r="D5" s="382"/>
      <c r="E5" s="382"/>
      <c r="F5" s="382"/>
      <c r="G5" s="382"/>
      <c r="H5" s="382"/>
      <c r="I5" s="382"/>
      <c r="J5" s="383"/>
      <c r="K5" s="383"/>
      <c r="L5" s="383"/>
      <c r="M5" s="383"/>
      <c r="N5" s="383"/>
      <c r="O5" s="383"/>
      <c r="P5" s="383"/>
      <c r="Q5" s="383"/>
      <c r="R5" s="383"/>
      <c r="S5" s="383"/>
      <c r="T5" s="383"/>
      <c r="U5" s="383"/>
      <c r="V5" s="383"/>
      <c r="W5" s="383"/>
      <c r="X5" s="383"/>
      <c r="Y5" s="383"/>
      <c r="Z5" s="383"/>
      <c r="AA5" s="383"/>
      <c r="AB5" s="383"/>
      <c r="AC5" s="383"/>
      <c r="AD5" s="383"/>
      <c r="AE5" s="383"/>
      <c r="AF5" s="383"/>
      <c r="AG5" s="383"/>
      <c r="AH5" s="383"/>
      <c r="AI5" s="383"/>
      <c r="AJ5" s="383"/>
      <c r="AK5" s="383"/>
      <c r="AL5" s="383"/>
      <c r="AM5" s="383"/>
      <c r="AN5" s="383"/>
      <c r="AO5" s="383"/>
      <c r="AP5" s="383"/>
      <c r="AQ5" s="383"/>
      <c r="AR5" s="383"/>
      <c r="AS5" s="383"/>
      <c r="AT5" s="383"/>
      <c r="AU5" s="383"/>
      <c r="AV5" s="383"/>
      <c r="AW5" s="383"/>
      <c r="AX5" s="383"/>
      <c r="AY5" s="383"/>
      <c r="AZ5" s="383"/>
      <c r="BA5" s="383"/>
      <c r="BB5" s="405"/>
      <c r="BC5" s="405"/>
      <c r="BD5" s="405"/>
      <c r="BE5" s="405"/>
      <c r="BF5" s="405"/>
      <c r="BG5" s="405"/>
      <c r="BH5" s="405"/>
      <c r="BI5" s="405"/>
      <c r="BJ5" s="405"/>
      <c r="BK5" s="405"/>
      <c r="BL5" s="405"/>
      <c r="BM5" s="405"/>
      <c r="BN5" s="405"/>
      <c r="BO5" s="405"/>
      <c r="BP5" s="405"/>
      <c r="BQ5" s="421"/>
      <c r="BR5" s="421"/>
      <c r="BS5" s="421"/>
      <c r="BT5" s="421"/>
      <c r="BU5" s="405"/>
      <c r="BV5" s="405"/>
      <c r="BW5" s="383"/>
      <c r="BX5" s="695"/>
      <c r="BY5" s="695"/>
      <c r="BZ5" s="695"/>
      <c r="CA5" s="695"/>
    </row>
    <row r="6" spans="1:79" s="666" customFormat="1" ht="15" customHeight="1" x14ac:dyDescent="0.15">
      <c r="B6" s="381"/>
      <c r="C6" s="382"/>
      <c r="D6" s="382"/>
      <c r="E6" s="382"/>
      <c r="F6" s="382"/>
      <c r="G6" s="382"/>
      <c r="H6" s="382"/>
      <c r="I6" s="382"/>
      <c r="J6" s="383"/>
      <c r="K6" s="383"/>
      <c r="L6" s="383"/>
      <c r="M6" s="383"/>
      <c r="N6" s="383"/>
      <c r="O6" s="383"/>
      <c r="P6" s="383"/>
      <c r="Q6" s="383"/>
      <c r="R6" s="383"/>
      <c r="S6" s="383"/>
      <c r="T6" s="383"/>
      <c r="U6" s="383"/>
      <c r="V6" s="383"/>
      <c r="W6" s="383"/>
      <c r="X6" s="383"/>
      <c r="Y6" s="383"/>
      <c r="Z6" s="383"/>
      <c r="AA6" s="383"/>
      <c r="AB6" s="383"/>
      <c r="AC6" s="383"/>
      <c r="AD6" s="383"/>
      <c r="AE6" s="383"/>
      <c r="AF6" s="383"/>
      <c r="AG6" s="383"/>
      <c r="AH6" s="383"/>
      <c r="AI6" s="383"/>
      <c r="AJ6" s="383"/>
      <c r="AK6" s="383"/>
      <c r="AL6" s="383"/>
      <c r="AM6" s="383"/>
      <c r="AN6" s="383"/>
      <c r="AO6" s="383"/>
      <c r="AP6" s="383"/>
      <c r="AQ6" s="383"/>
      <c r="AR6" s="383"/>
      <c r="AS6" s="383"/>
      <c r="AT6" s="383"/>
      <c r="AU6" s="383"/>
      <c r="AV6" s="383"/>
      <c r="AW6" s="383"/>
      <c r="AX6" s="383"/>
      <c r="AY6" s="383"/>
      <c r="AZ6" s="383"/>
      <c r="BA6" s="383"/>
      <c r="BB6" s="405"/>
      <c r="BC6" s="405"/>
      <c r="BD6" s="405"/>
      <c r="BE6" s="405"/>
      <c r="BF6" s="405"/>
      <c r="BG6" s="405"/>
      <c r="BH6" s="405"/>
      <c r="BI6" s="405"/>
      <c r="BJ6" s="405"/>
      <c r="BK6" s="405"/>
      <c r="BL6" s="405"/>
      <c r="BM6" s="405"/>
      <c r="BN6" s="405"/>
      <c r="BO6" s="405"/>
      <c r="BP6" s="405"/>
      <c r="BQ6" s="421"/>
      <c r="BR6" s="421"/>
      <c r="BS6" s="421"/>
      <c r="BT6" s="421"/>
      <c r="BU6" s="405"/>
      <c r="BV6" s="405"/>
      <c r="BW6" s="383"/>
      <c r="BX6" s="695"/>
      <c r="BY6" s="695"/>
      <c r="BZ6" s="695"/>
      <c r="CA6" s="695"/>
    </row>
    <row r="7" spans="1:79" s="385" customFormat="1" ht="21.75" customHeight="1" x14ac:dyDescent="0.15">
      <c r="C7" s="2403" t="s">
        <v>628</v>
      </c>
      <c r="D7" s="2403"/>
      <c r="E7" s="2403"/>
      <c r="F7" s="2403"/>
      <c r="G7" s="2403"/>
      <c r="H7" s="2403"/>
      <c r="I7" s="2403"/>
      <c r="J7" s="2403"/>
      <c r="K7" s="2403"/>
      <c r="L7" s="2403"/>
      <c r="M7" s="2403"/>
      <c r="N7" s="2403"/>
      <c r="O7" s="2403"/>
      <c r="P7" s="2403"/>
      <c r="Q7" s="2403"/>
      <c r="R7" s="386"/>
      <c r="S7" s="386"/>
      <c r="T7" s="386"/>
      <c r="U7" s="386"/>
      <c r="V7" s="386"/>
      <c r="W7" s="386"/>
      <c r="X7" s="386"/>
      <c r="Y7" s="386"/>
      <c r="Z7" s="386"/>
      <c r="AA7" s="386"/>
      <c r="AB7" s="386"/>
      <c r="AC7" s="386"/>
      <c r="AD7" s="386"/>
      <c r="AE7" s="386"/>
      <c r="AF7" s="386"/>
      <c r="AG7" s="386"/>
      <c r="AH7" s="386"/>
      <c r="AI7" s="386"/>
      <c r="AJ7" s="386"/>
      <c r="AK7" s="386"/>
      <c r="AL7" s="386"/>
      <c r="AM7" s="386"/>
      <c r="AN7" s="386"/>
      <c r="AO7" s="386"/>
      <c r="AP7" s="386"/>
      <c r="AQ7" s="386"/>
      <c r="AR7" s="386"/>
      <c r="AS7" s="386"/>
      <c r="AT7" s="386"/>
      <c r="AU7" s="386"/>
      <c r="AV7" s="386"/>
      <c r="AW7" s="386"/>
      <c r="AX7" s="386"/>
      <c r="AY7" s="383"/>
      <c r="AZ7" s="383"/>
      <c r="BA7" s="383"/>
      <c r="BB7" s="407"/>
      <c r="BC7" s="407"/>
      <c r="BD7" s="407"/>
      <c r="BE7" s="407"/>
      <c r="BF7" s="407"/>
      <c r="BG7" s="407"/>
      <c r="BH7" s="407"/>
      <c r="BI7" s="407"/>
      <c r="BJ7" s="407"/>
      <c r="BK7" s="407"/>
      <c r="BL7" s="407"/>
      <c r="BM7" s="407"/>
      <c r="BN7" s="407"/>
      <c r="BO7" s="407"/>
      <c r="BP7" s="407"/>
      <c r="BQ7" s="422"/>
      <c r="BR7" s="422"/>
      <c r="BS7" s="422"/>
      <c r="BT7" s="422"/>
      <c r="BU7" s="407"/>
      <c r="BV7" s="407"/>
      <c r="BX7" s="387"/>
      <c r="BY7" s="387"/>
      <c r="BZ7" s="387"/>
      <c r="CA7" s="387"/>
    </row>
    <row r="8" spans="1:79" ht="44.1" customHeight="1" x14ac:dyDescent="0.2">
      <c r="B8" s="2565" t="s">
        <v>545</v>
      </c>
      <c r="C8" s="2565"/>
      <c r="D8" s="2565"/>
      <c r="E8" s="2565"/>
      <c r="F8" s="2565"/>
      <c r="G8" s="2565"/>
      <c r="H8" s="2565"/>
      <c r="I8" s="580"/>
      <c r="J8" s="580"/>
      <c r="K8" s="580"/>
      <c r="BQ8" s="581"/>
      <c r="BR8" s="581"/>
      <c r="BS8" s="581"/>
      <c r="BT8" s="581"/>
    </row>
    <row r="9" spans="1:79" ht="20.100000000000001" customHeight="1" x14ac:dyDescent="0.15">
      <c r="A9" s="1795"/>
      <c r="B9" s="582"/>
      <c r="C9" s="583"/>
      <c r="D9" s="583"/>
      <c r="E9" s="583"/>
      <c r="F9" s="2566" t="s">
        <v>567</v>
      </c>
      <c r="G9" s="2567"/>
      <c r="H9" s="2567"/>
      <c r="I9" s="2567"/>
      <c r="J9" s="2567"/>
      <c r="K9" s="2568"/>
      <c r="L9" s="2559" t="s">
        <v>646</v>
      </c>
      <c r="M9" s="2556" t="s">
        <v>733</v>
      </c>
      <c r="BQ9" s="581"/>
      <c r="BR9" s="581"/>
      <c r="BS9" s="581"/>
      <c r="BT9" s="581"/>
    </row>
    <row r="10" spans="1:79" ht="15.75" customHeight="1" x14ac:dyDescent="0.15">
      <c r="A10" s="1795"/>
      <c r="B10" s="584"/>
      <c r="C10" s="2577" t="s">
        <v>15</v>
      </c>
      <c r="D10" s="2578"/>
      <c r="E10" s="2578"/>
      <c r="F10" s="2569" t="s">
        <v>547</v>
      </c>
      <c r="G10" s="2569"/>
      <c r="H10" s="2569" t="s">
        <v>548</v>
      </c>
      <c r="I10" s="2569"/>
      <c r="J10" s="2566" t="s">
        <v>549</v>
      </c>
      <c r="K10" s="2568"/>
      <c r="L10" s="2560"/>
      <c r="M10" s="2557"/>
      <c r="BQ10" s="581"/>
      <c r="BR10" s="581"/>
      <c r="BS10" s="581"/>
      <c r="BT10" s="581"/>
    </row>
    <row r="11" spans="1:79" ht="26.25" customHeight="1" x14ac:dyDescent="0.15">
      <c r="A11" s="1795"/>
      <c r="B11" s="584"/>
      <c r="C11" s="585" t="s">
        <v>409</v>
      </c>
      <c r="D11" s="510" t="s">
        <v>460</v>
      </c>
      <c r="E11" s="586" t="s">
        <v>32</v>
      </c>
      <c r="F11" s="508" t="s">
        <v>460</v>
      </c>
      <c r="G11" s="586" t="s">
        <v>32</v>
      </c>
      <c r="H11" s="510" t="s">
        <v>460</v>
      </c>
      <c r="I11" s="511" t="s">
        <v>32</v>
      </c>
      <c r="J11" s="510" t="s">
        <v>460</v>
      </c>
      <c r="K11" s="1302" t="s">
        <v>32</v>
      </c>
      <c r="L11" s="2561"/>
      <c r="M11" s="2558"/>
      <c r="BQ11" s="581"/>
      <c r="BR11" s="581"/>
      <c r="BS11" s="581"/>
      <c r="BT11" s="581"/>
    </row>
    <row r="12" spans="1:79" ht="26.25" customHeight="1" x14ac:dyDescent="0.2">
      <c r="A12" s="1773" t="s">
        <v>1178</v>
      </c>
      <c r="B12" s="587" t="s">
        <v>550</v>
      </c>
      <c r="C12" s="1219" t="s">
        <v>1384</v>
      </c>
      <c r="D12" s="1220" t="s">
        <v>1385</v>
      </c>
      <c r="E12" s="1221" t="s">
        <v>1386</v>
      </c>
      <c r="F12" s="1222" t="s">
        <v>1387</v>
      </c>
      <c r="G12" s="1223" t="s">
        <v>1388</v>
      </c>
      <c r="H12" s="1224" t="s">
        <v>1389</v>
      </c>
      <c r="I12" s="1223" t="s">
        <v>1390</v>
      </c>
      <c r="J12" s="1224" t="s">
        <v>1391</v>
      </c>
      <c r="K12" s="1311" t="s">
        <v>1392</v>
      </c>
      <c r="L12" s="1310" t="s">
        <v>1393</v>
      </c>
      <c r="M12" s="1310" t="s">
        <v>1394</v>
      </c>
      <c r="BB12" s="682" t="str">
        <f>IF(BQ12=1," * El total de Migrantes no debe superar el total de población ingresada. ","")</f>
        <v xml:space="preserve"> * El total de Migrantes no debe superar el total de población ingresada. </v>
      </c>
      <c r="BC12" s="682" t="str">
        <f>IF(BR12=1,"* No olvide ingresar la columna Migrantes (Digite Cero si no tiene). ","")</f>
        <v/>
      </c>
      <c r="BQ12" s="683">
        <f>IF(L12&gt;C12,1,0)</f>
        <v>1</v>
      </c>
      <c r="BR12" s="613">
        <f>IF(AND(C12&lt;&gt;0,L12=""),1,0)</f>
        <v>0</v>
      </c>
      <c r="BS12" s="581"/>
      <c r="BT12" s="581"/>
    </row>
    <row r="13" spans="1:79" ht="25.5" customHeight="1" x14ac:dyDescent="0.2">
      <c r="B13" s="1568" t="s">
        <v>551</v>
      </c>
      <c r="C13" s="696"/>
      <c r="D13" s="696"/>
      <c r="E13" s="588"/>
      <c r="F13" s="588"/>
      <c r="G13" s="588"/>
      <c r="H13" s="588"/>
      <c r="I13" s="588"/>
      <c r="J13" s="588"/>
      <c r="K13" s="588"/>
      <c r="L13" s="388"/>
      <c r="BC13" s="589"/>
      <c r="BD13" s="589"/>
      <c r="BE13" s="589"/>
      <c r="BF13" s="589"/>
      <c r="BG13" s="589"/>
      <c r="BH13" s="589"/>
      <c r="BI13" s="589"/>
      <c r="BJ13" s="589"/>
      <c r="BQ13" s="581"/>
      <c r="BR13" s="581"/>
      <c r="BS13" s="581"/>
      <c r="BT13" s="581"/>
    </row>
    <row r="14" spans="1:79" ht="15.75" customHeight="1" x14ac:dyDescent="0.15">
      <c r="B14" s="2569" t="s">
        <v>546</v>
      </c>
      <c r="C14" s="2570" t="s">
        <v>15</v>
      </c>
      <c r="D14" s="2571"/>
      <c r="E14" s="2572"/>
      <c r="F14" s="2562" t="s">
        <v>552</v>
      </c>
      <c r="G14" s="2576"/>
      <c r="H14" s="2576"/>
      <c r="I14" s="2576"/>
      <c r="J14" s="2576"/>
      <c r="K14" s="2576"/>
      <c r="L14" s="2576"/>
      <c r="M14" s="2576"/>
      <c r="N14" s="2576"/>
      <c r="O14" s="2576"/>
      <c r="P14" s="2576"/>
      <c r="Q14" s="2564"/>
      <c r="R14" s="2559" t="s">
        <v>646</v>
      </c>
      <c r="S14" s="2556" t="s">
        <v>733</v>
      </c>
      <c r="BQ14" s="581"/>
      <c r="BR14" s="581"/>
      <c r="BS14" s="581"/>
      <c r="BT14" s="581"/>
    </row>
    <row r="15" spans="1:79" ht="15.75" customHeight="1" x14ac:dyDescent="0.15">
      <c r="B15" s="2569"/>
      <c r="C15" s="2573"/>
      <c r="D15" s="2574"/>
      <c r="E15" s="2575"/>
      <c r="F15" s="2562" t="s">
        <v>608</v>
      </c>
      <c r="G15" s="2563"/>
      <c r="H15" s="2562" t="s">
        <v>609</v>
      </c>
      <c r="I15" s="2563"/>
      <c r="J15" s="2562" t="s">
        <v>610</v>
      </c>
      <c r="K15" s="2563"/>
      <c r="L15" s="2562" t="s">
        <v>553</v>
      </c>
      <c r="M15" s="2563"/>
      <c r="N15" s="2562" t="s">
        <v>349</v>
      </c>
      <c r="O15" s="2563"/>
      <c r="P15" s="2562" t="s">
        <v>554</v>
      </c>
      <c r="Q15" s="2564"/>
      <c r="R15" s="2560"/>
      <c r="S15" s="2557"/>
      <c r="BQ15" s="581"/>
      <c r="BR15" s="581"/>
      <c r="BS15" s="581"/>
      <c r="BT15" s="581"/>
    </row>
    <row r="16" spans="1:79" ht="18" customHeight="1" x14ac:dyDescent="0.15">
      <c r="B16" s="2569"/>
      <c r="C16" s="585" t="s">
        <v>412</v>
      </c>
      <c r="D16" s="510" t="s">
        <v>460</v>
      </c>
      <c r="E16" s="586" t="s">
        <v>32</v>
      </c>
      <c r="F16" s="508" t="s">
        <v>460</v>
      </c>
      <c r="G16" s="511" t="s">
        <v>32</v>
      </c>
      <c r="H16" s="510" t="s">
        <v>460</v>
      </c>
      <c r="I16" s="511" t="s">
        <v>32</v>
      </c>
      <c r="J16" s="510" t="s">
        <v>460</v>
      </c>
      <c r="K16" s="511" t="s">
        <v>32</v>
      </c>
      <c r="L16" s="510" t="s">
        <v>460</v>
      </c>
      <c r="M16" s="511" t="s">
        <v>32</v>
      </c>
      <c r="N16" s="510" t="s">
        <v>460</v>
      </c>
      <c r="O16" s="511" t="s">
        <v>32</v>
      </c>
      <c r="P16" s="510" t="s">
        <v>460</v>
      </c>
      <c r="Q16" s="1302" t="s">
        <v>32</v>
      </c>
      <c r="R16" s="2561"/>
      <c r="S16" s="2558"/>
      <c r="BQ16" s="581"/>
      <c r="BR16" s="581"/>
      <c r="BS16" s="581"/>
      <c r="BT16" s="581"/>
    </row>
    <row r="17" spans="1:79" ht="15.75" customHeight="1" x14ac:dyDescent="0.15">
      <c r="A17" s="1796"/>
      <c r="B17" s="590" t="s">
        <v>15</v>
      </c>
      <c r="C17" s="1205">
        <f>SUM(D17:E17)</f>
        <v>0</v>
      </c>
      <c r="D17" s="1206">
        <f>SUM(D18:D20)</f>
        <v>0</v>
      </c>
      <c r="E17" s="1207">
        <f>SUM(E18:E20)</f>
        <v>0</v>
      </c>
      <c r="F17" s="1307">
        <f>SUM(F18:F20)</f>
        <v>0</v>
      </c>
      <c r="G17" s="1207">
        <f t="shared" ref="G17:Q17" si="0">SUM(G18:G20)</f>
        <v>0</v>
      </c>
      <c r="H17" s="1206">
        <f t="shared" si="0"/>
        <v>0</v>
      </c>
      <c r="I17" s="1207">
        <f t="shared" si="0"/>
        <v>0</v>
      </c>
      <c r="J17" s="1206">
        <f t="shared" si="0"/>
        <v>0</v>
      </c>
      <c r="K17" s="1207">
        <f t="shared" si="0"/>
        <v>0</v>
      </c>
      <c r="L17" s="1206">
        <f t="shared" si="0"/>
        <v>0</v>
      </c>
      <c r="M17" s="1207">
        <f t="shared" si="0"/>
        <v>0</v>
      </c>
      <c r="N17" s="1206">
        <f t="shared" si="0"/>
        <v>0</v>
      </c>
      <c r="O17" s="1207">
        <f t="shared" si="0"/>
        <v>0</v>
      </c>
      <c r="P17" s="1206">
        <f t="shared" si="0"/>
        <v>0</v>
      </c>
      <c r="Q17" s="1308">
        <f t="shared" si="0"/>
        <v>0</v>
      </c>
      <c r="R17" s="1207">
        <f>SUM(R18:R20)</f>
        <v>0</v>
      </c>
      <c r="S17" s="1207">
        <f>SUM(S18:S20)</f>
        <v>0</v>
      </c>
      <c r="BB17" s="682" t="str">
        <f>IF(BQ17=1," * El total de Migrantes no debe superar el total de población ingresada. ","")</f>
        <v/>
      </c>
      <c r="BC17" s="682"/>
      <c r="BQ17" s="683">
        <f>IF(R17&gt;C17,1,0)</f>
        <v>0</v>
      </c>
      <c r="BR17" s="613"/>
      <c r="BS17" s="581"/>
      <c r="BT17" s="581"/>
    </row>
    <row r="18" spans="1:79" ht="15.75" customHeight="1" x14ac:dyDescent="0.2">
      <c r="A18" s="1773" t="s">
        <v>1179</v>
      </c>
      <c r="B18" s="591" t="s">
        <v>556</v>
      </c>
      <c r="C18" s="1208" t="s">
        <v>1384</v>
      </c>
      <c r="D18" s="1209" t="s">
        <v>1385</v>
      </c>
      <c r="E18" s="1210" t="s">
        <v>1386</v>
      </c>
      <c r="F18" s="804" t="s">
        <v>1387</v>
      </c>
      <c r="G18" s="805" t="s">
        <v>1388</v>
      </c>
      <c r="H18" s="804" t="s">
        <v>1389</v>
      </c>
      <c r="I18" s="805" t="s">
        <v>1390</v>
      </c>
      <c r="J18" s="804" t="s">
        <v>1391</v>
      </c>
      <c r="K18" s="805" t="s">
        <v>1392</v>
      </c>
      <c r="L18" s="804" t="s">
        <v>1393</v>
      </c>
      <c r="M18" s="805" t="s">
        <v>1394</v>
      </c>
      <c r="N18" s="804" t="s">
        <v>1395</v>
      </c>
      <c r="O18" s="805" t="s">
        <v>1396</v>
      </c>
      <c r="P18" s="804" t="s">
        <v>1397</v>
      </c>
      <c r="Q18" s="1303" t="s">
        <v>1398</v>
      </c>
      <c r="R18" s="806" t="s">
        <v>1399</v>
      </c>
      <c r="S18" s="806" t="s">
        <v>1400</v>
      </c>
      <c r="BB18" s="682" t="str">
        <f>IF(BQ18=1," * El total de Migrantes no debe superar el total de población ingresada. ","")</f>
        <v xml:space="preserve"> * El total de Migrantes no debe superar el total de población ingresada. </v>
      </c>
      <c r="BC18" s="682" t="str">
        <f>IF(BR18=1,"* No olvide ingresar la columna Migrantes (Digite Cero si no tiene). ","")</f>
        <v/>
      </c>
      <c r="BQ18" s="683">
        <f>IF(R18&gt;C18,1,0)</f>
        <v>1</v>
      </c>
      <c r="BR18" s="613">
        <f>IF(AND(C18&lt;&gt;0,R18=""),1,0)</f>
        <v>0</v>
      </c>
      <c r="BS18" s="581"/>
      <c r="BT18" s="581"/>
    </row>
    <row r="19" spans="1:79" ht="15.75" customHeight="1" x14ac:dyDescent="0.2">
      <c r="A19" s="1773" t="s">
        <v>1180</v>
      </c>
      <c r="B19" s="592" t="s">
        <v>557</v>
      </c>
      <c r="C19" s="1211" t="s">
        <v>1384</v>
      </c>
      <c r="D19" s="1212" t="s">
        <v>1385</v>
      </c>
      <c r="E19" s="1213" t="s">
        <v>1386</v>
      </c>
      <c r="F19" s="1214" t="s">
        <v>1387</v>
      </c>
      <c r="G19" s="812" t="s">
        <v>1388</v>
      </c>
      <c r="H19" s="1214" t="s">
        <v>1389</v>
      </c>
      <c r="I19" s="812" t="s">
        <v>1390</v>
      </c>
      <c r="J19" s="1214" t="s">
        <v>1391</v>
      </c>
      <c r="K19" s="812" t="s">
        <v>1392</v>
      </c>
      <c r="L19" s="1214" t="s">
        <v>1393</v>
      </c>
      <c r="M19" s="812" t="s">
        <v>1394</v>
      </c>
      <c r="N19" s="1214" t="s">
        <v>1395</v>
      </c>
      <c r="O19" s="812" t="s">
        <v>1396</v>
      </c>
      <c r="P19" s="1214" t="s">
        <v>1397</v>
      </c>
      <c r="Q19" s="1309" t="s">
        <v>1398</v>
      </c>
      <c r="R19" s="813" t="s">
        <v>1399</v>
      </c>
      <c r="S19" s="813" t="s">
        <v>1400</v>
      </c>
      <c r="BB19" s="682" t="str">
        <f>IF(BQ19=1," * El total de Migrantes no debe superar el total de población ingresada. ","")</f>
        <v xml:space="preserve"> * El total de Migrantes no debe superar el total de población ingresada. </v>
      </c>
      <c r="BC19" s="682" t="str">
        <f>IF(BR19=1,"* No olvide ingresar la columna Migrantes (Digite Cero si no tiene). ","")</f>
        <v/>
      </c>
      <c r="BQ19" s="683">
        <f>IF(R19&gt;C19,1,0)</f>
        <v>1</v>
      </c>
      <c r="BR19" s="613">
        <f>IF(AND(C19&lt;&gt;0,R19=""),1,0)</f>
        <v>0</v>
      </c>
      <c r="BS19" s="581"/>
      <c r="BT19" s="581"/>
    </row>
    <row r="20" spans="1:79" ht="15" customHeight="1" x14ac:dyDescent="0.2">
      <c r="A20" s="1773" t="s">
        <v>1181</v>
      </c>
      <c r="B20" s="593" t="s">
        <v>555</v>
      </c>
      <c r="C20" s="1215" t="s">
        <v>1384</v>
      </c>
      <c r="D20" s="1216" t="s">
        <v>1385</v>
      </c>
      <c r="E20" s="1217" t="s">
        <v>1386</v>
      </c>
      <c r="F20" s="1218" t="s">
        <v>1387</v>
      </c>
      <c r="G20" s="815" t="s">
        <v>1388</v>
      </c>
      <c r="H20" s="1218" t="s">
        <v>1389</v>
      </c>
      <c r="I20" s="815" t="s">
        <v>1390</v>
      </c>
      <c r="J20" s="1218" t="s">
        <v>1391</v>
      </c>
      <c r="K20" s="815" t="s">
        <v>1392</v>
      </c>
      <c r="L20" s="1218" t="s">
        <v>1393</v>
      </c>
      <c r="M20" s="815" t="s">
        <v>1394</v>
      </c>
      <c r="N20" s="1218" t="s">
        <v>1395</v>
      </c>
      <c r="O20" s="815" t="s">
        <v>1396</v>
      </c>
      <c r="P20" s="1218" t="s">
        <v>1397</v>
      </c>
      <c r="Q20" s="1306" t="s">
        <v>1398</v>
      </c>
      <c r="R20" s="816" t="s">
        <v>1399</v>
      </c>
      <c r="S20" s="816" t="s">
        <v>1400</v>
      </c>
      <c r="BB20" s="682" t="str">
        <f>IF(BQ20=1," * El total de Migrantes no debe superar el total de población ingresada. ","")</f>
        <v xml:space="preserve"> * El total de Migrantes no debe superar el total de población ingresada. </v>
      </c>
      <c r="BC20" s="682" t="str">
        <f>IF(BR20=1,"* No olvide ingresar la columna Migrantes (Digite Cero si no tiene). ","")</f>
        <v/>
      </c>
      <c r="BQ20" s="683">
        <f>IF(R20&gt;C20,1,0)</f>
        <v>1</v>
      </c>
      <c r="BR20" s="613">
        <f>IF(AND(C20&lt;&gt;0,R20=""),1,0)</f>
        <v>0</v>
      </c>
      <c r="BS20" s="581"/>
      <c r="BT20" s="581"/>
      <c r="BW20" s="594"/>
      <c r="BX20" s="594"/>
    </row>
    <row r="21" spans="1:79" ht="20.100000000000001" customHeight="1" x14ac:dyDescent="0.2">
      <c r="B21" s="1568" t="s">
        <v>558</v>
      </c>
      <c r="BQ21" s="581"/>
      <c r="BR21" s="581"/>
      <c r="BS21" s="581"/>
      <c r="BT21" s="581"/>
      <c r="BW21" s="594"/>
      <c r="BX21" s="594"/>
      <c r="BY21" s="386"/>
    </row>
    <row r="22" spans="1:79" ht="16.5" customHeight="1" x14ac:dyDescent="0.15">
      <c r="B22" s="2569" t="s">
        <v>559</v>
      </c>
      <c r="C22" s="2570" t="s">
        <v>15</v>
      </c>
      <c r="D22" s="2571"/>
      <c r="E22" s="2572"/>
      <c r="F22" s="2562" t="s">
        <v>552</v>
      </c>
      <c r="G22" s="2576"/>
      <c r="H22" s="2576"/>
      <c r="I22" s="2576"/>
      <c r="J22" s="2576"/>
      <c r="K22" s="2576"/>
      <c r="L22" s="2576"/>
      <c r="M22" s="2576"/>
      <c r="N22" s="2576"/>
      <c r="O22" s="2576"/>
      <c r="P22" s="2576"/>
      <c r="Q22" s="2564"/>
      <c r="R22" s="2559" t="s">
        <v>646</v>
      </c>
      <c r="S22" s="2556" t="s">
        <v>733</v>
      </c>
      <c r="BQ22" s="581"/>
      <c r="BR22" s="581"/>
      <c r="BS22" s="581"/>
      <c r="BT22" s="581"/>
      <c r="BW22" s="594"/>
      <c r="BX22" s="594"/>
      <c r="BY22" s="386"/>
    </row>
    <row r="23" spans="1:79" ht="16.5" customHeight="1" x14ac:dyDescent="0.15">
      <c r="B23" s="2569"/>
      <c r="C23" s="2573"/>
      <c r="D23" s="2574"/>
      <c r="E23" s="2575"/>
      <c r="F23" s="2562" t="s">
        <v>608</v>
      </c>
      <c r="G23" s="2563"/>
      <c r="H23" s="2562" t="s">
        <v>609</v>
      </c>
      <c r="I23" s="2563"/>
      <c r="J23" s="2562" t="s">
        <v>610</v>
      </c>
      <c r="K23" s="2563"/>
      <c r="L23" s="2562" t="s">
        <v>553</v>
      </c>
      <c r="M23" s="2563"/>
      <c r="N23" s="2562" t="s">
        <v>560</v>
      </c>
      <c r="O23" s="2563"/>
      <c r="P23" s="2562" t="s">
        <v>554</v>
      </c>
      <c r="Q23" s="2564"/>
      <c r="R23" s="2560"/>
      <c r="S23" s="2557"/>
      <c r="BQ23" s="581"/>
      <c r="BR23" s="581"/>
      <c r="BS23" s="581"/>
      <c r="BT23" s="581"/>
      <c r="BW23" s="594"/>
      <c r="BX23" s="594"/>
      <c r="BY23" s="386"/>
    </row>
    <row r="24" spans="1:79" ht="21.75" customHeight="1" x14ac:dyDescent="0.15">
      <c r="B24" s="2569"/>
      <c r="C24" s="585" t="s">
        <v>412</v>
      </c>
      <c r="D24" s="510" t="s">
        <v>460</v>
      </c>
      <c r="E24" s="511" t="s">
        <v>32</v>
      </c>
      <c r="F24" s="508" t="s">
        <v>460</v>
      </c>
      <c r="G24" s="511" t="s">
        <v>32</v>
      </c>
      <c r="H24" s="510" t="s">
        <v>460</v>
      </c>
      <c r="I24" s="511" t="s">
        <v>32</v>
      </c>
      <c r="J24" s="510" t="s">
        <v>460</v>
      </c>
      <c r="K24" s="511" t="s">
        <v>32</v>
      </c>
      <c r="L24" s="510" t="s">
        <v>460</v>
      </c>
      <c r="M24" s="511" t="s">
        <v>32</v>
      </c>
      <c r="N24" s="510" t="s">
        <v>460</v>
      </c>
      <c r="O24" s="511" t="s">
        <v>32</v>
      </c>
      <c r="P24" s="510" t="s">
        <v>460</v>
      </c>
      <c r="Q24" s="1302" t="s">
        <v>32</v>
      </c>
      <c r="R24" s="2561"/>
      <c r="S24" s="2558"/>
      <c r="BQ24" s="581"/>
      <c r="BR24" s="581"/>
      <c r="BS24" s="581"/>
      <c r="BT24" s="581"/>
      <c r="BW24" s="594"/>
      <c r="BX24" s="594"/>
      <c r="BY24" s="386"/>
      <c r="BZ24" s="386"/>
    </row>
    <row r="25" spans="1:79" ht="25.5" customHeight="1" x14ac:dyDescent="0.2">
      <c r="A25" s="1773" t="s">
        <v>1182</v>
      </c>
      <c r="B25" s="595" t="s">
        <v>561</v>
      </c>
      <c r="C25" s="1225" t="s">
        <v>1384</v>
      </c>
      <c r="D25" s="1226" t="s">
        <v>1385</v>
      </c>
      <c r="E25" s="1227" t="s">
        <v>1386</v>
      </c>
      <c r="F25" s="1228" t="s">
        <v>1387</v>
      </c>
      <c r="G25" s="1229" t="s">
        <v>1388</v>
      </c>
      <c r="H25" s="1228" t="s">
        <v>1389</v>
      </c>
      <c r="I25" s="1229" t="s">
        <v>1390</v>
      </c>
      <c r="J25" s="804" t="s">
        <v>1391</v>
      </c>
      <c r="K25" s="805" t="s">
        <v>1392</v>
      </c>
      <c r="L25" s="804" t="s">
        <v>1393</v>
      </c>
      <c r="M25" s="805" t="s">
        <v>1394</v>
      </c>
      <c r="N25" s="804" t="s">
        <v>1395</v>
      </c>
      <c r="O25" s="805" t="s">
        <v>1396</v>
      </c>
      <c r="P25" s="804" t="s">
        <v>1397</v>
      </c>
      <c r="Q25" s="1303" t="s">
        <v>1398</v>
      </c>
      <c r="R25" s="806" t="s">
        <v>1399</v>
      </c>
      <c r="S25" s="806" t="s">
        <v>1400</v>
      </c>
      <c r="BB25" s="682" t="str">
        <f t="shared" ref="BB25:BB30" si="1">IF(BQ25=1," * El total de Migrantes no debe superar el total de población ingresada. ","")</f>
        <v xml:space="preserve"> * El total de Migrantes no debe superar el total de población ingresada. </v>
      </c>
      <c r="BC25" s="682" t="str">
        <f t="shared" ref="BC25:BC30" si="2">IF(BR25=1,"* No olvide ingresar la columna Migrantes (Digite Cero si no tiene). ","")</f>
        <v/>
      </c>
      <c r="BQ25" s="683">
        <f t="shared" ref="BQ25:BQ30" si="3">IF(R25&gt;C25,1,0)</f>
        <v>1</v>
      </c>
      <c r="BR25" s="613">
        <f t="shared" ref="BR25:BR30" si="4">IF(AND(C25&lt;&gt;0,R25=""),1,0)</f>
        <v>0</v>
      </c>
      <c r="BS25" s="581"/>
      <c r="BT25" s="581"/>
      <c r="BW25" s="594"/>
      <c r="BX25" s="594"/>
      <c r="BY25" s="386"/>
    </row>
    <row r="26" spans="1:79" ht="21.75" customHeight="1" x14ac:dyDescent="0.2">
      <c r="A26" s="1773" t="s">
        <v>1183</v>
      </c>
      <c r="B26" s="596" t="s">
        <v>562</v>
      </c>
      <c r="C26" s="1230" t="s">
        <v>1384</v>
      </c>
      <c r="D26" s="1231" t="s">
        <v>1385</v>
      </c>
      <c r="E26" s="1232" t="s">
        <v>1386</v>
      </c>
      <c r="F26" s="1233" t="s">
        <v>1387</v>
      </c>
      <c r="G26" s="1234" t="s">
        <v>1388</v>
      </c>
      <c r="H26" s="1233" t="s">
        <v>1389</v>
      </c>
      <c r="I26" s="1234" t="s">
        <v>1390</v>
      </c>
      <c r="J26" s="1235" t="s">
        <v>1391</v>
      </c>
      <c r="K26" s="808" t="s">
        <v>1392</v>
      </c>
      <c r="L26" s="1235" t="s">
        <v>1393</v>
      </c>
      <c r="M26" s="808" t="s">
        <v>1394</v>
      </c>
      <c r="N26" s="1235" t="s">
        <v>1395</v>
      </c>
      <c r="O26" s="808" t="s">
        <v>1396</v>
      </c>
      <c r="P26" s="1235" t="s">
        <v>1397</v>
      </c>
      <c r="Q26" s="1304" t="s">
        <v>1398</v>
      </c>
      <c r="R26" s="810" t="s">
        <v>1399</v>
      </c>
      <c r="S26" s="810" t="s">
        <v>1400</v>
      </c>
      <c r="BB26" s="682" t="str">
        <f t="shared" si="1"/>
        <v xml:space="preserve"> * El total de Migrantes no debe superar el total de población ingresada. </v>
      </c>
      <c r="BC26" s="682" t="str">
        <f t="shared" si="2"/>
        <v/>
      </c>
      <c r="BQ26" s="683">
        <f t="shared" si="3"/>
        <v>1</v>
      </c>
      <c r="BR26" s="613">
        <f t="shared" si="4"/>
        <v>0</v>
      </c>
      <c r="BS26" s="581"/>
      <c r="BT26" s="581"/>
      <c r="BW26" s="594"/>
      <c r="BX26" s="594"/>
    </row>
    <row r="27" spans="1:79" ht="21.75" customHeight="1" x14ac:dyDescent="0.2">
      <c r="A27" s="1773" t="s">
        <v>1184</v>
      </c>
      <c r="B27" s="596" t="s">
        <v>563</v>
      </c>
      <c r="C27" s="1230" t="s">
        <v>1384</v>
      </c>
      <c r="D27" s="1231" t="s">
        <v>1385</v>
      </c>
      <c r="E27" s="1232" t="s">
        <v>1386</v>
      </c>
      <c r="F27" s="1214" t="s">
        <v>1387</v>
      </c>
      <c r="G27" s="812" t="s">
        <v>1388</v>
      </c>
      <c r="H27" s="1214" t="s">
        <v>1389</v>
      </c>
      <c r="I27" s="812" t="s">
        <v>1390</v>
      </c>
      <c r="J27" s="1233" t="s">
        <v>1391</v>
      </c>
      <c r="K27" s="1234" t="s">
        <v>1392</v>
      </c>
      <c r="L27" s="1233" t="s">
        <v>1393</v>
      </c>
      <c r="M27" s="1234" t="s">
        <v>1394</v>
      </c>
      <c r="N27" s="1233" t="s">
        <v>1395</v>
      </c>
      <c r="O27" s="1234" t="s">
        <v>1396</v>
      </c>
      <c r="P27" s="1233" t="s">
        <v>1397</v>
      </c>
      <c r="Q27" s="1305" t="s">
        <v>1398</v>
      </c>
      <c r="R27" s="810" t="s">
        <v>1399</v>
      </c>
      <c r="S27" s="810" t="s">
        <v>1400</v>
      </c>
      <c r="BB27" s="682" t="str">
        <f t="shared" si="1"/>
        <v xml:space="preserve"> * El total de Migrantes no debe superar el total de población ingresada. </v>
      </c>
      <c r="BC27" s="682" t="str">
        <f t="shared" si="2"/>
        <v/>
      </c>
      <c r="BQ27" s="683">
        <f t="shared" si="3"/>
        <v>1</v>
      </c>
      <c r="BR27" s="613">
        <f t="shared" si="4"/>
        <v>0</v>
      </c>
      <c r="BS27" s="581"/>
      <c r="BT27" s="581"/>
      <c r="BW27" s="594"/>
      <c r="BX27" s="594"/>
    </row>
    <row r="28" spans="1:79" ht="25.5" customHeight="1" x14ac:dyDescent="0.2">
      <c r="A28" s="1773" t="s">
        <v>1185</v>
      </c>
      <c r="B28" s="596" t="s">
        <v>564</v>
      </c>
      <c r="C28" s="1230" t="s">
        <v>1384</v>
      </c>
      <c r="D28" s="1231" t="s">
        <v>1385</v>
      </c>
      <c r="E28" s="1232" t="s">
        <v>1386</v>
      </c>
      <c r="F28" s="1233" t="s">
        <v>1387</v>
      </c>
      <c r="G28" s="1234" t="s">
        <v>1388</v>
      </c>
      <c r="H28" s="1233" t="s">
        <v>1389</v>
      </c>
      <c r="I28" s="1234" t="s">
        <v>1390</v>
      </c>
      <c r="J28" s="1235" t="s">
        <v>1391</v>
      </c>
      <c r="K28" s="808" t="s">
        <v>1392</v>
      </c>
      <c r="L28" s="1235" t="s">
        <v>1393</v>
      </c>
      <c r="M28" s="808" t="s">
        <v>1394</v>
      </c>
      <c r="N28" s="1235" t="s">
        <v>1395</v>
      </c>
      <c r="O28" s="808" t="s">
        <v>1396</v>
      </c>
      <c r="P28" s="1235" t="s">
        <v>1397</v>
      </c>
      <c r="Q28" s="1304" t="s">
        <v>1398</v>
      </c>
      <c r="R28" s="810" t="s">
        <v>1399</v>
      </c>
      <c r="S28" s="810" t="s">
        <v>1400</v>
      </c>
      <c r="BB28" s="682" t="str">
        <f t="shared" si="1"/>
        <v xml:space="preserve"> * El total de Migrantes no debe superar el total de población ingresada. </v>
      </c>
      <c r="BC28" s="682" t="str">
        <f t="shared" si="2"/>
        <v/>
      </c>
      <c r="BQ28" s="683">
        <f t="shared" si="3"/>
        <v>1</v>
      </c>
      <c r="BR28" s="613">
        <f t="shared" si="4"/>
        <v>0</v>
      </c>
      <c r="BS28" s="581"/>
      <c r="BT28" s="581"/>
      <c r="BX28" s="386"/>
    </row>
    <row r="29" spans="1:79" ht="19.5" customHeight="1" x14ac:dyDescent="0.2">
      <c r="A29" s="1773" t="s">
        <v>1186</v>
      </c>
      <c r="B29" s="596" t="s">
        <v>565</v>
      </c>
      <c r="C29" s="1230" t="s">
        <v>1384</v>
      </c>
      <c r="D29" s="1231" t="s">
        <v>1385</v>
      </c>
      <c r="E29" s="1232" t="s">
        <v>1386</v>
      </c>
      <c r="F29" s="1235" t="s">
        <v>1387</v>
      </c>
      <c r="G29" s="808" t="s">
        <v>1388</v>
      </c>
      <c r="H29" s="1235" t="s">
        <v>1389</v>
      </c>
      <c r="I29" s="808" t="s">
        <v>1390</v>
      </c>
      <c r="J29" s="1235" t="s">
        <v>1391</v>
      </c>
      <c r="K29" s="808" t="s">
        <v>1392</v>
      </c>
      <c r="L29" s="1235" t="s">
        <v>1393</v>
      </c>
      <c r="M29" s="808" t="s">
        <v>1394</v>
      </c>
      <c r="N29" s="1235" t="s">
        <v>1395</v>
      </c>
      <c r="O29" s="808" t="s">
        <v>1396</v>
      </c>
      <c r="P29" s="1235" t="s">
        <v>1397</v>
      </c>
      <c r="Q29" s="1304" t="s">
        <v>1398</v>
      </c>
      <c r="R29" s="810" t="s">
        <v>1399</v>
      </c>
      <c r="S29" s="810" t="s">
        <v>1400</v>
      </c>
      <c r="BB29" s="682" t="str">
        <f t="shared" si="1"/>
        <v xml:space="preserve"> * El total de Migrantes no debe superar el total de población ingresada. </v>
      </c>
      <c r="BC29" s="682" t="str">
        <f t="shared" si="2"/>
        <v/>
      </c>
      <c r="BQ29" s="683">
        <f t="shared" si="3"/>
        <v>1</v>
      </c>
      <c r="BR29" s="613">
        <f t="shared" si="4"/>
        <v>0</v>
      </c>
      <c r="BS29" s="581"/>
      <c r="BT29" s="581"/>
    </row>
    <row r="30" spans="1:79" ht="21" customHeight="1" x14ac:dyDescent="0.2">
      <c r="A30" s="1773" t="s">
        <v>1187</v>
      </c>
      <c r="B30" s="597" t="s">
        <v>566</v>
      </c>
      <c r="C30" s="1236" t="s">
        <v>1384</v>
      </c>
      <c r="D30" s="1237" t="s">
        <v>1385</v>
      </c>
      <c r="E30" s="1238" t="s">
        <v>1386</v>
      </c>
      <c r="F30" s="1218" t="s">
        <v>1387</v>
      </c>
      <c r="G30" s="815" t="s">
        <v>1388</v>
      </c>
      <c r="H30" s="1218" t="s">
        <v>1389</v>
      </c>
      <c r="I30" s="815" t="s">
        <v>1390</v>
      </c>
      <c r="J30" s="1218" t="s">
        <v>1391</v>
      </c>
      <c r="K30" s="815" t="s">
        <v>1392</v>
      </c>
      <c r="L30" s="1218" t="s">
        <v>1393</v>
      </c>
      <c r="M30" s="815" t="s">
        <v>1394</v>
      </c>
      <c r="N30" s="1218" t="s">
        <v>1395</v>
      </c>
      <c r="O30" s="815" t="s">
        <v>1396</v>
      </c>
      <c r="P30" s="1218" t="s">
        <v>1397</v>
      </c>
      <c r="Q30" s="1306" t="s">
        <v>1398</v>
      </c>
      <c r="R30" s="816" t="s">
        <v>1399</v>
      </c>
      <c r="S30" s="816" t="s">
        <v>1400</v>
      </c>
      <c r="BB30" s="682" t="str">
        <f t="shared" si="1"/>
        <v xml:space="preserve"> * El total de Migrantes no debe superar el total de población ingresada. </v>
      </c>
      <c r="BC30" s="682" t="str">
        <f t="shared" si="2"/>
        <v/>
      </c>
      <c r="BQ30" s="683">
        <f t="shared" si="3"/>
        <v>1</v>
      </c>
      <c r="BR30" s="613">
        <f t="shared" si="4"/>
        <v>0</v>
      </c>
      <c r="BS30" s="581"/>
      <c r="BT30" s="581"/>
      <c r="BX30" s="386"/>
      <c r="BY30" s="386"/>
      <c r="BZ30" s="386"/>
      <c r="CA30" s="386"/>
    </row>
    <row r="31" spans="1:79" ht="22.5" customHeight="1" x14ac:dyDescent="0.2">
      <c r="B31" s="1571" t="s">
        <v>734</v>
      </c>
      <c r="C31" s="1569"/>
      <c r="D31" s="1569"/>
      <c r="E31" s="1570"/>
      <c r="F31" s="1570"/>
      <c r="G31" s="1570"/>
      <c r="H31" s="1570"/>
      <c r="I31" s="1570"/>
      <c r="J31" s="1570"/>
      <c r="K31" s="1570"/>
      <c r="L31" s="411"/>
      <c r="M31" s="457"/>
      <c r="N31" s="457"/>
      <c r="O31" s="457"/>
      <c r="P31" s="457"/>
      <c r="Q31" s="457"/>
      <c r="R31" s="457"/>
      <c r="BQ31" s="581"/>
      <c r="BR31" s="581"/>
      <c r="BS31" s="581"/>
      <c r="BT31" s="581"/>
    </row>
    <row r="32" spans="1:79" ht="18" customHeight="1" x14ac:dyDescent="0.15">
      <c r="B32" s="2579" t="s">
        <v>546</v>
      </c>
      <c r="C32" s="2580" t="s">
        <v>15</v>
      </c>
      <c r="D32" s="2581"/>
      <c r="E32" s="2553"/>
      <c r="F32" s="2584" t="s">
        <v>552</v>
      </c>
      <c r="G32" s="2585"/>
      <c r="H32" s="2585"/>
      <c r="I32" s="2585"/>
      <c r="J32" s="2585"/>
      <c r="K32" s="2585"/>
      <c r="L32" s="2585"/>
      <c r="M32" s="2585"/>
      <c r="N32" s="2585"/>
      <c r="O32" s="2585"/>
      <c r="P32" s="2585"/>
      <c r="Q32" s="2586"/>
      <c r="R32" s="2553" t="s">
        <v>646</v>
      </c>
      <c r="S32" s="2556" t="s">
        <v>733</v>
      </c>
      <c r="BQ32" s="581"/>
      <c r="BR32" s="581"/>
      <c r="BS32" s="581"/>
      <c r="BT32" s="581"/>
    </row>
    <row r="33" spans="1:72" ht="17.25" customHeight="1" x14ac:dyDescent="0.15">
      <c r="B33" s="2579"/>
      <c r="C33" s="2582"/>
      <c r="D33" s="2583"/>
      <c r="E33" s="2555"/>
      <c r="F33" s="2584" t="s">
        <v>608</v>
      </c>
      <c r="G33" s="2587"/>
      <c r="H33" s="2584" t="s">
        <v>609</v>
      </c>
      <c r="I33" s="2587"/>
      <c r="J33" s="2584" t="s">
        <v>610</v>
      </c>
      <c r="K33" s="2587"/>
      <c r="L33" s="2584" t="s">
        <v>553</v>
      </c>
      <c r="M33" s="2587"/>
      <c r="N33" s="2584" t="s">
        <v>349</v>
      </c>
      <c r="O33" s="2587"/>
      <c r="P33" s="2584" t="s">
        <v>554</v>
      </c>
      <c r="Q33" s="2586"/>
      <c r="R33" s="2554"/>
      <c r="S33" s="2557"/>
      <c r="BQ33" s="581"/>
      <c r="BR33" s="581"/>
      <c r="BS33" s="581"/>
      <c r="BT33" s="581"/>
    </row>
    <row r="34" spans="1:72" ht="24" customHeight="1" x14ac:dyDescent="0.15">
      <c r="B34" s="2579"/>
      <c r="C34" s="1572" t="s">
        <v>412</v>
      </c>
      <c r="D34" s="1573" t="s">
        <v>460</v>
      </c>
      <c r="E34" s="1574" t="s">
        <v>32</v>
      </c>
      <c r="F34" s="1575" t="s">
        <v>460</v>
      </c>
      <c r="G34" s="1576" t="s">
        <v>32</v>
      </c>
      <c r="H34" s="1573" t="s">
        <v>460</v>
      </c>
      <c r="I34" s="1576" t="s">
        <v>32</v>
      </c>
      <c r="J34" s="1573" t="s">
        <v>460</v>
      </c>
      <c r="K34" s="1576" t="s">
        <v>32</v>
      </c>
      <c r="L34" s="1573" t="s">
        <v>460</v>
      </c>
      <c r="M34" s="1576" t="s">
        <v>32</v>
      </c>
      <c r="N34" s="1573" t="s">
        <v>460</v>
      </c>
      <c r="O34" s="1576" t="s">
        <v>32</v>
      </c>
      <c r="P34" s="1573" t="s">
        <v>460</v>
      </c>
      <c r="Q34" s="1577" t="s">
        <v>32</v>
      </c>
      <c r="R34" s="2555"/>
      <c r="S34" s="2558"/>
      <c r="BB34" s="682" t="str">
        <f>IF(BQ34=1," * El total de Migrantes no debe superar el total de población ingresada. ","")</f>
        <v xml:space="preserve"> * El total de Migrantes no debe superar el total de población ingresada. </v>
      </c>
      <c r="BC34" s="682" t="str">
        <f>IF(BR34=1,"* No olvide ingresar la columna Migrantes (Digite Cero si no tiene). ","")</f>
        <v/>
      </c>
      <c r="BQ34" s="683">
        <f>IF(L34&gt;C34,1,0)</f>
        <v>1</v>
      </c>
      <c r="BR34" s="613">
        <f>IF(AND(C34&lt;&gt;0,L34=""),1,0)</f>
        <v>0</v>
      </c>
      <c r="BS34" s="581"/>
      <c r="BT34" s="581"/>
    </row>
    <row r="35" spans="1:72" ht="15.75" customHeight="1" x14ac:dyDescent="0.15">
      <c r="B35" s="1578" t="s">
        <v>15</v>
      </c>
      <c r="C35" s="1579">
        <f>SUM(D35:E35)</f>
        <v>0</v>
      </c>
      <c r="D35" s="1580">
        <f t="shared" ref="D35:R35" si="5">SUM(D36:D38)</f>
        <v>0</v>
      </c>
      <c r="E35" s="1581">
        <f t="shared" si="5"/>
        <v>0</v>
      </c>
      <c r="F35" s="1582">
        <f>SUM(F36:F38)</f>
        <v>0</v>
      </c>
      <c r="G35" s="1581">
        <f t="shared" si="5"/>
        <v>0</v>
      </c>
      <c r="H35" s="1580">
        <f t="shared" si="5"/>
        <v>0</v>
      </c>
      <c r="I35" s="1581">
        <f t="shared" si="5"/>
        <v>0</v>
      </c>
      <c r="J35" s="1580">
        <f t="shared" si="5"/>
        <v>0</v>
      </c>
      <c r="K35" s="1581">
        <f t="shared" si="5"/>
        <v>0</v>
      </c>
      <c r="L35" s="1580">
        <f t="shared" si="5"/>
        <v>0</v>
      </c>
      <c r="M35" s="1581">
        <f t="shared" si="5"/>
        <v>0</v>
      </c>
      <c r="N35" s="1580">
        <f t="shared" si="5"/>
        <v>0</v>
      </c>
      <c r="O35" s="1581">
        <f t="shared" si="5"/>
        <v>0</v>
      </c>
      <c r="P35" s="1580">
        <f t="shared" si="5"/>
        <v>0</v>
      </c>
      <c r="Q35" s="1583">
        <f t="shared" si="5"/>
        <v>0</v>
      </c>
      <c r="R35" s="1581">
        <f t="shared" si="5"/>
        <v>0</v>
      </c>
      <c r="S35" s="1581">
        <f t="shared" ref="S35" si="6">SUM(S36:S38)</f>
        <v>0</v>
      </c>
    </row>
    <row r="36" spans="1:72" ht="15.75" customHeight="1" x14ac:dyDescent="0.2">
      <c r="A36" s="1773" t="s">
        <v>1300</v>
      </c>
      <c r="B36" s="1584" t="s">
        <v>556</v>
      </c>
      <c r="C36" s="1585" t="s">
        <v>1384</v>
      </c>
      <c r="D36" s="1586" t="s">
        <v>1385</v>
      </c>
      <c r="E36" s="1587" t="s">
        <v>1386</v>
      </c>
      <c r="F36" s="1588" t="s">
        <v>1387</v>
      </c>
      <c r="G36" s="1589" t="s">
        <v>1388</v>
      </c>
      <c r="H36" s="1588" t="s">
        <v>1389</v>
      </c>
      <c r="I36" s="1589" t="s">
        <v>1390</v>
      </c>
      <c r="J36" s="1588" t="s">
        <v>1391</v>
      </c>
      <c r="K36" s="1589" t="s">
        <v>1392</v>
      </c>
      <c r="L36" s="1588" t="s">
        <v>1393</v>
      </c>
      <c r="M36" s="1589" t="s">
        <v>1394</v>
      </c>
      <c r="N36" s="1588" t="s">
        <v>1395</v>
      </c>
      <c r="O36" s="1589" t="s">
        <v>1396</v>
      </c>
      <c r="P36" s="1588" t="s">
        <v>1397</v>
      </c>
      <c r="Q36" s="1590" t="s">
        <v>1398</v>
      </c>
      <c r="R36" s="1591" t="s">
        <v>1399</v>
      </c>
      <c r="S36" s="1591" t="s">
        <v>1400</v>
      </c>
    </row>
    <row r="37" spans="1:72" ht="15.75" customHeight="1" x14ac:dyDescent="0.2">
      <c r="A37" s="1773" t="s">
        <v>1301</v>
      </c>
      <c r="B37" s="1592" t="s">
        <v>557</v>
      </c>
      <c r="C37" s="1593" t="s">
        <v>1384</v>
      </c>
      <c r="D37" s="1594" t="s">
        <v>1385</v>
      </c>
      <c r="E37" s="1595" t="s">
        <v>1386</v>
      </c>
      <c r="F37" s="1596" t="s">
        <v>1387</v>
      </c>
      <c r="G37" s="1597" t="s">
        <v>1388</v>
      </c>
      <c r="H37" s="1596" t="s">
        <v>1389</v>
      </c>
      <c r="I37" s="1597" t="s">
        <v>1390</v>
      </c>
      <c r="J37" s="1596" t="s">
        <v>1391</v>
      </c>
      <c r="K37" s="1597" t="s">
        <v>1392</v>
      </c>
      <c r="L37" s="1596" t="s">
        <v>1393</v>
      </c>
      <c r="M37" s="1597" t="s">
        <v>1394</v>
      </c>
      <c r="N37" s="1596" t="s">
        <v>1395</v>
      </c>
      <c r="O37" s="1597" t="s">
        <v>1396</v>
      </c>
      <c r="P37" s="1596" t="s">
        <v>1397</v>
      </c>
      <c r="Q37" s="1598" t="s">
        <v>1398</v>
      </c>
      <c r="R37" s="1599" t="s">
        <v>1399</v>
      </c>
      <c r="S37" s="1599" t="s">
        <v>1400</v>
      </c>
    </row>
    <row r="38" spans="1:72" ht="15.75" customHeight="1" x14ac:dyDescent="0.2">
      <c r="A38" s="1773" t="s">
        <v>1302</v>
      </c>
      <c r="B38" s="1600" t="s">
        <v>555</v>
      </c>
      <c r="C38" s="1601" t="s">
        <v>1384</v>
      </c>
      <c r="D38" s="1602" t="s">
        <v>1385</v>
      </c>
      <c r="E38" s="1603" t="s">
        <v>1386</v>
      </c>
      <c r="F38" s="1604" t="s">
        <v>1387</v>
      </c>
      <c r="G38" s="1605" t="s">
        <v>1388</v>
      </c>
      <c r="H38" s="1604" t="s">
        <v>1389</v>
      </c>
      <c r="I38" s="1605" t="s">
        <v>1390</v>
      </c>
      <c r="J38" s="1604" t="s">
        <v>1391</v>
      </c>
      <c r="K38" s="1605" t="s">
        <v>1392</v>
      </c>
      <c r="L38" s="1604" t="s">
        <v>1393</v>
      </c>
      <c r="M38" s="1605" t="s">
        <v>1394</v>
      </c>
      <c r="N38" s="1604" t="s">
        <v>1395</v>
      </c>
      <c r="O38" s="1605" t="s">
        <v>1396</v>
      </c>
      <c r="P38" s="1604" t="s">
        <v>1397</v>
      </c>
      <c r="Q38" s="1606" t="s">
        <v>1398</v>
      </c>
      <c r="R38" s="1607" t="s">
        <v>1399</v>
      </c>
      <c r="S38" s="1607" t="s">
        <v>1400</v>
      </c>
    </row>
    <row r="42" spans="1:72" ht="16.5" customHeight="1" x14ac:dyDescent="0.15">
      <c r="A42" s="386" t="s">
        <v>865</v>
      </c>
    </row>
    <row r="43" spans="1:72" ht="24" customHeight="1" x14ac:dyDescent="0.2">
      <c r="A43" s="1775" t="s">
        <v>1188</v>
      </c>
    </row>
    <row r="44" spans="1:72" ht="24" customHeight="1" x14ac:dyDescent="0.2">
      <c r="A44" s="1775" t="s">
        <v>1189</v>
      </c>
    </row>
    <row r="45" spans="1:72" ht="24" customHeight="1" x14ac:dyDescent="0.2">
      <c r="A45" s="1775" t="s">
        <v>1190</v>
      </c>
    </row>
    <row r="46" spans="1:72" ht="21" customHeight="1" x14ac:dyDescent="0.2">
      <c r="A46" s="1775" t="s">
        <v>1191</v>
      </c>
    </row>
    <row r="47" spans="1:72" ht="20.25" customHeight="1" x14ac:dyDescent="0.2">
      <c r="A47" s="1775" t="s">
        <v>1192</v>
      </c>
    </row>
    <row r="48" spans="1:72" ht="20.25" customHeight="1" x14ac:dyDescent="0.2">
      <c r="A48" s="1775" t="s">
        <v>1193</v>
      </c>
    </row>
    <row r="49" spans="1:53" ht="20.25" customHeight="1" x14ac:dyDescent="0.2">
      <c r="A49" s="1775" t="s">
        <v>1194</v>
      </c>
    </row>
    <row r="51" spans="1:53" hidden="1" x14ac:dyDescent="0.15"/>
    <row r="52" spans="1:53" s="406" customFormat="1" ht="13.15" hidden="1" customHeight="1" x14ac:dyDescent="0.15">
      <c r="B52" s="599" t="e">
        <f>SUM(C12:K12,C17:Q20,C25:Q30,F34:L34,#REF!,#REF!)</f>
        <v>#REF!</v>
      </c>
      <c r="C52" s="490" t="s">
        <v>350</v>
      </c>
      <c r="AY52" s="383"/>
      <c r="AZ52" s="383"/>
      <c r="BA52" s="383"/>
    </row>
    <row r="53" spans="1:53" s="406" customFormat="1" ht="13.15" hidden="1" customHeight="1" x14ac:dyDescent="0.15">
      <c r="B53" s="599">
        <f>SUM(BQ5:BT34)</f>
        <v>11</v>
      </c>
      <c r="C53" s="490" t="s">
        <v>351</v>
      </c>
      <c r="AY53" s="383"/>
      <c r="AZ53" s="383"/>
      <c r="BA53" s="383"/>
    </row>
    <row r="54" spans="1:53" hidden="1" x14ac:dyDescent="0.15"/>
    <row r="55" spans="1:53" hidden="1" x14ac:dyDescent="0.15"/>
    <row r="56" spans="1:53" hidden="1" x14ac:dyDescent="0.15"/>
    <row r="57" spans="1:53" hidden="1" x14ac:dyDescent="0.15"/>
    <row r="58" spans="1:53" hidden="1" x14ac:dyDescent="0.15"/>
    <row r="59" spans="1:53" hidden="1" x14ac:dyDescent="0.15"/>
    <row r="60" spans="1:53" hidden="1" x14ac:dyDescent="0.15"/>
  </sheetData>
  <mergeCells count="42">
    <mergeCell ref="B32:B34"/>
    <mergeCell ref="C32:E33"/>
    <mergeCell ref="F32:Q32"/>
    <mergeCell ref="F33:G33"/>
    <mergeCell ref="H33:I33"/>
    <mergeCell ref="J33:K33"/>
    <mergeCell ref="L33:M33"/>
    <mergeCell ref="N33:O33"/>
    <mergeCell ref="P33:Q33"/>
    <mergeCell ref="B8:H8"/>
    <mergeCell ref="F9:K9"/>
    <mergeCell ref="C7:Q7"/>
    <mergeCell ref="B22:B24"/>
    <mergeCell ref="C22:E23"/>
    <mergeCell ref="F22:Q22"/>
    <mergeCell ref="F23:G23"/>
    <mergeCell ref="H23:I23"/>
    <mergeCell ref="J23:K23"/>
    <mergeCell ref="C10:E10"/>
    <mergeCell ref="F10:G10"/>
    <mergeCell ref="H10:I10"/>
    <mergeCell ref="J10:K10"/>
    <mergeCell ref="B14:B16"/>
    <mergeCell ref="C14:E15"/>
    <mergeCell ref="F14:Q14"/>
    <mergeCell ref="L9:L11"/>
    <mergeCell ref="R14:R16"/>
    <mergeCell ref="R22:R24"/>
    <mergeCell ref="F15:G15"/>
    <mergeCell ref="H15:I15"/>
    <mergeCell ref="L23:M23"/>
    <mergeCell ref="N23:O23"/>
    <mergeCell ref="P23:Q23"/>
    <mergeCell ref="L15:M15"/>
    <mergeCell ref="N15:O15"/>
    <mergeCell ref="P15:Q15"/>
    <mergeCell ref="J15:K15"/>
    <mergeCell ref="R32:R34"/>
    <mergeCell ref="S32:S34"/>
    <mergeCell ref="M9:M11"/>
    <mergeCell ref="S22:S24"/>
    <mergeCell ref="S14:S16"/>
  </mergeCells>
  <dataValidations count="2">
    <dataValidation allowBlank="1" showInputMessage="1" showErrorMessage="1" errorTitle="Error de ingreso" error="Debe ingresar sólo números enteros positivos." sqref="B1:R30 B31 T1:XFD1048576 S1:S34 B39:S1048576 A12 A18:A20 A25:A30 A43:A49 A36:A38"/>
    <dataValidation type="whole" allowBlank="1" showInputMessage="1" showErrorMessage="1" errorTitle="Error de ingreso" error="Debe ingresar sólo números enteros positivos." sqref="C31:R38 B32:B38 S35:S38">
      <formula1>0</formula1>
      <formula2>10000000000000000000</formula2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X52"/>
  <sheetViews>
    <sheetView showGridLines="0" showZeros="0" showOutlineSymbols="0" zoomScaleNormal="100" workbookViewId="0">
      <selection activeCell="B1" sqref="B1"/>
    </sheetView>
  </sheetViews>
  <sheetFormatPr baseColWidth="10" defaultColWidth="11.42578125" defaultRowHeight="12.75" x14ac:dyDescent="0.2"/>
  <cols>
    <col min="1" max="2" width="1.85546875" style="33" customWidth="1"/>
    <col min="3" max="3" width="26.42578125" style="33" customWidth="1"/>
    <col min="4" max="4" width="19.140625" style="33" customWidth="1"/>
    <col min="5" max="5" width="52.85546875" style="33" customWidth="1"/>
    <col min="6" max="6" width="20.42578125" style="33" customWidth="1"/>
    <col min="7" max="7" width="27.140625" style="33" customWidth="1"/>
    <col min="8" max="8" width="67.28515625" style="33" customWidth="1"/>
    <col min="9" max="9" width="73.42578125" style="33" customWidth="1"/>
    <col min="10" max="10" width="13.85546875" style="33" customWidth="1"/>
    <col min="11" max="15" width="14.140625" style="33" customWidth="1"/>
    <col min="16" max="18" width="11.42578125" style="33"/>
    <col min="19" max="19" width="18.28515625" style="33" customWidth="1"/>
    <col min="20" max="23" width="11.42578125" style="33"/>
    <col min="24" max="24" width="19.42578125" style="33" hidden="1" customWidth="1"/>
    <col min="25" max="26" width="19.42578125" style="33" customWidth="1"/>
    <col min="27" max="16384" width="11.42578125" style="33"/>
  </cols>
  <sheetData>
    <row r="1" spans="1:24" ht="23.25" customHeight="1" x14ac:dyDescent="0.2">
      <c r="A1" s="62"/>
      <c r="B1" s="62"/>
      <c r="C1" s="39" t="s">
        <v>611</v>
      </c>
      <c r="D1" s="40"/>
      <c r="E1" s="40"/>
      <c r="F1" s="40"/>
      <c r="G1" s="40"/>
      <c r="H1" s="40"/>
      <c r="I1" s="40"/>
      <c r="J1" s="41"/>
      <c r="K1" s="62"/>
      <c r="L1" s="62"/>
    </row>
    <row r="2" spans="1:24" ht="23.25" customHeight="1" x14ac:dyDescent="0.25">
      <c r="A2" s="62"/>
      <c r="B2" s="62"/>
      <c r="C2" s="42" t="s">
        <v>302</v>
      </c>
      <c r="D2" s="43"/>
      <c r="E2" s="43"/>
      <c r="F2" s="43"/>
      <c r="G2" s="43"/>
      <c r="H2" s="43"/>
      <c r="I2" s="43"/>
      <c r="J2" s="44"/>
      <c r="K2" s="62"/>
      <c r="L2" s="62"/>
    </row>
    <row r="3" spans="1:24" ht="23.25" customHeight="1" thickBot="1" x14ac:dyDescent="0.3">
      <c r="A3" s="62"/>
      <c r="B3" s="62"/>
      <c r="C3" s="45" t="s">
        <v>303</v>
      </c>
      <c r="D3" s="46"/>
      <c r="E3" s="46"/>
      <c r="F3" s="46"/>
      <c r="G3" s="46"/>
      <c r="H3" s="46"/>
      <c r="I3" s="46"/>
      <c r="J3" s="47"/>
      <c r="K3" s="62"/>
      <c r="L3" s="62"/>
    </row>
    <row r="4" spans="1:24" ht="49.5" customHeight="1" x14ac:dyDescent="0.2">
      <c r="A4" s="62"/>
      <c r="B4" s="62"/>
      <c r="C4" s="63" t="str">
        <f>CONCATENATE("ESTABLECIMIENTO/ESTRATEGIA: ",NOMBRE!$B$3," - ","( ",NOMBRE!$C$3,NOMBRE!$D$3,NOMBRE!$E$3,NOMBRE!$F$3,NOMBRE!$G$3,NOMBRE!$H$3,NOMBRE!$I$3," )")</f>
        <v>ESTABLECIMIENTO/ESTRATEGIA:  - ( Falta Cód. Est. )</v>
      </c>
      <c r="D4" s="62"/>
      <c r="E4" s="62"/>
      <c r="F4" s="62"/>
      <c r="G4" s="62"/>
      <c r="H4" s="62"/>
      <c r="I4" s="62"/>
      <c r="J4" s="62"/>
      <c r="K4" s="62"/>
      <c r="L4" s="62"/>
    </row>
    <row r="5" spans="1:24" ht="34.5" customHeight="1" x14ac:dyDescent="0.2">
      <c r="A5" s="62"/>
      <c r="B5" s="62"/>
      <c r="C5" s="48" t="s">
        <v>304</v>
      </c>
      <c r="D5" s="48" t="s">
        <v>305</v>
      </c>
      <c r="E5" s="48" t="s">
        <v>306</v>
      </c>
      <c r="F5" s="48" t="s">
        <v>307</v>
      </c>
      <c r="G5" s="48" t="s">
        <v>308</v>
      </c>
      <c r="H5" s="48" t="s">
        <v>309</v>
      </c>
      <c r="I5" s="62"/>
      <c r="J5" s="62"/>
      <c r="K5" s="62"/>
      <c r="L5" s="62"/>
    </row>
    <row r="6" spans="1:24" ht="21.6" customHeight="1" x14ac:dyDescent="0.25">
      <c r="A6" s="62"/>
      <c r="B6" s="62"/>
      <c r="C6" s="49" t="s">
        <v>310</v>
      </c>
      <c r="D6" s="50">
        <f>NOMBRE!AG7</f>
        <v>5</v>
      </c>
      <c r="E6" s="62"/>
      <c r="F6" s="62"/>
      <c r="G6" s="62"/>
      <c r="H6" s="62"/>
      <c r="I6" s="62"/>
      <c r="J6" s="62"/>
      <c r="K6" s="62"/>
      <c r="L6" s="62"/>
    </row>
    <row r="7" spans="1:24" ht="21.6" customHeight="1" x14ac:dyDescent="0.25">
      <c r="A7" s="62"/>
      <c r="B7" s="62"/>
      <c r="C7" s="49" t="s">
        <v>311</v>
      </c>
      <c r="D7" s="50" t="e">
        <f>+'P1'!$B147</f>
        <v>#VALUE!</v>
      </c>
      <c r="E7" s="51"/>
      <c r="F7" s="52" t="e">
        <f>IF('P1'!B146&gt;0,"","SIN DATOS")</f>
        <v>#REF!</v>
      </c>
      <c r="G7" s="53"/>
      <c r="H7" s="54"/>
      <c r="I7" s="62"/>
      <c r="J7" s="62"/>
      <c r="K7" s="62"/>
      <c r="L7" s="62"/>
      <c r="X7" s="66" t="s">
        <v>312</v>
      </c>
    </row>
    <row r="8" spans="1:24" ht="21.6" customHeight="1" x14ac:dyDescent="0.25">
      <c r="A8" s="62"/>
      <c r="B8" s="62"/>
      <c r="C8" s="49" t="s">
        <v>313</v>
      </c>
      <c r="D8" s="302" t="e">
        <f>+'P2'!B162</f>
        <v>#VALUE!</v>
      </c>
      <c r="E8" s="51"/>
      <c r="F8" s="52" t="e">
        <f>IF('P2'!B161&gt;0,"","SIN DATOS")</f>
        <v>#VALUE!</v>
      </c>
      <c r="G8" s="53"/>
      <c r="H8" s="54"/>
      <c r="I8" s="62"/>
      <c r="J8" s="62"/>
      <c r="K8" s="62"/>
      <c r="L8" s="62"/>
      <c r="X8" s="66" t="s">
        <v>314</v>
      </c>
    </row>
    <row r="9" spans="1:24" ht="21.6" customHeight="1" x14ac:dyDescent="0.25">
      <c r="A9" s="62"/>
      <c r="B9" s="62"/>
      <c r="C9" s="49" t="s">
        <v>315</v>
      </c>
      <c r="D9" s="302" t="e">
        <f>+'P3'!B85</f>
        <v>#VALUE!</v>
      </c>
      <c r="E9" s="51"/>
      <c r="F9" s="52" t="str">
        <f>IF('P3'!B84&gt;0,"","SIN DATOS")</f>
        <v>SIN DATOS</v>
      </c>
      <c r="G9" s="53"/>
      <c r="H9" s="54"/>
      <c r="I9" s="62"/>
      <c r="J9" s="62"/>
      <c r="K9" s="62"/>
      <c r="L9" s="62"/>
      <c r="X9" s="66" t="s">
        <v>316</v>
      </c>
    </row>
    <row r="10" spans="1:24" ht="21.6" customHeight="1" x14ac:dyDescent="0.25">
      <c r="A10" s="62"/>
      <c r="B10" s="62"/>
      <c r="C10" s="49" t="s">
        <v>317</v>
      </c>
      <c r="D10" s="302" t="e">
        <f>+'P4'!B90</f>
        <v>#VALUE!</v>
      </c>
      <c r="E10" s="51"/>
      <c r="F10" s="52" t="e">
        <f>IF('P4'!B89&gt;0,"","SIN DATOS")</f>
        <v>#REF!</v>
      </c>
      <c r="G10" s="53"/>
      <c r="H10" s="54"/>
      <c r="I10" s="62"/>
      <c r="J10" s="62"/>
      <c r="K10" s="62"/>
      <c r="L10" s="62"/>
      <c r="X10" s="66" t="s">
        <v>318</v>
      </c>
    </row>
    <row r="11" spans="1:24" ht="21.6" customHeight="1" x14ac:dyDescent="0.25">
      <c r="A11" s="62"/>
      <c r="B11" s="62"/>
      <c r="C11" s="49" t="s">
        <v>319</v>
      </c>
      <c r="D11" s="302">
        <f>+'P5'!B82</f>
        <v>65</v>
      </c>
      <c r="E11" s="51"/>
      <c r="F11" s="52" t="str">
        <f>IF('P5'!B81&gt;0,"","SIN DATOS")</f>
        <v>SIN DATOS</v>
      </c>
      <c r="G11" s="53"/>
      <c r="H11" s="54"/>
      <c r="I11" s="62"/>
      <c r="J11" s="62"/>
      <c r="K11" s="62"/>
      <c r="L11" s="62"/>
      <c r="X11" s="66" t="s">
        <v>320</v>
      </c>
    </row>
    <row r="12" spans="1:24" ht="21.6" customHeight="1" x14ac:dyDescent="0.25">
      <c r="A12" s="62"/>
      <c r="B12" s="62"/>
      <c r="C12" s="49" t="s">
        <v>321</v>
      </c>
      <c r="D12" s="302">
        <f>+'P6'!B136</f>
        <v>514</v>
      </c>
      <c r="E12" s="51"/>
      <c r="F12" s="52" t="str">
        <f>IF('P6'!B135&gt;0,"","SIN DATOS")</f>
        <v>SIN DATOS</v>
      </c>
      <c r="G12" s="53"/>
      <c r="H12" s="54"/>
      <c r="I12" s="62"/>
      <c r="J12" s="62"/>
      <c r="K12" s="62"/>
      <c r="L12" s="62"/>
    </row>
    <row r="13" spans="1:24" ht="21.6" customHeight="1" x14ac:dyDescent="0.25">
      <c r="A13" s="62"/>
      <c r="B13" s="62"/>
      <c r="C13" s="49" t="s">
        <v>322</v>
      </c>
      <c r="D13" s="302">
        <f>+'P7'!B51</f>
        <v>0</v>
      </c>
      <c r="E13" s="51"/>
      <c r="F13" s="52" t="str">
        <f>IF('P7'!B50&gt;0,"","SIN DATOS")</f>
        <v>SIN DATOS</v>
      </c>
      <c r="G13" s="53"/>
      <c r="H13" s="54"/>
      <c r="I13" s="62"/>
      <c r="J13" s="62"/>
      <c r="K13" s="62"/>
      <c r="L13" s="62"/>
    </row>
    <row r="14" spans="1:24" ht="21.6" customHeight="1" x14ac:dyDescent="0.25">
      <c r="A14" s="62"/>
      <c r="B14" s="62"/>
      <c r="C14" s="49" t="s">
        <v>510</v>
      </c>
      <c r="D14" s="302" t="e">
        <f>+'P9'!B102</f>
        <v>#VALUE!</v>
      </c>
      <c r="E14" s="51"/>
      <c r="F14" s="52" t="e">
        <f>IF('P9'!B101&gt;0,"","SIN DATOS")</f>
        <v>#VALUE!</v>
      </c>
      <c r="G14" s="53"/>
      <c r="H14" s="54"/>
      <c r="I14" s="62"/>
      <c r="J14" s="62"/>
      <c r="K14" s="62"/>
      <c r="L14" s="62"/>
    </row>
    <row r="15" spans="1:24" ht="21.6" customHeight="1" x14ac:dyDescent="0.25">
      <c r="A15" s="62"/>
      <c r="B15" s="62"/>
      <c r="C15" s="49" t="s">
        <v>323</v>
      </c>
      <c r="D15" s="302" t="e">
        <f>+'P11'!B34</f>
        <v>#VALUE!</v>
      </c>
      <c r="E15" s="51"/>
      <c r="F15" s="52" t="str">
        <f>IF('P11'!B33&gt;0,"","SIN DATOS")</f>
        <v>SIN DATOS</v>
      </c>
      <c r="G15" s="53"/>
      <c r="H15" s="54"/>
      <c r="I15" s="62"/>
      <c r="J15" s="62"/>
      <c r="K15" s="62"/>
      <c r="L15" s="62"/>
    </row>
    <row r="16" spans="1:24" ht="21.6" customHeight="1" x14ac:dyDescent="0.25">
      <c r="A16" s="62"/>
      <c r="B16" s="62"/>
      <c r="C16" s="49" t="s">
        <v>324</v>
      </c>
      <c r="D16" s="302">
        <f>+'P12'!B200</f>
        <v>0</v>
      </c>
      <c r="E16" s="51"/>
      <c r="F16" s="52" t="str">
        <f>IF('P12'!B199&gt;0,"","SIN DATOS")</f>
        <v>SIN DATOS</v>
      </c>
      <c r="G16" s="53"/>
      <c r="H16" s="54"/>
      <c r="I16" s="62"/>
      <c r="J16" s="62"/>
      <c r="K16" s="62"/>
      <c r="L16" s="62"/>
    </row>
    <row r="17" spans="1:12" ht="21.6" customHeight="1" x14ac:dyDescent="0.25">
      <c r="A17" s="62"/>
      <c r="B17" s="62"/>
      <c r="C17" s="49" t="s">
        <v>615</v>
      </c>
      <c r="D17" s="302">
        <f>+'P13'!B53</f>
        <v>11</v>
      </c>
      <c r="E17" s="51"/>
      <c r="F17" s="52" t="e">
        <f>IF('P13'!B52&gt;0,"","SIN DATOS")</f>
        <v>#REF!</v>
      </c>
      <c r="G17" s="53"/>
      <c r="H17" s="54"/>
      <c r="I17" s="62"/>
      <c r="J17" s="62"/>
      <c r="K17" s="62"/>
      <c r="L17" s="62"/>
    </row>
    <row r="18" spans="1:12" ht="21.6" customHeight="1" x14ac:dyDescent="0.2">
      <c r="A18" s="62"/>
      <c r="B18" s="62"/>
      <c r="C18" s="62"/>
      <c r="D18" s="62"/>
      <c r="E18" s="62"/>
      <c r="F18" s="62"/>
      <c r="G18" s="62"/>
      <c r="H18" s="62"/>
      <c r="I18" s="62"/>
      <c r="J18" s="62"/>
      <c r="K18" s="62"/>
      <c r="L18" s="62"/>
    </row>
    <row r="19" spans="1:12" ht="21.6" customHeight="1" x14ac:dyDescent="0.25">
      <c r="A19" s="62"/>
      <c r="B19" s="62"/>
      <c r="C19" s="50" t="s">
        <v>15</v>
      </c>
      <c r="D19" s="50" t="e">
        <f>SUM(D6:D17)</f>
        <v>#VALUE!</v>
      </c>
      <c r="E19" s="62"/>
      <c r="F19" s="62"/>
      <c r="G19" s="62"/>
      <c r="H19" s="62"/>
      <c r="I19" s="62"/>
      <c r="J19" s="62"/>
      <c r="K19" s="62"/>
      <c r="L19" s="62"/>
    </row>
    <row r="20" spans="1:12" x14ac:dyDescent="0.2">
      <c r="A20" s="62"/>
      <c r="B20" s="62"/>
      <c r="C20" s="62"/>
      <c r="D20" s="62"/>
      <c r="E20" s="62"/>
      <c r="F20" s="62"/>
      <c r="G20" s="62"/>
      <c r="H20" s="62"/>
      <c r="I20" s="62"/>
      <c r="J20" s="62"/>
      <c r="K20" s="62"/>
      <c r="L20" s="62"/>
    </row>
    <row r="21" spans="1:12" x14ac:dyDescent="0.2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</row>
    <row r="22" spans="1:12" x14ac:dyDescent="0.2">
      <c r="A22" s="62"/>
      <c r="B22" s="62"/>
      <c r="C22" s="62"/>
      <c r="D22" s="62"/>
      <c r="E22" s="62"/>
      <c r="F22" s="62"/>
      <c r="G22" s="62"/>
      <c r="H22" s="62"/>
      <c r="I22" s="62"/>
      <c r="J22" s="62"/>
      <c r="K22" s="62"/>
      <c r="L22" s="62"/>
    </row>
    <row r="23" spans="1:12" x14ac:dyDescent="0.2">
      <c r="A23" s="62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</row>
    <row r="24" spans="1:12" x14ac:dyDescent="0.2">
      <c r="A24" s="62"/>
      <c r="B24" s="62"/>
      <c r="C24" s="62"/>
      <c r="D24" s="62"/>
      <c r="E24" s="62"/>
      <c r="F24" s="62"/>
      <c r="G24" s="62"/>
      <c r="H24" s="62"/>
      <c r="I24" s="62"/>
      <c r="J24" s="62"/>
      <c r="K24" s="62"/>
      <c r="L24" s="62"/>
    </row>
    <row r="25" spans="1:12" x14ac:dyDescent="0.2">
      <c r="A25" s="62"/>
      <c r="B25" s="62"/>
      <c r="C25" s="62"/>
      <c r="D25" s="62"/>
      <c r="E25" s="62"/>
      <c r="F25" s="62"/>
      <c r="G25" s="62"/>
      <c r="H25" s="62"/>
      <c r="I25" s="62"/>
      <c r="J25" s="62"/>
      <c r="K25" s="62"/>
      <c r="L25" s="62"/>
    </row>
    <row r="26" spans="1:12" x14ac:dyDescent="0.2">
      <c r="A26" s="62"/>
      <c r="B26" s="62"/>
      <c r="C26" s="62"/>
      <c r="D26" s="62"/>
      <c r="E26" s="62"/>
      <c r="F26" s="62"/>
      <c r="G26" s="62"/>
      <c r="H26" s="62"/>
      <c r="I26" s="62"/>
      <c r="J26" s="62"/>
      <c r="K26" s="62"/>
      <c r="L26" s="62"/>
    </row>
    <row r="27" spans="1:12" x14ac:dyDescent="0.2">
      <c r="A27" s="62"/>
      <c r="B27" s="62"/>
      <c r="C27" s="62"/>
      <c r="D27" s="62"/>
      <c r="E27" s="62"/>
      <c r="F27" s="62"/>
      <c r="G27" s="62"/>
      <c r="H27" s="62"/>
      <c r="I27" s="62"/>
      <c r="J27" s="62"/>
      <c r="K27" s="62"/>
      <c r="L27" s="62"/>
    </row>
    <row r="28" spans="1:12" x14ac:dyDescent="0.2">
      <c r="A28" s="62"/>
      <c r="B28" s="62"/>
      <c r="C28" s="62"/>
      <c r="D28" s="62"/>
      <c r="E28" s="62"/>
      <c r="F28" s="62"/>
      <c r="G28" s="62"/>
      <c r="H28" s="62"/>
      <c r="I28" s="62"/>
      <c r="J28" s="62"/>
      <c r="K28" s="62"/>
      <c r="L28" s="62"/>
    </row>
    <row r="29" spans="1:12" x14ac:dyDescent="0.2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</row>
    <row r="30" spans="1:12" x14ac:dyDescent="0.2">
      <c r="A30" s="62"/>
      <c r="B30" s="62"/>
      <c r="C30" s="62"/>
      <c r="D30" s="62"/>
      <c r="E30" s="62"/>
      <c r="F30" s="62"/>
      <c r="G30" s="62"/>
      <c r="H30" s="62"/>
      <c r="I30" s="62"/>
      <c r="J30" s="62"/>
      <c r="K30" s="62"/>
      <c r="L30" s="62"/>
    </row>
    <row r="31" spans="1:12" x14ac:dyDescent="0.2">
      <c r="A31" s="62"/>
      <c r="B31" s="62"/>
      <c r="C31" s="62"/>
      <c r="D31" s="62"/>
      <c r="E31" s="62"/>
      <c r="F31" s="62"/>
      <c r="G31" s="62"/>
      <c r="H31" s="62"/>
      <c r="I31" s="62"/>
      <c r="J31" s="62"/>
      <c r="K31" s="62"/>
      <c r="L31" s="62"/>
    </row>
    <row r="32" spans="1:12" x14ac:dyDescent="0.2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</row>
    <row r="33" spans="1:12" x14ac:dyDescent="0.2">
      <c r="A33" s="62"/>
      <c r="B33" s="62"/>
      <c r="C33" s="62"/>
      <c r="D33" s="62"/>
      <c r="E33" s="62"/>
      <c r="F33" s="62"/>
      <c r="G33" s="62"/>
      <c r="H33" s="62"/>
      <c r="I33" s="62"/>
      <c r="J33" s="62"/>
      <c r="K33" s="62"/>
      <c r="L33" s="62"/>
    </row>
    <row r="34" spans="1:12" x14ac:dyDescent="0.2">
      <c r="A34" s="62"/>
      <c r="B34" s="62"/>
      <c r="C34" s="62"/>
      <c r="D34" s="62"/>
      <c r="E34" s="62"/>
      <c r="F34" s="62"/>
      <c r="G34" s="62"/>
      <c r="H34" s="62"/>
      <c r="I34" s="62"/>
      <c r="J34" s="62"/>
      <c r="K34" s="62"/>
      <c r="L34" s="62"/>
    </row>
    <row r="35" spans="1:12" x14ac:dyDescent="0.2">
      <c r="A35" s="62"/>
      <c r="B35" s="62"/>
      <c r="C35" s="62"/>
      <c r="D35" s="62"/>
      <c r="E35" s="62"/>
      <c r="F35" s="62"/>
      <c r="G35" s="62"/>
      <c r="H35" s="62"/>
      <c r="I35" s="62"/>
      <c r="J35" s="62"/>
      <c r="K35" s="62"/>
      <c r="L35" s="62"/>
    </row>
    <row r="36" spans="1:12" x14ac:dyDescent="0.2">
      <c r="A36" s="62"/>
      <c r="B36" s="62"/>
      <c r="C36" s="62"/>
      <c r="D36" s="62"/>
      <c r="E36" s="62"/>
      <c r="F36" s="62"/>
      <c r="G36" s="62"/>
      <c r="H36" s="62"/>
      <c r="I36" s="62"/>
      <c r="J36" s="62"/>
      <c r="K36" s="62"/>
      <c r="L36" s="62"/>
    </row>
    <row r="37" spans="1:12" x14ac:dyDescent="0.2">
      <c r="A37" s="62"/>
      <c r="B37" s="62"/>
      <c r="C37" s="62"/>
      <c r="D37" s="62"/>
      <c r="E37" s="62"/>
      <c r="F37" s="62"/>
      <c r="G37" s="62"/>
      <c r="H37" s="62"/>
      <c r="I37" s="62"/>
      <c r="J37" s="62"/>
      <c r="K37" s="62"/>
      <c r="L37" s="62"/>
    </row>
    <row r="38" spans="1:12" x14ac:dyDescent="0.2">
      <c r="A38" s="62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</row>
    <row r="39" spans="1:12" x14ac:dyDescent="0.2">
      <c r="A39" s="62"/>
      <c r="B39" s="62"/>
      <c r="C39" s="62"/>
      <c r="D39" s="62"/>
      <c r="E39" s="62"/>
      <c r="F39" s="62"/>
      <c r="G39" s="62"/>
      <c r="H39" s="62"/>
      <c r="I39" s="62"/>
      <c r="J39" s="62"/>
      <c r="K39" s="62"/>
      <c r="L39" s="62"/>
    </row>
    <row r="40" spans="1:12" x14ac:dyDescent="0.2">
      <c r="A40" s="62"/>
      <c r="B40" s="62"/>
      <c r="C40" s="62"/>
      <c r="D40" s="62"/>
      <c r="E40" s="62"/>
      <c r="F40" s="62"/>
      <c r="G40" s="62"/>
      <c r="H40" s="62"/>
      <c r="I40" s="62"/>
      <c r="J40" s="62"/>
      <c r="K40" s="62"/>
      <c r="L40" s="62"/>
    </row>
    <row r="41" spans="1:12" x14ac:dyDescent="0.2">
      <c r="A41" s="62"/>
      <c r="B41" s="62"/>
      <c r="C41" s="62"/>
      <c r="D41" s="62"/>
      <c r="E41" s="62"/>
      <c r="F41" s="62"/>
      <c r="G41" s="62"/>
      <c r="H41" s="62"/>
      <c r="I41" s="62"/>
      <c r="J41" s="62"/>
      <c r="K41" s="62"/>
      <c r="L41" s="62"/>
    </row>
    <row r="42" spans="1:12" x14ac:dyDescent="0.2">
      <c r="A42" s="62"/>
      <c r="B42" s="62"/>
      <c r="C42" s="62"/>
      <c r="D42" s="62"/>
      <c r="E42" s="62"/>
      <c r="F42" s="62"/>
      <c r="G42" s="62"/>
      <c r="H42" s="62"/>
      <c r="I42" s="62"/>
      <c r="J42" s="62"/>
      <c r="K42" s="62"/>
      <c r="L42" s="62"/>
    </row>
    <row r="43" spans="1:12" x14ac:dyDescent="0.2">
      <c r="A43" s="62"/>
      <c r="B43" s="62"/>
      <c r="C43" s="62"/>
      <c r="D43" s="62"/>
      <c r="E43" s="62"/>
      <c r="F43" s="62"/>
      <c r="G43" s="62"/>
      <c r="H43" s="62"/>
      <c r="I43" s="62"/>
      <c r="J43" s="62"/>
      <c r="K43" s="62"/>
      <c r="L43" s="62"/>
    </row>
    <row r="44" spans="1:12" x14ac:dyDescent="0.2">
      <c r="A44" s="62"/>
      <c r="B44" s="62"/>
      <c r="C44" s="62"/>
      <c r="D44" s="62"/>
      <c r="E44" s="62"/>
      <c r="F44" s="62"/>
      <c r="G44" s="62"/>
      <c r="H44" s="62"/>
      <c r="I44" s="62"/>
      <c r="J44" s="62"/>
      <c r="K44" s="62"/>
      <c r="L44" s="62"/>
    </row>
    <row r="45" spans="1:12" x14ac:dyDescent="0.2">
      <c r="A45" s="62"/>
      <c r="B45" s="62"/>
      <c r="C45" s="62"/>
      <c r="D45" s="62"/>
      <c r="E45" s="62"/>
      <c r="F45" s="62"/>
      <c r="G45" s="62"/>
      <c r="H45" s="62"/>
      <c r="I45" s="62"/>
      <c r="J45" s="62"/>
      <c r="K45" s="62"/>
      <c r="L45" s="62"/>
    </row>
    <row r="46" spans="1:12" x14ac:dyDescent="0.2">
      <c r="A46" s="62"/>
      <c r="B46" s="62"/>
      <c r="C46" s="62"/>
      <c r="D46" s="62"/>
      <c r="E46" s="62"/>
      <c r="F46" s="62"/>
      <c r="G46" s="62"/>
      <c r="H46" s="62"/>
      <c r="I46" s="62"/>
      <c r="J46" s="62"/>
      <c r="K46" s="62"/>
      <c r="L46" s="62"/>
    </row>
    <row r="47" spans="1:12" x14ac:dyDescent="0.2">
      <c r="A47" s="62"/>
      <c r="B47" s="62"/>
      <c r="C47" s="62"/>
      <c r="D47" s="62"/>
      <c r="E47" s="62"/>
      <c r="F47" s="62"/>
      <c r="G47" s="62"/>
      <c r="H47" s="62"/>
      <c r="I47" s="62"/>
      <c r="J47" s="62"/>
      <c r="K47" s="62"/>
      <c r="L47" s="62"/>
    </row>
    <row r="48" spans="1:12" x14ac:dyDescent="0.2">
      <c r="A48" s="62"/>
      <c r="B48" s="62"/>
      <c r="C48" s="62"/>
      <c r="D48" s="62"/>
      <c r="E48" s="62"/>
      <c r="F48" s="62"/>
      <c r="G48" s="62"/>
      <c r="H48" s="62"/>
      <c r="I48" s="62"/>
      <c r="J48" s="62"/>
      <c r="K48" s="62"/>
      <c r="L48" s="62"/>
    </row>
    <row r="49" spans="1:12" x14ac:dyDescent="0.2">
      <c r="A49" s="62"/>
      <c r="B49" s="62"/>
      <c r="C49" s="62"/>
      <c r="D49" s="62"/>
      <c r="E49" s="62"/>
      <c r="F49" s="62"/>
      <c r="G49" s="62"/>
      <c r="H49" s="62"/>
      <c r="I49" s="62"/>
      <c r="J49" s="62"/>
      <c r="K49" s="62"/>
      <c r="L49" s="62"/>
    </row>
    <row r="50" spans="1:12" x14ac:dyDescent="0.2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</row>
    <row r="51" spans="1:12" x14ac:dyDescent="0.2">
      <c r="A51" s="62"/>
      <c r="B51" s="62"/>
      <c r="C51" s="62"/>
      <c r="D51" s="62"/>
      <c r="E51" s="62"/>
      <c r="F51" s="62"/>
      <c r="G51" s="62"/>
      <c r="H51" s="62"/>
      <c r="I51" s="62"/>
      <c r="J51" s="62"/>
      <c r="K51" s="62"/>
      <c r="L51" s="62"/>
    </row>
    <row r="52" spans="1:12" x14ac:dyDescent="0.2">
      <c r="C52" s="62"/>
      <c r="D52" s="62"/>
      <c r="E52" s="62"/>
      <c r="F52" s="62"/>
      <c r="G52" s="62"/>
      <c r="H52" s="62"/>
    </row>
  </sheetData>
  <sheetProtection password="BA51" sheet="1" objects="1" scenarios="1"/>
  <phoneticPr fontId="27" type="noConversion"/>
  <dataValidations count="1">
    <dataValidation type="list" allowBlank="1" showInputMessage="1" showErrorMessage="1" sqref="G7:G17">
      <formula1>$X$7:$X$11</formula1>
    </dataValidation>
  </dataValidations>
  <pageMargins left="0.70866141732283472" right="0.70866141732283472" top="0.74803149606299213" bottom="0.74803149606299213" header="0.31496062992125984" footer="0.31496062992125984"/>
  <pageSetup scale="56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AC15"/>
  <sheetViews>
    <sheetView showGridLines="0" showZeros="0" zoomScaleNormal="100" workbookViewId="0">
      <selection sqref="A1:N1"/>
    </sheetView>
  </sheetViews>
  <sheetFormatPr baseColWidth="10" defaultColWidth="3.140625" defaultRowHeight="12.75" x14ac:dyDescent="0.2"/>
  <cols>
    <col min="1" max="1" width="15.42578125" style="55" customWidth="1"/>
    <col min="2" max="2" width="43.42578125" style="55" customWidth="1"/>
    <col min="3" max="4" width="3.140625" style="55" customWidth="1"/>
    <col min="5" max="5" width="22.7109375" style="55" customWidth="1"/>
    <col min="6" max="6" width="5.140625" style="55" customWidth="1"/>
    <col min="7" max="11" width="3.140625" style="55" customWidth="1"/>
    <col min="12" max="12" width="3.7109375" style="55" customWidth="1"/>
    <col min="13" max="20" width="3.140625" style="55" customWidth="1"/>
    <col min="21" max="21" width="7.28515625" style="55" customWidth="1"/>
    <col min="22" max="16384" width="3.140625" style="55"/>
  </cols>
  <sheetData>
    <row r="1" spans="1:29" ht="54" customHeight="1" thickBot="1" x14ac:dyDescent="0.25">
      <c r="A1" s="2588" t="s">
        <v>325</v>
      </c>
      <c r="B1" s="2589"/>
      <c r="C1" s="2589"/>
      <c r="D1" s="2589"/>
      <c r="E1" s="2589"/>
      <c r="F1" s="2589"/>
      <c r="G1" s="2589"/>
      <c r="H1" s="2589"/>
      <c r="I1" s="2589"/>
      <c r="J1" s="2589"/>
      <c r="K1" s="2589"/>
      <c r="L1" s="2589"/>
      <c r="M1" s="2589"/>
      <c r="N1" s="2590"/>
    </row>
    <row r="2" spans="1:29" x14ac:dyDescent="0.2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</row>
    <row r="3" spans="1:29" ht="21.75" customHeight="1" thickBot="1" x14ac:dyDescent="0.25">
      <c r="A3" s="65" t="str">
        <f>CONCATENATE("ESTABLECIMIENTO/ESTRATEGIA: ",NOMBRE!B3," - ","( ",NOMBRE!C3,NOMBRE!D3,NOMBRE!E3,NOMBRE!F3,NOMBRE!G3,NOMBRE!H3," )")</f>
        <v>ESTABLECIMIENTO/ESTRATEGIA:  - (  )</v>
      </c>
      <c r="X3" s="56"/>
      <c r="Y3" s="56"/>
      <c r="Z3" s="56"/>
      <c r="AA3" s="56"/>
      <c r="AB3" s="56"/>
      <c r="AC3" s="56"/>
    </row>
    <row r="4" spans="1:29" ht="41.25" customHeight="1" thickBot="1" x14ac:dyDescent="0.25">
      <c r="B4" s="64" t="s">
        <v>326</v>
      </c>
      <c r="D4" s="56"/>
      <c r="E4" s="64"/>
      <c r="F4" s="56"/>
      <c r="G4" s="56"/>
      <c r="H4" s="56"/>
      <c r="I4" s="56"/>
      <c r="J4" s="56"/>
      <c r="K4" s="56"/>
      <c r="L4" s="56"/>
    </row>
    <row r="5" spans="1:29" ht="12.75" customHeight="1" thickBot="1" x14ac:dyDescent="0.25">
      <c r="B5" s="57"/>
      <c r="C5" s="57"/>
      <c r="D5" s="57"/>
      <c r="X5" s="56"/>
    </row>
    <row r="6" spans="1:29" ht="39" customHeight="1" thickBot="1" x14ac:dyDescent="0.25">
      <c r="A6" s="58"/>
      <c r="B6" s="64" t="s">
        <v>327</v>
      </c>
      <c r="C6" s="59"/>
      <c r="D6" s="60"/>
      <c r="E6" s="64"/>
      <c r="F6" s="56"/>
      <c r="G6" s="56"/>
      <c r="H6" s="56"/>
      <c r="I6" s="56"/>
      <c r="J6" s="56"/>
      <c r="K6" s="56"/>
      <c r="L6" s="56"/>
      <c r="M6" s="58"/>
      <c r="N6" s="58"/>
      <c r="O6" s="58"/>
      <c r="P6" s="58"/>
      <c r="Q6" s="58"/>
      <c r="R6" s="58"/>
      <c r="S6" s="58"/>
      <c r="T6" s="58"/>
      <c r="U6" s="58"/>
      <c r="V6" s="58"/>
      <c r="X6" s="57"/>
    </row>
    <row r="7" spans="1:29" ht="12.75" customHeight="1" thickBot="1" x14ac:dyDescent="0.25">
      <c r="B7" s="57"/>
      <c r="C7" s="57"/>
      <c r="D7" s="57"/>
      <c r="X7" s="60"/>
    </row>
    <row r="8" spans="1:29" ht="52.5" customHeight="1" thickBot="1" x14ac:dyDescent="0.25">
      <c r="B8" s="64" t="s">
        <v>612</v>
      </c>
      <c r="D8" s="56"/>
      <c r="E8" s="64"/>
      <c r="F8" s="56"/>
      <c r="G8" s="56"/>
      <c r="H8" s="56"/>
      <c r="I8" s="56"/>
      <c r="J8" s="56"/>
      <c r="K8" s="56"/>
      <c r="L8" s="56"/>
      <c r="X8" s="57"/>
    </row>
    <row r="9" spans="1:29" ht="19.5" customHeight="1" thickBot="1" x14ac:dyDescent="0.25">
      <c r="X9" s="56"/>
    </row>
    <row r="10" spans="1:29" ht="16.5" customHeight="1" x14ac:dyDescent="0.2">
      <c r="B10" s="2591" t="e">
        <f>IF(Contro!D19&gt;0,"REVISE LA HOJA CONTROL, EXISTEN ERRORES","")</f>
        <v>#VALUE!</v>
      </c>
      <c r="C10" s="2592"/>
      <c r="D10" s="2592"/>
      <c r="E10" s="2592"/>
      <c r="F10" s="2592"/>
      <c r="G10" s="2592"/>
      <c r="H10" s="2593"/>
    </row>
    <row r="11" spans="1:29" ht="16.5" customHeight="1" thickBot="1" x14ac:dyDescent="0.25">
      <c r="B11" s="2594"/>
      <c r="C11" s="2595"/>
      <c r="D11" s="2595"/>
      <c r="E11" s="2595"/>
      <c r="F11" s="2595"/>
      <c r="G11" s="2595"/>
      <c r="H11" s="2596"/>
    </row>
    <row r="12" spans="1:29" ht="16.5" customHeight="1" x14ac:dyDescent="0.2"/>
    <row r="13" spans="1:29" ht="16.5" customHeight="1" x14ac:dyDescent="0.2">
      <c r="B13" s="61" t="s">
        <v>328</v>
      </c>
    </row>
    <row r="14" spans="1:29" ht="16.5" customHeight="1" x14ac:dyDescent="0.2"/>
    <row r="15" spans="1:29" ht="16.5" customHeight="1" x14ac:dyDescent="0.2"/>
  </sheetData>
  <sheetProtection password="BA51" sheet="1" objects="1" scenarios="1"/>
  <mergeCells count="2">
    <mergeCell ref="A1:N1"/>
    <mergeCell ref="B10:H11"/>
  </mergeCells>
  <phoneticPr fontId="27" type="noConversion"/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14</vt:i4>
      </vt:variant>
      <vt:variant>
        <vt:lpstr>Rangos con nombre</vt:lpstr>
      </vt:variant>
      <vt:variant>
        <vt:i4>10</vt:i4>
      </vt:variant>
    </vt:vector>
  </HeadingPairs>
  <TitlesOfParts>
    <vt:vector size="24" baseType="lpstr">
      <vt:lpstr>NOMBRE</vt:lpstr>
      <vt:lpstr>P1</vt:lpstr>
      <vt:lpstr>P2</vt:lpstr>
      <vt:lpstr>P3</vt:lpstr>
      <vt:lpstr>P4</vt:lpstr>
      <vt:lpstr>P5</vt:lpstr>
      <vt:lpstr>P6</vt:lpstr>
      <vt:lpstr>P7</vt:lpstr>
      <vt:lpstr>P9</vt:lpstr>
      <vt:lpstr>P11</vt:lpstr>
      <vt:lpstr>P12</vt:lpstr>
      <vt:lpstr>P13</vt:lpstr>
      <vt:lpstr>Contro</vt:lpstr>
      <vt:lpstr>MACROS</vt:lpstr>
      <vt:lpstr>Contro!Área_de_impresión</vt:lpstr>
      <vt:lpstr>'P1'!Área_de_impresión</vt:lpstr>
      <vt:lpstr>'P11'!Área_de_impresión</vt:lpstr>
      <vt:lpstr>'P12'!Área_de_impresión</vt:lpstr>
      <vt:lpstr>'P3'!Área_de_impresión</vt:lpstr>
      <vt:lpstr>'P4'!Área_de_impresión</vt:lpstr>
      <vt:lpstr>'P5'!Área_de_impresión</vt:lpstr>
      <vt:lpstr>'P6'!Área_de_impresión</vt:lpstr>
      <vt:lpstr>'P7'!Área_de_impresión</vt:lpstr>
      <vt:lpstr>'P3'!OLE_LINK1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Jennifer Paola Pacheco Silva</dc:creator>
  <cp:lastModifiedBy>Carmen Gloria Sepulveda Aravena</cp:lastModifiedBy>
  <cp:lastPrinted>2017-06-02T15:40:28Z</cp:lastPrinted>
  <dcterms:created xsi:type="dcterms:W3CDTF">2013-12-18T19:51:11Z</dcterms:created>
  <dcterms:modified xsi:type="dcterms:W3CDTF">2021-06-30T14:54:35Z</dcterms:modified>
</cp:coreProperties>
</file>