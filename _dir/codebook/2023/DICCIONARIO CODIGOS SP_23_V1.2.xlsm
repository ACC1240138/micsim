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827" codeName="{E757BCB4-07E6-AE0B-56E0-F0EEF7A6E26C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User\csepulvedaa\Documents\REM\REM23\DICCIONARIO\SERIE P\"/>
    </mc:Choice>
  </mc:AlternateContent>
  <xr:revisionPtr revIDLastSave="0" documentId="13_ncr:1_{FC52798E-70BB-41F6-AB86-DA42065D8E39}" xr6:coauthVersionLast="47" xr6:coauthVersionMax="47" xr10:uidLastSave="{00000000-0000-0000-0000-000000000000}"/>
  <workbookProtection workbookAlgorithmName="SHA-512" workbookHashValue="BuGU4XlAPW/FfEB0K0hbm33drcrkdfWG08UDEmPSkNkJJhJMbCoXasXmOg0S8khQ/qyhjmm9JGzaaOLC4b8y2Q==" workbookSaltValue="FzHtIdZAJWOZ+YXiNy5CzA==" workbookSpinCount="100000" lockStructure="1"/>
  <bookViews>
    <workbookView xWindow="-108" yWindow="-108" windowWidth="23256" windowHeight="12576" tabRatio="703" xr2:uid="{00000000-000D-0000-FFFF-FFFF00000000}"/>
  </bookViews>
  <sheets>
    <sheet name="NOMBRE" sheetId="1" r:id="rId1"/>
    <sheet name="P1" sheetId="2" r:id="rId2"/>
    <sheet name="P2" sheetId="17" r:id="rId3"/>
    <sheet name="P3" sheetId="4" r:id="rId4"/>
    <sheet name="P4" sheetId="5" r:id="rId5"/>
    <sheet name="P5" sheetId="6" r:id="rId6"/>
    <sheet name="P6" sheetId="7" r:id="rId7"/>
    <sheet name="P7" sheetId="8" r:id="rId8"/>
    <sheet name="P9" sheetId="16" r:id="rId9"/>
    <sheet name="P11" sheetId="10" r:id="rId10"/>
    <sheet name="P12" sheetId="11" r:id="rId11"/>
    <sheet name="P13" sheetId="18" r:id="rId12"/>
    <sheet name="Control" sheetId="12" r:id="rId13"/>
    <sheet name="MACROS" sheetId="13" r:id="rId14"/>
  </sheets>
  <definedNames>
    <definedName name="_xlnm.Print_Area" localSheetId="12">Control!$A$1:$H$26</definedName>
    <definedName name="_xlnm.Print_Area" localSheetId="1">'P1'!$B$1:$N$141</definedName>
    <definedName name="_xlnm.Print_Area" localSheetId="9">'P11'!$B$1:$AS$22</definedName>
    <definedName name="_xlnm.Print_Area" localSheetId="10">'P12'!$B$1:$L$88</definedName>
    <definedName name="_xlnm.Print_Area" localSheetId="3">'P3'!$B$1:$AO$65</definedName>
    <definedName name="_xlnm.Print_Area" localSheetId="4">'P4'!$B$1:$AK$86</definedName>
    <definedName name="_xlnm.Print_Area" localSheetId="5">'P5'!$B$1:$Q$53</definedName>
    <definedName name="_xlnm.Print_Area" localSheetId="6">'P6'!$B$1:$AR$117</definedName>
    <definedName name="_xlnm.Print_Area" localSheetId="7">'P7'!$B$1:$K$29</definedName>
    <definedName name="OLE_LINK1" localSheetId="3">'P3'!$CJ$62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99" i="11" l="1"/>
  <c r="B2" i="2" l="1"/>
  <c r="B3" i="2"/>
  <c r="AB91" i="11"/>
  <c r="CY34" i="5"/>
  <c r="DF130" i="17"/>
  <c r="DE132" i="17"/>
  <c r="DE131" i="17"/>
  <c r="DE133" i="17"/>
  <c r="DE130" i="17"/>
  <c r="CG138" i="17"/>
  <c r="CJ133" i="17"/>
  <c r="CJ131" i="17"/>
  <c r="CJ132" i="17"/>
  <c r="CL130" i="17"/>
  <c r="CK130" i="17"/>
  <c r="CJ130" i="17"/>
  <c r="C151" i="2" l="1"/>
  <c r="CK83" i="2"/>
  <c r="CK82" i="2"/>
  <c r="CK81" i="2"/>
  <c r="CB83" i="2"/>
  <c r="CB82" i="2"/>
  <c r="CB81" i="2"/>
  <c r="E56" i="2"/>
  <c r="CO40" i="2"/>
  <c r="CN40" i="2"/>
  <c r="CM40" i="2"/>
  <c r="CL40" i="2"/>
  <c r="CK40" i="2"/>
  <c r="CF40" i="2"/>
  <c r="CE40" i="2"/>
  <c r="CD40" i="2"/>
  <c r="CC40" i="2"/>
  <c r="CB40" i="2"/>
  <c r="BE97" i="16"/>
  <c r="BA87" i="16"/>
  <c r="BB87" i="16"/>
  <c r="BC87" i="16"/>
  <c r="BD87" i="16"/>
  <c r="BE87" i="16"/>
  <c r="BF87" i="16"/>
  <c r="BG87" i="16"/>
  <c r="BH87" i="16"/>
  <c r="BI87" i="16"/>
  <c r="BJ87" i="16"/>
  <c r="BK87" i="16"/>
  <c r="BL87" i="16"/>
  <c r="BA88" i="16"/>
  <c r="BB88" i="16"/>
  <c r="BC88" i="16"/>
  <c r="BD88" i="16"/>
  <c r="BE88" i="16"/>
  <c r="BF88" i="16"/>
  <c r="BG88" i="16"/>
  <c r="BH88" i="16"/>
  <c r="BI88" i="16"/>
  <c r="BJ88" i="16"/>
  <c r="BK88" i="16"/>
  <c r="BL88" i="16"/>
  <c r="BA89" i="16"/>
  <c r="BB89" i="16"/>
  <c r="BC89" i="16"/>
  <c r="BD89" i="16"/>
  <c r="BE89" i="16"/>
  <c r="BF89" i="16"/>
  <c r="BG89" i="16"/>
  <c r="BH89" i="16"/>
  <c r="BI89" i="16"/>
  <c r="BJ89" i="16"/>
  <c r="BK89" i="16"/>
  <c r="BL89" i="16"/>
  <c r="BA90" i="16"/>
  <c r="BB90" i="16"/>
  <c r="BC90" i="16"/>
  <c r="BD90" i="16"/>
  <c r="BE90" i="16"/>
  <c r="BF90" i="16"/>
  <c r="BG90" i="16"/>
  <c r="BH90" i="16"/>
  <c r="BI90" i="16"/>
  <c r="BJ90" i="16"/>
  <c r="BK90" i="16"/>
  <c r="BL90" i="16"/>
  <c r="BA91" i="16"/>
  <c r="BB91" i="16"/>
  <c r="BC91" i="16"/>
  <c r="BD91" i="16"/>
  <c r="BE91" i="16"/>
  <c r="BF91" i="16"/>
  <c r="BG91" i="16"/>
  <c r="BH91" i="16"/>
  <c r="BI91" i="16"/>
  <c r="BJ91" i="16"/>
  <c r="BK91" i="16"/>
  <c r="BL91" i="16"/>
  <c r="BA92" i="16"/>
  <c r="BB92" i="16"/>
  <c r="BC92" i="16"/>
  <c r="BD92" i="16"/>
  <c r="BE92" i="16"/>
  <c r="BF92" i="16"/>
  <c r="BG92" i="16"/>
  <c r="BH92" i="16"/>
  <c r="BI92" i="16"/>
  <c r="BJ92" i="16"/>
  <c r="BK92" i="16"/>
  <c r="BL92" i="16"/>
  <c r="BA93" i="16"/>
  <c r="BB93" i="16"/>
  <c r="BC93" i="16"/>
  <c r="BD93" i="16"/>
  <c r="BE93" i="16"/>
  <c r="BF93" i="16"/>
  <c r="BG93" i="16"/>
  <c r="BH93" i="16"/>
  <c r="BI93" i="16"/>
  <c r="BJ93" i="16"/>
  <c r="BK93" i="16"/>
  <c r="BL93" i="16"/>
  <c r="BA94" i="16"/>
  <c r="BB94" i="16"/>
  <c r="BC94" i="16"/>
  <c r="BD94" i="16"/>
  <c r="BE94" i="16"/>
  <c r="BF94" i="16"/>
  <c r="BG94" i="16"/>
  <c r="BH94" i="16"/>
  <c r="BI94" i="16"/>
  <c r="BJ94" i="16"/>
  <c r="BK94" i="16"/>
  <c r="BL94" i="16"/>
  <c r="BA95" i="16"/>
  <c r="BB95" i="16"/>
  <c r="BC95" i="16"/>
  <c r="BD95" i="16"/>
  <c r="BE95" i="16"/>
  <c r="BF95" i="16"/>
  <c r="BG95" i="16"/>
  <c r="BH95" i="16"/>
  <c r="BI95" i="16"/>
  <c r="BJ95" i="16"/>
  <c r="BK95" i="16"/>
  <c r="BL95" i="16"/>
  <c r="BA96" i="16"/>
  <c r="BB96" i="16"/>
  <c r="BC96" i="16"/>
  <c r="BD96" i="16"/>
  <c r="BE96" i="16"/>
  <c r="BF96" i="16"/>
  <c r="BG96" i="16"/>
  <c r="BH96" i="16"/>
  <c r="BI96" i="16"/>
  <c r="BJ96" i="16"/>
  <c r="BK96" i="16"/>
  <c r="BL96" i="16"/>
  <c r="BA97" i="16"/>
  <c r="BB97" i="16"/>
  <c r="BC97" i="16"/>
  <c r="BD97" i="16"/>
  <c r="BF97" i="16"/>
  <c r="BG97" i="16"/>
  <c r="BH97" i="16"/>
  <c r="BI97" i="16"/>
  <c r="BJ97" i="16"/>
  <c r="BK97" i="16"/>
  <c r="BL97" i="16"/>
  <c r="BA98" i="16"/>
  <c r="BB98" i="16"/>
  <c r="BC98" i="16"/>
  <c r="BD98" i="16"/>
  <c r="BE98" i="16"/>
  <c r="BF98" i="16"/>
  <c r="BG98" i="16"/>
  <c r="BH98" i="16"/>
  <c r="BI98" i="16"/>
  <c r="BJ98" i="16"/>
  <c r="BK98" i="16"/>
  <c r="BL98" i="16"/>
  <c r="BA99" i="16"/>
  <c r="BB99" i="16"/>
  <c r="BC99" i="16"/>
  <c r="BD99" i="16"/>
  <c r="BE99" i="16"/>
  <c r="BF99" i="16"/>
  <c r="BG99" i="16"/>
  <c r="BH99" i="16"/>
  <c r="BI99" i="16"/>
  <c r="BJ99" i="16"/>
  <c r="BK99" i="16"/>
  <c r="BL99" i="16"/>
  <c r="BL86" i="16"/>
  <c r="BK86" i="16"/>
  <c r="BJ86" i="16"/>
  <c r="BI86" i="16"/>
  <c r="BH86" i="16"/>
  <c r="BG86" i="16"/>
  <c r="BF86" i="16"/>
  <c r="BE86" i="16"/>
  <c r="BD86" i="16"/>
  <c r="BC86" i="16"/>
  <c r="BB86" i="16"/>
  <c r="BA86" i="16"/>
  <c r="AS94" i="16"/>
  <c r="AN87" i="16"/>
  <c r="AO87" i="16"/>
  <c r="AP87" i="16"/>
  <c r="AQ87" i="16"/>
  <c r="AR87" i="16"/>
  <c r="AS87" i="16"/>
  <c r="AT87" i="16"/>
  <c r="AU87" i="16"/>
  <c r="AV87" i="16"/>
  <c r="AW87" i="16"/>
  <c r="AX87" i="16"/>
  <c r="AY87" i="16"/>
  <c r="AN88" i="16"/>
  <c r="AO88" i="16"/>
  <c r="AP88" i="16"/>
  <c r="AQ88" i="16"/>
  <c r="AR88" i="16"/>
  <c r="AS88" i="16"/>
  <c r="AT88" i="16"/>
  <c r="AU88" i="16"/>
  <c r="AV88" i="16"/>
  <c r="AW88" i="16"/>
  <c r="AX88" i="16"/>
  <c r="AY88" i="16"/>
  <c r="AN89" i="16"/>
  <c r="AO89" i="16"/>
  <c r="AP89" i="16"/>
  <c r="AQ89" i="16"/>
  <c r="AR89" i="16"/>
  <c r="AS89" i="16"/>
  <c r="AT89" i="16"/>
  <c r="AU89" i="16"/>
  <c r="AV89" i="16"/>
  <c r="AW89" i="16"/>
  <c r="AX89" i="16"/>
  <c r="AY89" i="16"/>
  <c r="AN90" i="16"/>
  <c r="AO90" i="16"/>
  <c r="AP90" i="16"/>
  <c r="AQ90" i="16"/>
  <c r="AR90" i="16"/>
  <c r="AS90" i="16"/>
  <c r="AT90" i="16"/>
  <c r="AU90" i="16"/>
  <c r="AV90" i="16"/>
  <c r="AW90" i="16"/>
  <c r="AX90" i="16"/>
  <c r="AY90" i="16"/>
  <c r="AN91" i="16"/>
  <c r="AO91" i="16"/>
  <c r="AP91" i="16"/>
  <c r="AQ91" i="16"/>
  <c r="AR91" i="16"/>
  <c r="AS91" i="16"/>
  <c r="AT91" i="16"/>
  <c r="AU91" i="16"/>
  <c r="AV91" i="16"/>
  <c r="AW91" i="16"/>
  <c r="AX91" i="16"/>
  <c r="AY91" i="16"/>
  <c r="AN92" i="16"/>
  <c r="AO92" i="16"/>
  <c r="AP92" i="16"/>
  <c r="AQ92" i="16"/>
  <c r="AR92" i="16"/>
  <c r="AS92" i="16"/>
  <c r="AT92" i="16"/>
  <c r="AU92" i="16"/>
  <c r="AV92" i="16"/>
  <c r="AW92" i="16"/>
  <c r="AX92" i="16"/>
  <c r="AY92" i="16"/>
  <c r="AN93" i="16"/>
  <c r="AO93" i="16"/>
  <c r="AP93" i="16"/>
  <c r="AQ93" i="16"/>
  <c r="AR93" i="16"/>
  <c r="AS93" i="16"/>
  <c r="AT93" i="16"/>
  <c r="AU93" i="16"/>
  <c r="AV93" i="16"/>
  <c r="AW93" i="16"/>
  <c r="AX93" i="16"/>
  <c r="AY93" i="16"/>
  <c r="AN94" i="16"/>
  <c r="AO94" i="16"/>
  <c r="AP94" i="16"/>
  <c r="AQ94" i="16"/>
  <c r="AR94" i="16"/>
  <c r="AT94" i="16"/>
  <c r="AU94" i="16"/>
  <c r="AV94" i="16"/>
  <c r="AW94" i="16"/>
  <c r="AX94" i="16"/>
  <c r="AY94" i="16"/>
  <c r="AN95" i="16"/>
  <c r="AO95" i="16"/>
  <c r="AP95" i="16"/>
  <c r="AQ95" i="16"/>
  <c r="AR95" i="16"/>
  <c r="AS95" i="16"/>
  <c r="AT95" i="16"/>
  <c r="AU95" i="16"/>
  <c r="AV95" i="16"/>
  <c r="AW95" i="16"/>
  <c r="AX95" i="16"/>
  <c r="AY95" i="16"/>
  <c r="AN96" i="16"/>
  <c r="AO96" i="16"/>
  <c r="AP96" i="16"/>
  <c r="AQ96" i="16"/>
  <c r="AR96" i="16"/>
  <c r="AS96" i="16"/>
  <c r="AT96" i="16"/>
  <c r="AU96" i="16"/>
  <c r="AV96" i="16"/>
  <c r="AW96" i="16"/>
  <c r="AX96" i="16"/>
  <c r="AY96" i="16"/>
  <c r="AN97" i="16"/>
  <c r="AO97" i="16"/>
  <c r="AP97" i="16"/>
  <c r="AQ97" i="16"/>
  <c r="AR97" i="16"/>
  <c r="AS97" i="16"/>
  <c r="AT97" i="16"/>
  <c r="AU97" i="16"/>
  <c r="AV97" i="16"/>
  <c r="AW97" i="16"/>
  <c r="AX97" i="16"/>
  <c r="AY97" i="16"/>
  <c r="AN98" i="16"/>
  <c r="AO98" i="16"/>
  <c r="AP98" i="16"/>
  <c r="AQ98" i="16"/>
  <c r="AR98" i="16"/>
  <c r="AS98" i="16"/>
  <c r="AT98" i="16"/>
  <c r="AU98" i="16"/>
  <c r="AV98" i="16"/>
  <c r="AW98" i="16"/>
  <c r="AX98" i="16"/>
  <c r="AY98" i="16"/>
  <c r="AN99" i="16"/>
  <c r="AO99" i="16"/>
  <c r="AP99" i="16"/>
  <c r="AQ99" i="16"/>
  <c r="AR99" i="16"/>
  <c r="AS99" i="16"/>
  <c r="AT99" i="16"/>
  <c r="AU99" i="16"/>
  <c r="AV99" i="16"/>
  <c r="AW99" i="16"/>
  <c r="AX99" i="16"/>
  <c r="AY99" i="16"/>
  <c r="AY86" i="16"/>
  <c r="AX86" i="16"/>
  <c r="AW86" i="16"/>
  <c r="AV86" i="16"/>
  <c r="AU86" i="16"/>
  <c r="AT86" i="16"/>
  <c r="AS86" i="16"/>
  <c r="AR86" i="16"/>
  <c r="AP86" i="16"/>
  <c r="AN86" i="16"/>
  <c r="AQ86" i="16"/>
  <c r="AO86" i="16"/>
  <c r="P99" i="16" l="1"/>
  <c r="P96" i="16"/>
  <c r="P95" i="16"/>
  <c r="P90" i="16"/>
  <c r="H40" i="2"/>
  <c r="P97" i="16"/>
  <c r="P91" i="16"/>
  <c r="P87" i="16"/>
  <c r="P98" i="16"/>
  <c r="P89" i="16"/>
  <c r="P88" i="16"/>
  <c r="P86" i="16"/>
  <c r="P94" i="16"/>
  <c r="P92" i="16"/>
  <c r="P93" i="16"/>
  <c r="DF83" i="17"/>
  <c r="DE83" i="17"/>
  <c r="DF82" i="17"/>
  <c r="DE82" i="17"/>
  <c r="DF81" i="17"/>
  <c r="DE81" i="17"/>
  <c r="DF80" i="17"/>
  <c r="DE80" i="17"/>
  <c r="DF79" i="17"/>
  <c r="DE79" i="17"/>
  <c r="DF78" i="17"/>
  <c r="DE78" i="17"/>
  <c r="DF77" i="17"/>
  <c r="DE77" i="17"/>
  <c r="CG82" i="17"/>
  <c r="CH81" i="17"/>
  <c r="CG77" i="17"/>
  <c r="CH82" i="17"/>
  <c r="CH83" i="17"/>
  <c r="CG83" i="17"/>
  <c r="CG81" i="17"/>
  <c r="CI102" i="17"/>
  <c r="DH103" i="17"/>
  <c r="DG96" i="17"/>
  <c r="CI95" i="17"/>
  <c r="DI89" i="17"/>
  <c r="DI82" i="17"/>
  <c r="CH80" i="17"/>
  <c r="CG80" i="17"/>
  <c r="CH79" i="17"/>
  <c r="CH78" i="17"/>
  <c r="CG78" i="17"/>
  <c r="CG79" i="17"/>
  <c r="CH77" i="17"/>
  <c r="Q72" i="17"/>
  <c r="DF110" i="7" l="1"/>
  <c r="CG110" i="7"/>
  <c r="DD110" i="7"/>
  <c r="CM110" i="7"/>
  <c r="CE110" i="7"/>
  <c r="DM110" i="7"/>
  <c r="CS110" i="7"/>
  <c r="CQ110" i="7"/>
  <c r="DS110" i="7"/>
  <c r="CJ96" i="17"/>
  <c r="CI89" i="17"/>
  <c r="DG89" i="17"/>
  <c r="DJ96" i="17"/>
  <c r="DI96" i="17"/>
  <c r="CJ102" i="17"/>
  <c r="DG103" i="17"/>
  <c r="CI82" i="17"/>
  <c r="DI103" i="17"/>
  <c r="DH82" i="17"/>
  <c r="DG82" i="17"/>
  <c r="CI103" i="17"/>
  <c r="DH89" i="17"/>
  <c r="CI96" i="17"/>
  <c r="DH96" i="17"/>
  <c r="DJ82" i="17"/>
  <c r="DJ89" i="17"/>
  <c r="DJ103" i="17"/>
  <c r="CJ103" i="17"/>
  <c r="CJ89" i="17"/>
  <c r="CJ82" i="17"/>
  <c r="CJ95" i="17"/>
  <c r="I96" i="17" l="1"/>
  <c r="I89" i="17"/>
  <c r="I82" i="17"/>
  <c r="I103" i="17"/>
  <c r="AM38" i="17"/>
  <c r="AM36" i="17"/>
  <c r="AM29" i="17"/>
  <c r="AM26" i="17"/>
  <c r="AM23" i="17"/>
  <c r="AM17" i="17"/>
  <c r="AM14" i="17"/>
  <c r="AG14" i="17"/>
  <c r="AJ14" i="17"/>
  <c r="G14" i="17"/>
  <c r="AM20" i="17" l="1"/>
  <c r="CJ77" i="17" l="1"/>
  <c r="DH77" i="17"/>
  <c r="DJ77" i="17"/>
  <c r="CI77" i="17"/>
  <c r="DI77" i="17"/>
  <c r="DG77" i="17"/>
  <c r="CE41" i="2"/>
  <c r="CE42" i="2"/>
  <c r="CE43" i="2"/>
  <c r="CE44" i="2"/>
  <c r="CE45" i="2"/>
  <c r="CE46" i="2"/>
  <c r="CE47" i="2"/>
  <c r="CE48" i="2"/>
  <c r="AF92" i="11"/>
  <c r="AF93" i="11"/>
  <c r="AF94" i="11"/>
  <c r="AF95" i="11"/>
  <c r="AF96" i="11"/>
  <c r="AF97" i="11"/>
  <c r="AF91" i="11"/>
  <c r="AB92" i="11"/>
  <c r="E92" i="11" s="1"/>
  <c r="AB93" i="11"/>
  <c r="E93" i="11" s="1"/>
  <c r="AB94" i="11"/>
  <c r="E94" i="11" s="1"/>
  <c r="AB95" i="11"/>
  <c r="E95" i="11" s="1"/>
  <c r="AB96" i="11"/>
  <c r="E96" i="11" s="1"/>
  <c r="AB97" i="11"/>
  <c r="E97" i="11" s="1"/>
  <c r="E91" i="11"/>
  <c r="E11" i="11"/>
  <c r="E12" i="11"/>
  <c r="E13" i="11"/>
  <c r="E14" i="11"/>
  <c r="E15" i="11"/>
  <c r="E17" i="11"/>
  <c r="E18" i="11"/>
  <c r="E19" i="11"/>
  <c r="E20" i="11"/>
  <c r="E21" i="11"/>
  <c r="E22" i="11"/>
  <c r="E10" i="11"/>
  <c r="E16" i="11"/>
  <c r="I12" i="18"/>
  <c r="H12" i="18"/>
  <c r="G12" i="18"/>
  <c r="CB30" i="2" l="1"/>
  <c r="CD30" i="2"/>
  <c r="CC30" i="2"/>
  <c r="CG30" i="2"/>
  <c r="CE30" i="2"/>
  <c r="CF30" i="2"/>
  <c r="I77" i="17"/>
  <c r="U30" i="2" l="1"/>
  <c r="BQ14" i="18"/>
  <c r="BB14" i="18" s="1"/>
  <c r="BR14" i="18"/>
  <c r="BC14" i="18" s="1"/>
  <c r="BS14" i="18"/>
  <c r="BD14" i="18" s="1"/>
  <c r="BT14" i="18"/>
  <c r="BE14" i="18" s="1"/>
  <c r="CV12" i="17"/>
  <c r="AE38" i="17"/>
  <c r="AF38" i="17"/>
  <c r="AE36" i="17"/>
  <c r="AF36" i="17"/>
  <c r="AE29" i="17"/>
  <c r="AF29" i="17"/>
  <c r="AE26" i="17"/>
  <c r="AF26" i="17"/>
  <c r="AE23" i="17"/>
  <c r="AF23" i="17"/>
  <c r="AE20" i="17"/>
  <c r="AF20" i="17"/>
  <c r="AE17" i="17"/>
  <c r="AF17" i="17"/>
  <c r="AE14" i="17"/>
  <c r="AF14" i="17"/>
  <c r="CW22" i="17" l="1"/>
  <c r="CY22" i="17"/>
  <c r="CW33" i="17"/>
  <c r="CY33" i="17"/>
  <c r="CV22" i="17"/>
  <c r="CX22" i="17"/>
  <c r="CV16" i="17"/>
  <c r="CX16" i="17"/>
  <c r="CW31" i="17"/>
  <c r="CY31" i="17"/>
  <c r="CV33" i="17"/>
  <c r="CX33" i="17"/>
  <c r="CY27" i="17"/>
  <c r="CW27" i="17"/>
  <c r="CY21" i="17"/>
  <c r="CW21" i="17"/>
  <c r="CY15" i="17"/>
  <c r="CW15" i="17"/>
  <c r="CY37" i="17"/>
  <c r="CW37" i="17"/>
  <c r="CY32" i="17"/>
  <c r="CW32" i="17"/>
  <c r="CP11" i="17"/>
  <c r="CX27" i="17"/>
  <c r="CV27" i="17"/>
  <c r="CX21" i="17"/>
  <c r="CV21" i="17"/>
  <c r="CX15" i="17"/>
  <c r="CV15" i="17"/>
  <c r="CX37" i="17"/>
  <c r="CV37" i="17"/>
  <c r="CV32" i="17"/>
  <c r="CX32" i="17"/>
  <c r="CW25" i="17"/>
  <c r="CY25" i="17"/>
  <c r="CX11" i="17"/>
  <c r="CV11" i="17"/>
  <c r="CW28" i="17"/>
  <c r="CY28" i="17"/>
  <c r="CW16" i="17"/>
  <c r="CY16" i="17"/>
  <c r="CW19" i="17"/>
  <c r="CY19" i="17"/>
  <c r="CW13" i="17"/>
  <c r="CY13" i="17"/>
  <c r="CW35" i="17"/>
  <c r="CY35" i="17"/>
  <c r="CV39" i="17"/>
  <c r="CX39" i="17"/>
  <c r="CW11" i="17"/>
  <c r="CY11" i="17"/>
  <c r="CV25" i="17"/>
  <c r="CX25" i="17"/>
  <c r="CV19" i="17"/>
  <c r="CX19" i="17"/>
  <c r="CV13" i="17"/>
  <c r="CX13" i="17"/>
  <c r="CV35" i="17"/>
  <c r="CX35" i="17"/>
  <c r="CW39" i="17"/>
  <c r="CY39" i="17"/>
  <c r="CY30" i="17"/>
  <c r="CW30" i="17"/>
  <c r="CY24" i="17"/>
  <c r="CW24" i="17"/>
  <c r="CY18" i="17"/>
  <c r="CW18" i="17"/>
  <c r="CY12" i="17"/>
  <c r="CW12" i="17"/>
  <c r="CY34" i="17"/>
  <c r="CW34" i="17"/>
  <c r="CX30" i="17"/>
  <c r="CV30" i="17"/>
  <c r="CX24" i="17"/>
  <c r="CV24" i="17"/>
  <c r="CX18" i="17"/>
  <c r="CV18" i="17"/>
  <c r="DR12" i="17"/>
  <c r="CX12" i="17"/>
  <c r="CX34" i="17"/>
  <c r="CV34" i="17"/>
  <c r="CV28" i="17"/>
  <c r="CX28" i="17"/>
  <c r="CV31" i="17"/>
  <c r="CX31" i="17"/>
  <c r="DP11" i="17"/>
  <c r="DR28" i="17"/>
  <c r="DT28" i="17"/>
  <c r="DR22" i="17"/>
  <c r="DT22" i="17"/>
  <c r="DR16" i="17"/>
  <c r="DT16" i="17"/>
  <c r="DU31" i="17"/>
  <c r="DS31" i="17"/>
  <c r="DT33" i="17"/>
  <c r="DR33" i="17"/>
  <c r="DS27" i="17"/>
  <c r="DU27" i="17"/>
  <c r="DU21" i="17"/>
  <c r="DS21" i="17"/>
  <c r="DS15" i="17"/>
  <c r="DU15" i="17"/>
  <c r="DU37" i="17"/>
  <c r="DS37" i="17"/>
  <c r="DR27" i="17"/>
  <c r="DT27" i="17"/>
  <c r="DR21" i="17"/>
  <c r="DT21" i="17"/>
  <c r="DR15" i="17"/>
  <c r="DT15" i="17"/>
  <c r="DT37" i="17"/>
  <c r="DR37" i="17"/>
  <c r="DR32" i="17"/>
  <c r="DT32" i="17"/>
  <c r="DS19" i="17"/>
  <c r="DU19" i="17"/>
  <c r="DU35" i="17"/>
  <c r="DS35" i="17"/>
  <c r="DR13" i="17"/>
  <c r="DT13" i="17"/>
  <c r="DS30" i="17"/>
  <c r="DU30" i="17"/>
  <c r="DU12" i="17"/>
  <c r="DS12" i="17"/>
  <c r="DT24" i="17"/>
  <c r="DR24" i="17"/>
  <c r="DR18" i="17"/>
  <c r="DT18" i="17"/>
  <c r="DT12" i="17"/>
  <c r="DT34" i="17"/>
  <c r="DR34" i="17"/>
  <c r="DS25" i="17"/>
  <c r="DU25" i="17"/>
  <c r="DS13" i="17"/>
  <c r="DU13" i="17"/>
  <c r="DR39" i="17"/>
  <c r="DT39" i="17"/>
  <c r="DR25" i="17"/>
  <c r="DT25" i="17"/>
  <c r="DT19" i="17"/>
  <c r="DR19" i="17"/>
  <c r="DT35" i="17"/>
  <c r="DR35" i="17"/>
  <c r="DU39" i="17"/>
  <c r="DS39" i="17"/>
  <c r="DU24" i="17"/>
  <c r="DS24" i="17"/>
  <c r="DS18" i="17"/>
  <c r="DU18" i="17"/>
  <c r="DS34" i="17"/>
  <c r="DU34" i="17"/>
  <c r="DR30" i="17"/>
  <c r="DT30" i="17"/>
  <c r="DS28" i="17"/>
  <c r="DU28" i="17"/>
  <c r="DS22" i="17"/>
  <c r="DU22" i="17"/>
  <c r="DS16" i="17"/>
  <c r="DU16" i="17"/>
  <c r="DS33" i="17"/>
  <c r="DU33" i="17"/>
  <c r="DU11" i="17"/>
  <c r="DS11" i="17"/>
  <c r="DR11" i="17"/>
  <c r="DT11" i="17"/>
  <c r="DU32" i="17"/>
  <c r="DS32" i="17"/>
  <c r="DR31" i="17"/>
  <c r="DT31" i="17"/>
  <c r="T14" i="18"/>
  <c r="CJ46" i="4"/>
  <c r="CK46" i="4" l="1"/>
  <c r="CB46" i="4"/>
  <c r="CH46" i="4"/>
  <c r="CP46" i="4"/>
  <c r="CG46" i="4"/>
  <c r="CO46" i="4"/>
  <c r="CF46" i="4"/>
  <c r="CN46" i="4"/>
  <c r="CE46" i="4"/>
  <c r="CM46" i="4"/>
  <c r="CD46" i="4"/>
  <c r="CL46" i="4"/>
  <c r="CC46" i="4"/>
  <c r="AM33" i="17"/>
  <c r="CR11" i="17"/>
  <c r="CS11" i="17"/>
  <c r="AM28" i="17"/>
  <c r="AM19" i="17"/>
  <c r="AM30" i="17"/>
  <c r="AM35" i="17"/>
  <c r="AM18" i="17"/>
  <c r="AM27" i="17"/>
  <c r="AM22" i="17"/>
  <c r="AM32" i="17"/>
  <c r="AM34" i="17"/>
  <c r="AM15" i="17"/>
  <c r="AM25" i="17"/>
  <c r="AM37" i="17"/>
  <c r="AM24" i="17"/>
  <c r="AM12" i="17"/>
  <c r="AM13" i="17"/>
  <c r="AM39" i="17"/>
  <c r="AM16" i="17"/>
  <c r="AM21" i="17"/>
  <c r="AM31" i="17"/>
  <c r="B50" i="8"/>
  <c r="AO64" i="4" l="1"/>
  <c r="AO63" i="4"/>
  <c r="AO61" i="4"/>
  <c r="AO60" i="4"/>
  <c r="AO59" i="4"/>
  <c r="AU194" i="17"/>
  <c r="AV194" i="17"/>
  <c r="AT194" i="17"/>
  <c r="AS194" i="17"/>
  <c r="I194" i="17"/>
  <c r="J194" i="17"/>
  <c r="K194" i="17"/>
  <c r="L194" i="17"/>
  <c r="M194" i="17"/>
  <c r="N194" i="17"/>
  <c r="O194" i="17"/>
  <c r="P194" i="17"/>
  <c r="Q194" i="17"/>
  <c r="R194" i="17"/>
  <c r="S194" i="17"/>
  <c r="T194" i="17"/>
  <c r="U194" i="17"/>
  <c r="V194" i="17"/>
  <c r="W194" i="17"/>
  <c r="X194" i="17"/>
  <c r="Y194" i="17"/>
  <c r="Z194" i="17"/>
  <c r="AA194" i="17"/>
  <c r="AB194" i="17"/>
  <c r="AC194" i="17"/>
  <c r="AD194" i="17"/>
  <c r="AE194" i="17"/>
  <c r="AF194" i="17"/>
  <c r="AG194" i="17"/>
  <c r="AH194" i="17"/>
  <c r="AI194" i="17"/>
  <c r="AJ194" i="17"/>
  <c r="AK194" i="17"/>
  <c r="AL194" i="17"/>
  <c r="AM194" i="17"/>
  <c r="AN194" i="17"/>
  <c r="AO194" i="17"/>
  <c r="AP194" i="17"/>
  <c r="AQ194" i="17"/>
  <c r="AR194" i="17"/>
  <c r="H194" i="17"/>
  <c r="M46" i="4" l="1"/>
  <c r="S12" i="18"/>
  <c r="R12" i="18"/>
  <c r="Q12" i="18"/>
  <c r="P12" i="18"/>
  <c r="O12" i="18"/>
  <c r="N12" i="18"/>
  <c r="M12" i="18"/>
  <c r="L12" i="18"/>
  <c r="K12" i="18"/>
  <c r="J12" i="18"/>
  <c r="F12" i="18"/>
  <c r="DT41" i="5"/>
  <c r="DS41" i="5"/>
  <c r="DR41" i="5"/>
  <c r="DQ41" i="5"/>
  <c r="DP41" i="5"/>
  <c r="DO41" i="5"/>
  <c r="DN41" i="5"/>
  <c r="DM41" i="5"/>
  <c r="DL41" i="5"/>
  <c r="DK41" i="5"/>
  <c r="DJ41" i="5"/>
  <c r="DI41" i="5"/>
  <c r="DH41" i="5"/>
  <c r="DG41" i="5"/>
  <c r="DF41" i="5"/>
  <c r="DE41" i="5"/>
  <c r="DD41" i="5"/>
  <c r="DC41" i="5"/>
  <c r="DB41" i="5"/>
  <c r="DA41" i="5"/>
  <c r="CZ41" i="5"/>
  <c r="CY41" i="5"/>
  <c r="CX41" i="5"/>
  <c r="CW41" i="5"/>
  <c r="CV41" i="5"/>
  <c r="CU41" i="5"/>
  <c r="CT41" i="5"/>
  <c r="CS41" i="5"/>
  <c r="DT40" i="5"/>
  <c r="DS40" i="5"/>
  <c r="DR40" i="5"/>
  <c r="DQ40" i="5"/>
  <c r="DP40" i="5"/>
  <c r="DO40" i="5"/>
  <c r="DN40" i="5"/>
  <c r="DM40" i="5"/>
  <c r="DL40" i="5"/>
  <c r="DK40" i="5"/>
  <c r="DJ40" i="5"/>
  <c r="DI40" i="5"/>
  <c r="DH40" i="5"/>
  <c r="DG40" i="5"/>
  <c r="DF40" i="5"/>
  <c r="DE40" i="5"/>
  <c r="DD40" i="5"/>
  <c r="DC40" i="5"/>
  <c r="DB40" i="5"/>
  <c r="DA40" i="5"/>
  <c r="CZ40" i="5"/>
  <c r="CY40" i="5"/>
  <c r="CX40" i="5"/>
  <c r="CW40" i="5"/>
  <c r="CV40" i="5"/>
  <c r="CU40" i="5"/>
  <c r="CT40" i="5"/>
  <c r="CS40" i="5"/>
  <c r="CJ41" i="5"/>
  <c r="CI41" i="5"/>
  <c r="CH41" i="5"/>
  <c r="CG41" i="5"/>
  <c r="CF41" i="5"/>
  <c r="CE41" i="5"/>
  <c r="CD41" i="5"/>
  <c r="CC41" i="5"/>
  <c r="CB41" i="5"/>
  <c r="CA41" i="5"/>
  <c r="BZ41" i="5"/>
  <c r="BY41" i="5"/>
  <c r="BX41" i="5"/>
  <c r="BW41" i="5"/>
  <c r="BV41" i="5"/>
  <c r="BU41" i="5"/>
  <c r="BT41" i="5"/>
  <c r="BS41" i="5"/>
  <c r="BR41" i="5"/>
  <c r="BQ41" i="5"/>
  <c r="BP41" i="5"/>
  <c r="BO41" i="5"/>
  <c r="BN41" i="5"/>
  <c r="BM41" i="5"/>
  <c r="BL41" i="5"/>
  <c r="BK41" i="5"/>
  <c r="BJ41" i="5"/>
  <c r="BI41" i="5"/>
  <c r="CK139" i="17" l="1"/>
  <c r="CK138" i="17"/>
  <c r="CJ139" i="17"/>
  <c r="CJ138" i="17"/>
  <c r="CI139" i="17"/>
  <c r="CI138" i="17"/>
  <c r="CH139" i="17"/>
  <c r="CH138" i="17"/>
  <c r="CG139" i="17"/>
  <c r="DG138" i="17"/>
  <c r="DL138" i="17"/>
  <c r="DK139" i="17"/>
  <c r="DK138" i="17"/>
  <c r="DJ139" i="17"/>
  <c r="DJ138" i="17"/>
  <c r="DI138" i="17"/>
  <c r="DI139" i="17"/>
  <c r="DH139" i="17"/>
  <c r="DG139" i="17"/>
  <c r="DH138" i="17"/>
  <c r="DG133" i="17"/>
  <c r="DG132" i="17"/>
  <c r="DG131" i="17"/>
  <c r="DG130" i="17"/>
  <c r="DF133" i="17"/>
  <c r="DF132" i="17"/>
  <c r="DF131" i="17"/>
  <c r="CK133" i="17"/>
  <c r="CK132" i="17"/>
  <c r="CK131" i="17"/>
  <c r="CL133" i="17"/>
  <c r="CL132" i="17"/>
  <c r="CL131" i="17"/>
  <c r="N133" i="17" l="1"/>
  <c r="N132" i="17"/>
  <c r="N130" i="17"/>
  <c r="N131" i="17"/>
  <c r="H29" i="6" l="1"/>
  <c r="G29" i="6"/>
  <c r="CX86" i="5" l="1"/>
  <c r="CW86" i="5"/>
  <c r="BK86" i="5"/>
  <c r="CO86" i="5"/>
  <c r="CQ86" i="5"/>
  <c r="BL86" i="5"/>
  <c r="BE86" i="5"/>
  <c r="BG86" i="5"/>
  <c r="CR86" i="5"/>
  <c r="BH86" i="5"/>
  <c r="BF86" i="5"/>
  <c r="CP86" i="5"/>
  <c r="AM86" i="5" l="1"/>
  <c r="H128" i="2"/>
  <c r="G128" i="2"/>
  <c r="F128" i="2"/>
  <c r="E128" i="2"/>
  <c r="D128" i="2"/>
  <c r="C128" i="2"/>
  <c r="E24" i="2" l="1"/>
  <c r="F24" i="2" l="1"/>
  <c r="M24" i="2"/>
  <c r="T24" i="2"/>
  <c r="S24" i="2"/>
  <c r="R24" i="2"/>
  <c r="N24" i="2"/>
  <c r="G70" i="17" l="1"/>
  <c r="G29" i="17"/>
  <c r="AL23" i="17"/>
  <c r="I26" i="17"/>
  <c r="G20" i="17"/>
  <c r="I14" i="17"/>
  <c r="CP53" i="6" l="1"/>
  <c r="CR53" i="6"/>
  <c r="CV53" i="6"/>
  <c r="CK53" i="6"/>
  <c r="CK34" i="4"/>
  <c r="CM34" i="4"/>
  <c r="CO34" i="4"/>
  <c r="CQ34" i="4"/>
  <c r="CC34" i="4"/>
  <c r="CE34" i="4"/>
  <c r="CG53" i="6"/>
  <c r="CE53" i="6"/>
  <c r="E70" i="2"/>
  <c r="E65" i="2"/>
  <c r="CB65" i="2" s="1"/>
  <c r="CB74" i="2"/>
  <c r="G49" i="2"/>
  <c r="F49" i="2"/>
  <c r="E49" i="2"/>
  <c r="D49" i="2"/>
  <c r="C49" i="2"/>
  <c r="C57" i="2"/>
  <c r="CK55" i="2"/>
  <c r="CB54" i="2"/>
  <c r="E54" i="2" s="1"/>
  <c r="F108" i="2"/>
  <c r="E108" i="2"/>
  <c r="D108" i="2"/>
  <c r="C108" i="2"/>
  <c r="E116" i="2"/>
  <c r="AM29" i="5"/>
  <c r="G29" i="5"/>
  <c r="G20" i="6"/>
  <c r="CP34" i="6" l="1"/>
  <c r="CV34" i="6"/>
  <c r="CR34" i="6"/>
  <c r="CQ34" i="6"/>
  <c r="CW34" i="6"/>
  <c r="CO34" i="6"/>
  <c r="CU34" i="6"/>
  <c r="CT34" i="6"/>
  <c r="CS34" i="6"/>
  <c r="CP12" i="6"/>
  <c r="CR12" i="6"/>
  <c r="CV12" i="6"/>
  <c r="CV43" i="6"/>
  <c r="CQ43" i="6"/>
  <c r="CO43" i="6"/>
  <c r="CP43" i="6"/>
  <c r="CW43" i="6"/>
  <c r="CS43" i="6"/>
  <c r="CR43" i="6"/>
  <c r="CX43" i="6"/>
  <c r="CT43" i="6"/>
  <c r="CW12" i="6"/>
  <c r="CO12" i="6"/>
  <c r="CT12" i="6"/>
  <c r="CS12" i="6"/>
  <c r="CQ12" i="6"/>
  <c r="CU12" i="6"/>
  <c r="CR19" i="5"/>
  <c r="CP19" i="5"/>
  <c r="CO19" i="5"/>
  <c r="CQ19" i="5"/>
  <c r="CW84" i="5"/>
  <c r="CX84" i="5"/>
  <c r="CW82" i="5"/>
  <c r="CX82" i="5"/>
  <c r="CW85" i="5"/>
  <c r="CX85" i="5"/>
  <c r="CW83" i="5"/>
  <c r="CX83" i="5"/>
  <c r="CX76" i="5"/>
  <c r="CW76" i="5"/>
  <c r="CX61" i="5"/>
  <c r="CW61" i="5"/>
  <c r="BK68" i="5"/>
  <c r="CW68" i="5"/>
  <c r="CX68" i="5"/>
  <c r="CX65" i="5"/>
  <c r="CW65" i="5"/>
  <c r="CX48" i="5"/>
  <c r="CW48" i="5"/>
  <c r="CQ48" i="6"/>
  <c r="CO48" i="6"/>
  <c r="CV48" i="6"/>
  <c r="CQ54" i="6"/>
  <c r="CU54" i="6"/>
  <c r="CO54" i="6"/>
  <c r="CQ55" i="6"/>
  <c r="CO55" i="6"/>
  <c r="CU55" i="6"/>
  <c r="CO53" i="6"/>
  <c r="CU53" i="6"/>
  <c r="CQ53" i="6"/>
  <c r="CS53" i="6"/>
  <c r="CT53" i="6"/>
  <c r="CW53" i="6"/>
  <c r="CJ54" i="6"/>
  <c r="BD72" i="16"/>
  <c r="BB72" i="16"/>
  <c r="BH72" i="16"/>
  <c r="BF72" i="16"/>
  <c r="BG83" i="5"/>
  <c r="BE83" i="5"/>
  <c r="CU56" i="6"/>
  <c r="CJ56" i="6"/>
  <c r="BG84" i="5"/>
  <c r="BE84" i="5"/>
  <c r="CN12" i="4"/>
  <c r="CP12" i="4"/>
  <c r="CK12" i="6"/>
  <c r="BH82" i="5"/>
  <c r="BF82" i="5"/>
  <c r="BG65" i="5"/>
  <c r="BE65" i="5"/>
  <c r="CL18" i="4"/>
  <c r="CN18" i="4"/>
  <c r="CP18" i="4"/>
  <c r="CR18" i="4"/>
  <c r="BG76" i="5"/>
  <c r="BE76" i="5"/>
  <c r="BF76" i="5"/>
  <c r="BH76" i="5"/>
  <c r="CU57" i="6"/>
  <c r="CJ57" i="6"/>
  <c r="BG85" i="5"/>
  <c r="BE85" i="5"/>
  <c r="CL15" i="4"/>
  <c r="CP15" i="4"/>
  <c r="CN15" i="4"/>
  <c r="CR15" i="4"/>
  <c r="CL43" i="6"/>
  <c r="CJ43" i="6"/>
  <c r="BF83" i="5"/>
  <c r="BH83" i="5"/>
  <c r="BF65" i="5"/>
  <c r="BH65" i="5"/>
  <c r="CK15" i="4"/>
  <c r="CM15" i="4"/>
  <c r="CO15" i="4"/>
  <c r="CQ15" i="4"/>
  <c r="CP20" i="4"/>
  <c r="CL20" i="4"/>
  <c r="CN20" i="4"/>
  <c r="CR20" i="4"/>
  <c r="CC89" i="2"/>
  <c r="CD89" i="2"/>
  <c r="CB89" i="2"/>
  <c r="CE89" i="2"/>
  <c r="CK34" i="6"/>
  <c r="CJ55" i="6"/>
  <c r="BD48" i="16"/>
  <c r="BB48" i="16"/>
  <c r="BH48" i="16"/>
  <c r="BF48" i="16"/>
  <c r="CK11" i="2"/>
  <c r="BD49" i="16"/>
  <c r="BB49" i="16"/>
  <c r="BH49" i="16"/>
  <c r="BF49" i="16"/>
  <c r="BF68" i="5"/>
  <c r="BH68" i="5"/>
  <c r="BC46" i="16"/>
  <c r="BA46" i="16"/>
  <c r="BE46" i="16"/>
  <c r="BG46" i="16"/>
  <c r="BC12" i="16"/>
  <c r="BA12" i="16"/>
  <c r="BG12" i="16"/>
  <c r="BE12" i="16"/>
  <c r="BC57" i="16"/>
  <c r="BA57" i="16"/>
  <c r="BE57" i="16"/>
  <c r="BG57" i="16"/>
  <c r="BD12" i="16"/>
  <c r="BB12" i="16"/>
  <c r="BH12" i="16"/>
  <c r="BF12" i="16"/>
  <c r="CK43" i="6"/>
  <c r="BG19" i="5"/>
  <c r="BE19" i="5"/>
  <c r="BF84" i="5"/>
  <c r="BH84" i="5"/>
  <c r="BG61" i="5"/>
  <c r="BE61" i="5"/>
  <c r="CK18" i="4"/>
  <c r="CM18" i="4"/>
  <c r="CO18" i="4"/>
  <c r="CQ18" i="4"/>
  <c r="CR23" i="4"/>
  <c r="CL23" i="4"/>
  <c r="CN23" i="4"/>
  <c r="CP23" i="4"/>
  <c r="BC72" i="16"/>
  <c r="BA72" i="16"/>
  <c r="BG72" i="16"/>
  <c r="BE72" i="16"/>
  <c r="BG82" i="5"/>
  <c r="BE82" i="5"/>
  <c r="CO23" i="4"/>
  <c r="CQ23" i="4"/>
  <c r="CK23" i="4"/>
  <c r="CM23" i="4"/>
  <c r="CK65" i="2"/>
  <c r="BD46" i="16"/>
  <c r="BB46" i="16"/>
  <c r="BF46" i="16"/>
  <c r="BH46" i="16"/>
  <c r="CQ24" i="4"/>
  <c r="CM24" i="4"/>
  <c r="CO24" i="4"/>
  <c r="CK24" i="4"/>
  <c r="BG68" i="5"/>
  <c r="BE68" i="5"/>
  <c r="CJ12" i="6"/>
  <c r="CD12" i="6"/>
  <c r="CH12" i="6"/>
  <c r="CL12" i="6"/>
  <c r="CF12" i="6"/>
  <c r="CJ48" i="6"/>
  <c r="BD58" i="16"/>
  <c r="BB58" i="16"/>
  <c r="BH58" i="16"/>
  <c r="BF58" i="16"/>
  <c r="CJ53" i="6"/>
  <c r="CL53" i="6"/>
  <c r="CL34" i="6"/>
  <c r="CJ34" i="6"/>
  <c r="BF19" i="5"/>
  <c r="BH19" i="5"/>
  <c r="BF85" i="5"/>
  <c r="BH85" i="5"/>
  <c r="BF61" i="5"/>
  <c r="BH61" i="5"/>
  <c r="CM20" i="4"/>
  <c r="CQ20" i="4"/>
  <c r="CK20" i="4"/>
  <c r="CO20" i="4"/>
  <c r="BF48" i="5"/>
  <c r="BH48" i="5"/>
  <c r="BG48" i="5"/>
  <c r="BE48" i="5"/>
  <c r="CO12" i="4"/>
  <c r="CM12" i="4"/>
  <c r="CL12" i="4"/>
  <c r="CR12" i="4"/>
  <c r="CK12" i="4"/>
  <c r="CQ12" i="4"/>
  <c r="CD12" i="4"/>
  <c r="CF12" i="4"/>
  <c r="CC23" i="4"/>
  <c r="CE23" i="4"/>
  <c r="CC15" i="4"/>
  <c r="CE15" i="4"/>
  <c r="CD20" i="4"/>
  <c r="CF20" i="4"/>
  <c r="CE12" i="4"/>
  <c r="CC12" i="4"/>
  <c r="CF23" i="4"/>
  <c r="CD23" i="4"/>
  <c r="CC24" i="4"/>
  <c r="CE24" i="4"/>
  <c r="CF15" i="4"/>
  <c r="CD15" i="4"/>
  <c r="CD18" i="4"/>
  <c r="CF18" i="4"/>
  <c r="CE18" i="4"/>
  <c r="CC18" i="4"/>
  <c r="CC20" i="4"/>
  <c r="CE20" i="4"/>
  <c r="D57" i="2"/>
  <c r="CK53" i="2"/>
  <c r="CB53" i="2"/>
  <c r="E53" i="2" s="1"/>
  <c r="CD20" i="2"/>
  <c r="CG20" i="2"/>
  <c r="CB20" i="2"/>
  <c r="CC20" i="2"/>
  <c r="CE20" i="2"/>
  <c r="CF20" i="2"/>
  <c r="CP11" i="2"/>
  <c r="CB11" i="2"/>
  <c r="CG11" i="2"/>
  <c r="CD11" i="2"/>
  <c r="CF11" i="2"/>
  <c r="CE11" i="2"/>
  <c r="CC11" i="2"/>
  <c r="AS46" i="16"/>
  <c r="AQ46" i="16"/>
  <c r="AU46" i="16"/>
  <c r="AO46" i="16"/>
  <c r="AR46" i="16"/>
  <c r="AT46" i="16"/>
  <c r="AN46" i="16"/>
  <c r="AP46" i="16"/>
  <c r="AU48" i="16"/>
  <c r="AQ48" i="16"/>
  <c r="AO48" i="16"/>
  <c r="AS48" i="16"/>
  <c r="AS12" i="16"/>
  <c r="AU12" i="16"/>
  <c r="AQ12" i="16"/>
  <c r="AO12" i="16"/>
  <c r="AS72" i="16"/>
  <c r="AQ72" i="16"/>
  <c r="AO72" i="16"/>
  <c r="AU72" i="16"/>
  <c r="AN57" i="16"/>
  <c r="AR57" i="16"/>
  <c r="AT57" i="16"/>
  <c r="AP57" i="16"/>
  <c r="AQ58" i="16"/>
  <c r="AU58" i="16"/>
  <c r="AO58" i="16"/>
  <c r="AS58" i="16"/>
  <c r="AU49" i="16"/>
  <c r="AS49" i="16"/>
  <c r="AO49" i="16"/>
  <c r="AQ49" i="16"/>
  <c r="AN12" i="16"/>
  <c r="AR12" i="16"/>
  <c r="AP12" i="16"/>
  <c r="AT12" i="16"/>
  <c r="AT72" i="16"/>
  <c r="AR72" i="16"/>
  <c r="AP72" i="16"/>
  <c r="AN72" i="16"/>
  <c r="CJ12" i="4"/>
  <c r="BL68" i="5"/>
  <c r="CQ68" i="5"/>
  <c r="CO68" i="5"/>
  <c r="CD53" i="6"/>
  <c r="CI53" i="6"/>
  <c r="CF53" i="6"/>
  <c r="CH53" i="6"/>
  <c r="CR68" i="5"/>
  <c r="CP68" i="5"/>
  <c r="CD54" i="6"/>
  <c r="CF54" i="6"/>
  <c r="CG43" i="6"/>
  <c r="CE43" i="6"/>
  <c r="BL65" i="5"/>
  <c r="CQ65" i="5"/>
  <c r="CO65" i="5"/>
  <c r="BK65" i="5"/>
  <c r="CF55" i="6"/>
  <c r="CD55" i="6"/>
  <c r="CI34" i="6"/>
  <c r="CH34" i="6"/>
  <c r="BK83" i="5"/>
  <c r="BL83" i="5"/>
  <c r="CR65" i="5"/>
  <c r="CP65" i="5"/>
  <c r="CO56" i="6"/>
  <c r="CD56" i="6"/>
  <c r="CQ56" i="6"/>
  <c r="CF56" i="6"/>
  <c r="BL84" i="5"/>
  <c r="BK84" i="5"/>
  <c r="BL61" i="5"/>
  <c r="CO61" i="5"/>
  <c r="BK61" i="5"/>
  <c r="CQ61" i="5"/>
  <c r="CO57" i="6"/>
  <c r="CD57" i="6"/>
  <c r="CQ57" i="6"/>
  <c r="CF57" i="6"/>
  <c r="BL85" i="5"/>
  <c r="BK85" i="5"/>
  <c r="CR61" i="5"/>
  <c r="CP61" i="5"/>
  <c r="CF48" i="6"/>
  <c r="CD48" i="6"/>
  <c r="CI43" i="6"/>
  <c r="CD43" i="6"/>
  <c r="CF43" i="6"/>
  <c r="CH43" i="6"/>
  <c r="D131" i="11"/>
  <c r="D114" i="11"/>
  <c r="AB103" i="11"/>
  <c r="D98" i="11"/>
  <c r="C98" i="11"/>
  <c r="C87" i="11"/>
  <c r="C74" i="11"/>
  <c r="D61" i="11"/>
  <c r="D42" i="11"/>
  <c r="D23" i="11"/>
  <c r="C23" i="11"/>
  <c r="AC53" i="6" l="1"/>
  <c r="L89" i="2"/>
  <c r="AM68" i="5"/>
  <c r="N29" i="11"/>
  <c r="S72" i="16"/>
  <c r="CP22" i="10"/>
  <c r="CE22" i="10"/>
  <c r="CO22" i="10"/>
  <c r="CD22" i="10"/>
  <c r="S12" i="16"/>
  <c r="S46" i="16"/>
  <c r="CC13" i="10"/>
  <c r="CN13" i="10"/>
  <c r="CO15" i="10"/>
  <c r="CD15" i="10"/>
  <c r="CC14" i="10"/>
  <c r="CN14" i="10"/>
  <c r="CO14" i="10"/>
  <c r="CD14" i="10"/>
  <c r="CN15" i="10"/>
  <c r="CC15" i="10"/>
  <c r="CC17" i="10"/>
  <c r="CN17" i="10"/>
  <c r="CN12" i="10"/>
  <c r="CC12" i="10"/>
  <c r="CC16" i="10"/>
  <c r="CN16" i="10"/>
  <c r="CB12" i="4"/>
  <c r="U11" i="2"/>
  <c r="U20" i="2"/>
  <c r="N48" i="11"/>
  <c r="AB120" i="11"/>
  <c r="I120" i="11" s="1"/>
  <c r="AF120" i="11"/>
  <c r="CV17" i="10"/>
  <c r="AF103" i="11"/>
  <c r="I103" i="11"/>
  <c r="CH14" i="10"/>
  <c r="CS14" i="10"/>
  <c r="CS15" i="10"/>
  <c r="CH15" i="10"/>
  <c r="CH16" i="10"/>
  <c r="CS16" i="10"/>
  <c r="CU17" i="10"/>
  <c r="CS17" i="10"/>
  <c r="CH17" i="10"/>
  <c r="E12" i="18"/>
  <c r="CV12" i="10"/>
  <c r="CH12" i="10"/>
  <c r="CS12" i="10"/>
  <c r="CU12" i="10"/>
  <c r="CW12" i="10"/>
  <c r="CW13" i="10"/>
  <c r="CH13" i="10"/>
  <c r="CU13" i="10"/>
  <c r="CS13" i="10"/>
  <c r="CV13" i="10"/>
  <c r="D12" i="18"/>
  <c r="G24" i="2"/>
  <c r="CB75" i="2"/>
  <c r="CM93" i="2"/>
  <c r="CE94" i="2"/>
  <c r="B33" i="10" l="1"/>
  <c r="CW17" i="10"/>
  <c r="CB73" i="2"/>
  <c r="CK73" i="2"/>
  <c r="CW22" i="10"/>
  <c r="CS22" i="10"/>
  <c r="CV22" i="10"/>
  <c r="CN95" i="2"/>
  <c r="CE95" i="2"/>
  <c r="CD95" i="2"/>
  <c r="CK95" i="2"/>
  <c r="CL95" i="2"/>
  <c r="CM95" i="2"/>
  <c r="CC95" i="2"/>
  <c r="CB95" i="2"/>
  <c r="CX13" i="10"/>
  <c r="CM13" i="10"/>
  <c r="CM17" i="10"/>
  <c r="CX17" i="10"/>
  <c r="CX12" i="10"/>
  <c r="CM12" i="10"/>
  <c r="CX15" i="10"/>
  <c r="CM15" i="10"/>
  <c r="CX16" i="10"/>
  <c r="CM16" i="10"/>
  <c r="CX14" i="10"/>
  <c r="CM14" i="10"/>
  <c r="AT12" i="4"/>
  <c r="CV16" i="10"/>
  <c r="CW16" i="10"/>
  <c r="CU16" i="10"/>
  <c r="CW15" i="10"/>
  <c r="CU15" i="10"/>
  <c r="CV15" i="10"/>
  <c r="CU14" i="10"/>
  <c r="CW14" i="10"/>
  <c r="CV14" i="10"/>
  <c r="O111" i="17"/>
  <c r="N111" i="17"/>
  <c r="CL36" i="7"/>
  <c r="L95" i="2" l="1"/>
  <c r="CP100" i="7"/>
  <c r="DB100" i="7"/>
  <c r="CO100" i="7"/>
  <c r="DP100" i="7"/>
  <c r="DO100" i="7"/>
  <c r="CC100" i="7"/>
  <c r="CD100" i="7"/>
  <c r="DC100" i="7"/>
  <c r="CW60" i="5"/>
  <c r="CX60" i="5"/>
  <c r="DL100" i="7"/>
  <c r="CR100" i="7"/>
  <c r="DE100" i="7"/>
  <c r="CT100" i="7"/>
  <c r="CH100" i="7"/>
  <c r="CL100" i="7"/>
  <c r="DG100" i="7"/>
  <c r="DT100" i="7"/>
  <c r="CF100" i="7"/>
  <c r="DR100" i="7"/>
  <c r="BD78" i="16"/>
  <c r="BB78" i="16"/>
  <c r="BF78" i="16"/>
  <c r="BH78" i="16"/>
  <c r="BC78" i="16"/>
  <c r="BA78" i="16"/>
  <c r="BG78" i="16"/>
  <c r="BE78" i="16"/>
  <c r="BC61" i="16"/>
  <c r="BA61" i="16"/>
  <c r="BG61" i="16"/>
  <c r="BE61" i="16"/>
  <c r="BD79" i="16"/>
  <c r="BB79" i="16"/>
  <c r="BH79" i="16"/>
  <c r="BF79" i="16"/>
  <c r="BF60" i="5"/>
  <c r="BH60" i="5"/>
  <c r="BG60" i="5"/>
  <c r="BE60" i="5"/>
  <c r="BC79" i="16"/>
  <c r="BG79" i="16"/>
  <c r="BE79" i="16"/>
  <c r="BA79" i="16"/>
  <c r="BD61" i="16"/>
  <c r="BB61" i="16"/>
  <c r="BH61" i="16"/>
  <c r="BF61" i="16"/>
  <c r="DS100" i="7"/>
  <c r="CG100" i="7"/>
  <c r="DQ100" i="7"/>
  <c r="CQ100" i="7"/>
  <c r="CE100" i="7"/>
  <c r="CM100" i="7"/>
  <c r="DF100" i="7"/>
  <c r="DD100" i="7"/>
  <c r="DM100" i="7"/>
  <c r="CS100" i="7"/>
  <c r="AP78" i="16"/>
  <c r="AR78" i="16"/>
  <c r="AN78" i="16"/>
  <c r="AT78" i="16"/>
  <c r="AP61" i="16"/>
  <c r="AN61" i="16"/>
  <c r="AR61" i="16"/>
  <c r="AT61" i="16"/>
  <c r="AQ79" i="16"/>
  <c r="AU79" i="16"/>
  <c r="AO79" i="16"/>
  <c r="AS79" i="16"/>
  <c r="AQ61" i="16"/>
  <c r="AS61" i="16"/>
  <c r="AU61" i="16"/>
  <c r="AO61" i="16"/>
  <c r="AP79" i="16"/>
  <c r="AN79" i="16"/>
  <c r="AR79" i="16"/>
  <c r="AT79" i="16"/>
  <c r="AO78" i="16"/>
  <c r="AQ78" i="16"/>
  <c r="AS78" i="16"/>
  <c r="AU78" i="16"/>
  <c r="CM36" i="7"/>
  <c r="DM36" i="7"/>
  <c r="DL36" i="7"/>
  <c r="CQ60" i="5"/>
  <c r="BK60" i="5"/>
  <c r="CO60" i="5"/>
  <c r="BL60" i="5"/>
  <c r="CP60" i="5"/>
  <c r="CR60" i="5"/>
  <c r="CK36" i="7"/>
  <c r="DU100" i="7" l="1"/>
  <c r="CI100" i="7"/>
  <c r="DI100" i="7"/>
  <c r="DJ100" i="7"/>
  <c r="DH100" i="7"/>
  <c r="DW100" i="7"/>
  <c r="CK100" i="7"/>
  <c r="DV100" i="7"/>
  <c r="CW100" i="7"/>
  <c r="CJ100" i="7"/>
  <c r="CU100" i="7"/>
  <c r="CV100" i="7"/>
  <c r="S61" i="16"/>
  <c r="S79" i="16"/>
  <c r="S78" i="16"/>
  <c r="DJ36" i="7"/>
  <c r="DV36" i="7"/>
  <c r="DW36" i="7"/>
  <c r="CW36" i="7"/>
  <c r="CV36" i="7"/>
  <c r="CJ36" i="7"/>
  <c r="DI36" i="7"/>
  <c r="AM60" i="5"/>
  <c r="AZ100" i="7" l="1"/>
  <c r="AZ36" i="7"/>
  <c r="CP21" i="4"/>
  <c r="CN21" i="4"/>
  <c r="CL21" i="4"/>
  <c r="CR21" i="4"/>
  <c r="CD21" i="4"/>
  <c r="CF21" i="4"/>
  <c r="CC162" i="17"/>
  <c r="CE162" i="17"/>
  <c r="CF178" i="17"/>
  <c r="CD178" i="17"/>
  <c r="CF162" i="17"/>
  <c r="CD162" i="17"/>
  <c r="CC178" i="17"/>
  <c r="CE178" i="17"/>
  <c r="DJ178" i="17"/>
  <c r="DH178" i="17"/>
  <c r="DI178" i="17"/>
  <c r="DG178" i="17"/>
  <c r="DI162" i="17"/>
  <c r="DG162" i="17"/>
  <c r="DJ162" i="17"/>
  <c r="DH162" i="17"/>
  <c r="H29" i="17"/>
  <c r="H26" i="17"/>
  <c r="G26" i="17"/>
  <c r="H23" i="17"/>
  <c r="G23" i="17"/>
  <c r="H20" i="17"/>
  <c r="H17" i="17"/>
  <c r="G17" i="17"/>
  <c r="H14" i="17"/>
  <c r="I38" i="17"/>
  <c r="J38" i="17"/>
  <c r="K38" i="17"/>
  <c r="L38" i="17"/>
  <c r="M38" i="17"/>
  <c r="N38" i="17"/>
  <c r="O38" i="17"/>
  <c r="P38" i="17"/>
  <c r="Q38" i="17"/>
  <c r="R38" i="17"/>
  <c r="S38" i="17"/>
  <c r="T38" i="17"/>
  <c r="U38" i="17"/>
  <c r="V38" i="17"/>
  <c r="W38" i="17"/>
  <c r="X38" i="17"/>
  <c r="Y38" i="17"/>
  <c r="Z38" i="17"/>
  <c r="AA38" i="17"/>
  <c r="AB38" i="17"/>
  <c r="AC38" i="17"/>
  <c r="AD38" i="17"/>
  <c r="AG38" i="17"/>
  <c r="AH38" i="17"/>
  <c r="AI38" i="17"/>
  <c r="AJ38" i="17"/>
  <c r="AK38" i="17"/>
  <c r="AL38" i="17"/>
  <c r="AL36" i="17"/>
  <c r="AK36" i="17"/>
  <c r="AJ36" i="17"/>
  <c r="AI36" i="17"/>
  <c r="AH36" i="17"/>
  <c r="AG36" i="17"/>
  <c r="AD36" i="17"/>
  <c r="AC36" i="17"/>
  <c r="AB36" i="17"/>
  <c r="AA36" i="17"/>
  <c r="Z36" i="17"/>
  <c r="Y36" i="17"/>
  <c r="X36" i="17"/>
  <c r="W36" i="17"/>
  <c r="V36" i="17"/>
  <c r="U36" i="17"/>
  <c r="T36" i="17"/>
  <c r="S36" i="17"/>
  <c r="R36" i="17"/>
  <c r="Q36" i="17"/>
  <c r="P36" i="17"/>
  <c r="O36" i="17"/>
  <c r="N36" i="17"/>
  <c r="M36" i="17"/>
  <c r="L36" i="17"/>
  <c r="K36" i="17"/>
  <c r="J36" i="17"/>
  <c r="I36" i="17"/>
  <c r="AL29" i="17"/>
  <c r="AK29" i="17"/>
  <c r="AJ29" i="17"/>
  <c r="AI29" i="17"/>
  <c r="AH29" i="17"/>
  <c r="AG29" i="17"/>
  <c r="AD29" i="17"/>
  <c r="AC29" i="17"/>
  <c r="AB29" i="17"/>
  <c r="AA29" i="17"/>
  <c r="Z29" i="17"/>
  <c r="Y29" i="17"/>
  <c r="X29" i="17"/>
  <c r="W29" i="17"/>
  <c r="V29" i="17"/>
  <c r="U29" i="17"/>
  <c r="T29" i="17"/>
  <c r="S29" i="17"/>
  <c r="R29" i="17"/>
  <c r="Q29" i="17"/>
  <c r="P29" i="17"/>
  <c r="O29" i="17"/>
  <c r="N29" i="17"/>
  <c r="M29" i="17"/>
  <c r="L29" i="17"/>
  <c r="K29" i="17"/>
  <c r="J29" i="17"/>
  <c r="I29" i="17"/>
  <c r="AL26" i="17"/>
  <c r="AK26" i="17"/>
  <c r="AJ26" i="17"/>
  <c r="AI26" i="17"/>
  <c r="AH26" i="17"/>
  <c r="AG26" i="17"/>
  <c r="AD26" i="17"/>
  <c r="AC26" i="17"/>
  <c r="AB26" i="17"/>
  <c r="AA26" i="17"/>
  <c r="Z26" i="17"/>
  <c r="Y26" i="17"/>
  <c r="X26" i="17"/>
  <c r="W26" i="17"/>
  <c r="V26" i="17"/>
  <c r="U26" i="17"/>
  <c r="T26" i="17"/>
  <c r="S26" i="17"/>
  <c r="R26" i="17"/>
  <c r="Q26" i="17"/>
  <c r="P26" i="17"/>
  <c r="O26" i="17"/>
  <c r="N26" i="17"/>
  <c r="M26" i="17"/>
  <c r="L26" i="17"/>
  <c r="K26" i="17"/>
  <c r="J26" i="17"/>
  <c r="AK23" i="17"/>
  <c r="AJ23" i="17"/>
  <c r="AI23" i="17"/>
  <c r="AH23" i="17"/>
  <c r="AG23" i="17"/>
  <c r="AD23" i="17"/>
  <c r="AC23" i="17"/>
  <c r="AB23" i="17"/>
  <c r="AA23" i="17"/>
  <c r="Z23" i="17"/>
  <c r="Y23" i="17"/>
  <c r="X23" i="17"/>
  <c r="W23" i="17"/>
  <c r="V23" i="17"/>
  <c r="U23" i="17"/>
  <c r="T23" i="17"/>
  <c r="S23" i="17"/>
  <c r="R23" i="17"/>
  <c r="Q23" i="17"/>
  <c r="P23" i="17"/>
  <c r="O23" i="17"/>
  <c r="N23" i="17"/>
  <c r="M23" i="17"/>
  <c r="L23" i="17"/>
  <c r="K23" i="17"/>
  <c r="J23" i="17"/>
  <c r="I23" i="17"/>
  <c r="AL20" i="17"/>
  <c r="AK20" i="17"/>
  <c r="AJ20" i="17"/>
  <c r="AI20" i="17"/>
  <c r="AH20" i="17"/>
  <c r="AG20" i="17"/>
  <c r="AD20" i="17"/>
  <c r="AC20" i="17"/>
  <c r="AB20" i="17"/>
  <c r="AA20" i="17"/>
  <c r="Z20" i="17"/>
  <c r="Y20" i="17"/>
  <c r="X20" i="17"/>
  <c r="W20" i="17"/>
  <c r="V20" i="17"/>
  <c r="U20" i="17"/>
  <c r="T20" i="17"/>
  <c r="S20" i="17"/>
  <c r="R20" i="17"/>
  <c r="Q20" i="17"/>
  <c r="P20" i="17"/>
  <c r="O20" i="17"/>
  <c r="N20" i="17"/>
  <c r="M20" i="17"/>
  <c r="L20" i="17"/>
  <c r="K20" i="17"/>
  <c r="J20" i="17"/>
  <c r="I20" i="17"/>
  <c r="AL17" i="17"/>
  <c r="AK17" i="17"/>
  <c r="AJ17" i="17"/>
  <c r="AI17" i="17"/>
  <c r="AH17" i="17"/>
  <c r="AG17" i="17"/>
  <c r="AD17" i="17"/>
  <c r="AC17" i="17"/>
  <c r="AB17" i="17"/>
  <c r="AA17" i="17"/>
  <c r="Z17" i="17"/>
  <c r="Y17" i="17"/>
  <c r="X17" i="17"/>
  <c r="W17" i="17"/>
  <c r="V17" i="17"/>
  <c r="U17" i="17"/>
  <c r="T17" i="17"/>
  <c r="S17" i="17"/>
  <c r="R17" i="17"/>
  <c r="Q17" i="17"/>
  <c r="P17" i="17"/>
  <c r="O17" i="17"/>
  <c r="N17" i="17"/>
  <c r="M17" i="17"/>
  <c r="L17" i="17"/>
  <c r="K17" i="17"/>
  <c r="J17" i="17"/>
  <c r="I17" i="17"/>
  <c r="AL14" i="17"/>
  <c r="AK14" i="17"/>
  <c r="AI14" i="17"/>
  <c r="AH14" i="17"/>
  <c r="AD14" i="17"/>
  <c r="AC14" i="17"/>
  <c r="AB14" i="17"/>
  <c r="AA14" i="17"/>
  <c r="Z14" i="17"/>
  <c r="Y14" i="17"/>
  <c r="X14" i="17"/>
  <c r="W14" i="17"/>
  <c r="V14" i="17"/>
  <c r="U14" i="17"/>
  <c r="T14" i="17"/>
  <c r="S14" i="17"/>
  <c r="R14" i="17"/>
  <c r="Q14" i="17"/>
  <c r="P14" i="17"/>
  <c r="O14" i="17"/>
  <c r="N14" i="17"/>
  <c r="M14" i="17"/>
  <c r="L14" i="17"/>
  <c r="K14" i="17"/>
  <c r="J14" i="17"/>
  <c r="CO39" i="4" l="1"/>
  <c r="CQ39" i="4"/>
  <c r="CK39" i="4"/>
  <c r="CM39" i="4"/>
  <c r="CR39" i="4"/>
  <c r="CL39" i="4"/>
  <c r="CN39" i="4"/>
  <c r="CP39" i="4"/>
  <c r="CC39" i="4"/>
  <c r="CE39" i="4"/>
  <c r="CF39" i="4"/>
  <c r="CD39" i="4"/>
  <c r="CZ11" i="17"/>
  <c r="CT11" i="17"/>
  <c r="CQ11" i="17"/>
  <c r="CO11" i="17"/>
  <c r="DA11" i="17"/>
  <c r="CU11" i="17"/>
  <c r="CE11" i="17"/>
  <c r="CH52" i="17"/>
  <c r="CJ52" i="17"/>
  <c r="DL52" i="17"/>
  <c r="DJ52" i="17"/>
  <c r="CG11" i="17"/>
  <c r="DW11" i="17"/>
  <c r="DV11" i="17"/>
  <c r="DE11" i="17"/>
  <c r="CL11" i="17"/>
  <c r="DQ11" i="17"/>
  <c r="CH11" i="17"/>
  <c r="DK11" i="17"/>
  <c r="CK11" i="17"/>
  <c r="CN11" i="17"/>
  <c r="CJ11" i="17"/>
  <c r="CF11" i="17"/>
  <c r="DF11" i="17"/>
  <c r="CM11" i="17"/>
  <c r="CI11" i="17"/>
  <c r="DO11" i="17"/>
  <c r="DN11" i="17"/>
  <c r="E17" i="17"/>
  <c r="E20" i="17"/>
  <c r="E14" i="17"/>
  <c r="E36" i="17"/>
  <c r="F36" i="17"/>
  <c r="E38" i="17"/>
  <c r="F23" i="17"/>
  <c r="F26" i="17"/>
  <c r="F38" i="17"/>
  <c r="E23" i="17"/>
  <c r="E29" i="17"/>
  <c r="F14" i="17"/>
  <c r="E26" i="17"/>
  <c r="F17" i="17"/>
  <c r="F29" i="17"/>
  <c r="F20" i="17"/>
  <c r="DL11" i="17"/>
  <c r="DH11" i="17"/>
  <c r="DM11" i="17"/>
  <c r="DJ11" i="17"/>
  <c r="DG11" i="17"/>
  <c r="DI11" i="17"/>
  <c r="AM11" i="17" l="1"/>
  <c r="AW178" i="17"/>
  <c r="D29" i="17"/>
  <c r="AW162" i="17"/>
  <c r="D38" i="17"/>
  <c r="H24" i="2"/>
  <c r="I24" i="2"/>
  <c r="J24" i="2"/>
  <c r="K24" i="2"/>
  <c r="L24" i="2"/>
  <c r="CG29" i="2" l="1"/>
  <c r="CB29" i="2"/>
  <c r="CE29" i="2"/>
  <c r="CF29" i="2"/>
  <c r="CC29" i="2"/>
  <c r="CD29" i="2"/>
  <c r="CE28" i="2"/>
  <c r="CD28" i="2"/>
  <c r="CF28" i="2"/>
  <c r="CG28" i="2"/>
  <c r="CB28" i="2"/>
  <c r="CC28" i="2"/>
  <c r="CB19" i="2"/>
  <c r="CE19" i="2"/>
  <c r="CC19" i="2"/>
  <c r="CD19" i="2"/>
  <c r="CF19" i="2"/>
  <c r="CG19" i="2"/>
  <c r="CD26" i="2"/>
  <c r="CB26" i="2"/>
  <c r="CC26" i="2"/>
  <c r="CG26" i="2"/>
  <c r="CE26" i="2"/>
  <c r="CF26" i="2"/>
  <c r="CC27" i="2"/>
  <c r="CF27" i="2"/>
  <c r="CD27" i="2"/>
  <c r="CE27" i="2"/>
  <c r="CB27" i="2"/>
  <c r="CG27" i="2"/>
  <c r="AB38" i="6"/>
  <c r="AA38" i="6"/>
  <c r="H212" i="17"/>
  <c r="I212" i="17"/>
  <c r="J212" i="17"/>
  <c r="K212" i="17"/>
  <c r="L212" i="17"/>
  <c r="M212" i="17"/>
  <c r="N212" i="17"/>
  <c r="O212" i="17"/>
  <c r="P212" i="17"/>
  <c r="Q212" i="17"/>
  <c r="R212" i="17"/>
  <c r="S212" i="17"/>
  <c r="T212" i="17"/>
  <c r="U212" i="17"/>
  <c r="V212" i="17"/>
  <c r="W212" i="17"/>
  <c r="X212" i="17"/>
  <c r="Y212" i="17"/>
  <c r="Z212" i="17"/>
  <c r="AA212" i="17"/>
  <c r="AB212" i="17"/>
  <c r="AC212" i="17"/>
  <c r="AD212" i="17"/>
  <c r="AE212" i="17"/>
  <c r="AF212" i="17"/>
  <c r="AG212" i="17"/>
  <c r="AH212" i="17"/>
  <c r="G212" i="17"/>
  <c r="H205" i="17"/>
  <c r="I205" i="17"/>
  <c r="J205" i="17"/>
  <c r="K205" i="17"/>
  <c r="L205" i="17"/>
  <c r="M205" i="17"/>
  <c r="N205" i="17"/>
  <c r="O205" i="17"/>
  <c r="P205" i="17"/>
  <c r="Q205" i="17"/>
  <c r="R205" i="17"/>
  <c r="S205" i="17"/>
  <c r="T205" i="17"/>
  <c r="U205" i="17"/>
  <c r="V205" i="17"/>
  <c r="W205" i="17"/>
  <c r="X205" i="17"/>
  <c r="Y205" i="17"/>
  <c r="Z205" i="17"/>
  <c r="AA205" i="17"/>
  <c r="AB205" i="17"/>
  <c r="AC205" i="17"/>
  <c r="AD205" i="17"/>
  <c r="AE205" i="17"/>
  <c r="AF205" i="17"/>
  <c r="AG205" i="17"/>
  <c r="AH205" i="17"/>
  <c r="G205" i="17"/>
  <c r="CH211" i="17" l="1"/>
  <c r="CD211" i="17"/>
  <c r="CF211" i="17"/>
  <c r="CJ211" i="17"/>
  <c r="CC187" i="17"/>
  <c r="CE187" i="17"/>
  <c r="CH207" i="17"/>
  <c r="CD207" i="17"/>
  <c r="CF207" i="17"/>
  <c r="CJ207" i="17"/>
  <c r="CC148" i="17"/>
  <c r="CE148" i="17"/>
  <c r="CE184" i="17"/>
  <c r="CC184" i="17"/>
  <c r="CI211" i="17"/>
  <c r="CG211" i="17"/>
  <c r="CE211" i="17"/>
  <c r="CC211" i="17"/>
  <c r="CI207" i="17"/>
  <c r="CG207" i="17"/>
  <c r="CE207" i="17"/>
  <c r="CC207" i="17"/>
  <c r="CF148" i="17"/>
  <c r="CD148" i="17"/>
  <c r="CD184" i="17"/>
  <c r="CF184" i="17"/>
  <c r="CF187" i="17"/>
  <c r="CD187" i="17"/>
  <c r="CI203" i="17"/>
  <c r="CG203" i="17"/>
  <c r="CE203" i="17"/>
  <c r="CC203" i="17"/>
  <c r="CE185" i="17"/>
  <c r="CC185" i="17"/>
  <c r="CI210" i="17"/>
  <c r="CG210" i="17"/>
  <c r="CE210" i="17"/>
  <c r="CC210" i="17"/>
  <c r="CI206" i="17"/>
  <c r="CE206" i="17"/>
  <c r="CG206" i="17"/>
  <c r="CC206" i="17"/>
  <c r="CF158" i="17"/>
  <c r="CD158" i="17"/>
  <c r="CF149" i="17"/>
  <c r="CD149" i="17"/>
  <c r="CF185" i="17"/>
  <c r="CD185" i="17"/>
  <c r="CH210" i="17"/>
  <c r="CJ210" i="17"/>
  <c r="CF210" i="17"/>
  <c r="CD210" i="17"/>
  <c r="CI204" i="17"/>
  <c r="CE204" i="17"/>
  <c r="CG204" i="17"/>
  <c r="CC204" i="17"/>
  <c r="CE163" i="17"/>
  <c r="CC163" i="17"/>
  <c r="CC150" i="17"/>
  <c r="CE150" i="17"/>
  <c r="CC160" i="17"/>
  <c r="CE160" i="17"/>
  <c r="CC158" i="17"/>
  <c r="CE158" i="17"/>
  <c r="CH209" i="17"/>
  <c r="CF209" i="17"/>
  <c r="CD209" i="17"/>
  <c r="CJ209" i="17"/>
  <c r="CD204" i="17"/>
  <c r="CH204" i="17"/>
  <c r="CJ204" i="17"/>
  <c r="CF204" i="17"/>
  <c r="CI209" i="17"/>
  <c r="CG209" i="17"/>
  <c r="CE209" i="17"/>
  <c r="CC209" i="17"/>
  <c r="CF163" i="17"/>
  <c r="CD163" i="17"/>
  <c r="CF150" i="17"/>
  <c r="CD150" i="17"/>
  <c r="CD160" i="17"/>
  <c r="CF160" i="17"/>
  <c r="CH206" i="17"/>
  <c r="CF206" i="17"/>
  <c r="CD206" i="17"/>
  <c r="CJ206" i="17"/>
  <c r="CH203" i="17"/>
  <c r="CJ203" i="17"/>
  <c r="CF203" i="17"/>
  <c r="CD203" i="17"/>
  <c r="CH213" i="17"/>
  <c r="CJ213" i="17"/>
  <c r="CD213" i="17"/>
  <c r="CF213" i="17"/>
  <c r="CD208" i="17"/>
  <c r="CJ208" i="17"/>
  <c r="CH208" i="17"/>
  <c r="CF208" i="17"/>
  <c r="CE147" i="17"/>
  <c r="CC147" i="17"/>
  <c r="CE151" i="17"/>
  <c r="CC151" i="17"/>
  <c r="CC186" i="17"/>
  <c r="CE186" i="17"/>
  <c r="CE149" i="17"/>
  <c r="CC149" i="17"/>
  <c r="CI213" i="17"/>
  <c r="CG213" i="17"/>
  <c r="CE213" i="17"/>
  <c r="CC213" i="17"/>
  <c r="CI208" i="17"/>
  <c r="CG208" i="17"/>
  <c r="CE208" i="17"/>
  <c r="CC208" i="17"/>
  <c r="CF147" i="17"/>
  <c r="CD147" i="17"/>
  <c r="CF151" i="17"/>
  <c r="CD151" i="17"/>
  <c r="CD186" i="17"/>
  <c r="CF186" i="17"/>
  <c r="U27" i="2"/>
  <c r="U29" i="2"/>
  <c r="U26" i="2"/>
  <c r="U28" i="2"/>
  <c r="CG25" i="2"/>
  <c r="CE25" i="2"/>
  <c r="CF25" i="2"/>
  <c r="CC25" i="2"/>
  <c r="CB25" i="2"/>
  <c r="CD25" i="2"/>
  <c r="U19" i="2"/>
  <c r="DH163" i="17"/>
  <c r="DJ163" i="17"/>
  <c r="DG208" i="17"/>
  <c r="DI208" i="17"/>
  <c r="DK208" i="17"/>
  <c r="DD208" i="17"/>
  <c r="DI147" i="17"/>
  <c r="DG147" i="17"/>
  <c r="DG151" i="17"/>
  <c r="DI151" i="17"/>
  <c r="DI186" i="17"/>
  <c r="DG186" i="17"/>
  <c r="DJ213" i="17"/>
  <c r="DH213" i="17"/>
  <c r="DE213" i="17"/>
  <c r="DC213" i="17"/>
  <c r="DJ208" i="17"/>
  <c r="DH208" i="17"/>
  <c r="DE208" i="17"/>
  <c r="DC208" i="17"/>
  <c r="DH147" i="17"/>
  <c r="DJ147" i="17"/>
  <c r="DJ151" i="17"/>
  <c r="DH151" i="17"/>
  <c r="DJ186" i="17"/>
  <c r="DH186" i="17"/>
  <c r="DK209" i="17"/>
  <c r="DI209" i="17"/>
  <c r="DG209" i="17"/>
  <c r="DD209" i="17"/>
  <c r="DI163" i="17"/>
  <c r="DG163" i="17"/>
  <c r="DJ160" i="17"/>
  <c r="DH160" i="17"/>
  <c r="DI148" i="17"/>
  <c r="DG148" i="17"/>
  <c r="DI184" i="17"/>
  <c r="DG184" i="17"/>
  <c r="DI187" i="17"/>
  <c r="DG187" i="17"/>
  <c r="DI150" i="17"/>
  <c r="DG150" i="17"/>
  <c r="DJ209" i="17"/>
  <c r="DH209" i="17"/>
  <c r="DE209" i="17"/>
  <c r="DC209" i="17"/>
  <c r="DK207" i="17"/>
  <c r="DI207" i="17"/>
  <c r="DG207" i="17"/>
  <c r="DD207" i="17"/>
  <c r="DJ148" i="17"/>
  <c r="DH148" i="17"/>
  <c r="DJ184" i="17"/>
  <c r="DH184" i="17"/>
  <c r="DJ187" i="17"/>
  <c r="DH187" i="17"/>
  <c r="DJ150" i="17"/>
  <c r="DH150" i="17"/>
  <c r="DJ207" i="17"/>
  <c r="DH207" i="17"/>
  <c r="DE207" i="17"/>
  <c r="DC207" i="17"/>
  <c r="DJ203" i="17"/>
  <c r="DH203" i="17"/>
  <c r="DE203" i="17"/>
  <c r="DC203" i="17"/>
  <c r="DK206" i="17"/>
  <c r="DI206" i="17"/>
  <c r="DG206" i="17"/>
  <c r="DD206" i="17"/>
  <c r="DI158" i="17"/>
  <c r="DG158" i="17"/>
  <c r="DI149" i="17"/>
  <c r="DG149" i="17"/>
  <c r="DG185" i="17"/>
  <c r="DI185" i="17"/>
  <c r="DC204" i="17"/>
  <c r="DE204" i="17"/>
  <c r="DH204" i="17"/>
  <c r="DJ204" i="17"/>
  <c r="DI160" i="17"/>
  <c r="DG160" i="17"/>
  <c r="DK204" i="17"/>
  <c r="DI204" i="17"/>
  <c r="DG204" i="17"/>
  <c r="DD204" i="17"/>
  <c r="DK213" i="17"/>
  <c r="DI213" i="17"/>
  <c r="DG213" i="17"/>
  <c r="DD213" i="17"/>
  <c r="DK211" i="17"/>
  <c r="DI211" i="17"/>
  <c r="DG211" i="17"/>
  <c r="DD211" i="17"/>
  <c r="DJ211" i="17"/>
  <c r="DH211" i="17"/>
  <c r="DE211" i="17"/>
  <c r="DC211" i="17"/>
  <c r="DK210" i="17"/>
  <c r="DG210" i="17"/>
  <c r="DD210" i="17"/>
  <c r="DI210" i="17"/>
  <c r="DK203" i="17"/>
  <c r="DI203" i="17"/>
  <c r="DG203" i="17"/>
  <c r="DD203" i="17"/>
  <c r="DJ210" i="17"/>
  <c r="DH210" i="17"/>
  <c r="DE210" i="17"/>
  <c r="DC210" i="17"/>
  <c r="DJ206" i="17"/>
  <c r="DC206" i="17"/>
  <c r="DH206" i="17"/>
  <c r="DE206" i="17"/>
  <c r="DJ158" i="17"/>
  <c r="DH158" i="17"/>
  <c r="DH149" i="17"/>
  <c r="DJ149" i="17"/>
  <c r="DJ185" i="17"/>
  <c r="DH185" i="17"/>
  <c r="E205" i="17"/>
  <c r="F212" i="17"/>
  <c r="E212" i="17"/>
  <c r="F205" i="17"/>
  <c r="CR38" i="4"/>
  <c r="CP40" i="4"/>
  <c r="CN38" i="4" l="1"/>
  <c r="CP38" i="4"/>
  <c r="CL38" i="4"/>
  <c r="CP37" i="4"/>
  <c r="CN37" i="4"/>
  <c r="CL37" i="4"/>
  <c r="CR37" i="4"/>
  <c r="CO38" i="4"/>
  <c r="CM38" i="4"/>
  <c r="CQ38" i="4"/>
  <c r="CK38" i="4"/>
  <c r="CM37" i="4"/>
  <c r="CO37" i="4"/>
  <c r="CQ37" i="4"/>
  <c r="CK37" i="4"/>
  <c r="CR40" i="4"/>
  <c r="CL40" i="4"/>
  <c r="CN40" i="4"/>
  <c r="CQ40" i="4"/>
  <c r="CM40" i="4"/>
  <c r="CO40" i="4"/>
  <c r="CK40" i="4"/>
  <c r="CC37" i="4"/>
  <c r="CE37" i="4"/>
  <c r="CF37" i="4"/>
  <c r="CD37" i="4"/>
  <c r="CD38" i="4"/>
  <c r="CF38" i="4"/>
  <c r="CC40" i="4"/>
  <c r="CE40" i="4"/>
  <c r="CD40" i="4"/>
  <c r="CF40" i="4"/>
  <c r="CC38" i="4"/>
  <c r="CE38" i="4"/>
  <c r="U25" i="2"/>
  <c r="DK205" i="17"/>
  <c r="DI205" i="17"/>
  <c r="DG205" i="17"/>
  <c r="DD205" i="17"/>
  <c r="DJ212" i="17"/>
  <c r="DC212" i="17"/>
  <c r="DE212" i="17"/>
  <c r="DH212" i="17"/>
  <c r="DK212" i="17"/>
  <c r="DI212" i="17"/>
  <c r="DG212" i="17"/>
  <c r="DD212" i="17"/>
  <c r="DJ205" i="17"/>
  <c r="DH205" i="17"/>
  <c r="DE205" i="17"/>
  <c r="DC205" i="17"/>
  <c r="DC202" i="17"/>
  <c r="DD202" i="17"/>
  <c r="D205" i="17"/>
  <c r="D212" i="17"/>
  <c r="CF155" i="17" l="1"/>
  <c r="CD155" i="17"/>
  <c r="CF172" i="17"/>
  <c r="CD172" i="17"/>
  <c r="CF166" i="17"/>
  <c r="CD166" i="17"/>
  <c r="CD170" i="17"/>
  <c r="CF170" i="17"/>
  <c r="CF175" i="17"/>
  <c r="CD175" i="17"/>
  <c r="CC145" i="17"/>
  <c r="CE145" i="17"/>
  <c r="CD152" i="17"/>
  <c r="CF152" i="17"/>
  <c r="CF145" i="17"/>
  <c r="CD145" i="17"/>
  <c r="CE157" i="17"/>
  <c r="CC157" i="17"/>
  <c r="CE155" i="17"/>
  <c r="CC155" i="17"/>
  <c r="CC152" i="17"/>
  <c r="CE152" i="17"/>
  <c r="CC172" i="17"/>
  <c r="CE172" i="17"/>
  <c r="CC166" i="17"/>
  <c r="CE166" i="17"/>
  <c r="CC170" i="17"/>
  <c r="CE170" i="17"/>
  <c r="CD188" i="17"/>
  <c r="CF188" i="17"/>
  <c r="CH202" i="17"/>
  <c r="CF202" i="17"/>
  <c r="CD202" i="17"/>
  <c r="CJ202" i="17"/>
  <c r="CF181" i="17"/>
  <c r="CD181" i="17"/>
  <c r="CF159" i="17"/>
  <c r="CD159" i="17"/>
  <c r="CC156" i="17"/>
  <c r="CE156" i="17"/>
  <c r="CE153" i="17"/>
  <c r="CC153" i="17"/>
  <c r="CE179" i="17"/>
  <c r="CC179" i="17"/>
  <c r="CE161" i="17"/>
  <c r="CC161" i="17"/>
  <c r="CE169" i="17"/>
  <c r="CC169" i="17"/>
  <c r="CD164" i="17"/>
  <c r="CF164" i="17"/>
  <c r="CF157" i="17"/>
  <c r="CD157" i="17"/>
  <c r="CF153" i="17"/>
  <c r="CD153" i="17"/>
  <c r="CE202" i="17"/>
  <c r="CG202" i="17"/>
  <c r="CI202" i="17"/>
  <c r="CC202" i="17"/>
  <c r="CE181" i="17"/>
  <c r="CC181" i="17"/>
  <c r="CF183" i="17"/>
  <c r="CD183" i="17"/>
  <c r="CF154" i="17"/>
  <c r="CD154" i="17"/>
  <c r="CF177" i="17"/>
  <c r="CD177" i="17"/>
  <c r="CF173" i="17"/>
  <c r="CD173" i="17"/>
  <c r="CF171" i="17"/>
  <c r="CD171" i="17"/>
  <c r="CF168" i="17"/>
  <c r="CD168" i="17"/>
  <c r="CF179" i="17"/>
  <c r="CD179" i="17"/>
  <c r="CE175" i="17"/>
  <c r="CC175" i="17"/>
  <c r="CC188" i="17"/>
  <c r="CE188" i="17"/>
  <c r="CE183" i="17"/>
  <c r="CC183" i="17"/>
  <c r="CC154" i="17"/>
  <c r="CE154" i="17"/>
  <c r="CE177" i="17"/>
  <c r="CC177" i="17"/>
  <c r="CE173" i="17"/>
  <c r="CC173" i="17"/>
  <c r="CE171" i="17"/>
  <c r="CC171" i="17"/>
  <c r="CC168" i="17"/>
  <c r="CE168" i="17"/>
  <c r="CC174" i="17"/>
  <c r="CE174" i="17"/>
  <c r="CF169" i="17"/>
  <c r="CD169" i="17"/>
  <c r="CE159" i="17"/>
  <c r="CC159" i="17"/>
  <c r="CF180" i="17"/>
  <c r="CD180" i="17"/>
  <c r="CD176" i="17"/>
  <c r="CF176" i="17"/>
  <c r="CF165" i="17"/>
  <c r="CD165" i="17"/>
  <c r="CF167" i="17"/>
  <c r="CD167" i="17"/>
  <c r="CF174" i="17"/>
  <c r="CD174" i="17"/>
  <c r="CF156" i="17"/>
  <c r="CD156" i="17"/>
  <c r="CF161" i="17"/>
  <c r="CD161" i="17"/>
  <c r="CC189" i="17"/>
  <c r="CE189" i="17"/>
  <c r="CF182" i="17"/>
  <c r="CD182" i="17"/>
  <c r="CC164" i="17"/>
  <c r="CE164" i="17"/>
  <c r="CC182" i="17"/>
  <c r="CE182" i="17"/>
  <c r="CC180" i="17"/>
  <c r="CE180" i="17"/>
  <c r="CC176" i="17"/>
  <c r="CE176" i="17"/>
  <c r="CE165" i="17"/>
  <c r="CC165" i="17"/>
  <c r="CE167" i="17"/>
  <c r="CC167" i="17"/>
  <c r="CF189" i="17"/>
  <c r="CD189" i="17"/>
  <c r="DI182" i="17"/>
  <c r="DG182" i="17"/>
  <c r="DJ189" i="17"/>
  <c r="DH189" i="17"/>
  <c r="DJ155" i="17"/>
  <c r="DH155" i="17"/>
  <c r="DJ175" i="17"/>
  <c r="DH175" i="17"/>
  <c r="DI157" i="17"/>
  <c r="DG157" i="17"/>
  <c r="DI172" i="17"/>
  <c r="DG172" i="17"/>
  <c r="DK202" i="17"/>
  <c r="DI202" i="17"/>
  <c r="DG202" i="17"/>
  <c r="DI174" i="17"/>
  <c r="DG174" i="17"/>
  <c r="DJ156" i="17"/>
  <c r="DH156" i="17"/>
  <c r="DH181" i="17"/>
  <c r="DJ181" i="17"/>
  <c r="DJ153" i="17"/>
  <c r="DH153" i="17"/>
  <c r="DH179" i="17"/>
  <c r="DJ179" i="17"/>
  <c r="DJ161" i="17"/>
  <c r="DH161" i="17"/>
  <c r="DJ169" i="17"/>
  <c r="DH169" i="17"/>
  <c r="DJ159" i="17"/>
  <c r="DH159" i="17"/>
  <c r="DJ202" i="17"/>
  <c r="DE202" i="17"/>
  <c r="DH202" i="17"/>
  <c r="DI164" i="17"/>
  <c r="DG164" i="17"/>
  <c r="DG167" i="17"/>
  <c r="DI167" i="17"/>
  <c r="DJ166" i="17"/>
  <c r="DH166" i="17"/>
  <c r="DI152" i="17"/>
  <c r="DG152" i="17"/>
  <c r="DI170" i="17"/>
  <c r="DG170" i="17"/>
  <c r="DI156" i="17"/>
  <c r="DG156" i="17"/>
  <c r="DI179" i="17"/>
  <c r="DG179" i="17"/>
  <c r="DG169" i="17"/>
  <c r="DI169" i="17"/>
  <c r="DJ164" i="17"/>
  <c r="DH164" i="17"/>
  <c r="DI165" i="17"/>
  <c r="DG165" i="17"/>
  <c r="DJ152" i="17"/>
  <c r="DH152" i="17"/>
  <c r="DJ170" i="17"/>
  <c r="DH170" i="17"/>
  <c r="DJ188" i="17"/>
  <c r="DH188" i="17"/>
  <c r="DG161" i="17"/>
  <c r="DI161" i="17"/>
  <c r="DJ154" i="17"/>
  <c r="DH154" i="17"/>
  <c r="DJ177" i="17"/>
  <c r="DH177" i="17"/>
  <c r="DJ173" i="17"/>
  <c r="DH173" i="17"/>
  <c r="DH171" i="17"/>
  <c r="DJ171" i="17"/>
  <c r="DJ168" i="17"/>
  <c r="DH168" i="17"/>
  <c r="DI176" i="17"/>
  <c r="DG176" i="17"/>
  <c r="DJ172" i="17"/>
  <c r="DH172" i="17"/>
  <c r="DI181" i="17"/>
  <c r="DG181" i="17"/>
  <c r="DJ183" i="17"/>
  <c r="DH183" i="17"/>
  <c r="DI154" i="17"/>
  <c r="DG154" i="17"/>
  <c r="DI177" i="17"/>
  <c r="DG177" i="17"/>
  <c r="DI173" i="17"/>
  <c r="DG173" i="17"/>
  <c r="DI171" i="17"/>
  <c r="DG171" i="17"/>
  <c r="DI168" i="17"/>
  <c r="DG168" i="17"/>
  <c r="DI180" i="17"/>
  <c r="DG180" i="17"/>
  <c r="DH157" i="17"/>
  <c r="DJ157" i="17"/>
  <c r="DI155" i="17"/>
  <c r="DG155" i="17"/>
  <c r="DI166" i="17"/>
  <c r="DG166" i="17"/>
  <c r="DI189" i="17"/>
  <c r="DG189" i="17"/>
  <c r="DG153" i="17"/>
  <c r="DI153" i="17"/>
  <c r="DI175" i="17"/>
  <c r="DG175" i="17"/>
  <c r="DI188" i="17"/>
  <c r="DG188" i="17"/>
  <c r="DG183" i="17"/>
  <c r="DI183" i="17"/>
  <c r="DG159" i="17"/>
  <c r="DI159" i="17"/>
  <c r="DJ182" i="17"/>
  <c r="DH182" i="17"/>
  <c r="DJ180" i="17"/>
  <c r="DH180" i="17"/>
  <c r="DJ176" i="17"/>
  <c r="DH176" i="17"/>
  <c r="DH165" i="17"/>
  <c r="DJ165" i="17"/>
  <c r="DJ167" i="17"/>
  <c r="DH167" i="17"/>
  <c r="DJ174" i="17"/>
  <c r="DH174" i="17"/>
  <c r="DH145" i="17"/>
  <c r="DJ145" i="17"/>
  <c r="DI145" i="17"/>
  <c r="DG145" i="17"/>
  <c r="AW184" i="17"/>
  <c r="AW148" i="17"/>
  <c r="AW150" i="17"/>
  <c r="AI213" i="17"/>
  <c r="AI204" i="17"/>
  <c r="AW186" i="17"/>
  <c r="AW149" i="17"/>
  <c r="AW185" i="17"/>
  <c r="AW187" i="17"/>
  <c r="AI211" i="17"/>
  <c r="AW160" i="17"/>
  <c r="AI210" i="17"/>
  <c r="AW147" i="17"/>
  <c r="AW151" i="17"/>
  <c r="AW163" i="17"/>
  <c r="AW158" i="17"/>
  <c r="AI206" i="17"/>
  <c r="AI207" i="17"/>
  <c r="AI208" i="17"/>
  <c r="AI209" i="17"/>
  <c r="G194" i="17" l="1"/>
  <c r="E194" i="17" s="1"/>
  <c r="F194" i="17"/>
  <c r="CE196" i="17" l="1"/>
  <c r="CI196" i="17"/>
  <c r="CC196" i="17"/>
  <c r="CC197" i="17"/>
  <c r="CI197" i="17"/>
  <c r="CE197" i="17"/>
  <c r="CJ195" i="17"/>
  <c r="CD195" i="17"/>
  <c r="CF195" i="17"/>
  <c r="CJ197" i="17"/>
  <c r="CF197" i="17"/>
  <c r="CD197" i="17"/>
  <c r="CC195" i="17"/>
  <c r="CE195" i="17"/>
  <c r="CI195" i="17"/>
  <c r="CD196" i="17"/>
  <c r="CF196" i="17"/>
  <c r="CJ196" i="17"/>
  <c r="DJ194" i="17"/>
  <c r="DH194" i="17"/>
  <c r="DI196" i="17"/>
  <c r="DG196" i="17"/>
  <c r="DI195" i="17"/>
  <c r="DG195" i="17"/>
  <c r="DJ196" i="17"/>
  <c r="DH196" i="17"/>
  <c r="DJ197" i="17"/>
  <c r="DH197" i="17"/>
  <c r="DJ195" i="17"/>
  <c r="DH195" i="17"/>
  <c r="DI197" i="17"/>
  <c r="DG197" i="17"/>
  <c r="DI194" i="17"/>
  <c r="DG194" i="17"/>
  <c r="AI202" i="17"/>
  <c r="AW145" i="17"/>
  <c r="AW172" i="17"/>
  <c r="AW181" i="17"/>
  <c r="AW157" i="17"/>
  <c r="AW170" i="17"/>
  <c r="AW183" i="17"/>
  <c r="AW155" i="17"/>
  <c r="AW173" i="17"/>
  <c r="AW188" i="17"/>
  <c r="AW189" i="17"/>
  <c r="AW177" i="17"/>
  <c r="AW153" i="17"/>
  <c r="AW180" i="17"/>
  <c r="AW171" i="17"/>
  <c r="AW168" i="17"/>
  <c r="AW161" i="17"/>
  <c r="AW154" i="17"/>
  <c r="AW176" i="17"/>
  <c r="AW167" i="17"/>
  <c r="AW169" i="17"/>
  <c r="AW156" i="17"/>
  <c r="AW152" i="17"/>
  <c r="AW179" i="17"/>
  <c r="AW165" i="17"/>
  <c r="AW166" i="17"/>
  <c r="AW159" i="17"/>
  <c r="AW174" i="17"/>
  <c r="AW175" i="17"/>
  <c r="AW182" i="17"/>
  <c r="AW164" i="17"/>
  <c r="D194" i="17"/>
  <c r="Q58" i="17"/>
  <c r="T63" i="17"/>
  <c r="Q63" i="17"/>
  <c r="G72" i="17"/>
  <c r="G63" i="17"/>
  <c r="G58" i="17"/>
  <c r="G55" i="17"/>
  <c r="P51" i="17"/>
  <c r="O51" i="17"/>
  <c r="N51" i="17"/>
  <c r="M51" i="17"/>
  <c r="L51" i="17"/>
  <c r="K51" i="17"/>
  <c r="J51" i="17"/>
  <c r="I51" i="17"/>
  <c r="H51" i="17"/>
  <c r="G51" i="17"/>
  <c r="P48" i="17"/>
  <c r="O48" i="17"/>
  <c r="N48" i="17"/>
  <c r="M48" i="17"/>
  <c r="L48" i="17"/>
  <c r="K48" i="17"/>
  <c r="J48" i="17"/>
  <c r="I48" i="17"/>
  <c r="H48" i="17"/>
  <c r="G48" i="17"/>
  <c r="CK44" i="17"/>
  <c r="DG108" i="17"/>
  <c r="CL108" i="17" l="1"/>
  <c r="CK108" i="17"/>
  <c r="CJ108" i="17"/>
  <c r="CI108" i="17"/>
  <c r="CI97" i="17"/>
  <c r="CJ97" i="17"/>
  <c r="CI94" i="17"/>
  <c r="CJ94" i="17"/>
  <c r="CJ98" i="17"/>
  <c r="CI98" i="17"/>
  <c r="CI83" i="17"/>
  <c r="CJ83" i="17"/>
  <c r="CJ88" i="17"/>
  <c r="CI88" i="17"/>
  <c r="CI99" i="17"/>
  <c r="CJ99" i="17"/>
  <c r="CI79" i="17"/>
  <c r="CJ79" i="17"/>
  <c r="CI90" i="17"/>
  <c r="CJ90" i="17"/>
  <c r="CI85" i="17"/>
  <c r="CJ85" i="17"/>
  <c r="CJ91" i="17"/>
  <c r="CI91" i="17"/>
  <c r="CJ101" i="17"/>
  <c r="CI101" i="17"/>
  <c r="CJ93" i="17"/>
  <c r="CI93" i="17"/>
  <c r="CJ81" i="17"/>
  <c r="CI81" i="17"/>
  <c r="CI92" i="17"/>
  <c r="CJ92" i="17"/>
  <c r="CC14" i="2"/>
  <c r="CB14" i="2"/>
  <c r="CD14" i="2"/>
  <c r="CE14" i="2"/>
  <c r="CF14" i="2"/>
  <c r="CG14" i="2"/>
  <c r="CB15" i="2"/>
  <c r="CE15" i="2"/>
  <c r="CC15" i="2"/>
  <c r="CD15" i="2"/>
  <c r="CF15" i="2"/>
  <c r="CG15" i="2"/>
  <c r="CE32" i="2"/>
  <c r="CC32" i="2"/>
  <c r="CF32" i="2"/>
  <c r="CG32" i="2"/>
  <c r="CD32" i="2"/>
  <c r="CB32" i="2"/>
  <c r="CD12" i="2"/>
  <c r="CE12" i="2"/>
  <c r="CG12" i="2"/>
  <c r="CF12" i="2"/>
  <c r="CB12" i="2"/>
  <c r="CC12" i="2"/>
  <c r="CG33" i="2"/>
  <c r="CB33" i="2"/>
  <c r="CF33" i="2"/>
  <c r="CE33" i="2"/>
  <c r="CC33" i="2"/>
  <c r="CD33" i="2"/>
  <c r="CD34" i="2"/>
  <c r="CB34" i="2"/>
  <c r="CG34" i="2"/>
  <c r="CC34" i="2"/>
  <c r="CE34" i="2"/>
  <c r="CF34" i="2"/>
  <c r="CC22" i="2"/>
  <c r="CF22" i="2"/>
  <c r="CB22" i="2"/>
  <c r="CG22" i="2"/>
  <c r="CD22" i="2"/>
  <c r="CE22" i="2"/>
  <c r="CF13" i="2"/>
  <c r="CD13" i="2"/>
  <c r="CE13" i="2"/>
  <c r="CG13" i="2"/>
  <c r="CB13" i="2"/>
  <c r="CC13" i="2"/>
  <c r="CD16" i="2"/>
  <c r="CG16" i="2"/>
  <c r="CE16" i="2"/>
  <c r="CB16" i="2"/>
  <c r="CC16" i="2"/>
  <c r="CF16" i="2"/>
  <c r="CF17" i="2"/>
  <c r="CG17" i="2"/>
  <c r="CD17" i="2"/>
  <c r="CE17" i="2"/>
  <c r="CB17" i="2"/>
  <c r="CC17" i="2"/>
  <c r="CC18" i="2"/>
  <c r="CB18" i="2"/>
  <c r="CF18" i="2"/>
  <c r="CG18" i="2"/>
  <c r="CD18" i="2"/>
  <c r="CE18" i="2"/>
  <c r="CC35" i="2"/>
  <c r="CD35" i="2"/>
  <c r="CF35" i="2"/>
  <c r="CE35" i="2"/>
  <c r="CG35" i="2"/>
  <c r="CB35" i="2"/>
  <c r="CB23" i="2"/>
  <c r="CE23" i="2"/>
  <c r="CC23" i="2"/>
  <c r="CD23" i="2"/>
  <c r="CF23" i="2"/>
  <c r="CG23" i="2"/>
  <c r="CC31" i="2"/>
  <c r="CD31" i="2"/>
  <c r="CE31" i="2"/>
  <c r="CF31" i="2"/>
  <c r="CG31" i="2"/>
  <c r="CB31" i="2"/>
  <c r="CF21" i="2"/>
  <c r="CG21" i="2"/>
  <c r="CD21" i="2"/>
  <c r="CE21" i="2"/>
  <c r="CB21" i="2"/>
  <c r="CC21" i="2"/>
  <c r="CE36" i="2"/>
  <c r="CF36" i="2"/>
  <c r="CG36" i="2"/>
  <c r="CD36" i="2"/>
  <c r="CB36" i="2"/>
  <c r="CC36" i="2"/>
  <c r="CI84" i="17"/>
  <c r="CJ84" i="17"/>
  <c r="CI104" i="17"/>
  <c r="CJ104" i="17"/>
  <c r="CI80" i="17"/>
  <c r="CJ80" i="17"/>
  <c r="CJ87" i="17"/>
  <c r="CI87" i="17"/>
  <c r="CJ86" i="17"/>
  <c r="CI86" i="17"/>
  <c r="CI78" i="17"/>
  <c r="CJ78" i="17"/>
  <c r="CI100" i="17"/>
  <c r="CJ100" i="17"/>
  <c r="CJ65" i="17"/>
  <c r="DL65" i="17"/>
  <c r="DJ65" i="17"/>
  <c r="CH65" i="17"/>
  <c r="DJ56" i="17"/>
  <c r="CJ56" i="17"/>
  <c r="DL56" i="17"/>
  <c r="CH56" i="17"/>
  <c r="DM68" i="17"/>
  <c r="CK68" i="17"/>
  <c r="DK68" i="17"/>
  <c r="CI68" i="17"/>
  <c r="DJ45" i="17"/>
  <c r="DL45" i="17"/>
  <c r="CK60" i="17"/>
  <c r="DM60" i="17"/>
  <c r="CI60" i="17"/>
  <c r="DK60" i="17"/>
  <c r="DK73" i="17"/>
  <c r="CK73" i="17"/>
  <c r="CI73" i="17"/>
  <c r="DM73" i="17"/>
  <c r="CJ46" i="17"/>
  <c r="DJ46" i="17"/>
  <c r="DL46" i="17"/>
  <c r="CH46" i="17"/>
  <c r="DJ59" i="17"/>
  <c r="CJ59" i="17"/>
  <c r="DL59" i="17"/>
  <c r="CH59" i="17"/>
  <c r="DJ68" i="17"/>
  <c r="CJ68" i="17"/>
  <c r="DL68" i="17"/>
  <c r="CH68" i="17"/>
  <c r="DM50" i="17"/>
  <c r="CK50" i="17"/>
  <c r="CI50" i="17"/>
  <c r="DK50" i="17"/>
  <c r="DM61" i="17"/>
  <c r="CK61" i="17"/>
  <c r="CI61" i="17"/>
  <c r="DK61" i="17"/>
  <c r="DM71" i="17"/>
  <c r="DK71" i="17"/>
  <c r="CK71" i="17"/>
  <c r="CI71" i="17"/>
  <c r="DM46" i="17"/>
  <c r="CI46" i="17"/>
  <c r="DK46" i="17"/>
  <c r="CK46" i="17"/>
  <c r="CK59" i="17"/>
  <c r="DM59" i="17"/>
  <c r="CI59" i="17"/>
  <c r="DK59" i="17"/>
  <c r="CJ57" i="17"/>
  <c r="DL57" i="17"/>
  <c r="CH57" i="17"/>
  <c r="DJ57" i="17"/>
  <c r="CJ60" i="17"/>
  <c r="DJ60" i="17"/>
  <c r="DL60" i="17"/>
  <c r="CH60" i="17"/>
  <c r="DJ66" i="17"/>
  <c r="DL66" i="17"/>
  <c r="DM49" i="17"/>
  <c r="CI49" i="17"/>
  <c r="DK49" i="17"/>
  <c r="CK49" i="17"/>
  <c r="DJ69" i="17"/>
  <c r="CJ69" i="17"/>
  <c r="CH69" i="17"/>
  <c r="DL69" i="17"/>
  <c r="CK69" i="17"/>
  <c r="DM69" i="17"/>
  <c r="CI69" i="17"/>
  <c r="DK69" i="17"/>
  <c r="DJ61" i="17"/>
  <c r="CJ61" i="17"/>
  <c r="DL61" i="17"/>
  <c r="CH61" i="17"/>
  <c r="DJ71" i="17"/>
  <c r="DL71" i="17"/>
  <c r="CJ71" i="17"/>
  <c r="CH71" i="17"/>
  <c r="CK53" i="17"/>
  <c r="DM53" i="17"/>
  <c r="CI53" i="17"/>
  <c r="DK53" i="17"/>
  <c r="CK64" i="17"/>
  <c r="DM64" i="17"/>
  <c r="CI64" i="17"/>
  <c r="DK64" i="17"/>
  <c r="CK57" i="17"/>
  <c r="DM57" i="17"/>
  <c r="CI57" i="17"/>
  <c r="DK57" i="17"/>
  <c r="CJ49" i="17"/>
  <c r="DJ49" i="17"/>
  <c r="DL49" i="17"/>
  <c r="CH49" i="17"/>
  <c r="DM47" i="17"/>
  <c r="CI47" i="17"/>
  <c r="CK47" i="17"/>
  <c r="DK47" i="17"/>
  <c r="DJ47" i="17"/>
  <c r="CJ47" i="17"/>
  <c r="DL47" i="17"/>
  <c r="CH47" i="17"/>
  <c r="CK52" i="17"/>
  <c r="DM52" i="17"/>
  <c r="CI52" i="17"/>
  <c r="DK52" i="17"/>
  <c r="CK62" i="17"/>
  <c r="DM62" i="17"/>
  <c r="CI62" i="17"/>
  <c r="DK62" i="17"/>
  <c r="DJ50" i="17"/>
  <c r="CJ50" i="17"/>
  <c r="DL50" i="17"/>
  <c r="CH50" i="17"/>
  <c r="DJ62" i="17"/>
  <c r="CJ62" i="17"/>
  <c r="DL62" i="17"/>
  <c r="CH62" i="17"/>
  <c r="CH73" i="17"/>
  <c r="CJ73" i="17"/>
  <c r="DJ73" i="17"/>
  <c r="DL73" i="17"/>
  <c r="CK54" i="17"/>
  <c r="DM54" i="17"/>
  <c r="CI54" i="17"/>
  <c r="DK54" i="17"/>
  <c r="CK65" i="17"/>
  <c r="DM65" i="17"/>
  <c r="CI65" i="17"/>
  <c r="DK65" i="17"/>
  <c r="DJ54" i="17"/>
  <c r="CJ54" i="17"/>
  <c r="DL54" i="17"/>
  <c r="CH54" i="17"/>
  <c r="DJ53" i="17"/>
  <c r="CJ53" i="17"/>
  <c r="DL53" i="17"/>
  <c r="CH53" i="17"/>
  <c r="DJ64" i="17"/>
  <c r="CJ64" i="17"/>
  <c r="DL64" i="17"/>
  <c r="CH64" i="17"/>
  <c r="DM45" i="17"/>
  <c r="DK45" i="17"/>
  <c r="CK56" i="17"/>
  <c r="DM56" i="17"/>
  <c r="CI56" i="17"/>
  <c r="DK56" i="17"/>
  <c r="DM66" i="17"/>
  <c r="DK66" i="17"/>
  <c r="CH44" i="17"/>
  <c r="DJ44" i="17"/>
  <c r="CI67" i="17"/>
  <c r="CK67" i="17"/>
  <c r="DM67" i="17"/>
  <c r="DK67" i="17"/>
  <c r="DM44" i="17"/>
  <c r="DK44" i="17"/>
  <c r="DL44" i="17"/>
  <c r="DJ67" i="17"/>
  <c r="CH67" i="17"/>
  <c r="DL67" i="17"/>
  <c r="CJ67" i="17"/>
  <c r="CH45" i="17"/>
  <c r="CJ45" i="17"/>
  <c r="CJ44" i="17"/>
  <c r="CI44" i="17"/>
  <c r="CK45" i="17"/>
  <c r="CI45" i="17"/>
  <c r="CJ66" i="17"/>
  <c r="CH66" i="17"/>
  <c r="CK66" i="17"/>
  <c r="CI66" i="17"/>
  <c r="DG80" i="17"/>
  <c r="DJ80" i="17"/>
  <c r="DI80" i="17"/>
  <c r="DH80" i="17"/>
  <c r="DG88" i="17"/>
  <c r="DJ88" i="17"/>
  <c r="DH88" i="17"/>
  <c r="DI88" i="17"/>
  <c r="DI95" i="17"/>
  <c r="DG95" i="17"/>
  <c r="DH95" i="17"/>
  <c r="DJ95" i="17"/>
  <c r="DI102" i="17"/>
  <c r="DJ102" i="17"/>
  <c r="DH102" i="17"/>
  <c r="DG102" i="17"/>
  <c r="DI92" i="17"/>
  <c r="DJ92" i="17"/>
  <c r="DH92" i="17"/>
  <c r="DG92" i="17"/>
  <c r="DI78" i="17"/>
  <c r="DH78" i="17"/>
  <c r="DG78" i="17"/>
  <c r="DJ78" i="17"/>
  <c r="DI79" i="17"/>
  <c r="DJ79" i="17"/>
  <c r="DH79" i="17"/>
  <c r="DG79" i="17"/>
  <c r="DG94" i="17"/>
  <c r="DJ94" i="17"/>
  <c r="DI94" i="17"/>
  <c r="DH94" i="17"/>
  <c r="DI101" i="17"/>
  <c r="DG101" i="17"/>
  <c r="DH101" i="17"/>
  <c r="DJ101" i="17"/>
  <c r="DI81" i="17"/>
  <c r="DH81" i="17"/>
  <c r="DG81" i="17"/>
  <c r="DJ81" i="17"/>
  <c r="DI90" i="17"/>
  <c r="DH90" i="17"/>
  <c r="DG90" i="17"/>
  <c r="DJ90" i="17"/>
  <c r="DJ97" i="17"/>
  <c r="DI97" i="17"/>
  <c r="DH97" i="17"/>
  <c r="DG97" i="17"/>
  <c r="DJ108" i="17"/>
  <c r="DI108" i="17"/>
  <c r="DH108" i="17"/>
  <c r="DI83" i="17"/>
  <c r="DJ83" i="17"/>
  <c r="DH83" i="17"/>
  <c r="DG83" i="17"/>
  <c r="DG98" i="17"/>
  <c r="DJ98" i="17"/>
  <c r="DI98" i="17"/>
  <c r="DH98" i="17"/>
  <c r="DG104" i="17"/>
  <c r="DJ104" i="17"/>
  <c r="DH104" i="17"/>
  <c r="DI104" i="17"/>
  <c r="DJ93" i="17"/>
  <c r="DI93" i="17"/>
  <c r="DH93" i="17"/>
  <c r="DG93" i="17"/>
  <c r="DI91" i="17"/>
  <c r="DH91" i="17"/>
  <c r="DG91" i="17"/>
  <c r="DJ91" i="17"/>
  <c r="DG87" i="17"/>
  <c r="DI87" i="17"/>
  <c r="DJ87" i="17"/>
  <c r="DH87" i="17"/>
  <c r="DG86" i="17"/>
  <c r="DJ86" i="17"/>
  <c r="DI86" i="17"/>
  <c r="DH86" i="17"/>
  <c r="DJ85" i="17"/>
  <c r="DI85" i="17"/>
  <c r="DH85" i="17"/>
  <c r="DG85" i="17"/>
  <c r="DG84" i="17"/>
  <c r="DI84" i="17"/>
  <c r="DJ84" i="17"/>
  <c r="DH84" i="17"/>
  <c r="DJ100" i="17"/>
  <c r="DI100" i="17"/>
  <c r="DH100" i="17"/>
  <c r="DG100" i="17"/>
  <c r="DJ99" i="17"/>
  <c r="DI99" i="17"/>
  <c r="DH99" i="17"/>
  <c r="DG99" i="17"/>
  <c r="E51" i="17"/>
  <c r="F51" i="17"/>
  <c r="E48" i="17"/>
  <c r="F48" i="17"/>
  <c r="U35" i="2" l="1"/>
  <c r="U59" i="17"/>
  <c r="U53" i="17"/>
  <c r="U50" i="17"/>
  <c r="U61" i="17"/>
  <c r="U52" i="17"/>
  <c r="U33" i="2"/>
  <c r="U32" i="2"/>
  <c r="U14" i="2"/>
  <c r="U34" i="2"/>
  <c r="U18" i="2"/>
  <c r="U22" i="2"/>
  <c r="U21" i="2"/>
  <c r="U36" i="2"/>
  <c r="U12" i="2"/>
  <c r="U31" i="2"/>
  <c r="U13" i="2"/>
  <c r="U15" i="2"/>
  <c r="U17" i="2"/>
  <c r="U16" i="2"/>
  <c r="U23" i="2"/>
  <c r="U56" i="17"/>
  <c r="U69" i="17"/>
  <c r="U64" i="17"/>
  <c r="U54" i="17"/>
  <c r="U62" i="17"/>
  <c r="U49" i="17"/>
  <c r="U60" i="17"/>
  <c r="U73" i="17"/>
  <c r="U47" i="17"/>
  <c r="U71" i="17"/>
  <c r="U65" i="17"/>
  <c r="U45" i="17"/>
  <c r="U68" i="17"/>
  <c r="U46" i="17"/>
  <c r="U66" i="17"/>
  <c r="U57" i="17"/>
  <c r="U67" i="17"/>
  <c r="I87" i="17"/>
  <c r="I79" i="17"/>
  <c r="I92" i="17"/>
  <c r="I101" i="17"/>
  <c r="P108" i="17"/>
  <c r="I97" i="17"/>
  <c r="I78" i="17"/>
  <c r="I98" i="17"/>
  <c r="I95" i="17"/>
  <c r="I80" i="17"/>
  <c r="I88" i="17"/>
  <c r="I100" i="17"/>
  <c r="I104" i="17"/>
  <c r="I83" i="17"/>
  <c r="I81" i="17"/>
  <c r="I90" i="17"/>
  <c r="I94" i="17"/>
  <c r="I102" i="17"/>
  <c r="I99" i="17"/>
  <c r="I93" i="17"/>
  <c r="I91" i="17"/>
  <c r="I86" i="17"/>
  <c r="I85" i="17"/>
  <c r="I84" i="17"/>
  <c r="AW196" i="17"/>
  <c r="AW197" i="17"/>
  <c r="AW195" i="17"/>
  <c r="H40" i="16"/>
  <c r="G15" i="6"/>
  <c r="G21" i="6" s="1"/>
  <c r="G38" i="6"/>
  <c r="CX48" i="6"/>
  <c r="DQ91" i="7"/>
  <c r="DQ90" i="7"/>
  <c r="DQ76" i="7"/>
  <c r="DQ75" i="7"/>
  <c r="DD86" i="7" l="1"/>
  <c r="DF86" i="7"/>
  <c r="DQ86" i="7"/>
  <c r="CD81" i="7"/>
  <c r="CC81" i="7"/>
  <c r="CP81" i="7"/>
  <c r="DD85" i="7"/>
  <c r="DQ85" i="7"/>
  <c r="DF85" i="7"/>
  <c r="CP85" i="7"/>
  <c r="CD85" i="7"/>
  <c r="DG85" i="7"/>
  <c r="CO85" i="7"/>
  <c r="CC85" i="7"/>
  <c r="DP85" i="7"/>
  <c r="DO85" i="7"/>
  <c r="DB85" i="7"/>
  <c r="DE85" i="7"/>
  <c r="DC85" i="7"/>
  <c r="CP48" i="6"/>
  <c r="CW48" i="6"/>
  <c r="CR48" i="6"/>
  <c r="CT48" i="6"/>
  <c r="CS48" i="6"/>
  <c r="DO90" i="7"/>
  <c r="CP90" i="7"/>
  <c r="CD90" i="7"/>
  <c r="CO90" i="7"/>
  <c r="CC90" i="7"/>
  <c r="DB90" i="7"/>
  <c r="CP75" i="7"/>
  <c r="DP75" i="7"/>
  <c r="DC75" i="7"/>
  <c r="CO75" i="7"/>
  <c r="DO75" i="7"/>
  <c r="CD75" i="7"/>
  <c r="CC75" i="7"/>
  <c r="DB75" i="7"/>
  <c r="DD101" i="7"/>
  <c r="CE101" i="7"/>
  <c r="DQ101" i="7"/>
  <c r="DF101" i="7"/>
  <c r="CG101" i="7"/>
  <c r="DS101" i="7"/>
  <c r="CQ101" i="7"/>
  <c r="CS101" i="7"/>
  <c r="CO20" i="5"/>
  <c r="CQ20" i="5"/>
  <c r="DB101" i="7"/>
  <c r="CT101" i="7"/>
  <c r="DO101" i="7"/>
  <c r="DC101" i="7"/>
  <c r="DP101" i="7"/>
  <c r="DE101" i="7"/>
  <c r="CO101" i="7"/>
  <c r="CF101" i="7"/>
  <c r="DR101" i="7"/>
  <c r="CP101" i="7"/>
  <c r="CD101" i="7"/>
  <c r="DG101" i="7"/>
  <c r="CH101" i="7"/>
  <c r="CC101" i="7"/>
  <c r="DT101" i="7"/>
  <c r="CR101" i="7"/>
  <c r="CP91" i="7"/>
  <c r="CD91" i="7"/>
  <c r="CO91" i="7"/>
  <c r="CC91" i="7"/>
  <c r="DO91" i="7"/>
  <c r="DB91" i="7"/>
  <c r="CS70" i="7"/>
  <c r="CQ70" i="7"/>
  <c r="CG70" i="7"/>
  <c r="CP70" i="7"/>
  <c r="DP70" i="7"/>
  <c r="CO70" i="7"/>
  <c r="CD70" i="7"/>
  <c r="DO70" i="7"/>
  <c r="CC70" i="7"/>
  <c r="CO21" i="5"/>
  <c r="CQ21" i="5"/>
  <c r="CP76" i="7"/>
  <c r="DP76" i="7"/>
  <c r="CO76" i="7"/>
  <c r="DO76" i="7"/>
  <c r="CD76" i="7"/>
  <c r="CC76" i="7"/>
  <c r="DC76" i="7"/>
  <c r="DB76" i="7"/>
  <c r="DP86" i="7"/>
  <c r="CC86" i="7"/>
  <c r="DB86" i="7"/>
  <c r="CP86" i="7"/>
  <c r="DG86" i="7"/>
  <c r="DO86" i="7"/>
  <c r="DC86" i="7"/>
  <c r="CO86" i="7"/>
  <c r="CD86" i="7"/>
  <c r="DE86" i="7"/>
  <c r="DP81" i="7"/>
  <c r="DC81" i="7"/>
  <c r="CF70" i="7"/>
  <c r="CT70" i="7"/>
  <c r="CR70" i="7"/>
  <c r="DB70" i="7"/>
  <c r="DC70" i="7"/>
  <c r="CH70" i="7"/>
  <c r="DT76" i="7"/>
  <c r="CR76" i="7"/>
  <c r="DR76" i="7"/>
  <c r="DE76" i="7"/>
  <c r="CT76" i="7"/>
  <c r="DL76" i="7"/>
  <c r="CF76" i="7"/>
  <c r="DG76" i="7"/>
  <c r="CH76" i="7"/>
  <c r="CL76" i="7"/>
  <c r="DM86" i="7"/>
  <c r="CS86" i="7"/>
  <c r="DS86" i="7"/>
  <c r="CQ86" i="7"/>
  <c r="CM86" i="7"/>
  <c r="DR81" i="7"/>
  <c r="DL81" i="7"/>
  <c r="DG81" i="7"/>
  <c r="CH81" i="7"/>
  <c r="CR81" i="7"/>
  <c r="DE81" i="7"/>
  <c r="CF81" i="7"/>
  <c r="CT81" i="7"/>
  <c r="DT81" i="7"/>
  <c r="CL81" i="7"/>
  <c r="DF76" i="7"/>
  <c r="DM76" i="7"/>
  <c r="DD76" i="7"/>
  <c r="DS76" i="7"/>
  <c r="CQ76" i="7"/>
  <c r="CG76" i="7"/>
  <c r="CS76" i="7"/>
  <c r="CM76" i="7"/>
  <c r="CE76" i="7"/>
  <c r="CK48" i="6"/>
  <c r="CL48" i="6"/>
  <c r="DS91" i="7"/>
  <c r="CM91" i="7"/>
  <c r="DM91" i="7"/>
  <c r="CQ91" i="7"/>
  <c r="DF91" i="7"/>
  <c r="CE91" i="7"/>
  <c r="DD91" i="7"/>
  <c r="CS91" i="7"/>
  <c r="CG91" i="7"/>
  <c r="DG90" i="7"/>
  <c r="DT90" i="7"/>
  <c r="DE90" i="7"/>
  <c r="CT90" i="7"/>
  <c r="CH90" i="7"/>
  <c r="CF90" i="7"/>
  <c r="DL90" i="7"/>
  <c r="CR90" i="7"/>
  <c r="CL90" i="7"/>
  <c r="DR90" i="7"/>
  <c r="DM85" i="7"/>
  <c r="CM85" i="7"/>
  <c r="DS85" i="7"/>
  <c r="CS85" i="7"/>
  <c r="CQ85" i="7"/>
  <c r="DM101" i="7"/>
  <c r="CM101" i="7"/>
  <c r="DG91" i="7"/>
  <c r="DL91" i="7"/>
  <c r="CR91" i="7"/>
  <c r="CL91" i="7"/>
  <c r="DE91" i="7"/>
  <c r="DR91" i="7"/>
  <c r="CF91" i="7"/>
  <c r="CT91" i="7"/>
  <c r="CH91" i="7"/>
  <c r="DT91" i="7"/>
  <c r="BG20" i="5"/>
  <c r="BE20" i="5"/>
  <c r="DS90" i="7"/>
  <c r="DM90" i="7"/>
  <c r="CS90" i="7"/>
  <c r="CE90" i="7"/>
  <c r="CQ90" i="7"/>
  <c r="DF90" i="7"/>
  <c r="CM90" i="7"/>
  <c r="DD90" i="7"/>
  <c r="CG90" i="7"/>
  <c r="DT70" i="7"/>
  <c r="DR70" i="7"/>
  <c r="CL70" i="7"/>
  <c r="DL70" i="7"/>
  <c r="DG70" i="7"/>
  <c r="DE70" i="7"/>
  <c r="BG21" i="5"/>
  <c r="BE21" i="5"/>
  <c r="DT85" i="7"/>
  <c r="DR85" i="7"/>
  <c r="CT85" i="7"/>
  <c r="CR85" i="7"/>
  <c r="CL85" i="7"/>
  <c r="DL85" i="7"/>
  <c r="DL86" i="7"/>
  <c r="CL86" i="7"/>
  <c r="CT86" i="7"/>
  <c r="CR86" i="7"/>
  <c r="DT86" i="7"/>
  <c r="DR86" i="7"/>
  <c r="DM70" i="7"/>
  <c r="DS70" i="7"/>
  <c r="DD70" i="7"/>
  <c r="DQ70" i="7"/>
  <c r="CM70" i="7"/>
  <c r="CE70" i="7"/>
  <c r="DF70" i="7"/>
  <c r="DG97" i="7"/>
  <c r="CT97" i="7"/>
  <c r="DT97" i="7"/>
  <c r="DE97" i="7"/>
  <c r="CH97" i="7"/>
  <c r="CF97" i="7"/>
  <c r="CR97" i="7"/>
  <c r="DR97" i="7"/>
  <c r="DL97" i="7"/>
  <c r="CL97" i="7"/>
  <c r="DS75" i="7"/>
  <c r="DF75" i="7"/>
  <c r="CM75" i="7"/>
  <c r="CE75" i="7"/>
  <c r="DD75" i="7"/>
  <c r="CS75" i="7"/>
  <c r="CG75" i="7"/>
  <c r="CQ75" i="7"/>
  <c r="DM75" i="7"/>
  <c r="DT75" i="7"/>
  <c r="DR75" i="7"/>
  <c r="DG75" i="7"/>
  <c r="DE75" i="7"/>
  <c r="CR75" i="7"/>
  <c r="CH75" i="7"/>
  <c r="CT75" i="7"/>
  <c r="DL75" i="7"/>
  <c r="CL75" i="7"/>
  <c r="CF75" i="7"/>
  <c r="CL101" i="7"/>
  <c r="DL101" i="7"/>
  <c r="BV26" i="18"/>
  <c r="BU26" i="18"/>
  <c r="BG26" i="18"/>
  <c r="BF26" i="18"/>
  <c r="CE48" i="6"/>
  <c r="CG48" i="6"/>
  <c r="CH48" i="6"/>
  <c r="CI48" i="6"/>
  <c r="BT13" i="18"/>
  <c r="BE13" i="18" s="1"/>
  <c r="BS13" i="18"/>
  <c r="BD13" i="18" s="1"/>
  <c r="BR13" i="18"/>
  <c r="BC13" i="18" s="1"/>
  <c r="BQ13" i="18"/>
  <c r="DH85" i="7"/>
  <c r="DH86" i="7"/>
  <c r="CL44" i="7"/>
  <c r="CL34" i="7"/>
  <c r="CL33" i="7"/>
  <c r="DF65" i="7"/>
  <c r="L40" i="16"/>
  <c r="K40" i="16"/>
  <c r="N40" i="16"/>
  <c r="O40" i="16"/>
  <c r="R40" i="16"/>
  <c r="Q40" i="16"/>
  <c r="CW55" i="6"/>
  <c r="CK19" i="2"/>
  <c r="CL19" i="2"/>
  <c r="CM19" i="2"/>
  <c r="CN19" i="2"/>
  <c r="CO19" i="2"/>
  <c r="CP19" i="2"/>
  <c r="CW13" i="6" l="1"/>
  <c r="CW14" i="6"/>
  <c r="CS35" i="6"/>
  <c r="CT35" i="6"/>
  <c r="CU35" i="6"/>
  <c r="CO35" i="6"/>
  <c r="CW35" i="6"/>
  <c r="CQ35" i="6"/>
  <c r="CT16" i="6"/>
  <c r="CW16" i="6"/>
  <c r="CU16" i="6"/>
  <c r="CS36" i="6"/>
  <c r="CQ36" i="6"/>
  <c r="CT36" i="6"/>
  <c r="CU36" i="6"/>
  <c r="CO36" i="6"/>
  <c r="CW36" i="6"/>
  <c r="CL19" i="6"/>
  <c r="CW19" i="6"/>
  <c r="CU19" i="6"/>
  <c r="CR35" i="6"/>
  <c r="CV35" i="6"/>
  <c r="CP35" i="6"/>
  <c r="CL18" i="6"/>
  <c r="CU18" i="6"/>
  <c r="CW18" i="6"/>
  <c r="CU37" i="6"/>
  <c r="CQ37" i="6"/>
  <c r="CO37" i="6"/>
  <c r="CR36" i="6"/>
  <c r="CV36" i="6"/>
  <c r="CP36" i="6"/>
  <c r="CK16" i="6"/>
  <c r="CV16" i="6"/>
  <c r="CK17" i="6"/>
  <c r="CV17" i="6"/>
  <c r="CL17" i="6"/>
  <c r="CW17" i="6"/>
  <c r="CU17" i="6"/>
  <c r="CK18" i="6"/>
  <c r="CV18" i="6"/>
  <c r="CK19" i="6"/>
  <c r="CV19" i="6"/>
  <c r="CP37" i="6"/>
  <c r="CW37" i="6"/>
  <c r="CR37" i="6"/>
  <c r="CS37" i="6"/>
  <c r="CT37" i="6"/>
  <c r="CV37" i="6"/>
  <c r="CL28" i="7"/>
  <c r="DP28" i="7"/>
  <c r="CU101" i="7"/>
  <c r="DH101" i="7"/>
  <c r="CI101" i="7"/>
  <c r="DU101" i="7"/>
  <c r="CL24" i="7"/>
  <c r="DP24" i="7"/>
  <c r="CL29" i="7"/>
  <c r="DP29" i="7"/>
  <c r="DT13" i="7"/>
  <c r="DR13" i="7"/>
  <c r="DP13" i="7"/>
  <c r="DO13" i="7"/>
  <c r="CP54" i="6"/>
  <c r="CR54" i="6"/>
  <c r="CV54" i="6"/>
  <c r="CS54" i="6"/>
  <c r="CW54" i="6"/>
  <c r="CT54" i="6"/>
  <c r="CL18" i="7"/>
  <c r="DP18" i="7"/>
  <c r="CR55" i="6"/>
  <c r="CV55" i="6"/>
  <c r="CP55" i="6"/>
  <c r="CT55" i="6"/>
  <c r="CS55" i="6"/>
  <c r="CL19" i="7"/>
  <c r="DP19" i="7"/>
  <c r="CL35" i="7"/>
  <c r="DP35" i="7"/>
  <c r="BH13" i="5"/>
  <c r="CR13" i="5"/>
  <c r="CP13" i="5"/>
  <c r="CQ13" i="5"/>
  <c r="CO13" i="5"/>
  <c r="CL16" i="6"/>
  <c r="CX80" i="5"/>
  <c r="CW80" i="5"/>
  <c r="CX74" i="5"/>
  <c r="CW74" i="5"/>
  <c r="CX69" i="5"/>
  <c r="CW69" i="5"/>
  <c r="CM13" i="7"/>
  <c r="DQ13" i="7"/>
  <c r="DS13" i="7"/>
  <c r="CL19" i="4"/>
  <c r="CP19" i="4"/>
  <c r="CN19" i="4"/>
  <c r="CR19" i="4"/>
  <c r="CK13" i="4"/>
  <c r="CM13" i="4"/>
  <c r="CO13" i="4"/>
  <c r="CQ13" i="4"/>
  <c r="BG80" i="5"/>
  <c r="BE80" i="5"/>
  <c r="CJ18" i="6"/>
  <c r="CK16" i="4"/>
  <c r="CM16" i="4"/>
  <c r="CO16" i="4"/>
  <c r="CQ16" i="4"/>
  <c r="BC59" i="16"/>
  <c r="BA59" i="16"/>
  <c r="BG59" i="16"/>
  <c r="BE59" i="16"/>
  <c r="BD59" i="16"/>
  <c r="BB59" i="16"/>
  <c r="BF59" i="16"/>
  <c r="BH59" i="16"/>
  <c r="BC48" i="16"/>
  <c r="BA48" i="16"/>
  <c r="BG48" i="16"/>
  <c r="BE48" i="16"/>
  <c r="DL13" i="7"/>
  <c r="CL13" i="7"/>
  <c r="CO22" i="4"/>
  <c r="CK22" i="4"/>
  <c r="CM22" i="4"/>
  <c r="CQ22" i="4"/>
  <c r="BC58" i="16"/>
  <c r="BG58" i="16"/>
  <c r="BE58" i="16"/>
  <c r="BA58" i="16"/>
  <c r="CK37" i="6"/>
  <c r="BC60" i="16"/>
  <c r="BG60" i="16"/>
  <c r="BE60" i="16"/>
  <c r="BA60" i="16"/>
  <c r="BC49" i="16"/>
  <c r="BE49" i="16"/>
  <c r="BG49" i="16"/>
  <c r="BA49" i="16"/>
  <c r="CK17" i="4"/>
  <c r="CM17" i="4"/>
  <c r="CO17" i="4"/>
  <c r="CQ17" i="4"/>
  <c r="CK56" i="6"/>
  <c r="CV56" i="6"/>
  <c r="CL56" i="6"/>
  <c r="CW56" i="6"/>
  <c r="CL13" i="6"/>
  <c r="CJ13" i="6"/>
  <c r="CU13" i="6"/>
  <c r="BC62" i="16"/>
  <c r="BE62" i="16"/>
  <c r="BG62" i="16"/>
  <c r="BA62" i="16"/>
  <c r="BD62" i="16"/>
  <c r="BB62" i="16"/>
  <c r="BF62" i="16"/>
  <c r="BH62" i="16"/>
  <c r="BD57" i="16"/>
  <c r="BB57" i="16"/>
  <c r="BF57" i="16"/>
  <c r="BH57" i="16"/>
  <c r="CK85" i="7"/>
  <c r="DJ85" i="7"/>
  <c r="DW85" i="7"/>
  <c r="CW85" i="7"/>
  <c r="DV85" i="7"/>
  <c r="CV85" i="7"/>
  <c r="CJ85" i="7"/>
  <c r="DU85" i="7"/>
  <c r="CU85" i="7"/>
  <c r="DI85" i="7"/>
  <c r="CL34" i="4"/>
  <c r="CR34" i="4"/>
  <c r="CN34" i="4"/>
  <c r="CP34" i="4"/>
  <c r="CK54" i="6"/>
  <c r="CL54" i="6"/>
  <c r="BD60" i="16"/>
  <c r="BB60" i="16"/>
  <c r="BF60" i="16"/>
  <c r="BH60" i="16"/>
  <c r="BG74" i="5"/>
  <c r="BE74" i="5"/>
  <c r="BC34" i="5"/>
  <c r="CV57" i="6"/>
  <c r="CK57" i="6"/>
  <c r="CW57" i="6"/>
  <c r="CL57" i="6"/>
  <c r="CL14" i="6"/>
  <c r="CU14" i="6"/>
  <c r="CJ14" i="6"/>
  <c r="BC63" i="16"/>
  <c r="BG63" i="16"/>
  <c r="BA63" i="16"/>
  <c r="BE63" i="16"/>
  <c r="BD63" i="16"/>
  <c r="BB63" i="16"/>
  <c r="BH63" i="16"/>
  <c r="BF63" i="16"/>
  <c r="CK14" i="6"/>
  <c r="CV14" i="6"/>
  <c r="CK35" i="6"/>
  <c r="BF80" i="5"/>
  <c r="BH80" i="5"/>
  <c r="CK36" i="6"/>
  <c r="CL16" i="4"/>
  <c r="CP16" i="4"/>
  <c r="CN16" i="4"/>
  <c r="CR16" i="4"/>
  <c r="CK55" i="6"/>
  <c r="CL55" i="6"/>
  <c r="CL17" i="4"/>
  <c r="CP17" i="4"/>
  <c r="CN17" i="4"/>
  <c r="CR17" i="4"/>
  <c r="CK19" i="4"/>
  <c r="CM19" i="4"/>
  <c r="CO19" i="4"/>
  <c r="CQ19" i="4"/>
  <c r="BF74" i="5"/>
  <c r="BH74" i="5"/>
  <c r="BE13" i="5"/>
  <c r="BG13" i="5"/>
  <c r="CL35" i="6"/>
  <c r="CJ35" i="6"/>
  <c r="CK13" i="6"/>
  <c r="CV13" i="6"/>
  <c r="CJ16" i="6"/>
  <c r="BC64" i="16"/>
  <c r="BG64" i="16"/>
  <c r="BE64" i="16"/>
  <c r="BA64" i="16"/>
  <c r="BD64" i="16"/>
  <c r="BB64" i="16"/>
  <c r="BH64" i="16"/>
  <c r="BF64" i="16"/>
  <c r="DU91" i="7"/>
  <c r="DI91" i="7"/>
  <c r="CV91" i="7"/>
  <c r="CK91" i="7"/>
  <c r="CW91" i="7"/>
  <c r="CJ91" i="7"/>
  <c r="DJ91" i="7"/>
  <c r="DH91" i="7"/>
  <c r="CI91" i="7"/>
  <c r="DW91" i="7"/>
  <c r="CU91" i="7"/>
  <c r="DV91" i="7"/>
  <c r="BE69" i="5"/>
  <c r="BG69" i="5"/>
  <c r="CJ36" i="6"/>
  <c r="CL36" i="6"/>
  <c r="CJ19" i="6"/>
  <c r="BC66" i="16"/>
  <c r="BG66" i="16"/>
  <c r="BA66" i="16"/>
  <c r="BE66" i="16"/>
  <c r="BD65" i="16"/>
  <c r="BB65" i="16"/>
  <c r="BF65" i="16"/>
  <c r="BH65" i="16"/>
  <c r="DW86" i="7"/>
  <c r="CW86" i="7"/>
  <c r="DI86" i="7"/>
  <c r="CU86" i="7"/>
  <c r="DJ86" i="7"/>
  <c r="CV86" i="7"/>
  <c r="CJ86" i="7"/>
  <c r="DV86" i="7"/>
  <c r="DU86" i="7"/>
  <c r="CK86" i="7"/>
  <c r="CM21" i="4"/>
  <c r="CO21" i="4"/>
  <c r="CQ21" i="4"/>
  <c r="CK21" i="4"/>
  <c r="BF69" i="5"/>
  <c r="BH69" i="5"/>
  <c r="CL37" i="6"/>
  <c r="CJ37" i="6"/>
  <c r="CJ17" i="6"/>
  <c r="BC65" i="16"/>
  <c r="BA65" i="16"/>
  <c r="BE65" i="16"/>
  <c r="BG65" i="16"/>
  <c r="BD66" i="16"/>
  <c r="BB66" i="16"/>
  <c r="BH66" i="16"/>
  <c r="BF66" i="16"/>
  <c r="DW101" i="7"/>
  <c r="CJ101" i="7"/>
  <c r="DV101" i="7"/>
  <c r="DJ101" i="7"/>
  <c r="CV101" i="7"/>
  <c r="CW101" i="7"/>
  <c r="DI101" i="7"/>
  <c r="CK101" i="7"/>
  <c r="CD34" i="4"/>
  <c r="CF34" i="4"/>
  <c r="CC16" i="4"/>
  <c r="CE16" i="4"/>
  <c r="CE17" i="4"/>
  <c r="CC17" i="4"/>
  <c r="CD17" i="4"/>
  <c r="CF17" i="4"/>
  <c r="CC19" i="4"/>
  <c r="CE19" i="4"/>
  <c r="CF16" i="4"/>
  <c r="CD16" i="4"/>
  <c r="CD19" i="4"/>
  <c r="CF19" i="4"/>
  <c r="CC21" i="4"/>
  <c r="CE21" i="4"/>
  <c r="CE13" i="4"/>
  <c r="CC13" i="4"/>
  <c r="CC22" i="4"/>
  <c r="CE22" i="4"/>
  <c r="AQ59" i="16"/>
  <c r="AS59" i="16"/>
  <c r="AU59" i="16"/>
  <c r="AO59" i="16"/>
  <c r="AP60" i="16"/>
  <c r="AR60" i="16"/>
  <c r="AN60" i="16"/>
  <c r="AT60" i="16"/>
  <c r="AO62" i="16"/>
  <c r="AQ62" i="16"/>
  <c r="AU62" i="16"/>
  <c r="AS62" i="16"/>
  <c r="AP62" i="16"/>
  <c r="AN62" i="16"/>
  <c r="AR62" i="16"/>
  <c r="AT62" i="16"/>
  <c r="AP63" i="16"/>
  <c r="AR63" i="16"/>
  <c r="AT63" i="16"/>
  <c r="AN63" i="16"/>
  <c r="AQ63" i="16"/>
  <c r="AU63" i="16"/>
  <c r="AS63" i="16"/>
  <c r="AO63" i="16"/>
  <c r="AU60" i="16"/>
  <c r="AQ60" i="16"/>
  <c r="AO60" i="16"/>
  <c r="AS60" i="16"/>
  <c r="AP66" i="16"/>
  <c r="AN66" i="16"/>
  <c r="AR66" i="16"/>
  <c r="AT66" i="16"/>
  <c r="AO65" i="16"/>
  <c r="AQ65" i="16"/>
  <c r="AS65" i="16"/>
  <c r="AU65" i="16"/>
  <c r="AT48" i="16"/>
  <c r="AN48" i="16"/>
  <c r="AP48" i="16"/>
  <c r="AR48" i="16"/>
  <c r="AT49" i="16"/>
  <c r="AR49" i="16"/>
  <c r="AN49" i="16"/>
  <c r="AP49" i="16"/>
  <c r="AU64" i="16"/>
  <c r="AQ64" i="16"/>
  <c r="AO64" i="16"/>
  <c r="AS64" i="16"/>
  <c r="AP65" i="16"/>
  <c r="AR65" i="16"/>
  <c r="AT65" i="16"/>
  <c r="AN65" i="16"/>
  <c r="AQ66" i="16"/>
  <c r="AS66" i="16"/>
  <c r="AU66" i="16"/>
  <c r="AO66" i="16"/>
  <c r="AP59" i="16"/>
  <c r="AN59" i="16"/>
  <c r="AR59" i="16"/>
  <c r="AT59" i="16"/>
  <c r="AP64" i="16"/>
  <c r="AR64" i="16"/>
  <c r="AN64" i="16"/>
  <c r="AT64" i="16"/>
  <c r="AP58" i="16"/>
  <c r="AR58" i="16"/>
  <c r="AT58" i="16"/>
  <c r="AN58" i="16"/>
  <c r="AS57" i="16"/>
  <c r="AQ57" i="16"/>
  <c r="AU57" i="16"/>
  <c r="AO57" i="16"/>
  <c r="DS18" i="7"/>
  <c r="CM18" i="7"/>
  <c r="DS29" i="7"/>
  <c r="CM29" i="7"/>
  <c r="DS19" i="7"/>
  <c r="CM19" i="7"/>
  <c r="DS28" i="7"/>
  <c r="CM28" i="7"/>
  <c r="DS34" i="7"/>
  <c r="CM34" i="7"/>
  <c r="CM44" i="7"/>
  <c r="DS33" i="7"/>
  <c r="CM33" i="7"/>
  <c r="DO35" i="7"/>
  <c r="DT35" i="7"/>
  <c r="DR35" i="7"/>
  <c r="DR24" i="7"/>
  <c r="DT24" i="7"/>
  <c r="DO28" i="7"/>
  <c r="DR28" i="7"/>
  <c r="DT28" i="7"/>
  <c r="DO19" i="7"/>
  <c r="DT19" i="7"/>
  <c r="DR19" i="7"/>
  <c r="DO29" i="7"/>
  <c r="DT29" i="7"/>
  <c r="DR29" i="7"/>
  <c r="DT33" i="7"/>
  <c r="DR33" i="7"/>
  <c r="DO18" i="7"/>
  <c r="DT18" i="7"/>
  <c r="DR18" i="7"/>
  <c r="DR34" i="7"/>
  <c r="DT34" i="7"/>
  <c r="DD13" i="7"/>
  <c r="DF13" i="7"/>
  <c r="DE13" i="7"/>
  <c r="DG13" i="7"/>
  <c r="CR18" i="7"/>
  <c r="CT18" i="7"/>
  <c r="CS13" i="7"/>
  <c r="CQ13" i="7"/>
  <c r="CT19" i="7"/>
  <c r="CR19" i="7"/>
  <c r="CS28" i="7"/>
  <c r="CQ28" i="7"/>
  <c r="CQ18" i="7"/>
  <c r="CS18" i="7"/>
  <c r="CR34" i="7"/>
  <c r="CT34" i="7"/>
  <c r="CR35" i="7"/>
  <c r="CT35" i="7"/>
  <c r="CQ29" i="7"/>
  <c r="CS29" i="7"/>
  <c r="CS19" i="7"/>
  <c r="CQ19" i="7"/>
  <c r="CQ33" i="7"/>
  <c r="CS33" i="7"/>
  <c r="CR29" i="7"/>
  <c r="CT29" i="7"/>
  <c r="CR24" i="7"/>
  <c r="CT24" i="7"/>
  <c r="CQ34" i="7"/>
  <c r="CS34" i="7"/>
  <c r="CR28" i="7"/>
  <c r="CT28" i="7"/>
  <c r="CR13" i="7"/>
  <c r="CT13" i="7"/>
  <c r="CR33" i="7"/>
  <c r="CT33" i="7"/>
  <c r="CO35" i="7"/>
  <c r="DL35" i="7"/>
  <c r="CP35" i="7"/>
  <c r="DM28" i="7"/>
  <c r="DM18" i="7"/>
  <c r="DL44" i="7"/>
  <c r="DH65" i="7"/>
  <c r="CG65" i="7"/>
  <c r="DM29" i="7"/>
  <c r="DM19" i="7"/>
  <c r="CP19" i="7"/>
  <c r="DL19" i="7"/>
  <c r="CO19" i="7"/>
  <c r="DL24" i="7"/>
  <c r="CP24" i="7"/>
  <c r="DM33" i="7"/>
  <c r="DM34" i="7"/>
  <c r="CP28" i="7"/>
  <c r="DL28" i="7"/>
  <c r="CO28" i="7"/>
  <c r="CP18" i="7"/>
  <c r="DL18" i="7"/>
  <c r="CO18" i="7"/>
  <c r="DM13" i="7"/>
  <c r="CH65" i="7"/>
  <c r="DI65" i="7"/>
  <c r="DM44" i="7"/>
  <c r="CP29" i="7"/>
  <c r="DL29" i="7"/>
  <c r="CO29" i="7"/>
  <c r="DL34" i="7"/>
  <c r="CO13" i="7"/>
  <c r="CP13" i="7"/>
  <c r="DL33" i="7"/>
  <c r="CE13" i="7"/>
  <c r="CG13" i="7"/>
  <c r="CF13" i="7"/>
  <c r="CH13" i="7"/>
  <c r="CD13" i="7"/>
  <c r="CC13" i="7"/>
  <c r="DB18" i="7"/>
  <c r="CF18" i="7"/>
  <c r="DG18" i="7"/>
  <c r="CH18" i="7"/>
  <c r="DE18" i="7"/>
  <c r="CC18" i="7"/>
  <c r="CD18" i="7"/>
  <c r="DC18" i="7"/>
  <c r="CG33" i="7"/>
  <c r="DF33" i="7"/>
  <c r="DQ33" i="7"/>
  <c r="DD33" i="7"/>
  <c r="CE33" i="7"/>
  <c r="CF34" i="7"/>
  <c r="DG34" i="7"/>
  <c r="DE34" i="7"/>
  <c r="CH34" i="7"/>
  <c r="DD34" i="7"/>
  <c r="DQ34" i="7"/>
  <c r="CE34" i="7"/>
  <c r="DF34" i="7"/>
  <c r="CG34" i="7"/>
  <c r="DQ19" i="7"/>
  <c r="CE19" i="7"/>
  <c r="DF19" i="7"/>
  <c r="DD19" i="7"/>
  <c r="CG19" i="7"/>
  <c r="CD35" i="7"/>
  <c r="DE35" i="7"/>
  <c r="CC35" i="7"/>
  <c r="DB35" i="7"/>
  <c r="CH35" i="7"/>
  <c r="DG35" i="7"/>
  <c r="DC35" i="7"/>
  <c r="CF35" i="7"/>
  <c r="DG65" i="7"/>
  <c r="DB19" i="7"/>
  <c r="CF19" i="7"/>
  <c r="DG19" i="7"/>
  <c r="CD19" i="7"/>
  <c r="DE19" i="7"/>
  <c r="CC19" i="7"/>
  <c r="DC19" i="7"/>
  <c r="CH19" i="7"/>
  <c r="CH24" i="7"/>
  <c r="DG24" i="7"/>
  <c r="DE24" i="7"/>
  <c r="DC24" i="7"/>
  <c r="CF24" i="7"/>
  <c r="CD24" i="7"/>
  <c r="CH33" i="7"/>
  <c r="DG33" i="7"/>
  <c r="DE33" i="7"/>
  <c r="CF33" i="7"/>
  <c r="DQ18" i="7"/>
  <c r="CE18" i="7"/>
  <c r="CG18" i="7"/>
  <c r="DD18" i="7"/>
  <c r="DF18" i="7"/>
  <c r="DB13" i="7"/>
  <c r="DC13" i="7"/>
  <c r="CP69" i="5"/>
  <c r="CR69" i="5"/>
  <c r="CQ80" i="5"/>
  <c r="BK80" i="5"/>
  <c r="CO80" i="5"/>
  <c r="BL80" i="5"/>
  <c r="CP80" i="5"/>
  <c r="CR80" i="5"/>
  <c r="BL74" i="5"/>
  <c r="CQ74" i="5"/>
  <c r="CO74" i="5"/>
  <c r="BK74" i="5"/>
  <c r="CH36" i="6"/>
  <c r="CI36" i="6"/>
  <c r="CR74" i="5"/>
  <c r="CP74" i="5"/>
  <c r="CG54" i="6"/>
  <c r="CE54" i="6"/>
  <c r="CI54" i="6"/>
  <c r="CH54" i="6"/>
  <c r="CI37" i="6"/>
  <c r="CH37" i="6"/>
  <c r="BB13" i="18"/>
  <c r="T13" i="18" s="1"/>
  <c r="CR56" i="6"/>
  <c r="CG56" i="6"/>
  <c r="CP56" i="6"/>
  <c r="CE56" i="6"/>
  <c r="CT56" i="6"/>
  <c r="CI56" i="6"/>
  <c r="CS56" i="6"/>
  <c r="CH56" i="6"/>
  <c r="CR57" i="6"/>
  <c r="CG57" i="6"/>
  <c r="CP57" i="6"/>
  <c r="CE57" i="6"/>
  <c r="CH57" i="6"/>
  <c r="CT57" i="6"/>
  <c r="CI57" i="6"/>
  <c r="CS57" i="6"/>
  <c r="CQ69" i="5"/>
  <c r="BK69" i="5"/>
  <c r="CO69" i="5"/>
  <c r="BL69" i="5"/>
  <c r="CI55" i="6"/>
  <c r="CH55" i="6"/>
  <c r="CE55" i="6"/>
  <c r="CG55" i="6"/>
  <c r="CI35" i="6"/>
  <c r="CH35" i="6"/>
  <c r="CK44" i="7"/>
  <c r="CK28" i="7"/>
  <c r="CK29" i="7"/>
  <c r="T38" i="6"/>
  <c r="S38" i="6"/>
  <c r="R38" i="6"/>
  <c r="Q38" i="6"/>
  <c r="N38" i="6"/>
  <c r="M38" i="6"/>
  <c r="L38" i="6"/>
  <c r="K38" i="6"/>
  <c r="X29" i="6"/>
  <c r="W29" i="6"/>
  <c r="V29" i="6"/>
  <c r="U29" i="6"/>
  <c r="T29" i="6"/>
  <c r="S29" i="6"/>
  <c r="R29" i="6"/>
  <c r="Q29" i="6"/>
  <c r="T20" i="6"/>
  <c r="S20" i="6"/>
  <c r="T15" i="6"/>
  <c r="S15" i="6"/>
  <c r="R20" i="6"/>
  <c r="Q20" i="6"/>
  <c r="R15" i="6"/>
  <c r="Q15" i="6"/>
  <c r="N20" i="6"/>
  <c r="M20" i="6"/>
  <c r="N15" i="6"/>
  <c r="M15" i="6"/>
  <c r="P20" i="6"/>
  <c r="O20" i="6"/>
  <c r="P15" i="6"/>
  <c r="O15" i="6"/>
  <c r="AB20" i="6"/>
  <c r="AA20" i="6"/>
  <c r="AB15" i="6"/>
  <c r="AA15" i="6"/>
  <c r="S59" i="16" l="1"/>
  <c r="AC57" i="6"/>
  <c r="AC56" i="6"/>
  <c r="AZ85" i="7"/>
  <c r="AC54" i="6"/>
  <c r="AZ91" i="7"/>
  <c r="S48" i="16"/>
  <c r="DU13" i="7"/>
  <c r="DV13" i="7"/>
  <c r="DW13" i="7"/>
  <c r="CK13" i="7"/>
  <c r="AM69" i="5"/>
  <c r="S58" i="16"/>
  <c r="S65" i="16"/>
  <c r="S63" i="16"/>
  <c r="S49" i="16"/>
  <c r="AZ86" i="7"/>
  <c r="S57" i="16"/>
  <c r="S64" i="16"/>
  <c r="S60" i="16"/>
  <c r="S66" i="16"/>
  <c r="S62" i="16"/>
  <c r="AZ101" i="7"/>
  <c r="DJ44" i="7"/>
  <c r="DV44" i="7"/>
  <c r="DW44" i="7"/>
  <c r="DJ29" i="7"/>
  <c r="DU29" i="7"/>
  <c r="DV29" i="7"/>
  <c r="DW29" i="7"/>
  <c r="DJ28" i="7"/>
  <c r="DW28" i="7"/>
  <c r="DV28" i="7"/>
  <c r="DU28" i="7"/>
  <c r="DJ13" i="7"/>
  <c r="CW44" i="7"/>
  <c r="CV44" i="7"/>
  <c r="CW29" i="7"/>
  <c r="CV29" i="7"/>
  <c r="CU29" i="7"/>
  <c r="CW28" i="7"/>
  <c r="CV28" i="7"/>
  <c r="CU28" i="7"/>
  <c r="DI13" i="7"/>
  <c r="DH13" i="7"/>
  <c r="CV13" i="7"/>
  <c r="CU13" i="7"/>
  <c r="CW13" i="7"/>
  <c r="CJ13" i="7"/>
  <c r="CI13" i="7"/>
  <c r="AB21" i="6"/>
  <c r="CJ28" i="7"/>
  <c r="DI28" i="7"/>
  <c r="CJ44" i="7"/>
  <c r="AZ44" i="7" s="1"/>
  <c r="DI44" i="7"/>
  <c r="DI29" i="7"/>
  <c r="CJ29" i="7"/>
  <c r="AM80" i="5"/>
  <c r="AM74" i="5"/>
  <c r="S65" i="7"/>
  <c r="R21" i="6"/>
  <c r="M21" i="6"/>
  <c r="N21" i="6"/>
  <c r="O21" i="6"/>
  <c r="S21" i="6"/>
  <c r="P21" i="6"/>
  <c r="T21" i="6"/>
  <c r="AA21" i="6"/>
  <c r="Q21" i="6"/>
  <c r="AZ28" i="7" l="1"/>
  <c r="AZ13" i="7"/>
  <c r="AZ29" i="7"/>
  <c r="N72" i="17"/>
  <c r="M72" i="17"/>
  <c r="N70" i="17"/>
  <c r="M70" i="17"/>
  <c r="N63" i="17"/>
  <c r="M63" i="17"/>
  <c r="N58" i="17"/>
  <c r="M58" i="17"/>
  <c r="N55" i="17"/>
  <c r="M55" i="17"/>
  <c r="L72" i="17"/>
  <c r="K72" i="17"/>
  <c r="L70" i="17"/>
  <c r="K70" i="17"/>
  <c r="L63" i="17"/>
  <c r="K63" i="17"/>
  <c r="L58" i="17"/>
  <c r="K58" i="17"/>
  <c r="L55" i="17"/>
  <c r="K55" i="17"/>
  <c r="J72" i="17"/>
  <c r="I72" i="17"/>
  <c r="J70" i="17"/>
  <c r="I70" i="17"/>
  <c r="J63" i="17"/>
  <c r="I63" i="17"/>
  <c r="J58" i="17"/>
  <c r="I58" i="17"/>
  <c r="J55" i="17"/>
  <c r="I55" i="17"/>
  <c r="CF44" i="17" l="1"/>
  <c r="DG44" i="17"/>
  <c r="CE44" i="17"/>
  <c r="CD44" i="17"/>
  <c r="DF44" i="17"/>
  <c r="DH44" i="17"/>
  <c r="CP41" i="5"/>
  <c r="CO41" i="5"/>
  <c r="CP25" i="5" l="1"/>
  <c r="CR25" i="5"/>
  <c r="CO22" i="5"/>
  <c r="CQ22" i="5"/>
  <c r="CW26" i="5"/>
  <c r="CQ26" i="5"/>
  <c r="CX26" i="5"/>
  <c r="CO26" i="5"/>
  <c r="CP28" i="5"/>
  <c r="CR28" i="5"/>
  <c r="CP22" i="5"/>
  <c r="CR22" i="5"/>
  <c r="CP26" i="5"/>
  <c r="CR26" i="5"/>
  <c r="CW25" i="5"/>
  <c r="CO25" i="5"/>
  <c r="CQ25" i="5"/>
  <c r="CX25" i="5"/>
  <c r="CW27" i="5"/>
  <c r="CO27" i="5"/>
  <c r="CX27" i="5"/>
  <c r="CQ27" i="5"/>
  <c r="CR23" i="5"/>
  <c r="CP23" i="5"/>
  <c r="CP27" i="5"/>
  <c r="CR27" i="5"/>
  <c r="CP24" i="5"/>
  <c r="CR24" i="5"/>
  <c r="CO23" i="5"/>
  <c r="CQ23" i="5"/>
  <c r="CQ28" i="5"/>
  <c r="CW28" i="5"/>
  <c r="CO28" i="5"/>
  <c r="CX28" i="5"/>
  <c r="CW58" i="5"/>
  <c r="CX58" i="5"/>
  <c r="CW50" i="5"/>
  <c r="CX50" i="5"/>
  <c r="CW71" i="5"/>
  <c r="CX71" i="5"/>
  <c r="CW67" i="5"/>
  <c r="CX67" i="5"/>
  <c r="CO24" i="5"/>
  <c r="CW24" i="5"/>
  <c r="CX24" i="5"/>
  <c r="CQ24" i="5"/>
  <c r="BK24" i="5"/>
  <c r="BL24" i="5"/>
  <c r="BF71" i="5"/>
  <c r="BH71" i="5"/>
  <c r="BE25" i="5"/>
  <c r="BG25" i="5"/>
  <c r="BF25" i="5"/>
  <c r="BH25" i="5"/>
  <c r="BE26" i="5"/>
  <c r="BG26" i="5"/>
  <c r="BF26" i="5"/>
  <c r="BH26" i="5"/>
  <c r="BG23" i="5"/>
  <c r="BE23" i="5"/>
  <c r="BE27" i="5"/>
  <c r="BG27" i="5"/>
  <c r="BG58" i="5"/>
  <c r="BE58" i="5"/>
  <c r="BE71" i="5"/>
  <c r="BG71" i="5"/>
  <c r="BG22" i="5"/>
  <c r="BE22" i="5"/>
  <c r="BH22" i="5"/>
  <c r="BF22" i="5"/>
  <c r="BF23" i="5"/>
  <c r="BH23" i="5"/>
  <c r="BF27" i="5"/>
  <c r="BH27" i="5"/>
  <c r="BF58" i="5"/>
  <c r="BH58" i="5"/>
  <c r="BG24" i="5"/>
  <c r="BE24" i="5"/>
  <c r="BE28" i="5"/>
  <c r="BG28" i="5"/>
  <c r="BE67" i="5"/>
  <c r="BG67" i="5"/>
  <c r="BG50" i="5"/>
  <c r="BE50" i="5"/>
  <c r="BF50" i="5"/>
  <c r="BH50" i="5"/>
  <c r="BH24" i="5"/>
  <c r="BF24" i="5"/>
  <c r="BH28" i="5"/>
  <c r="BF28" i="5"/>
  <c r="BF67" i="5"/>
  <c r="BH67" i="5"/>
  <c r="BL58" i="5"/>
  <c r="CO58" i="5"/>
  <c r="BK58" i="5"/>
  <c r="CQ58" i="5"/>
  <c r="CR58" i="5"/>
  <c r="CP58" i="5"/>
  <c r="BL67" i="5"/>
  <c r="CO67" i="5"/>
  <c r="BK67" i="5"/>
  <c r="CQ67" i="5"/>
  <c r="CR67" i="5"/>
  <c r="CP67" i="5"/>
  <c r="BL50" i="5"/>
  <c r="CQ50" i="5"/>
  <c r="CO50" i="5"/>
  <c r="BK50" i="5"/>
  <c r="BL71" i="5"/>
  <c r="CQ71" i="5"/>
  <c r="CO71" i="5"/>
  <c r="BK71" i="5"/>
  <c r="CR50" i="5"/>
  <c r="CP50" i="5"/>
  <c r="CR71" i="5"/>
  <c r="CP71" i="5"/>
  <c r="CS22" i="5"/>
  <c r="BE41" i="5"/>
  <c r="CX77" i="5" l="1"/>
  <c r="CW77" i="5"/>
  <c r="CW66" i="5"/>
  <c r="CX66" i="5"/>
  <c r="CX57" i="5"/>
  <c r="CW57" i="5"/>
  <c r="BG77" i="5"/>
  <c r="BE77" i="5"/>
  <c r="BH77" i="5"/>
  <c r="BF77" i="5"/>
  <c r="BG66" i="5"/>
  <c r="BE66" i="5"/>
  <c r="BG57" i="5"/>
  <c r="BE57" i="5"/>
  <c r="BF57" i="5"/>
  <c r="BH57" i="5"/>
  <c r="BF66" i="5"/>
  <c r="BH66" i="5"/>
  <c r="AM50" i="5"/>
  <c r="CQ77" i="5"/>
  <c r="BK77" i="5"/>
  <c r="CO77" i="5"/>
  <c r="BL77" i="5"/>
  <c r="CP77" i="5"/>
  <c r="CR77" i="5"/>
  <c r="BH41" i="5"/>
  <c r="BF41" i="5"/>
  <c r="CR41" i="5"/>
  <c r="CQ57" i="5"/>
  <c r="BK57" i="5"/>
  <c r="CO57" i="5"/>
  <c r="BL57" i="5"/>
  <c r="CP66" i="5"/>
  <c r="CR66" i="5"/>
  <c r="CP57" i="5"/>
  <c r="CR57" i="5"/>
  <c r="AM71" i="5"/>
  <c r="CQ66" i="5"/>
  <c r="BK66" i="5"/>
  <c r="CO66" i="5"/>
  <c r="BL66" i="5"/>
  <c r="CN41" i="5"/>
  <c r="CM41" i="5"/>
  <c r="BD41" i="5"/>
  <c r="BC41" i="5"/>
  <c r="CQ41" i="5"/>
  <c r="BG41" i="5"/>
  <c r="BI24" i="5" l="1"/>
  <c r="AN24" i="5" s="1"/>
  <c r="CS24" i="5"/>
  <c r="AM41" i="5"/>
  <c r="AM66" i="5"/>
  <c r="AM77" i="5"/>
  <c r="AM57" i="5"/>
  <c r="CD146" i="17" l="1"/>
  <c r="CF146" i="17"/>
  <c r="CC146" i="17"/>
  <c r="CE146" i="17"/>
  <c r="DI146" i="17"/>
  <c r="DG146" i="17"/>
  <c r="DJ146" i="17"/>
  <c r="DH146" i="17"/>
  <c r="CJ40" i="5" l="1"/>
  <c r="CI40" i="5"/>
  <c r="CH40" i="5"/>
  <c r="CG40" i="5"/>
  <c r="CF40" i="5"/>
  <c r="CE40" i="5"/>
  <c r="CD40" i="5"/>
  <c r="CC40" i="5"/>
  <c r="CB40" i="5"/>
  <c r="CA40" i="5"/>
  <c r="BZ40" i="5"/>
  <c r="BY40" i="5"/>
  <c r="BX40" i="5"/>
  <c r="BW40" i="5"/>
  <c r="BV40" i="5"/>
  <c r="BU40" i="5"/>
  <c r="BT40" i="5"/>
  <c r="BS40" i="5"/>
  <c r="BR40" i="5"/>
  <c r="BQ40" i="5"/>
  <c r="BP40" i="5"/>
  <c r="BO40" i="5"/>
  <c r="BN40" i="5"/>
  <c r="BM40" i="5"/>
  <c r="BL40" i="5"/>
  <c r="BK40" i="5"/>
  <c r="BJ40" i="5"/>
  <c r="BI40" i="5"/>
  <c r="K111" i="17" l="1"/>
  <c r="L134" i="17" l="1"/>
  <c r="M134" i="17"/>
  <c r="G134" i="17"/>
  <c r="CO85" i="5" l="1"/>
  <c r="CQ85" i="5"/>
  <c r="CR85" i="5"/>
  <c r="CP85" i="5"/>
  <c r="CO83" i="5"/>
  <c r="CQ83" i="5"/>
  <c r="CP83" i="5"/>
  <c r="CR83" i="5"/>
  <c r="CO84" i="5"/>
  <c r="CQ84" i="5"/>
  <c r="CR84" i="5"/>
  <c r="CP84" i="5"/>
  <c r="CP82" i="5"/>
  <c r="CR82" i="5"/>
  <c r="BL82" i="5"/>
  <c r="CQ82" i="5"/>
  <c r="BK82" i="5"/>
  <c r="CO82" i="5"/>
  <c r="CW78" i="5" l="1"/>
  <c r="CX78" i="5"/>
  <c r="CW79" i="5"/>
  <c r="CX79" i="5"/>
  <c r="CX49" i="5"/>
  <c r="CW49" i="5"/>
  <c r="CW52" i="5"/>
  <c r="CX52" i="5"/>
  <c r="CW54" i="5"/>
  <c r="CX54" i="5"/>
  <c r="CW56" i="5"/>
  <c r="CX56" i="5"/>
  <c r="CW62" i="5"/>
  <c r="CX62" i="5"/>
  <c r="CW64" i="5"/>
  <c r="CX64" i="5"/>
  <c r="CW72" i="5"/>
  <c r="CX72" i="5"/>
  <c r="CW51" i="5"/>
  <c r="CX51" i="5"/>
  <c r="CX53" i="5"/>
  <c r="CW53" i="5"/>
  <c r="CW55" i="5"/>
  <c r="CX55" i="5"/>
  <c r="CW59" i="5"/>
  <c r="CX59" i="5"/>
  <c r="CW63" i="5"/>
  <c r="CX63" i="5"/>
  <c r="CW70" i="5"/>
  <c r="CX70" i="5"/>
  <c r="CX73" i="5"/>
  <c r="CW73" i="5"/>
  <c r="BG54" i="5"/>
  <c r="BE54" i="5"/>
  <c r="BG62" i="5"/>
  <c r="BE62" i="5"/>
  <c r="BF49" i="5"/>
  <c r="BH49" i="5"/>
  <c r="BF72" i="5"/>
  <c r="BH72" i="5"/>
  <c r="BE63" i="5"/>
  <c r="BG63" i="5"/>
  <c r="BF73" i="5"/>
  <c r="BH73" i="5"/>
  <c r="BG52" i="5"/>
  <c r="BE52" i="5"/>
  <c r="BG56" i="5"/>
  <c r="BE56" i="5"/>
  <c r="BG64" i="5"/>
  <c r="BE64" i="5"/>
  <c r="BG78" i="5"/>
  <c r="BE78" i="5"/>
  <c r="BE51" i="5"/>
  <c r="BG51" i="5"/>
  <c r="BF63" i="5"/>
  <c r="BH63" i="5"/>
  <c r="BF52" i="5"/>
  <c r="BH52" i="5"/>
  <c r="BF56" i="5"/>
  <c r="BH56" i="5"/>
  <c r="BF64" i="5"/>
  <c r="BH64" i="5"/>
  <c r="BF78" i="5"/>
  <c r="BH78" i="5"/>
  <c r="BG72" i="5"/>
  <c r="BE72" i="5"/>
  <c r="BF62" i="5"/>
  <c r="BH62" i="5"/>
  <c r="BE73" i="5"/>
  <c r="BG73" i="5"/>
  <c r="BF51" i="5"/>
  <c r="BH51" i="5"/>
  <c r="BE53" i="5"/>
  <c r="BG53" i="5"/>
  <c r="BE59" i="5"/>
  <c r="BG59" i="5"/>
  <c r="BG70" i="5"/>
  <c r="BE70" i="5"/>
  <c r="BG79" i="5"/>
  <c r="BE79" i="5"/>
  <c r="BG49" i="5"/>
  <c r="BE49" i="5"/>
  <c r="BF54" i="5"/>
  <c r="BH54" i="5"/>
  <c r="BE55" i="5"/>
  <c r="BG55" i="5"/>
  <c r="BF55" i="5"/>
  <c r="BH55" i="5"/>
  <c r="BF53" i="5"/>
  <c r="BH53" i="5"/>
  <c r="BF59" i="5"/>
  <c r="BH59" i="5"/>
  <c r="BF70" i="5"/>
  <c r="BH70" i="5"/>
  <c r="BH79" i="5"/>
  <c r="BF79" i="5"/>
  <c r="BL53" i="5"/>
  <c r="CQ53" i="5"/>
  <c r="CO53" i="5"/>
  <c r="BK53" i="5"/>
  <c r="CQ72" i="5"/>
  <c r="BK72" i="5"/>
  <c r="CO72" i="5"/>
  <c r="BL72" i="5"/>
  <c r="CR56" i="5"/>
  <c r="CP56" i="5"/>
  <c r="CQ51" i="5"/>
  <c r="BK51" i="5"/>
  <c r="CO51" i="5"/>
  <c r="BL51" i="5"/>
  <c r="CQ54" i="5"/>
  <c r="BK54" i="5"/>
  <c r="CO54" i="5"/>
  <c r="BL54" i="5"/>
  <c r="BL59" i="5"/>
  <c r="CQ59" i="5"/>
  <c r="CO59" i="5"/>
  <c r="BK59" i="5"/>
  <c r="BL64" i="5"/>
  <c r="CO64" i="5"/>
  <c r="BK64" i="5"/>
  <c r="CQ64" i="5"/>
  <c r="BL73" i="5"/>
  <c r="CO73" i="5"/>
  <c r="BK73" i="5"/>
  <c r="CQ73" i="5"/>
  <c r="BL56" i="5"/>
  <c r="CQ56" i="5"/>
  <c r="CO56" i="5"/>
  <c r="BK56" i="5"/>
  <c r="BL79" i="5"/>
  <c r="CQ79" i="5"/>
  <c r="CO79" i="5"/>
  <c r="BK79" i="5"/>
  <c r="CR53" i="5"/>
  <c r="CP53" i="5"/>
  <c r="CR79" i="5"/>
  <c r="CP79" i="5"/>
  <c r="CR59" i="5"/>
  <c r="CP59" i="5"/>
  <c r="CR64" i="5"/>
  <c r="CP64" i="5"/>
  <c r="CR73" i="5"/>
  <c r="CP73" i="5"/>
  <c r="BL49" i="5"/>
  <c r="CO49" i="5"/>
  <c r="BK49" i="5"/>
  <c r="CQ49" i="5"/>
  <c r="CQ63" i="5"/>
  <c r="BK63" i="5"/>
  <c r="CO63" i="5"/>
  <c r="BL63" i="5"/>
  <c r="CP72" i="5"/>
  <c r="CR72" i="5"/>
  <c r="CP54" i="5"/>
  <c r="CR54" i="5"/>
  <c r="BL52" i="5"/>
  <c r="CO52" i="5"/>
  <c r="BK52" i="5"/>
  <c r="CQ52" i="5"/>
  <c r="BL55" i="5"/>
  <c r="CO55" i="5"/>
  <c r="BK55" i="5"/>
  <c r="CQ55" i="5"/>
  <c r="BL62" i="5"/>
  <c r="CQ62" i="5"/>
  <c r="CO62" i="5"/>
  <c r="BK62" i="5"/>
  <c r="BL70" i="5"/>
  <c r="CO70" i="5"/>
  <c r="BK70" i="5"/>
  <c r="CQ70" i="5"/>
  <c r="BL78" i="5"/>
  <c r="CO78" i="5"/>
  <c r="BK78" i="5"/>
  <c r="CQ78" i="5"/>
  <c r="CR49" i="5"/>
  <c r="CP49" i="5"/>
  <c r="CP63" i="5"/>
  <c r="CR63" i="5"/>
  <c r="CP51" i="5"/>
  <c r="CR51" i="5"/>
  <c r="CR52" i="5"/>
  <c r="CP52" i="5"/>
  <c r="CR55" i="5"/>
  <c r="CP55" i="5"/>
  <c r="CR62" i="5"/>
  <c r="CP62" i="5"/>
  <c r="CR70" i="5"/>
  <c r="CP70" i="5"/>
  <c r="CR78" i="5"/>
  <c r="CP78" i="5"/>
  <c r="AM82" i="5"/>
  <c r="AM85" i="5"/>
  <c r="AM83" i="5"/>
  <c r="AM84" i="5"/>
  <c r="CP76" i="5"/>
  <c r="CR76" i="5"/>
  <c r="CQ76" i="5"/>
  <c r="BK76" i="5"/>
  <c r="CO76" i="5"/>
  <c r="BL76" i="5"/>
  <c r="CO48" i="5"/>
  <c r="BL48" i="5"/>
  <c r="CQ48" i="5"/>
  <c r="BK48" i="5"/>
  <c r="CP48" i="5"/>
  <c r="CR48" i="5"/>
  <c r="K134" i="17"/>
  <c r="J134" i="17"/>
  <c r="I134" i="17"/>
  <c r="H134" i="17"/>
  <c r="F134" i="17" l="1"/>
  <c r="AM52" i="5"/>
  <c r="AM79" i="5"/>
  <c r="AM76" i="5"/>
  <c r="AM78" i="5"/>
  <c r="AM56" i="5"/>
  <c r="AM48" i="5"/>
  <c r="AM59" i="5"/>
  <c r="AM49" i="5"/>
  <c r="AM70" i="5"/>
  <c r="AM64" i="5"/>
  <c r="AM67" i="5"/>
  <c r="AM63" i="5"/>
  <c r="AM54" i="5"/>
  <c r="AM51" i="5"/>
  <c r="AM62" i="5"/>
  <c r="AM72" i="5"/>
  <c r="AM65" i="5"/>
  <c r="AM61" i="5"/>
  <c r="AM58" i="5"/>
  <c r="AM55" i="5"/>
  <c r="AM53" i="5"/>
  <c r="AM73" i="5"/>
  <c r="E134" i="17"/>
  <c r="D134" i="17" l="1"/>
  <c r="CL48" i="7" l="1"/>
  <c r="CL51" i="7"/>
  <c r="CL50" i="7"/>
  <c r="CL49" i="7"/>
  <c r="CE105" i="7" l="1"/>
  <c r="DQ105" i="7"/>
  <c r="DD105" i="7"/>
  <c r="CG105" i="7"/>
  <c r="DS105" i="7"/>
  <c r="DF105" i="7"/>
  <c r="CS105" i="7"/>
  <c r="CQ105" i="7"/>
  <c r="DP105" i="7"/>
  <c r="DC105" i="7"/>
  <c r="CT105" i="7"/>
  <c r="CF105" i="7"/>
  <c r="DR105" i="7"/>
  <c r="DE105" i="7"/>
  <c r="CO105" i="7"/>
  <c r="CH105" i="7"/>
  <c r="DT105" i="7"/>
  <c r="DG105" i="7"/>
  <c r="CP105" i="7"/>
  <c r="CD105" i="7"/>
  <c r="CC105" i="7"/>
  <c r="CR105" i="7"/>
  <c r="DO105" i="7"/>
  <c r="DB105" i="7"/>
  <c r="CH106" i="7"/>
  <c r="DR106" i="7"/>
  <c r="DE106" i="7"/>
  <c r="CO106" i="7"/>
  <c r="CD106" i="7"/>
  <c r="DT106" i="7"/>
  <c r="DG106" i="7"/>
  <c r="CP106" i="7"/>
  <c r="CC106" i="7"/>
  <c r="CR106" i="7"/>
  <c r="DO106" i="7"/>
  <c r="DB106" i="7"/>
  <c r="CF106" i="7"/>
  <c r="DP106" i="7"/>
  <c r="DC106" i="7"/>
  <c r="CT106" i="7"/>
  <c r="DQ106" i="7"/>
  <c r="DD106" i="7"/>
  <c r="DS106" i="7"/>
  <c r="DF106" i="7"/>
  <c r="CQ106" i="7"/>
  <c r="CE106" i="7"/>
  <c r="CS106" i="7"/>
  <c r="CG106" i="7"/>
  <c r="DS107" i="7"/>
  <c r="DF107" i="7"/>
  <c r="CE107" i="7"/>
  <c r="CQ107" i="7"/>
  <c r="CG107" i="7"/>
  <c r="CS107" i="7"/>
  <c r="DQ107" i="7"/>
  <c r="DD107" i="7"/>
  <c r="DR107" i="7"/>
  <c r="DE107" i="7"/>
  <c r="CD107" i="7"/>
  <c r="CO107" i="7"/>
  <c r="CC107" i="7"/>
  <c r="DT107" i="7"/>
  <c r="DG107" i="7"/>
  <c r="CP107" i="7"/>
  <c r="CF107" i="7"/>
  <c r="CH107" i="7"/>
  <c r="CR107" i="7"/>
  <c r="DO107" i="7"/>
  <c r="DB107" i="7"/>
  <c r="DP107" i="7"/>
  <c r="DC107" i="7"/>
  <c r="CT107" i="7"/>
  <c r="DS108" i="7"/>
  <c r="DF108" i="7"/>
  <c r="CG108" i="7"/>
  <c r="CQ108" i="7"/>
  <c r="CS108" i="7"/>
  <c r="DQ108" i="7"/>
  <c r="DD108" i="7"/>
  <c r="CE108" i="7"/>
  <c r="CO108" i="7"/>
  <c r="DT108" i="7"/>
  <c r="DG108" i="7"/>
  <c r="CP108" i="7"/>
  <c r="CH108" i="7"/>
  <c r="DE108" i="7"/>
  <c r="CR108" i="7"/>
  <c r="DO108" i="7"/>
  <c r="DB108" i="7"/>
  <c r="DP108" i="7"/>
  <c r="DC108" i="7"/>
  <c r="CT108" i="7"/>
  <c r="CD108" i="7"/>
  <c r="DR108" i="7"/>
  <c r="CF108" i="7"/>
  <c r="CC108" i="7"/>
  <c r="CL105" i="7"/>
  <c r="DL105" i="7"/>
  <c r="DM106" i="7"/>
  <c r="CM106" i="7"/>
  <c r="DL106" i="7"/>
  <c r="CL106" i="7"/>
  <c r="DM107" i="7"/>
  <c r="CM107" i="7"/>
  <c r="CL107" i="7"/>
  <c r="DL107" i="7"/>
  <c r="DM105" i="7"/>
  <c r="CM105" i="7"/>
  <c r="DM108" i="7"/>
  <c r="CM108" i="7"/>
  <c r="CL108" i="7"/>
  <c r="DL108" i="7"/>
  <c r="CM50" i="7"/>
  <c r="CM48" i="7"/>
  <c r="CM49" i="7"/>
  <c r="CM51" i="7"/>
  <c r="DL49" i="7"/>
  <c r="DM50" i="7"/>
  <c r="DL48" i="7"/>
  <c r="DL50" i="7"/>
  <c r="DM49" i="7"/>
  <c r="DM51" i="7"/>
  <c r="DL51" i="7"/>
  <c r="DM48" i="7"/>
  <c r="CK49" i="7"/>
  <c r="CK51" i="7"/>
  <c r="CK48" i="7"/>
  <c r="CK50" i="7"/>
  <c r="CU105" i="7" l="1"/>
  <c r="CI105" i="7"/>
  <c r="DU105" i="7"/>
  <c r="DH105" i="7"/>
  <c r="DU107" i="7"/>
  <c r="DH107" i="7"/>
  <c r="CI107" i="7"/>
  <c r="CU107" i="7"/>
  <c r="CU106" i="7"/>
  <c r="CI106" i="7"/>
  <c r="DU106" i="7"/>
  <c r="DH106" i="7"/>
  <c r="DU108" i="7"/>
  <c r="DH108" i="7"/>
  <c r="CI108" i="7"/>
  <c r="CU108" i="7"/>
  <c r="DJ105" i="7"/>
  <c r="DI105" i="7"/>
  <c r="CJ105" i="7"/>
  <c r="DW105" i="7"/>
  <c r="CV105" i="7"/>
  <c r="DV105" i="7"/>
  <c r="CW105" i="7"/>
  <c r="CK105" i="7"/>
  <c r="DW108" i="7"/>
  <c r="CV108" i="7"/>
  <c r="DV108" i="7"/>
  <c r="DJ108" i="7"/>
  <c r="CW108" i="7"/>
  <c r="CK108" i="7"/>
  <c r="DI108" i="7"/>
  <c r="CJ108" i="7"/>
  <c r="DW107" i="7"/>
  <c r="DV107" i="7"/>
  <c r="DI107" i="7"/>
  <c r="CV107" i="7"/>
  <c r="CJ107" i="7"/>
  <c r="DJ107" i="7"/>
  <c r="CK107" i="7"/>
  <c r="CW107" i="7"/>
  <c r="DJ106" i="7"/>
  <c r="DV106" i="7"/>
  <c r="CJ106" i="7"/>
  <c r="DW106" i="7"/>
  <c r="CV106" i="7"/>
  <c r="DI106" i="7"/>
  <c r="CK106" i="7"/>
  <c r="CW106" i="7"/>
  <c r="DJ48" i="7"/>
  <c r="DW48" i="7"/>
  <c r="DV48" i="7"/>
  <c r="DJ51" i="7"/>
  <c r="DW51" i="7"/>
  <c r="DV51" i="7"/>
  <c r="DJ49" i="7"/>
  <c r="DV49" i="7"/>
  <c r="DW49" i="7"/>
  <c r="DJ50" i="7"/>
  <c r="DW50" i="7"/>
  <c r="DV50" i="7"/>
  <c r="CV50" i="7"/>
  <c r="CW50" i="7"/>
  <c r="CV48" i="7"/>
  <c r="CW48" i="7"/>
  <c r="CW51" i="7"/>
  <c r="CV51" i="7"/>
  <c r="CW49" i="7"/>
  <c r="CV49" i="7"/>
  <c r="DI51" i="7"/>
  <c r="CJ51" i="7"/>
  <c r="DI49" i="7"/>
  <c r="CJ49" i="7"/>
  <c r="AZ49" i="7" s="1"/>
  <c r="DI50" i="7"/>
  <c r="CJ50" i="7"/>
  <c r="DI48" i="7"/>
  <c r="CJ48" i="7"/>
  <c r="AZ51" i="7" l="1"/>
  <c r="CL52" i="7"/>
  <c r="DP52" i="7"/>
  <c r="AZ108" i="7"/>
  <c r="AZ48" i="7"/>
  <c r="AZ106" i="7"/>
  <c r="AZ105" i="7"/>
  <c r="AZ107" i="7"/>
  <c r="AZ50" i="7"/>
  <c r="DS52" i="7"/>
  <c r="CM52" i="7"/>
  <c r="DO52" i="7"/>
  <c r="DR52" i="7"/>
  <c r="DT52" i="7"/>
  <c r="CR52" i="7"/>
  <c r="CT52" i="7"/>
  <c r="CS52" i="7"/>
  <c r="CQ52" i="7"/>
  <c r="CO52" i="7"/>
  <c r="DL52" i="7"/>
  <c r="CP52" i="7"/>
  <c r="DM52" i="7"/>
  <c r="DB52" i="7"/>
  <c r="CF52" i="7"/>
  <c r="DG52" i="7"/>
  <c r="DC52" i="7"/>
  <c r="CH52" i="7"/>
  <c r="CC52" i="7"/>
  <c r="CD52" i="7"/>
  <c r="DE52" i="7"/>
  <c r="DQ52" i="7"/>
  <c r="CE52" i="7"/>
  <c r="DD52" i="7"/>
  <c r="CG52" i="7"/>
  <c r="DF52" i="7"/>
  <c r="CP16" i="10"/>
  <c r="CE16" i="10"/>
  <c r="CK16" i="10"/>
  <c r="CQ16" i="10"/>
  <c r="CJ16" i="10"/>
  <c r="CF16" i="10"/>
  <c r="CR16" i="10"/>
  <c r="CG16" i="10"/>
  <c r="CL16" i="10"/>
  <c r="CK52" i="7"/>
  <c r="DJ52" i="7" l="1"/>
  <c r="DW52" i="7"/>
  <c r="DV52" i="7"/>
  <c r="DU52" i="7"/>
  <c r="CW52" i="7"/>
  <c r="CV52" i="7"/>
  <c r="CU52" i="7"/>
  <c r="DH52" i="7"/>
  <c r="CJ52" i="7"/>
  <c r="CI52" i="7"/>
  <c r="DI52" i="7"/>
  <c r="AZ16" i="10"/>
  <c r="CQ17" i="10"/>
  <c r="CF17" i="10"/>
  <c r="CR17" i="10"/>
  <c r="CG17" i="10"/>
  <c r="CK17" i="10"/>
  <c r="CL17" i="10"/>
  <c r="CE17" i="10"/>
  <c r="CP17" i="10"/>
  <c r="CJ17" i="10"/>
  <c r="AZ52" i="7" l="1"/>
  <c r="AZ17" i="10"/>
  <c r="M116" i="2" l="1"/>
  <c r="L116" i="2"/>
  <c r="K116" i="2"/>
  <c r="J116" i="2"/>
  <c r="I116" i="2"/>
  <c r="H116" i="2"/>
  <c r="G116" i="2"/>
  <c r="F116" i="2"/>
  <c r="H131" i="11"/>
  <c r="G131" i="11"/>
  <c r="F131" i="11"/>
  <c r="E131" i="11"/>
  <c r="H114" i="11"/>
  <c r="G114" i="11"/>
  <c r="F114" i="11"/>
  <c r="E114" i="11"/>
  <c r="AB127" i="11" l="1"/>
  <c r="I127" i="11" s="1"/>
  <c r="AF127" i="11"/>
  <c r="AB121" i="11"/>
  <c r="I121" i="11" s="1"/>
  <c r="AF121" i="11"/>
  <c r="AF129" i="11"/>
  <c r="AB129" i="11"/>
  <c r="I129" i="11" s="1"/>
  <c r="AB111" i="11"/>
  <c r="I111" i="11" s="1"/>
  <c r="AF111" i="11"/>
  <c r="AB130" i="11"/>
  <c r="I130" i="11" s="1"/>
  <c r="AF130" i="11"/>
  <c r="AB113" i="11"/>
  <c r="I113" i="11" s="1"/>
  <c r="AF113" i="11"/>
  <c r="AB124" i="11"/>
  <c r="I124" i="11" s="1"/>
  <c r="AF124" i="11"/>
  <c r="AF108" i="11"/>
  <c r="AB108" i="11"/>
  <c r="I108" i="11" s="1"/>
  <c r="AF106" i="11"/>
  <c r="AB106" i="11"/>
  <c r="I106" i="11" s="1"/>
  <c r="AF125" i="11"/>
  <c r="AB125" i="11"/>
  <c r="I125" i="11" s="1"/>
  <c r="AF109" i="11"/>
  <c r="AB109" i="11"/>
  <c r="I109" i="11" s="1"/>
  <c r="AB110" i="11"/>
  <c r="I110" i="11" s="1"/>
  <c r="AF110" i="11"/>
  <c r="AF112" i="11"/>
  <c r="AB112" i="11"/>
  <c r="I112" i="11" s="1"/>
  <c r="AB123" i="11"/>
  <c r="I123" i="11" s="1"/>
  <c r="AF123" i="11"/>
  <c r="AF107" i="11"/>
  <c r="AB107" i="11"/>
  <c r="I107" i="11" s="1"/>
  <c r="AF126" i="11"/>
  <c r="AB126" i="11"/>
  <c r="I126" i="11" s="1"/>
  <c r="AB122" i="11"/>
  <c r="I122" i="11" s="1"/>
  <c r="AF122" i="11"/>
  <c r="AB128" i="11"/>
  <c r="I128" i="11" s="1"/>
  <c r="AF128" i="11"/>
  <c r="AF104" i="11"/>
  <c r="AB104" i="11"/>
  <c r="I104" i="11" s="1"/>
  <c r="AF105" i="11"/>
  <c r="AB105" i="11"/>
  <c r="I105" i="11" s="1"/>
  <c r="C114" i="11"/>
  <c r="D116" i="2"/>
  <c r="C131" i="11"/>
  <c r="B200" i="11" l="1"/>
  <c r="D16" i="12" s="1"/>
  <c r="I4" i="1"/>
  <c r="I3" i="1"/>
  <c r="AG3" i="1" s="1"/>
  <c r="F16" i="12" l="1"/>
  <c r="AG4" i="1"/>
  <c r="CN12" i="2" l="1"/>
  <c r="CK12" i="2"/>
  <c r="CO12" i="2"/>
  <c r="CL12" i="2"/>
  <c r="CP12" i="2"/>
  <c r="CM12" i="2"/>
  <c r="D24" i="2" l="1"/>
  <c r="CG24" i="2" l="1"/>
  <c r="CE24" i="2"/>
  <c r="CF24" i="2"/>
  <c r="CB24" i="2"/>
  <c r="CC24" i="2"/>
  <c r="CD24" i="2"/>
  <c r="DS37" i="7"/>
  <c r="CM37" i="7"/>
  <c r="CQ37" i="7"/>
  <c r="CS37" i="7"/>
  <c r="DM37" i="7"/>
  <c r="CE37" i="7"/>
  <c r="DF37" i="7"/>
  <c r="CG37" i="7"/>
  <c r="DD37" i="7"/>
  <c r="DQ95" i="7"/>
  <c r="DQ89" i="7"/>
  <c r="DQ88" i="7"/>
  <c r="DQ87" i="7"/>
  <c r="DQ84" i="7"/>
  <c r="DQ83" i="7"/>
  <c r="DQ82" i="7"/>
  <c r="DQ80" i="7"/>
  <c r="DQ79" i="7"/>
  <c r="DQ78" i="7"/>
  <c r="DQ77" i="7"/>
  <c r="DQ74" i="7"/>
  <c r="DQ73" i="7"/>
  <c r="DQ72" i="7"/>
  <c r="CD111" i="7" l="1"/>
  <c r="CC111" i="7"/>
  <c r="DO111" i="7"/>
  <c r="DP111" i="7"/>
  <c r="CP111" i="7"/>
  <c r="DB111" i="7"/>
  <c r="CO111" i="7"/>
  <c r="DC111" i="7"/>
  <c r="DB74" i="7"/>
  <c r="CP74" i="7"/>
  <c r="DP74" i="7"/>
  <c r="CO74" i="7"/>
  <c r="DO74" i="7"/>
  <c r="CD74" i="7"/>
  <c r="DC74" i="7"/>
  <c r="CC74" i="7"/>
  <c r="DC87" i="7"/>
  <c r="DP87" i="7"/>
  <c r="DB87" i="7"/>
  <c r="DO87" i="7"/>
  <c r="CO87" i="7"/>
  <c r="CC87" i="7"/>
  <c r="CP87" i="7"/>
  <c r="CD87" i="7"/>
  <c r="CD77" i="7"/>
  <c r="CC77" i="7"/>
  <c r="DC77" i="7"/>
  <c r="DB77" i="7"/>
  <c r="CO77" i="7"/>
  <c r="CP77" i="7"/>
  <c r="DP77" i="7"/>
  <c r="DO77" i="7"/>
  <c r="CP88" i="7"/>
  <c r="DB88" i="7"/>
  <c r="CD88" i="7"/>
  <c r="CO88" i="7"/>
  <c r="CC88" i="7"/>
  <c r="DO88" i="7"/>
  <c r="CG93" i="7"/>
  <c r="CQ93" i="7"/>
  <c r="CS93" i="7"/>
  <c r="CE93" i="7"/>
  <c r="DB78" i="7"/>
  <c r="CP78" i="7"/>
  <c r="DP78" i="7"/>
  <c r="CO78" i="7"/>
  <c r="DO78" i="7"/>
  <c r="CD78" i="7"/>
  <c r="CC78" i="7"/>
  <c r="DC78" i="7"/>
  <c r="DO102" i="7"/>
  <c r="CD102" i="7"/>
  <c r="CC102" i="7"/>
  <c r="DC102" i="7"/>
  <c r="CP102" i="7"/>
  <c r="DB102" i="7"/>
  <c r="CO102" i="7"/>
  <c r="DP102" i="7"/>
  <c r="CD73" i="7"/>
  <c r="CC73" i="7"/>
  <c r="DC73" i="7"/>
  <c r="DB73" i="7"/>
  <c r="CP73" i="7"/>
  <c r="DP73" i="7"/>
  <c r="CO73" i="7"/>
  <c r="DO73" i="7"/>
  <c r="CP79" i="7"/>
  <c r="DP79" i="7"/>
  <c r="CO79" i="7"/>
  <c r="DO79" i="7"/>
  <c r="CD79" i="7"/>
  <c r="CC79" i="7"/>
  <c r="DB79" i="7"/>
  <c r="DC79" i="7"/>
  <c r="CP92" i="7"/>
  <c r="CD92" i="7"/>
  <c r="DP92" i="7"/>
  <c r="CO92" i="7"/>
  <c r="DO92" i="7"/>
  <c r="CC92" i="7"/>
  <c r="CD103" i="7"/>
  <c r="CC103" i="7"/>
  <c r="DC103" i="7"/>
  <c r="CP103" i="7"/>
  <c r="DB103" i="7"/>
  <c r="CO103" i="7"/>
  <c r="DP103" i="7"/>
  <c r="DO103" i="7"/>
  <c r="CP84" i="7"/>
  <c r="CD84" i="7"/>
  <c r="CO84" i="7"/>
  <c r="CC84" i="7"/>
  <c r="DP84" i="7"/>
  <c r="DB84" i="7"/>
  <c r="DO84" i="7"/>
  <c r="DC84" i="7"/>
  <c r="CP80" i="7"/>
  <c r="CO80" i="7"/>
  <c r="DO80" i="7"/>
  <c r="CD80" i="7"/>
  <c r="CC80" i="7"/>
  <c r="DC80" i="7"/>
  <c r="DB80" i="7"/>
  <c r="DP80" i="7"/>
  <c r="CP93" i="7"/>
  <c r="CH93" i="7"/>
  <c r="CR93" i="7"/>
  <c r="CT93" i="7"/>
  <c r="CD93" i="7"/>
  <c r="CC93" i="7"/>
  <c r="CO93" i="7"/>
  <c r="CF93" i="7"/>
  <c r="DC104" i="7"/>
  <c r="CP104" i="7"/>
  <c r="DB104" i="7"/>
  <c r="CC104" i="7"/>
  <c r="CO104" i="7"/>
  <c r="DP104" i="7"/>
  <c r="DO104" i="7"/>
  <c r="CD104" i="7"/>
  <c r="CD96" i="7"/>
  <c r="CC96" i="7"/>
  <c r="DC96" i="7"/>
  <c r="CP96" i="7"/>
  <c r="DB96" i="7"/>
  <c r="CO96" i="7"/>
  <c r="DO96" i="7"/>
  <c r="DP96" i="7"/>
  <c r="DO82" i="7"/>
  <c r="DC82" i="7"/>
  <c r="DB82" i="7"/>
  <c r="CP82" i="7"/>
  <c r="CD82" i="7"/>
  <c r="CO82" i="7"/>
  <c r="DP82" i="7"/>
  <c r="CC82" i="7"/>
  <c r="CD94" i="7"/>
  <c r="CC94" i="7"/>
  <c r="DC94" i="7"/>
  <c r="CP94" i="7"/>
  <c r="DB94" i="7"/>
  <c r="DP94" i="7"/>
  <c r="CO94" i="7"/>
  <c r="DO94" i="7"/>
  <c r="CP109" i="7"/>
  <c r="DB109" i="7"/>
  <c r="CO109" i="7"/>
  <c r="DP109" i="7"/>
  <c r="DO109" i="7"/>
  <c r="CD109" i="7"/>
  <c r="CC109" i="7"/>
  <c r="DC109" i="7"/>
  <c r="CP72" i="7"/>
  <c r="DP72" i="7"/>
  <c r="CO72" i="7"/>
  <c r="DO72" i="7"/>
  <c r="CD72" i="7"/>
  <c r="CC72" i="7"/>
  <c r="DC72" i="7"/>
  <c r="DB72" i="7"/>
  <c r="DB83" i="7"/>
  <c r="CP83" i="7"/>
  <c r="CD83" i="7"/>
  <c r="CO83" i="7"/>
  <c r="CC83" i="7"/>
  <c r="DC83" i="7"/>
  <c r="DP83" i="7"/>
  <c r="DO83" i="7"/>
  <c r="DO110" i="7"/>
  <c r="CD110" i="7"/>
  <c r="CC110" i="7"/>
  <c r="DC110" i="7"/>
  <c r="CP110" i="7"/>
  <c r="DB110" i="7"/>
  <c r="CO110" i="7"/>
  <c r="DP110" i="7"/>
  <c r="CO89" i="7"/>
  <c r="DO89" i="7"/>
  <c r="CC89" i="7"/>
  <c r="DB89" i="7"/>
  <c r="CD89" i="7"/>
  <c r="CP89" i="7"/>
  <c r="CO95" i="7"/>
  <c r="DB95" i="7"/>
  <c r="DR95" i="7"/>
  <c r="CC95" i="7"/>
  <c r="CD95" i="7"/>
  <c r="DC95" i="7"/>
  <c r="CP95" i="7"/>
  <c r="DO95" i="7"/>
  <c r="DP95" i="7"/>
  <c r="DF74" i="7"/>
  <c r="DM74" i="7"/>
  <c r="DD74" i="7"/>
  <c r="CM74" i="7"/>
  <c r="CS74" i="7"/>
  <c r="DS74" i="7"/>
  <c r="CG74" i="7"/>
  <c r="CQ74" i="7"/>
  <c r="CE74" i="7"/>
  <c r="DS97" i="7"/>
  <c r="CS97" i="7"/>
  <c r="DQ97" i="7"/>
  <c r="CQ97" i="7"/>
  <c r="CG97" i="7"/>
  <c r="DF97" i="7"/>
  <c r="DD97" i="7"/>
  <c r="CE97" i="7"/>
  <c r="CM97" i="7"/>
  <c r="DM97" i="7"/>
  <c r="DL72" i="7"/>
  <c r="CT72" i="7"/>
  <c r="CR72" i="7"/>
  <c r="DG72" i="7"/>
  <c r="CH72" i="7"/>
  <c r="DT72" i="7"/>
  <c r="DE72" i="7"/>
  <c r="CF72" i="7"/>
  <c r="CL72" i="7"/>
  <c r="DR72" i="7"/>
  <c r="DF78" i="7"/>
  <c r="DM78" i="7"/>
  <c r="DD78" i="7"/>
  <c r="DS78" i="7"/>
  <c r="CM78" i="7"/>
  <c r="CG78" i="7"/>
  <c r="CS78" i="7"/>
  <c r="CQ78" i="7"/>
  <c r="CE78" i="7"/>
  <c r="DS89" i="7"/>
  <c r="DM89" i="7"/>
  <c r="CG89" i="7"/>
  <c r="CE89" i="7"/>
  <c r="CS89" i="7"/>
  <c r="DF89" i="7"/>
  <c r="DD89" i="7"/>
  <c r="CQ89" i="7"/>
  <c r="CM89" i="7"/>
  <c r="DQ99" i="7"/>
  <c r="CM99" i="7"/>
  <c r="CE99" i="7"/>
  <c r="DM99" i="7"/>
  <c r="CG99" i="7"/>
  <c r="DS99" i="7"/>
  <c r="CS99" i="7"/>
  <c r="CQ99" i="7"/>
  <c r="DF99" i="7"/>
  <c r="DD99" i="7"/>
  <c r="DR74" i="7"/>
  <c r="DE74" i="7"/>
  <c r="CR74" i="7"/>
  <c r="DL74" i="7"/>
  <c r="CT74" i="7"/>
  <c r="DG74" i="7"/>
  <c r="CL74" i="7"/>
  <c r="CH74" i="7"/>
  <c r="DT74" i="7"/>
  <c r="CF74" i="7"/>
  <c r="DL87" i="7"/>
  <c r="DE87" i="7"/>
  <c r="CH87" i="7"/>
  <c r="DG87" i="7"/>
  <c r="CL87" i="7"/>
  <c r="DT87" i="7"/>
  <c r="DR87" i="7"/>
  <c r="CT87" i="7"/>
  <c r="CR87" i="7"/>
  <c r="CF87" i="7"/>
  <c r="DG98" i="7"/>
  <c r="DE98" i="7"/>
  <c r="CR98" i="7"/>
  <c r="CH98" i="7"/>
  <c r="CL98" i="7"/>
  <c r="DT98" i="7"/>
  <c r="DR98" i="7"/>
  <c r="DL98" i="7"/>
  <c r="CT98" i="7"/>
  <c r="CF98" i="7"/>
  <c r="DM79" i="7"/>
  <c r="CM79" i="7"/>
  <c r="CE79" i="7"/>
  <c r="DF79" i="7"/>
  <c r="CQ79" i="7"/>
  <c r="DD79" i="7"/>
  <c r="DS79" i="7"/>
  <c r="CS79" i="7"/>
  <c r="CG79" i="7"/>
  <c r="DQ92" i="7"/>
  <c r="DS92" i="7"/>
  <c r="DF92" i="7"/>
  <c r="CM92" i="7"/>
  <c r="CG92" i="7"/>
  <c r="DD92" i="7"/>
  <c r="CS92" i="7"/>
  <c r="CQ92" i="7"/>
  <c r="CE92" i="7"/>
  <c r="DM92" i="7"/>
  <c r="DS102" i="7"/>
  <c r="CG102" i="7"/>
  <c r="DQ102" i="7"/>
  <c r="CM102" i="7"/>
  <c r="CE102" i="7"/>
  <c r="DM102" i="7"/>
  <c r="CQ102" i="7"/>
  <c r="DF102" i="7"/>
  <c r="CS102" i="7"/>
  <c r="DD102" i="7"/>
  <c r="DT77" i="7"/>
  <c r="DR77" i="7"/>
  <c r="CR77" i="7"/>
  <c r="CH77" i="7"/>
  <c r="DL77" i="7"/>
  <c r="DG77" i="7"/>
  <c r="CF77" i="7"/>
  <c r="DE77" i="7"/>
  <c r="CT77" i="7"/>
  <c r="CL77" i="7"/>
  <c r="DG88" i="7"/>
  <c r="CH88" i="7"/>
  <c r="DT88" i="7"/>
  <c r="DE88" i="7"/>
  <c r="CF88" i="7"/>
  <c r="CR88" i="7"/>
  <c r="DR88" i="7"/>
  <c r="CL88" i="7"/>
  <c r="DL88" i="7"/>
  <c r="CT88" i="7"/>
  <c r="DE99" i="7"/>
  <c r="DL99" i="7"/>
  <c r="CT99" i="7"/>
  <c r="CR99" i="7"/>
  <c r="CF99" i="7"/>
  <c r="DR99" i="7"/>
  <c r="DG99" i="7"/>
  <c r="CH99" i="7"/>
  <c r="CL99" i="7"/>
  <c r="DT99" i="7"/>
  <c r="DM93" i="7"/>
  <c r="CM93" i="7"/>
  <c r="CR78" i="7"/>
  <c r="DT78" i="7"/>
  <c r="DE78" i="7"/>
  <c r="CF78" i="7"/>
  <c r="DR78" i="7"/>
  <c r="CL78" i="7"/>
  <c r="DG78" i="7"/>
  <c r="CT78" i="7"/>
  <c r="DL78" i="7"/>
  <c r="CH78" i="7"/>
  <c r="DG102" i="7"/>
  <c r="DL102" i="7"/>
  <c r="CR102" i="7"/>
  <c r="CL102" i="7"/>
  <c r="DE102" i="7"/>
  <c r="DR102" i="7"/>
  <c r="DT102" i="7"/>
  <c r="CT102" i="7"/>
  <c r="CH102" i="7"/>
  <c r="CF102" i="7"/>
  <c r="DM82" i="7"/>
  <c r="CQ82" i="7"/>
  <c r="DS82" i="7"/>
  <c r="DD82" i="7"/>
  <c r="DF82" i="7"/>
  <c r="CM82" i="7"/>
  <c r="CG82" i="7"/>
  <c r="CS82" i="7"/>
  <c r="CE82" i="7"/>
  <c r="DQ104" i="7"/>
  <c r="DF104" i="7"/>
  <c r="CG104" i="7"/>
  <c r="DD104" i="7"/>
  <c r="CM104" i="7"/>
  <c r="CE104" i="7"/>
  <c r="CS104" i="7"/>
  <c r="CQ104" i="7"/>
  <c r="DS104" i="7"/>
  <c r="DM104" i="7"/>
  <c r="DT79" i="7"/>
  <c r="DR79" i="7"/>
  <c r="DL79" i="7"/>
  <c r="DG79" i="7"/>
  <c r="CT79" i="7"/>
  <c r="CF79" i="7"/>
  <c r="DE79" i="7"/>
  <c r="CH79" i="7"/>
  <c r="CL79" i="7"/>
  <c r="CR79" i="7"/>
  <c r="DG92" i="7"/>
  <c r="DE92" i="7"/>
  <c r="CR92" i="7"/>
  <c r="CH92" i="7"/>
  <c r="CT92" i="7"/>
  <c r="CF92" i="7"/>
  <c r="DT92" i="7"/>
  <c r="DR92" i="7"/>
  <c r="DL92" i="7"/>
  <c r="CL92" i="7"/>
  <c r="DF72" i="7"/>
  <c r="DM72" i="7"/>
  <c r="DD72" i="7"/>
  <c r="CQ72" i="7"/>
  <c r="CM72" i="7"/>
  <c r="CS72" i="7"/>
  <c r="CG72" i="7"/>
  <c r="CE72" i="7"/>
  <c r="DS72" i="7"/>
  <c r="DS83" i="7"/>
  <c r="CS83" i="7"/>
  <c r="DM83" i="7"/>
  <c r="CM83" i="7"/>
  <c r="DF83" i="7"/>
  <c r="CE83" i="7"/>
  <c r="CQ83" i="7"/>
  <c r="CG83" i="7"/>
  <c r="DD83" i="7"/>
  <c r="DS95" i="7"/>
  <c r="CM95" i="7"/>
  <c r="DD95" i="7"/>
  <c r="CS95" i="7"/>
  <c r="CG95" i="7"/>
  <c r="DM95" i="7"/>
  <c r="CE95" i="7"/>
  <c r="DF95" i="7"/>
  <c r="CQ95" i="7"/>
  <c r="DS109" i="7"/>
  <c r="DQ109" i="7"/>
  <c r="DD109" i="7"/>
  <c r="CE109" i="7"/>
  <c r="CM109" i="7"/>
  <c r="CS109" i="7"/>
  <c r="CQ109" i="7"/>
  <c r="DF109" i="7"/>
  <c r="CG109" i="7"/>
  <c r="DM109" i="7"/>
  <c r="CR80" i="7"/>
  <c r="DG80" i="7"/>
  <c r="CL80" i="7"/>
  <c r="DT80" i="7"/>
  <c r="DE80" i="7"/>
  <c r="DR80" i="7"/>
  <c r="CF80" i="7"/>
  <c r="DL80" i="7"/>
  <c r="CH80" i="7"/>
  <c r="CT80" i="7"/>
  <c r="CL93" i="7"/>
  <c r="DL93" i="7"/>
  <c r="DG104" i="7"/>
  <c r="DE104" i="7"/>
  <c r="DT104" i="7"/>
  <c r="DL104" i="7"/>
  <c r="CR104" i="7"/>
  <c r="CF104" i="7"/>
  <c r="CT104" i="7"/>
  <c r="CL104" i="7"/>
  <c r="CH104" i="7"/>
  <c r="DR104" i="7"/>
  <c r="DF80" i="7"/>
  <c r="DM80" i="7"/>
  <c r="DD80" i="7"/>
  <c r="CG80" i="7"/>
  <c r="CM80" i="7"/>
  <c r="DS80" i="7"/>
  <c r="CS80" i="7"/>
  <c r="CQ80" i="7"/>
  <c r="CE80" i="7"/>
  <c r="DS103" i="7"/>
  <c r="DQ103" i="7"/>
  <c r="CE103" i="7"/>
  <c r="CM103" i="7"/>
  <c r="DF103" i="7"/>
  <c r="DD103" i="7"/>
  <c r="CG103" i="7"/>
  <c r="DM103" i="7"/>
  <c r="CS103" i="7"/>
  <c r="CQ103" i="7"/>
  <c r="DG89" i="7"/>
  <c r="CT89" i="7"/>
  <c r="CH89" i="7"/>
  <c r="DL89" i="7"/>
  <c r="CR89" i="7"/>
  <c r="CF89" i="7"/>
  <c r="DT89" i="7"/>
  <c r="DR89" i="7"/>
  <c r="DE89" i="7"/>
  <c r="CL89" i="7"/>
  <c r="CG94" i="7"/>
  <c r="DM94" i="7"/>
  <c r="CE94" i="7"/>
  <c r="CS94" i="7"/>
  <c r="DF94" i="7"/>
  <c r="CQ94" i="7"/>
  <c r="DS94" i="7"/>
  <c r="DD94" i="7"/>
  <c r="DQ94" i="7"/>
  <c r="CM94" i="7"/>
  <c r="DL103" i="7"/>
  <c r="DT103" i="7"/>
  <c r="DE103" i="7"/>
  <c r="CT103" i="7"/>
  <c r="CR103" i="7"/>
  <c r="DG103" i="7"/>
  <c r="CH103" i="7"/>
  <c r="CF103" i="7"/>
  <c r="DR103" i="7"/>
  <c r="CL103" i="7"/>
  <c r="DD73" i="7"/>
  <c r="DM73" i="7"/>
  <c r="DF73" i="7"/>
  <c r="CG73" i="7"/>
  <c r="DS73" i="7"/>
  <c r="CM73" i="7"/>
  <c r="CE73" i="7"/>
  <c r="CS73" i="7"/>
  <c r="CQ73" i="7"/>
  <c r="DD84" i="7"/>
  <c r="CQ84" i="7"/>
  <c r="DM84" i="7"/>
  <c r="DF84" i="7"/>
  <c r="CM84" i="7"/>
  <c r="DS84" i="7"/>
  <c r="CE84" i="7"/>
  <c r="CS84" i="7"/>
  <c r="CG84" i="7"/>
  <c r="CG96" i="7"/>
  <c r="DQ96" i="7"/>
  <c r="DD96" i="7"/>
  <c r="DM96" i="7"/>
  <c r="CS96" i="7"/>
  <c r="CQ96" i="7"/>
  <c r="CM96" i="7"/>
  <c r="CE96" i="7"/>
  <c r="DS96" i="7"/>
  <c r="DF96" i="7"/>
  <c r="DQ111" i="7"/>
  <c r="DM111" i="7"/>
  <c r="DD111" i="7"/>
  <c r="CM111" i="7"/>
  <c r="CE111" i="7"/>
  <c r="DS111" i="7"/>
  <c r="CG111" i="7"/>
  <c r="CS111" i="7"/>
  <c r="DF111" i="7"/>
  <c r="CQ111" i="7"/>
  <c r="DE82" i="7"/>
  <c r="DL82" i="7"/>
  <c r="CH82" i="7"/>
  <c r="CF82" i="7"/>
  <c r="CL82" i="7"/>
  <c r="DR82" i="7"/>
  <c r="CT82" i="7"/>
  <c r="DG82" i="7"/>
  <c r="CR82" i="7"/>
  <c r="DT82" i="7"/>
  <c r="DE94" i="7"/>
  <c r="DL94" i="7"/>
  <c r="CL94" i="7"/>
  <c r="CT94" i="7"/>
  <c r="CH94" i="7"/>
  <c r="CF94" i="7"/>
  <c r="DG94" i="7"/>
  <c r="CR94" i="7"/>
  <c r="DT94" i="7"/>
  <c r="DR94" i="7"/>
  <c r="DL109" i="7"/>
  <c r="DT109" i="7"/>
  <c r="CT109" i="7"/>
  <c r="CR109" i="7"/>
  <c r="DG109" i="7"/>
  <c r="DE109" i="7"/>
  <c r="CL109" i="7"/>
  <c r="DR109" i="7"/>
  <c r="CH109" i="7"/>
  <c r="CF109" i="7"/>
  <c r="DS87" i="7"/>
  <c r="CS87" i="7"/>
  <c r="CQ87" i="7"/>
  <c r="DF87" i="7"/>
  <c r="DD87" i="7"/>
  <c r="CG87" i="7"/>
  <c r="DM87" i="7"/>
  <c r="CE87" i="7"/>
  <c r="CM87" i="7"/>
  <c r="DG83" i="7"/>
  <c r="CL83" i="7"/>
  <c r="DL83" i="7"/>
  <c r="DE83" i="7"/>
  <c r="CT83" i="7"/>
  <c r="DT83" i="7"/>
  <c r="CR83" i="7"/>
  <c r="CH83" i="7"/>
  <c r="DR83" i="7"/>
  <c r="CF83" i="7"/>
  <c r="DG95" i="7"/>
  <c r="CT95" i="7"/>
  <c r="DL95" i="7"/>
  <c r="DE95" i="7"/>
  <c r="CL95" i="7"/>
  <c r="DT95" i="7"/>
  <c r="CH95" i="7"/>
  <c r="CF95" i="7"/>
  <c r="CR95" i="7"/>
  <c r="DG110" i="7"/>
  <c r="DE110" i="7"/>
  <c r="DT110" i="7"/>
  <c r="DR110" i="7"/>
  <c r="CR110" i="7"/>
  <c r="CF110" i="7"/>
  <c r="DL110" i="7"/>
  <c r="CH110" i="7"/>
  <c r="CT110" i="7"/>
  <c r="CL110" i="7"/>
  <c r="DQ110" i="7"/>
  <c r="CM77" i="7"/>
  <c r="CE77" i="7"/>
  <c r="DS77" i="7"/>
  <c r="DF77" i="7"/>
  <c r="DM77" i="7"/>
  <c r="DD77" i="7"/>
  <c r="CG77" i="7"/>
  <c r="CS77" i="7"/>
  <c r="CQ77" i="7"/>
  <c r="DS88" i="7"/>
  <c r="CS88" i="7"/>
  <c r="CQ88" i="7"/>
  <c r="CM88" i="7"/>
  <c r="DM88" i="7"/>
  <c r="CE88" i="7"/>
  <c r="CG88" i="7"/>
  <c r="DF88" i="7"/>
  <c r="DD88" i="7"/>
  <c r="DS98" i="7"/>
  <c r="DQ98" i="7"/>
  <c r="CG98" i="7"/>
  <c r="DF98" i="7"/>
  <c r="CE98" i="7"/>
  <c r="DM98" i="7"/>
  <c r="DD98" i="7"/>
  <c r="CS98" i="7"/>
  <c r="CM98" i="7"/>
  <c r="CQ98" i="7"/>
  <c r="DT73" i="7"/>
  <c r="DR73" i="7"/>
  <c r="DE73" i="7"/>
  <c r="CL73" i="7"/>
  <c r="CF73" i="7"/>
  <c r="CR73" i="7"/>
  <c r="DL73" i="7"/>
  <c r="DG73" i="7"/>
  <c r="CT73" i="7"/>
  <c r="CH73" i="7"/>
  <c r="DE84" i="7"/>
  <c r="DL84" i="7"/>
  <c r="CH84" i="7"/>
  <c r="CF84" i="7"/>
  <c r="DG84" i="7"/>
  <c r="DT84" i="7"/>
  <c r="CL84" i="7"/>
  <c r="DR84" i="7"/>
  <c r="CT84" i="7"/>
  <c r="CR84" i="7"/>
  <c r="DE96" i="7"/>
  <c r="DL96" i="7"/>
  <c r="CL96" i="7"/>
  <c r="DG96" i="7"/>
  <c r="CR96" i="7"/>
  <c r="CF96" i="7"/>
  <c r="CT96" i="7"/>
  <c r="CH96" i="7"/>
  <c r="DT96" i="7"/>
  <c r="DR96" i="7"/>
  <c r="DE111" i="7"/>
  <c r="DL111" i="7"/>
  <c r="DT111" i="7"/>
  <c r="DR111" i="7"/>
  <c r="CT111" i="7"/>
  <c r="CH111" i="7"/>
  <c r="CF111" i="7"/>
  <c r="DG111" i="7"/>
  <c r="CR111" i="7"/>
  <c r="CL111" i="7"/>
  <c r="DP53" i="7"/>
  <c r="CL42" i="7"/>
  <c r="CL41" i="7"/>
  <c r="CL40" i="7"/>
  <c r="CL32" i="7"/>
  <c r="CL31" i="7"/>
  <c r="CL17" i="7" l="1"/>
  <c r="DP17" i="7"/>
  <c r="CL30" i="7"/>
  <c r="DP30" i="7"/>
  <c r="CL20" i="7"/>
  <c r="DP20" i="7"/>
  <c r="CL43" i="7"/>
  <c r="DP43" i="7"/>
  <c r="CL16" i="7"/>
  <c r="DP16" i="7"/>
  <c r="CL45" i="7"/>
  <c r="DP45" i="7"/>
  <c r="CL22" i="7"/>
  <c r="DP22" i="7"/>
  <c r="CL37" i="7"/>
  <c r="DP37" i="7"/>
  <c r="CL46" i="7"/>
  <c r="DP46" i="7"/>
  <c r="CL27" i="7"/>
  <c r="DP27" i="7"/>
  <c r="CL21" i="7"/>
  <c r="DP21" i="7"/>
  <c r="CL23" i="7"/>
  <c r="DP23" i="7"/>
  <c r="CL38" i="7"/>
  <c r="DP38" i="7"/>
  <c r="CL47" i="7"/>
  <c r="DP47" i="7"/>
  <c r="CI93" i="7"/>
  <c r="CU93" i="7"/>
  <c r="CL25" i="7"/>
  <c r="DP25" i="7"/>
  <c r="CL39" i="7"/>
  <c r="DP39" i="7"/>
  <c r="CL15" i="7"/>
  <c r="DP15" i="7"/>
  <c r="CL26" i="7"/>
  <c r="DP26" i="7"/>
  <c r="CL54" i="7"/>
  <c r="DC54" i="7"/>
  <c r="DB54" i="7"/>
  <c r="CO54" i="7"/>
  <c r="CP54" i="7"/>
  <c r="CC54" i="7"/>
  <c r="CD54" i="7"/>
  <c r="DO54" i="7"/>
  <c r="DP54" i="7"/>
  <c r="CW70" i="7"/>
  <c r="CJ70" i="7"/>
  <c r="CV70" i="7"/>
  <c r="CI70" i="7"/>
  <c r="CU70" i="7"/>
  <c r="CK70" i="7"/>
  <c r="DW110" i="7"/>
  <c r="DV110" i="7"/>
  <c r="DI110" i="7"/>
  <c r="CV110" i="7"/>
  <c r="CK110" i="7"/>
  <c r="DJ110" i="7"/>
  <c r="CJ110" i="7"/>
  <c r="DH110" i="7"/>
  <c r="CW110" i="7"/>
  <c r="CI110" i="7"/>
  <c r="CU110" i="7"/>
  <c r="DU110" i="7"/>
  <c r="DJ70" i="7"/>
  <c r="DH70" i="7"/>
  <c r="DV70" i="7"/>
  <c r="DI70" i="7"/>
  <c r="DW70" i="7"/>
  <c r="DU70" i="7"/>
  <c r="DW96" i="7"/>
  <c r="DU96" i="7"/>
  <c r="CU96" i="7"/>
  <c r="CK96" i="7"/>
  <c r="CI96" i="7"/>
  <c r="DJ96" i="7"/>
  <c r="DI96" i="7"/>
  <c r="DH96" i="7"/>
  <c r="DV96" i="7"/>
  <c r="CJ96" i="7"/>
  <c r="CW96" i="7"/>
  <c r="CV96" i="7"/>
  <c r="DI95" i="7"/>
  <c r="CK95" i="7"/>
  <c r="CW95" i="7"/>
  <c r="DW95" i="7"/>
  <c r="CU95" i="7"/>
  <c r="CJ95" i="7"/>
  <c r="DU95" i="7"/>
  <c r="CI95" i="7"/>
  <c r="CV95" i="7"/>
  <c r="DV95" i="7"/>
  <c r="DH95" i="7"/>
  <c r="DJ95" i="7"/>
  <c r="DW94" i="7"/>
  <c r="DU94" i="7"/>
  <c r="DV94" i="7"/>
  <c r="DI94" i="7"/>
  <c r="CV94" i="7"/>
  <c r="DJ94" i="7"/>
  <c r="DH94" i="7"/>
  <c r="CI94" i="7"/>
  <c r="CJ94" i="7"/>
  <c r="CW94" i="7"/>
  <c r="CU94" i="7"/>
  <c r="CK94" i="7"/>
  <c r="DW92" i="7"/>
  <c r="CI92" i="7"/>
  <c r="CW92" i="7"/>
  <c r="CU92" i="7"/>
  <c r="CK92" i="7"/>
  <c r="DI92" i="7"/>
  <c r="CV92" i="7"/>
  <c r="DV92" i="7"/>
  <c r="DH92" i="7"/>
  <c r="DU92" i="7"/>
  <c r="CJ92" i="7"/>
  <c r="DJ92" i="7"/>
  <c r="DJ93" i="7"/>
  <c r="DW93" i="7"/>
  <c r="DI93" i="7"/>
  <c r="CW93" i="7"/>
  <c r="CV93" i="7"/>
  <c r="CK93" i="7"/>
  <c r="DV93" i="7"/>
  <c r="CJ93" i="7"/>
  <c r="CL53" i="7"/>
  <c r="CO53" i="7"/>
  <c r="DS22" i="7"/>
  <c r="CM22" i="7"/>
  <c r="DS46" i="7"/>
  <c r="CM46" i="7"/>
  <c r="DS25" i="7"/>
  <c r="CM25" i="7"/>
  <c r="DS54" i="7"/>
  <c r="CM54" i="7"/>
  <c r="DS39" i="7"/>
  <c r="CM39" i="7"/>
  <c r="DS40" i="7"/>
  <c r="CM40" i="7"/>
  <c r="DS27" i="7"/>
  <c r="CM27" i="7"/>
  <c r="DS41" i="7"/>
  <c r="CM41" i="7"/>
  <c r="DS23" i="7"/>
  <c r="CM23" i="7"/>
  <c r="DS47" i="7"/>
  <c r="CM47" i="7"/>
  <c r="DS26" i="7"/>
  <c r="CM26" i="7"/>
  <c r="DS30" i="7"/>
  <c r="CM30" i="7"/>
  <c r="DS42" i="7"/>
  <c r="CM42" i="7"/>
  <c r="DS38" i="7"/>
  <c r="CM38" i="7"/>
  <c r="DS31" i="7"/>
  <c r="CM31" i="7"/>
  <c r="DS35" i="7"/>
  <c r="CM35" i="7"/>
  <c r="DS53" i="7"/>
  <c r="CM53" i="7"/>
  <c r="DS20" i="7"/>
  <c r="CM20" i="7"/>
  <c r="DS43" i="7"/>
  <c r="CM43" i="7"/>
  <c r="DS21" i="7"/>
  <c r="CM21" i="7"/>
  <c r="DS32" i="7"/>
  <c r="CM32" i="7"/>
  <c r="DS45" i="7"/>
  <c r="CM45" i="7"/>
  <c r="DO21" i="7"/>
  <c r="DT21" i="7"/>
  <c r="DR21" i="7"/>
  <c r="DO46" i="7"/>
  <c r="DT46" i="7"/>
  <c r="DR46" i="7"/>
  <c r="DO23" i="7"/>
  <c r="DT23" i="7"/>
  <c r="DR23" i="7"/>
  <c r="DO38" i="7"/>
  <c r="DR38" i="7"/>
  <c r="DT38" i="7"/>
  <c r="DO47" i="7"/>
  <c r="DT47" i="7"/>
  <c r="DR47" i="7"/>
  <c r="DO15" i="7"/>
  <c r="DT15" i="7"/>
  <c r="DR15" i="7"/>
  <c r="DO26" i="7"/>
  <c r="DR26" i="7"/>
  <c r="DT26" i="7"/>
  <c r="DR40" i="7"/>
  <c r="DT40" i="7"/>
  <c r="DR54" i="7"/>
  <c r="DT54" i="7"/>
  <c r="DO45" i="7"/>
  <c r="DT45" i="7"/>
  <c r="DR45" i="7"/>
  <c r="DO22" i="7"/>
  <c r="DT22" i="7"/>
  <c r="DR22" i="7"/>
  <c r="DO53" i="7"/>
  <c r="DT53" i="7"/>
  <c r="DR53" i="7"/>
  <c r="DO16" i="7"/>
  <c r="DR16" i="7"/>
  <c r="DT16" i="7"/>
  <c r="DO27" i="7"/>
  <c r="DT27" i="7"/>
  <c r="DR27" i="7"/>
  <c r="DT41" i="7"/>
  <c r="DR41" i="7"/>
  <c r="DO39" i="7"/>
  <c r="DR39" i="7"/>
  <c r="DT39" i="7"/>
  <c r="DO17" i="7"/>
  <c r="DT17" i="7"/>
  <c r="DR17" i="7"/>
  <c r="DO30" i="7"/>
  <c r="DR30" i="7"/>
  <c r="DT30" i="7"/>
  <c r="DT42" i="7"/>
  <c r="DR42" i="7"/>
  <c r="DR32" i="7"/>
  <c r="DT32" i="7"/>
  <c r="DO37" i="7"/>
  <c r="DT37" i="7"/>
  <c r="DR37" i="7"/>
  <c r="DO25" i="7"/>
  <c r="DT25" i="7"/>
  <c r="DR25" i="7"/>
  <c r="DO20" i="7"/>
  <c r="DR20" i="7"/>
  <c r="DT20" i="7"/>
  <c r="DT31" i="7"/>
  <c r="DR31" i="7"/>
  <c r="DO43" i="7"/>
  <c r="DT43" i="7"/>
  <c r="DR43" i="7"/>
  <c r="CT21" i="7"/>
  <c r="CR21" i="7"/>
  <c r="CS23" i="7"/>
  <c r="CQ23" i="7"/>
  <c r="CS38" i="7"/>
  <c r="CQ38" i="7"/>
  <c r="CQ47" i="7"/>
  <c r="CS47" i="7"/>
  <c r="CR22" i="7"/>
  <c r="CT22" i="7"/>
  <c r="CR37" i="7"/>
  <c r="CT37" i="7"/>
  <c r="CR46" i="7"/>
  <c r="CT46" i="7"/>
  <c r="CT45" i="7"/>
  <c r="CR45" i="7"/>
  <c r="CQ25" i="7"/>
  <c r="CS25" i="7"/>
  <c r="CQ39" i="7"/>
  <c r="CS39" i="7"/>
  <c r="CQ53" i="7"/>
  <c r="CS53" i="7"/>
  <c r="CT23" i="7"/>
  <c r="CR23" i="7"/>
  <c r="CR38" i="7"/>
  <c r="CT38" i="7"/>
  <c r="CR47" i="7"/>
  <c r="CT47" i="7"/>
  <c r="CR32" i="7"/>
  <c r="CT32" i="7"/>
  <c r="CQ26" i="7"/>
  <c r="CS26" i="7"/>
  <c r="CR25" i="7"/>
  <c r="CT25" i="7"/>
  <c r="CR39" i="7"/>
  <c r="CT39" i="7"/>
  <c r="CT53" i="7"/>
  <c r="CR53" i="7"/>
  <c r="CQ46" i="7"/>
  <c r="CS46" i="7"/>
  <c r="CT15" i="7"/>
  <c r="CR15" i="7"/>
  <c r="CR40" i="7"/>
  <c r="CT40" i="7"/>
  <c r="CR54" i="7"/>
  <c r="CT54" i="7"/>
  <c r="CQ35" i="7"/>
  <c r="CS35" i="7"/>
  <c r="CS40" i="7"/>
  <c r="CQ40" i="7"/>
  <c r="CQ41" i="7"/>
  <c r="CS41" i="7"/>
  <c r="CS42" i="7"/>
  <c r="CQ42" i="7"/>
  <c r="CR16" i="7"/>
  <c r="CT16" i="7"/>
  <c r="CT27" i="7"/>
  <c r="CR27" i="7"/>
  <c r="CR41" i="7"/>
  <c r="CT41" i="7"/>
  <c r="CQ22" i="7"/>
  <c r="CS22" i="7"/>
  <c r="CQ27" i="7"/>
  <c r="CS27" i="7"/>
  <c r="CS30" i="7"/>
  <c r="CQ30" i="7"/>
  <c r="CS20" i="7"/>
  <c r="CQ20" i="7"/>
  <c r="CQ31" i="7"/>
  <c r="CS31" i="7"/>
  <c r="CQ43" i="7"/>
  <c r="CS43" i="7"/>
  <c r="CT17" i="7"/>
  <c r="CR17" i="7"/>
  <c r="CR30" i="7"/>
  <c r="CT30" i="7"/>
  <c r="CR42" i="7"/>
  <c r="CT42" i="7"/>
  <c r="CS54" i="7"/>
  <c r="CQ54" i="7"/>
  <c r="CR26" i="7"/>
  <c r="CT26" i="7"/>
  <c r="CQ21" i="7"/>
  <c r="CS21" i="7"/>
  <c r="CS32" i="7"/>
  <c r="CQ32" i="7"/>
  <c r="CQ45" i="7"/>
  <c r="CS45" i="7"/>
  <c r="CR20" i="7"/>
  <c r="CT20" i="7"/>
  <c r="CT31" i="7"/>
  <c r="CR31" i="7"/>
  <c r="CT43" i="7"/>
  <c r="CR43" i="7"/>
  <c r="DL31" i="7"/>
  <c r="DM22" i="7"/>
  <c r="DL32" i="7"/>
  <c r="DL22" i="7"/>
  <c r="CP22" i="7"/>
  <c r="CO22" i="7"/>
  <c r="DM25" i="7"/>
  <c r="DM39" i="7"/>
  <c r="DM53" i="7"/>
  <c r="CO23" i="7"/>
  <c r="DL23" i="7"/>
  <c r="CP23" i="7"/>
  <c r="CO38" i="7"/>
  <c r="DL38" i="7"/>
  <c r="CP38" i="7"/>
  <c r="DL47" i="7"/>
  <c r="CO47" i="7"/>
  <c r="CP47" i="7"/>
  <c r="DM21" i="7"/>
  <c r="DM35" i="7"/>
  <c r="DM38" i="7"/>
  <c r="CO46" i="7"/>
  <c r="CP46" i="7"/>
  <c r="DL46" i="7"/>
  <c r="DM26" i="7"/>
  <c r="DM40" i="7"/>
  <c r="DQ54" i="7"/>
  <c r="DM54" i="7"/>
  <c r="CO25" i="7"/>
  <c r="DL25" i="7"/>
  <c r="CP25" i="7"/>
  <c r="DL39" i="7"/>
  <c r="CO39" i="7"/>
  <c r="CP39" i="7"/>
  <c r="CP53" i="7"/>
  <c r="DL53" i="7"/>
  <c r="CP20" i="7"/>
  <c r="CO20" i="7"/>
  <c r="DL20" i="7"/>
  <c r="DM46" i="7"/>
  <c r="DM47" i="7"/>
  <c r="DM27" i="7"/>
  <c r="DM41" i="7"/>
  <c r="CO15" i="7"/>
  <c r="DL15" i="7"/>
  <c r="CP15" i="7"/>
  <c r="CP26" i="7"/>
  <c r="CO26" i="7"/>
  <c r="DL26" i="7"/>
  <c r="CP40" i="7"/>
  <c r="DL40" i="7"/>
  <c r="CO40" i="7"/>
  <c r="DL54" i="7"/>
  <c r="DM32" i="7"/>
  <c r="CO45" i="7"/>
  <c r="CP45" i="7"/>
  <c r="DL45" i="7"/>
  <c r="DM23" i="7"/>
  <c r="CO37" i="7"/>
  <c r="CP37" i="7"/>
  <c r="DL37" i="7"/>
  <c r="CO16" i="7"/>
  <c r="DL16" i="7"/>
  <c r="CP16" i="7"/>
  <c r="CP41" i="7"/>
  <c r="DL41" i="7"/>
  <c r="CO41" i="7"/>
  <c r="DM45" i="7"/>
  <c r="CP21" i="7"/>
  <c r="CO21" i="7"/>
  <c r="DL21" i="7"/>
  <c r="DM30" i="7"/>
  <c r="DM42" i="7"/>
  <c r="CP27" i="7"/>
  <c r="DL27" i="7"/>
  <c r="CO27" i="7"/>
  <c r="DM20" i="7"/>
  <c r="DM31" i="7"/>
  <c r="DM43" i="7"/>
  <c r="CO17" i="7"/>
  <c r="CP17" i="7"/>
  <c r="DL17" i="7"/>
  <c r="CO30" i="7"/>
  <c r="CP30" i="7"/>
  <c r="DL30" i="7"/>
  <c r="CP42" i="7"/>
  <c r="CO42" i="7"/>
  <c r="DL42" i="7"/>
  <c r="CO43" i="7"/>
  <c r="DL43" i="7"/>
  <c r="CP43" i="7"/>
  <c r="CE39" i="7"/>
  <c r="DF39" i="7"/>
  <c r="DQ39" i="7"/>
  <c r="DD39" i="7"/>
  <c r="CG39" i="7"/>
  <c r="CH26" i="7"/>
  <c r="DC26" i="7"/>
  <c r="DB26" i="7"/>
  <c r="DG26" i="7"/>
  <c r="CD26" i="7"/>
  <c r="DE26" i="7"/>
  <c r="CF26" i="7"/>
  <c r="CC26" i="7"/>
  <c r="DQ23" i="7"/>
  <c r="CE23" i="7"/>
  <c r="DD23" i="7"/>
  <c r="CG23" i="7"/>
  <c r="DF23" i="7"/>
  <c r="CG42" i="7"/>
  <c r="DD42" i="7"/>
  <c r="CE42" i="7"/>
  <c r="DF42" i="7"/>
  <c r="DQ42" i="7"/>
  <c r="DB22" i="7"/>
  <c r="CF22" i="7"/>
  <c r="DG22" i="7"/>
  <c r="CD22" i="7"/>
  <c r="DE22" i="7"/>
  <c r="CC22" i="7"/>
  <c r="CH22" i="7"/>
  <c r="DC22" i="7"/>
  <c r="DG41" i="7"/>
  <c r="CC41" i="7"/>
  <c r="CH41" i="7"/>
  <c r="DE41" i="7"/>
  <c r="CF41" i="7"/>
  <c r="DC41" i="7"/>
  <c r="DB41" i="7"/>
  <c r="CD41" i="7"/>
  <c r="DD25" i="7"/>
  <c r="CG25" i="7"/>
  <c r="DQ25" i="7"/>
  <c r="DF25" i="7"/>
  <c r="CE25" i="7"/>
  <c r="DF35" i="7"/>
  <c r="CG35" i="7"/>
  <c r="DQ35" i="7"/>
  <c r="CE35" i="7"/>
  <c r="DD35" i="7"/>
  <c r="CE43" i="7"/>
  <c r="DF43" i="7"/>
  <c r="CG43" i="7"/>
  <c r="DQ43" i="7"/>
  <c r="DD43" i="7"/>
  <c r="DB15" i="7"/>
  <c r="CF15" i="7"/>
  <c r="DG15" i="7"/>
  <c r="CH15" i="7"/>
  <c r="DC15" i="7"/>
  <c r="CD15" i="7"/>
  <c r="DE15" i="7"/>
  <c r="CC15" i="7"/>
  <c r="DB23" i="7"/>
  <c r="CF23" i="7"/>
  <c r="DG23" i="7"/>
  <c r="DC23" i="7"/>
  <c r="CH23" i="7"/>
  <c r="CD23" i="7"/>
  <c r="DE23" i="7"/>
  <c r="CC23" i="7"/>
  <c r="CF32" i="7"/>
  <c r="DE32" i="7"/>
  <c r="DG32" i="7"/>
  <c r="CH32" i="7"/>
  <c r="DE42" i="7"/>
  <c r="CF42" i="7"/>
  <c r="DC42" i="7"/>
  <c r="DB42" i="7"/>
  <c r="CD42" i="7"/>
  <c r="CC42" i="7"/>
  <c r="DG42" i="7"/>
  <c r="CH42" i="7"/>
  <c r="CH54" i="7"/>
  <c r="DG54" i="7"/>
  <c r="CF54" i="7"/>
  <c r="DE54" i="7"/>
  <c r="DQ20" i="7"/>
  <c r="CE20" i="7"/>
  <c r="DD20" i="7"/>
  <c r="CG20" i="7"/>
  <c r="DF20" i="7"/>
  <c r="DB17" i="7"/>
  <c r="CF17" i="7"/>
  <c r="DG17" i="7"/>
  <c r="DE17" i="7"/>
  <c r="DC17" i="7"/>
  <c r="CC17" i="7"/>
  <c r="CH17" i="7"/>
  <c r="CD17" i="7"/>
  <c r="DQ32" i="7"/>
  <c r="DF32" i="7"/>
  <c r="CE32" i="7"/>
  <c r="DD32" i="7"/>
  <c r="CG32" i="7"/>
  <c r="CG54" i="7"/>
  <c r="DD54" i="7"/>
  <c r="CE54" i="7"/>
  <c r="DF54" i="7"/>
  <c r="CH31" i="7"/>
  <c r="DE31" i="7"/>
  <c r="DG31" i="7"/>
  <c r="CF31" i="7"/>
  <c r="DB53" i="7"/>
  <c r="CF53" i="7"/>
  <c r="DG53" i="7"/>
  <c r="CH53" i="7"/>
  <c r="DE53" i="7"/>
  <c r="CD53" i="7"/>
  <c r="CC53" i="7"/>
  <c r="DC53" i="7"/>
  <c r="DD26" i="7"/>
  <c r="CG26" i="7"/>
  <c r="CE26" i="7"/>
  <c r="DF26" i="7"/>
  <c r="DQ26" i="7"/>
  <c r="CE38" i="7"/>
  <c r="DF38" i="7"/>
  <c r="DD38" i="7"/>
  <c r="CG38" i="7"/>
  <c r="DQ38" i="7"/>
  <c r="CE45" i="7"/>
  <c r="DF45" i="7"/>
  <c r="DD45" i="7"/>
  <c r="CG45" i="7"/>
  <c r="DQ45" i="7"/>
  <c r="DB16" i="7"/>
  <c r="CF16" i="7"/>
  <c r="DG16" i="7"/>
  <c r="CD16" i="7"/>
  <c r="CH16" i="7"/>
  <c r="DE16" i="7"/>
  <c r="CC16" i="7"/>
  <c r="DC16" i="7"/>
  <c r="CH25" i="7"/>
  <c r="DC25" i="7"/>
  <c r="CD25" i="7"/>
  <c r="DE25" i="7"/>
  <c r="CC25" i="7"/>
  <c r="DG25" i="7"/>
  <c r="DB25" i="7"/>
  <c r="CF25" i="7"/>
  <c r="DG37" i="7"/>
  <c r="CD37" i="7"/>
  <c r="DE37" i="7"/>
  <c r="CC37" i="7"/>
  <c r="DB37" i="7"/>
  <c r="CH37" i="7"/>
  <c r="DC37" i="7"/>
  <c r="CF37" i="7"/>
  <c r="DQ37" i="7"/>
  <c r="DG43" i="7"/>
  <c r="CD43" i="7"/>
  <c r="DE43" i="7"/>
  <c r="CC43" i="7"/>
  <c r="CF43" i="7"/>
  <c r="CH43" i="7"/>
  <c r="DB43" i="7"/>
  <c r="DC43" i="7"/>
  <c r="DD27" i="7"/>
  <c r="CG27" i="7"/>
  <c r="CE27" i="7"/>
  <c r="DQ27" i="7"/>
  <c r="DF27" i="7"/>
  <c r="DG38" i="7"/>
  <c r="CD38" i="7"/>
  <c r="DE38" i="7"/>
  <c r="CC38" i="7"/>
  <c r="CH38" i="7"/>
  <c r="DC38" i="7"/>
  <c r="DB38" i="7"/>
  <c r="CF38" i="7"/>
  <c r="DQ21" i="7"/>
  <c r="CE21" i="7"/>
  <c r="CG21" i="7"/>
  <c r="DD21" i="7"/>
  <c r="DF21" i="7"/>
  <c r="DD30" i="7"/>
  <c r="CG30" i="7"/>
  <c r="CE30" i="7"/>
  <c r="DQ30" i="7"/>
  <c r="DF30" i="7"/>
  <c r="CE40" i="7"/>
  <c r="DF40" i="7"/>
  <c r="CG40" i="7"/>
  <c r="DD40" i="7"/>
  <c r="DQ40" i="7"/>
  <c r="DQ47" i="7"/>
  <c r="CE47" i="7"/>
  <c r="DD47" i="7"/>
  <c r="CG47" i="7"/>
  <c r="DF47" i="7"/>
  <c r="DB20" i="7"/>
  <c r="CF20" i="7"/>
  <c r="DG20" i="7"/>
  <c r="DC20" i="7"/>
  <c r="CD20" i="7"/>
  <c r="CC20" i="7"/>
  <c r="CH20" i="7"/>
  <c r="DE20" i="7"/>
  <c r="CH27" i="7"/>
  <c r="DC27" i="7"/>
  <c r="CF27" i="7"/>
  <c r="DG27" i="7"/>
  <c r="DB27" i="7"/>
  <c r="CD27" i="7"/>
  <c r="DE27" i="7"/>
  <c r="CC27" i="7"/>
  <c r="DG39" i="7"/>
  <c r="CD39" i="7"/>
  <c r="DE39" i="7"/>
  <c r="CC39" i="7"/>
  <c r="CF39" i="7"/>
  <c r="CH39" i="7"/>
  <c r="DC39" i="7"/>
  <c r="DB39" i="7"/>
  <c r="DB46" i="7"/>
  <c r="CF46" i="7"/>
  <c r="DG46" i="7"/>
  <c r="DE46" i="7"/>
  <c r="CD46" i="7"/>
  <c r="CC46" i="7"/>
  <c r="DC46" i="7"/>
  <c r="CH46" i="7"/>
  <c r="DQ46" i="7"/>
  <c r="DF46" i="7"/>
  <c r="CE46" i="7"/>
  <c r="DD46" i="7"/>
  <c r="CG46" i="7"/>
  <c r="DG45" i="7"/>
  <c r="CD45" i="7"/>
  <c r="DE45" i="7"/>
  <c r="CC45" i="7"/>
  <c r="DB45" i="7"/>
  <c r="CF45" i="7"/>
  <c r="DC45" i="7"/>
  <c r="CH45" i="7"/>
  <c r="DQ22" i="7"/>
  <c r="CE22" i="7"/>
  <c r="DF22" i="7"/>
  <c r="DD22" i="7"/>
  <c r="CG22" i="7"/>
  <c r="DD31" i="7"/>
  <c r="DF31" i="7"/>
  <c r="CG31" i="7"/>
  <c r="CE31" i="7"/>
  <c r="DQ31" i="7"/>
  <c r="DQ41" i="7"/>
  <c r="DF41" i="7"/>
  <c r="CG41" i="7"/>
  <c r="DD41" i="7"/>
  <c r="CE41" i="7"/>
  <c r="DQ53" i="7"/>
  <c r="CE53" i="7"/>
  <c r="CG53" i="7"/>
  <c r="DF53" i="7"/>
  <c r="DD53" i="7"/>
  <c r="DB21" i="7"/>
  <c r="CF21" i="7"/>
  <c r="DG21" i="7"/>
  <c r="CH21" i="7"/>
  <c r="DC21" i="7"/>
  <c r="CC21" i="7"/>
  <c r="CD21" i="7"/>
  <c r="DE21" i="7"/>
  <c r="CH30" i="7"/>
  <c r="DC30" i="7"/>
  <c r="DB30" i="7"/>
  <c r="DE30" i="7"/>
  <c r="CF30" i="7"/>
  <c r="DG30" i="7"/>
  <c r="CD30" i="7"/>
  <c r="CC30" i="7"/>
  <c r="DC40" i="7"/>
  <c r="DB40" i="7"/>
  <c r="CD40" i="7"/>
  <c r="DG40" i="7"/>
  <c r="CC40" i="7"/>
  <c r="CH40" i="7"/>
  <c r="DE40" i="7"/>
  <c r="CF40" i="7"/>
  <c r="DB47" i="7"/>
  <c r="CF47" i="7"/>
  <c r="DG47" i="7"/>
  <c r="DC47" i="7"/>
  <c r="CH47" i="7"/>
  <c r="CC47" i="7"/>
  <c r="CD47" i="7"/>
  <c r="DE47" i="7"/>
  <c r="CK37" i="7"/>
  <c r="CK35" i="7"/>
  <c r="CK38" i="7"/>
  <c r="CK39" i="7"/>
  <c r="AZ94" i="7" l="1"/>
  <c r="AZ92" i="7"/>
  <c r="AZ96" i="7"/>
  <c r="AZ110" i="7"/>
  <c r="AZ70" i="7"/>
  <c r="AZ95" i="7"/>
  <c r="AZ93" i="7"/>
  <c r="DS16" i="7"/>
  <c r="CM16" i="7"/>
  <c r="DS17" i="7"/>
  <c r="CM17" i="7"/>
  <c r="DS15" i="7"/>
  <c r="CM15" i="7"/>
  <c r="DJ38" i="7"/>
  <c r="DW38" i="7"/>
  <c r="DV38" i="7"/>
  <c r="DU38" i="7"/>
  <c r="DJ35" i="7"/>
  <c r="DW35" i="7"/>
  <c r="DU35" i="7"/>
  <c r="DV35" i="7"/>
  <c r="DJ37" i="7"/>
  <c r="DU37" i="7"/>
  <c r="DV37" i="7"/>
  <c r="DW37" i="7"/>
  <c r="DJ39" i="7"/>
  <c r="DW39" i="7"/>
  <c r="DU39" i="7"/>
  <c r="DV39" i="7"/>
  <c r="CV38" i="7"/>
  <c r="CU38" i="7"/>
  <c r="CW38" i="7"/>
  <c r="CW35" i="7"/>
  <c r="CV35" i="7"/>
  <c r="CU35" i="7"/>
  <c r="CW39" i="7"/>
  <c r="CV39" i="7"/>
  <c r="CU39" i="7"/>
  <c r="CU37" i="7"/>
  <c r="CW37" i="7"/>
  <c r="CV37" i="7"/>
  <c r="CS15" i="7"/>
  <c r="CQ15" i="7"/>
  <c r="CQ16" i="7"/>
  <c r="CS16" i="7"/>
  <c r="CS17" i="7"/>
  <c r="CQ17" i="7"/>
  <c r="DM15" i="7"/>
  <c r="DM16" i="7"/>
  <c r="DM17" i="7"/>
  <c r="CJ37" i="7"/>
  <c r="CI37" i="7"/>
  <c r="DI37" i="7"/>
  <c r="DH37" i="7"/>
  <c r="DQ15" i="7"/>
  <c r="CE15" i="7"/>
  <c r="CG15" i="7"/>
  <c r="DF15" i="7"/>
  <c r="DD15" i="7"/>
  <c r="DQ16" i="7"/>
  <c r="CE16" i="7"/>
  <c r="DF16" i="7"/>
  <c r="CG16" i="7"/>
  <c r="DD16" i="7"/>
  <c r="DQ17" i="7"/>
  <c r="CE17" i="7"/>
  <c r="DD17" i="7"/>
  <c r="CG17" i="7"/>
  <c r="DF17" i="7"/>
  <c r="CJ38" i="7"/>
  <c r="CI38" i="7"/>
  <c r="DH38" i="7"/>
  <c r="DI38" i="7"/>
  <c r="CJ39" i="7"/>
  <c r="CI39" i="7"/>
  <c r="DI39" i="7"/>
  <c r="DH39" i="7"/>
  <c r="CJ35" i="7"/>
  <c r="CI35" i="7"/>
  <c r="DI35" i="7"/>
  <c r="DH35" i="7"/>
  <c r="AZ38" i="7" l="1"/>
  <c r="AZ35" i="7"/>
  <c r="AZ37" i="7"/>
  <c r="AZ39" i="7"/>
  <c r="BD32" i="16"/>
  <c r="BB32" i="16"/>
  <c r="BF32" i="16"/>
  <c r="BH32" i="16"/>
  <c r="BD27" i="16"/>
  <c r="BB27" i="16"/>
  <c r="BH27" i="16"/>
  <c r="BF27" i="16"/>
  <c r="AS32" i="16"/>
  <c r="AU32" i="16"/>
  <c r="AQ32" i="16"/>
  <c r="AO32" i="16"/>
  <c r="AS27" i="16"/>
  <c r="AU27" i="16"/>
  <c r="AQ27" i="16"/>
  <c r="AO27" i="16"/>
  <c r="CP35" i="4" l="1"/>
  <c r="CR35" i="4"/>
  <c r="CK35" i="4"/>
  <c r="CO35" i="4"/>
  <c r="CQ35" i="4"/>
  <c r="CM35" i="4"/>
  <c r="CL35" i="4"/>
  <c r="CN35" i="4"/>
  <c r="CF35" i="4"/>
  <c r="CD35" i="4"/>
  <c r="CC35" i="4"/>
  <c r="CE35" i="4"/>
  <c r="BV21" i="18"/>
  <c r="BU21" i="18"/>
  <c r="BG21" i="18"/>
  <c r="BF21" i="18"/>
  <c r="BS21" i="18"/>
  <c r="BD21" i="18" s="1"/>
  <c r="BT21" i="18"/>
  <c r="BE21" i="18" s="1"/>
  <c r="C12" i="18"/>
  <c r="CK25" i="2"/>
  <c r="CO25" i="2"/>
  <c r="CM25" i="2"/>
  <c r="CN25" i="2"/>
  <c r="CL25" i="2"/>
  <c r="CP25" i="2"/>
  <c r="CO11" i="2"/>
  <c r="CN11" i="2"/>
  <c r="CM11" i="2"/>
  <c r="CL11" i="2"/>
  <c r="CB19" i="4" l="1"/>
  <c r="CJ19" i="4"/>
  <c r="DW81" i="7"/>
  <c r="CU81" i="7"/>
  <c r="DU81" i="7"/>
  <c r="CW81" i="7"/>
  <c r="CV81" i="7"/>
  <c r="DV81" i="7"/>
  <c r="DI81" i="7"/>
  <c r="CJ81" i="7"/>
  <c r="DJ81" i="7"/>
  <c r="CK81" i="7"/>
  <c r="DH81" i="7"/>
  <c r="CI81" i="7"/>
  <c r="CB18" i="4"/>
  <c r="CJ18" i="4"/>
  <c r="CG39" i="4"/>
  <c r="AT39" i="4" s="1"/>
  <c r="CG38" i="4"/>
  <c r="AT38" i="4" s="1"/>
  <c r="CG40" i="4"/>
  <c r="CG37" i="4"/>
  <c r="AW146" i="17"/>
  <c r="CK24" i="7"/>
  <c r="AZ81" i="7" l="1"/>
  <c r="CM41" i="4"/>
  <c r="CQ41" i="4"/>
  <c r="CK41" i="4"/>
  <c r="CO41" i="4"/>
  <c r="CR41" i="4"/>
  <c r="CL41" i="4"/>
  <c r="CP41" i="4"/>
  <c r="CN41" i="4"/>
  <c r="CC41" i="4"/>
  <c r="CE41" i="4"/>
  <c r="CF41" i="4"/>
  <c r="CD41" i="4"/>
  <c r="DJ24" i="7"/>
  <c r="DW24" i="7"/>
  <c r="DV24" i="7"/>
  <c r="DU24" i="7"/>
  <c r="CV24" i="7"/>
  <c r="CW24" i="7"/>
  <c r="CU24" i="7"/>
  <c r="AT19" i="4"/>
  <c r="AT18" i="4"/>
  <c r="DI24" i="7"/>
  <c r="CI24" i="7"/>
  <c r="AZ24" i="7" s="1"/>
  <c r="DH24" i="7"/>
  <c r="CJ24" i="7"/>
  <c r="CG41" i="4" l="1"/>
  <c r="AT23" i="4"/>
  <c r="AT41" i="4" l="1"/>
  <c r="CL17" i="2" l="1"/>
  <c r="CP17" i="2"/>
  <c r="CM17" i="2"/>
  <c r="CN17" i="2"/>
  <c r="CK17" i="2"/>
  <c r="CO17" i="2"/>
  <c r="CP12" i="10" l="1"/>
  <c r="CJ12" i="10"/>
  <c r="CE12" i="10"/>
  <c r="CF12" i="10"/>
  <c r="CR12" i="10"/>
  <c r="CL12" i="10"/>
  <c r="CG12" i="10"/>
  <c r="CQ12" i="10"/>
  <c r="CK12" i="10"/>
  <c r="M42" i="11"/>
  <c r="AZ12" i="10" l="1"/>
  <c r="K70" i="2"/>
  <c r="H70" i="2"/>
  <c r="Z20" i="6"/>
  <c r="Z15" i="6"/>
  <c r="W15" i="6"/>
  <c r="CG110" i="17"/>
  <c r="F111" i="17"/>
  <c r="M111" i="17"/>
  <c r="D125" i="17"/>
  <c r="M61" i="11"/>
  <c r="N37" i="11" l="1"/>
  <c r="DJ110" i="17"/>
  <c r="CI110" i="17"/>
  <c r="DI110" i="17"/>
  <c r="DH110" i="17"/>
  <c r="DG110" i="17"/>
  <c r="CL110" i="17"/>
  <c r="CK110" i="17"/>
  <c r="CJ110" i="17"/>
  <c r="CL20" i="2"/>
  <c r="CP20" i="2"/>
  <c r="CM20" i="2"/>
  <c r="CN20" i="2"/>
  <c r="CO20" i="2"/>
  <c r="CK20" i="2"/>
  <c r="CP21" i="2"/>
  <c r="CN21" i="2"/>
  <c r="CK21" i="2"/>
  <c r="CO21" i="2"/>
  <c r="CL21" i="2"/>
  <c r="CM21" i="2"/>
  <c r="CK36" i="2"/>
  <c r="CO36" i="2"/>
  <c r="CN36" i="2"/>
  <c r="CL36" i="2"/>
  <c r="CP36" i="2"/>
  <c r="CM36" i="2"/>
  <c r="CK19" i="7"/>
  <c r="CK53" i="7"/>
  <c r="CK18" i="7"/>
  <c r="CR13" i="10"/>
  <c r="CG13" i="10"/>
  <c r="CQ13" i="10"/>
  <c r="CF13" i="10"/>
  <c r="CJ13" i="10"/>
  <c r="CP13" i="10"/>
  <c r="CE13" i="10"/>
  <c r="CL13" i="10"/>
  <c r="CK13" i="10"/>
  <c r="Z21" i="6"/>
  <c r="DV76" i="7" l="1"/>
  <c r="DH76" i="7"/>
  <c r="CI76" i="7"/>
  <c r="CJ76" i="7"/>
  <c r="DJ76" i="7"/>
  <c r="DW76" i="7"/>
  <c r="CV76" i="7"/>
  <c r="CK76" i="7"/>
  <c r="CW76" i="7"/>
  <c r="DU76" i="7"/>
  <c r="DI76" i="7"/>
  <c r="CU76" i="7"/>
  <c r="DJ75" i="7"/>
  <c r="DH75" i="7"/>
  <c r="CV75" i="7"/>
  <c r="DI75" i="7"/>
  <c r="CU75" i="7"/>
  <c r="CK75" i="7"/>
  <c r="DW75" i="7"/>
  <c r="DV75" i="7"/>
  <c r="CI75" i="7"/>
  <c r="DU75" i="7"/>
  <c r="CW75" i="7"/>
  <c r="CJ75" i="7"/>
  <c r="DJ19" i="7"/>
  <c r="DW19" i="7"/>
  <c r="DV19" i="7"/>
  <c r="DU19" i="7"/>
  <c r="DJ18" i="7"/>
  <c r="DV18" i="7"/>
  <c r="DU18" i="7"/>
  <c r="DW18" i="7"/>
  <c r="DJ53" i="7"/>
  <c r="DU53" i="7"/>
  <c r="DW53" i="7"/>
  <c r="DV53" i="7"/>
  <c r="CV19" i="7"/>
  <c r="CU19" i="7"/>
  <c r="CW19" i="7"/>
  <c r="CW18" i="7"/>
  <c r="CV18" i="7"/>
  <c r="CU18" i="7"/>
  <c r="CU53" i="7"/>
  <c r="CW53" i="7"/>
  <c r="CV53" i="7"/>
  <c r="DH19" i="7"/>
  <c r="CJ19" i="7"/>
  <c r="CI19" i="7"/>
  <c r="DI19" i="7"/>
  <c r="DH18" i="7"/>
  <c r="DI18" i="7"/>
  <c r="CI18" i="7"/>
  <c r="CJ18" i="7"/>
  <c r="DH53" i="7"/>
  <c r="DI53" i="7"/>
  <c r="CI53" i="7"/>
  <c r="CJ53" i="7"/>
  <c r="AZ13" i="10"/>
  <c r="CG15" i="10"/>
  <c r="CK15" i="10"/>
  <c r="CF15" i="10"/>
  <c r="CL15" i="10"/>
  <c r="CQ15" i="10"/>
  <c r="CE15" i="10"/>
  <c r="CJ15" i="10"/>
  <c r="CP15" i="10"/>
  <c r="CR15" i="10"/>
  <c r="B5" i="2"/>
  <c r="B4" i="2"/>
  <c r="CF48" i="2"/>
  <c r="CF47" i="2"/>
  <c r="CF46" i="2"/>
  <c r="CF45" i="2"/>
  <c r="CF44" i="2"/>
  <c r="CF43" i="2"/>
  <c r="CF42" i="2"/>
  <c r="CF41" i="2"/>
  <c r="S7" i="16"/>
  <c r="CJ39" i="5"/>
  <c r="CI39" i="5"/>
  <c r="CH39" i="5"/>
  <c r="CG39" i="5"/>
  <c r="CF39" i="5"/>
  <c r="CE39" i="5"/>
  <c r="CD39" i="5"/>
  <c r="CC39" i="5"/>
  <c r="CB39" i="5"/>
  <c r="CA39" i="5"/>
  <c r="BZ39" i="5"/>
  <c r="BY39" i="5"/>
  <c r="BX39" i="5"/>
  <c r="BW39" i="5"/>
  <c r="BV39" i="5"/>
  <c r="BU39" i="5"/>
  <c r="BT39" i="5"/>
  <c r="BS39" i="5"/>
  <c r="BR39" i="5"/>
  <c r="BQ39" i="5"/>
  <c r="BP39" i="5"/>
  <c r="BO39" i="5"/>
  <c r="BN39" i="5"/>
  <c r="BM39" i="5"/>
  <c r="BL39" i="5"/>
  <c r="BK39" i="5"/>
  <c r="BJ39" i="5"/>
  <c r="BI39" i="5"/>
  <c r="CH38" i="5"/>
  <c r="CG38" i="5"/>
  <c r="CF38" i="5"/>
  <c r="CE38" i="5"/>
  <c r="CD38" i="5"/>
  <c r="CC38" i="5"/>
  <c r="CB38" i="5"/>
  <c r="CA38" i="5"/>
  <c r="BZ38" i="5"/>
  <c r="BY38" i="5"/>
  <c r="BX38" i="5"/>
  <c r="BW38" i="5"/>
  <c r="BV38" i="5"/>
  <c r="BU38" i="5"/>
  <c r="BT38" i="5"/>
  <c r="BS38" i="5"/>
  <c r="BR38" i="5"/>
  <c r="BQ38" i="5"/>
  <c r="BP38" i="5"/>
  <c r="BO38" i="5"/>
  <c r="BN38" i="5"/>
  <c r="BM38" i="5"/>
  <c r="BL38" i="5"/>
  <c r="BK38" i="5"/>
  <c r="BJ38" i="5"/>
  <c r="BI38" i="5"/>
  <c r="CJ36" i="5"/>
  <c r="CI36" i="5"/>
  <c r="CH36" i="5"/>
  <c r="CG36" i="5"/>
  <c r="CF36" i="5"/>
  <c r="CE36" i="5"/>
  <c r="CD36" i="5"/>
  <c r="CC36" i="5"/>
  <c r="CB36" i="5"/>
  <c r="CA36" i="5"/>
  <c r="BZ36" i="5"/>
  <c r="BY36" i="5"/>
  <c r="BX36" i="5"/>
  <c r="BW36" i="5"/>
  <c r="BV36" i="5"/>
  <c r="BU36" i="5"/>
  <c r="BT36" i="5"/>
  <c r="BS36" i="5"/>
  <c r="BR36" i="5"/>
  <c r="BQ36" i="5"/>
  <c r="BP36" i="5"/>
  <c r="BO36" i="5"/>
  <c r="BN36" i="5"/>
  <c r="BM36" i="5"/>
  <c r="BL36" i="5"/>
  <c r="BK36" i="5"/>
  <c r="BJ36" i="5"/>
  <c r="BI36" i="5"/>
  <c r="CJ34" i="5"/>
  <c r="CI34" i="5"/>
  <c r="CH34" i="5"/>
  <c r="CG34" i="5"/>
  <c r="CF34" i="5"/>
  <c r="CE34" i="5"/>
  <c r="CD34" i="5"/>
  <c r="CC34" i="5"/>
  <c r="CB34" i="5"/>
  <c r="CA34" i="5"/>
  <c r="BZ34" i="5"/>
  <c r="BY34" i="5"/>
  <c r="BX34" i="5"/>
  <c r="BW34" i="5"/>
  <c r="BV34" i="5"/>
  <c r="BU34" i="5"/>
  <c r="BT34" i="5"/>
  <c r="BS34" i="5"/>
  <c r="BR34" i="5"/>
  <c r="BQ34" i="5"/>
  <c r="BP34" i="5"/>
  <c r="BO34" i="5"/>
  <c r="BN34" i="5"/>
  <c r="BM34" i="5"/>
  <c r="BL34" i="5"/>
  <c r="BK34" i="5"/>
  <c r="BJ34" i="5"/>
  <c r="BI34" i="5"/>
  <c r="CL139" i="17"/>
  <c r="CL138" i="17"/>
  <c r="CD48" i="2"/>
  <c r="CC48" i="2"/>
  <c r="CB48" i="2"/>
  <c r="CD47" i="2"/>
  <c r="CC47" i="2"/>
  <c r="CB47" i="2"/>
  <c r="CD46" i="2"/>
  <c r="CC46" i="2"/>
  <c r="CB46" i="2"/>
  <c r="CD45" i="2"/>
  <c r="CC45" i="2"/>
  <c r="CB45" i="2"/>
  <c r="CD44" i="2"/>
  <c r="CC44" i="2"/>
  <c r="CB44" i="2"/>
  <c r="CD43" i="2"/>
  <c r="CC43" i="2"/>
  <c r="CB43" i="2"/>
  <c r="CD42" i="2"/>
  <c r="CC42" i="2"/>
  <c r="CB42" i="2"/>
  <c r="CD41" i="2"/>
  <c r="CC41" i="2"/>
  <c r="CB41" i="2"/>
  <c r="I6" i="1"/>
  <c r="AG6" i="1" s="1"/>
  <c r="I5" i="1"/>
  <c r="AG5" i="1" s="1"/>
  <c r="I2" i="1"/>
  <c r="AG2" i="1" s="1"/>
  <c r="CO48" i="2"/>
  <c r="CO47" i="2"/>
  <c r="CO46" i="2"/>
  <c r="CO45" i="2"/>
  <c r="CO44" i="2"/>
  <c r="CO43" i="2"/>
  <c r="CO42" i="2"/>
  <c r="CO41" i="2"/>
  <c r="CK41" i="2"/>
  <c r="CL41" i="2"/>
  <c r="CM41" i="2"/>
  <c r="CN41" i="2"/>
  <c r="CK42" i="2"/>
  <c r="CL42" i="2"/>
  <c r="CM42" i="2"/>
  <c r="CN42" i="2"/>
  <c r="CK43" i="2"/>
  <c r="CL43" i="2"/>
  <c r="CM43" i="2"/>
  <c r="CN43" i="2"/>
  <c r="CK44" i="2"/>
  <c r="CL44" i="2"/>
  <c r="CM44" i="2"/>
  <c r="CN44" i="2"/>
  <c r="CK45" i="2"/>
  <c r="CL45" i="2"/>
  <c r="CM45" i="2"/>
  <c r="CN45" i="2"/>
  <c r="CK46" i="2"/>
  <c r="CL46" i="2"/>
  <c r="CM46" i="2"/>
  <c r="CN46" i="2"/>
  <c r="CK47" i="2"/>
  <c r="CL47" i="2"/>
  <c r="CM47" i="2"/>
  <c r="CN47" i="2"/>
  <c r="CK48" i="2"/>
  <c r="CL48" i="2"/>
  <c r="CM48" i="2"/>
  <c r="CN48" i="2"/>
  <c r="D13" i="12"/>
  <c r="I40" i="16"/>
  <c r="E61" i="11"/>
  <c r="L42" i="11"/>
  <c r="K42" i="11"/>
  <c r="J42" i="11"/>
  <c r="I42" i="11"/>
  <c r="H42" i="11"/>
  <c r="G42" i="11"/>
  <c r="F42" i="11"/>
  <c r="E42" i="11"/>
  <c r="CL89" i="2"/>
  <c r="B5" i="18"/>
  <c r="B4" i="18"/>
  <c r="B3" i="18"/>
  <c r="B2" i="18"/>
  <c r="CL94" i="2"/>
  <c r="CC93" i="2"/>
  <c r="CM92" i="2"/>
  <c r="CE92" i="2"/>
  <c r="CE91" i="2"/>
  <c r="CL90" i="2"/>
  <c r="CN92" i="2"/>
  <c r="CC92" i="2"/>
  <c r="CK92" i="2"/>
  <c r="CD92" i="2"/>
  <c r="DL139" i="17"/>
  <c r="L61" i="11"/>
  <c r="K61" i="11"/>
  <c r="J61" i="11"/>
  <c r="I61" i="11"/>
  <c r="H61" i="11"/>
  <c r="G61" i="11"/>
  <c r="F61" i="11"/>
  <c r="CK41" i="7"/>
  <c r="CP37" i="5"/>
  <c r="BG37" i="5"/>
  <c r="CP34" i="5"/>
  <c r="BG34" i="5"/>
  <c r="F70" i="2"/>
  <c r="O72" i="17"/>
  <c r="H72" i="17"/>
  <c r="DE44" i="17" s="1"/>
  <c r="T72" i="17"/>
  <c r="S72" i="17"/>
  <c r="R72" i="17"/>
  <c r="P72" i="17"/>
  <c r="T70" i="17"/>
  <c r="S70" i="17"/>
  <c r="R70" i="17"/>
  <c r="Q70" i="17"/>
  <c r="P70" i="17"/>
  <c r="O70" i="17"/>
  <c r="H70" i="17"/>
  <c r="S63" i="17"/>
  <c r="R63" i="17"/>
  <c r="P63" i="17"/>
  <c r="O63" i="17"/>
  <c r="E63" i="17" s="1"/>
  <c r="H63" i="17"/>
  <c r="T58" i="17"/>
  <c r="S58" i="17"/>
  <c r="R58" i="17"/>
  <c r="P58" i="17"/>
  <c r="O58" i="17"/>
  <c r="E58" i="17" s="1"/>
  <c r="H58" i="17"/>
  <c r="T55" i="17"/>
  <c r="S55" i="17"/>
  <c r="R55" i="17"/>
  <c r="Q55" i="17"/>
  <c r="P55" i="17"/>
  <c r="O55" i="17"/>
  <c r="E55" i="17" s="1"/>
  <c r="H55" i="17"/>
  <c r="T51" i="17"/>
  <c r="S51" i="17"/>
  <c r="R51" i="17"/>
  <c r="Q51" i="17"/>
  <c r="T48" i="17"/>
  <c r="S48" i="17"/>
  <c r="R48" i="17"/>
  <c r="Q48" i="17"/>
  <c r="CE36" i="6"/>
  <c r="J140" i="17"/>
  <c r="I140" i="17"/>
  <c r="H140" i="17"/>
  <c r="G140" i="17"/>
  <c r="F140" i="17"/>
  <c r="E140" i="17"/>
  <c r="L111" i="17"/>
  <c r="J111" i="17"/>
  <c r="I111" i="17"/>
  <c r="H111" i="17"/>
  <c r="G111" i="17"/>
  <c r="E111" i="17"/>
  <c r="P110" i="17"/>
  <c r="B5" i="17"/>
  <c r="B4" i="17"/>
  <c r="B3" i="17"/>
  <c r="B2" i="17"/>
  <c r="B5" i="16"/>
  <c r="B4" i="16"/>
  <c r="B3" i="16"/>
  <c r="B2" i="16"/>
  <c r="CH27" i="6"/>
  <c r="CP28" i="6"/>
  <c r="CR26" i="6"/>
  <c r="CQ28" i="6"/>
  <c r="CB55" i="2"/>
  <c r="E55" i="2" s="1"/>
  <c r="A3" i="13"/>
  <c r="B2" i="11"/>
  <c r="B3" i="11"/>
  <c r="B4" i="11"/>
  <c r="B5" i="11"/>
  <c r="B2" i="10"/>
  <c r="B3" i="10"/>
  <c r="B4" i="10"/>
  <c r="B5" i="10"/>
  <c r="B2" i="8"/>
  <c r="B3" i="8"/>
  <c r="B4" i="8"/>
  <c r="B5" i="8"/>
  <c r="B2" i="7"/>
  <c r="B3" i="7"/>
  <c r="B4" i="7"/>
  <c r="B5" i="7"/>
  <c r="CK17" i="7"/>
  <c r="CK32" i="7"/>
  <c r="CK45" i="7"/>
  <c r="B2" i="6"/>
  <c r="B3" i="6"/>
  <c r="B4" i="6"/>
  <c r="B5" i="6"/>
  <c r="CF13" i="6"/>
  <c r="CP13" i="6"/>
  <c r="CO14" i="6"/>
  <c r="CE14" i="6"/>
  <c r="H15" i="6"/>
  <c r="I15" i="6"/>
  <c r="J15" i="6"/>
  <c r="K15" i="6"/>
  <c r="L15" i="6"/>
  <c r="U15" i="6"/>
  <c r="V15" i="6"/>
  <c r="X15" i="6"/>
  <c r="Y15" i="6"/>
  <c r="CQ16" i="6"/>
  <c r="CG16" i="6"/>
  <c r="CO17" i="6"/>
  <c r="CE17" i="6"/>
  <c r="CP18" i="6"/>
  <c r="CQ19" i="6"/>
  <c r="CE19" i="6"/>
  <c r="H20" i="6"/>
  <c r="I20" i="6"/>
  <c r="J20" i="6"/>
  <c r="K20" i="6"/>
  <c r="L20" i="6"/>
  <c r="U20" i="6"/>
  <c r="V20" i="6"/>
  <c r="W20" i="6"/>
  <c r="W21" i="6" s="1"/>
  <c r="X20" i="6"/>
  <c r="Y20" i="6"/>
  <c r="I29" i="6"/>
  <c r="J29" i="6"/>
  <c r="K29" i="6"/>
  <c r="L29" i="6"/>
  <c r="M29" i="6"/>
  <c r="N29" i="6"/>
  <c r="O29" i="6"/>
  <c r="P29" i="6"/>
  <c r="Y29" i="6"/>
  <c r="Z29" i="6"/>
  <c r="AA29" i="6"/>
  <c r="AB29" i="6"/>
  <c r="CG35" i="6"/>
  <c r="H38" i="6"/>
  <c r="I38" i="6"/>
  <c r="J38" i="6"/>
  <c r="O38" i="6"/>
  <c r="P38" i="6"/>
  <c r="U38" i="6"/>
  <c r="V38" i="6"/>
  <c r="W38" i="6"/>
  <c r="X38" i="6"/>
  <c r="Y38" i="6"/>
  <c r="Z38" i="6"/>
  <c r="B2" i="5"/>
  <c r="B3" i="5"/>
  <c r="B4" i="5"/>
  <c r="B5" i="5"/>
  <c r="BL19" i="5"/>
  <c r="H29" i="5"/>
  <c r="I29" i="5"/>
  <c r="J29" i="5"/>
  <c r="K29" i="5"/>
  <c r="L29" i="5"/>
  <c r="M29" i="5"/>
  <c r="N29" i="5"/>
  <c r="O29" i="5"/>
  <c r="P29" i="5"/>
  <c r="Q29" i="5"/>
  <c r="R29" i="5"/>
  <c r="S29" i="5"/>
  <c r="T29" i="5"/>
  <c r="U29" i="5"/>
  <c r="V29" i="5"/>
  <c r="W29" i="5"/>
  <c r="X29" i="5"/>
  <c r="Y29" i="5"/>
  <c r="Z29" i="5"/>
  <c r="AA29" i="5"/>
  <c r="AB29" i="5"/>
  <c r="AC29" i="5"/>
  <c r="AD29" i="5"/>
  <c r="AE29" i="5"/>
  <c r="AF29" i="5"/>
  <c r="AG29" i="5"/>
  <c r="AH29" i="5"/>
  <c r="AI29" i="5"/>
  <c r="AJ29" i="5"/>
  <c r="AK29" i="5"/>
  <c r="AL29" i="5"/>
  <c r="CS34" i="5"/>
  <c r="CT34" i="5"/>
  <c r="CU34" i="5"/>
  <c r="CV34" i="5"/>
  <c r="CW34" i="5"/>
  <c r="CX34" i="5"/>
  <c r="CZ34" i="5"/>
  <c r="DA34" i="5"/>
  <c r="DB34" i="5"/>
  <c r="DC34" i="5"/>
  <c r="DD34" i="5"/>
  <c r="DE34" i="5"/>
  <c r="DF34" i="5"/>
  <c r="DG34" i="5"/>
  <c r="DH34" i="5"/>
  <c r="DI34" i="5"/>
  <c r="DJ34" i="5"/>
  <c r="DK34" i="5"/>
  <c r="DL34" i="5"/>
  <c r="DM34" i="5"/>
  <c r="DN34" i="5"/>
  <c r="DO34" i="5"/>
  <c r="DP34" i="5"/>
  <c r="DQ34" i="5"/>
  <c r="DR34" i="5"/>
  <c r="DS34" i="5"/>
  <c r="DT34" i="5"/>
  <c r="CQ36" i="5"/>
  <c r="BF36" i="5"/>
  <c r="CS36" i="5"/>
  <c r="CT36" i="5"/>
  <c r="CU36" i="5"/>
  <c r="CV36" i="5"/>
  <c r="CW36" i="5"/>
  <c r="CX36" i="5"/>
  <c r="CY36" i="5"/>
  <c r="CZ36" i="5"/>
  <c r="DA36" i="5"/>
  <c r="DB36" i="5"/>
  <c r="DC36" i="5"/>
  <c r="DD36" i="5"/>
  <c r="DE36" i="5"/>
  <c r="DF36" i="5"/>
  <c r="DG36" i="5"/>
  <c r="DH36" i="5"/>
  <c r="DI36" i="5"/>
  <c r="DJ36" i="5"/>
  <c r="DK36" i="5"/>
  <c r="DL36" i="5"/>
  <c r="DM36" i="5"/>
  <c r="DN36" i="5"/>
  <c r="DO36" i="5"/>
  <c r="DP36" i="5"/>
  <c r="DQ36" i="5"/>
  <c r="DR36" i="5"/>
  <c r="DS36" i="5"/>
  <c r="DT36" i="5"/>
  <c r="BC38" i="5"/>
  <c r="CS38" i="5"/>
  <c r="CT38" i="5"/>
  <c r="CU38" i="5"/>
  <c r="CV38" i="5"/>
  <c r="CW38" i="5"/>
  <c r="CX38" i="5"/>
  <c r="CY38" i="5"/>
  <c r="CZ38" i="5"/>
  <c r="DA38" i="5"/>
  <c r="DB38" i="5"/>
  <c r="DC38" i="5"/>
  <c r="DD38" i="5"/>
  <c r="DE38" i="5"/>
  <c r="DF38" i="5"/>
  <c r="DG38" i="5"/>
  <c r="DH38" i="5"/>
  <c r="DI38" i="5"/>
  <c r="DJ38" i="5"/>
  <c r="DK38" i="5"/>
  <c r="DL38" i="5"/>
  <c r="DM38" i="5"/>
  <c r="DN38" i="5"/>
  <c r="DO38" i="5"/>
  <c r="DP38" i="5"/>
  <c r="DQ38" i="5"/>
  <c r="DR38" i="5"/>
  <c r="CR39" i="5"/>
  <c r="CS39" i="5"/>
  <c r="CT39" i="5"/>
  <c r="CU39" i="5"/>
  <c r="CV39" i="5"/>
  <c r="CW39" i="5"/>
  <c r="CX39" i="5"/>
  <c r="CY39" i="5"/>
  <c r="CZ39" i="5"/>
  <c r="DA39" i="5"/>
  <c r="DB39" i="5"/>
  <c r="DC39" i="5"/>
  <c r="DD39" i="5"/>
  <c r="DE39" i="5"/>
  <c r="DF39" i="5"/>
  <c r="DG39" i="5"/>
  <c r="DH39" i="5"/>
  <c r="DI39" i="5"/>
  <c r="DJ39" i="5"/>
  <c r="DK39" i="5"/>
  <c r="DL39" i="5"/>
  <c r="DM39" i="5"/>
  <c r="DN39" i="5"/>
  <c r="DO39" i="5"/>
  <c r="DP39" i="5"/>
  <c r="DQ39" i="5"/>
  <c r="DR39" i="5"/>
  <c r="DS39" i="5"/>
  <c r="DT39" i="5"/>
  <c r="BE40" i="5"/>
  <c r="CP40" i="5"/>
  <c r="CO42" i="5"/>
  <c r="CR42" i="5"/>
  <c r="B2" i="4"/>
  <c r="B3" i="4"/>
  <c r="B4" i="4"/>
  <c r="B5" i="4"/>
  <c r="CQ36" i="4"/>
  <c r="CR36" i="4"/>
  <c r="F65" i="2"/>
  <c r="CL65" i="2" s="1"/>
  <c r="G65" i="2"/>
  <c r="H65" i="2"/>
  <c r="CN65" i="2" s="1"/>
  <c r="I65" i="2"/>
  <c r="J65" i="2"/>
  <c r="CG65" i="2" s="1"/>
  <c r="K65" i="2"/>
  <c r="L65" i="2"/>
  <c r="M65" i="2"/>
  <c r="G70" i="2"/>
  <c r="I70" i="2"/>
  <c r="J70" i="2"/>
  <c r="L70" i="2"/>
  <c r="M70" i="2"/>
  <c r="BH34" i="5"/>
  <c r="BF34" i="5"/>
  <c r="CP36" i="5"/>
  <c r="CG12" i="6"/>
  <c r="CE12" i="6"/>
  <c r="CE26" i="6"/>
  <c r="CQ35" i="5"/>
  <c r="BC35" i="5"/>
  <c r="BD35" i="5"/>
  <c r="BG35" i="5"/>
  <c r="BE35" i="5"/>
  <c r="CN35" i="5"/>
  <c r="CM35" i="5"/>
  <c r="BG38" i="5"/>
  <c r="BE38" i="5"/>
  <c r="CF27" i="6"/>
  <c r="CD27" i="6"/>
  <c r="BC36" i="5"/>
  <c r="CN36" i="5"/>
  <c r="BK19" i="5"/>
  <c r="CF26" i="6"/>
  <c r="BH35" i="5"/>
  <c r="BF35" i="5"/>
  <c r="CG37" i="6"/>
  <c r="CG34" i="6"/>
  <c r="CM34" i="5"/>
  <c r="CO35" i="5"/>
  <c r="CO26" i="6"/>
  <c r="CO36" i="5"/>
  <c r="CP35" i="5"/>
  <c r="CR35" i="5"/>
  <c r="CQ27" i="6"/>
  <c r="CO27" i="6"/>
  <c r="CO38" i="5"/>
  <c r="CQ38" i="5"/>
  <c r="DE110" i="17"/>
  <c r="CK54" i="2"/>
  <c r="CQ26" i="6"/>
  <c r="CR17" i="5" l="1"/>
  <c r="CP17" i="5"/>
  <c r="B49" i="8"/>
  <c r="CO17" i="5"/>
  <c r="CQ17" i="5"/>
  <c r="CP16" i="5"/>
  <c r="CR16" i="5"/>
  <c r="CR21" i="5"/>
  <c r="CP21" i="5"/>
  <c r="CO16" i="5"/>
  <c r="CQ16" i="5"/>
  <c r="CP20" i="5"/>
  <c r="CR20" i="5"/>
  <c r="CR15" i="5"/>
  <c r="CP15" i="5"/>
  <c r="CO18" i="5"/>
  <c r="CQ18" i="5"/>
  <c r="CQ15" i="5"/>
  <c r="CO15" i="5"/>
  <c r="CO14" i="5"/>
  <c r="CQ14" i="5"/>
  <c r="CR18" i="5"/>
  <c r="CP18" i="5"/>
  <c r="CP14" i="5"/>
  <c r="CR14" i="5"/>
  <c r="H46" i="2"/>
  <c r="H48" i="2"/>
  <c r="CO30" i="4"/>
  <c r="CK30" i="4"/>
  <c r="CM30" i="4"/>
  <c r="CQ30" i="4"/>
  <c r="BC30" i="16"/>
  <c r="BA30" i="16"/>
  <c r="BE30" i="16"/>
  <c r="BG30" i="16"/>
  <c r="CR33" i="4"/>
  <c r="CP33" i="4"/>
  <c r="CN33" i="4"/>
  <c r="CL33" i="4"/>
  <c r="CM29" i="4"/>
  <c r="CO29" i="4"/>
  <c r="CQ29" i="4"/>
  <c r="CK29" i="4"/>
  <c r="BD80" i="16"/>
  <c r="BB80" i="16"/>
  <c r="BH80" i="16"/>
  <c r="BF80" i="16"/>
  <c r="BD30" i="16"/>
  <c r="BB30" i="16"/>
  <c r="BH30" i="16"/>
  <c r="BF30" i="16"/>
  <c r="BC77" i="16"/>
  <c r="BE77" i="16"/>
  <c r="BG77" i="16"/>
  <c r="BA77" i="16"/>
  <c r="AZ18" i="7"/>
  <c r="DV72" i="7"/>
  <c r="DW72" i="7"/>
  <c r="DJ72" i="7"/>
  <c r="CK72" i="7"/>
  <c r="DI72" i="7"/>
  <c r="DH72" i="7"/>
  <c r="CI72" i="7"/>
  <c r="DU72" i="7"/>
  <c r="CW72" i="7"/>
  <c r="CV72" i="7"/>
  <c r="CJ72" i="7"/>
  <c r="CU72" i="7"/>
  <c r="CV99" i="7"/>
  <c r="DW99" i="7"/>
  <c r="CK99" i="7"/>
  <c r="DI99" i="7"/>
  <c r="CU99" i="7"/>
  <c r="DJ99" i="7"/>
  <c r="DH99" i="7"/>
  <c r="DV99" i="7"/>
  <c r="DU99" i="7"/>
  <c r="CI99" i="7"/>
  <c r="CW99" i="7"/>
  <c r="CJ99" i="7"/>
  <c r="CQ65" i="2"/>
  <c r="CH65" i="2"/>
  <c r="CR32" i="4"/>
  <c r="CL32" i="4"/>
  <c r="CP32" i="4"/>
  <c r="CN32" i="4"/>
  <c r="CP28" i="4"/>
  <c r="CL28" i="4"/>
  <c r="CN28" i="4"/>
  <c r="CR28" i="4"/>
  <c r="CL14" i="4"/>
  <c r="CP14" i="4"/>
  <c r="CN14" i="4"/>
  <c r="CR14" i="4"/>
  <c r="BF21" i="5"/>
  <c r="BH21" i="5"/>
  <c r="BH16" i="5"/>
  <c r="BF16" i="5"/>
  <c r="BC80" i="16"/>
  <c r="BA80" i="16"/>
  <c r="BG80" i="16"/>
  <c r="BE80" i="16"/>
  <c r="BD81" i="16"/>
  <c r="BB81" i="16"/>
  <c r="BF81" i="16"/>
  <c r="BH81" i="16"/>
  <c r="BC51" i="16"/>
  <c r="BG51" i="16"/>
  <c r="BE51" i="16"/>
  <c r="BA51" i="16"/>
  <c r="BC24" i="16"/>
  <c r="BE24" i="16"/>
  <c r="BA24" i="16"/>
  <c r="BG24" i="16"/>
  <c r="BC35" i="16"/>
  <c r="BG35" i="16"/>
  <c r="BE35" i="16"/>
  <c r="BA35" i="16"/>
  <c r="BD20" i="16"/>
  <c r="BB20" i="16"/>
  <c r="BH20" i="16"/>
  <c r="BF20" i="16"/>
  <c r="BD33" i="16"/>
  <c r="BB33" i="16"/>
  <c r="BH33" i="16"/>
  <c r="BF33" i="16"/>
  <c r="BC32" i="16"/>
  <c r="BG32" i="16"/>
  <c r="BE32" i="16"/>
  <c r="BA32" i="16"/>
  <c r="CK25" i="4"/>
  <c r="CM25" i="4"/>
  <c r="CQ25" i="4"/>
  <c r="CO25" i="4"/>
  <c r="H41" i="2"/>
  <c r="AZ75" i="7"/>
  <c r="CM36" i="4"/>
  <c r="CO36" i="4"/>
  <c r="CK36" i="4"/>
  <c r="CK26" i="4"/>
  <c r="CO26" i="4"/>
  <c r="CM26" i="4"/>
  <c r="CQ26" i="4"/>
  <c r="BG14" i="5"/>
  <c r="BE14" i="5"/>
  <c r="BD76" i="16"/>
  <c r="BB76" i="16"/>
  <c r="BH76" i="16"/>
  <c r="BF76" i="16"/>
  <c r="BD28" i="16"/>
  <c r="BB28" i="16"/>
  <c r="BF28" i="16"/>
  <c r="BH28" i="16"/>
  <c r="CJ65" i="2"/>
  <c r="CS65" i="2"/>
  <c r="CP29" i="4"/>
  <c r="CN29" i="4"/>
  <c r="CR29" i="4"/>
  <c r="CL29" i="4"/>
  <c r="DW111" i="7"/>
  <c r="CV111" i="7"/>
  <c r="CK111" i="7"/>
  <c r="CW111" i="7"/>
  <c r="CI111" i="7"/>
  <c r="DI111" i="7"/>
  <c r="DV111" i="7"/>
  <c r="DU111" i="7"/>
  <c r="DJ111" i="7"/>
  <c r="CU111" i="7"/>
  <c r="DH111" i="7"/>
  <c r="CJ111" i="7"/>
  <c r="BD77" i="16"/>
  <c r="BB77" i="16"/>
  <c r="BH77" i="16"/>
  <c r="BF77" i="16"/>
  <c r="BC33" i="16"/>
  <c r="BE33" i="16"/>
  <c r="BA33" i="16"/>
  <c r="BG33" i="16"/>
  <c r="BD29" i="16"/>
  <c r="BB29" i="16"/>
  <c r="BH29" i="16"/>
  <c r="BF29" i="16"/>
  <c r="CM33" i="4"/>
  <c r="CQ33" i="4"/>
  <c r="CK33" i="4"/>
  <c r="CO33" i="4"/>
  <c r="BC34" i="16"/>
  <c r="BE34" i="16"/>
  <c r="BG34" i="16"/>
  <c r="BA34" i="16"/>
  <c r="DU89" i="7"/>
  <c r="DI89" i="7"/>
  <c r="CV89" i="7"/>
  <c r="CK89" i="7"/>
  <c r="CJ89" i="7"/>
  <c r="CI89" i="7"/>
  <c r="CW89" i="7"/>
  <c r="DJ89" i="7"/>
  <c r="CU89" i="7"/>
  <c r="DH89" i="7"/>
  <c r="DW89" i="7"/>
  <c r="DV89" i="7"/>
  <c r="CQ32" i="4"/>
  <c r="CM32" i="4"/>
  <c r="CO32" i="4"/>
  <c r="CK32" i="4"/>
  <c r="BE13" i="16"/>
  <c r="BG13" i="16"/>
  <c r="BA13" i="16"/>
  <c r="BC13" i="16"/>
  <c r="BC36" i="16"/>
  <c r="BG36" i="16"/>
  <c r="BE36" i="16"/>
  <c r="BA36" i="16"/>
  <c r="BD34" i="16"/>
  <c r="BB34" i="16"/>
  <c r="BH34" i="16"/>
  <c r="BF34" i="16"/>
  <c r="CR25" i="4"/>
  <c r="CP25" i="4"/>
  <c r="CN25" i="4"/>
  <c r="CL25" i="4"/>
  <c r="BF15" i="5"/>
  <c r="BH15" i="5"/>
  <c r="BD50" i="16"/>
  <c r="BB50" i="16"/>
  <c r="BH50" i="16"/>
  <c r="BF50" i="16"/>
  <c r="BE14" i="16"/>
  <c r="BG14" i="16"/>
  <c r="BA14" i="16"/>
  <c r="BC14" i="16"/>
  <c r="BC39" i="16"/>
  <c r="BG39" i="16"/>
  <c r="BE39" i="16"/>
  <c r="BA39" i="16"/>
  <c r="BD35" i="16"/>
  <c r="BB35" i="16"/>
  <c r="BH35" i="16"/>
  <c r="BF35" i="16"/>
  <c r="AZ53" i="7"/>
  <c r="CO31" i="4"/>
  <c r="CQ31" i="4"/>
  <c r="CK31" i="4"/>
  <c r="CM31" i="4"/>
  <c r="CK27" i="4"/>
  <c r="CM27" i="4"/>
  <c r="CQ27" i="4"/>
  <c r="CO27" i="4"/>
  <c r="BG15" i="5"/>
  <c r="BE15" i="5"/>
  <c r="BD74" i="16"/>
  <c r="BB74" i="16"/>
  <c r="BH74" i="16"/>
  <c r="BF74" i="16"/>
  <c r="BD51" i="16"/>
  <c r="BB51" i="16"/>
  <c r="BH51" i="16"/>
  <c r="BF51" i="16"/>
  <c r="BE15" i="16"/>
  <c r="BG15" i="16"/>
  <c r="BA15" i="16"/>
  <c r="BC15" i="16"/>
  <c r="BC28" i="16"/>
  <c r="BA28" i="16"/>
  <c r="BG28" i="16"/>
  <c r="BE28" i="16"/>
  <c r="BD24" i="16"/>
  <c r="BB24" i="16"/>
  <c r="BH24" i="16"/>
  <c r="BF24" i="16"/>
  <c r="BD36" i="16"/>
  <c r="BB36" i="16"/>
  <c r="BF36" i="16"/>
  <c r="BH36" i="16"/>
  <c r="BC20" i="16"/>
  <c r="BA20" i="16"/>
  <c r="BG20" i="16"/>
  <c r="BE20" i="16"/>
  <c r="H42" i="2"/>
  <c r="AZ76" i="7"/>
  <c r="BG18" i="5"/>
  <c r="BE18" i="5"/>
  <c r="BC74" i="16"/>
  <c r="BG74" i="16"/>
  <c r="BA74" i="16"/>
  <c r="BE74" i="16"/>
  <c r="BC18" i="16"/>
  <c r="BG18" i="16"/>
  <c r="BE18" i="16"/>
  <c r="BA18" i="16"/>
  <c r="BD39" i="16"/>
  <c r="BB39" i="16"/>
  <c r="BH39" i="16"/>
  <c r="BF39" i="16"/>
  <c r="CR24" i="4"/>
  <c r="CP24" i="4"/>
  <c r="CL24" i="4"/>
  <c r="CN24" i="4"/>
  <c r="BH17" i="5"/>
  <c r="BF17" i="5"/>
  <c r="BC75" i="16"/>
  <c r="BE75" i="16"/>
  <c r="BA75" i="16"/>
  <c r="BG75" i="16"/>
  <c r="BC21" i="16"/>
  <c r="BG21" i="16"/>
  <c r="BE21" i="16"/>
  <c r="BA21" i="16"/>
  <c r="BD17" i="16"/>
  <c r="BB17" i="16"/>
  <c r="BF17" i="16"/>
  <c r="BH17" i="16"/>
  <c r="BF14" i="16"/>
  <c r="BB14" i="16"/>
  <c r="BH14" i="16"/>
  <c r="BD14" i="16"/>
  <c r="H43" i="2"/>
  <c r="CR65" i="2"/>
  <c r="CI65" i="2"/>
  <c r="BG17" i="5"/>
  <c r="BE17" i="5"/>
  <c r="BC76" i="16"/>
  <c r="BG76" i="16"/>
  <c r="BA76" i="16"/>
  <c r="BE76" i="16"/>
  <c r="BC50" i="16"/>
  <c r="BA50" i="16"/>
  <c r="BG50" i="16"/>
  <c r="BE50" i="16"/>
  <c r="BC22" i="16"/>
  <c r="BA22" i="16"/>
  <c r="BG22" i="16"/>
  <c r="BE22" i="16"/>
  <c r="BD18" i="16"/>
  <c r="BB18" i="16"/>
  <c r="BH18" i="16"/>
  <c r="BF18" i="16"/>
  <c r="CM28" i="4"/>
  <c r="CQ28" i="4"/>
  <c r="CK28" i="4"/>
  <c r="CO28" i="4"/>
  <c r="CP13" i="4"/>
  <c r="CL13" i="4"/>
  <c r="CN13" i="4"/>
  <c r="CR13" i="4"/>
  <c r="BG16" i="5"/>
  <c r="BE16" i="5"/>
  <c r="BC81" i="16"/>
  <c r="BG81" i="16"/>
  <c r="BE81" i="16"/>
  <c r="BA81" i="16"/>
  <c r="BD47" i="16"/>
  <c r="BB47" i="16"/>
  <c r="BF47" i="16"/>
  <c r="BH47" i="16"/>
  <c r="BC25" i="16"/>
  <c r="BG25" i="16"/>
  <c r="BE25" i="16"/>
  <c r="BA25" i="16"/>
  <c r="BD21" i="16"/>
  <c r="BB21" i="16"/>
  <c r="BH21" i="16"/>
  <c r="BF21" i="16"/>
  <c r="BC37" i="16"/>
  <c r="BA37" i="16"/>
  <c r="BG37" i="16"/>
  <c r="BE37" i="16"/>
  <c r="H44" i="2"/>
  <c r="CR31" i="4"/>
  <c r="CL31" i="4"/>
  <c r="CN31" i="4"/>
  <c r="CP31" i="4"/>
  <c r="CL27" i="4"/>
  <c r="CP27" i="4"/>
  <c r="CN27" i="4"/>
  <c r="CR27" i="4"/>
  <c r="BH20" i="5"/>
  <c r="BF20" i="5"/>
  <c r="CN22" i="4"/>
  <c r="CP22" i="4"/>
  <c r="CR22" i="4"/>
  <c r="CL22" i="4"/>
  <c r="BD73" i="16"/>
  <c r="BB73" i="16"/>
  <c r="BF73" i="16"/>
  <c r="BH73" i="16"/>
  <c r="BC27" i="16"/>
  <c r="BE27" i="16"/>
  <c r="BA27" i="16"/>
  <c r="BG27" i="16"/>
  <c r="BD22" i="16"/>
  <c r="BB22" i="16"/>
  <c r="BH22" i="16"/>
  <c r="BF22" i="16"/>
  <c r="H47" i="2"/>
  <c r="CC65" i="4"/>
  <c r="AO65" i="4" s="1"/>
  <c r="CP36" i="4"/>
  <c r="CL36" i="4"/>
  <c r="CN36" i="4"/>
  <c r="CN30" i="4"/>
  <c r="CP30" i="4"/>
  <c r="CR30" i="4"/>
  <c r="CL30" i="4"/>
  <c r="CN26" i="4"/>
  <c r="CR26" i="4"/>
  <c r="CL26" i="4"/>
  <c r="CP26" i="4"/>
  <c r="BH18" i="5"/>
  <c r="BF18" i="5"/>
  <c r="BH14" i="5"/>
  <c r="BF14" i="5"/>
  <c r="CK14" i="4"/>
  <c r="CO14" i="4"/>
  <c r="CQ14" i="4"/>
  <c r="CM14" i="4"/>
  <c r="BC73" i="16"/>
  <c r="BG73" i="16"/>
  <c r="BE73" i="16"/>
  <c r="BA73" i="16"/>
  <c r="BD75" i="16"/>
  <c r="BB75" i="16"/>
  <c r="BH75" i="16"/>
  <c r="BF75" i="16"/>
  <c r="BC17" i="16"/>
  <c r="BA17" i="16"/>
  <c r="BE17" i="16"/>
  <c r="BG17" i="16"/>
  <c r="BC29" i="16"/>
  <c r="BG29" i="16"/>
  <c r="BE29" i="16"/>
  <c r="BA29" i="16"/>
  <c r="BF13" i="16"/>
  <c r="BB13" i="16"/>
  <c r="BD13" i="16"/>
  <c r="BH13" i="16"/>
  <c r="BD25" i="16"/>
  <c r="BB25" i="16"/>
  <c r="BH25" i="16"/>
  <c r="BF25" i="16"/>
  <c r="BD37" i="16"/>
  <c r="BB37" i="16"/>
  <c r="BF37" i="16"/>
  <c r="BH37" i="16"/>
  <c r="BC47" i="16"/>
  <c r="BG47" i="16"/>
  <c r="BE47" i="16"/>
  <c r="BA47" i="16"/>
  <c r="H45" i="2"/>
  <c r="AZ19" i="7"/>
  <c r="BF15" i="16"/>
  <c r="BD15" i="16"/>
  <c r="BB15" i="16"/>
  <c r="BH15" i="16"/>
  <c r="CC32" i="4"/>
  <c r="CE32" i="4"/>
  <c r="CC14" i="4"/>
  <c r="CE14" i="4"/>
  <c r="CC28" i="4"/>
  <c r="CE28" i="4"/>
  <c r="CF13" i="4"/>
  <c r="CD13" i="4"/>
  <c r="CF27" i="4"/>
  <c r="CD27" i="4"/>
  <c r="CD26" i="4"/>
  <c r="CF26" i="4"/>
  <c r="CC36" i="4"/>
  <c r="CE36" i="4"/>
  <c r="CF33" i="4"/>
  <c r="CD33" i="4"/>
  <c r="CD29" i="4"/>
  <c r="CF29" i="4"/>
  <c r="CD24" i="4"/>
  <c r="CF24" i="4"/>
  <c r="CC27" i="4"/>
  <c r="CE27" i="4"/>
  <c r="CD36" i="4"/>
  <c r="CF36" i="4"/>
  <c r="CC26" i="4"/>
  <c r="CE26" i="4"/>
  <c r="CC33" i="4"/>
  <c r="CE33" i="4"/>
  <c r="CC29" i="4"/>
  <c r="CE29" i="4"/>
  <c r="CD25" i="4"/>
  <c r="CF25" i="4"/>
  <c r="CF31" i="4"/>
  <c r="CD31" i="4"/>
  <c r="CD22" i="4"/>
  <c r="CF22" i="4"/>
  <c r="CC31" i="4"/>
  <c r="CE31" i="4"/>
  <c r="CD30" i="4"/>
  <c r="CF30" i="4"/>
  <c r="CC30" i="4"/>
  <c r="CE30" i="4"/>
  <c r="CD32" i="4"/>
  <c r="CF32" i="4"/>
  <c r="CD28" i="4"/>
  <c r="CF28" i="4"/>
  <c r="CD14" i="4"/>
  <c r="CF14" i="4"/>
  <c r="CC25" i="4"/>
  <c r="CE25" i="4"/>
  <c r="DE109" i="17"/>
  <c r="CG109" i="17"/>
  <c r="AQ80" i="16"/>
  <c r="AU80" i="16"/>
  <c r="AO80" i="16"/>
  <c r="AS80" i="16"/>
  <c r="AR34" i="16"/>
  <c r="AP34" i="16"/>
  <c r="AN34" i="16"/>
  <c r="AT34" i="16"/>
  <c r="AP80" i="16"/>
  <c r="AN80" i="16"/>
  <c r="AR80" i="16"/>
  <c r="AT80" i="16"/>
  <c r="AU81" i="16"/>
  <c r="AQ81" i="16"/>
  <c r="AS81" i="16"/>
  <c r="AO81" i="16"/>
  <c r="AP51" i="16"/>
  <c r="AR51" i="16"/>
  <c r="AT51" i="16"/>
  <c r="AN51" i="16"/>
  <c r="AR24" i="16"/>
  <c r="AN24" i="16"/>
  <c r="AP24" i="16"/>
  <c r="AT24" i="16"/>
  <c r="AR35" i="16"/>
  <c r="AT35" i="16"/>
  <c r="AN35" i="16"/>
  <c r="AP35" i="16"/>
  <c r="AS20" i="16"/>
  <c r="AQ20" i="16"/>
  <c r="AU20" i="16"/>
  <c r="AO20" i="16"/>
  <c r="AS33" i="16"/>
  <c r="AQ33" i="16"/>
  <c r="AU33" i="16"/>
  <c r="AO33" i="16"/>
  <c r="AT32" i="16"/>
  <c r="AR32" i="16"/>
  <c r="AP32" i="16"/>
  <c r="AN32" i="16"/>
  <c r="AP81" i="16"/>
  <c r="AR81" i="16"/>
  <c r="AN81" i="16"/>
  <c r="AT81" i="16"/>
  <c r="AU47" i="16"/>
  <c r="AQ47" i="16"/>
  <c r="AS47" i="16"/>
  <c r="AO47" i="16"/>
  <c r="AP13" i="16"/>
  <c r="AN13" i="16"/>
  <c r="AR13" i="16"/>
  <c r="AT13" i="16"/>
  <c r="AT25" i="16"/>
  <c r="AR25" i="16"/>
  <c r="AP25" i="16"/>
  <c r="AN25" i="16"/>
  <c r="AR36" i="16"/>
  <c r="AN36" i="16"/>
  <c r="AT36" i="16"/>
  <c r="AP36" i="16"/>
  <c r="AS21" i="16"/>
  <c r="AU21" i="16"/>
  <c r="AQ21" i="16"/>
  <c r="AO21" i="16"/>
  <c r="AS34" i="16"/>
  <c r="AQ34" i="16"/>
  <c r="AU34" i="16"/>
  <c r="AO34" i="16"/>
  <c r="AN37" i="16"/>
  <c r="AT37" i="16"/>
  <c r="AR37" i="16"/>
  <c r="AP37" i="16"/>
  <c r="AP76" i="16"/>
  <c r="AR76" i="16"/>
  <c r="AN76" i="16"/>
  <c r="AT76" i="16"/>
  <c r="AP77" i="16"/>
  <c r="AR77" i="16"/>
  <c r="AT77" i="16"/>
  <c r="AN77" i="16"/>
  <c r="AQ73" i="16"/>
  <c r="AU73" i="16"/>
  <c r="AS73" i="16"/>
  <c r="AO73" i="16"/>
  <c r="AO50" i="16"/>
  <c r="AU50" i="16"/>
  <c r="AQ50" i="16"/>
  <c r="AS50" i="16"/>
  <c r="AP14" i="16"/>
  <c r="AR14" i="16"/>
  <c r="AN14" i="16"/>
  <c r="AT14" i="16"/>
  <c r="AR27" i="16"/>
  <c r="AP27" i="16"/>
  <c r="AT27" i="16"/>
  <c r="AN27" i="16"/>
  <c r="AT39" i="16"/>
  <c r="AR39" i="16"/>
  <c r="AP39" i="16"/>
  <c r="AN39" i="16"/>
  <c r="AS22" i="16"/>
  <c r="AU22" i="16"/>
  <c r="AQ22" i="16"/>
  <c r="AO22" i="16"/>
  <c r="AS35" i="16"/>
  <c r="AU35" i="16"/>
  <c r="AQ35" i="16"/>
  <c r="AO35" i="16"/>
  <c r="AO74" i="16"/>
  <c r="AQ74" i="16"/>
  <c r="AU74" i="16"/>
  <c r="AS74" i="16"/>
  <c r="AS51" i="16"/>
  <c r="AO51" i="16"/>
  <c r="AU51" i="16"/>
  <c r="AQ51" i="16"/>
  <c r="AP15" i="16"/>
  <c r="AR15" i="16"/>
  <c r="AT15" i="16"/>
  <c r="AN15" i="16"/>
  <c r="AR28" i="16"/>
  <c r="AN28" i="16"/>
  <c r="AT28" i="16"/>
  <c r="AP28" i="16"/>
  <c r="AS24" i="16"/>
  <c r="AQ24" i="16"/>
  <c r="AU24" i="16"/>
  <c r="AO24" i="16"/>
  <c r="AS36" i="16"/>
  <c r="AQ36" i="16"/>
  <c r="AO36" i="16"/>
  <c r="AU36" i="16"/>
  <c r="AR20" i="16"/>
  <c r="AN20" i="16"/>
  <c r="AP20" i="16"/>
  <c r="AT20" i="16"/>
  <c r="AN50" i="16"/>
  <c r="AT50" i="16"/>
  <c r="AP50" i="16"/>
  <c r="AR50" i="16"/>
  <c r="AS18" i="16"/>
  <c r="AQ18" i="16"/>
  <c r="AO18" i="16"/>
  <c r="AU18" i="16"/>
  <c r="AP73" i="16"/>
  <c r="AN73" i="16"/>
  <c r="AR73" i="16"/>
  <c r="AT73" i="16"/>
  <c r="AQ75" i="16"/>
  <c r="AO75" i="16"/>
  <c r="AS75" i="16"/>
  <c r="AU75" i="16"/>
  <c r="AR17" i="16"/>
  <c r="AP17" i="16"/>
  <c r="AN17" i="16"/>
  <c r="AT17" i="16"/>
  <c r="AN29" i="16"/>
  <c r="AR29" i="16"/>
  <c r="AT29" i="16"/>
  <c r="AP29" i="16"/>
  <c r="AQ13" i="16"/>
  <c r="AU13" i="16"/>
  <c r="AO13" i="16"/>
  <c r="AS13" i="16"/>
  <c r="AS25" i="16"/>
  <c r="AQ25" i="16"/>
  <c r="AO25" i="16"/>
  <c r="AU25" i="16"/>
  <c r="AS37" i="16"/>
  <c r="AU37" i="16"/>
  <c r="AQ37" i="16"/>
  <c r="AO37" i="16"/>
  <c r="AN22" i="16"/>
  <c r="AR22" i="16"/>
  <c r="AT22" i="16"/>
  <c r="AP22" i="16"/>
  <c r="AT47" i="16"/>
  <c r="AR47" i="16"/>
  <c r="AN47" i="16"/>
  <c r="AP47" i="16"/>
  <c r="AP74" i="16"/>
  <c r="AN74" i="16"/>
  <c r="AR74" i="16"/>
  <c r="AT74" i="16"/>
  <c r="AU76" i="16"/>
  <c r="AQ76" i="16"/>
  <c r="AS76" i="16"/>
  <c r="AO76" i="16"/>
  <c r="AN18" i="16"/>
  <c r="AT18" i="16"/>
  <c r="AR18" i="16"/>
  <c r="AP18" i="16"/>
  <c r="AR30" i="16"/>
  <c r="AN30" i="16"/>
  <c r="AP30" i="16"/>
  <c r="AT30" i="16"/>
  <c r="AQ15" i="16"/>
  <c r="AU15" i="16"/>
  <c r="AO15" i="16"/>
  <c r="AS15" i="16"/>
  <c r="AS28" i="16"/>
  <c r="AQ28" i="16"/>
  <c r="AU28" i="16"/>
  <c r="AO28" i="16"/>
  <c r="AS39" i="16"/>
  <c r="AQ39" i="16"/>
  <c r="AU39" i="16"/>
  <c r="AO39" i="16"/>
  <c r="AS30" i="16"/>
  <c r="AQ30" i="16"/>
  <c r="AO30" i="16"/>
  <c r="AU30" i="16"/>
  <c r="AP75" i="16"/>
  <c r="AR75" i="16"/>
  <c r="AT75" i="16"/>
  <c r="AN75" i="16"/>
  <c r="AQ77" i="16"/>
  <c r="AS77" i="16"/>
  <c r="AU77" i="16"/>
  <c r="AO77" i="16"/>
  <c r="AR21" i="16"/>
  <c r="AT21" i="16"/>
  <c r="AP21" i="16"/>
  <c r="AN21" i="16"/>
  <c r="AN33" i="16"/>
  <c r="AR33" i="16"/>
  <c r="AP33" i="16"/>
  <c r="AT33" i="16"/>
  <c r="AS17" i="16"/>
  <c r="AQ17" i="16"/>
  <c r="AU17" i="16"/>
  <c r="AO17" i="16"/>
  <c r="AS29" i="16"/>
  <c r="AU29" i="16"/>
  <c r="AQ29" i="16"/>
  <c r="AO29" i="16"/>
  <c r="AQ14" i="16"/>
  <c r="AS14" i="16"/>
  <c r="AU14" i="16"/>
  <c r="AO14" i="16"/>
  <c r="DJ45" i="7"/>
  <c r="DU45" i="7"/>
  <c r="DV45" i="7"/>
  <c r="DW45" i="7"/>
  <c r="DJ41" i="7"/>
  <c r="DU41" i="7"/>
  <c r="DV41" i="7"/>
  <c r="DW41" i="7"/>
  <c r="DJ32" i="7"/>
  <c r="DV32" i="7"/>
  <c r="DW32" i="7"/>
  <c r="DU32" i="7"/>
  <c r="DJ17" i="7"/>
  <c r="DW17" i="7"/>
  <c r="DU17" i="7"/>
  <c r="DV17" i="7"/>
  <c r="CU32" i="7"/>
  <c r="CW32" i="7"/>
  <c r="CV32" i="7"/>
  <c r="CW17" i="7"/>
  <c r="CV17" i="7"/>
  <c r="CU17" i="7"/>
  <c r="CU45" i="7"/>
  <c r="CW45" i="7"/>
  <c r="CV45" i="7"/>
  <c r="CW41" i="7"/>
  <c r="CV41" i="7"/>
  <c r="CU41" i="7"/>
  <c r="DN44" i="17"/>
  <c r="CL44" i="17"/>
  <c r="DO44" i="17"/>
  <c r="CM44" i="17"/>
  <c r="CC44" i="17"/>
  <c r="DI44" i="17"/>
  <c r="CG44" i="17"/>
  <c r="N56" i="11"/>
  <c r="N57" i="11"/>
  <c r="N35" i="11"/>
  <c r="N51" i="11"/>
  <c r="N36" i="11"/>
  <c r="N38" i="11"/>
  <c r="N58" i="11"/>
  <c r="N53" i="11"/>
  <c r="N39" i="11"/>
  <c r="N59" i="11"/>
  <c r="N54" i="11"/>
  <c r="N40" i="11"/>
  <c r="N60" i="11"/>
  <c r="N55" i="11"/>
  <c r="N41" i="11"/>
  <c r="E70" i="17"/>
  <c r="N52" i="11"/>
  <c r="N50" i="11"/>
  <c r="N49" i="11"/>
  <c r="N34" i="11"/>
  <c r="N31" i="11"/>
  <c r="N33" i="11"/>
  <c r="N32" i="11"/>
  <c r="N30" i="11"/>
  <c r="F13" i="12"/>
  <c r="CJ45" i="7"/>
  <c r="CI45" i="7"/>
  <c r="DI45" i="7"/>
  <c r="DH45" i="7"/>
  <c r="DI32" i="7"/>
  <c r="DH32" i="7"/>
  <c r="CJ32" i="7"/>
  <c r="CI32" i="7"/>
  <c r="CJ65" i="4"/>
  <c r="DH17" i="7"/>
  <c r="CJ17" i="7"/>
  <c r="CI17" i="7"/>
  <c r="DI17" i="7"/>
  <c r="CI41" i="7"/>
  <c r="CJ41" i="7"/>
  <c r="DI41" i="7"/>
  <c r="DH41" i="7"/>
  <c r="DI109" i="17"/>
  <c r="CL109" i="17"/>
  <c r="DG109" i="17"/>
  <c r="DH109" i="17"/>
  <c r="CK109" i="17"/>
  <c r="CJ109" i="17"/>
  <c r="DJ109" i="17"/>
  <c r="CI109" i="17"/>
  <c r="AZ15" i="10"/>
  <c r="C61" i="11"/>
  <c r="CC65" i="2"/>
  <c r="D65" i="2"/>
  <c r="F20" i="6"/>
  <c r="E38" i="6"/>
  <c r="F29" i="6"/>
  <c r="F38" i="6"/>
  <c r="P40" i="16"/>
  <c r="F29" i="5"/>
  <c r="E29" i="5"/>
  <c r="F58" i="17"/>
  <c r="F63" i="17"/>
  <c r="F55" i="17"/>
  <c r="F70" i="17"/>
  <c r="E29" i="6"/>
  <c r="F15" i="6"/>
  <c r="E20" i="6"/>
  <c r="E15" i="6"/>
  <c r="CR13" i="6"/>
  <c r="CD13" i="6"/>
  <c r="D70" i="2"/>
  <c r="BT26" i="18"/>
  <c r="BE26" i="18" s="1"/>
  <c r="BS26" i="18"/>
  <c r="BD26" i="18" s="1"/>
  <c r="BT16" i="18"/>
  <c r="BE16" i="18" s="1"/>
  <c r="BS16" i="18"/>
  <c r="BD16" i="18" s="1"/>
  <c r="CR27" i="6"/>
  <c r="CI27" i="6"/>
  <c r="CE37" i="6"/>
  <c r="CH19" i="6"/>
  <c r="CN14" i="2"/>
  <c r="CK14" i="2"/>
  <c r="CO14" i="2"/>
  <c r="CL14" i="2"/>
  <c r="CP14" i="2"/>
  <c r="CM14" i="2"/>
  <c r="CN13" i="2"/>
  <c r="CL13" i="2"/>
  <c r="CP13" i="2"/>
  <c r="CM13" i="2"/>
  <c r="CK13" i="2"/>
  <c r="CO13" i="2"/>
  <c r="CL15" i="2"/>
  <c r="CP15" i="2"/>
  <c r="CM15" i="2"/>
  <c r="CN15" i="2"/>
  <c r="CK15" i="2"/>
  <c r="CO15" i="2"/>
  <c r="CL23" i="2"/>
  <c r="CN23" i="2"/>
  <c r="CK23" i="2"/>
  <c r="CO23" i="2"/>
  <c r="CP23" i="2"/>
  <c r="CM23" i="2"/>
  <c r="CL18" i="2"/>
  <c r="CN18" i="2"/>
  <c r="CK18" i="2"/>
  <c r="CO18" i="2"/>
  <c r="CP18" i="2"/>
  <c r="CM18" i="2"/>
  <c r="CL16" i="2"/>
  <c r="CN16" i="2"/>
  <c r="CK16" i="2"/>
  <c r="CO16" i="2"/>
  <c r="CP16" i="2"/>
  <c r="CM16" i="2"/>
  <c r="CL22" i="2"/>
  <c r="CP22" i="2"/>
  <c r="CM22" i="2"/>
  <c r="CN22" i="2"/>
  <c r="CK22" i="2"/>
  <c r="CO22" i="2"/>
  <c r="CM34" i="2"/>
  <c r="CK34" i="2"/>
  <c r="CL34" i="2"/>
  <c r="CN34" i="2"/>
  <c r="CO34" i="2"/>
  <c r="CP34" i="2"/>
  <c r="CK31" i="2"/>
  <c r="CO31" i="2"/>
  <c r="CM31" i="2"/>
  <c r="CN31" i="2"/>
  <c r="CL31" i="2"/>
  <c r="CP31" i="2"/>
  <c r="CM35" i="2"/>
  <c r="CO35" i="2"/>
  <c r="CL35" i="2"/>
  <c r="CN35" i="2"/>
  <c r="CK35" i="2"/>
  <c r="CP35" i="2"/>
  <c r="CK29" i="2"/>
  <c r="CO29" i="2"/>
  <c r="CL29" i="2"/>
  <c r="CP29" i="2"/>
  <c r="CM29" i="2"/>
  <c r="CN29" i="2"/>
  <c r="CK33" i="2"/>
  <c r="CO33" i="2"/>
  <c r="CL33" i="2"/>
  <c r="CP33" i="2"/>
  <c r="CM33" i="2"/>
  <c r="CN33" i="2"/>
  <c r="CM30" i="2"/>
  <c r="CK30" i="2"/>
  <c r="CL30" i="2"/>
  <c r="CN30" i="2"/>
  <c r="CO30" i="2"/>
  <c r="CP30" i="2"/>
  <c r="CM26" i="2"/>
  <c r="CO26" i="2"/>
  <c r="CP26" i="2"/>
  <c r="CN26" i="2"/>
  <c r="CK26" i="2"/>
  <c r="CL26" i="2"/>
  <c r="CM32" i="2"/>
  <c r="CO32" i="2"/>
  <c r="CP32" i="2"/>
  <c r="CN32" i="2"/>
  <c r="CK32" i="2"/>
  <c r="CL32" i="2"/>
  <c r="CQ13" i="6"/>
  <c r="CO13" i="6"/>
  <c r="CD28" i="6"/>
  <c r="CH13" i="6"/>
  <c r="CT13" i="6"/>
  <c r="BH39" i="5"/>
  <c r="CG13" i="6"/>
  <c r="AG7" i="1"/>
  <c r="D6" i="12" s="1"/>
  <c r="CO65" i="2"/>
  <c r="CF65" i="2"/>
  <c r="CM65" i="2"/>
  <c r="CD65" i="2"/>
  <c r="CE65" i="2"/>
  <c r="CO28" i="6"/>
  <c r="CF34" i="6"/>
  <c r="CD34" i="6"/>
  <c r="E40" i="16"/>
  <c r="CS37" i="4"/>
  <c r="CC90" i="2"/>
  <c r="G40" i="16"/>
  <c r="CF16" i="6"/>
  <c r="M40" i="16"/>
  <c r="CB90" i="2"/>
  <c r="CE90" i="2"/>
  <c r="CM94" i="2"/>
  <c r="H21" i="6"/>
  <c r="CD16" i="6"/>
  <c r="CR19" i="6"/>
  <c r="U21" i="6"/>
  <c r="F40" i="16"/>
  <c r="CP19" i="6"/>
  <c r="J40" i="16"/>
  <c r="CG19" i="6"/>
  <c r="CK75" i="2"/>
  <c r="CM40" i="5"/>
  <c r="C42" i="11"/>
  <c r="CO16" i="6"/>
  <c r="CO40" i="5"/>
  <c r="F72" i="17"/>
  <c r="CP39" i="5"/>
  <c r="CP42" i="5"/>
  <c r="BH37" i="5"/>
  <c r="CM91" i="2"/>
  <c r="CK27" i="7"/>
  <c r="CE13" i="6"/>
  <c r="CI19" i="6"/>
  <c r="CG26" i="6"/>
  <c r="CI13" i="6"/>
  <c r="CH17" i="6"/>
  <c r="CO19" i="6"/>
  <c r="CT19" i="6"/>
  <c r="CS19" i="6"/>
  <c r="CD19" i="6"/>
  <c r="CP26" i="6"/>
  <c r="CS13" i="6"/>
  <c r="CF19" i="6"/>
  <c r="CE35" i="6"/>
  <c r="CD91" i="2"/>
  <c r="CN91" i="2"/>
  <c r="CB91" i="2"/>
  <c r="CB94" i="2"/>
  <c r="CL91" i="2"/>
  <c r="CK74" i="2"/>
  <c r="L21" i="6"/>
  <c r="CG17" i="6"/>
  <c r="CT17" i="6"/>
  <c r="CR17" i="6"/>
  <c r="X21" i="6"/>
  <c r="CF36" i="6"/>
  <c r="CP17" i="6"/>
  <c r="CD36" i="6"/>
  <c r="CK30" i="7"/>
  <c r="CK40" i="7"/>
  <c r="CK42" i="7"/>
  <c r="CK33" i="7"/>
  <c r="BR26" i="18"/>
  <c r="BC26" i="18" s="1"/>
  <c r="BQ26" i="18"/>
  <c r="BB26" i="18" s="1"/>
  <c r="BR16" i="18"/>
  <c r="BC16" i="18" s="1"/>
  <c r="BQ16" i="18"/>
  <c r="BB16" i="18" s="1"/>
  <c r="D111" i="17"/>
  <c r="E72" i="17"/>
  <c r="CS36" i="4"/>
  <c r="CK89" i="2"/>
  <c r="CM89" i="2"/>
  <c r="CN89" i="2"/>
  <c r="CK34" i="7"/>
  <c r="CK16" i="7"/>
  <c r="CE93" i="2"/>
  <c r="CD93" i="2"/>
  <c r="CN93" i="2"/>
  <c r="CB93" i="2"/>
  <c r="CL93" i="2"/>
  <c r="CK93" i="2"/>
  <c r="CS40" i="4"/>
  <c r="CK23" i="7"/>
  <c r="CH18" i="6"/>
  <c r="CD18" i="6"/>
  <c r="CT18" i="6"/>
  <c r="CF18" i="6"/>
  <c r="CO18" i="6"/>
  <c r="CQ18" i="6"/>
  <c r="CK47" i="7"/>
  <c r="C4" i="12"/>
  <c r="CF37" i="6"/>
  <c r="CD37" i="6"/>
  <c r="K21" i="6"/>
  <c r="CS28" i="6"/>
  <c r="CF28" i="6"/>
  <c r="K140" i="17"/>
  <c r="CJ15" i="4"/>
  <c r="CI14" i="6"/>
  <c r="CK54" i="7"/>
  <c r="CG36" i="6"/>
  <c r="CO39" i="5"/>
  <c r="BD39" i="5"/>
  <c r="CS17" i="6"/>
  <c r="CI17" i="6"/>
  <c r="CD17" i="6"/>
  <c r="CF17" i="6"/>
  <c r="CQ17" i="6"/>
  <c r="CK22" i="7"/>
  <c r="I21" i="6"/>
  <c r="CK26" i="7"/>
  <c r="CP14" i="6"/>
  <c r="CG14" i="6"/>
  <c r="CR14" i="6"/>
  <c r="CS27" i="6"/>
  <c r="CG27" i="6"/>
  <c r="CT27" i="6"/>
  <c r="CP27" i="6"/>
  <c r="CE34" i="6"/>
  <c r="CK20" i="7"/>
  <c r="CE27" i="6"/>
  <c r="CM90" i="2"/>
  <c r="Y21" i="6"/>
  <c r="D140" i="17"/>
  <c r="CK91" i="2"/>
  <c r="K138" i="17"/>
  <c r="K139" i="17"/>
  <c r="CC91" i="2"/>
  <c r="CC94" i="2"/>
  <c r="BD40" i="5"/>
  <c r="CP38" i="5"/>
  <c r="CN42" i="5"/>
  <c r="BL27" i="5"/>
  <c r="BH38" i="5"/>
  <c r="BH42" i="5"/>
  <c r="CN38" i="5"/>
  <c r="BD38" i="5"/>
  <c r="BE42" i="5"/>
  <c r="BF38" i="5"/>
  <c r="BF39" i="5"/>
  <c r="CR37" i="5"/>
  <c r="CX14" i="5"/>
  <c r="CR38" i="5"/>
  <c r="BF42" i="5"/>
  <c r="BF37" i="5"/>
  <c r="CM38" i="5"/>
  <c r="BG39" i="5"/>
  <c r="BG40" i="5"/>
  <c r="BE39" i="5"/>
  <c r="BG42" i="5"/>
  <c r="CQ39" i="5"/>
  <c r="CM39" i="5"/>
  <c r="CQ40" i="5"/>
  <c r="CQ42" i="5"/>
  <c r="BK18" i="5"/>
  <c r="BC42" i="5"/>
  <c r="BD37" i="5"/>
  <c r="CM37" i="5"/>
  <c r="BE34" i="5"/>
  <c r="BD36" i="5"/>
  <c r="BH40" i="5"/>
  <c r="CQ37" i="5"/>
  <c r="CO37" i="5"/>
  <c r="BE37" i="5"/>
  <c r="CN34" i="5"/>
  <c r="BD34" i="5"/>
  <c r="BG36" i="5"/>
  <c r="CN40" i="5"/>
  <c r="BC40" i="5"/>
  <c r="BH36" i="5"/>
  <c r="CR40" i="5"/>
  <c r="BC37" i="5"/>
  <c r="CO34" i="5"/>
  <c r="AM35" i="5"/>
  <c r="CM36" i="5"/>
  <c r="BK27" i="5"/>
  <c r="CQ34" i="5"/>
  <c r="CR34" i="5"/>
  <c r="CR36" i="5"/>
  <c r="CN37" i="5"/>
  <c r="BE36" i="5"/>
  <c r="BF40" i="5"/>
  <c r="CK43" i="7"/>
  <c r="CK46" i="7"/>
  <c r="CK31" i="7"/>
  <c r="CK25" i="7"/>
  <c r="BI27" i="5"/>
  <c r="CX16" i="5"/>
  <c r="BL25" i="5"/>
  <c r="CX22" i="5"/>
  <c r="CX13" i="5"/>
  <c r="CW16" i="5"/>
  <c r="BL18" i="5"/>
  <c r="CW22" i="5"/>
  <c r="BK25" i="5"/>
  <c r="BL16" i="5"/>
  <c r="BK20" i="5"/>
  <c r="BI25" i="5"/>
  <c r="CX17" i="5"/>
  <c r="CW21" i="5"/>
  <c r="BK23" i="5"/>
  <c r="BL15" i="5"/>
  <c r="CX20" i="5"/>
  <c r="BK22" i="5"/>
  <c r="BK26" i="5"/>
  <c r="BK15" i="5"/>
  <c r="BI26" i="5"/>
  <c r="CX21" i="5"/>
  <c r="BL23" i="5"/>
  <c r="CX18" i="5"/>
  <c r="BL20" i="5"/>
  <c r="CW20" i="5"/>
  <c r="BL22" i="5"/>
  <c r="BI23" i="5"/>
  <c r="CW18" i="5"/>
  <c r="BL28" i="5"/>
  <c r="CX15" i="5"/>
  <c r="BL17" i="5"/>
  <c r="BF13" i="5"/>
  <c r="BL13" i="5"/>
  <c r="CW19" i="5"/>
  <c r="BL21" i="5"/>
  <c r="CW23" i="5"/>
  <c r="BL26" i="5"/>
  <c r="BK28" i="5"/>
  <c r="BK13" i="5"/>
  <c r="CW15" i="5"/>
  <c r="BK17" i="5"/>
  <c r="BI28" i="5"/>
  <c r="CX19" i="5"/>
  <c r="BK21" i="5"/>
  <c r="CX23" i="5"/>
  <c r="CW13" i="5"/>
  <c r="CW17" i="5"/>
  <c r="V21" i="6"/>
  <c r="CS18" i="6"/>
  <c r="CG18" i="6"/>
  <c r="CI18" i="6"/>
  <c r="CR18" i="6"/>
  <c r="CE18" i="6"/>
  <c r="CR16" i="6"/>
  <c r="CI16" i="6"/>
  <c r="CE16" i="6"/>
  <c r="CH16" i="6"/>
  <c r="CP16" i="6"/>
  <c r="CQ14" i="6"/>
  <c r="CF14" i="6"/>
  <c r="CT14" i="6"/>
  <c r="CH14" i="6"/>
  <c r="CD14" i="6"/>
  <c r="CI12" i="6"/>
  <c r="AC12" i="6" s="1"/>
  <c r="CI26" i="6"/>
  <c r="CH26" i="6"/>
  <c r="CT26" i="6"/>
  <c r="CD26" i="6"/>
  <c r="CS26" i="6"/>
  <c r="CG28" i="6"/>
  <c r="CI28" i="6"/>
  <c r="CR28" i="6"/>
  <c r="CE28" i="6"/>
  <c r="CH28" i="6"/>
  <c r="CT28" i="6"/>
  <c r="CS16" i="6"/>
  <c r="CP65" i="2"/>
  <c r="BL14" i="5"/>
  <c r="BK14" i="5"/>
  <c r="CD35" i="6"/>
  <c r="CF35" i="6"/>
  <c r="J21" i="6"/>
  <c r="CS14" i="6"/>
  <c r="BK16" i="5"/>
  <c r="CW14" i="5"/>
  <c r="CM42" i="5"/>
  <c r="BD42" i="5"/>
  <c r="BC39" i="5"/>
  <c r="CN39" i="5"/>
  <c r="CF22" i="10"/>
  <c r="CJ22" i="10"/>
  <c r="CT22" i="10"/>
  <c r="CG22" i="10"/>
  <c r="CD90" i="2"/>
  <c r="CK90" i="2"/>
  <c r="CL92" i="2"/>
  <c r="CD94" i="2"/>
  <c r="CK94" i="2"/>
  <c r="CN90" i="2"/>
  <c r="CB92" i="2"/>
  <c r="L92" i="2" s="1"/>
  <c r="CN94" i="2"/>
  <c r="B220" i="17" l="1"/>
  <c r="B163" i="2"/>
  <c r="F7" i="12" s="1"/>
  <c r="AC35" i="6"/>
  <c r="B40" i="18"/>
  <c r="F17" i="12" s="1"/>
  <c r="B105" i="16"/>
  <c r="CS35" i="4"/>
  <c r="AC34" i="6"/>
  <c r="CH37" i="4"/>
  <c r="AT37" i="4" s="1"/>
  <c r="AZ45" i="7"/>
  <c r="B106" i="16"/>
  <c r="L93" i="2"/>
  <c r="CG35" i="4"/>
  <c r="AT35" i="4" s="1"/>
  <c r="AZ32" i="7"/>
  <c r="S18" i="16"/>
  <c r="S22" i="16"/>
  <c r="S29" i="16"/>
  <c r="S37" i="16"/>
  <c r="AZ41" i="7"/>
  <c r="B87" i="4"/>
  <c r="F9" i="12" s="1"/>
  <c r="CH36" i="4"/>
  <c r="CG36" i="4"/>
  <c r="B164" i="2"/>
  <c r="AZ89" i="7"/>
  <c r="CK21" i="7"/>
  <c r="B137" i="7"/>
  <c r="AC13" i="6"/>
  <c r="AC14" i="6"/>
  <c r="AC37" i="6"/>
  <c r="AC36" i="6"/>
  <c r="AC19" i="6"/>
  <c r="AC18" i="6"/>
  <c r="AC17" i="6"/>
  <c r="AC16" i="6"/>
  <c r="DW84" i="7"/>
  <c r="DU84" i="7"/>
  <c r="CW84" i="7"/>
  <c r="DV84" i="7"/>
  <c r="CV84" i="7"/>
  <c r="CK84" i="7"/>
  <c r="DH84" i="7"/>
  <c r="CJ84" i="7"/>
  <c r="DJ84" i="7"/>
  <c r="CI84" i="7"/>
  <c r="DI84" i="7"/>
  <c r="CU84" i="7"/>
  <c r="CB17" i="4"/>
  <c r="CJ17" i="4"/>
  <c r="S51" i="16"/>
  <c r="S39" i="16"/>
  <c r="DV78" i="7"/>
  <c r="DW78" i="7"/>
  <c r="DJ78" i="7"/>
  <c r="CI78" i="7"/>
  <c r="DH78" i="7"/>
  <c r="DU78" i="7"/>
  <c r="CW78" i="7"/>
  <c r="CV78" i="7"/>
  <c r="CU78" i="7"/>
  <c r="CK78" i="7"/>
  <c r="CJ78" i="7"/>
  <c r="DI78" i="7"/>
  <c r="DJ73" i="7"/>
  <c r="DH73" i="7"/>
  <c r="CV73" i="7"/>
  <c r="DV73" i="7"/>
  <c r="DU73" i="7"/>
  <c r="CW73" i="7"/>
  <c r="CU73" i="7"/>
  <c r="DW73" i="7"/>
  <c r="CK73" i="7"/>
  <c r="DI73" i="7"/>
  <c r="CJ73" i="7"/>
  <c r="CI73" i="7"/>
  <c r="DW104" i="7"/>
  <c r="DV104" i="7"/>
  <c r="DI104" i="7"/>
  <c r="CV104" i="7"/>
  <c r="DH104" i="7"/>
  <c r="DJ104" i="7"/>
  <c r="DU104" i="7"/>
  <c r="CU104" i="7"/>
  <c r="CW104" i="7"/>
  <c r="CI104" i="7"/>
  <c r="CK104" i="7"/>
  <c r="CJ104" i="7"/>
  <c r="CB13" i="4"/>
  <c r="CJ13" i="4"/>
  <c r="S17" i="16"/>
  <c r="S14" i="16"/>
  <c r="S81" i="16"/>
  <c r="DJ77" i="7"/>
  <c r="DH77" i="7"/>
  <c r="DV77" i="7"/>
  <c r="DI77" i="7"/>
  <c r="CV77" i="7"/>
  <c r="DW77" i="7"/>
  <c r="DU77" i="7"/>
  <c r="CK77" i="7"/>
  <c r="CJ77" i="7"/>
  <c r="CI77" i="7"/>
  <c r="CW77" i="7"/>
  <c r="CU77" i="7"/>
  <c r="DU87" i="7"/>
  <c r="DI87" i="7"/>
  <c r="CJ87" i="7"/>
  <c r="DW87" i="7"/>
  <c r="CW87" i="7"/>
  <c r="DV87" i="7"/>
  <c r="CV87" i="7"/>
  <c r="CK87" i="7"/>
  <c r="CU87" i="7"/>
  <c r="CI87" i="7"/>
  <c r="DJ87" i="7"/>
  <c r="DH87" i="7"/>
  <c r="CB16" i="4"/>
  <c r="CJ16" i="4"/>
  <c r="S30" i="16"/>
  <c r="S28" i="16"/>
  <c r="S36" i="16"/>
  <c r="DU109" i="7"/>
  <c r="DJ109" i="7"/>
  <c r="DI109" i="7"/>
  <c r="CK109" i="7"/>
  <c r="CI109" i="7"/>
  <c r="DV109" i="7"/>
  <c r="DH109" i="7"/>
  <c r="CU109" i="7"/>
  <c r="CJ109" i="7"/>
  <c r="DW109" i="7"/>
  <c r="CV109" i="7"/>
  <c r="CW109" i="7"/>
  <c r="DU88" i="7"/>
  <c r="DI88" i="7"/>
  <c r="DW88" i="7"/>
  <c r="DH88" i="7"/>
  <c r="DV88" i="7"/>
  <c r="CK88" i="7"/>
  <c r="CW88" i="7"/>
  <c r="CU88" i="7"/>
  <c r="CV88" i="7"/>
  <c r="CJ88" i="7"/>
  <c r="DJ88" i="7"/>
  <c r="CI88" i="7"/>
  <c r="L94" i="2"/>
  <c r="DI83" i="7"/>
  <c r="CU83" i="7"/>
  <c r="DW83" i="7"/>
  <c r="CJ83" i="7"/>
  <c r="DJ83" i="7"/>
  <c r="DH83" i="7"/>
  <c r="CW83" i="7"/>
  <c r="CK83" i="7"/>
  <c r="DV83" i="7"/>
  <c r="CV83" i="7"/>
  <c r="CI83" i="7"/>
  <c r="DU83" i="7"/>
  <c r="L90" i="2"/>
  <c r="S33" i="16"/>
  <c r="DV80" i="7"/>
  <c r="CI80" i="7"/>
  <c r="DW80" i="7"/>
  <c r="DJ80" i="7"/>
  <c r="DH80" i="7"/>
  <c r="DU80" i="7"/>
  <c r="CW80" i="7"/>
  <c r="CV80" i="7"/>
  <c r="CK80" i="7"/>
  <c r="CU80" i="7"/>
  <c r="CJ80" i="7"/>
  <c r="DI80" i="7"/>
  <c r="AZ17" i="7"/>
  <c r="S76" i="16"/>
  <c r="S35" i="16"/>
  <c r="AZ72" i="7"/>
  <c r="DJ79" i="7"/>
  <c r="DH79" i="7"/>
  <c r="CV79" i="7"/>
  <c r="DV79" i="7"/>
  <c r="DI79" i="7"/>
  <c r="CU79" i="7"/>
  <c r="CK79" i="7"/>
  <c r="CJ79" i="7"/>
  <c r="DW79" i="7"/>
  <c r="DU79" i="7"/>
  <c r="CW79" i="7"/>
  <c r="CI79" i="7"/>
  <c r="S73" i="16"/>
  <c r="S13" i="16"/>
  <c r="S80" i="16"/>
  <c r="AZ111" i="7"/>
  <c r="AZ99" i="7"/>
  <c r="DW98" i="7"/>
  <c r="DI98" i="7"/>
  <c r="DU98" i="7"/>
  <c r="DV98" i="7"/>
  <c r="CW98" i="7"/>
  <c r="CK98" i="7"/>
  <c r="CV98" i="7"/>
  <c r="CJ98" i="7"/>
  <c r="CU98" i="7"/>
  <c r="CI98" i="7"/>
  <c r="DH98" i="7"/>
  <c r="DJ98" i="7"/>
  <c r="DU103" i="7"/>
  <c r="DI103" i="7"/>
  <c r="CK103" i="7"/>
  <c r="CI103" i="7"/>
  <c r="DJ103" i="7"/>
  <c r="CJ103" i="7"/>
  <c r="CW103" i="7"/>
  <c r="CV103" i="7"/>
  <c r="DW103" i="7"/>
  <c r="CU103" i="7"/>
  <c r="DV103" i="7"/>
  <c r="DH103" i="7"/>
  <c r="CB14" i="4"/>
  <c r="CJ14" i="4"/>
  <c r="L91" i="2"/>
  <c r="CK15" i="7"/>
  <c r="DU97" i="7"/>
  <c r="DI97" i="7"/>
  <c r="CK97" i="7"/>
  <c r="CI97" i="7"/>
  <c r="DH97" i="7"/>
  <c r="CV97" i="7"/>
  <c r="CU97" i="7"/>
  <c r="DW97" i="7"/>
  <c r="DV97" i="7"/>
  <c r="CW97" i="7"/>
  <c r="DJ97" i="7"/>
  <c r="CJ97" i="7"/>
  <c r="S21" i="16"/>
  <c r="S75" i="16"/>
  <c r="S15" i="16"/>
  <c r="S27" i="16"/>
  <c r="S77" i="16"/>
  <c r="S25" i="16"/>
  <c r="S32" i="16"/>
  <c r="N65" i="2"/>
  <c r="DI102" i="7"/>
  <c r="CV102" i="7"/>
  <c r="DW102" i="7"/>
  <c r="DU102" i="7"/>
  <c r="DH102" i="7"/>
  <c r="CW102" i="7"/>
  <c r="CK102" i="7"/>
  <c r="DJ102" i="7"/>
  <c r="CJ102" i="7"/>
  <c r="DV102" i="7"/>
  <c r="CI102" i="7"/>
  <c r="CU102" i="7"/>
  <c r="S50" i="16"/>
  <c r="S34" i="16"/>
  <c r="DU90" i="7"/>
  <c r="DI90" i="7"/>
  <c r="CV90" i="7"/>
  <c r="CK90" i="7"/>
  <c r="DW90" i="7"/>
  <c r="DH90" i="7"/>
  <c r="CW90" i="7"/>
  <c r="CJ90" i="7"/>
  <c r="CU90" i="7"/>
  <c r="DJ90" i="7"/>
  <c r="DV90" i="7"/>
  <c r="CI90" i="7"/>
  <c r="DV74" i="7"/>
  <c r="CI74" i="7"/>
  <c r="CW74" i="7"/>
  <c r="DJ74" i="7"/>
  <c r="CU74" i="7"/>
  <c r="CK74" i="7"/>
  <c r="DI74" i="7"/>
  <c r="CJ74" i="7"/>
  <c r="DW74" i="7"/>
  <c r="DH74" i="7"/>
  <c r="CV74" i="7"/>
  <c r="DU74" i="7"/>
  <c r="DW82" i="7"/>
  <c r="DU82" i="7"/>
  <c r="DV82" i="7"/>
  <c r="DI82" i="7"/>
  <c r="CW82" i="7"/>
  <c r="CV82" i="7"/>
  <c r="CK82" i="7"/>
  <c r="CU82" i="7"/>
  <c r="CJ82" i="7"/>
  <c r="CI82" i="7"/>
  <c r="DJ82" i="7"/>
  <c r="DH82" i="7"/>
  <c r="S74" i="16"/>
  <c r="S20" i="16"/>
  <c r="S47" i="16"/>
  <c r="S24" i="16"/>
  <c r="CC62" i="4"/>
  <c r="AO62" i="4" s="1"/>
  <c r="CB15" i="4"/>
  <c r="CG34" i="4"/>
  <c r="CH40" i="4"/>
  <c r="AT40" i="4" s="1"/>
  <c r="U44" i="17"/>
  <c r="DJ20" i="7"/>
  <c r="DV20" i="7"/>
  <c r="DU20" i="7"/>
  <c r="DW20" i="7"/>
  <c r="DJ42" i="7"/>
  <c r="DW42" i="7"/>
  <c r="DV42" i="7"/>
  <c r="DU42" i="7"/>
  <c r="DJ26" i="7"/>
  <c r="DW26" i="7"/>
  <c r="DV26" i="7"/>
  <c r="DU26" i="7"/>
  <c r="DJ16" i="7"/>
  <c r="DU16" i="7"/>
  <c r="DV16" i="7"/>
  <c r="DW16" i="7"/>
  <c r="DJ25" i="7"/>
  <c r="DU25" i="7"/>
  <c r="DV25" i="7"/>
  <c r="DW25" i="7"/>
  <c r="DJ43" i="7"/>
  <c r="DW43" i="7"/>
  <c r="DU43" i="7"/>
  <c r="DV43" i="7"/>
  <c r="DJ34" i="7"/>
  <c r="DW34" i="7"/>
  <c r="DV34" i="7"/>
  <c r="DU34" i="7"/>
  <c r="DJ40" i="7"/>
  <c r="DV40" i="7"/>
  <c r="DW40" i="7"/>
  <c r="DU40" i="7"/>
  <c r="DJ22" i="7"/>
  <c r="DV22" i="7"/>
  <c r="DU22" i="7"/>
  <c r="DW22" i="7"/>
  <c r="DJ30" i="7"/>
  <c r="DW30" i="7"/>
  <c r="DV30" i="7"/>
  <c r="DU30" i="7"/>
  <c r="DJ33" i="7"/>
  <c r="DU33" i="7"/>
  <c r="DV33" i="7"/>
  <c r="DW33" i="7"/>
  <c r="DJ21" i="7"/>
  <c r="DW21" i="7"/>
  <c r="DU21" i="7"/>
  <c r="DV21" i="7"/>
  <c r="DJ47" i="7"/>
  <c r="DW47" i="7"/>
  <c r="DU47" i="7"/>
  <c r="DV47" i="7"/>
  <c r="DW15" i="7"/>
  <c r="DV15" i="7"/>
  <c r="DU15" i="7"/>
  <c r="DJ31" i="7"/>
  <c r="DW31" i="7"/>
  <c r="DU31" i="7"/>
  <c r="DV31" i="7"/>
  <c r="DJ23" i="7"/>
  <c r="DW23" i="7"/>
  <c r="DV23" i="7"/>
  <c r="DU23" i="7"/>
  <c r="DJ27" i="7"/>
  <c r="DW27" i="7"/>
  <c r="DV27" i="7"/>
  <c r="DU27" i="7"/>
  <c r="DJ46" i="7"/>
  <c r="DW46" i="7"/>
  <c r="DV46" i="7"/>
  <c r="DU46" i="7"/>
  <c r="DJ54" i="7"/>
  <c r="DW54" i="7"/>
  <c r="DV54" i="7"/>
  <c r="DU54" i="7"/>
  <c r="DJ15" i="7"/>
  <c r="CW33" i="7"/>
  <c r="CV33" i="7"/>
  <c r="CU33" i="7"/>
  <c r="CV42" i="7"/>
  <c r="CU42" i="7"/>
  <c r="CW42" i="7"/>
  <c r="CU26" i="7"/>
  <c r="CW26" i="7"/>
  <c r="CV26" i="7"/>
  <c r="CW16" i="7"/>
  <c r="CV16" i="7"/>
  <c r="CU16" i="7"/>
  <c r="CV40" i="7"/>
  <c r="CW40" i="7"/>
  <c r="CU40" i="7"/>
  <c r="CV20" i="7"/>
  <c r="CU20" i="7"/>
  <c r="CW20" i="7"/>
  <c r="CW25" i="7"/>
  <c r="CV25" i="7"/>
  <c r="CU25" i="7"/>
  <c r="CW43" i="7"/>
  <c r="CV43" i="7"/>
  <c r="CU43" i="7"/>
  <c r="CU34" i="7"/>
  <c r="CW34" i="7"/>
  <c r="CV34" i="7"/>
  <c r="CU30" i="7"/>
  <c r="CW30" i="7"/>
  <c r="CV30" i="7"/>
  <c r="CU21" i="7"/>
  <c r="CW21" i="7"/>
  <c r="CV21" i="7"/>
  <c r="CW47" i="7"/>
  <c r="CV47" i="7"/>
  <c r="CU47" i="7"/>
  <c r="CV15" i="7"/>
  <c r="CW15" i="7"/>
  <c r="CU15" i="7"/>
  <c r="CV22" i="7"/>
  <c r="CU22" i="7"/>
  <c r="CW22" i="7"/>
  <c r="CV31" i="7"/>
  <c r="CU31" i="7"/>
  <c r="CW31" i="7"/>
  <c r="CW23" i="7"/>
  <c r="CV23" i="7"/>
  <c r="CU23" i="7"/>
  <c r="CV27" i="7"/>
  <c r="CU27" i="7"/>
  <c r="CW27" i="7"/>
  <c r="CU46" i="7"/>
  <c r="CV46" i="7"/>
  <c r="CW46" i="7"/>
  <c r="CV54" i="7"/>
  <c r="CW54" i="7"/>
  <c r="CU54" i="7"/>
  <c r="BF25" i="18"/>
  <c r="BG25" i="18"/>
  <c r="BV25" i="18"/>
  <c r="BU25" i="18"/>
  <c r="BG22" i="18"/>
  <c r="BU22" i="18"/>
  <c r="BF22" i="18"/>
  <c r="BV22" i="18"/>
  <c r="BG23" i="18"/>
  <c r="BU23" i="18"/>
  <c r="BF23" i="18"/>
  <c r="BV23" i="18"/>
  <c r="BV24" i="18"/>
  <c r="BG24" i="18"/>
  <c r="BU24" i="18"/>
  <c r="BF24" i="18"/>
  <c r="AC27" i="6"/>
  <c r="CJ31" i="7"/>
  <c r="DI31" i="7"/>
  <c r="CI31" i="7"/>
  <c r="DH31" i="7"/>
  <c r="DH54" i="7"/>
  <c r="DI54" i="7"/>
  <c r="CJ54" i="7"/>
  <c r="CI54" i="7"/>
  <c r="DH21" i="7"/>
  <c r="DI21" i="7"/>
  <c r="CJ21" i="7"/>
  <c r="CI21" i="7"/>
  <c r="DI42" i="7"/>
  <c r="CI42" i="7"/>
  <c r="DH42" i="7"/>
  <c r="CJ42" i="7"/>
  <c r="AT20" i="4"/>
  <c r="DH20" i="7"/>
  <c r="CJ20" i="7"/>
  <c r="CI20" i="7"/>
  <c r="DI20" i="7"/>
  <c r="DI26" i="7"/>
  <c r="CJ26" i="7"/>
  <c r="CI26" i="7"/>
  <c r="DH26" i="7"/>
  <c r="DH15" i="7"/>
  <c r="CI15" i="7"/>
  <c r="DI15" i="7"/>
  <c r="CJ15" i="7"/>
  <c r="DI27" i="7"/>
  <c r="DH27" i="7"/>
  <c r="CJ27" i="7"/>
  <c r="CI27" i="7"/>
  <c r="DI25" i="7"/>
  <c r="CI25" i="7"/>
  <c r="CJ25" i="7"/>
  <c r="DH25" i="7"/>
  <c r="CJ62" i="4"/>
  <c r="DI40" i="7"/>
  <c r="DH40" i="7"/>
  <c r="CJ40" i="7"/>
  <c r="CI40" i="7"/>
  <c r="AZ40" i="7" s="1"/>
  <c r="DH47" i="7"/>
  <c r="CJ47" i="7"/>
  <c r="CI47" i="7"/>
  <c r="DI47" i="7"/>
  <c r="DH23" i="7"/>
  <c r="CJ23" i="7"/>
  <c r="CI23" i="7"/>
  <c r="DI23" i="7"/>
  <c r="DH16" i="7"/>
  <c r="CJ16" i="7"/>
  <c r="CI16" i="7"/>
  <c r="DI16" i="7"/>
  <c r="DH46" i="7"/>
  <c r="CI46" i="7"/>
  <c r="CJ46" i="7"/>
  <c r="DI46" i="7"/>
  <c r="DH33" i="7"/>
  <c r="CJ33" i="7"/>
  <c r="DI33" i="7"/>
  <c r="CI33" i="7"/>
  <c r="CJ43" i="7"/>
  <c r="CI43" i="7"/>
  <c r="DI43" i="7"/>
  <c r="DH43" i="7"/>
  <c r="DH22" i="7"/>
  <c r="DI22" i="7"/>
  <c r="CJ22" i="7"/>
  <c r="CI22" i="7"/>
  <c r="CJ34" i="7"/>
  <c r="DI34" i="7"/>
  <c r="CI34" i="7"/>
  <c r="DH34" i="7"/>
  <c r="DI30" i="7"/>
  <c r="CJ30" i="7"/>
  <c r="CI30" i="7"/>
  <c r="DH30" i="7"/>
  <c r="V26" i="18"/>
  <c r="AC28" i="6"/>
  <c r="P109" i="17"/>
  <c r="AC26" i="6"/>
  <c r="D20" i="6"/>
  <c r="B100" i="5"/>
  <c r="D40" i="16"/>
  <c r="D38" i="6"/>
  <c r="D29" i="5"/>
  <c r="D72" i="17"/>
  <c r="F21" i="6"/>
  <c r="E21" i="6"/>
  <c r="BT24" i="18"/>
  <c r="BE24" i="18" s="1"/>
  <c r="BS24" i="18"/>
  <c r="BD24" i="18" s="1"/>
  <c r="BR25" i="18"/>
  <c r="BC25" i="18" s="1"/>
  <c r="BS25" i="18"/>
  <c r="BD25" i="18" s="1"/>
  <c r="BT25" i="18"/>
  <c r="BE25" i="18" s="1"/>
  <c r="BT23" i="18"/>
  <c r="BE23" i="18" s="1"/>
  <c r="BS23" i="18"/>
  <c r="BD23" i="18" s="1"/>
  <c r="BR22" i="18"/>
  <c r="BC22" i="18" s="1"/>
  <c r="BT22" i="18"/>
  <c r="BE22" i="18" s="1"/>
  <c r="BS22" i="18"/>
  <c r="BD22" i="18" s="1"/>
  <c r="BS15" i="18"/>
  <c r="BD15" i="18" s="1"/>
  <c r="BT15" i="18"/>
  <c r="BE15" i="18" s="1"/>
  <c r="T16" i="18"/>
  <c r="D51" i="17"/>
  <c r="D15" i="6"/>
  <c r="D55" i="17"/>
  <c r="D29" i="6"/>
  <c r="D48" i="17"/>
  <c r="BQ25" i="18"/>
  <c r="BB25" i="18" s="1"/>
  <c r="D17" i="17"/>
  <c r="D70" i="17"/>
  <c r="AM38" i="5"/>
  <c r="D26" i="17"/>
  <c r="D58" i="17"/>
  <c r="D36" i="17"/>
  <c r="D63" i="17"/>
  <c r="D23" i="17"/>
  <c r="D20" i="17"/>
  <c r="D14" i="17"/>
  <c r="BQ22" i="18"/>
  <c r="BB22" i="18" s="1"/>
  <c r="BR23" i="18"/>
  <c r="BC23" i="18" s="1"/>
  <c r="BQ23" i="18"/>
  <c r="BB23" i="18" s="1"/>
  <c r="BR21" i="18"/>
  <c r="BC21" i="18" s="1"/>
  <c r="BQ21" i="18"/>
  <c r="BB21" i="18" s="1"/>
  <c r="BR24" i="18"/>
  <c r="BC24" i="18" s="1"/>
  <c r="BQ24" i="18"/>
  <c r="BB24" i="18" s="1"/>
  <c r="BQ15" i="18"/>
  <c r="BR15" i="18"/>
  <c r="BC15" i="18" s="1"/>
  <c r="CP14" i="10"/>
  <c r="CG14" i="10"/>
  <c r="CR14" i="10"/>
  <c r="CL14" i="10"/>
  <c r="CQ14" i="10"/>
  <c r="AN18" i="5"/>
  <c r="AM37" i="5"/>
  <c r="AM40" i="5"/>
  <c r="AM34" i="5"/>
  <c r="CS28" i="5"/>
  <c r="AM39" i="5"/>
  <c r="CS26" i="5"/>
  <c r="AM42" i="5"/>
  <c r="AN27" i="5"/>
  <c r="AM36" i="5"/>
  <c r="CK14" i="10"/>
  <c r="CF14" i="10"/>
  <c r="F15" i="12"/>
  <c r="CE14" i="10"/>
  <c r="CJ14" i="10"/>
  <c r="CI22" i="10"/>
  <c r="AN21" i="5"/>
  <c r="CS27" i="5"/>
  <c r="AN25" i="5"/>
  <c r="CS25" i="5"/>
  <c r="AN15" i="5"/>
  <c r="AN17" i="5"/>
  <c r="AN20" i="5"/>
  <c r="CS23" i="5"/>
  <c r="AN23" i="5"/>
  <c r="BI22" i="5"/>
  <c r="AN22" i="5" s="1"/>
  <c r="AN16" i="5"/>
  <c r="AN26" i="5"/>
  <c r="AN28" i="5"/>
  <c r="AN19" i="5"/>
  <c r="AN14" i="5"/>
  <c r="B34" i="10" l="1"/>
  <c r="AZ97" i="7"/>
  <c r="AZ103" i="7"/>
  <c r="AZ31" i="7"/>
  <c r="AZ46" i="7"/>
  <c r="CS13" i="5"/>
  <c r="B101" i="5" s="1"/>
  <c r="B88" i="4"/>
  <c r="D9" i="12" s="1"/>
  <c r="AZ42" i="7"/>
  <c r="AZ87" i="7"/>
  <c r="CU48" i="6"/>
  <c r="CC48" i="6"/>
  <c r="AC48" i="6" s="1"/>
  <c r="AZ23" i="7"/>
  <c r="B41" i="18"/>
  <c r="D17" i="12" s="1"/>
  <c r="B219" i="17"/>
  <c r="F8" i="12" s="1"/>
  <c r="AZ98" i="7"/>
  <c r="AZ73" i="7"/>
  <c r="B138" i="7"/>
  <c r="D12" i="12" s="1"/>
  <c r="AZ21" i="7"/>
  <c r="CX55" i="6"/>
  <c r="AZ83" i="7"/>
  <c r="AZ25" i="7"/>
  <c r="AZ109" i="7"/>
  <c r="AZ84" i="7"/>
  <c r="AZ74" i="7"/>
  <c r="AZ34" i="7"/>
  <c r="AZ16" i="7"/>
  <c r="AZ15" i="7"/>
  <c r="AZ20" i="7"/>
  <c r="CC55" i="6"/>
  <c r="AC55" i="6" s="1"/>
  <c r="AZ80" i="7"/>
  <c r="AZ27" i="7"/>
  <c r="AZ54" i="7"/>
  <c r="AZ82" i="7"/>
  <c r="AZ90" i="7"/>
  <c r="AZ102" i="7"/>
  <c r="AZ77" i="7"/>
  <c r="AZ43" i="7"/>
  <c r="AZ47" i="7"/>
  <c r="AZ104" i="7"/>
  <c r="AZ78" i="7"/>
  <c r="AZ33" i="7"/>
  <c r="AZ30" i="7"/>
  <c r="AZ22" i="7"/>
  <c r="AZ26" i="7"/>
  <c r="AZ79" i="7"/>
  <c r="AZ88" i="7"/>
  <c r="AZ14" i="10"/>
  <c r="F10" i="12"/>
  <c r="V21" i="18"/>
  <c r="D14" i="12"/>
  <c r="AT21" i="4"/>
  <c r="D15" i="12"/>
  <c r="AT14" i="4"/>
  <c r="AT29" i="4"/>
  <c r="AT28" i="4"/>
  <c r="AT30" i="4"/>
  <c r="AT32" i="4"/>
  <c r="AT33" i="4"/>
  <c r="F14" i="12"/>
  <c r="AT34" i="4"/>
  <c r="AT16" i="4"/>
  <c r="AT22" i="4"/>
  <c r="AT24" i="4"/>
  <c r="AT31" i="4"/>
  <c r="AT36" i="4"/>
  <c r="AT17" i="4"/>
  <c r="AT27" i="4"/>
  <c r="AT25" i="4"/>
  <c r="AT13" i="4"/>
  <c r="AT15" i="4"/>
  <c r="AT26" i="4"/>
  <c r="BB15" i="18"/>
  <c r="T15" i="18" s="1"/>
  <c r="V22" i="18"/>
  <c r="V25" i="18"/>
  <c r="V23" i="18"/>
  <c r="V24" i="18"/>
  <c r="D21" i="6"/>
  <c r="T12" i="18"/>
  <c r="BI13" i="5"/>
  <c r="AN13" i="5" s="1"/>
  <c r="AL22" i="10"/>
  <c r="B81" i="6" l="1"/>
  <c r="F11" i="12" s="1"/>
  <c r="CU43" i="6"/>
  <c r="B82" i="6" s="1"/>
  <c r="D10" i="12"/>
  <c r="CC43" i="6"/>
  <c r="AC43" i="6" s="1"/>
  <c r="F12" i="12"/>
  <c r="D7" i="12"/>
  <c r="D11" i="12" l="1"/>
  <c r="AI203" i="17" l="1"/>
  <c r="D8" i="12"/>
  <c r="D19" i="12" s="1"/>
  <c r="B10" i="13" s="1"/>
</calcChain>
</file>

<file path=xl/sharedStrings.xml><?xml version="1.0" encoding="utf-8"?>
<sst xmlns="http://schemas.openxmlformats.org/spreadsheetml/2006/main" count="19196" uniqueCount="1606">
  <si>
    <t>DATOS DEL ESTABLECIMIENTO</t>
  </si>
  <si>
    <t>CÓDIGOS</t>
  </si>
  <si>
    <t>NOMBRE DE COMUNA</t>
  </si>
  <si>
    <t>DEPENDENCIA</t>
  </si>
  <si>
    <t>MES:</t>
  </si>
  <si>
    <t>AÑO:</t>
  </si>
  <si>
    <t>JUNIO</t>
  </si>
  <si>
    <t>SERVICIO DE SALUD</t>
  </si>
  <si>
    <t>DICIEMBRE</t>
  </si>
  <si>
    <t>MUNICIPAL</t>
  </si>
  <si>
    <t>MINSAL - DEIS</t>
  </si>
  <si>
    <t>ATENCIÓN PRIMARIA DE SALUD</t>
  </si>
  <si>
    <t>MÉTODOS</t>
  </si>
  <si>
    <t>TOTAL</t>
  </si>
  <si>
    <t>GRUPO DE EDAD (en años)</t>
  </si>
  <si>
    <t>Pueblos Originarios</t>
  </si>
  <si>
    <t>Menor 
de 15 años</t>
  </si>
  <si>
    <t>15 a 19 años</t>
  </si>
  <si>
    <t>20 a 24 años</t>
  </si>
  <si>
    <t>25 a 29 años</t>
  </si>
  <si>
    <t>30 a 34 años</t>
  </si>
  <si>
    <t>35 a 39 años</t>
  </si>
  <si>
    <t>40 a 44 años</t>
  </si>
  <si>
    <t>45 a 49 años</t>
  </si>
  <si>
    <t>50 a 54 años</t>
  </si>
  <si>
    <t>HORMONAL</t>
  </si>
  <si>
    <t>Oral Combinado</t>
  </si>
  <si>
    <t>Oral Progestágeno</t>
  </si>
  <si>
    <t>Inyectable Combinado</t>
  </si>
  <si>
    <t>Inyectable Progestágeno</t>
  </si>
  <si>
    <t>Mujer</t>
  </si>
  <si>
    <t>Hombres</t>
  </si>
  <si>
    <t>Mujeres con Retiro de Implante Anticipado en el semestre (antes de los 3 años)</t>
  </si>
  <si>
    <t>GRUPOS DE EDAD</t>
  </si>
  <si>
    <t>TOTAL DE GESTANTES EN CONTROL</t>
  </si>
  <si>
    <t>EN RIESGO 
PSICO-
SOCIAL</t>
  </si>
  <si>
    <t>QUE PRESENTAN VIOLENCIA DE GÉNERO</t>
  </si>
  <si>
    <t>Menos de 15 años</t>
  </si>
  <si>
    <t>N° VDI</t>
  </si>
  <si>
    <t>N° Gestantes 
con VDI</t>
  </si>
  <si>
    <t>TOTAL de Visitas</t>
  </si>
  <si>
    <t>1 Visita</t>
  </si>
  <si>
    <t>2 Visitas</t>
  </si>
  <si>
    <t>3 Visitas</t>
  </si>
  <si>
    <t>POBLACION</t>
  </si>
  <si>
    <t>ESTADO
NUTRICIONAL</t>
  </si>
  <si>
    <t>GRUPOS DE EDAD (en años)</t>
  </si>
  <si>
    <t>Menos 15 años</t>
  </si>
  <si>
    <t>GESTANTES EN CONTROL
(Información a la fecha de corte)</t>
  </si>
  <si>
    <t>OBESA</t>
  </si>
  <si>
    <t>SOBREPESO</t>
  </si>
  <si>
    <t>NORMAL</t>
  </si>
  <si>
    <t>BAJO PESO</t>
  </si>
  <si>
    <t>CONTROL AL 8º MES POST-PARTO
(Información del semestre)</t>
  </si>
  <si>
    <t xml:space="preserve">SECCION E: MUJERES Y GESTANTES EN CONTROL CON CONSULTA NUTRICIONAL </t>
  </si>
  <si>
    <t>MUJERES</t>
  </si>
  <si>
    <t>Gestantes con malnutrición por déficit (bajo peso)</t>
  </si>
  <si>
    <t>Gestantes con malnutrición por exceso - Obesa</t>
  </si>
  <si>
    <t>Gestantes con malnutrición por exceso - Sobrepeso</t>
  </si>
  <si>
    <t>En 3º mes post parto</t>
  </si>
  <si>
    <t>En 6º mes post parto</t>
  </si>
  <si>
    <t xml:space="preserve">SECCION F: MUJERES EN CONTROL DE CLIMATERIO </t>
  </si>
  <si>
    <t>Población</t>
  </si>
  <si>
    <t>45 a 64 años</t>
  </si>
  <si>
    <t>Población en Control</t>
  </si>
  <si>
    <t>Mujeres con pauta aplicada MRS*</t>
  </si>
  <si>
    <t>* MRS: Menopause Rating Scale</t>
  </si>
  <si>
    <t>NIVEL SECUNDARIO</t>
  </si>
  <si>
    <t>PATOLOGÍA</t>
  </si>
  <si>
    <t xml:space="preserve">Preeclampsia (PE) </t>
  </si>
  <si>
    <t>Sindrome Hipertensivo del Embarazo (SHE)</t>
  </si>
  <si>
    <t>Factores de riesgo y condicionantes de Parto Prematuro</t>
  </si>
  <si>
    <t>VIH</t>
  </si>
  <si>
    <t>Cesárea anterior</t>
  </si>
  <si>
    <t>Malformación Congénita</t>
  </si>
  <si>
    <t>Otras patologías del embarazo</t>
  </si>
  <si>
    <t>INDICADOR NUTRICIONAL
Y
PARÁMETROS DE MEDICIÓN</t>
  </si>
  <si>
    <t>GRUPOS DE EDAD (en meses - años) Y SEXO</t>
  </si>
  <si>
    <t>Menor de 1 mes</t>
  </si>
  <si>
    <t>1 mes</t>
  </si>
  <si>
    <t>2 meses</t>
  </si>
  <si>
    <t>3 meses</t>
  </si>
  <si>
    <t>4 meses</t>
  </si>
  <si>
    <t>5 meses</t>
  </si>
  <si>
    <t>6 meses</t>
  </si>
  <si>
    <t>7 a 11 meses</t>
  </si>
  <si>
    <t>12 a 17 meses</t>
  </si>
  <si>
    <t>18 a 23 meses</t>
  </si>
  <si>
    <t>24 a 35 meses</t>
  </si>
  <si>
    <t>36 a 41 meses</t>
  </si>
  <si>
    <t>42 a 47 meses</t>
  </si>
  <si>
    <t>48 a 59 meses</t>
  </si>
  <si>
    <t>60 a 71 meses</t>
  </si>
  <si>
    <t>Ambos
sexos</t>
  </si>
  <si>
    <t>Mujeres</t>
  </si>
  <si>
    <t>TOTAL DE NIÑOS EN CONTROL</t>
  </si>
  <si>
    <t>INDICADOR PESO/EDAD</t>
  </si>
  <si>
    <t>INDICADOR PESO/TALLA</t>
  </si>
  <si>
    <t>INDICADOR TALLA/EDAD</t>
  </si>
  <si>
    <t>DIAGNOSTICO NUTRICIONAL INTEGRADO</t>
  </si>
  <si>
    <t>DESNUTRIDO</t>
  </si>
  <si>
    <t>OBESO</t>
  </si>
  <si>
    <t>SUBTOTAL</t>
  </si>
  <si>
    <t>DESNUTRICIÓN 
SECUNDARIA</t>
  </si>
  <si>
    <t>T O T A L</t>
  </si>
  <si>
    <t>RESULTADO Y
GRUPOS DE EDAD</t>
  </si>
  <si>
    <t>12 a 23 meses</t>
  </si>
  <si>
    <t>RIESGO</t>
  </si>
  <si>
    <t>Menor de 12 meses</t>
  </si>
  <si>
    <t>RETRASO</t>
  </si>
  <si>
    <t>RESULTADO</t>
  </si>
  <si>
    <t>SCORE 
DE RIESGO</t>
  </si>
  <si>
    <t>LEVE</t>
  </si>
  <si>
    <t>MODERADO</t>
  </si>
  <si>
    <t>GRAVE</t>
  </si>
  <si>
    <t>NIÑO/A CON CONSULTA NUTRICIONAL EN</t>
  </si>
  <si>
    <t>EDAD</t>
  </si>
  <si>
    <t>CLASIFICACIÓN</t>
  </si>
  <si>
    <t>GRUPOS DE EDAD (en meses)</t>
  </si>
  <si>
    <t>36 a 47 meses</t>
  </si>
  <si>
    <t>48 a 71 meses</t>
  </si>
  <si>
    <t>6-9 años</t>
  </si>
  <si>
    <t>NORMAL (PA menor al percentil 90)</t>
  </si>
  <si>
    <t>SIN RIESGO</t>
  </si>
  <si>
    <t>CON RIESGO</t>
  </si>
  <si>
    <t>PROGRAMAS</t>
  </si>
  <si>
    <t>GRUPOS DE EDAD (en años) Y SEXO</t>
  </si>
  <si>
    <t>Con espirometría vigente</t>
  </si>
  <si>
    <t>10 a 14 años</t>
  </si>
  <si>
    <t xml:space="preserve">Hombres </t>
  </si>
  <si>
    <t>SÍNDROME BRONQUIAL OBSTRUCTIVA RECURRENTE (SBOR)</t>
  </si>
  <si>
    <t>SEVERO</t>
  </si>
  <si>
    <t>ASMA BRONQUIAL</t>
  </si>
  <si>
    <t>ENFERMEDAD PULMONAR OBSTRUCTIVA CRÓNICA (EPOC)</t>
  </si>
  <si>
    <t>OTRAS RESPIRATORIAS CRONICAS</t>
  </si>
  <si>
    <t>OXIGENO DEPENDIENTE</t>
  </si>
  <si>
    <t xml:space="preserve">FIBROSIS QUÍSTICA </t>
  </si>
  <si>
    <t xml:space="preserve">EPILEPSIA </t>
  </si>
  <si>
    <t xml:space="preserve">ENFERMEDAD DE PARKINSON </t>
  </si>
  <si>
    <t xml:space="preserve">ARTROSIS DE CADERA Y RODILLA </t>
  </si>
  <si>
    <t>ALIVIO DEL DOLOR</t>
  </si>
  <si>
    <t>HIPOTIROIDISMO</t>
  </si>
  <si>
    <t>DEPENDENCIA LEVE</t>
  </si>
  <si>
    <t>DEPENDENCIA MODERADA</t>
  </si>
  <si>
    <t>DEPENDENCIA SEVERA</t>
  </si>
  <si>
    <t>ONCOLÓGICA</t>
  </si>
  <si>
    <t>NO ONCOLÓGICA</t>
  </si>
  <si>
    <t>ATENCIÓN DOMICILIARIA POR DEPENDENCIA SEVERA</t>
  </si>
  <si>
    <t>TOTAL PERSONAS</t>
  </si>
  <si>
    <t>(*) Incluidos en Dependencia Severa Oncológica y NO Oncológica</t>
  </si>
  <si>
    <t>SECCION B: CUIDADORES DE PACIENTES CON DEPENDENCIA SEVERA</t>
  </si>
  <si>
    <t>CONCEPTO</t>
  </si>
  <si>
    <t>NÚMERO DE CUIDADORES</t>
  </si>
  <si>
    <t>SECCION C: POBLACIÓN EN CONTROL EN PROGRAMA DE REHABILITACIÓN PULMONAR EN SALA IRA-ERA</t>
  </si>
  <si>
    <t>PROGRAMA</t>
  </si>
  <si>
    <t>REHABILITACIÓN PULMONAR</t>
  </si>
  <si>
    <t>SECCIÓN A: PROGRAMA SALUD CARDIOVASCULAR (PSCV)</t>
  </si>
  <si>
    <t>Pacientes Diabéticos</t>
  </si>
  <si>
    <t>NUMERO DE PERSONAS EN PSCV</t>
  </si>
  <si>
    <t>CLASIFICACIÓN DEL
RIESGO
CARDIOVASCULAR</t>
  </si>
  <si>
    <t>BAJO</t>
  </si>
  <si>
    <t>PERSONAS BAJO CONTROL SEGÚN PATOLOGÍA Y FACTORES DE RIESGO (EXISTENCIA)</t>
  </si>
  <si>
    <t>SIN ENFERMEDAD RENAL (S/ERC)</t>
  </si>
  <si>
    <t>SECCIÓN B: METAS DE COMPENSACIÓN</t>
  </si>
  <si>
    <t>PERSONAS BAJO CONTROL POR HIPERTENSION</t>
  </si>
  <si>
    <t xml:space="preserve">PA &lt; 140/90 mmHg </t>
  </si>
  <si>
    <t>PERSONAS BAJO CONTROL POR DIABETES MELLITUS</t>
  </si>
  <si>
    <t xml:space="preserve">HbA1C&lt;7% </t>
  </si>
  <si>
    <t>PERSONAS BAJO CONTROL con antecedentes Enfermedad Cardiovascular (ECV)</t>
  </si>
  <si>
    <t>En tratamiento con Estatina</t>
  </si>
  <si>
    <t>SECCIÓN C: VARIABLES DE SEGUIMIENTO DEL PSCV AL CORTE</t>
  </si>
  <si>
    <t>VARIABLES</t>
  </si>
  <si>
    <t>EN TRATAMIENTO CON INSULINA</t>
  </si>
  <si>
    <t>CON HbA1C&gt;= 9 %</t>
  </si>
  <si>
    <t>Riesgo bajo</t>
  </si>
  <si>
    <t xml:space="preserve">Riesgo moderado </t>
  </si>
  <si>
    <t>Riesgo alto</t>
  </si>
  <si>
    <t xml:space="preserve">Riesgo máximo </t>
  </si>
  <si>
    <t>Curación Convencional</t>
  </si>
  <si>
    <t>Curación Avanzada</t>
  </si>
  <si>
    <t>CONDICIÓN DE 
FUNCIONALIDAD</t>
  </si>
  <si>
    <t>65 a 69 años</t>
  </si>
  <si>
    <t>70 a 74 años</t>
  </si>
  <si>
    <t>75 a 79 años</t>
  </si>
  <si>
    <t>AUTOVALENTE SIN RIESGO</t>
  </si>
  <si>
    <t>AUTOVALENTE CON RIESGO</t>
  </si>
  <si>
    <t xml:space="preserve">RIESGO DE DEPENDENCIA </t>
  </si>
  <si>
    <t>SUBTOTAL (EFAM)</t>
  </si>
  <si>
    <t>DEPENDIENTE LEVE</t>
  </si>
  <si>
    <t xml:space="preserve">DEPENDIENTE MODERADO </t>
  </si>
  <si>
    <t xml:space="preserve">DEPENDIENTE GRAVE </t>
  </si>
  <si>
    <t>DEPENDIENTE TOTAL</t>
  </si>
  <si>
    <t>SUBTOTAL (INDICE BARTHEL)</t>
  </si>
  <si>
    <t>SECCION B: POBLACIÓN BAJO CONTROL POR ESTADO NUTRICIONAL</t>
  </si>
  <si>
    <t>ESTADO NUTRICIONAL</t>
  </si>
  <si>
    <t>80 y más años</t>
  </si>
  <si>
    <t xml:space="preserve">TOTAL </t>
  </si>
  <si>
    <t>PERSONAS CON SOSPECHA DE MALTRATO</t>
  </si>
  <si>
    <t xml:space="preserve">PERSONAS EN ACTIVIDAD FÍSICA </t>
  </si>
  <si>
    <t>TIPO DE RIESGO</t>
  </si>
  <si>
    <t>Normal</t>
  </si>
  <si>
    <t>Leve</t>
  </si>
  <si>
    <t>Alto</t>
  </si>
  <si>
    <t>A. ATENCIÓN PRIMARIA</t>
  </si>
  <si>
    <t>SECCION A.1: POBLACIÓN EN CONTROL EN APS AL CORTE</t>
  </si>
  <si>
    <t>Gestantes</t>
  </si>
  <si>
    <t>0 a 4 años</t>
  </si>
  <si>
    <t>5 a 9 años</t>
  </si>
  <si>
    <t>55 a 59 años</t>
  </si>
  <si>
    <t>60 a 64 años</t>
  </si>
  <si>
    <t>NÚMERO DE PERSONAS EN CONTROL EN EL PROGRAMA</t>
  </si>
  <si>
    <t>FACTORES DE RIESGO Y CONDICIONANTES DE LA SALUD MENTAL</t>
  </si>
  <si>
    <t>VICTIMA</t>
  </si>
  <si>
    <t>ABUSO SEXUAL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</si>
  <si>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</si>
  <si>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</si>
  <si>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</si>
  <si>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</si>
  <si>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</si>
  <si>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</si>
  <si>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TRASTORNOS MENTALES Y DEL COMPORTAMIENTO DEBIDO A CONSUMO SUSTANCIAS PSICOTROPICAS</t>
  </si>
  <si>
    <t>TRASTORNOS DEL COMPORTAMIENTO Y DE LAS EMOCIONES DE COMIENZO HABITUAL EN LA INFANCIA Y ADOLESCENCIA</t>
  </si>
  <si>
    <t>TRASTORNO HIPERCINÉTICO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</si>
  <si>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</si>
  <si>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</si>
  <si>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</si>
  <si>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</si>
  <si>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TRASTORNOS DE LA CONDUCTA ALIMENTARIA</t>
  </si>
  <si>
    <t>RETRASO MENTAL</t>
  </si>
  <si>
    <t>TRASTORNO DE PERSONALIDAD</t>
  </si>
  <si>
    <t>TRASTORNO GENERALIZADOS DEL DESARROLLO</t>
  </si>
  <si>
    <t>TIPO</t>
  </si>
  <si>
    <t>RUBRO</t>
  </si>
  <si>
    <t>PROGRAMA DE REHABILITACIÓN TIPO I</t>
  </si>
  <si>
    <t>PROGRAMA DE REHABILITACIÓN TIPO II</t>
  </si>
  <si>
    <t>DEPRESIÓN REFRACTARIA</t>
  </si>
  <si>
    <t>DEPRESIÓN GRAVE CON PSICOSIS</t>
  </si>
  <si>
    <t>SECCION B.2: PROGRAMA DE REHABILITACIÓN EN ESPECIALIDAD (PERSONAS CON TRANSTORNOS PSIQUIÁTRICO)</t>
  </si>
  <si>
    <t>CLASIFICACIÓN DE LAS FAMILIAS POR SECTOR</t>
  </si>
  <si>
    <t>SECTOR 1</t>
  </si>
  <si>
    <t>SECTOR 2</t>
  </si>
  <si>
    <t>SECTOR 3</t>
  </si>
  <si>
    <t>SECTOR 4</t>
  </si>
  <si>
    <t>SECTOR 5</t>
  </si>
  <si>
    <t>SECTOR 6</t>
  </si>
  <si>
    <t>SECTOR 7</t>
  </si>
  <si>
    <t>SECTOR 8</t>
  </si>
  <si>
    <t xml:space="preserve">N° FAMILIAS INSCRITAS </t>
  </si>
  <si>
    <t>2 a 4 años</t>
  </si>
  <si>
    <t>TRANS</t>
  </si>
  <si>
    <t>Menor 1 Año</t>
  </si>
  <si>
    <t>1 año</t>
  </si>
  <si>
    <t>Nº DE PERSONAS / COMERCIO SEXUAL</t>
  </si>
  <si>
    <t>Menor de 25 años</t>
  </si>
  <si>
    <t xml:space="preserve">25 a 29 años </t>
  </si>
  <si>
    <t>(*) FUENTE DE INFORMACIÓN: CITOEXPERT O REVICAN</t>
  </si>
  <si>
    <t>PAP INFORMADOS SEGÚN RESULTADO</t>
  </si>
  <si>
    <t>NORMALES</t>
  </si>
  <si>
    <t>INADECUADOS Y ATIPICOS</t>
  </si>
  <si>
    <t>POSITIVOS</t>
  </si>
  <si>
    <t>INADECUADOS</t>
  </si>
  <si>
    <t>ATIPICOS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</si>
  <si>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</si>
  <si>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</si>
  <si>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</si>
  <si>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</si>
  <si>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</si>
  <si>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</si>
  <si>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35 años</t>
  </si>
  <si>
    <t>35 a 49 años</t>
  </si>
  <si>
    <t>SECCION D: PROGRAMA DE CANCER DE MAMA: NÚMERO DE MUJERES CON EXAMEN FÍSICO DE MAMA (VIGENTE)</t>
  </si>
  <si>
    <t>(*) FUENTE DE INFORMACIÓN: TARJETERO POBLACIONAL DE LA APS</t>
  </si>
  <si>
    <t>A.- DIFERENCIAS ENTRE POBLACIÓN EN CONTROL Y ESTADO NUTRICIONAL</t>
  </si>
  <si>
    <t>B.- DESGLOSE DE POBLACIÓN SEGÚN CONDICIÓN, PATOLOGÍA, SEXO, ETC.</t>
  </si>
  <si>
    <t>REM</t>
  </si>
  <si>
    <t>Nº ERRORES</t>
  </si>
  <si>
    <t>JUSTIFICAR ERRORES (indicar)</t>
  </si>
  <si>
    <t>REM
SIN DATOS</t>
  </si>
  <si>
    <t>CAUSAL</t>
  </si>
  <si>
    <t>OTRA CAUSAL (indicar)</t>
  </si>
  <si>
    <t>HOJA NOMBRE</t>
  </si>
  <si>
    <t>REM P1</t>
  </si>
  <si>
    <t>Licencia médica</t>
  </si>
  <si>
    <t>REM P2</t>
  </si>
  <si>
    <t>Feriado Legal</t>
  </si>
  <si>
    <t>REM P3</t>
  </si>
  <si>
    <t>No hubo profesional</t>
  </si>
  <si>
    <t>REM P4</t>
  </si>
  <si>
    <t>No corresponde REM</t>
  </si>
  <si>
    <t>REM P5</t>
  </si>
  <si>
    <t>Otra causa justificada</t>
  </si>
  <si>
    <t>REM P6</t>
  </si>
  <si>
    <t>REM P7</t>
  </si>
  <si>
    <t>REM P11</t>
  </si>
  <si>
    <t>REM P12</t>
  </si>
  <si>
    <t>Hoja de Macros y Utilidades</t>
  </si>
  <si>
    <t>DESPROTEGER HOJAS</t>
  </si>
  <si>
    <t>PROTEGER HOJAS</t>
  </si>
  <si>
    <t>Contraseña para copia del archivo :DEIS</t>
  </si>
  <si>
    <t>TIPO DE ESTABLECIMIENTO/ESTRATEGIA</t>
  </si>
  <si>
    <t>Establecimiento de Mayor Complejidad (EMAYC)</t>
  </si>
  <si>
    <t>Establecimiento de Mediana Complejidad (EMEDC)</t>
  </si>
  <si>
    <t>Establecimiento de Menor Complejidad (EMENC)</t>
  </si>
  <si>
    <t>Centro de Referencia de Salud (CRS)</t>
  </si>
  <si>
    <t>Posta de Salud Rural (PSR)</t>
  </si>
  <si>
    <t>Consultorio General Urbano (CGU)</t>
  </si>
  <si>
    <t>Consultorio General Rural (CGR)</t>
  </si>
  <si>
    <t>Centro Comunitario de Salud Familiar (CECOF)</t>
  </si>
  <si>
    <t>Consultorio de Salud Mental (COSAM)</t>
  </si>
  <si>
    <t>Programa de Reparación y Atención Integral de Salud (PRAIS)</t>
  </si>
  <si>
    <t>Consultorio General Urbano (CGU) - CESFAM</t>
  </si>
  <si>
    <t>Consultorio General Rural (CGR) - CESFAM</t>
  </si>
  <si>
    <t>Dirección Servicio de Salud (DSS)</t>
  </si>
  <si>
    <t>Centro de Atención Funcionarios (CAF)</t>
  </si>
  <si>
    <t>CON RAZON ALBÚMINA CREATININA (RAC),VIGENTE</t>
  </si>
  <si>
    <t>CON FONDO DE OJO, VIGENTE</t>
  </si>
  <si>
    <t>20 - 24</t>
  </si>
  <si>
    <t>datos</t>
  </si>
  <si>
    <t>errores</t>
  </si>
  <si>
    <t>Del 5to mes</t>
  </si>
  <si>
    <t>De los 3 años y 6 meses</t>
  </si>
  <si>
    <t>Diada, menor de 10 días</t>
  </si>
  <si>
    <t>ALTO</t>
  </si>
  <si>
    <t>SECCION D: NIVEL DE CONTROL DE POBLACION RESPIRATORIA CRONICA</t>
  </si>
  <si>
    <t>Controlado</t>
  </si>
  <si>
    <t>Parcialmente Controlado</t>
  </si>
  <si>
    <t>No Controlado</t>
  </si>
  <si>
    <t>No evaluada</t>
  </si>
  <si>
    <t>Logra Control Adecuado</t>
  </si>
  <si>
    <t>No Logra Control Adecuado</t>
  </si>
  <si>
    <t xml:space="preserve">15 - 19 </t>
  </si>
  <si>
    <t>25 - 29</t>
  </si>
  <si>
    <t>30 - 34</t>
  </si>
  <si>
    <t>35 - 39</t>
  </si>
  <si>
    <t>40 - 44</t>
  </si>
  <si>
    <t>45 - 49</t>
  </si>
  <si>
    <t>50 - 54</t>
  </si>
  <si>
    <t>SECCION A.1: EXISTENCIA DE POBLACIÓN EN CONTROL EN PROGRAMA "MÁS ADULTOS MAYORES AUTOVALENTES" POR CONDICIÓN DE FUNCIONALIDAD</t>
  </si>
  <si>
    <t>TOTAL (EFAM)</t>
  </si>
  <si>
    <t xml:space="preserve">PERSONAS CON DIAGNOSTICOS DE TRASTORNOS MENTALES </t>
  </si>
  <si>
    <t>TABAQUISMO ≥ 55 AÑOS</t>
  </si>
  <si>
    <t>ANTECEDENTES DE INFARTO AGUDO AL MIOCARDIO (IAM)</t>
  </si>
  <si>
    <t>HbA1C&lt;7% - PA &lt; 140/90mmHg y Colesterol LDL &lt; 100 mg/dl</t>
  </si>
  <si>
    <t>Primer trimestre</t>
  </si>
  <si>
    <t>Diabetes Pre Gestacional</t>
  </si>
  <si>
    <t>Diabetes Gestacional</t>
  </si>
  <si>
    <t>GESTANTES QUE PRESENTAN ARO</t>
  </si>
  <si>
    <t>Anemia</t>
  </si>
  <si>
    <t>Cardiopatías</t>
  </si>
  <si>
    <t>Pielonefritis</t>
  </si>
  <si>
    <t>Rh(-) sensibilizada</t>
  </si>
  <si>
    <t>Placenta previa</t>
  </si>
  <si>
    <t>Chagas</t>
  </si>
  <si>
    <t>Colestasia Intrahépatica de Embarazo</t>
  </si>
  <si>
    <t xml:space="preserve">Mujeres con EFM vigente
</t>
  </si>
  <si>
    <t xml:space="preserve">ASISTENCIA VENTILATORIA NO INVASIVA O INVASIVA </t>
  </si>
  <si>
    <t xml:space="preserve">Madre de Hijo menor de 5 años </t>
  </si>
  <si>
    <t>OTRAS</t>
  </si>
  <si>
    <t xml:space="preserve">OTRAS </t>
  </si>
  <si>
    <t>SECCION B: POBLACION EN CONTROL SEGÚN RESULTADO DE EVALUACIÓN DEL DESARROLLO PSICOMOTOR</t>
  </si>
  <si>
    <t>SECCION D: POBLACIÓN EN CONTROL EN EL SEMESTRE CON CONSULTA NUTRICIONAL, SEGÚN ESTRATEGIA</t>
  </si>
  <si>
    <t>SECCION E: POBLACIÓN INASISTENTE A CONTROL DEL NIÑO SANO (AL CORTE)</t>
  </si>
  <si>
    <t xml:space="preserve">PA &lt; 150/90 mmHg </t>
  </si>
  <si>
    <t>HbA1C&lt;8%</t>
  </si>
  <si>
    <t>CON ECG VIGENTE</t>
  </si>
  <si>
    <t>TODAS LAS PERSONAS EN PSCV</t>
  </si>
  <si>
    <t>SECCION A.3: PROGRAMA DE ACOMPAÑAMIENTO PSICOSOCIAL EN LA ATENCION PRIMARIA</t>
  </si>
  <si>
    <t>Ambos Sexos</t>
  </si>
  <si>
    <t>Grupos de Edad</t>
  </si>
  <si>
    <t>Ambos sexos</t>
  </si>
  <si>
    <t>15 - 19 años</t>
  </si>
  <si>
    <t>SOBREPESO / RIESGO OBESIDAD</t>
  </si>
  <si>
    <t>Estudio/trabajo</t>
  </si>
  <si>
    <t>Áreas de Riesgo</t>
  </si>
  <si>
    <t>Gineco/urologico/sexualidad</t>
  </si>
  <si>
    <t>Total de Adolescentes que reciben Consejería</t>
  </si>
  <si>
    <t>Adolescentes 10 a 14 años</t>
  </si>
  <si>
    <t>Adolescentes 15 a 19 años</t>
  </si>
  <si>
    <t>INDICADOR IMC / EDAD</t>
  </si>
  <si>
    <t>+ 3 D.S. (&gt;= 3 )</t>
  </si>
  <si>
    <t>+ 2 D.S. (&gt;= +2.0 a +2.9)</t>
  </si>
  <si>
    <t>+ 1 D.S. (&gt;= +1.0 a +1.9)</t>
  </si>
  <si>
    <t>- 1 D.S. (&lt;= -1.0 a -1.9)</t>
  </si>
  <si>
    <t>- 2 D.S. (&lt;= -2.0)</t>
  </si>
  <si>
    <t>PROMEDIO (-0,9 A + 0,9)</t>
  </si>
  <si>
    <t>+ 2 D.S. (&gt;= +2.0)</t>
  </si>
  <si>
    <t>+ 1 D.S. (+1.0 a +1.9)</t>
  </si>
  <si>
    <t>- 1 D.S. (-1.0 a -1.9)</t>
  </si>
  <si>
    <t>INDICADOR PERIMETRO DE CINTURA / EDAD</t>
  </si>
  <si>
    <t>NORMAL (&lt;p75)</t>
  </si>
  <si>
    <t>RIESGO DE OBESIDAD ABDOMINAL (75&lt;p&lt;90)</t>
  </si>
  <si>
    <t>OBESIDAD ABDOMINAL (&gt;p90)</t>
  </si>
  <si>
    <t>RIESGO DE DESNUTRIR/ DEFICIT PONDERAL*</t>
  </si>
  <si>
    <t>OBESO SEVERO</t>
  </si>
  <si>
    <t>Adolescentes 10-14 años</t>
  </si>
  <si>
    <t>Adolescentes 15 - 19 años</t>
  </si>
  <si>
    <t>NOTA(*): El Diagnóstico Nutricional Integrado de Déficit para los niños (as) 5 años y más denomina Déficit Ponderal al Riesgo de Desnutrir.</t>
  </si>
  <si>
    <t>AGRESOR/A</t>
  </si>
  <si>
    <t xml:space="preserve">VIOLENCIA </t>
  </si>
  <si>
    <t>AVANZADO</t>
  </si>
  <si>
    <t>SECCIÓN A. CLASIFICACIÓN DE LAS FAMILIAS SECTOR URBANO</t>
  </si>
  <si>
    <t>N° FAMILIAS EVALUADAS CON CARTOLA/ENCUESTA FAMILIAR</t>
  </si>
  <si>
    <t>N° DE FAMILIAS EN RIESGO BAJO</t>
  </si>
  <si>
    <t>N° DE FAMILIAS EN RIESGO MEDIO</t>
  </si>
  <si>
    <t>N° DE FAMILIAS EN RIESGO ALTO</t>
  </si>
  <si>
    <t>SECCIÓN A.1 CLASIFICACIÓN DE LAS FAMILIAS SECTOR RURAL</t>
  </si>
  <si>
    <t>SECCIÓN B. INTERVENCIÓN EN FAMILIAS SECTOR URBANO Y RURAL</t>
  </si>
  <si>
    <t>N° FAMILIAS CON PLAN DE INTERVENCIÓN</t>
  </si>
  <si>
    <t>N° FAMILIAS SIN PLAN DE INTERVENCIÓN</t>
  </si>
  <si>
    <t>N° FAMILIAS EGRESADAS DE PLANES DE INTERVENCIÓN</t>
  </si>
  <si>
    <t>TOTAL DE EGRESOS</t>
  </si>
  <si>
    <t>INTERVENCIÓN EN FAMILIAS</t>
  </si>
  <si>
    <t>ALTA POR CUMPLIR PLAN DE INTERVENCIÓN</t>
  </si>
  <si>
    <t>TRASLADO DE ESTABLECIMIENTO</t>
  </si>
  <si>
    <t>DERIVACIÓN POR COMPLEJIDAD DEL CASO</t>
  </si>
  <si>
    <t>POR ABANDONO</t>
  </si>
  <si>
    <t>Hombre</t>
  </si>
  <si>
    <t>GLAUCOMA</t>
  </si>
  <si>
    <t>Alterado</t>
  </si>
  <si>
    <t>ALIMENTACION SALUDABLE</t>
  </si>
  <si>
    <t>TABAQUISMO</t>
  </si>
  <si>
    <t>CONSUMO DE DROGAS</t>
  </si>
  <si>
    <t>SALUD SEXUAL REPRODUCTIVA</t>
  </si>
  <si>
    <t>REGULACION DE FECUNDIDAD</t>
  </si>
  <si>
    <t>PREVENCION VIH-ITS</t>
  </si>
  <si>
    <t>ADOLESCENTES CON CONDUCTA POSTERGADORA</t>
  </si>
  <si>
    <t>ADOLESCENTES CON CONDUCTA ANTICIPADORA</t>
  </si>
  <si>
    <t>ADOLESCENTES CON CONDUCTA ACTIVA</t>
  </si>
  <si>
    <t>USO ACTUAL DE METODO ANTICONCEPTIVO</t>
  </si>
  <si>
    <t>USO ACTUAL DE DOBLE PROTECCIÓN</t>
  </si>
  <si>
    <t>ADOLESCENTE CON ANTECEDENTE DE UN PRIMER EMBARAZO</t>
  </si>
  <si>
    <t>ADOLESCENTE CON ANTECEDENTE DE MAS DE UN EMBARAZO</t>
  </si>
  <si>
    <t>ADOLESCENTE CON ANTECEDENTE DE ABORTO</t>
  </si>
  <si>
    <t>ESTUDIA</t>
  </si>
  <si>
    <t>DESERCIÓN ESCOLAR</t>
  </si>
  <si>
    <t>TRABAJO JUVENIL</t>
  </si>
  <si>
    <t>PEORES FORMAS DE TRABAJO INFANTIL</t>
  </si>
  <si>
    <t>SERVICIO DOMESTICO NO REMUNERADO PELIGROSO</t>
  </si>
  <si>
    <t>TRABAJO INFANTIL</t>
  </si>
  <si>
    <t>NORMAL O EUTROFIA</t>
  </si>
  <si>
    <t>RANGOS PERCENTILARES PARA CIRCUNFERENCIA DE CINTURA</t>
  </si>
  <si>
    <t>NORMAL (p&lt;75)</t>
  </si>
  <si>
    <t>≥+ 2.0 D.E.(Talla Alta)</t>
  </si>
  <si>
    <t>+ 1.0 a+ 1.9 D.E. (Talla Normal Alta)</t>
  </si>
  <si>
    <r>
      <rPr>
        <u/>
        <sz val="8"/>
        <rFont val="Verdana"/>
        <family val="2"/>
      </rPr>
      <t>&lt;</t>
    </r>
    <r>
      <rPr>
        <sz val="8"/>
        <rFont val="Verdana"/>
        <family val="2"/>
      </rPr>
      <t xml:space="preserve"> 2 D.E. (Talla Baja)</t>
    </r>
  </si>
  <si>
    <t>-0.9 a+ 0.9 D.E. (Talla Normal)</t>
  </si>
  <si>
    <r>
      <rPr>
        <u/>
        <sz val="8"/>
        <rFont val="Verdana"/>
        <family val="2"/>
      </rPr>
      <t>&gt;</t>
    </r>
    <r>
      <rPr>
        <sz val="8"/>
        <rFont val="Verdana"/>
        <family val="2"/>
      </rPr>
      <t>+ 3 D.E. (Obesidad Severa)</t>
    </r>
  </si>
  <si>
    <t>≥ +2.0 a+2,9 D.E. (Obesidad)</t>
  </si>
  <si>
    <t xml:space="preserve">≥ +1.0 a+1,9 D.E.(Sobrepeso) </t>
  </si>
  <si>
    <t>ACTIVIDAD Y AREA TEMATICA</t>
  </si>
  <si>
    <t>INSTRUMENTO DE EVALUACIÓN</t>
  </si>
  <si>
    <t>TIMED UP AND GO</t>
  </si>
  <si>
    <t>ESTACIÓN UNIPODAL</t>
  </si>
  <si>
    <t xml:space="preserve">Normal </t>
  </si>
  <si>
    <t>REM P9</t>
  </si>
  <si>
    <t>CON PRESIÓN ARTERIAL igual o Mayor 160/100 mmHg</t>
  </si>
  <si>
    <t>SECCION A: POBLACIÓN EN CONTROL DE SALUD INTEGRAL DE ADOLESCENTES, SEGÚN ESTADO NUTRICIONAL</t>
  </si>
  <si>
    <t>SECCION G: POBLACIÓN INFANTIL EUTRÓFICA, SEGÚN RIESGO DE MALNUTRICIÓN POR EXCESO (Incluida en sección A y A1)</t>
  </si>
  <si>
    <t>SECCION F: POBLACIÓN INFANTIL SEGÚN DIAGNÓSTICO DE PRESIÓN ARTERIAL (Incluida en sección A y A1)</t>
  </si>
  <si>
    <t>NUMERO DE PERSONAS EN CONTROL EN EL PROGRAMA</t>
  </si>
  <si>
    <t>OBESIDAD ABDOMINAL p&gt;90)</t>
  </si>
  <si>
    <t>Total cuidadoras/es con examen preventivo vigente</t>
  </si>
  <si>
    <t>Cuidadoras/es con apoyo monetario</t>
  </si>
  <si>
    <t>Masculino</t>
  </si>
  <si>
    <t>Femenino</t>
  </si>
  <si>
    <t>Población Migrantes</t>
  </si>
  <si>
    <t>LUBRICANTES</t>
  </si>
  <si>
    <t>ESTERILIZACIÓN QUIRURGICA</t>
  </si>
  <si>
    <t>Mujeres con Retiro de Implante Anticipado en el semestre (antes de los 5 años)</t>
  </si>
  <si>
    <t>Gestantes que reciben preservativo</t>
  </si>
  <si>
    <t>SECCION F.1: POBLACIÓN EN CONTROL CLIMATERIO SEGÚN TIPO TERAPIA REEMPLAZO HORMONAL</t>
  </si>
  <si>
    <t>Estradiol Micronizado 1mg</t>
  </si>
  <si>
    <t>Estradiol Gel</t>
  </si>
  <si>
    <t>Progesterona Micronizada 100mg</t>
  </si>
  <si>
    <t>Progesterona Micronizada 200mg</t>
  </si>
  <si>
    <t>Nomegestrol 5mg comp.</t>
  </si>
  <si>
    <t>Tibolona 2,5mg comp.</t>
  </si>
  <si>
    <t>Menor 
de 45 años</t>
  </si>
  <si>
    <t>55 a 60 años</t>
  </si>
  <si>
    <t>Total de Niños y Niñas que han recibido VDI</t>
  </si>
  <si>
    <t>Tipo de Programas SENAME</t>
  </si>
  <si>
    <t xml:space="preserve">POR EDAD </t>
  </si>
  <si>
    <t>15 a 19</t>
  </si>
  <si>
    <t>Mayor a 25 años</t>
  </si>
  <si>
    <t>Variable</t>
  </si>
  <si>
    <t>20 a 24</t>
  </si>
  <si>
    <t>POBLACIÓN EN CONTROL CON MÉTODO DE REGULACIÓN DE FERTILIDAD</t>
  </si>
  <si>
    <t>GESTANTES EN CONTROL CON RIESGO PSICOSOCIAL</t>
  </si>
  <si>
    <t>POBLACIÓN INFANTIL EN CONTROL</t>
  </si>
  <si>
    <t>POBLACIÓN EN CONTROL DE SALUD INTEGRAL DE ADOLESCENTES SEGÚN ÁREA DE RIESGO</t>
  </si>
  <si>
    <t>POBLACIÓN EN CONTROL DE SALUD MENTAL</t>
  </si>
  <si>
    <t>POBLACIÓN EN PROGRAMA DE ACOMPAÑAMIENTO PSICOSOCIAL</t>
  </si>
  <si>
    <t>Implante Levonorgestrel (5 años)</t>
  </si>
  <si>
    <t>PRESERVATIVO/PRACTICA SEXUAL SEGURA</t>
  </si>
  <si>
    <t>Total</t>
  </si>
  <si>
    <t>RIESGO BAJO</t>
  </si>
  <si>
    <t>RIESGO MEDIO</t>
  </si>
  <si>
    <t>RIESGO ALTO</t>
  </si>
  <si>
    <t>Implante Etonogestrel (3 años)</t>
  </si>
  <si>
    <t>REM-P1. POBLACIÓN EN CONTROL PROGRAMA DE SALUD DE LA MUJER</t>
  </si>
  <si>
    <t>D . I . U con Levonorgestrel</t>
  </si>
  <si>
    <t>SECCION D: GESTANTES Y MUJERES DE 8° MES POST-PARTO EN CONTROL, SEGÚN ESTADO NUTRICIONAL</t>
  </si>
  <si>
    <t>SECCION G: GESTANTES EN CONTROL CON ECOGRAFÍA POR TRIMESTRE DE GESTACION (EN EL SEMESTRE)</t>
  </si>
  <si>
    <t>REM-P4. POBLACIÓN EN CONTROL PROGRAMA DE SALUD CARDIOVASCULAR (PSCV)</t>
  </si>
  <si>
    <t>COLESTEROL LDL &lt; 100 mg/dL</t>
  </si>
  <si>
    <t>SECCION A: POBLACIÓN EN CONTROL POR CONDICIÓN DE FUNCIONALIDAD</t>
  </si>
  <si>
    <t>GRUPO DE EDAD (en años) Y SEXO</t>
  </si>
  <si>
    <t>D . I . U T con Cobre</t>
  </si>
  <si>
    <t xml:space="preserve"> TOTAL</t>
  </si>
  <si>
    <t>4 a 11 meses</t>
  </si>
  <si>
    <t>TIPO A</t>
  </si>
  <si>
    <t>TIPO B</t>
  </si>
  <si>
    <t>REM-P6. POBLACIÓN EN CONTROL PROGRAMA DE SALUD MENTAL EN ATENCIÓN PRIMARIA Y ESPECIALIDAD</t>
  </si>
  <si>
    <t>N° DE PERSONAS EN CONTROL EN PROGRAMA DE ACOMPAÑAMIENTO PSICOSOCIAL</t>
  </si>
  <si>
    <t>DEPRESIÓN CON ALTO RIESGO SUICIDA</t>
  </si>
  <si>
    <t>REM-P7. FAMILIAS EN CONTROL DE SALUD FAMILIAR</t>
  </si>
  <si>
    <t>REM-P9. POBLACIÓN EN CONTROL DEL ADOLESCENTE</t>
  </si>
  <si>
    <t>TOTAL ADOLESCENTES EN CONTROL</t>
  </si>
  <si>
    <t>≤ -2.0 D.E. (Desnutrición)</t>
  </si>
  <si>
    <t>- 1.0 a -1.9 D.E. (Talla Normal Baja)</t>
  </si>
  <si>
    <t>RIESGO DE OBESIDAD (p75&lt;p&lt;90)</t>
  </si>
  <si>
    <t>SECCION B: POBLACIÓN EN CONTROL SALUD INTEGRAL DE ADOLESCENTES, SEGÚN EDUCACIÓN Y TRABAJO</t>
  </si>
  <si>
    <t>SECCION C: POBLACIÓN EN CONTROL SALUD INTEGRAL DE ADOLESCENTES, SEGÚN ÁREAS DE RIESGO</t>
  </si>
  <si>
    <t>10-14 años</t>
  </si>
  <si>
    <t>GRUPO DE EDAD 
(en años)</t>
  </si>
  <si>
    <t xml:space="preserve"> 0 - 4</t>
  </si>
  <si>
    <t xml:space="preserve"> 5 - 9</t>
  </si>
  <si>
    <t xml:space="preserve"> 10 - 14 </t>
  </si>
  <si>
    <t>NUMERO DE ERRORES SEGÚN :</t>
  </si>
  <si>
    <t>CREA UNA COPIA DEL ARCHIVO (TRANFORMA HOJAS A VALORES)</t>
  </si>
  <si>
    <t>REM-P3. POBLACIÓN EN CONTROL OTROS PROGRAMAS</t>
  </si>
  <si>
    <t>REM P13</t>
  </si>
  <si>
    <t>Menor de 15</t>
  </si>
  <si>
    <t>ACTIVIDAD FÍSICA</t>
  </si>
  <si>
    <t>≤ -1.0 a-1,9 D.E.(Bajo peso)</t>
  </si>
  <si>
    <t>SECCION A.2: PROGRAMA DE REHABILITACIÓN EN ATENCION PRIMARIA (PERSONAS CON TRANSTORNOS PSIQUIÁTRICO).</t>
  </si>
  <si>
    <t>SECCION A: POBLACIÓN EN CONTROL SEGÚN MÉTODO DE REGULACIÓN DE FERTILIDAD Y SALUD SEXUAL</t>
  </si>
  <si>
    <t>B. ATENCIÓN DE ESPECIALIDADES
SECCION B.1: POBLACIÓN EN CONTROL EN ESPECIALIDAD AL CORTE</t>
  </si>
  <si>
    <t>Pueblos originarios</t>
  </si>
  <si>
    <t>Poblacion Migrantes</t>
  </si>
  <si>
    <t>No Olvide</t>
  </si>
  <si>
    <t>Niños y niñas SENAME</t>
  </si>
  <si>
    <t>Femenino (NO)</t>
  </si>
  <si>
    <t xml:space="preserve"> -0.9 a+ 0.9 D.E. (Peso Normal)</t>
  </si>
  <si>
    <t>CONDON FEMENINO</t>
  </si>
  <si>
    <t>PV-VIH (personas viviendo con VIH)</t>
  </si>
  <si>
    <t>Espacios Amigables</t>
  </si>
  <si>
    <t>SUICIDIO</t>
  </si>
  <si>
    <t>IDEACIÓN</t>
  </si>
  <si>
    <t>INTENTO</t>
  </si>
  <si>
    <t>TRASTORNO DE ESTRÉS POST TRAUMATICO</t>
  </si>
  <si>
    <t>FOBIAS SOCIALES</t>
  </si>
  <si>
    <t>TRASTORNOS DE ANSIEDAD GENERALIZADA</t>
  </si>
  <si>
    <t>OTROS TRASTORNOS DE ANSIEDAD</t>
  </si>
  <si>
    <t>EPILEPSIA</t>
  </si>
  <si>
    <t>CON ATENCIÓN PODOLÓGICA VIGENTE</t>
  </si>
  <si>
    <t>SECCIÓN A: EXISTENCIA DE POBLACIÓN EN CONTROL</t>
  </si>
  <si>
    <t xml:space="preserve">CON INDICACIÓN DE NUTRICIÓN ENTERAL DOMICILIARIA (NED) </t>
  </si>
  <si>
    <t>DEMENCIAS (INCLUYE ALZHEIMER)</t>
  </si>
  <si>
    <t>Nº TOTAL DE PERSONAS CON VIH/SIDA</t>
  </si>
  <si>
    <t>GESTANTES</t>
  </si>
  <si>
    <t>Inicia TARV en este embarazo</t>
  </si>
  <si>
    <t>en TARV previa</t>
  </si>
  <si>
    <t>NO GESTANTES</t>
  </si>
  <si>
    <t>Con TARV</t>
  </si>
  <si>
    <t>Sin TARV</t>
  </si>
  <si>
    <t>CON AMPUTACIÓN POR PIE DIABÉTICO</t>
  </si>
  <si>
    <t>Población SENAME</t>
  </si>
  <si>
    <t>Madre de hijos</t>
  </si>
  <si>
    <t>EN  TRATAMIENTO CON INSULINA QUE LOGRA META CON  HbA1C SEGÚN EDAD</t>
  </si>
  <si>
    <t>Plan Cuidado Integral Elaborado</t>
  </si>
  <si>
    <t>6 a 7 años</t>
  </si>
  <si>
    <t>8 a 9 años</t>
  </si>
  <si>
    <t>PRESIÓN ARTERIAL ELEVADA</t>
  </si>
  <si>
    <t>TOTAL PERSONAS MAYORES EN CONTROL</t>
  </si>
  <si>
    <t xml:space="preserve">REM-P5. POBLACIÓN EN CONTROL PROGRAMA NACIONAL DE SALUD INTEGRAL DE PERSONAS MAYORES </t>
  </si>
  <si>
    <t>PCIE</t>
  </si>
  <si>
    <t>SECCION C: PERSONAS MAYORES CON SOSPECHA DE MALTRATO</t>
  </si>
  <si>
    <t xml:space="preserve">SECCION D: PERSONAS MAYORES EN ACTIVIDAD FÍSICA </t>
  </si>
  <si>
    <t>SECCION E: PERSONAS MAYORES CON RIESGO DE CAÍDAS</t>
  </si>
  <si>
    <t>REM-P11. POBLACIÓN EN CONTROL PROGRAMA DE INFECCIONES DE TRASMISIÓN SEXUAL - VIH / SIDA</t>
  </si>
  <si>
    <t>SECCION A: POBLACIÓN EN CONTROL DEL PROGRAMA DE VIH/SIDA (Uso exclusivo Centros de Atención VIH-SIDA)</t>
  </si>
  <si>
    <t>Consultorio General Urbano(CGU) con SAPU/SUR/SAR</t>
  </si>
  <si>
    <t>Consultorio General Urbano (CGU) - CESFAM con SAPU/SAR</t>
  </si>
  <si>
    <t>Consultorio General Rural (CGR) con SAPU/SAR/SUR</t>
  </si>
  <si>
    <t>Consultorio General Rural (CGR) - CESFAM con SAPU/SAR/SUR</t>
  </si>
  <si>
    <t>SOBREPESO: IMC entre 25 y 29.9 &lt;65</t>
  </si>
  <si>
    <t>SOBREPESO: IMC entre 28 y 31.9 &gt;65</t>
  </si>
  <si>
    <t xml:space="preserve">SECCION C: POBLACIÓN MENOR DE 1 AÑO EN CONTROL, SEGÚN SCORE RIESGO EN IRA Y VISITA DOMICILIARIA INTEGRAL </t>
  </si>
  <si>
    <t>CON *EVALUACIÓN VIGENTE DEL PIE SEGÚN PAUTA DE ESTIMACION DEL RIESGO DE ULCERACION EN PERSONAS CON DIABETES</t>
  </si>
  <si>
    <t xml:space="preserve">MUJERES BAJO CONTROL DE REGULACIÓN DE FERTILIDAD SEGÚN ESTADO NUTRICIONAL </t>
  </si>
  <si>
    <t>MUJERES
con Examen VPH Vigente 
en los ultimos 5 años</t>
  </si>
  <si>
    <t>TRANS MASCULINO
con Examen VPH Vigente 
en los ultimos 5 años</t>
  </si>
  <si>
    <t>VPH INFORMADOS SEGÚN RESULTADO</t>
  </si>
  <si>
    <t>VPH (-)</t>
  </si>
  <si>
    <t>VPH 16 (+)</t>
  </si>
  <si>
    <t>VPH 18 (+)</t>
  </si>
  <si>
    <t xml:space="preserve">VPH AR* (+) </t>
  </si>
  <si>
    <t>* Agrupados Alto Riesgo</t>
  </si>
  <si>
    <t xml:space="preserve">TOTAL VPH  INFORMADOS EN TRANS MASCULINO </t>
  </si>
  <si>
    <t xml:space="preserve">VPH AR (+) </t>
  </si>
  <si>
    <t>SECCION E: PROGRAMA DE CANCER DE CUELLO UTERINO: POBLACIÓN CON VPH VIGENTE</t>
  </si>
  <si>
    <t xml:space="preserve">TOTAL PAP INFORMADOS EN TRANS MASCULINO </t>
  </si>
  <si>
    <t>AUTISMO</t>
  </si>
  <si>
    <t>ASPERGER</t>
  </si>
  <si>
    <t>SÍNDROME DE RETT</t>
  </si>
  <si>
    <t>TRASTORNO DESINTEGRATIVO DE LA INFANCIA</t>
  </si>
  <si>
    <t>TRASTONO GENERALIZADO DEL DESARROLLO NO ESPECÍFICO</t>
  </si>
  <si>
    <t>N° DE PERSONAS EN TARV</t>
  </si>
  <si>
    <t xml:space="preserve">SECCION H: MUJERES BAJO CONTROL DE REGULACIÓN DE FERTILIDAD SEGÚN ESTADO NUTRICIONAL </t>
  </si>
  <si>
    <t>SECCIÓN F: PROGRAMA DE CANCER DE CUELLO UTERINO: RESULTADOS DE VPH  REALIZADOS EN EL SISTEMA PUBLICO SEGÚN GRUPOS DE EDAD 
(Examen realizados en la red pública)</t>
  </si>
  <si>
    <t xml:space="preserve">HTA ESTADIO I </t>
  </si>
  <si>
    <t>HTA ESTADIO II</t>
  </si>
  <si>
    <t>En tratamiento con Antiagregantes plaquetarios</t>
  </si>
  <si>
    <t>PERSONAS CON RCV ALTO</t>
  </si>
  <si>
    <t>PERSONAS CON DIABETES  EN PSCV</t>
  </si>
  <si>
    <t>ANTECEDENTE DE ATAQUE CEREBRO VASCULAR</t>
  </si>
  <si>
    <t>ANTECEDENTES DE INFARTO AGUDO AL MIOCARDIO</t>
  </si>
  <si>
    <t>Derivación Nivel Secundario</t>
  </si>
  <si>
    <t xml:space="preserve">REM-P2. POBLACIÓN EN CONTROL PROGRAMA NACIONAL  DE SALUD DE LA INFANCIA </t>
  </si>
  <si>
    <t>Mujeres con MRS elevado*</t>
  </si>
  <si>
    <t>PERSONAS CON HIPERTENSION EN PSCV</t>
  </si>
  <si>
    <t>Con carga viral &lt;a 1000 copias</t>
  </si>
  <si>
    <t>SECCIÓN E:  RESULTADO DE ENCUESTA CALIDAD DE VIDA</t>
  </si>
  <si>
    <t>5 - 9 
años</t>
  </si>
  <si>
    <t>10 - 14
años</t>
  </si>
  <si>
    <t>15 - 19
años</t>
  </si>
  <si>
    <t xml:space="preserve">20 a 24 años
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</si>
  <si>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</si>
  <si>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</si>
  <si>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</si>
  <si>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</si>
  <si>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</si>
  <si>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</si>
  <si>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</si>
  <si>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</si>
  <si>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mas años</t>
  </si>
  <si>
    <t>Ingresos</t>
  </si>
  <si>
    <t>Abandonos</t>
  </si>
  <si>
    <t>Egresos por termino de ciclo</t>
  </si>
  <si>
    <t>Articulacion continuidad en intersector</t>
  </si>
  <si>
    <t>DIAGNÓSTICO</t>
  </si>
  <si>
    <t>ACTIVIDAD</t>
  </si>
  <si>
    <t>Mejora en relación a  año anterior</t>
  </si>
  <si>
    <t>No mejora en relación a año anterior</t>
  </si>
  <si>
    <t>Evaluados</t>
  </si>
  <si>
    <t>SECCION B: POBLACIÓN EN CONTROL POR COMERCIO SEXUAL (Uso exclusivo de Unidades Control Comercio Sexual)</t>
  </si>
  <si>
    <t>OTRAS CRÓNICAS RESPIRATORIAS</t>
  </si>
  <si>
    <t>Unidad de Salud de Funcionarios (USF)</t>
  </si>
  <si>
    <t>Servicio de Atención Primaria de Urgencia (SAPU)</t>
  </si>
  <si>
    <t>Servicio de Urgencia Rural (SUR)</t>
  </si>
  <si>
    <t>Servicio de Atención Primaria de Urgencia Dental (SAPUDENT)</t>
  </si>
  <si>
    <t>Hospital de Campaña</t>
  </si>
  <si>
    <t>Centro Oncologico</t>
  </si>
  <si>
    <t>SAMU</t>
  </si>
  <si>
    <t>7 a 12 meses</t>
  </si>
  <si>
    <t xml:space="preserve">SECCION B: GESTANTES EN CONTROL CON EVALUACIÓN RIESGO BIOPSICOSOCIAL </t>
  </si>
  <si>
    <t>HIPERTENSIÓN ARTERIAL</t>
  </si>
  <si>
    <t>DISLIPIDEMIA</t>
  </si>
  <si>
    <t>CON VELOCIDAD DE FILTRACIÓN GLOMERULAR ESTIMADA (VFG), VIGENTE</t>
  </si>
  <si>
    <t>CON VELOCIDAD DE FILTRACIÓN GLOMERULAR ESTIMADA (VFGe) Y CON RAZON ALBÚMINA CREATININA (RAC) VIGENTE</t>
  </si>
  <si>
    <t>FUMADOR ACTUAL</t>
  </si>
  <si>
    <t>Con ayuda técnica de descarga</t>
  </si>
  <si>
    <t>CON VELOCIDAD DE FILTRACIÓN GLOMERULAR ESTIMADA (VFGe) Y CON RAZON ALBÚMINA CREATININA  (RAC) VIGENTE</t>
  </si>
  <si>
    <t>Fumador actual</t>
  </si>
  <si>
    <t>NOTA (*): La vigencia de la evaluación del pie diabético es de 12 meses.</t>
  </si>
  <si>
    <t>OBESIDAD: IMC igual o Mayor a 32KG/M2 &gt;65</t>
  </si>
  <si>
    <t>CON DIAGNÓSTICO ASOCIADO DE HIPERTENSIÓN ARTERIAL</t>
  </si>
  <si>
    <t>CON DIAGNÓSTICO DE ENFERMEDAD RENAL CRÓNICA</t>
  </si>
  <si>
    <t>DETECCIÓN Y PREVENCION DE LA PROGRESION DE LA ENFERMEDAD RENAL CRÓNICA (ERC)</t>
  </si>
  <si>
    <t>OBESIDAD: IMC igual o Mayor a 30KG/M2 &lt;65</t>
  </si>
  <si>
    <t xml:space="preserve">ANTECEDENTES DE ENFERMEDAD CEREBRO VASCULAR </t>
  </si>
  <si>
    <t xml:space="preserve">ETAPA G1 </t>
  </si>
  <si>
    <t xml:space="preserve">ETAPA G2 </t>
  </si>
  <si>
    <t>ETAPA G3a</t>
  </si>
  <si>
    <t xml:space="preserve">ETAPA G3b </t>
  </si>
  <si>
    <t xml:space="preserve">ETAPA G4  </t>
  </si>
  <si>
    <t>ETAPA G5</t>
  </si>
  <si>
    <t>DIABETES MELLITUS TIPO 2</t>
  </si>
  <si>
    <t>CON VELOCIDAD DE FILTRACION GLOMERULAR  ESTIMADA  (VFGe) VIGENTE</t>
  </si>
  <si>
    <t>6 a 6 años 11 meses</t>
  </si>
  <si>
    <t>7 a 7 años 11 meses</t>
  </si>
  <si>
    <t>8 a 8 años 11 meses</t>
  </si>
  <si>
    <t>9 a 9 años 11 meses</t>
  </si>
  <si>
    <t>NORMAL CON REZAGO</t>
  </si>
  <si>
    <t>Migrantes</t>
  </si>
  <si>
    <t>Niños, Niñas, Adolescentes y Jóvenes Mejor Niñez</t>
  </si>
  <si>
    <t>Cuidadoras/es sin examen preventivo, ingresado a programa de salud</t>
  </si>
  <si>
    <t>Cuidadoras/es en espera de apoyo monetario</t>
  </si>
  <si>
    <t>Total Cuidadoras/es con evaluacion anual de nivel de sobrecarga</t>
  </si>
  <si>
    <t>Total Cuidadoras/es mayores de 65 años</t>
  </si>
  <si>
    <t>PROTOCOLO HEARTS</t>
  </si>
  <si>
    <t>CURACIÓN AVANZADA EN ULCERA VENOSA</t>
  </si>
  <si>
    <t>100 y mas años</t>
  </si>
  <si>
    <t>80 a 84 años</t>
  </si>
  <si>
    <t>85 a 89 años</t>
  </si>
  <si>
    <t>90 a 94 años</t>
  </si>
  <si>
    <t>95 a 99 años</t>
  </si>
  <si>
    <t xml:space="preserve">TRASTORNO DE PÁNICO  </t>
  </si>
  <si>
    <t>TRASTORNO ADAPTATIVO</t>
  </si>
  <si>
    <t>NOMBRE ESTABLECIMIENTO/ESTRATEGIA</t>
  </si>
  <si>
    <t>BAJA COMPLEJIDAD</t>
  </si>
  <si>
    <t>MEDIANA COMPLEJIDAD</t>
  </si>
  <si>
    <t>ALTA COMPLEJIDAD</t>
  </si>
  <si>
    <t xml:space="preserve">CONSUMO PERJUDICIAL DE ALCOHOL </t>
  </si>
  <si>
    <t xml:space="preserve">CONSUMO DEPENDIENTE DEL ALCOHOL </t>
  </si>
  <si>
    <t>CONSUMO PERJUDICIAL DE DROGAS</t>
  </si>
  <si>
    <t xml:space="preserve">CONSUMO DEPENDIENTE DE DROGAS </t>
  </si>
  <si>
    <t xml:space="preserve">CONSUMO DE DROGAS Y ALCOHOL </t>
  </si>
  <si>
    <t>RIESGO SSR</t>
  </si>
  <si>
    <t>RIESGO SOCIAL</t>
  </si>
  <si>
    <t>MALNUTRICION POR DEFICIT</t>
  </si>
  <si>
    <t>MALNUTRICION POR EXCESO</t>
  </si>
  <si>
    <t>OTRO</t>
  </si>
  <si>
    <t>Total Cuidadoras/es capacitadas/os</t>
  </si>
  <si>
    <t>Niños, Niñas, Adolescentes y Jóvenes SENAME</t>
  </si>
  <si>
    <t>SECCIÓN B. PROGRAMA DE CANCER DE CUELLO UTERINO: PAP REALIZADOS E INFORMADOS SEGÚN RESULTADOS Y GRUPOS DE EDAD
(Examen realizados en la red pública)</t>
  </si>
  <si>
    <t>SECCIÓN B.1 PROGRAMA DE CANCER DE CUELLO UTERINO: PAP REALIZADOS E INFORMADOS SEGÚN RESULTADOS Y GRUPOS DE EDAD
(Examen realizados en extrasistema)</t>
  </si>
  <si>
    <t>REM-P13. NIÑOS, NIÑAS, ADOLESCENTES Y JÓVENES CON VULNERACIÓN DE DERECHOS Y/O INFRACCIÓN A LA LEY BAJO LA PROTECCIÓN DEL ESTADO EN ATENCIÓN</t>
  </si>
  <si>
    <t>NIVELES DE COMPLEJIDAD</t>
  </si>
  <si>
    <t>Mujeres que asisten a Talleres Educativos</t>
  </si>
  <si>
    <t>Terapia Dual</t>
  </si>
  <si>
    <t>SECCION H: POBLACIÓN SEGÚN DIAGNÓSTICO DE NIÑOS, NIÑAS Y ADOLESCENTES CON NECESIDADES ESPECIALES DE ATENCIÓN EN SALUD (NANEAS) (Incluida en sección A y A1)</t>
  </si>
  <si>
    <t>SECCION I: POBLACIÓN SEGÚN NIVEL DE COMPLEJIDAD DE NIÑOS, NIÑAS Y ADOLESCENTES CON NECESIDADES ESPECIALES DE ATENCIÓN EN SALUD (NANEAS) (Incluida en sección A y A1)</t>
  </si>
  <si>
    <t>CON DEMENCIA</t>
  </si>
  <si>
    <t>RETINOPATÍA DIABETICA</t>
  </si>
  <si>
    <t>Personas Mayores en ELEAM</t>
  </si>
  <si>
    <t>SECCIÓN B: VARIABLES DE SEGUIMIENTO A POBLACIÓN DEL SERVICIO DE PROTECCIÓN ESPECIALIZADA MEJOR NIÑEZ Y SENAME EN CONTROL DE SALUD EN APS AL CORTE</t>
  </si>
  <si>
    <t>INDICADOR ODONTOLÓGICO
Y
PARÁMETROS DE MEDICIÓN</t>
  </si>
  <si>
    <t>GRUPOS DE EDAD  Y SEXO</t>
  </si>
  <si>
    <t>Usuarios con Discapacidad</t>
  </si>
  <si>
    <t>&lt; 1 AÑO</t>
  </si>
  <si>
    <t>1 AÑO</t>
  </si>
  <si>
    <t>2 AÑOS</t>
  </si>
  <si>
    <t>3 AÑOS</t>
  </si>
  <si>
    <t>4 AÑOS</t>
  </si>
  <si>
    <t>5 AÑOS</t>
  </si>
  <si>
    <t>6 AÑOS</t>
  </si>
  <si>
    <t>7 AÑOS</t>
  </si>
  <si>
    <t>8 AÑOS</t>
  </si>
  <si>
    <t xml:space="preserve">9 AÑOS </t>
  </si>
  <si>
    <t>TOTAL DE NIÑOS(AS) EN CONTROL CON ENFOQUE DE RIESGO ODONTOLÓGICO</t>
  </si>
  <si>
    <t>EVALUACIÓN DE RIESGO SEGÚN PAUTA CERO</t>
  </si>
  <si>
    <t xml:space="preserve">ALTO RIESGO </t>
  </si>
  <si>
    <t xml:space="preserve">BAJO RIESGO </t>
  </si>
  <si>
    <t>EVALUACIÓN DE DAÑO POR CARIES SEGÚN ÍNDICE ceod O COPD</t>
  </si>
  <si>
    <t>1 a 2</t>
  </si>
  <si>
    <t>3 a 4</t>
  </si>
  <si>
    <t>5 a 6</t>
  </si>
  <si>
    <t>7 a 8</t>
  </si>
  <si>
    <t>9 o más</t>
  </si>
  <si>
    <t>INASISTENTES A CONTROL ODONTOLÓGICO</t>
  </si>
  <si>
    <t>SECCION J: POBLACIÓN EN CONTROL, SEGÚN RIESGO ODONTOLÓGICO Y DAÑO POR CARIES</t>
  </si>
  <si>
    <t>Síndrome de Down </t>
  </si>
  <si>
    <t>Prematuros</t>
  </si>
  <si>
    <t xml:space="preserve">Hipotiroidismo </t>
  </si>
  <si>
    <t>Diabetes tipo I </t>
  </si>
  <si>
    <t>Diabetes tipo II </t>
  </si>
  <si>
    <t xml:space="preserve">Otras Enfermedades endocrinológicas (no incluye Hipotiroidismo, ni Diabetes) </t>
  </si>
  <si>
    <t>Errores Innatos del Metabolismo</t>
  </si>
  <si>
    <t xml:space="preserve">Otros Trastornos del metabolismo </t>
  </si>
  <si>
    <t xml:space="preserve">Trastornos genéticos  </t>
  </si>
  <si>
    <t>Alergias alimentarias</t>
  </si>
  <si>
    <t xml:space="preserve">Enfermedades del sistema inmunitario (no incluye asma, ni alergias alimentarias) </t>
  </si>
  <si>
    <t xml:space="preserve">Fibrosis Quística </t>
  </si>
  <si>
    <t>Asma</t>
  </si>
  <si>
    <t xml:space="preserve">Otras Enfermedades respiratorias crónicas (no incluye Asma, ni Fibrosis Quística) </t>
  </si>
  <si>
    <t>Oxigenoterapia Ambulatoria </t>
  </si>
  <si>
    <t>Asistencia ventilatoria Invasiva y No invasiva </t>
  </si>
  <si>
    <t xml:space="preserve">Enfermedad renal crónica </t>
  </si>
  <si>
    <t>Hipertensión Arterial (En vez de Presión Arterial Elevada) </t>
  </si>
  <si>
    <t>Cardiopatía congénita</t>
  </si>
  <si>
    <t>Otras Enfermedades cardiovasculares crónicas (no incluye Hipertensión Arterial ni Cardiopatías Congénitas)</t>
  </si>
  <si>
    <t xml:space="preserve">Enfermedad celiaca </t>
  </si>
  <si>
    <t xml:space="preserve">Estrabismo </t>
  </si>
  <si>
    <t>Errores de refracción</t>
  </si>
  <si>
    <t>Enfermedades crónicas del oído </t>
  </si>
  <si>
    <t>Enfermedades crónicas de piel y mucosas </t>
  </si>
  <si>
    <t xml:space="preserve">Enfermedades hematológicas crónicas </t>
  </si>
  <si>
    <t>Trastorno del Espectro Autista </t>
  </si>
  <si>
    <t xml:space="preserve">Síndrome de Rett </t>
  </si>
  <si>
    <t xml:space="preserve">Parálisis Cerebral </t>
  </si>
  <si>
    <t xml:space="preserve">Epilepsia </t>
  </si>
  <si>
    <r>
      <t xml:space="preserve">Otros trastornos del </t>
    </r>
    <r>
      <rPr>
        <b/>
        <sz val="11"/>
        <rFont val="Calibri"/>
        <family val="2"/>
      </rPr>
      <t>Neurodesarrollo  </t>
    </r>
    <r>
      <rPr>
        <sz val="11"/>
        <rFont val="Calibri"/>
        <family val="2"/>
      </rPr>
      <t>( no incluye TEA)</t>
    </r>
  </si>
  <si>
    <t>Disrafias espinales</t>
  </si>
  <si>
    <t>Malformaciones congénitas y deformidades</t>
  </si>
  <si>
    <t>Escoliosis</t>
  </si>
  <si>
    <t>Displasia luxante de caderas</t>
  </si>
  <si>
    <t xml:space="preserve">Enfermedades musculoesqueléticas crónicas </t>
  </si>
  <si>
    <t xml:space="preserve">Neoplasias  </t>
  </si>
  <si>
    <t>Cuidados paliativos</t>
  </si>
  <si>
    <t xml:space="preserve">Hospitalización Domiciliaria  </t>
  </si>
  <si>
    <t>Gran Quemado</t>
  </si>
  <si>
    <t xml:space="preserve">Otras condiciones asociadas a NANEAS </t>
  </si>
  <si>
    <t>Enfermedades crónicas del sistema visual (no incluye estrabismo ni errores de refracción)</t>
  </si>
  <si>
    <t xml:space="preserve">Otros trastornos del Neurodesarrollo (no incluye TEA) </t>
  </si>
  <si>
    <t>Otras Enfermedades crónicas neurológicas (No incluye síndrome de Rett, Paráisis Cerebral, Epilepsia, TEA)</t>
  </si>
  <si>
    <t>Disrrafias espinales</t>
  </si>
  <si>
    <t>Anillo Vaginal</t>
  </si>
  <si>
    <t>En APS</t>
  </si>
  <si>
    <t xml:space="preserve">En Extrasistema </t>
  </si>
  <si>
    <t>Mujeres con aplicación de terapia hormonal de la menopausia según MRS*</t>
  </si>
  <si>
    <t>&lt;11 semanas</t>
  </si>
  <si>
    <t>11- 13+6 semanas</t>
  </si>
  <si>
    <t xml:space="preserve"> Migrantes</t>
  </si>
  <si>
    <t>NIÑOS SIN EVALUACIÓN NUTRICIONAL POR CURSO DE VIDA (RECIÉN NACIDOS) O POR CONDICIÓN ESPECIAL DE SALUD</t>
  </si>
  <si>
    <t>25 - 35 meses</t>
  </si>
  <si>
    <t>36 - 59 meses</t>
  </si>
  <si>
    <t>0 - 11 meses</t>
  </si>
  <si>
    <t>12 - 24 meses</t>
  </si>
  <si>
    <t>60 meses - 9 años</t>
  </si>
  <si>
    <t>INSTITUCIONALIZADA</t>
  </si>
  <si>
    <t>Retardo Crecimiento Intrauterino (RCIU)</t>
  </si>
  <si>
    <t>DIAGNOSTICOS</t>
  </si>
  <si>
    <t xml:space="preserve">Hipertensión Arterial </t>
  </si>
  <si>
    <t>Enfermedades gastrointestinales crónicas (no incluye enfermedad celiaca)</t>
  </si>
  <si>
    <t>TOTAL POBLACIÓN NANEAS BAJO CONTROL</t>
  </si>
  <si>
    <t>CON HIPOGLICEMIAS RECURRENTES</t>
  </si>
  <si>
    <t>TRASTORNO DE PÁNICO</t>
  </si>
  <si>
    <t xml:space="preserve">TRANS </t>
  </si>
  <si>
    <t xml:space="preserve">Femenino </t>
  </si>
  <si>
    <t>VIOLENCIA</t>
  </si>
  <si>
    <t>RIESGO DESERCIÓN ESCOLAR</t>
  </si>
  <si>
    <t>RIESGO PSICOEMOCIONAL</t>
  </si>
  <si>
    <t>RIESGO OH/DROGAS</t>
  </si>
  <si>
    <t>ADOLESCENTE QUE PRESENTA VIOLENCIA DE PAREJA/POLOLO</t>
  </si>
  <si>
    <t>ADOLESCENTE QUE PRESENTA O HA SIDO VICTIMA DE VIOLENCIA SEXUAL</t>
  </si>
  <si>
    <t>REM-P12. PERSONAS CON TAMIZAJE PARA LA DETECCIÓN PRECOZ DE CÁNCER DE CUELLO UTERINO – 
MAMOGRAFIA - EXAMEN FISICO DE MAMA VIGENTES Y PRODUCCION DE PAP Y VPH (SEMESTRAL)</t>
  </si>
  <si>
    <t>Mujeres
con Tamizaje Vigente 
para la Detección Precoz de Cáncer de Cuello Uterino</t>
  </si>
  <si>
    <t>Trans Masculino
con Tamizaje Vigente 
para la Detección Precoz de Cáncer de Cuello Uterino</t>
  </si>
  <si>
    <t>TOTAL PERSONAS CON LESIÓN POR PRESIÓN*</t>
  </si>
  <si>
    <t>SECCION C: GESTANTES EN RIESGO PSICOSOCIAL CON VISITA DOMICILIARIA INTEGRAL REALIZADA EN EL SEMESTRE</t>
  </si>
  <si>
    <t>TOTAL GESTANTES BAJO CONTROL</t>
  </si>
  <si>
    <t>SECCIÓN J: POBLACIÓN EN CONTROL POR PATOLOGÍAS DE ALTO RIESGO OBSTÉTRICO</t>
  </si>
  <si>
    <t>Método de Regulación de Fertilidad más Preservativo</t>
  </si>
  <si>
    <t>MIGRANTES</t>
  </si>
  <si>
    <t>Segundo trimestre 22-24 semanas</t>
  </si>
  <si>
    <t>Tercer trimestre 30-34 semanas</t>
  </si>
  <si>
    <t>CON ERC ETAPA 3B O SUPERIOR Y EN TRATAMIENTO CON IECA O ARA II</t>
  </si>
  <si>
    <t>CON UN EXÁMEN DE COLESTEROL LDL VIGENTE</t>
  </si>
  <si>
    <t>ESQUIZOFRENIA</t>
  </si>
  <si>
    <t xml:space="preserve"> Pueblos Originarios</t>
  </si>
  <si>
    <t>Centros de Diagnóstico Terapeutico (CDT)</t>
  </si>
  <si>
    <t>ClÍnica Dental Móvil (CDM)</t>
  </si>
  <si>
    <t>Servicio de Atención Primaria de Urgencia de Alta Resolutividad (SAR)</t>
  </si>
  <si>
    <t>Laboratorio Clínico o Dental</t>
  </si>
  <si>
    <t>Centro de Rehabilitación (CR)</t>
  </si>
  <si>
    <t>Organizaciones sin fines de lucro y ONG (Delegado)</t>
  </si>
  <si>
    <t>SECCION A: POBLACIÓN EN CONTROL, SEGÚN ESTADO NUTRICIONAL PARA NIÑOS MENOR DE UN MES- 59 MESES</t>
  </si>
  <si>
    <t>SECCION A.1: POBLACIÓN EN CONTROL, SEGÚN ESTADO NUTRICIONAL PARA NIÑOS AS DE 60 MESES - 9 AÑOS 11 MESES</t>
  </si>
  <si>
    <t>SECCION A: PROGRAMA DE CANCER DE CUELLO UTERINO: POBLACIÓN CON TAMIZAJE VIGENTE 
PARA LA DETECCIÓN PRECOZ DEL CÁNCER DE CUELLO UTERINO</t>
  </si>
  <si>
    <t xml:space="preserve">SECCION C: PROGRAMA DE CANCER DE MAMA: MUJERES CON MAMOGRAFÍA VIGENTE EN LOS ULTIMOS 2 AÑOS. </t>
  </si>
  <si>
    <t>Mujeres con mamografia vigente  (Menor o igual a 2 años)</t>
  </si>
  <si>
    <t>RIESGO SUICIDA</t>
  </si>
  <si>
    <r>
      <t xml:space="preserve">Enfermedades crónicas gastrointestinales </t>
    </r>
    <r>
      <rPr>
        <sz val="11"/>
        <rFont val="Calibri"/>
        <family val="2"/>
      </rPr>
      <t>(no incluye enfermedad celiaca)</t>
    </r>
  </si>
  <si>
    <r>
      <t xml:space="preserve">Enfermedades crónicas del sistema visual </t>
    </r>
    <r>
      <rPr>
        <sz val="11"/>
        <rFont val="Calibri"/>
        <family val="2"/>
      </rPr>
      <t>(no incluye Estabismo ni Errores de Refracción)</t>
    </r>
  </si>
  <si>
    <r>
      <t xml:space="preserve">Otras Enfermedades crónicas neurológicas </t>
    </r>
    <r>
      <rPr>
        <sz val="11"/>
        <rFont val="Calibri"/>
        <family val="2"/>
      </rPr>
      <t>(No incluye síndrome de Rett, Parálisis Cerebral, Epiepsia, TEA)</t>
    </r>
  </si>
  <si>
    <t xml:space="preserve"> SÓLO PRESERVATIVO  MAC                                                                                                                                                                                                                               </t>
  </si>
  <si>
    <t>SECCION I: GESTANTES EN CONTROL CON TEST DE VIH/SIFILIS TOMADO (EN EL SEMESTRE, RED PÚBLICA O EXTRASISTEMA)</t>
  </si>
  <si>
    <t>GESTANTES EN CONTROL CON RESULTADO 1° TAMIZAJE SIFILIS</t>
  </si>
  <si>
    <t>GESTANTES EN CONTROL CON RESULTADO 2° VIH</t>
  </si>
  <si>
    <t>Gestantes con Tamizajes resultado pendiente</t>
  </si>
  <si>
    <t>GESTANTES EN CONTROL CON RESULTADO 1° VIH</t>
  </si>
  <si>
    <t xml:space="preserve">GESTANTES EN CONTROL CON RESULTADO TAMIZAJE SIFILIS 3° TRIMESTRE GESTACION </t>
  </si>
  <si>
    <t>SECCIÓN F.1: PROGRAMA DE CANCER DE CUELLO UTERINO: RESULTADOS DE  VPH, REALIZADOS EN EL EXTRASISTEMA SEGÚN  GRUPOS DE EDAD
(Exámenes realizados en extrasistema)</t>
  </si>
  <si>
    <t>Sífilis</t>
  </si>
  <si>
    <t>70 y más años</t>
  </si>
  <si>
    <t>GRUPOS DE EDAD (en meses) Y SEXO</t>
  </si>
  <si>
    <t>Jefe/a de Estadísticas</t>
  </si>
  <si>
    <t>Director/a Servicio de Salud o Director/a Establecimiento</t>
  </si>
  <si>
    <t>DEFICIT PONDERADO BAJO PESO</t>
  </si>
  <si>
    <t>PERSONAS EN ACTIVIDAD FÍSICA SALUD CARDIOVASCULAR</t>
  </si>
  <si>
    <t>Niños y niñas Mejor Niñez</t>
  </si>
  <si>
    <t>Trans</t>
  </si>
  <si>
    <t>Población Mejor Niñez</t>
  </si>
  <si>
    <t>CON ÚLCERAS ACTIVAS DE PIE DIABÉTICO TRATADAS CON CURACIÓN</t>
  </si>
  <si>
    <t>4 y más Visitas</t>
  </si>
  <si>
    <t>TOTAL GESTANTES EN CONTROL &gt;34 SEM</t>
  </si>
  <si>
    <t xml:space="preserve"> Mujeres en control con enfermedad cardiovascular (DM-HTA)</t>
  </si>
  <si>
    <t>SERIE P</t>
  </si>
  <si>
    <t>Mejora en relación a año anterior</t>
  </si>
  <si>
    <t>SECCION E: POBLACIÓN ADOLESCENTE QUE RECIBE CONSEJERÍA</t>
  </si>
  <si>
    <t>SECCION D: POBLACIÓN EN CONTROL SALUD INTEGRAL DE ADOLESCENTES, SEGÚN AMBITOS GINECO-UROLOGICO/SEXUALIDAD</t>
  </si>
  <si>
    <t xml:space="preserve">Versión 1.2: Diciembre 2023 </t>
  </si>
  <si>
    <t>AMBULATORIO (SPE Mejor Niñez)</t>
  </si>
  <si>
    <t>SANCIÓN MEDIO LIBRE (SENAME)</t>
  </si>
  <si>
    <t>SECCIÓN A: NIÑOS, NIÑAS, ADOLESCENTES Y JÓVENES CON VULNERACIÓN DE DERECHOS Y/O INFRACCIÓN A LA LEY EN CONTROL DE SALUD EN APS AL CORTE</t>
  </si>
  <si>
    <t>TOTAL DE NIÑOS/AS EN CONTROL</t>
  </si>
  <si>
    <t>No Olvide Hombres</t>
  </si>
  <si>
    <t>No Olvide Mujeres</t>
  </si>
  <si>
    <t>Madre de hIjos</t>
  </si>
  <si>
    <r>
      <t xml:space="preserve">RESIDENCIALES </t>
    </r>
    <r>
      <rPr>
        <sz val="8"/>
        <color rgb="FFFF0000"/>
        <rFont val="Verdana"/>
        <family val="2"/>
      </rPr>
      <t>(SPE Mejor Niñez)</t>
    </r>
  </si>
  <si>
    <r>
      <t xml:space="preserve">CIP-CRC </t>
    </r>
    <r>
      <rPr>
        <sz val="8"/>
        <color rgb="FFFF0000"/>
        <rFont val="Verdana"/>
        <family val="2"/>
      </rPr>
      <t>(Medio Privativo)</t>
    </r>
  </si>
  <si>
    <t>P1010100</t>
  </si>
  <si>
    <t>P1060124</t>
  </si>
  <si>
    <t>P1010201</t>
  </si>
  <si>
    <t>P1010202</t>
  </si>
  <si>
    <t>P1010203</t>
  </si>
  <si>
    <t>P1040508</t>
  </si>
  <si>
    <t>P1040500</t>
  </si>
  <si>
    <t>P1200190</t>
  </si>
  <si>
    <t>P1600105</t>
  </si>
  <si>
    <t>P1010301</t>
  </si>
  <si>
    <t>P1010302</t>
  </si>
  <si>
    <t>P1200240</t>
  </si>
  <si>
    <t>P1200250</t>
  </si>
  <si>
    <t>P1060010</t>
  </si>
  <si>
    <t>P1600106</t>
  </si>
  <si>
    <t>P1600107</t>
  </si>
  <si>
    <t>P1600108</t>
  </si>
  <si>
    <t>P1600109</t>
  </si>
  <si>
    <t>P1060090</t>
  </si>
  <si>
    <t>P1200270</t>
  </si>
  <si>
    <t>P1200200</t>
  </si>
  <si>
    <t>P1200210</t>
  </si>
  <si>
    <t>P1200220</t>
  </si>
  <si>
    <t>P1200230</t>
  </si>
  <si>
    <t>P1200350</t>
  </si>
  <si>
    <t>P1020100</t>
  </si>
  <si>
    <t>P1020200</t>
  </si>
  <si>
    <t>P1040501</t>
  </si>
  <si>
    <t>P1060100</t>
  </si>
  <si>
    <t>P1060101</t>
  </si>
  <si>
    <t>P1060102</t>
  </si>
  <si>
    <t>P1060103</t>
  </si>
  <si>
    <t>P1060104</t>
  </si>
  <si>
    <t>P1060105</t>
  </si>
  <si>
    <t>P1040502</t>
  </si>
  <si>
    <t>P1040503</t>
  </si>
  <si>
    <t>P1040504</t>
  </si>
  <si>
    <t>P1040505</t>
  </si>
  <si>
    <t>P1030101</t>
  </si>
  <si>
    <t>P1030102</t>
  </si>
  <si>
    <t>P1030103</t>
  </si>
  <si>
    <t>P1030104</t>
  </si>
  <si>
    <t>P1030201</t>
  </si>
  <si>
    <t>P1030202</t>
  </si>
  <si>
    <t>P1030203</t>
  </si>
  <si>
    <t>P1030204</t>
  </si>
  <si>
    <t>P1050100</t>
  </si>
  <si>
    <t>P1050101</t>
  </si>
  <si>
    <t>P1050102</t>
  </si>
  <si>
    <t>P1050103</t>
  </si>
  <si>
    <t>P1050104</t>
  </si>
  <si>
    <t>P1030301</t>
  </si>
  <si>
    <t>P1060040</t>
  </si>
  <si>
    <t>P1060050</t>
  </si>
  <si>
    <t>P1060060</t>
  </si>
  <si>
    <t>P1200340</t>
  </si>
  <si>
    <t>P1200280</t>
  </si>
  <si>
    <t>P1200290</t>
  </si>
  <si>
    <t>P1200300</t>
  </si>
  <si>
    <t>P1200310</t>
  </si>
  <si>
    <t>P1200320</t>
  </si>
  <si>
    <t>P1200330</t>
  </si>
  <si>
    <t>P1600110</t>
  </si>
  <si>
    <t>P1060106</t>
  </si>
  <si>
    <t>P1060107</t>
  </si>
  <si>
    <t>P1060108</t>
  </si>
  <si>
    <t>P1060109</t>
  </si>
  <si>
    <t>P1060110</t>
  </si>
  <si>
    <t>P1060111</t>
  </si>
  <si>
    <t>P1060112</t>
  </si>
  <si>
    <t>P1060113</t>
  </si>
  <si>
    <t>P1060114</t>
  </si>
  <si>
    <t>P1600100</t>
  </si>
  <si>
    <t>P1600101</t>
  </si>
  <si>
    <t>P1600102</t>
  </si>
  <si>
    <t>P1600103</t>
  </si>
  <si>
    <t>P1600111</t>
  </si>
  <si>
    <t>P1600112</t>
  </si>
  <si>
    <t>P1600113</t>
  </si>
  <si>
    <t>P1600114</t>
  </si>
  <si>
    <t>P1600115</t>
  </si>
  <si>
    <t>P1600116</t>
  </si>
  <si>
    <t>P1600117</t>
  </si>
  <si>
    <t>P1600118</t>
  </si>
  <si>
    <t>P1600119</t>
  </si>
  <si>
    <t>P1600120</t>
  </si>
  <si>
    <t>P1030303</t>
  </si>
  <si>
    <t>P1060070</t>
  </si>
  <si>
    <t>P1030304</t>
  </si>
  <si>
    <t>P1030401</t>
  </si>
  <si>
    <t>P1040506</t>
  </si>
  <si>
    <t>P1040507</t>
  </si>
  <si>
    <t>P1060115</t>
  </si>
  <si>
    <t>P1060116</t>
  </si>
  <si>
    <t>P1030403</t>
  </si>
  <si>
    <t>P1060080</t>
  </si>
  <si>
    <t>P1060117</t>
  </si>
  <si>
    <t>P1060118</t>
  </si>
  <si>
    <t>P1060119</t>
  </si>
  <si>
    <t>P1060120</t>
  </si>
  <si>
    <t>P1060121</t>
  </si>
  <si>
    <t>P1060122</t>
  </si>
  <si>
    <t>P1060123</t>
  </si>
  <si>
    <t>P1030404</t>
  </si>
  <si>
    <t>P2060000</t>
  </si>
  <si>
    <t>P2400100</t>
  </si>
  <si>
    <t>P2400110</t>
  </si>
  <si>
    <t>P2070101</t>
  </si>
  <si>
    <t>P2070102</t>
  </si>
  <si>
    <t>P2070201</t>
  </si>
  <si>
    <t>P2070202</t>
  </si>
  <si>
    <t>P2070301</t>
  </si>
  <si>
    <t>P2070302</t>
  </si>
  <si>
    <t>P2400120</t>
  </si>
  <si>
    <t>P2400130</t>
  </si>
  <si>
    <t>P2070401</t>
  </si>
  <si>
    <t>P2070402</t>
  </si>
  <si>
    <t>P2400140</t>
  </si>
  <si>
    <t>P2070501</t>
  </si>
  <si>
    <t>P2070502</t>
  </si>
  <si>
    <t>P2070503</t>
  </si>
  <si>
    <t>P2070504</t>
  </si>
  <si>
    <t>P2070505</t>
  </si>
  <si>
    <t>P2070506</t>
  </si>
  <si>
    <t>P2501800</t>
  </si>
  <si>
    <t>P2400150</t>
  </si>
  <si>
    <t>P2400160</t>
  </si>
  <si>
    <t>P2400170</t>
  </si>
  <si>
    <t>P2400180</t>
  </si>
  <si>
    <t>P2400190</t>
  </si>
  <si>
    <t>P2400200</t>
  </si>
  <si>
    <t>P2400210</t>
  </si>
  <si>
    <t>P2400220</t>
  </si>
  <si>
    <t>P2400230</t>
  </si>
  <si>
    <t>P2400240</t>
  </si>
  <si>
    <t>P2400250</t>
  </si>
  <si>
    <t>P2400260</t>
  </si>
  <si>
    <t>P2400270</t>
  </si>
  <si>
    <t>P2400280</t>
  </si>
  <si>
    <t>P2400290</t>
  </si>
  <si>
    <t>P2400300</t>
  </si>
  <si>
    <t>P2400310</t>
  </si>
  <si>
    <t>P2400320</t>
  </si>
  <si>
    <t>P2400330</t>
  </si>
  <si>
    <t>P2400340</t>
  </si>
  <si>
    <t>P2400350</t>
  </si>
  <si>
    <t>P2400360</t>
  </si>
  <si>
    <t>P2501801</t>
  </si>
  <si>
    <t>P2501802</t>
  </si>
  <si>
    <t>P2501803</t>
  </si>
  <si>
    <t>P2501804</t>
  </si>
  <si>
    <t>P2501805</t>
  </si>
  <si>
    <t>P2501806</t>
  </si>
  <si>
    <t>P2501807</t>
  </si>
  <si>
    <t>P2501808</t>
  </si>
  <si>
    <t>P2501809</t>
  </si>
  <si>
    <t>P2501810</t>
  </si>
  <si>
    <t>P2501811</t>
  </si>
  <si>
    <t>P2501812</t>
  </si>
  <si>
    <t>P2501813</t>
  </si>
  <si>
    <t>P2100200</t>
  </si>
  <si>
    <t>P2300100</t>
  </si>
  <si>
    <t>P2300200</t>
  </si>
  <si>
    <t>P2501814</t>
  </si>
  <si>
    <t>P2501815</t>
  </si>
  <si>
    <t>P2100500</t>
  </si>
  <si>
    <t>P2100600</t>
  </si>
  <si>
    <t>P2300300</t>
  </si>
  <si>
    <t>P2300400</t>
  </si>
  <si>
    <t>P2501816</t>
  </si>
  <si>
    <t>P2501817</t>
  </si>
  <si>
    <t>P2300000</t>
  </si>
  <si>
    <t>P2090300</t>
  </si>
  <si>
    <t>P2090400</t>
  </si>
  <si>
    <t>P2100100</t>
  </si>
  <si>
    <t>P2200700</t>
  </si>
  <si>
    <t>P2200800</t>
  </si>
  <si>
    <t>P2501818</t>
  </si>
  <si>
    <t>P2501819</t>
  </si>
  <si>
    <t>P2501820</t>
  </si>
  <si>
    <t>P2501821</t>
  </si>
  <si>
    <t>P2501822</t>
  </si>
  <si>
    <t>P2300530</t>
  </si>
  <si>
    <t>P2300540</t>
  </si>
  <si>
    <t>P2300550</t>
  </si>
  <si>
    <t>P2300560</t>
  </si>
  <si>
    <t>P2300570</t>
  </si>
  <si>
    <t>P2300580</t>
  </si>
  <si>
    <t>P2501870</t>
  </si>
  <si>
    <t>P2500400</t>
  </si>
  <si>
    <t>P2500500</t>
  </si>
  <si>
    <t>P2501823</t>
  </si>
  <si>
    <t>P2500700</t>
  </si>
  <si>
    <t>P2501824</t>
  </si>
  <si>
    <t>P2501825</t>
  </si>
  <si>
    <t>P2501826</t>
  </si>
  <si>
    <t>P2501827</t>
  </si>
  <si>
    <t>P2501828</t>
  </si>
  <si>
    <t>P2501829</t>
  </si>
  <si>
    <t>P2501830</t>
  </si>
  <si>
    <t>P2501831</t>
  </si>
  <si>
    <t>P2501832</t>
  </si>
  <si>
    <t>P2501400</t>
  </si>
  <si>
    <t>P2501833</t>
  </si>
  <si>
    <t>P2501834</t>
  </si>
  <si>
    <t>P2501600</t>
  </si>
  <si>
    <t>P2501835</t>
  </si>
  <si>
    <t>P2501836</t>
  </si>
  <si>
    <t>P2501837</t>
  </si>
  <si>
    <t>P2501838</t>
  </si>
  <si>
    <t>P2501839</t>
  </si>
  <si>
    <t>P2501840</t>
  </si>
  <si>
    <t>P2500200</t>
  </si>
  <si>
    <t>P2500300</t>
  </si>
  <si>
    <t>P2501841</t>
  </si>
  <si>
    <t>P2501842</t>
  </si>
  <si>
    <t>P2500600</t>
  </si>
  <si>
    <t>P2501843</t>
  </si>
  <si>
    <t>P2501700</t>
  </si>
  <si>
    <t>P2501844</t>
  </si>
  <si>
    <t>P2501845</t>
  </si>
  <si>
    <t>P2501846</t>
  </si>
  <si>
    <t>P2501847</t>
  </si>
  <si>
    <t>P2501848</t>
  </si>
  <si>
    <t>P2501849</t>
  </si>
  <si>
    <t>P2501850</t>
  </si>
  <si>
    <t>P2501851</t>
  </si>
  <si>
    <t>P2501852</t>
  </si>
  <si>
    <t>P2501853</t>
  </si>
  <si>
    <t>P2501854</t>
  </si>
  <si>
    <t>P2501855</t>
  </si>
  <si>
    <t>P2501856</t>
  </si>
  <si>
    <t>P2501857</t>
  </si>
  <si>
    <t>P2501858</t>
  </si>
  <si>
    <t>P2501859</t>
  </si>
  <si>
    <t>P2501860</t>
  </si>
  <si>
    <t>P2501871</t>
  </si>
  <si>
    <t>P2501861</t>
  </si>
  <si>
    <t>P2501862</t>
  </si>
  <si>
    <t>P2501863</t>
  </si>
  <si>
    <t>P2501864</t>
  </si>
  <si>
    <t>P2501865</t>
  </si>
  <si>
    <t>P2501866</t>
  </si>
  <si>
    <t>P2501867</t>
  </si>
  <si>
    <t>P2501868</t>
  </si>
  <si>
    <t>P2501869</t>
  </si>
  <si>
    <t>CODIGOS NUEVOS</t>
  </si>
  <si>
    <t>CODIGO ELIMINADOS</t>
  </si>
  <si>
    <t>P3160950</t>
  </si>
  <si>
    <t>P3160960</t>
  </si>
  <si>
    <t>P3160970</t>
  </si>
  <si>
    <t>P3160980</t>
  </si>
  <si>
    <t>P3160990</t>
  </si>
  <si>
    <t>P3161000</t>
  </si>
  <si>
    <t>P3161010</t>
  </si>
  <si>
    <t>P3161020</t>
  </si>
  <si>
    <t>P3161030</t>
  </si>
  <si>
    <t>P3120500</t>
  </si>
  <si>
    <t>P3161050</t>
  </si>
  <si>
    <t>P3120600</t>
  </si>
  <si>
    <t>P3120700</t>
  </si>
  <si>
    <t>P3170100</t>
  </si>
  <si>
    <t>P3140200</t>
  </si>
  <si>
    <t>P3140300</t>
  </si>
  <si>
    <t>P3120800</t>
  </si>
  <si>
    <t>P3161040</t>
  </si>
  <si>
    <t>P3160910</t>
  </si>
  <si>
    <t>P3160920</t>
  </si>
  <si>
    <t>P3130200</t>
  </si>
  <si>
    <t>P3140400</t>
  </si>
  <si>
    <t>P3171610</t>
  </si>
  <si>
    <t>P3160800</t>
  </si>
  <si>
    <t>P3171611</t>
  </si>
  <si>
    <t>P3171612</t>
  </si>
  <si>
    <t>P3171613</t>
  </si>
  <si>
    <t>P3171614</t>
  </si>
  <si>
    <t>P3171615</t>
  </si>
  <si>
    <t>P3170200</t>
  </si>
  <si>
    <t>P5300600</t>
  </si>
  <si>
    <t>P3170400</t>
  </si>
  <si>
    <t>P3170500</t>
  </si>
  <si>
    <t>P3170600</t>
  </si>
  <si>
    <t>P3170700</t>
  </si>
  <si>
    <t>P3161041</t>
  </si>
  <si>
    <t>P3161042</t>
  </si>
  <si>
    <t>P3161043</t>
  </si>
  <si>
    <t>P3161044</t>
  </si>
  <si>
    <t>P3161045</t>
  </si>
  <si>
    <t>P3161046</t>
  </si>
  <si>
    <t>P3161047</t>
  </si>
  <si>
    <t>P3170800</t>
  </si>
  <si>
    <t>P3170900</t>
  </si>
  <si>
    <t>P3171000</t>
  </si>
  <si>
    <t>P3171100</t>
  </si>
  <si>
    <t>P3171200</t>
  </si>
  <si>
    <t>P3171300</t>
  </si>
  <si>
    <t>P3171400</t>
  </si>
  <si>
    <t>P3171500</t>
  </si>
  <si>
    <t>P3171600</t>
  </si>
  <si>
    <t>P4150100</t>
  </si>
  <si>
    <t>P4190100</t>
  </si>
  <si>
    <t>P4150703</t>
  </si>
  <si>
    <t>P4150801</t>
  </si>
  <si>
    <t>P4150601</t>
  </si>
  <si>
    <t>P4150602</t>
  </si>
  <si>
    <t>P4150603</t>
  </si>
  <si>
    <t>P4150701</t>
  </si>
  <si>
    <t>P4190900</t>
  </si>
  <si>
    <t>P4190910</t>
  </si>
  <si>
    <t>P4190800</t>
  </si>
  <si>
    <t>P4190801</t>
  </si>
  <si>
    <t>P4301020</t>
  </si>
  <si>
    <t>P4190810</t>
  </si>
  <si>
    <t>P4190811</t>
  </si>
  <si>
    <t>P4190803</t>
  </si>
  <si>
    <t>P4190804</t>
  </si>
  <si>
    <t>P4180200</t>
  </si>
  <si>
    <t>P4200100</t>
  </si>
  <si>
    <t>P4180300</t>
  </si>
  <si>
    <t>P4200200</t>
  </si>
  <si>
    <t>P4190920</t>
  </si>
  <si>
    <t>P4180500</t>
  </si>
  <si>
    <t>P4190930</t>
  </si>
  <si>
    <t>P4190940</t>
  </si>
  <si>
    <t>P4301030</t>
  </si>
  <si>
    <t>P4190805</t>
  </si>
  <si>
    <t>P4190806</t>
  </si>
  <si>
    <t>P4301040</t>
  </si>
  <si>
    <t>P4190950</t>
  </si>
  <si>
    <t>P4200600</t>
  </si>
  <si>
    <t>P4200300</t>
  </si>
  <si>
    <t>P4180800</t>
  </si>
  <si>
    <t>P4200700</t>
  </si>
  <si>
    <t>P4190960</t>
  </si>
  <si>
    <t>P4301050</t>
  </si>
  <si>
    <t>P4190807</t>
  </si>
  <si>
    <t>P4190808</t>
  </si>
  <si>
    <t>P4302100</t>
  </si>
  <si>
    <t>P4190809</t>
  </si>
  <si>
    <t>P4170300</t>
  </si>
  <si>
    <t>P4190500</t>
  </si>
  <si>
    <t>P4190600</t>
  </si>
  <si>
    <t>P4190970</t>
  </si>
  <si>
    <t>P4170500</t>
  </si>
  <si>
    <t>P4301060</t>
  </si>
  <si>
    <t>P4302101</t>
  </si>
  <si>
    <t>P4200800</t>
  </si>
  <si>
    <t>P4200900</t>
  </si>
  <si>
    <t>P4301070</t>
  </si>
  <si>
    <t>P4201100</t>
  </si>
  <si>
    <t>P4201200</t>
  </si>
  <si>
    <t>P4302102</t>
  </si>
  <si>
    <t>P4190812</t>
  </si>
  <si>
    <t>P4301080</t>
  </si>
  <si>
    <t>P4200400</t>
  </si>
  <si>
    <t>P4301010</t>
  </si>
  <si>
    <t>P4302103</t>
  </si>
  <si>
    <t>P4201500</t>
  </si>
  <si>
    <t>P4201600</t>
  </si>
  <si>
    <t>P4200500</t>
  </si>
  <si>
    <t>P4201700</t>
  </si>
  <si>
    <t>P4302104</t>
  </si>
  <si>
    <t>P5180100</t>
  </si>
  <si>
    <t>P5180200</t>
  </si>
  <si>
    <t>P5300510</t>
  </si>
  <si>
    <t>P5300100</t>
  </si>
  <si>
    <t>P5300200</t>
  </si>
  <si>
    <t>P5300520</t>
  </si>
  <si>
    <t>P5300530</t>
  </si>
  <si>
    <t>P5300570</t>
  </si>
  <si>
    <t>P5300580</t>
  </si>
  <si>
    <t>P5300590</t>
  </si>
  <si>
    <t>P5190200</t>
  </si>
  <si>
    <t>P5190300</t>
  </si>
  <si>
    <t>P5190400</t>
  </si>
  <si>
    <t>P5200100</t>
  </si>
  <si>
    <t>P5300400</t>
  </si>
  <si>
    <t>P5300500</t>
  </si>
  <si>
    <t>P5300540</t>
  </si>
  <si>
    <t>P5300550</t>
  </si>
  <si>
    <t>P5300560</t>
  </si>
  <si>
    <t>P5400100</t>
  </si>
  <si>
    <t>P5400200</t>
  </si>
  <si>
    <t>P6221000</t>
  </si>
  <si>
    <t>P6221100</t>
  </si>
  <si>
    <t>P6221200</t>
  </si>
  <si>
    <t>P6221500</t>
  </si>
  <si>
    <t>P6230800</t>
  </si>
  <si>
    <t>P6230900</t>
  </si>
  <si>
    <t>P6227601</t>
  </si>
  <si>
    <t>P6221600</t>
  </si>
  <si>
    <t>P6227500</t>
  </si>
  <si>
    <t>P6227600</t>
  </si>
  <si>
    <t>P6221700</t>
  </si>
  <si>
    <t>P6221800</t>
  </si>
  <si>
    <t>P6241110</t>
  </si>
  <si>
    <t>P6241111</t>
  </si>
  <si>
    <t>P6241112</t>
  </si>
  <si>
    <t>P6241113</t>
  </si>
  <si>
    <t>P6241114</t>
  </si>
  <si>
    <t>P6222600</t>
  </si>
  <si>
    <t>P6223060</t>
  </si>
  <si>
    <t>P6223070</t>
  </si>
  <si>
    <t>P6223080</t>
  </si>
  <si>
    <t>P6231000</t>
  </si>
  <si>
    <t>P6241115</t>
  </si>
  <si>
    <t>P6231300</t>
  </si>
  <si>
    <t>P6231400</t>
  </si>
  <si>
    <t>P6231500</t>
  </si>
  <si>
    <t>P6222300</t>
  </si>
  <si>
    <t>P6230100</t>
  </si>
  <si>
    <t>P6230200</t>
  </si>
  <si>
    <t>P6222400</t>
  </si>
  <si>
    <t>P6241116</t>
  </si>
  <si>
    <t>P6222500</t>
  </si>
  <si>
    <t>P6222800</t>
  </si>
  <si>
    <t>P6222900</t>
  </si>
  <si>
    <t>P6241010</t>
  </si>
  <si>
    <t>P6241020</t>
  </si>
  <si>
    <t>P6241030</t>
  </si>
  <si>
    <t>P6241040</t>
  </si>
  <si>
    <t>P6241050</t>
  </si>
  <si>
    <t>P6231600</t>
  </si>
  <si>
    <t>P6227602</t>
  </si>
  <si>
    <t>P6223040</t>
  </si>
  <si>
    <t>P6223050</t>
  </si>
  <si>
    <t>P6230300</t>
  </si>
  <si>
    <t>P6223090</t>
  </si>
  <si>
    <t>P6223100</t>
  </si>
  <si>
    <t>P6223110</t>
  </si>
  <si>
    <t>P6223140</t>
  </si>
  <si>
    <t>P6231900</t>
  </si>
  <si>
    <t>P6232000</t>
  </si>
  <si>
    <t>P6223170</t>
  </si>
  <si>
    <t>P6223180</t>
  </si>
  <si>
    <t>P6223190</t>
  </si>
  <si>
    <t>P6223200</t>
  </si>
  <si>
    <t>P6223210</t>
  </si>
  <si>
    <t>P6223220</t>
  </si>
  <si>
    <t>P6241117</t>
  </si>
  <si>
    <t>P6241118</t>
  </si>
  <si>
    <t>P6241119</t>
  </si>
  <si>
    <t>P6241120</t>
  </si>
  <si>
    <t>P6241121</t>
  </si>
  <si>
    <t>P6223260</t>
  </si>
  <si>
    <t>P6223270</t>
  </si>
  <si>
    <t>P6223280</t>
  </si>
  <si>
    <t>P6223290</t>
  </si>
  <si>
    <t>P6232100</t>
  </si>
  <si>
    <t>P6241122</t>
  </si>
  <si>
    <t>P6232400</t>
  </si>
  <si>
    <t>P6232500</t>
  </si>
  <si>
    <t>P6232600</t>
  </si>
  <si>
    <t>P6223310</t>
  </si>
  <si>
    <t>P6230400</t>
  </si>
  <si>
    <t>P6230500</t>
  </si>
  <si>
    <t>P6223330</t>
  </si>
  <si>
    <t>P6241123</t>
  </si>
  <si>
    <t>P6223350</t>
  </si>
  <si>
    <t>P6223360</t>
  </si>
  <si>
    <t>P6223370</t>
  </si>
  <si>
    <t>P6241060</t>
  </si>
  <si>
    <t>P6241070</t>
  </si>
  <si>
    <t>P6241080</t>
  </si>
  <si>
    <t>P6241090</t>
  </si>
  <si>
    <t>P6241100</t>
  </si>
  <si>
    <t>P6232700</t>
  </si>
  <si>
    <t>P6227603</t>
  </si>
  <si>
    <t>P6223390</t>
  </si>
  <si>
    <t>P6223400</t>
  </si>
  <si>
    <t>P7010100</t>
  </si>
  <si>
    <t>P7010200</t>
  </si>
  <si>
    <t>P7010300</t>
  </si>
  <si>
    <t>P7200100</t>
  </si>
  <si>
    <t>P7200200</t>
  </si>
  <si>
    <t>P7010400</t>
  </si>
  <si>
    <t>P7010500</t>
  </si>
  <si>
    <t>P7010600</t>
  </si>
  <si>
    <t>P7200300</t>
  </si>
  <si>
    <t>P7200400</t>
  </si>
  <si>
    <t>P7200500</t>
  </si>
  <si>
    <t>P7201300</t>
  </si>
  <si>
    <t>P7201400</t>
  </si>
  <si>
    <t>P7201500</t>
  </si>
  <si>
    <t>P7200700</t>
  </si>
  <si>
    <t>P7200800</t>
  </si>
  <si>
    <t>P7200900</t>
  </si>
  <si>
    <t>P7201000</t>
  </si>
  <si>
    <t>P7201100</t>
  </si>
  <si>
    <t>P9100100</t>
  </si>
  <si>
    <t>P9100110</t>
  </si>
  <si>
    <t>P9100120</t>
  </si>
  <si>
    <t>P9100130</t>
  </si>
  <si>
    <t>P9100140</t>
  </si>
  <si>
    <t>P9100150</t>
  </si>
  <si>
    <t>P9100160</t>
  </si>
  <si>
    <t>P9100170</t>
  </si>
  <si>
    <t>P9100180</t>
  </si>
  <si>
    <t>P9100190</t>
  </si>
  <si>
    <t>P9100200</t>
  </si>
  <si>
    <t>P9100210</t>
  </si>
  <si>
    <t>P9100220</t>
  </si>
  <si>
    <t>P9100230</t>
  </si>
  <si>
    <t>P9100240</t>
  </si>
  <si>
    <t>P9100250</t>
  </si>
  <si>
    <t>P9100260</t>
  </si>
  <si>
    <t>P9100270</t>
  </si>
  <si>
    <t>P9100280</t>
  </si>
  <si>
    <t>P9100290</t>
  </si>
  <si>
    <t>P9100300</t>
  </si>
  <si>
    <t>P9100310</t>
  </si>
  <si>
    <t>P9100320</t>
  </si>
  <si>
    <t>P9100330</t>
  </si>
  <si>
    <t>P9100340</t>
  </si>
  <si>
    <t>P9100350</t>
  </si>
  <si>
    <t>P9100360</t>
  </si>
  <si>
    <t>P9100370</t>
  </si>
  <si>
    <t>P9100710</t>
  </si>
  <si>
    <t>P9100711</t>
  </si>
  <si>
    <t>P9100712</t>
  </si>
  <si>
    <t>P9100713</t>
  </si>
  <si>
    <t>P9100714</t>
  </si>
  <si>
    <t>P9100715</t>
  </si>
  <si>
    <t>P9100716</t>
  </si>
  <si>
    <t>P9100717</t>
  </si>
  <si>
    <t>P9100718</t>
  </si>
  <si>
    <t>P9100719</t>
  </si>
  <si>
    <t>P9100440</t>
  </si>
  <si>
    <t>P9100450</t>
  </si>
  <si>
    <t>P9100460</t>
  </si>
  <si>
    <t>P9100470</t>
  </si>
  <si>
    <t>P9100480</t>
  </si>
  <si>
    <t>P9100490</t>
  </si>
  <si>
    <t>P9100500</t>
  </si>
  <si>
    <t>P9100510</t>
  </si>
  <si>
    <t>P9100520</t>
  </si>
  <si>
    <t>P9100530</t>
  </si>
  <si>
    <t>P9100570</t>
  </si>
  <si>
    <t>P9100580</t>
  </si>
  <si>
    <t>P9100590</t>
  </si>
  <si>
    <t>P9100600</t>
  </si>
  <si>
    <t>P9100610</t>
  </si>
  <si>
    <t>P9100620</t>
  </si>
  <si>
    <t>P9100630</t>
  </si>
  <si>
    <t>P9100640</t>
  </si>
  <si>
    <t>P9100650</t>
  </si>
  <si>
    <t>P9100660</t>
  </si>
  <si>
    <t>P9100670</t>
  </si>
  <si>
    <t>P9100680</t>
  </si>
  <si>
    <t>P9100690</t>
  </si>
  <si>
    <t>P9100700</t>
  </si>
  <si>
    <t>P11000150</t>
  </si>
  <si>
    <t>P11000160</t>
  </si>
  <si>
    <t>P11000170</t>
  </si>
  <si>
    <t>P11000180</t>
  </si>
  <si>
    <t>P11000190</t>
  </si>
  <si>
    <t>P11000200</t>
  </si>
  <si>
    <t>P11000140</t>
  </si>
  <si>
    <t>P1207150</t>
  </si>
  <si>
    <t>P1206010</t>
  </si>
  <si>
    <t>P1206020</t>
  </si>
  <si>
    <t>P1206030</t>
  </si>
  <si>
    <t>P1206040</t>
  </si>
  <si>
    <t>P1206050</t>
  </si>
  <si>
    <t>P1206060</t>
  </si>
  <si>
    <t>P1206070</t>
  </si>
  <si>
    <t>P1206080</t>
  </si>
  <si>
    <t>P1207160</t>
  </si>
  <si>
    <t>P1230001</t>
  </si>
  <si>
    <t>P1230002</t>
  </si>
  <si>
    <t>P1230003</t>
  </si>
  <si>
    <t>P1207170</t>
  </si>
  <si>
    <t>P1207010</t>
  </si>
  <si>
    <t>P1207020</t>
  </si>
  <si>
    <t>P1208020</t>
  </si>
  <si>
    <t>P1208030</t>
  </si>
  <si>
    <t>P1208040</t>
  </si>
  <si>
    <t>P1208050</t>
  </si>
  <si>
    <t>P1208060</t>
  </si>
  <si>
    <t>P1208070</t>
  </si>
  <si>
    <t>P1208080</t>
  </si>
  <si>
    <t>P1208090</t>
  </si>
  <si>
    <t>P1208100</t>
  </si>
  <si>
    <t>P1230004</t>
  </si>
  <si>
    <t>P1220091</t>
  </si>
  <si>
    <t>P1220092</t>
  </si>
  <si>
    <t>P1220093</t>
  </si>
  <si>
    <t>P1220094</t>
  </si>
  <si>
    <t>P1220095</t>
  </si>
  <si>
    <t>P1220096</t>
  </si>
  <si>
    <t>P1220097</t>
  </si>
  <si>
    <t>P1220098</t>
  </si>
  <si>
    <t>P1220099</t>
  </si>
  <si>
    <t>P1220100</t>
  </si>
  <si>
    <t>P1220101</t>
  </si>
  <si>
    <t>P1220102</t>
  </si>
  <si>
    <t>P1230005</t>
  </si>
  <si>
    <t>P1207190</t>
  </si>
  <si>
    <t>P1220020</t>
  </si>
  <si>
    <t>P1220030</t>
  </si>
  <si>
    <t>P1207030</t>
  </si>
  <si>
    <t>P1207040</t>
  </si>
  <si>
    <t>P1207050</t>
  </si>
  <si>
    <t>P1207060</t>
  </si>
  <si>
    <t>P1207070</t>
  </si>
  <si>
    <t>P1207080</t>
  </si>
  <si>
    <t>P1207180</t>
  </si>
  <si>
    <t>P1220070</t>
  </si>
  <si>
    <t>P1220090</t>
  </si>
  <si>
    <t>P1207090</t>
  </si>
  <si>
    <t>P1207100</t>
  </si>
  <si>
    <t>P1207110</t>
  </si>
  <si>
    <t>P1207120</t>
  </si>
  <si>
    <t>P1207130</t>
  </si>
  <si>
    <t>P1207140</t>
  </si>
  <si>
    <t>P1240010</t>
  </si>
  <si>
    <t>P1240011</t>
  </si>
  <si>
    <t>P1240012</t>
  </si>
  <si>
    <t>P1240013</t>
  </si>
  <si>
    <t>P1240014</t>
  </si>
  <si>
    <t>P1240015</t>
  </si>
  <si>
    <t>P1240016</t>
  </si>
  <si>
    <t>P1240017</t>
  </si>
  <si>
    <t>P1240018</t>
  </si>
  <si>
    <t>P1240019</t>
  </si>
  <si>
    <t>P1240020</t>
  </si>
  <si>
    <t>P1240021</t>
  </si>
  <si>
    <t>P1240022</t>
  </si>
  <si>
    <t>P1240023</t>
  </si>
  <si>
    <t>P1240024</t>
  </si>
  <si>
    <t>P1240025</t>
  </si>
  <si>
    <t>P1240026</t>
  </si>
  <si>
    <t>P1240027</t>
  </si>
  <si>
    <t>P1240028</t>
  </si>
  <si>
    <t>P1240029</t>
  </si>
  <si>
    <t>P1240030</t>
  </si>
  <si>
    <t>P1240031</t>
  </si>
  <si>
    <t>P1240032</t>
  </si>
  <si>
    <t>P1240033</t>
  </si>
  <si>
    <t>P1240034</t>
  </si>
  <si>
    <t>P1240035</t>
  </si>
  <si>
    <t>P1240036</t>
  </si>
  <si>
    <t>P1240037</t>
  </si>
  <si>
    <t>P1240038</t>
  </si>
  <si>
    <t>P1330010</t>
  </si>
  <si>
    <t>P1330011</t>
  </si>
  <si>
    <t>P1310030</t>
  </si>
  <si>
    <t>P1310040</t>
  </si>
  <si>
    <t>P1310050</t>
  </si>
  <si>
    <t>P1310060</t>
  </si>
  <si>
    <t>P1310070</t>
  </si>
  <si>
    <t>P1310080</t>
  </si>
  <si>
    <t>P1310090</t>
  </si>
  <si>
    <t>P1320010</t>
  </si>
  <si>
    <t>CODIGO NUEVO</t>
  </si>
  <si>
    <t>CODIGO ELIMINADO</t>
  </si>
  <si>
    <t>P1310020</t>
  </si>
  <si>
    <t>COL01</t>
  </si>
  <si>
    <t>COL02</t>
  </si>
  <si>
    <t>COL03</t>
  </si>
  <si>
    <t>COL04</t>
  </si>
  <si>
    <t>COL05</t>
  </si>
  <si>
    <t>COL06</t>
  </si>
  <si>
    <t>COL07</t>
  </si>
  <si>
    <t>COL08</t>
  </si>
  <si>
    <t>COL09</t>
  </si>
  <si>
    <t>COL10</t>
  </si>
  <si>
    <t>COL11</t>
  </si>
  <si>
    <t>COL12</t>
  </si>
  <si>
    <t>COL13</t>
  </si>
  <si>
    <t>COL14</t>
  </si>
  <si>
    <t>COL15</t>
  </si>
  <si>
    <t>COL16</t>
  </si>
  <si>
    <t>COL17</t>
  </si>
  <si>
    <t>COL18</t>
  </si>
  <si>
    <t>COL19</t>
  </si>
  <si>
    <t>COL20</t>
  </si>
  <si>
    <t>COL21</t>
  </si>
  <si>
    <t>COL22</t>
  </si>
  <si>
    <t>COL23</t>
  </si>
  <si>
    <t>COL24</t>
  </si>
  <si>
    <t>COL25</t>
  </si>
  <si>
    <t>COL26</t>
  </si>
  <si>
    <t>COL27</t>
  </si>
  <si>
    <t>COL28</t>
  </si>
  <si>
    <t>COL29</t>
  </si>
  <si>
    <t>COL30</t>
  </si>
  <si>
    <t>COL31</t>
  </si>
  <si>
    <t>COL32</t>
  </si>
  <si>
    <t>COL33</t>
  </si>
  <si>
    <t>COL34</t>
  </si>
  <si>
    <t>COL35</t>
  </si>
  <si>
    <t>COL36</t>
  </si>
  <si>
    <t>COL37</t>
  </si>
  <si>
    <t>COL38</t>
  </si>
  <si>
    <t>COL39</t>
  </si>
  <si>
    <t>COL40</t>
  </si>
  <si>
    <t>COL41</t>
  </si>
  <si>
    <t>COL42</t>
  </si>
  <si>
    <t>COL43</t>
  </si>
  <si>
    <t>COL44</t>
  </si>
  <si>
    <t>COL45</t>
  </si>
  <si>
    <t>COL46</t>
  </si>
  <si>
    <t>COL47</t>
  </si>
  <si>
    <t>COL48</t>
  </si>
  <si>
    <t>P2501872</t>
  </si>
  <si>
    <t>P2501873</t>
  </si>
  <si>
    <t>P2501874</t>
  </si>
  <si>
    <t>P2501875</t>
  </si>
  <si>
    <t>P2501876</t>
  </si>
  <si>
    <t>P2501877</t>
  </si>
  <si>
    <t>P2501878</t>
  </si>
  <si>
    <t>P2501879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</si>
</sst>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_-;\-* #,##0_-;_-* &quot;-&quot;_-;_-@_-"/>
    <numFmt numFmtId="165" formatCode="_-&quot;$&quot;\ * #,##0.00_-;\-&quot;$&quot;\ * #,##0.00_-;_-&quot;$&quot;\ * &quot;-&quot;??_-;_-@_-"/>
    <numFmt numFmtId="166" formatCode="_-* #,##0.00_-;\-* #,##0.00_-;_-* &quot;-&quot;??_-;_-@_-"/>
    <numFmt numFmtId="167" formatCode="_-[$€-2]* #,##0.00_-;\-[$€-2]* #,##0.00_-;_-[$€-2]* &quot;-&quot;??_-"/>
    <numFmt numFmtId="168" formatCode="&quot;$&quot;\ #,##0"/>
  </numFmts>
  <fonts count="4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0"/>
      <name val="Arial"/>
      <family val="2"/>
    </font>
    <font>
      <b/>
      <sz val="11"/>
      <name val="Verdana"/>
      <family val="2"/>
    </font>
    <font>
      <b/>
      <sz val="9"/>
      <name val="Verdana"/>
      <family val="2"/>
    </font>
    <font>
      <sz val="8"/>
      <color indexed="10"/>
      <name val="Verdana"/>
      <family val="2"/>
    </font>
    <font>
      <sz val="8"/>
      <name val="Verdana"/>
      <family val="2"/>
    </font>
    <font>
      <b/>
      <sz val="10"/>
      <name val="Verdana"/>
      <family val="2"/>
    </font>
    <font>
      <sz val="10"/>
      <name val="Arial"/>
      <family val="2"/>
    </font>
    <font>
      <b/>
      <sz val="8"/>
      <color indexed="10"/>
      <name val="Verdana"/>
      <family val="2"/>
    </font>
    <font>
      <b/>
      <sz val="8"/>
      <name val="Verdana"/>
      <family val="2"/>
    </font>
    <font>
      <b/>
      <sz val="10"/>
      <color indexed="60"/>
      <name val="Verdana"/>
      <family val="2"/>
    </font>
    <font>
      <sz val="10"/>
      <name val="Verdana"/>
      <family val="2"/>
    </font>
    <font>
      <b/>
      <sz val="24"/>
      <name val="Verdana"/>
      <family val="2"/>
    </font>
    <font>
      <b/>
      <sz val="12"/>
      <name val="Verdana"/>
      <family val="2"/>
    </font>
    <font>
      <sz val="8"/>
      <name val="Arial"/>
      <family val="2"/>
    </font>
    <font>
      <sz val="14"/>
      <name val="Verdana"/>
      <family val="2"/>
    </font>
    <font>
      <sz val="8"/>
      <name val="Trebuchet MS"/>
      <family val="2"/>
    </font>
    <font>
      <sz val="12"/>
      <name val="Verdana"/>
      <family val="2"/>
    </font>
    <font>
      <sz val="11"/>
      <color indexed="8"/>
      <name val="Calibri"/>
      <family val="2"/>
    </font>
    <font>
      <b/>
      <sz val="14"/>
      <name val="Verdana"/>
      <family val="2"/>
    </font>
    <font>
      <sz val="12"/>
      <name val="Arial"/>
      <family val="2"/>
    </font>
    <font>
      <b/>
      <sz val="12"/>
      <name val="Arial"/>
      <family val="2"/>
    </font>
    <font>
      <sz val="12"/>
      <color indexed="60"/>
      <name val="Verdana"/>
      <family val="2"/>
    </font>
    <font>
      <b/>
      <sz val="18"/>
      <name val="Verdana"/>
      <family val="2"/>
    </font>
    <font>
      <b/>
      <sz val="10"/>
      <color indexed="10"/>
      <name val="Verdana"/>
      <family val="2"/>
    </font>
    <font>
      <sz val="8"/>
      <name val="Calibri"/>
      <family val="2"/>
    </font>
    <font>
      <u/>
      <sz val="8"/>
      <name val="Verdana"/>
      <family val="2"/>
    </font>
    <font>
      <sz val="11"/>
      <color theme="1"/>
      <name val="Calibri"/>
      <family val="2"/>
      <scheme val="minor"/>
    </font>
    <font>
      <sz val="8"/>
      <color rgb="FFFF0000"/>
      <name val="Verdana"/>
      <family val="2"/>
    </font>
    <font>
      <sz val="8"/>
      <color theme="1"/>
      <name val="Verdana"/>
      <family val="2"/>
    </font>
    <font>
      <sz val="8"/>
      <color theme="6" tint="-0.249977111117893"/>
      <name val="Verdana"/>
      <family val="2"/>
    </font>
    <font>
      <b/>
      <sz val="8"/>
      <color theme="1"/>
      <name val="Verdana"/>
      <family val="2"/>
    </font>
    <font>
      <b/>
      <sz val="12"/>
      <color theme="1"/>
      <name val="Verdana"/>
      <family val="2"/>
    </font>
    <font>
      <sz val="8"/>
      <color rgb="FF00B050"/>
      <name val="Verdana"/>
      <family val="2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sz val="11"/>
      <name val="Calibri"/>
      <family val="2"/>
    </font>
    <font>
      <sz val="11"/>
      <name val="Calibri"/>
      <family val="2"/>
    </font>
    <font>
      <sz val="11"/>
      <color rgb="FFFF0000"/>
      <name val="Calibri"/>
      <family val="2"/>
      <scheme val="minor"/>
    </font>
    <font>
      <b/>
      <sz val="8"/>
      <color rgb="FFFF0000"/>
      <name val="Verdana"/>
      <family val="2"/>
    </font>
    <font>
      <sz val="10"/>
      <name val="Comic Sans MS"/>
      <family val="4"/>
    </font>
    <font>
      <sz val="10"/>
      <color indexed="30"/>
      <name val="Verdana"/>
      <family val="2"/>
    </font>
    <font>
      <sz val="11"/>
      <name val="Verdana"/>
      <family val="2"/>
    </font>
    <font>
      <sz val="11"/>
      <color indexed="30"/>
      <name val="Verdana"/>
      <family val="2"/>
    </font>
    <font>
      <sz val="11"/>
      <color rgb="FFFF0000"/>
      <name val="Verdana"/>
      <family val="2"/>
    </font>
    <font>
      <sz val="11"/>
      <color rgb="FF0070C0"/>
      <name val="Verdana"/>
      <family val="2"/>
    </font>
    <font>
      <sz val="11"/>
      <color theme="1"/>
      <name val="Verdana"/>
      <family val="2"/>
    </font>
  </fonts>
  <fills count="33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BA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465926084170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39997558519241921"/>
        <bgColor indexed="64"/>
      </patternFill>
    </fill>
  </fills>
  <borders count="2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medium">
        <color indexed="12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9"/>
      </left>
      <right/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double">
        <color indexed="64"/>
      </left>
      <right style="double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double">
        <color indexed="64"/>
      </right>
      <top style="hair">
        <color indexed="64"/>
      </top>
      <bottom/>
      <diagonal/>
    </border>
    <border>
      <left style="double">
        <color indexed="64"/>
      </left>
      <right style="double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9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hair">
        <color indexed="64"/>
      </right>
      <top/>
      <bottom style="double">
        <color indexed="64"/>
      </bottom>
      <diagonal/>
    </border>
    <border>
      <left/>
      <right style="hair">
        <color indexed="64"/>
      </right>
      <top/>
      <bottom style="double">
        <color indexed="64"/>
      </bottom>
      <diagonal/>
    </border>
    <border>
      <left style="hair">
        <color indexed="64"/>
      </left>
      <right style="thin">
        <color indexed="64"/>
      </right>
      <top/>
      <bottom style="double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hair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hair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 style="medium">
        <color indexed="12"/>
      </left>
      <right/>
      <top style="medium">
        <color indexed="12"/>
      </top>
      <bottom style="medium">
        <color indexed="12"/>
      </bottom>
      <diagonal/>
    </border>
    <border>
      <left/>
      <right/>
      <top style="medium">
        <color indexed="12"/>
      </top>
      <bottom style="medium">
        <color indexed="12"/>
      </bottom>
      <diagonal/>
    </border>
    <border>
      <left/>
      <right style="medium">
        <color indexed="12"/>
      </right>
      <top style="medium">
        <color indexed="12"/>
      </top>
      <bottom style="medium">
        <color indexed="12"/>
      </bottom>
      <diagonal/>
    </border>
    <border>
      <left style="medium">
        <color indexed="12"/>
      </left>
      <right/>
      <top style="medium">
        <color indexed="12"/>
      </top>
      <bottom/>
      <diagonal/>
    </border>
    <border>
      <left/>
      <right/>
      <top style="medium">
        <color indexed="12"/>
      </top>
      <bottom/>
      <diagonal/>
    </border>
    <border>
      <left/>
      <right style="medium">
        <color indexed="12"/>
      </right>
      <top style="medium">
        <color indexed="12"/>
      </top>
      <bottom/>
      <diagonal/>
    </border>
    <border>
      <left style="medium">
        <color indexed="12"/>
      </left>
      <right/>
      <top/>
      <bottom style="medium">
        <color indexed="12"/>
      </bottom>
      <diagonal/>
    </border>
    <border>
      <left/>
      <right/>
      <top/>
      <bottom style="medium">
        <color indexed="12"/>
      </bottom>
      <diagonal/>
    </border>
    <border>
      <left/>
      <right style="medium">
        <color indexed="12"/>
      </right>
      <top/>
      <bottom style="medium">
        <color indexed="12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/>
      <diagonal/>
    </border>
    <border>
      <left style="medium">
        <color rgb="FFFFFFFF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hair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</borders>
  <cellStyleXfs count="159">
    <xf numFmtId="0" fontId="0" fillId="0" borderId="0"/>
    <xf numFmtId="0" fontId="1" fillId="2" borderId="0" applyNumberFormat="0" applyBorder="0" applyAlignment="0" applyProtection="0"/>
    <xf numFmtId="0" fontId="1" fillId="4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3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7" borderId="0" applyNumberFormat="0" applyBorder="0" applyAlignment="0" applyProtection="0"/>
    <xf numFmtId="0" fontId="1" fillId="9" borderId="0" applyNumberFormat="0" applyBorder="0" applyAlignment="0" applyProtection="0"/>
    <xf numFmtId="0" fontId="1" fillId="12" borderId="0" applyNumberFormat="0" applyBorder="0" applyAlignment="0" applyProtection="0"/>
    <xf numFmtId="0" fontId="8" fillId="13" borderId="1" applyBorder="0">
      <protection locked="0"/>
    </xf>
    <xf numFmtId="0" fontId="8" fillId="13" borderId="2" applyNumberFormat="0">
      <protection locked="0"/>
    </xf>
    <xf numFmtId="0" fontId="8" fillId="13" borderId="2" applyNumberFormat="0">
      <protection locked="0"/>
    </xf>
    <xf numFmtId="0" fontId="8" fillId="13" borderId="2" applyNumberFormat="0">
      <protection locked="0"/>
    </xf>
    <xf numFmtId="0" fontId="8" fillId="13" borderId="1" applyBorder="0">
      <protection locked="0"/>
    </xf>
    <xf numFmtId="0" fontId="8" fillId="13" borderId="1" applyBorder="0">
      <protection locked="0"/>
    </xf>
    <xf numFmtId="0" fontId="8" fillId="13" borderId="1" applyBorder="0">
      <protection locked="0"/>
    </xf>
    <xf numFmtId="0" fontId="8" fillId="13" borderId="2" applyNumberFormat="0">
      <protection locked="0"/>
    </xf>
    <xf numFmtId="0" fontId="8" fillId="13" borderId="2" applyNumberFormat="0">
      <protection locked="0"/>
    </xf>
    <xf numFmtId="0" fontId="8" fillId="13" borderId="2" applyNumberFormat="0">
      <protection locked="0"/>
    </xf>
    <xf numFmtId="0" fontId="8" fillId="13" borderId="1" applyBorder="0">
      <protection locked="0"/>
    </xf>
    <xf numFmtId="0" fontId="8" fillId="13" borderId="2" applyNumberFormat="0">
      <protection locked="0"/>
    </xf>
    <xf numFmtId="0" fontId="8" fillId="13" borderId="1" applyBorder="0">
      <protection locked="0"/>
    </xf>
    <xf numFmtId="0" fontId="8" fillId="13" borderId="1" applyBorder="0">
      <protection locked="0"/>
    </xf>
    <xf numFmtId="0" fontId="17" fillId="0" borderId="1" applyNumberFormat="0" applyBorder="0">
      <protection hidden="1"/>
    </xf>
    <xf numFmtId="0" fontId="17" fillId="0" borderId="1" applyNumberFormat="0" applyBorder="0">
      <protection hidden="1"/>
    </xf>
    <xf numFmtId="0" fontId="17" fillId="0" borderId="1" applyNumberFormat="0" applyBorder="0" applyAlignment="0">
      <protection hidden="1"/>
    </xf>
    <xf numFmtId="167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0" fontId="19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0" fontId="28" fillId="0" borderId="0"/>
    <xf numFmtId="0" fontId="8" fillId="0" borderId="0"/>
    <xf numFmtId="0" fontId="28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28" fillId="0" borderId="0"/>
    <xf numFmtId="0" fontId="8" fillId="0" borderId="0"/>
    <xf numFmtId="0" fontId="2" fillId="0" borderId="0" applyFont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2" fillId="0" borderId="0" applyFont="0" applyBorder="0" applyAlignment="0" applyProtection="0"/>
    <xf numFmtId="0" fontId="8" fillId="0" borderId="0"/>
    <xf numFmtId="0" fontId="8" fillId="0" borderId="0"/>
    <xf numFmtId="0" fontId="8" fillId="0" borderId="0"/>
    <xf numFmtId="0" fontId="8" fillId="5" borderId="3" applyNumberFormat="0" applyFont="0" applyAlignment="0" applyProtection="0"/>
    <xf numFmtId="0" fontId="8" fillId="5" borderId="3" applyNumberFormat="0" applyFont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13" borderId="190" applyNumberFormat="0">
      <protection locked="0"/>
    </xf>
    <xf numFmtId="0" fontId="8" fillId="13" borderId="190" applyNumberFormat="0">
      <protection locked="0"/>
    </xf>
    <xf numFmtId="0" fontId="8" fillId="13" borderId="207" applyBorder="0">
      <protection locked="0"/>
    </xf>
    <xf numFmtId="0" fontId="8" fillId="13" borderId="225" applyNumberFormat="0">
      <protection locked="0"/>
    </xf>
    <xf numFmtId="0" fontId="8" fillId="13" borderId="225" applyNumberFormat="0">
      <protection locked="0"/>
    </xf>
    <xf numFmtId="0" fontId="8" fillId="13" borderId="225" applyNumberFormat="0">
      <protection locked="0"/>
    </xf>
    <xf numFmtId="0" fontId="8" fillId="13" borderId="207" applyBorder="0">
      <protection locked="0"/>
    </xf>
    <xf numFmtId="0" fontId="8" fillId="13" borderId="207" applyBorder="0">
      <protection locked="0"/>
    </xf>
    <xf numFmtId="0" fontId="8" fillId="13" borderId="225" applyNumberFormat="0">
      <protection locked="0"/>
    </xf>
    <xf numFmtId="0" fontId="8" fillId="13" borderId="225" applyNumberFormat="0">
      <protection locked="0"/>
    </xf>
    <xf numFmtId="0" fontId="8" fillId="13" borderId="225" applyNumberFormat="0">
      <protection locked="0"/>
    </xf>
    <xf numFmtId="0" fontId="8" fillId="13" borderId="207" applyBorder="0">
      <protection locked="0"/>
    </xf>
    <xf numFmtId="0" fontId="8" fillId="13" borderId="225" applyNumberFormat="0">
      <protection locked="0"/>
    </xf>
    <xf numFmtId="0" fontId="17" fillId="0" borderId="207" applyNumberFormat="0" applyBorder="0">
      <protection hidden="1"/>
    </xf>
    <xf numFmtId="0" fontId="17" fillId="0" borderId="207" applyNumberFormat="0" applyBorder="0">
      <protection hidden="1"/>
    </xf>
    <xf numFmtId="0" fontId="17" fillId="0" borderId="207" applyNumberFormat="0" applyBorder="0" applyAlignment="0">
      <protection hidden="1"/>
    </xf>
    <xf numFmtId="0" fontId="8" fillId="5" borderId="226" applyNumberFormat="0" applyFont="0" applyAlignment="0" applyProtection="0"/>
    <xf numFmtId="0" fontId="8" fillId="5" borderId="226" applyNumberFormat="0" applyFont="0" applyAlignment="0" applyProtection="0"/>
    <xf numFmtId="0" fontId="8" fillId="13" borderId="227" applyNumberFormat="0">
      <protection locked="0"/>
    </xf>
    <xf numFmtId="0" fontId="8" fillId="13" borderId="227" applyNumberFormat="0">
      <protection locked="0"/>
    </xf>
    <xf numFmtId="0" fontId="41" fillId="0" borderId="0"/>
  </cellStyleXfs>
  <cellXfs count="2559">
    <xf numFmtId="0" fontId="0" fillId="0" borderId="0" xfId="0"/>
    <xf numFmtId="0" fontId="5" fillId="0" borderId="0" xfId="124" applyFont="1" applyAlignment="1" applyProtection="1"/>
    <xf numFmtId="0" fontId="6" fillId="0" borderId="0" xfId="124" applyFont="1" applyAlignment="1" applyProtection="1"/>
    <xf numFmtId="0" fontId="3" fillId="14" borderId="5" xfId="124" applyFont="1" applyFill="1" applyBorder="1" applyAlignment="1" applyProtection="1">
      <alignment horizontal="center"/>
      <protection locked="0"/>
    </xf>
    <xf numFmtId="0" fontId="9" fillId="0" borderId="0" xfId="124" applyFont="1" applyBorder="1" applyAlignment="1" applyProtection="1">
      <alignment horizontal="left" vertical="center"/>
    </xf>
    <xf numFmtId="0" fontId="9" fillId="0" borderId="0" xfId="124" applyFont="1" applyAlignment="1" applyProtection="1">
      <alignment horizontal="left" vertical="center"/>
    </xf>
    <xf numFmtId="0" fontId="7" fillId="0" borderId="0" xfId="124" applyFont="1" applyBorder="1" applyAlignment="1" applyProtection="1">
      <alignment horizontal="center" vertical="center"/>
    </xf>
    <xf numFmtId="0" fontId="6" fillId="15" borderId="0" xfId="14" applyNumberFormat="1" applyFont="1" applyFill="1" applyBorder="1">
      <protection locked="0"/>
    </xf>
    <xf numFmtId="0" fontId="3" fillId="14" borderId="7" xfId="124" applyFont="1" applyFill="1" applyBorder="1" applyAlignment="1" applyProtection="1">
      <alignment horizontal="center"/>
      <protection locked="0"/>
    </xf>
    <xf numFmtId="0" fontId="3" fillId="0" borderId="9" xfId="124" applyFont="1" applyBorder="1" applyAlignment="1" applyProtection="1">
      <alignment horizontal="center"/>
    </xf>
    <xf numFmtId="0" fontId="3" fillId="0" borderId="0" xfId="124" applyFont="1" applyBorder="1" applyAlignment="1" applyProtection="1">
      <alignment horizontal="center"/>
    </xf>
    <xf numFmtId="0" fontId="10" fillId="0" borderId="0" xfId="124" applyFont="1" applyBorder="1" applyAlignment="1" applyProtection="1">
      <alignment horizontal="left" vertical="center"/>
    </xf>
    <xf numFmtId="0" fontId="10" fillId="0" borderId="0" xfId="124" applyFont="1" applyAlignment="1" applyProtection="1">
      <alignment horizontal="center" vertical="center"/>
    </xf>
    <xf numFmtId="0" fontId="7" fillId="0" borderId="0" xfId="124" applyFont="1" applyBorder="1" applyAlignment="1" applyProtection="1">
      <alignment horizontal="left" vertical="center"/>
    </xf>
    <xf numFmtId="0" fontId="3" fillId="14" borderId="10" xfId="124" applyFont="1" applyFill="1" applyBorder="1" applyAlignment="1" applyProtection="1">
      <alignment horizontal="center"/>
      <protection locked="0"/>
    </xf>
    <xf numFmtId="0" fontId="3" fillId="0" borderId="0" xfId="124" applyFont="1" applyAlignment="1" applyProtection="1">
      <alignment horizontal="center"/>
    </xf>
    <xf numFmtId="0" fontId="10" fillId="0" borderId="0" xfId="124" applyFont="1" applyAlignment="1" applyProtection="1">
      <alignment horizontal="left" vertical="center"/>
    </xf>
    <xf numFmtId="0" fontId="10" fillId="15" borderId="0" xfId="14" applyNumberFormat="1" applyFont="1" applyFill="1" applyBorder="1">
      <protection locked="0"/>
    </xf>
    <xf numFmtId="0" fontId="12" fillId="0" borderId="0" xfId="124" applyFont="1" applyAlignment="1" applyProtection="1">
      <alignment horizontal="left"/>
    </xf>
    <xf numFmtId="0" fontId="12" fillId="0" borderId="0" xfId="124" applyFont="1" applyAlignment="1" applyProtection="1"/>
    <xf numFmtId="0" fontId="12" fillId="15" borderId="1" xfId="14" applyNumberFormat="1" applyFont="1" applyFill="1" applyBorder="1" applyAlignment="1">
      <alignment horizontal="center"/>
      <protection locked="0"/>
    </xf>
    <xf numFmtId="1" fontId="6" fillId="0" borderId="0" xfId="124" applyNumberFormat="1" applyFont="1" applyAlignment="1" applyProtection="1">
      <alignment horizontal="right"/>
    </xf>
    <xf numFmtId="49" fontId="6" fillId="0" borderId="0" xfId="124" applyNumberFormat="1" applyFont="1" applyAlignment="1" applyProtection="1">
      <alignment horizontal="center"/>
    </xf>
    <xf numFmtId="0" fontId="6" fillId="14" borderId="0" xfId="124" applyFont="1" applyFill="1" applyAlignment="1" applyProtection="1"/>
    <xf numFmtId="0" fontId="8" fillId="0" borderId="0" xfId="0" applyFont="1"/>
    <xf numFmtId="0" fontId="8" fillId="0" borderId="4" xfId="0" applyFont="1" applyBorder="1"/>
    <xf numFmtId="0" fontId="6" fillId="0" borderId="0" xfId="124" applyFont="1" applyAlignment="1" applyProtection="1">
      <alignment horizontal="left"/>
    </xf>
    <xf numFmtId="0" fontId="5" fillId="0" borderId="0" xfId="124" applyFont="1" applyAlignment="1" applyProtection="1">
      <alignment horizontal="center"/>
    </xf>
    <xf numFmtId="0" fontId="6" fillId="0" borderId="0" xfId="124" applyFont="1" applyAlignment="1" applyProtection="1">
      <alignment horizontal="center"/>
    </xf>
    <xf numFmtId="0" fontId="6" fillId="14" borderId="0" xfId="0" applyFont="1" applyFill="1"/>
    <xf numFmtId="0" fontId="20" fillId="0" borderId="12" xfId="0" applyFont="1" applyBorder="1" applyAlignment="1" applyProtection="1">
      <alignment vertical="center"/>
      <protection hidden="1"/>
    </xf>
    <xf numFmtId="0" fontId="8" fillId="0" borderId="13" xfId="0" applyFont="1" applyBorder="1" applyProtection="1">
      <protection hidden="1"/>
    </xf>
    <xf numFmtId="0" fontId="8" fillId="0" borderId="14" xfId="0" applyFont="1" applyBorder="1" applyProtection="1">
      <protection hidden="1"/>
    </xf>
    <xf numFmtId="0" fontId="16" fillId="0" borderId="15" xfId="0" applyFont="1" applyBorder="1" applyProtection="1">
      <protection hidden="1"/>
    </xf>
    <xf numFmtId="0" fontId="8" fillId="0" borderId="0" xfId="0" applyFont="1" applyProtection="1">
      <protection hidden="1"/>
    </xf>
    <xf numFmtId="0" fontId="8" fillId="0" borderId="16" xfId="0" applyFont="1" applyBorder="1" applyProtection="1">
      <protection hidden="1"/>
    </xf>
    <xf numFmtId="0" fontId="16" fillId="0" borderId="17" xfId="0" applyFont="1" applyBorder="1" applyProtection="1">
      <protection hidden="1"/>
    </xf>
    <xf numFmtId="0" fontId="8" fillId="0" borderId="18" xfId="0" applyFont="1" applyBorder="1" applyProtection="1">
      <protection hidden="1"/>
    </xf>
    <xf numFmtId="0" fontId="8" fillId="0" borderId="19" xfId="0" applyFont="1" applyBorder="1" applyProtection="1">
      <protection hidden="1"/>
    </xf>
    <xf numFmtId="0" fontId="14" fillId="0" borderId="1" xfId="0" applyFont="1" applyBorder="1" applyAlignment="1" applyProtection="1">
      <alignment horizontal="center" vertical="center" wrapText="1"/>
      <protection hidden="1"/>
    </xf>
    <xf numFmtId="0" fontId="21" fillId="0" borderId="1" xfId="0" applyFont="1" applyBorder="1" applyProtection="1">
      <protection hidden="1"/>
    </xf>
    <xf numFmtId="0" fontId="22" fillId="0" borderId="1" xfId="0" applyFont="1" applyBorder="1" applyProtection="1">
      <protection hidden="1"/>
    </xf>
    <xf numFmtId="0" fontId="2" fillId="0" borderId="1" xfId="0" applyFont="1" applyBorder="1" applyProtection="1">
      <protection locked="0"/>
    </xf>
    <xf numFmtId="0" fontId="23" fillId="0" borderId="1" xfId="0" applyFont="1" applyBorder="1" applyAlignment="1" applyProtection="1">
      <alignment horizontal="center"/>
      <protection hidden="1"/>
    </xf>
    <xf numFmtId="0" fontId="12" fillId="0" borderId="1" xfId="0" applyFont="1" applyBorder="1" applyProtection="1">
      <protection locked="0"/>
    </xf>
    <xf numFmtId="0" fontId="6" fillId="0" borderId="1" xfId="0" applyFont="1" applyBorder="1" applyProtection="1">
      <protection locked="0"/>
    </xf>
    <xf numFmtId="0" fontId="12" fillId="0" borderId="0" xfId="109" applyFont="1"/>
    <xf numFmtId="0" fontId="18" fillId="0" borderId="0" xfId="109" applyFont="1"/>
    <xf numFmtId="0" fontId="7" fillId="0" borderId="0" xfId="109" applyFont="1"/>
    <xf numFmtId="0" fontId="7" fillId="16" borderId="0" xfId="0" applyFont="1" applyFill="1" applyAlignment="1">
      <alignment horizontal="center" vertical="center" wrapText="1"/>
    </xf>
    <xf numFmtId="0" fontId="7" fillId="16" borderId="0" xfId="0" applyFont="1" applyFill="1" applyAlignment="1">
      <alignment vertical="center"/>
    </xf>
    <xf numFmtId="0" fontId="7" fillId="16" borderId="20" xfId="0" applyFont="1" applyFill="1" applyBorder="1" applyAlignment="1">
      <alignment horizontal="center" vertical="center" wrapText="1"/>
    </xf>
    <xf numFmtId="0" fontId="7" fillId="0" borderId="0" xfId="109" applyFont="1" applyAlignment="1">
      <alignment vertical="center"/>
    </xf>
    <xf numFmtId="0" fontId="6" fillId="16" borderId="0" xfId="0" applyFont="1" applyFill="1" applyAlignment="1">
      <alignment vertical="center" wrapText="1"/>
    </xf>
    <xf numFmtId="1" fontId="10" fillId="17" borderId="0" xfId="0" applyNumberFormat="1" applyFont="1" applyFill="1"/>
    <xf numFmtId="1" fontId="10" fillId="0" borderId="0" xfId="0" applyNumberFormat="1" applyFont="1"/>
    <xf numFmtId="1" fontId="10" fillId="17" borderId="0" xfId="0" applyNumberFormat="1" applyFont="1" applyFill="1" applyAlignment="1">
      <alignment horizontal="center"/>
    </xf>
    <xf numFmtId="1" fontId="6" fillId="0" borderId="0" xfId="0" applyNumberFormat="1" applyFont="1" applyProtection="1">
      <protection hidden="1"/>
    </xf>
    <xf numFmtId="1" fontId="6" fillId="0" borderId="0" xfId="0" applyNumberFormat="1" applyFont="1" applyAlignment="1" applyProtection="1">
      <alignment horizontal="center" vertical="center"/>
      <protection hidden="1"/>
    </xf>
    <xf numFmtId="1" fontId="6" fillId="0" borderId="7" xfId="0" applyNumberFormat="1" applyFont="1" applyBorder="1" applyAlignment="1">
      <alignment horizontal="center" vertical="center" wrapText="1"/>
    </xf>
    <xf numFmtId="1" fontId="6" fillId="0" borderId="8" xfId="0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1" fontId="6" fillId="0" borderId="30" xfId="0" applyNumberFormat="1" applyFont="1" applyBorder="1" applyAlignment="1" applyProtection="1">
      <alignment horizontal="left" wrapText="1"/>
      <protection hidden="1"/>
    </xf>
    <xf numFmtId="1" fontId="6" fillId="0" borderId="35" xfId="0" applyNumberFormat="1" applyFont="1" applyBorder="1" applyAlignment="1" applyProtection="1">
      <alignment horizontal="left" wrapText="1"/>
      <protection hidden="1"/>
    </xf>
    <xf numFmtId="1" fontId="6" fillId="0" borderId="30" xfId="0" applyNumberFormat="1" applyFont="1" applyBorder="1" applyProtection="1">
      <protection hidden="1"/>
    </xf>
    <xf numFmtId="1" fontId="5" fillId="0" borderId="0" xfId="0" applyNumberFormat="1" applyFont="1" applyProtection="1">
      <protection hidden="1"/>
    </xf>
    <xf numFmtId="1" fontId="6" fillId="0" borderId="35" xfId="0" applyNumberFormat="1" applyFont="1" applyBorder="1" applyProtection="1">
      <protection hidden="1"/>
    </xf>
    <xf numFmtId="1" fontId="6" fillId="0" borderId="1" xfId="0" applyNumberFormat="1" applyFont="1" applyBorder="1" applyAlignment="1" applyProtection="1">
      <alignment horizontal="center"/>
      <protection hidden="1"/>
    </xf>
    <xf numFmtId="1" fontId="10" fillId="0" borderId="0" xfId="0" applyNumberFormat="1" applyFont="1" applyAlignment="1">
      <alignment horizontal="right"/>
    </xf>
    <xf numFmtId="1" fontId="6" fillId="0" borderId="66" xfId="0" applyNumberFormat="1" applyFont="1" applyBorder="1" applyProtection="1">
      <protection hidden="1"/>
    </xf>
    <xf numFmtId="1" fontId="6" fillId="0" borderId="30" xfId="0" applyNumberFormat="1" applyFont="1" applyBorder="1" applyAlignment="1" applyProtection="1">
      <alignment horizontal="left"/>
      <protection hidden="1"/>
    </xf>
    <xf numFmtId="1" fontId="6" fillId="0" borderId="35" xfId="0" applyNumberFormat="1" applyFont="1" applyBorder="1" applyAlignment="1" applyProtection="1">
      <alignment horizontal="left"/>
      <protection hidden="1"/>
    </xf>
    <xf numFmtId="1" fontId="6" fillId="0" borderId="45" xfId="0" applyNumberFormat="1" applyFont="1" applyBorder="1" applyAlignment="1" applyProtection="1">
      <alignment horizontal="left"/>
      <protection hidden="1"/>
    </xf>
    <xf numFmtId="1" fontId="6" fillId="0" borderId="72" xfId="0" applyNumberFormat="1" applyFont="1" applyBorder="1" applyAlignment="1" applyProtection="1">
      <alignment vertical="center" wrapText="1"/>
      <protection hidden="1"/>
    </xf>
    <xf numFmtId="1" fontId="6" fillId="0" borderId="73" xfId="0" applyNumberFormat="1" applyFont="1" applyBorder="1" applyAlignment="1" applyProtection="1">
      <alignment vertical="center" wrapText="1"/>
      <protection hidden="1"/>
    </xf>
    <xf numFmtId="1" fontId="6" fillId="0" borderId="66" xfId="0" applyNumberFormat="1" applyFont="1" applyBorder="1" applyAlignment="1" applyProtection="1">
      <alignment vertical="center" wrapText="1"/>
      <protection hidden="1"/>
    </xf>
    <xf numFmtId="1" fontId="10" fillId="0" borderId="0" xfId="0" applyNumberFormat="1" applyFont="1" applyAlignment="1" applyProtection="1">
      <alignment horizontal="center" vertical="center"/>
      <protection hidden="1"/>
    </xf>
    <xf numFmtId="1" fontId="6" fillId="0" borderId="10" xfId="0" applyNumberFormat="1" applyFont="1" applyBorder="1" applyAlignment="1" applyProtection="1">
      <alignment vertical="center" wrapText="1"/>
      <protection hidden="1"/>
    </xf>
    <xf numFmtId="1" fontId="9" fillId="0" borderId="0" xfId="0" applyNumberFormat="1" applyFont="1" applyProtection="1">
      <protection hidden="1"/>
    </xf>
    <xf numFmtId="1" fontId="6" fillId="0" borderId="7" xfId="0" applyNumberFormat="1" applyFont="1" applyBorder="1" applyAlignment="1" applyProtection="1">
      <alignment horizontal="center" vertical="center" wrapText="1"/>
      <protection hidden="1"/>
    </xf>
    <xf numFmtId="1" fontId="6" fillId="0" borderId="8" xfId="0" applyNumberFormat="1" applyFont="1" applyBorder="1" applyAlignment="1" applyProtection="1">
      <alignment horizontal="center" vertical="center" wrapText="1"/>
      <protection hidden="1"/>
    </xf>
    <xf numFmtId="1" fontId="6" fillId="0" borderId="30" xfId="0" applyNumberFormat="1" applyFont="1" applyBorder="1" applyAlignment="1">
      <alignment horizontal="center" vertical="center" wrapText="1"/>
    </xf>
    <xf numFmtId="1" fontId="6" fillId="0" borderId="35" xfId="0" applyNumberFormat="1" applyFont="1" applyBorder="1" applyAlignment="1">
      <alignment horizontal="center" vertical="center"/>
    </xf>
    <xf numFmtId="1" fontId="6" fillId="0" borderId="66" xfId="0" applyNumberFormat="1" applyFont="1" applyBorder="1" applyAlignment="1">
      <alignment horizontal="center" vertical="center"/>
    </xf>
    <xf numFmtId="1" fontId="6" fillId="0" borderId="78" xfId="0" applyNumberFormat="1" applyFont="1" applyBorder="1" applyAlignment="1">
      <alignment horizontal="center" vertical="center" wrapText="1"/>
    </xf>
    <xf numFmtId="1" fontId="6" fillId="0" borderId="0" xfId="0" applyNumberFormat="1" applyFont="1" applyAlignment="1" applyProtection="1">
      <alignment horizontal="center" vertical="center" wrapText="1"/>
      <protection hidden="1"/>
    </xf>
    <xf numFmtId="1" fontId="6" fillId="0" borderId="0" xfId="0" applyNumberFormat="1" applyFont="1" applyAlignment="1" applyProtection="1">
      <alignment wrapText="1"/>
      <protection hidden="1"/>
    </xf>
    <xf numFmtId="1" fontId="6" fillId="0" borderId="72" xfId="0" applyNumberFormat="1" applyFont="1" applyBorder="1" applyAlignment="1">
      <alignment wrapText="1"/>
    </xf>
    <xf numFmtId="1" fontId="6" fillId="0" borderId="75" xfId="0" applyNumberFormat="1" applyFont="1" applyBorder="1" applyAlignment="1" applyProtection="1">
      <alignment wrapText="1"/>
      <protection hidden="1"/>
    </xf>
    <xf numFmtId="1" fontId="6" fillId="0" borderId="73" xfId="0" applyNumberFormat="1" applyFont="1" applyBorder="1" applyAlignment="1">
      <alignment wrapText="1"/>
    </xf>
    <xf numFmtId="1" fontId="6" fillId="0" borderId="77" xfId="0" applyNumberFormat="1" applyFont="1" applyBorder="1" applyAlignment="1">
      <alignment wrapText="1"/>
    </xf>
    <xf numFmtId="1" fontId="6" fillId="0" borderId="29" xfId="127" applyNumberFormat="1" applyFont="1" applyBorder="1" applyAlignment="1" applyProtection="1">
      <alignment horizontal="center" vertical="center" wrapText="1"/>
      <protection hidden="1"/>
    </xf>
    <xf numFmtId="1" fontId="6" fillId="0" borderId="7" xfId="125" applyNumberFormat="1" applyFont="1" applyBorder="1" applyAlignment="1">
      <alignment horizontal="center" vertical="center" wrapText="1"/>
    </xf>
    <xf numFmtId="1" fontId="6" fillId="0" borderId="5" xfId="125" applyNumberFormat="1" applyFont="1" applyBorder="1" applyAlignment="1">
      <alignment horizontal="center" vertical="center" wrapText="1"/>
    </xf>
    <xf numFmtId="1" fontId="6" fillId="0" borderId="73" xfId="125" applyNumberFormat="1" applyFont="1" applyBorder="1"/>
    <xf numFmtId="1" fontId="6" fillId="0" borderId="89" xfId="125" applyNumberFormat="1" applyFont="1" applyBorder="1"/>
    <xf numFmtId="1" fontId="6" fillId="0" borderId="45" xfId="125" applyNumberFormat="1" applyFont="1" applyBorder="1"/>
    <xf numFmtId="1" fontId="6" fillId="0" borderId="10" xfId="125" applyNumberFormat="1" applyFont="1" applyBorder="1"/>
    <xf numFmtId="1" fontId="6" fillId="0" borderId="1" xfId="125" applyNumberFormat="1" applyFont="1" applyBorder="1"/>
    <xf numFmtId="1" fontId="6" fillId="0" borderId="74" xfId="125" applyNumberFormat="1" applyFont="1" applyBorder="1"/>
    <xf numFmtId="1" fontId="6" fillId="0" borderId="94" xfId="125" applyNumberFormat="1" applyFont="1" applyBorder="1"/>
    <xf numFmtId="1" fontId="6" fillId="0" borderId="27" xfId="125" applyNumberFormat="1" applyFont="1" applyBorder="1"/>
    <xf numFmtId="1" fontId="6" fillId="0" borderId="39" xfId="125" applyNumberFormat="1" applyFont="1" applyBorder="1"/>
    <xf numFmtId="1" fontId="6" fillId="0" borderId="44" xfId="125" applyNumberFormat="1" applyFont="1" applyBorder="1"/>
    <xf numFmtId="1" fontId="6" fillId="0" borderId="34" xfId="125" applyNumberFormat="1" applyFont="1" applyBorder="1"/>
    <xf numFmtId="1" fontId="6" fillId="17" borderId="0" xfId="0" applyNumberFormat="1" applyFont="1" applyFill="1" applyProtection="1">
      <protection hidden="1"/>
    </xf>
    <xf numFmtId="1" fontId="6" fillId="17" borderId="0" xfId="125" applyNumberFormat="1" applyFont="1" applyFill="1" applyAlignment="1">
      <alignment horizontal="center" vertical="center"/>
    </xf>
    <xf numFmtId="1" fontId="6" fillId="17" borderId="0" xfId="125" quotePrefix="1" applyNumberFormat="1" applyFont="1" applyFill="1" applyAlignment="1">
      <alignment horizontal="center" vertical="center"/>
    </xf>
    <xf numFmtId="1" fontId="6" fillId="0" borderId="30" xfId="0" quotePrefix="1" applyNumberFormat="1" applyFont="1" applyBorder="1" applyAlignment="1">
      <alignment horizontal="left" wrapText="1"/>
    </xf>
    <xf numFmtId="1" fontId="5" fillId="17" borderId="0" xfId="0" applyNumberFormat="1" applyFont="1" applyFill="1"/>
    <xf numFmtId="1" fontId="6" fillId="0" borderId="35" xfId="0" quotePrefix="1" applyNumberFormat="1" applyFont="1" applyBorder="1" applyAlignment="1">
      <alignment horizontal="left" wrapText="1"/>
    </xf>
    <xf numFmtId="1" fontId="6" fillId="0" borderId="66" xfId="0" quotePrefix="1" applyNumberFormat="1" applyFont="1" applyBorder="1" applyAlignment="1">
      <alignment horizontal="left" wrapText="1"/>
    </xf>
    <xf numFmtId="1" fontId="6" fillId="17" borderId="0" xfId="125" applyNumberFormat="1" applyFont="1" applyFill="1" applyAlignment="1" applyProtection="1">
      <alignment horizontal="right"/>
      <protection hidden="1"/>
    </xf>
    <xf numFmtId="1" fontId="6" fillId="0" borderId="30" xfId="125" applyNumberFormat="1" applyFont="1" applyBorder="1" applyAlignment="1">
      <alignment vertical="center"/>
    </xf>
    <xf numFmtId="1" fontId="6" fillId="0" borderId="35" xfId="125" applyNumberFormat="1" applyFont="1" applyBorder="1" applyAlignment="1">
      <alignment vertical="center"/>
    </xf>
    <xf numFmtId="1" fontId="6" fillId="0" borderId="45" xfId="125" applyNumberFormat="1" applyFont="1" applyBorder="1" applyAlignment="1">
      <alignment vertical="center"/>
    </xf>
    <xf numFmtId="1" fontId="6" fillId="0" borderId="1" xfId="125" applyNumberFormat="1" applyFont="1" applyBorder="1" applyAlignment="1">
      <alignment horizontal="center" vertical="center"/>
    </xf>
    <xf numFmtId="1" fontId="6" fillId="0" borderId="0" xfId="125" applyNumberFormat="1" applyFont="1" applyAlignment="1">
      <alignment horizontal="center" vertical="center" wrapText="1"/>
    </xf>
    <xf numFmtId="1" fontId="6" fillId="17" borderId="9" xfId="125" applyNumberFormat="1" applyFont="1" applyFill="1" applyBorder="1" applyAlignment="1">
      <alignment horizontal="center" vertical="center"/>
    </xf>
    <xf numFmtId="1" fontId="6" fillId="0" borderId="102" xfId="125" applyNumberFormat="1" applyFont="1" applyBorder="1" applyAlignment="1">
      <alignment horizontal="center" vertical="center" wrapText="1"/>
    </xf>
    <xf numFmtId="1" fontId="10" fillId="0" borderId="0" xfId="131" applyNumberFormat="1" applyFont="1" applyAlignment="1">
      <alignment horizontal="left"/>
    </xf>
    <xf numFmtId="1" fontId="10" fillId="0" borderId="0" xfId="0" applyNumberFormat="1" applyFont="1" applyAlignment="1">
      <alignment horizontal="center"/>
    </xf>
    <xf numFmtId="1" fontId="10" fillId="0" borderId="0" xfId="126" applyNumberFormat="1" applyFont="1"/>
    <xf numFmtId="1" fontId="10" fillId="0" borderId="0" xfId="126" applyNumberFormat="1" applyFont="1" applyAlignment="1">
      <alignment vertical="center"/>
    </xf>
    <xf numFmtId="1" fontId="6" fillId="0" borderId="0" xfId="126" applyNumberFormat="1" applyFont="1"/>
    <xf numFmtId="1" fontId="6" fillId="0" borderId="7" xfId="127" applyNumberFormat="1" applyFont="1" applyBorder="1" applyAlignment="1" applyProtection="1">
      <alignment horizontal="center" vertical="center" wrapText="1"/>
      <protection hidden="1"/>
    </xf>
    <xf numFmtId="1" fontId="6" fillId="0" borderId="46" xfId="126" applyNumberFormat="1" applyFont="1" applyBorder="1" applyAlignment="1">
      <alignment horizontal="center" vertical="center"/>
    </xf>
    <xf numFmtId="1" fontId="6" fillId="0" borderId="102" xfId="126" applyNumberFormat="1" applyFont="1" applyBorder="1" applyAlignment="1">
      <alignment horizontal="center" vertical="center"/>
    </xf>
    <xf numFmtId="1" fontId="6" fillId="0" borderId="99" xfId="126" applyNumberFormat="1" applyFont="1" applyBorder="1" applyAlignment="1">
      <alignment horizontal="center" vertical="center"/>
    </xf>
    <xf numFmtId="1" fontId="6" fillId="0" borderId="99" xfId="126" applyNumberFormat="1" applyFont="1" applyBorder="1" applyAlignment="1" applyProtection="1">
      <alignment horizontal="center" vertical="center"/>
      <protection hidden="1"/>
    </xf>
    <xf numFmtId="1" fontId="6" fillId="0" borderId="102" xfId="126" applyNumberFormat="1" applyFont="1" applyBorder="1" applyAlignment="1" applyProtection="1">
      <alignment horizontal="center" vertical="center"/>
      <protection hidden="1"/>
    </xf>
    <xf numFmtId="1" fontId="6" fillId="0" borderId="7" xfId="109" applyNumberFormat="1" applyFont="1" applyBorder="1" applyAlignment="1">
      <alignment horizontal="center" vertical="center" wrapText="1"/>
    </xf>
    <xf numFmtId="1" fontId="6" fillId="0" borderId="5" xfId="109" applyNumberFormat="1" applyFont="1" applyBorder="1" applyAlignment="1">
      <alignment horizontal="center" vertical="center" wrapText="1"/>
    </xf>
    <xf numFmtId="1" fontId="6" fillId="0" borderId="23" xfId="109" applyNumberFormat="1" applyFont="1" applyBorder="1" applyAlignment="1">
      <alignment horizontal="center" vertical="center" wrapText="1"/>
    </xf>
    <xf numFmtId="1" fontId="6" fillId="0" borderId="34" xfId="125" applyNumberFormat="1" applyFont="1" applyBorder="1" applyAlignment="1">
      <alignment horizontal="left" vertical="center"/>
    </xf>
    <xf numFmtId="1" fontId="6" fillId="0" borderId="29" xfId="125" applyNumberFormat="1" applyFont="1" applyBorder="1" applyAlignment="1">
      <alignment horizontal="left" vertical="center"/>
    </xf>
    <xf numFmtId="1" fontId="6" fillId="0" borderId="27" xfId="127" applyNumberFormat="1" applyFont="1" applyBorder="1" applyAlignment="1">
      <alignment horizontal="left" vertical="center"/>
    </xf>
    <xf numFmtId="1" fontId="6" fillId="0" borderId="29" xfId="127" applyNumberFormat="1" applyFont="1" applyBorder="1" applyAlignment="1">
      <alignment horizontal="left" vertical="center" wrapText="1"/>
    </xf>
    <xf numFmtId="1" fontId="6" fillId="0" borderId="39" xfId="126" applyNumberFormat="1" applyFont="1" applyBorder="1" applyAlignment="1">
      <alignment vertical="center" wrapText="1"/>
    </xf>
    <xf numFmtId="1" fontId="6" fillId="0" borderId="0" xfId="126" applyNumberFormat="1" applyFont="1" applyAlignment="1" applyProtection="1">
      <alignment vertical="center"/>
      <protection hidden="1"/>
    </xf>
    <xf numFmtId="1" fontId="10" fillId="0" borderId="0" xfId="126" applyNumberFormat="1" applyFont="1" applyAlignment="1" applyProtection="1">
      <alignment vertical="center" wrapText="1"/>
      <protection hidden="1"/>
    </xf>
    <xf numFmtId="1" fontId="6" fillId="0" borderId="0" xfId="126" applyNumberFormat="1" applyFont="1" applyProtection="1">
      <protection hidden="1"/>
    </xf>
    <xf numFmtId="1" fontId="6" fillId="0" borderId="99" xfId="127" applyNumberFormat="1" applyFont="1" applyBorder="1" applyAlignment="1" applyProtection="1">
      <alignment horizontal="center" vertical="center" wrapText="1"/>
      <protection hidden="1"/>
    </xf>
    <xf numFmtId="1" fontId="6" fillId="0" borderId="7" xfId="126" applyNumberFormat="1" applyFont="1" applyBorder="1" applyAlignment="1">
      <alignment horizontal="center" vertical="center"/>
    </xf>
    <xf numFmtId="1" fontId="6" fillId="0" borderId="5" xfId="126" applyNumberFormat="1" applyFont="1" applyBorder="1" applyAlignment="1">
      <alignment horizontal="center" vertical="center"/>
    </xf>
    <xf numFmtId="1" fontId="6" fillId="0" borderId="7" xfId="126" applyNumberFormat="1" applyFont="1" applyBorder="1" applyAlignment="1" applyProtection="1">
      <alignment horizontal="center" vertical="center"/>
      <protection hidden="1"/>
    </xf>
    <xf numFmtId="1" fontId="6" fillId="0" borderId="5" xfId="126" applyNumberFormat="1" applyFont="1" applyBorder="1" applyAlignment="1" applyProtection="1">
      <alignment horizontal="center" vertical="center"/>
      <protection hidden="1"/>
    </xf>
    <xf numFmtId="1" fontId="6" fillId="0" borderId="120" xfId="125" applyNumberFormat="1" applyFont="1" applyBorder="1" applyAlignment="1">
      <alignment horizontal="left" vertical="center"/>
    </xf>
    <xf numFmtId="1" fontId="6" fillId="0" borderId="121" xfId="125" applyNumberFormat="1" applyFont="1" applyBorder="1" applyAlignment="1">
      <alignment horizontal="left" vertical="center"/>
    </xf>
    <xf numFmtId="1" fontId="6" fillId="0" borderId="30" xfId="127" applyNumberFormat="1" applyFont="1" applyBorder="1" applyAlignment="1">
      <alignment horizontal="left" vertical="center"/>
    </xf>
    <xf numFmtId="1" fontId="6" fillId="0" borderId="11" xfId="125" applyNumberFormat="1" applyFont="1" applyBorder="1" applyAlignment="1">
      <alignment horizontal="left" vertical="center"/>
    </xf>
    <xf numFmtId="1" fontId="10" fillId="0" borderId="0" xfId="132" applyNumberFormat="1" applyFont="1" applyAlignment="1">
      <alignment horizontal="left"/>
    </xf>
    <xf numFmtId="1" fontId="6" fillId="0" borderId="8" xfId="126" applyNumberFormat="1" applyFont="1" applyBorder="1" applyAlignment="1" applyProtection="1">
      <alignment horizontal="center" vertical="center"/>
      <protection hidden="1"/>
    </xf>
    <xf numFmtId="1" fontId="6" fillId="0" borderId="0" xfId="126" applyNumberFormat="1" applyFont="1" applyAlignment="1" applyProtection="1">
      <alignment horizontal="center" vertical="center"/>
      <protection hidden="1"/>
    </xf>
    <xf numFmtId="1" fontId="6" fillId="0" borderId="34" xfId="126" applyNumberFormat="1" applyFont="1" applyBorder="1" applyAlignment="1" applyProtection="1">
      <alignment vertical="center"/>
      <protection hidden="1"/>
    </xf>
    <xf numFmtId="1" fontId="6" fillId="0" borderId="39" xfId="126" applyNumberFormat="1" applyFont="1" applyBorder="1" applyAlignment="1" applyProtection="1">
      <alignment vertical="center"/>
      <protection hidden="1"/>
    </xf>
    <xf numFmtId="1" fontId="6" fillId="0" borderId="30" xfId="126" applyNumberFormat="1" applyFont="1" applyBorder="1" applyAlignment="1" applyProtection="1">
      <alignment vertical="center"/>
      <protection hidden="1"/>
    </xf>
    <xf numFmtId="1" fontId="6" fillId="0" borderId="35" xfId="126" applyNumberFormat="1" applyFont="1" applyBorder="1" applyAlignment="1" applyProtection="1">
      <alignment vertical="center"/>
      <protection hidden="1"/>
    </xf>
    <xf numFmtId="1" fontId="6" fillId="0" borderId="45" xfId="126" applyNumberFormat="1" applyFont="1" applyBorder="1" applyAlignment="1" applyProtection="1">
      <alignment vertical="center"/>
      <protection hidden="1"/>
    </xf>
    <xf numFmtId="1" fontId="6" fillId="0" borderId="77" xfId="126" applyNumberFormat="1" applyFont="1" applyBorder="1" applyAlignment="1" applyProtection="1">
      <alignment vertical="center"/>
      <protection hidden="1"/>
    </xf>
    <xf numFmtId="1" fontId="6" fillId="0" borderId="75" xfId="126" applyNumberFormat="1" applyFont="1" applyBorder="1" applyAlignment="1" applyProtection="1">
      <alignment vertical="center" wrapText="1"/>
      <protection hidden="1"/>
    </xf>
    <xf numFmtId="1" fontId="6" fillId="0" borderId="66" xfId="126" applyNumberFormat="1" applyFont="1" applyBorder="1" applyAlignment="1" applyProtection="1">
      <alignment vertical="center" wrapText="1"/>
      <protection hidden="1"/>
    </xf>
    <xf numFmtId="1" fontId="6" fillId="0" borderId="30" xfId="126" applyNumberFormat="1" applyFont="1" applyBorder="1" applyAlignment="1" applyProtection="1">
      <alignment vertical="center" wrapText="1"/>
      <protection hidden="1"/>
    </xf>
    <xf numFmtId="1" fontId="10" fillId="0" borderId="0" xfId="127" quotePrefix="1" applyNumberFormat="1" applyFont="1" applyAlignment="1" applyProtection="1">
      <alignment horizontal="left"/>
      <protection hidden="1"/>
    </xf>
    <xf numFmtId="1" fontId="6" fillId="0" borderId="0" xfId="127" applyNumberFormat="1" applyFont="1" applyProtection="1">
      <protection hidden="1"/>
    </xf>
    <xf numFmtId="1" fontId="6" fillId="0" borderId="78" xfId="127" applyNumberFormat="1" applyFont="1" applyBorder="1" applyAlignment="1" applyProtection="1">
      <alignment horizontal="center" vertical="center" wrapText="1"/>
      <protection hidden="1"/>
    </xf>
    <xf numFmtId="1" fontId="6" fillId="0" borderId="5" xfId="127" applyNumberFormat="1" applyFont="1" applyBorder="1" applyAlignment="1" applyProtection="1">
      <alignment horizontal="center" vertical="center" wrapText="1"/>
      <protection hidden="1"/>
    </xf>
    <xf numFmtId="1" fontId="6" fillId="0" borderId="0" xfId="14" applyNumberFormat="1" applyFont="1" applyFill="1" applyBorder="1" applyProtection="1"/>
    <xf numFmtId="1" fontId="6" fillId="0" borderId="8" xfId="127" applyNumberFormat="1" applyFont="1" applyBorder="1" applyAlignment="1" applyProtection="1">
      <alignment horizontal="center" vertical="center" wrapText="1"/>
      <protection hidden="1"/>
    </xf>
    <xf numFmtId="1" fontId="6" fillId="0" borderId="64" xfId="127" applyNumberFormat="1" applyFont="1" applyBorder="1" applyAlignment="1" applyProtection="1">
      <alignment horizontal="center" vertical="center" wrapText="1"/>
      <protection hidden="1"/>
    </xf>
    <xf numFmtId="1" fontId="6" fillId="0" borderId="8" xfId="127" applyNumberFormat="1" applyFont="1" applyBorder="1" applyAlignment="1" applyProtection="1">
      <alignment horizontal="center" vertical="center"/>
      <protection hidden="1"/>
    </xf>
    <xf numFmtId="1" fontId="6" fillId="0" borderId="5" xfId="127" applyNumberFormat="1" applyFont="1" applyBorder="1" applyAlignment="1" applyProtection="1">
      <alignment horizontal="center" vertical="center"/>
      <protection hidden="1"/>
    </xf>
    <xf numFmtId="1" fontId="6" fillId="0" borderId="78" xfId="109" applyNumberFormat="1" applyFont="1" applyBorder="1" applyAlignment="1">
      <alignment horizontal="center" vertical="center" wrapText="1"/>
    </xf>
    <xf numFmtId="1" fontId="6" fillId="0" borderId="80" xfId="127" applyNumberFormat="1" applyFont="1" applyBorder="1" applyAlignment="1" applyProtection="1">
      <alignment horizontal="center" vertical="center" wrapText="1"/>
      <protection hidden="1"/>
    </xf>
    <xf numFmtId="1" fontId="6" fillId="0" borderId="78" xfId="127" applyNumberFormat="1" applyFont="1" applyBorder="1" applyAlignment="1" applyProtection="1">
      <alignment horizontal="center" vertical="center"/>
      <protection hidden="1"/>
    </xf>
    <xf numFmtId="1" fontId="6" fillId="0" borderId="0" xfId="0" applyNumberFormat="1" applyFont="1"/>
    <xf numFmtId="1" fontId="6" fillId="0" borderId="7" xfId="126" applyNumberFormat="1" applyFont="1" applyBorder="1" applyAlignment="1" applyProtection="1">
      <alignment horizontal="center" vertical="center" wrapText="1"/>
      <protection hidden="1"/>
    </xf>
    <xf numFmtId="1" fontId="6" fillId="0" borderId="23" xfId="127" applyNumberFormat="1" applyFont="1" applyBorder="1" applyAlignment="1" applyProtection="1">
      <alignment horizontal="center" vertical="center" wrapText="1"/>
      <protection hidden="1"/>
    </xf>
    <xf numFmtId="1" fontId="6" fillId="17" borderId="0" xfId="0" applyNumberFormat="1" applyFont="1" applyFill="1"/>
    <xf numFmtId="1" fontId="6" fillId="0" borderId="30" xfId="129" applyNumberFormat="1" applyFont="1" applyBorder="1" applyAlignment="1" applyProtection="1">
      <alignment vertical="center" wrapText="1"/>
      <protection hidden="1"/>
    </xf>
    <xf numFmtId="1" fontId="6" fillId="0" borderId="66" xfId="129" applyNumberFormat="1" applyFont="1" applyBorder="1" applyAlignment="1" applyProtection="1">
      <alignment vertical="center" wrapText="1"/>
      <protection hidden="1"/>
    </xf>
    <xf numFmtId="1" fontId="10" fillId="0" borderId="0" xfId="0" applyNumberFormat="1" applyFont="1" applyAlignment="1" applyProtection="1">
      <alignment wrapText="1"/>
      <protection hidden="1"/>
    </xf>
    <xf numFmtId="1" fontId="6" fillId="0" borderId="27" xfId="129" applyNumberFormat="1" applyFont="1" applyBorder="1" applyAlignment="1" applyProtection="1">
      <alignment vertical="center" wrapText="1"/>
      <protection hidden="1"/>
    </xf>
    <xf numFmtId="1" fontId="6" fillId="0" borderId="34" xfId="129" applyNumberFormat="1" applyFont="1" applyBorder="1" applyAlignment="1" applyProtection="1">
      <alignment vertical="center" wrapText="1"/>
      <protection hidden="1"/>
    </xf>
    <xf numFmtId="1" fontId="6" fillId="0" borderId="29" xfId="129" applyNumberFormat="1" applyFont="1" applyBorder="1" applyAlignment="1" applyProtection="1">
      <alignment vertical="center" wrapText="1"/>
      <protection hidden="1"/>
    </xf>
    <xf numFmtId="1" fontId="6" fillId="0" borderId="1" xfId="113" applyNumberFormat="1" applyFont="1" applyBorder="1" applyAlignment="1" applyProtection="1">
      <alignment horizontal="center" vertical="center" wrapText="1"/>
      <protection hidden="1"/>
    </xf>
    <xf numFmtId="1" fontId="6" fillId="0" borderId="1" xfId="113" applyNumberFormat="1" applyFont="1" applyBorder="1" applyAlignment="1" applyProtection="1">
      <alignment horizontal="left" vertical="center" wrapText="1"/>
      <protection hidden="1"/>
    </xf>
    <xf numFmtId="1" fontId="6" fillId="0" borderId="78" xfId="126" applyNumberFormat="1" applyFont="1" applyBorder="1" applyAlignment="1" applyProtection="1">
      <alignment horizontal="center" vertical="center" wrapText="1"/>
      <protection hidden="1"/>
    </xf>
    <xf numFmtId="1" fontId="6" fillId="0" borderId="99" xfId="126" applyNumberFormat="1" applyFont="1" applyBorder="1" applyAlignment="1" applyProtection="1">
      <alignment horizontal="center" vertical="center" wrapText="1"/>
      <protection hidden="1"/>
    </xf>
    <xf numFmtId="1" fontId="6" fillId="0" borderId="99" xfId="109" applyNumberFormat="1" applyFont="1" applyBorder="1" applyAlignment="1">
      <alignment horizontal="center" vertical="center" wrapText="1"/>
    </xf>
    <xf numFmtId="1" fontId="6" fillId="0" borderId="102" xfId="109" applyNumberFormat="1" applyFont="1" applyBorder="1" applyAlignment="1">
      <alignment horizontal="center" vertical="center" wrapText="1"/>
    </xf>
    <xf numFmtId="1" fontId="6" fillId="0" borderId="134" xfId="127" applyNumberFormat="1" applyFont="1" applyBorder="1" applyAlignment="1" applyProtection="1">
      <alignment horizontal="center" vertical="center" wrapText="1"/>
      <protection hidden="1"/>
    </xf>
    <xf numFmtId="1" fontId="10" fillId="22" borderId="0" xfId="131" applyNumberFormat="1" applyFont="1" applyFill="1" applyAlignment="1">
      <alignment horizontal="left"/>
    </xf>
    <xf numFmtId="1" fontId="14" fillId="22" borderId="0" xfId="126" applyNumberFormat="1" applyFont="1" applyFill="1" applyAlignment="1">
      <alignment vertical="center"/>
    </xf>
    <xf numFmtId="1" fontId="6" fillId="0" borderId="76" xfId="125" quotePrefix="1" applyNumberFormat="1" applyFont="1" applyBorder="1" applyAlignment="1">
      <alignment horizontal="left" wrapText="1"/>
    </xf>
    <xf numFmtId="1" fontId="6" fillId="0" borderId="45" xfId="125" quotePrefix="1" applyNumberFormat="1" applyFont="1" applyBorder="1" applyAlignment="1">
      <alignment wrapText="1"/>
    </xf>
    <xf numFmtId="1" fontId="6" fillId="0" borderId="66" xfId="125" quotePrefix="1" applyNumberFormat="1" applyFont="1" applyBorder="1" applyAlignment="1">
      <alignment wrapText="1"/>
    </xf>
    <xf numFmtId="1" fontId="6" fillId="0" borderId="11" xfId="125" quotePrefix="1" applyNumberFormat="1" applyFont="1" applyBorder="1"/>
    <xf numFmtId="1" fontId="6" fillId="0" borderId="76" xfId="125" quotePrefix="1" applyNumberFormat="1" applyFont="1" applyBorder="1" applyAlignment="1">
      <alignment wrapText="1"/>
    </xf>
    <xf numFmtId="1" fontId="6" fillId="0" borderId="1" xfId="125" applyNumberFormat="1" applyFont="1" applyBorder="1" applyAlignment="1">
      <alignment horizontal="left"/>
    </xf>
    <xf numFmtId="1" fontId="6" fillId="0" borderId="11" xfId="125" quotePrefix="1" applyNumberFormat="1" applyFont="1" applyBorder="1" applyAlignment="1">
      <alignment wrapText="1"/>
    </xf>
    <xf numFmtId="1" fontId="6" fillId="0" borderId="135" xfId="125" quotePrefix="1" applyNumberFormat="1" applyFont="1" applyBorder="1"/>
    <xf numFmtId="1" fontId="6" fillId="0" borderId="1" xfId="125" quotePrefix="1" applyNumberFormat="1" applyFont="1" applyBorder="1"/>
    <xf numFmtId="1" fontId="6" fillId="0" borderId="89" xfId="125" quotePrefix="1" applyNumberFormat="1" applyFont="1" applyBorder="1"/>
    <xf numFmtId="1" fontId="6" fillId="0" borderId="73" xfId="125" applyNumberFormat="1" applyFont="1" applyBorder="1" applyAlignment="1">
      <alignment wrapText="1"/>
    </xf>
    <xf numFmtId="1" fontId="6" fillId="0" borderId="74" xfId="125" applyNumberFormat="1" applyFont="1" applyBorder="1" applyAlignment="1">
      <alignment wrapText="1"/>
    </xf>
    <xf numFmtId="1" fontId="6" fillId="0" borderId="9" xfId="125" applyNumberFormat="1" applyFont="1" applyBorder="1" applyAlignment="1">
      <alignment wrapText="1"/>
    </xf>
    <xf numFmtId="1" fontId="6" fillId="0" borderId="5" xfId="126" applyNumberFormat="1" applyFont="1" applyBorder="1" applyAlignment="1" applyProtection="1">
      <alignment horizontal="center" vertical="center" wrapText="1"/>
      <protection hidden="1"/>
    </xf>
    <xf numFmtId="1" fontId="10" fillId="17" borderId="0" xfId="109" applyNumberFormat="1" applyFont="1" applyFill="1"/>
    <xf numFmtId="1" fontId="10" fillId="17" borderId="0" xfId="109" applyNumberFormat="1" applyFont="1" applyFill="1" applyAlignment="1">
      <alignment horizontal="center"/>
    </xf>
    <xf numFmtId="1" fontId="10" fillId="17" borderId="0" xfId="133" applyNumberFormat="1" applyFont="1" applyFill="1" applyAlignment="1">
      <alignment horizontal="left"/>
    </xf>
    <xf numFmtId="1" fontId="6" fillId="17" borderId="100" xfId="109" applyNumberFormat="1" applyFont="1" applyFill="1" applyBorder="1" applyAlignment="1">
      <alignment horizontal="center" vertical="center" wrapText="1"/>
    </xf>
    <xf numFmtId="1" fontId="6" fillId="17" borderId="102" xfId="109" applyNumberFormat="1" applyFont="1" applyFill="1" applyBorder="1" applyAlignment="1">
      <alignment horizontal="center" vertical="center"/>
    </xf>
    <xf numFmtId="1" fontId="6" fillId="0" borderId="5" xfId="0" applyNumberFormat="1" applyFont="1" applyBorder="1" applyAlignment="1">
      <alignment horizontal="center" vertical="center" wrapText="1"/>
    </xf>
    <xf numFmtId="1" fontId="6" fillId="0" borderId="23" xfId="0" applyNumberFormat="1" applyFont="1" applyBorder="1" applyAlignment="1">
      <alignment horizontal="center" vertical="center" wrapText="1"/>
    </xf>
    <xf numFmtId="1" fontId="6" fillId="0" borderId="80" xfId="0" applyNumberFormat="1" applyFont="1" applyBorder="1" applyAlignment="1">
      <alignment horizontal="center" vertical="center" wrapText="1"/>
    </xf>
    <xf numFmtId="1" fontId="6" fillId="17" borderId="1" xfId="109" applyNumberFormat="1" applyFont="1" applyFill="1" applyBorder="1" applyAlignment="1">
      <alignment vertical="center" wrapText="1"/>
    </xf>
    <xf numFmtId="1" fontId="6" fillId="0" borderId="0" xfId="130" applyNumberFormat="1" applyFont="1" applyBorder="1" applyAlignment="1" applyProtection="1">
      <protection hidden="1"/>
    </xf>
    <xf numFmtId="1" fontId="6" fillId="0" borderId="0" xfId="130" applyNumberFormat="1" applyFont="1" applyAlignment="1" applyProtection="1">
      <protection hidden="1"/>
    </xf>
    <xf numFmtId="1" fontId="6" fillId="17" borderId="0" xfId="130" applyNumberFormat="1" applyFont="1" applyFill="1" applyAlignment="1" applyProtection="1">
      <protection hidden="1"/>
    </xf>
    <xf numFmtId="1" fontId="6" fillId="0" borderId="0" xfId="130" applyNumberFormat="1" applyFont="1" applyAlignment="1" applyProtection="1">
      <alignment horizontal="center" vertical="center"/>
      <protection hidden="1"/>
    </xf>
    <xf numFmtId="1" fontId="6" fillId="17" borderId="0" xfId="130" applyNumberFormat="1" applyFont="1" applyFill="1" applyAlignment="1" applyProtection="1">
      <alignment horizontal="center" vertical="center"/>
      <protection hidden="1"/>
    </xf>
    <xf numFmtId="1" fontId="6" fillId="0" borderId="35" xfId="130" applyNumberFormat="1" applyFont="1" applyBorder="1" applyAlignment="1" applyProtection="1"/>
    <xf numFmtId="1" fontId="6" fillId="0" borderId="30" xfId="130" applyNumberFormat="1" applyFont="1" applyBorder="1" applyAlignment="1" applyProtection="1"/>
    <xf numFmtId="1" fontId="6" fillId="0" borderId="66" xfId="130" applyNumberFormat="1" applyFont="1" applyBorder="1" applyAlignment="1" applyProtection="1"/>
    <xf numFmtId="1" fontId="6" fillId="17" borderId="0" xfId="130" applyNumberFormat="1" applyFont="1" applyFill="1" applyBorder="1" applyAlignment="1" applyProtection="1">
      <protection hidden="1"/>
    </xf>
    <xf numFmtId="1" fontId="10" fillId="0" borderId="0" xfId="130" applyNumberFormat="1" applyFont="1" applyBorder="1" applyAlignment="1" applyProtection="1">
      <alignment horizontal="left"/>
    </xf>
    <xf numFmtId="1" fontId="6" fillId="0" borderId="0" xfId="130" applyNumberFormat="1" applyFont="1" applyAlignment="1" applyProtection="1"/>
    <xf numFmtId="1" fontId="6" fillId="0" borderId="30" xfId="130" applyNumberFormat="1" applyFont="1" applyBorder="1" applyAlignment="1" applyProtection="1">
      <alignment wrapText="1"/>
    </xf>
    <xf numFmtId="1" fontId="6" fillId="0" borderId="35" xfId="130" quotePrefix="1" applyNumberFormat="1" applyFont="1" applyBorder="1" applyAlignment="1" applyProtection="1"/>
    <xf numFmtId="1" fontId="6" fillId="0" borderId="10" xfId="130" applyNumberFormat="1" applyFont="1" applyBorder="1" applyAlignment="1" applyProtection="1">
      <alignment vertical="center"/>
    </xf>
    <xf numFmtId="1" fontId="10" fillId="0" borderId="0" xfId="130" applyNumberFormat="1" applyFont="1" applyBorder="1" applyAlignment="1" applyProtection="1"/>
    <xf numFmtId="1" fontId="6" fillId="0" borderId="0" xfId="26" applyNumberFormat="1" applyFont="1" applyFill="1" applyBorder="1" applyProtection="1">
      <protection hidden="1"/>
    </xf>
    <xf numFmtId="1" fontId="10" fillId="0" borderId="6" xfId="130" applyNumberFormat="1" applyFont="1" applyBorder="1" applyAlignment="1" applyProtection="1">
      <alignment horizontal="left"/>
    </xf>
    <xf numFmtId="1" fontId="6" fillId="0" borderId="136" xfId="130" applyNumberFormat="1" applyFont="1" applyBorder="1" applyAlignment="1" applyProtection="1">
      <alignment horizontal="center" vertical="center" wrapText="1"/>
    </xf>
    <xf numFmtId="1" fontId="6" fillId="0" borderId="0" xfId="130" applyNumberFormat="1" applyFont="1" applyBorder="1" applyAlignment="1" applyProtection="1">
      <alignment vertical="center" wrapText="1"/>
    </xf>
    <xf numFmtId="1" fontId="6" fillId="0" borderId="0" xfId="130" applyNumberFormat="1" applyFont="1" applyBorder="1" applyAlignment="1" applyProtection="1"/>
    <xf numFmtId="1" fontId="6" fillId="0" borderId="0" xfId="130" applyNumberFormat="1" applyFont="1" applyBorder="1" applyAlignment="1" applyProtection="1">
      <alignment horizontal="center" vertical="center" wrapText="1"/>
    </xf>
    <xf numFmtId="1" fontId="6" fillId="22" borderId="73" xfId="126" applyNumberFormat="1" applyFont="1" applyFill="1" applyBorder="1" applyAlignment="1">
      <alignment horizontal="left" vertical="center" wrapText="1"/>
    </xf>
    <xf numFmtId="1" fontId="6" fillId="22" borderId="66" xfId="126" applyNumberFormat="1" applyFont="1" applyFill="1" applyBorder="1" applyAlignment="1" applyProtection="1">
      <alignment vertical="center"/>
      <protection hidden="1"/>
    </xf>
    <xf numFmtId="1" fontId="6" fillId="22" borderId="35" xfId="126" applyNumberFormat="1" applyFont="1" applyFill="1" applyBorder="1" applyAlignment="1" applyProtection="1">
      <alignment vertical="center" wrapText="1"/>
      <protection hidden="1"/>
    </xf>
    <xf numFmtId="1" fontId="22" fillId="0" borderId="1" xfId="0" applyNumberFormat="1" applyFont="1" applyBorder="1" applyProtection="1">
      <protection hidden="1"/>
    </xf>
    <xf numFmtId="1" fontId="6" fillId="15" borderId="7" xfId="73" applyNumberFormat="1" applyFont="1" applyFill="1" applyBorder="1" applyAlignment="1" applyProtection="1">
      <alignment horizontal="right"/>
      <protection locked="0"/>
    </xf>
    <xf numFmtId="1" fontId="6" fillId="15" borderId="5" xfId="73" applyNumberFormat="1" applyFont="1" applyFill="1" applyBorder="1" applyAlignment="1" applyProtection="1">
      <alignment horizontal="right"/>
      <protection locked="0"/>
    </xf>
    <xf numFmtId="1" fontId="6" fillId="15" borderId="91" xfId="73" applyNumberFormat="1" applyFont="1" applyFill="1" applyBorder="1" applyAlignment="1" applyProtection="1">
      <alignment horizontal="right"/>
      <protection locked="0"/>
    </xf>
    <xf numFmtId="1" fontId="6" fillId="15" borderId="92" xfId="73" applyNumberFormat="1" applyFont="1" applyFill="1" applyBorder="1" applyAlignment="1" applyProtection="1">
      <alignment horizontal="right"/>
      <protection locked="0"/>
    </xf>
    <xf numFmtId="1" fontId="6" fillId="15" borderId="70" xfId="73" applyNumberFormat="1" applyFont="1" applyFill="1" applyBorder="1" applyAlignment="1" applyProtection="1">
      <alignment horizontal="right"/>
      <protection locked="0"/>
    </xf>
    <xf numFmtId="1" fontId="6" fillId="15" borderId="90" xfId="73" applyNumberFormat="1" applyFont="1" applyFill="1" applyBorder="1" applyAlignment="1" applyProtection="1">
      <alignment horizontal="right"/>
      <protection locked="0"/>
    </xf>
    <xf numFmtId="1" fontId="6" fillId="22" borderId="75" xfId="125" applyNumberFormat="1" applyFont="1" applyFill="1" applyBorder="1" applyAlignment="1">
      <alignment horizontal="right"/>
    </xf>
    <xf numFmtId="1" fontId="6" fillId="22" borderId="45" xfId="125" applyNumberFormat="1" applyFont="1" applyFill="1" applyBorder="1" applyAlignment="1">
      <alignment horizontal="right"/>
    </xf>
    <xf numFmtId="1" fontId="6" fillId="22" borderId="1" xfId="125" applyNumberFormat="1" applyFont="1" applyFill="1" applyBorder="1" applyAlignment="1">
      <alignment horizontal="right"/>
    </xf>
    <xf numFmtId="1" fontId="6" fillId="15" borderId="142" xfId="73" applyNumberFormat="1" applyFont="1" applyFill="1" applyBorder="1" applyAlignment="1" applyProtection="1">
      <alignment horizontal="right"/>
      <protection locked="0"/>
    </xf>
    <xf numFmtId="1" fontId="6" fillId="22" borderId="35" xfId="125" applyNumberFormat="1" applyFont="1" applyFill="1" applyBorder="1" applyAlignment="1">
      <alignment horizontal="right"/>
    </xf>
    <xf numFmtId="1" fontId="6" fillId="22" borderId="76" xfId="125" applyNumberFormat="1" applyFont="1" applyFill="1" applyBorder="1" applyAlignment="1">
      <alignment horizontal="right" wrapText="1"/>
    </xf>
    <xf numFmtId="1" fontId="6" fillId="15" borderId="98" xfId="73" applyNumberFormat="1" applyFont="1" applyFill="1" applyBorder="1" applyAlignment="1" applyProtection="1">
      <alignment horizontal="right"/>
      <protection locked="0"/>
    </xf>
    <xf numFmtId="1" fontId="6" fillId="15" borderId="96" xfId="73" applyNumberFormat="1" applyFont="1" applyFill="1" applyBorder="1" applyAlignment="1" applyProtection="1">
      <alignment horizontal="right"/>
      <protection locked="0"/>
    </xf>
    <xf numFmtId="1" fontId="6" fillId="15" borderId="67" xfId="73" applyNumberFormat="1" applyFont="1" applyFill="1" applyBorder="1" applyAlignment="1" applyProtection="1">
      <alignment horizontal="right"/>
      <protection locked="0"/>
    </xf>
    <xf numFmtId="1" fontId="6" fillId="15" borderId="86" xfId="73" applyNumberFormat="1" applyFont="1" applyFill="1" applyBorder="1" applyAlignment="1" applyProtection="1">
      <alignment horizontal="right"/>
      <protection locked="0"/>
    </xf>
    <xf numFmtId="1" fontId="6" fillId="15" borderId="68" xfId="73" applyNumberFormat="1" applyFont="1" applyFill="1" applyBorder="1" applyAlignment="1" applyProtection="1">
      <alignment horizontal="right"/>
      <protection locked="0"/>
    </xf>
    <xf numFmtId="1" fontId="6" fillId="15" borderId="69" xfId="73" applyNumberFormat="1" applyFont="1" applyFill="1" applyBorder="1" applyAlignment="1" applyProtection="1">
      <alignment horizontal="right"/>
      <protection locked="0"/>
    </xf>
    <xf numFmtId="1" fontId="6" fillId="15" borderId="106" xfId="73" applyNumberFormat="1" applyFont="1" applyFill="1" applyBorder="1" applyAlignment="1" applyProtection="1">
      <alignment horizontal="right"/>
      <protection locked="0"/>
    </xf>
    <xf numFmtId="1" fontId="6" fillId="15" borderId="105" xfId="73" applyNumberFormat="1" applyFont="1" applyFill="1" applyBorder="1" applyAlignment="1" applyProtection="1">
      <alignment horizontal="right"/>
      <protection locked="0"/>
    </xf>
    <xf numFmtId="1" fontId="6" fillId="0" borderId="98" xfId="126" applyNumberFormat="1" applyFont="1" applyBorder="1" applyAlignment="1" applyProtection="1">
      <alignment horizontal="right" wrapText="1"/>
      <protection hidden="1"/>
    </xf>
    <xf numFmtId="1" fontId="6" fillId="0" borderId="97" xfId="126" applyNumberFormat="1" applyFont="1" applyBorder="1" applyAlignment="1" applyProtection="1">
      <alignment horizontal="right" wrapText="1"/>
      <protection hidden="1"/>
    </xf>
    <xf numFmtId="1" fontId="6" fillId="15" borderId="31" xfId="73" applyNumberFormat="1" applyFont="1" applyFill="1" applyBorder="1" applyAlignment="1" applyProtection="1">
      <alignment horizontal="right"/>
      <protection locked="0"/>
    </xf>
    <xf numFmtId="1" fontId="6" fillId="15" borderId="36" xfId="73" applyNumberFormat="1" applyFont="1" applyFill="1" applyBorder="1" applyAlignment="1" applyProtection="1">
      <alignment horizontal="right"/>
      <protection locked="0"/>
    </xf>
    <xf numFmtId="1" fontId="6" fillId="15" borderId="82" xfId="73" applyNumberFormat="1" applyFont="1" applyFill="1" applyBorder="1" applyAlignment="1" applyProtection="1">
      <alignment horizontal="right"/>
      <protection locked="0"/>
    </xf>
    <xf numFmtId="1" fontId="6" fillId="15" borderId="83" xfId="73" applyNumberFormat="1" applyFont="1" applyFill="1" applyBorder="1" applyAlignment="1" applyProtection="1">
      <alignment horizontal="right"/>
      <protection locked="0"/>
    </xf>
    <xf numFmtId="1" fontId="6" fillId="15" borderId="130" xfId="73" applyNumberFormat="1" applyFont="1" applyFill="1" applyBorder="1" applyAlignment="1" applyProtection="1">
      <alignment horizontal="right"/>
      <protection locked="0"/>
    </xf>
    <xf numFmtId="1" fontId="6" fillId="0" borderId="23" xfId="126" applyNumberFormat="1" applyFont="1" applyBorder="1" applyAlignment="1" applyProtection="1">
      <alignment horizontal="center" vertical="center" wrapText="1"/>
      <protection hidden="1"/>
    </xf>
    <xf numFmtId="1" fontId="6" fillId="15" borderId="118" xfId="73" applyNumberFormat="1" applyFont="1" applyFill="1" applyBorder="1" applyAlignment="1" applyProtection="1">
      <alignment horizontal="right"/>
      <protection locked="0"/>
    </xf>
    <xf numFmtId="1" fontId="6" fillId="15" borderId="145" xfId="73" applyNumberFormat="1" applyFont="1" applyFill="1" applyBorder="1" applyAlignment="1" applyProtection="1">
      <alignment horizontal="right"/>
      <protection locked="0"/>
    </xf>
    <xf numFmtId="1" fontId="6" fillId="15" borderId="129" xfId="73" applyNumberFormat="1" applyFont="1" applyFill="1" applyBorder="1" applyAlignment="1" applyProtection="1">
      <alignment horizontal="right"/>
      <protection locked="0"/>
    </xf>
    <xf numFmtId="1" fontId="6" fillId="15" borderId="132" xfId="73" applyNumberFormat="1" applyFont="1" applyFill="1" applyBorder="1" applyAlignment="1" applyProtection="1">
      <alignment horizontal="right"/>
      <protection locked="0"/>
    </xf>
    <xf numFmtId="1" fontId="6" fillId="15" borderId="6" xfId="73" applyNumberFormat="1" applyFont="1" applyFill="1" applyBorder="1" applyAlignment="1" applyProtection="1">
      <alignment horizontal="right"/>
      <protection locked="0"/>
    </xf>
    <xf numFmtId="1" fontId="6" fillId="15" borderId="104" xfId="73" applyNumberFormat="1" applyFont="1" applyFill="1" applyBorder="1" applyAlignment="1" applyProtection="1">
      <alignment horizontal="right"/>
      <protection locked="0"/>
    </xf>
    <xf numFmtId="1" fontId="6" fillId="15" borderId="137" xfId="73" applyNumberFormat="1" applyFont="1" applyFill="1" applyBorder="1" applyAlignment="1" applyProtection="1">
      <alignment horizontal="right"/>
      <protection locked="0"/>
    </xf>
    <xf numFmtId="1" fontId="6" fillId="0" borderId="11" xfId="0" applyNumberFormat="1" applyFont="1" applyBorder="1" applyAlignment="1">
      <alignment horizontal="center" wrapText="1"/>
    </xf>
    <xf numFmtId="1" fontId="6" fillId="0" borderId="7" xfId="113" applyNumberFormat="1" applyFont="1" applyBorder="1" applyAlignment="1" applyProtection="1">
      <alignment horizontal="right" wrapText="1"/>
      <protection hidden="1"/>
    </xf>
    <xf numFmtId="1" fontId="6" fillId="0" borderId="8" xfId="46" applyNumberFormat="1" applyFont="1" applyFill="1" applyBorder="1" applyAlignment="1" applyProtection="1">
      <alignment horizontal="right"/>
    </xf>
    <xf numFmtId="1" fontId="6" fillId="0" borderId="5" xfId="46" applyNumberFormat="1" applyFont="1" applyFill="1" applyBorder="1" applyAlignment="1" applyProtection="1">
      <alignment horizontal="right"/>
    </xf>
    <xf numFmtId="1" fontId="6" fillId="15" borderId="23" xfId="73" applyNumberFormat="1" applyFont="1" applyFill="1" applyBorder="1" applyAlignment="1" applyProtection="1">
      <alignment horizontal="right"/>
      <protection locked="0"/>
    </xf>
    <xf numFmtId="1" fontId="6" fillId="15" borderId="107" xfId="73" applyNumberFormat="1" applyFont="1" applyFill="1" applyBorder="1" applyAlignment="1" applyProtection="1">
      <alignment horizontal="right"/>
      <protection locked="0"/>
    </xf>
    <xf numFmtId="1" fontId="6" fillId="15" borderId="131" xfId="73" applyNumberFormat="1" applyFont="1" applyFill="1" applyBorder="1" applyAlignment="1" applyProtection="1">
      <alignment horizontal="right"/>
      <protection locked="0"/>
    </xf>
    <xf numFmtId="1" fontId="6" fillId="0" borderId="81" xfId="126" applyNumberFormat="1" applyFont="1" applyBorder="1" applyAlignment="1" applyProtection="1">
      <alignment horizontal="center" vertical="center" wrapText="1"/>
      <protection hidden="1"/>
    </xf>
    <xf numFmtId="1" fontId="6" fillId="15" borderId="80" xfId="73" applyNumberFormat="1" applyFont="1" applyFill="1" applyBorder="1" applyAlignment="1" applyProtection="1">
      <alignment horizontal="right"/>
      <protection locked="0"/>
    </xf>
    <xf numFmtId="1" fontId="6" fillId="15" borderId="37" xfId="73" applyNumberFormat="1" applyFont="1" applyFill="1" applyBorder="1" applyAlignment="1" applyProtection="1">
      <alignment horizontal="right"/>
      <protection locked="0"/>
    </xf>
    <xf numFmtId="1" fontId="6" fillId="15" borderId="147" xfId="73" applyNumberFormat="1" applyFont="1" applyFill="1" applyBorder="1" applyAlignment="1" applyProtection="1">
      <alignment horizontal="right"/>
      <protection locked="0"/>
    </xf>
    <xf numFmtId="1" fontId="6" fillId="25" borderId="36" xfId="73" applyNumberFormat="1" applyFont="1" applyFill="1" applyBorder="1" applyAlignment="1" applyProtection="1">
      <alignment horizontal="right"/>
    </xf>
    <xf numFmtId="1" fontId="6" fillId="25" borderId="69" xfId="73" applyNumberFormat="1" applyFont="1" applyFill="1" applyBorder="1" applyAlignment="1" applyProtection="1">
      <alignment horizontal="right"/>
    </xf>
    <xf numFmtId="1" fontId="6" fillId="25" borderId="37" xfId="73" applyNumberFormat="1" applyFont="1" applyFill="1" applyBorder="1" applyAlignment="1" applyProtection="1">
      <alignment horizontal="right"/>
    </xf>
    <xf numFmtId="1" fontId="6" fillId="22" borderId="0" xfId="0" applyNumberFormat="1" applyFont="1" applyFill="1"/>
    <xf numFmtId="1" fontId="6" fillId="0" borderId="1" xfId="130" applyNumberFormat="1" applyFont="1" applyBorder="1" applyAlignment="1" applyProtection="1">
      <alignment horizontal="center" vertical="center" wrapText="1"/>
    </xf>
    <xf numFmtId="1" fontId="6" fillId="23" borderId="0" xfId="130" applyNumberFormat="1" applyFont="1" applyFill="1" applyAlignment="1" applyProtection="1">
      <protection hidden="1"/>
    </xf>
    <xf numFmtId="1" fontId="6" fillId="15" borderId="47" xfId="73" applyNumberFormat="1" applyFont="1" applyFill="1" applyBorder="1" applyAlignment="1" applyProtection="1">
      <alignment horizontal="right"/>
      <protection locked="0"/>
    </xf>
    <xf numFmtId="1" fontId="6" fillId="17" borderId="30" xfId="0" applyNumberFormat="1" applyFont="1" applyFill="1" applyBorder="1" applyAlignment="1" applyProtection="1">
      <alignment vertical="center" wrapText="1"/>
      <protection hidden="1"/>
    </xf>
    <xf numFmtId="1" fontId="6" fillId="17" borderId="35" xfId="0" applyNumberFormat="1" applyFont="1" applyFill="1" applyBorder="1" applyAlignment="1" applyProtection="1">
      <alignment vertical="center" wrapText="1"/>
      <protection hidden="1"/>
    </xf>
    <xf numFmtId="1" fontId="30" fillId="0" borderId="9" xfId="0" applyNumberFormat="1" applyFont="1" applyBorder="1" applyAlignment="1" applyProtection="1">
      <alignment horizontal="left"/>
      <protection hidden="1"/>
    </xf>
    <xf numFmtId="1" fontId="30" fillId="0" borderId="0" xfId="0" quotePrefix="1" applyNumberFormat="1" applyFont="1" applyAlignment="1" applyProtection="1">
      <alignment horizontal="left"/>
      <protection hidden="1"/>
    </xf>
    <xf numFmtId="1" fontId="30" fillId="0" borderId="35" xfId="0" applyNumberFormat="1" applyFont="1" applyBorder="1" applyAlignment="1" applyProtection="1">
      <alignment horizontal="left" wrapText="1"/>
      <protection hidden="1"/>
    </xf>
    <xf numFmtId="1" fontId="30" fillId="0" borderId="7" xfId="0" applyNumberFormat="1" applyFont="1" applyBorder="1" applyAlignment="1">
      <alignment horizontal="center" vertical="center" wrapText="1"/>
    </xf>
    <xf numFmtId="1" fontId="30" fillId="0" borderId="8" xfId="0" quotePrefix="1" applyNumberFormat="1" applyFont="1" applyBorder="1" applyAlignment="1">
      <alignment horizontal="center" vertical="center"/>
    </xf>
    <xf numFmtId="1" fontId="30" fillId="0" borderId="8" xfId="0" applyNumberFormat="1" applyFont="1" applyBorder="1" applyAlignment="1">
      <alignment horizontal="center" vertical="center"/>
    </xf>
    <xf numFmtId="1" fontId="30" fillId="0" borderId="73" xfId="0" applyNumberFormat="1" applyFont="1" applyBorder="1" applyAlignment="1" applyProtection="1">
      <alignment horizontal="left"/>
      <protection hidden="1"/>
    </xf>
    <xf numFmtId="1" fontId="30" fillId="0" borderId="125" xfId="0" quotePrefix="1" applyNumberFormat="1" applyFont="1" applyBorder="1" applyAlignment="1" applyProtection="1">
      <alignment horizontal="left"/>
      <protection hidden="1"/>
    </xf>
    <xf numFmtId="1" fontId="6" fillId="0" borderId="81" xfId="0" applyNumberFormat="1" applyFont="1" applyBorder="1" applyAlignment="1">
      <alignment horizontal="center" vertical="center" wrapText="1"/>
    </xf>
    <xf numFmtId="1" fontId="10" fillId="21" borderId="0" xfId="0" applyNumberFormat="1" applyFont="1" applyFill="1"/>
    <xf numFmtId="1" fontId="10" fillId="22" borderId="0" xfId="0" applyNumberFormat="1" applyFont="1" applyFill="1"/>
    <xf numFmtId="1" fontId="6" fillId="22" borderId="0" xfId="0" applyNumberFormat="1" applyFont="1" applyFill="1" applyAlignment="1">
      <alignment horizontal="center" vertical="center"/>
    </xf>
    <xf numFmtId="1" fontId="6" fillId="22" borderId="0" xfId="0" applyNumberFormat="1" applyFont="1" applyFill="1" applyProtection="1">
      <protection hidden="1"/>
    </xf>
    <xf numFmtId="1" fontId="6" fillId="21" borderId="0" xfId="126" applyNumberFormat="1" applyFont="1" applyFill="1"/>
    <xf numFmtId="1" fontId="6" fillId="21" borderId="0" xfId="126" quotePrefix="1" applyNumberFormat="1" applyFont="1" applyFill="1" applyAlignment="1" applyProtection="1">
      <alignment horizontal="center" vertical="center"/>
      <protection hidden="1"/>
    </xf>
    <xf numFmtId="1" fontId="6" fillId="21" borderId="0" xfId="126" quotePrefix="1" applyNumberFormat="1" applyFont="1" applyFill="1" applyAlignment="1">
      <alignment horizontal="center" vertical="center"/>
    </xf>
    <xf numFmtId="1" fontId="6" fillId="21" borderId="0" xfId="126" applyNumberFormat="1" applyFont="1" applyFill="1" applyAlignment="1" applyProtection="1">
      <alignment horizontal="center" vertical="center"/>
      <protection hidden="1"/>
    </xf>
    <xf numFmtId="1" fontId="6" fillId="21" borderId="0" xfId="0" applyNumberFormat="1" applyFont="1" applyFill="1" applyProtection="1">
      <protection hidden="1"/>
    </xf>
    <xf numFmtId="1" fontId="6" fillId="21" borderId="0" xfId="130" applyNumberFormat="1" applyFont="1" applyFill="1" applyAlignment="1" applyProtection="1">
      <protection hidden="1"/>
    </xf>
    <xf numFmtId="1" fontId="6" fillId="21" borderId="0" xfId="130" applyNumberFormat="1" applyFont="1" applyFill="1" applyAlignment="1" applyProtection="1">
      <alignment horizontal="center" vertical="center"/>
      <protection hidden="1"/>
    </xf>
    <xf numFmtId="1" fontId="6" fillId="21" borderId="0" xfId="0" applyNumberFormat="1" applyFont="1" applyFill="1" applyAlignment="1">
      <alignment horizontal="center" vertical="center" wrapText="1"/>
    </xf>
    <xf numFmtId="1" fontId="6" fillId="21" borderId="0" xfId="109" applyNumberFormat="1" applyFont="1" applyFill="1" applyAlignment="1">
      <alignment horizontal="center" vertical="center" wrapText="1"/>
    </xf>
    <xf numFmtId="1" fontId="6" fillId="0" borderId="0" xfId="0" applyNumberFormat="1" applyFont="1" applyAlignment="1">
      <alignment vertical="center" wrapText="1"/>
    </xf>
    <xf numFmtId="1" fontId="6" fillId="22" borderId="0" xfId="130" applyNumberFormat="1" applyFont="1" applyFill="1" applyAlignment="1" applyProtection="1">
      <protection hidden="1"/>
    </xf>
    <xf numFmtId="1" fontId="6" fillId="29" borderId="0" xfId="130" applyNumberFormat="1" applyFont="1" applyFill="1" applyAlignment="1" applyProtection="1">
      <alignment horizontal="center" vertical="center"/>
      <protection hidden="1"/>
    </xf>
    <xf numFmtId="1" fontId="6" fillId="29" borderId="0" xfId="130" applyNumberFormat="1" applyFont="1" applyFill="1" applyAlignment="1" applyProtection="1">
      <protection hidden="1"/>
    </xf>
    <xf numFmtId="1" fontId="6" fillId="22" borderId="0" xfId="130" applyNumberFormat="1" applyFont="1" applyFill="1" applyAlignment="1" applyProtection="1">
      <alignment horizontal="center" vertical="center"/>
      <protection hidden="1"/>
    </xf>
    <xf numFmtId="1" fontId="6" fillId="0" borderId="64" xfId="0" applyNumberFormat="1" applyFont="1" applyBorder="1" applyAlignment="1">
      <alignment horizontal="center" vertical="center"/>
    </xf>
    <xf numFmtId="1" fontId="6" fillId="0" borderId="1" xfId="0" applyNumberFormat="1" applyFont="1" applyBorder="1" applyAlignment="1" applyProtection="1">
      <alignment horizontal="center" vertical="center" wrapText="1"/>
      <protection hidden="1"/>
    </xf>
    <xf numFmtId="1" fontId="6" fillId="0" borderId="100" xfId="125" applyNumberFormat="1" applyFont="1" applyBorder="1" applyAlignment="1">
      <alignment horizontal="center" vertical="center" wrapText="1"/>
    </xf>
    <xf numFmtId="1" fontId="6" fillId="0" borderId="99" xfId="125" applyNumberFormat="1" applyFont="1" applyBorder="1" applyAlignment="1">
      <alignment horizontal="center" vertical="center" wrapText="1"/>
    </xf>
    <xf numFmtId="1" fontId="6" fillId="0" borderId="10" xfId="0" applyNumberFormat="1" applyFont="1" applyBorder="1" applyAlignment="1" applyProtection="1">
      <alignment horizontal="center" vertical="center" wrapText="1"/>
      <protection hidden="1"/>
    </xf>
    <xf numFmtId="1" fontId="6" fillId="17" borderId="11" xfId="126" applyNumberFormat="1" applyFont="1" applyFill="1" applyBorder="1" applyAlignment="1" applyProtection="1">
      <alignment horizontal="left" vertical="center" wrapText="1"/>
      <protection hidden="1"/>
    </xf>
    <xf numFmtId="1" fontId="6" fillId="0" borderId="64" xfId="126" applyNumberFormat="1" applyFont="1" applyBorder="1" applyAlignment="1" applyProtection="1">
      <alignment horizontal="center" vertical="center"/>
      <protection hidden="1"/>
    </xf>
    <xf numFmtId="1" fontId="6" fillId="0" borderId="1" xfId="126" applyNumberFormat="1" applyFont="1" applyBorder="1" applyAlignment="1" applyProtection="1">
      <alignment horizontal="center" vertical="center" wrapText="1"/>
      <protection hidden="1"/>
    </xf>
    <xf numFmtId="1" fontId="6" fillId="0" borderId="64" xfId="127" applyNumberFormat="1" applyFont="1" applyBorder="1" applyAlignment="1" applyProtection="1">
      <alignment horizontal="center" vertical="center"/>
      <protection hidden="1"/>
    </xf>
    <xf numFmtId="1" fontId="6" fillId="0" borderId="1" xfId="0" applyNumberFormat="1" applyFont="1" applyBorder="1" applyAlignment="1">
      <alignment horizontal="center" vertical="center"/>
    </xf>
    <xf numFmtId="1" fontId="6" fillId="0" borderId="75" xfId="129" applyNumberFormat="1" applyFont="1" applyBorder="1" applyAlignment="1" applyProtection="1">
      <alignment vertical="center" wrapText="1"/>
      <protection hidden="1"/>
    </xf>
    <xf numFmtId="1" fontId="6" fillId="0" borderId="35" xfId="129" applyNumberFormat="1" applyFont="1" applyBorder="1" applyAlignment="1" applyProtection="1">
      <alignment vertical="center" wrapText="1"/>
      <protection hidden="1"/>
    </xf>
    <xf numFmtId="1" fontId="6" fillId="0" borderId="0" xfId="0" applyNumberFormat="1" applyFont="1" applyAlignment="1">
      <alignment horizontal="center" vertical="center" wrapText="1"/>
    </xf>
    <xf numFmtId="1" fontId="6" fillId="0" borderId="93" xfId="126" applyNumberFormat="1" applyFont="1" applyBorder="1" applyAlignment="1" applyProtection="1">
      <alignment horizontal="center" vertical="center" wrapText="1"/>
      <protection hidden="1"/>
    </xf>
    <xf numFmtId="1" fontId="6" fillId="0" borderId="63" xfId="126" applyNumberFormat="1" applyFont="1" applyBorder="1" applyAlignment="1" applyProtection="1">
      <alignment horizontal="center" vertical="center" wrapText="1"/>
      <protection hidden="1"/>
    </xf>
    <xf numFmtId="1" fontId="6" fillId="0" borderId="64" xfId="126" applyNumberFormat="1" applyFont="1" applyBorder="1" applyAlignment="1" applyProtection="1">
      <alignment horizontal="center" vertical="center" wrapText="1"/>
      <protection hidden="1"/>
    </xf>
    <xf numFmtId="1" fontId="6" fillId="22" borderId="66" xfId="125" applyNumberFormat="1" applyFont="1" applyFill="1" applyBorder="1" applyAlignment="1">
      <alignment horizontal="right"/>
    </xf>
    <xf numFmtId="1" fontId="6" fillId="22" borderId="30" xfId="125" applyNumberFormat="1" applyFont="1" applyFill="1" applyBorder="1" applyAlignment="1">
      <alignment horizontal="right"/>
    </xf>
    <xf numFmtId="1" fontId="6" fillId="22" borderId="76" xfId="125" applyNumberFormat="1" applyFont="1" applyFill="1" applyBorder="1" applyAlignment="1">
      <alignment horizontal="right"/>
    </xf>
    <xf numFmtId="1" fontId="29" fillId="0" borderId="0" xfId="0" applyNumberFormat="1" applyFont="1"/>
    <xf numFmtId="1" fontId="31" fillId="0" borderId="0" xfId="0" applyNumberFormat="1" applyFont="1"/>
    <xf numFmtId="1" fontId="9" fillId="0" borderId="0" xfId="0" applyNumberFormat="1" applyFont="1"/>
    <xf numFmtId="1" fontId="9" fillId="0" borderId="9" xfId="0" applyNumberFormat="1" applyFont="1" applyBorder="1"/>
    <xf numFmtId="1" fontId="6" fillId="0" borderId="0" xfId="0" applyNumberFormat="1" applyFont="1" applyAlignment="1">
      <alignment horizontal="right"/>
    </xf>
    <xf numFmtId="1" fontId="6" fillId="27" borderId="0" xfId="0" applyNumberFormat="1" applyFont="1" applyFill="1"/>
    <xf numFmtId="1" fontId="29" fillId="21" borderId="0" xfId="0" applyNumberFormat="1" applyFont="1" applyFill="1"/>
    <xf numFmtId="1" fontId="6" fillId="0" borderId="81" xfId="0" applyNumberFormat="1" applyFont="1" applyBorder="1" applyAlignment="1">
      <alignment horizontal="center" vertical="center"/>
    </xf>
    <xf numFmtId="1" fontId="29" fillId="22" borderId="0" xfId="0" applyNumberFormat="1" applyFont="1" applyFill="1"/>
    <xf numFmtId="1" fontId="6" fillId="29" borderId="0" xfId="0" applyNumberFormat="1" applyFont="1" applyFill="1"/>
    <xf numFmtId="1" fontId="6" fillId="17" borderId="0" xfId="125" applyNumberFormat="1" applyFont="1" applyFill="1" applyAlignment="1">
      <alignment horizontal="right"/>
    </xf>
    <xf numFmtId="1" fontId="6" fillId="21" borderId="0" xfId="0" applyNumberFormat="1" applyFont="1" applyFill="1"/>
    <xf numFmtId="1" fontId="10" fillId="0" borderId="0" xfId="0" applyNumberFormat="1" applyFont="1" applyAlignment="1">
      <alignment vertical="center"/>
    </xf>
    <xf numFmtId="1" fontId="6" fillId="0" borderId="7" xfId="0" applyNumberFormat="1" applyFont="1" applyBorder="1" applyAlignment="1">
      <alignment horizontal="center" vertical="center"/>
    </xf>
    <xf numFmtId="1" fontId="6" fillId="0" borderId="5" xfId="0" applyNumberFormat="1" applyFont="1" applyBorder="1" applyAlignment="1">
      <alignment horizontal="center" vertical="center"/>
    </xf>
    <xf numFmtId="1" fontId="6" fillId="28" borderId="0" xfId="0" applyNumberFormat="1" applyFont="1" applyFill="1"/>
    <xf numFmtId="1" fontId="6" fillId="0" borderId="9" xfId="0" applyNumberFormat="1" applyFont="1" applyBorder="1" applyAlignment="1">
      <alignment vertical="center" wrapText="1"/>
    </xf>
    <xf numFmtId="1" fontId="6" fillId="21" borderId="0" xfId="0" applyNumberFormat="1" applyFont="1" applyFill="1" applyAlignment="1">
      <alignment vertical="center" wrapText="1"/>
    </xf>
    <xf numFmtId="1" fontId="6" fillId="0" borderId="78" xfId="0" applyNumberFormat="1" applyFont="1" applyBorder="1" applyAlignment="1">
      <alignment horizontal="center" vertical="center"/>
    </xf>
    <xf numFmtId="1" fontId="6" fillId="0" borderId="30" xfId="0" applyNumberFormat="1" applyFont="1" applyBorder="1" applyAlignment="1">
      <alignment vertical="center" wrapText="1"/>
    </xf>
    <xf numFmtId="1" fontId="6" fillId="0" borderId="35" xfId="0" applyNumberFormat="1" applyFont="1" applyBorder="1" applyAlignment="1">
      <alignment vertical="center" wrapText="1"/>
    </xf>
    <xf numFmtId="1" fontId="6" fillId="22" borderId="0" xfId="46" applyNumberFormat="1" applyFont="1" applyFill="1" applyBorder="1" applyAlignment="1" applyProtection="1">
      <alignment horizontal="left"/>
    </xf>
    <xf numFmtId="1" fontId="6" fillId="0" borderId="46" xfId="0" applyNumberFormat="1" applyFont="1" applyBorder="1" applyAlignment="1">
      <alignment horizontal="center" vertical="center"/>
    </xf>
    <xf numFmtId="1" fontId="6" fillId="0" borderId="102" xfId="0" applyNumberFormat="1" applyFont="1" applyBorder="1" applyAlignment="1">
      <alignment horizontal="center" vertical="center"/>
    </xf>
    <xf numFmtId="1" fontId="6" fillId="0" borderId="99" xfId="0" applyNumberFormat="1" applyFont="1" applyBorder="1" applyAlignment="1">
      <alignment horizontal="center" vertical="center"/>
    </xf>
    <xf numFmtId="1" fontId="10" fillId="0" borderId="0" xfId="0" applyNumberFormat="1" applyFont="1" applyAlignment="1">
      <alignment horizontal="left" vertical="center"/>
    </xf>
    <xf numFmtId="1" fontId="6" fillId="0" borderId="39" xfId="0" applyNumberFormat="1" applyFont="1" applyBorder="1" applyAlignment="1">
      <alignment vertical="center" wrapText="1"/>
    </xf>
    <xf numFmtId="1" fontId="6" fillId="0" borderId="11" xfId="0" applyNumberFormat="1" applyFont="1" applyBorder="1" applyAlignment="1">
      <alignment vertical="center" wrapText="1"/>
    </xf>
    <xf numFmtId="0" fontId="30" fillId="0" borderId="1" xfId="0" applyFont="1" applyBorder="1" applyAlignment="1">
      <alignment horizontal="center" vertical="center"/>
    </xf>
    <xf numFmtId="0" fontId="30" fillId="0" borderId="7" xfId="0" applyFont="1" applyBorder="1" applyAlignment="1">
      <alignment horizontal="center" vertical="center"/>
    </xf>
    <xf numFmtId="0" fontId="30" fillId="0" borderId="8" xfId="0" applyFont="1" applyBorder="1" applyAlignment="1">
      <alignment horizontal="center" vertical="center"/>
    </xf>
    <xf numFmtId="0" fontId="30" fillId="0" borderId="78" xfId="0" applyFont="1" applyBorder="1" applyAlignment="1">
      <alignment horizontal="center" vertical="center"/>
    </xf>
    <xf numFmtId="0" fontId="30" fillId="0" borderId="64" xfId="0" applyFont="1" applyBorder="1" applyAlignment="1">
      <alignment horizontal="center" vertical="center"/>
    </xf>
    <xf numFmtId="1" fontId="6" fillId="22" borderId="1" xfId="0" applyNumberFormat="1" applyFont="1" applyFill="1" applyBorder="1" applyAlignment="1">
      <alignment horizontal="center" wrapText="1"/>
    </xf>
    <xf numFmtId="1" fontId="6" fillId="22" borderId="62" xfId="0" applyNumberFormat="1" applyFont="1" applyFill="1" applyBorder="1" applyAlignment="1">
      <alignment horizontal="center" wrapText="1"/>
    </xf>
    <xf numFmtId="1" fontId="6" fillId="22" borderId="64" xfId="0" applyNumberFormat="1" applyFont="1" applyFill="1" applyBorder="1" applyAlignment="1">
      <alignment horizontal="center" wrapText="1"/>
    </xf>
    <xf numFmtId="1" fontId="6" fillId="22" borderId="34" xfId="0" applyNumberFormat="1" applyFont="1" applyFill="1" applyBorder="1" applyAlignment="1">
      <alignment horizontal="right" wrapText="1"/>
    </xf>
    <xf numFmtId="1" fontId="6" fillId="22" borderId="91" xfId="0" applyNumberFormat="1" applyFont="1" applyFill="1" applyBorder="1" applyAlignment="1">
      <alignment horizontal="right" wrapText="1"/>
    </xf>
    <xf numFmtId="1" fontId="6" fillId="22" borderId="75" xfId="0" applyNumberFormat="1" applyFont="1" applyFill="1" applyBorder="1" applyAlignment="1">
      <alignment horizontal="right" wrapText="1"/>
    </xf>
    <xf numFmtId="1" fontId="6" fillId="22" borderId="39" xfId="0" applyNumberFormat="1" applyFont="1" applyFill="1" applyBorder="1" applyAlignment="1">
      <alignment horizontal="right" wrapText="1"/>
    </xf>
    <xf numFmtId="1" fontId="6" fillId="22" borderId="68" xfId="0" applyNumberFormat="1" applyFont="1" applyFill="1" applyBorder="1" applyAlignment="1">
      <alignment horizontal="right" wrapText="1"/>
    </xf>
    <xf numFmtId="1" fontId="6" fillId="22" borderId="35" xfId="0" applyNumberFormat="1" applyFont="1" applyFill="1" applyBorder="1" applyAlignment="1">
      <alignment horizontal="right" wrapText="1"/>
    </xf>
    <xf numFmtId="1" fontId="6" fillId="22" borderId="58" xfId="0" applyNumberFormat="1" applyFont="1" applyFill="1" applyBorder="1" applyAlignment="1">
      <alignment horizontal="right" wrapText="1"/>
    </xf>
    <xf numFmtId="1" fontId="6" fillId="22" borderId="39" xfId="0" applyNumberFormat="1" applyFont="1" applyFill="1" applyBorder="1" applyAlignment="1">
      <alignment horizontal="right"/>
    </xf>
    <xf numFmtId="1" fontId="6" fillId="22" borderId="124" xfId="0" applyNumberFormat="1" applyFont="1" applyFill="1" applyBorder="1" applyAlignment="1">
      <alignment horizontal="right" wrapText="1"/>
    </xf>
    <xf numFmtId="1" fontId="6" fillId="22" borderId="106" xfId="0" applyNumberFormat="1" applyFont="1" applyFill="1" applyBorder="1" applyAlignment="1">
      <alignment horizontal="right" wrapText="1"/>
    </xf>
    <xf numFmtId="1" fontId="6" fillId="22" borderId="66" xfId="0" applyNumberFormat="1" applyFont="1" applyFill="1" applyBorder="1" applyAlignment="1">
      <alignment horizontal="right" wrapText="1"/>
    </xf>
    <xf numFmtId="1" fontId="10" fillId="22" borderId="0" xfId="0" applyNumberFormat="1" applyFont="1" applyFill="1" applyAlignment="1">
      <alignment horizontal="center" vertical="center" wrapText="1"/>
    </xf>
    <xf numFmtId="1" fontId="6" fillId="22" borderId="35" xfId="0" applyNumberFormat="1" applyFont="1" applyFill="1" applyBorder="1" applyAlignment="1">
      <alignment horizontal="right"/>
    </xf>
    <xf numFmtId="1" fontId="6" fillId="22" borderId="68" xfId="0" applyNumberFormat="1" applyFont="1" applyFill="1" applyBorder="1" applyAlignment="1">
      <alignment horizontal="right"/>
    </xf>
    <xf numFmtId="1" fontId="6" fillId="22" borderId="11" xfId="0" applyNumberFormat="1" applyFont="1" applyFill="1" applyBorder="1" applyAlignment="1">
      <alignment horizontal="right" wrapText="1"/>
    </xf>
    <xf numFmtId="1" fontId="6" fillId="22" borderId="82" xfId="0" applyNumberFormat="1" applyFont="1" applyFill="1" applyBorder="1" applyAlignment="1">
      <alignment horizontal="right" wrapText="1"/>
    </xf>
    <xf numFmtId="1" fontId="6" fillId="22" borderId="29" xfId="0" applyNumberFormat="1" applyFont="1" applyFill="1" applyBorder="1" applyAlignment="1">
      <alignment horizontal="right" wrapText="1"/>
    </xf>
    <xf numFmtId="1" fontId="10" fillId="22" borderId="0" xfId="0" applyNumberFormat="1" applyFont="1" applyFill="1" applyAlignment="1">
      <alignment horizontal="center" wrapText="1"/>
    </xf>
    <xf numFmtId="1" fontId="6" fillId="22" borderId="30" xfId="0" applyNumberFormat="1" applyFont="1" applyFill="1" applyBorder="1" applyAlignment="1">
      <alignment wrapText="1"/>
    </xf>
    <xf numFmtId="1" fontId="30" fillId="22" borderId="0" xfId="0" applyNumberFormat="1" applyFont="1" applyFill="1"/>
    <xf numFmtId="1" fontId="6" fillId="22" borderId="76" xfId="0" applyNumberFormat="1" applyFont="1" applyFill="1" applyBorder="1" applyAlignment="1">
      <alignment wrapText="1"/>
    </xf>
    <xf numFmtId="1" fontId="6" fillId="22" borderId="11" xfId="0" applyNumberFormat="1" applyFont="1" applyFill="1" applyBorder="1" applyAlignment="1">
      <alignment wrapText="1"/>
    </xf>
    <xf numFmtId="1" fontId="6" fillId="22" borderId="75" xfId="0" applyNumberFormat="1" applyFont="1" applyFill="1" applyBorder="1" applyAlignment="1">
      <alignment wrapText="1"/>
    </xf>
    <xf numFmtId="1" fontId="9" fillId="0" borderId="0" xfId="0" applyNumberFormat="1" applyFont="1" applyAlignment="1">
      <alignment horizontal="right"/>
    </xf>
    <xf numFmtId="1" fontId="10" fillId="0" borderId="0" xfId="0" applyNumberFormat="1" applyFont="1" applyAlignment="1" applyProtection="1">
      <alignment vertical="center" wrapText="1"/>
      <protection hidden="1"/>
    </xf>
    <xf numFmtId="1" fontId="32" fillId="0" borderId="6" xfId="0" applyNumberFormat="1" applyFont="1" applyBorder="1" applyProtection="1">
      <protection hidden="1"/>
    </xf>
    <xf numFmtId="1" fontId="10" fillId="0" borderId="6" xfId="0" applyNumberFormat="1" applyFont="1" applyBorder="1" applyProtection="1">
      <protection hidden="1"/>
    </xf>
    <xf numFmtId="1" fontId="6" fillId="21" borderId="0" xfId="0" applyNumberFormat="1" applyFont="1" applyFill="1" applyAlignment="1">
      <alignment horizontal="center" vertical="center"/>
    </xf>
    <xf numFmtId="1" fontId="6" fillId="29" borderId="0" xfId="0" applyNumberFormat="1" applyFont="1" applyFill="1" applyAlignment="1">
      <alignment horizontal="center" vertical="center" wrapText="1"/>
    </xf>
    <xf numFmtId="1" fontId="34" fillId="28" borderId="0" xfId="0" applyNumberFormat="1" applyFont="1" applyFill="1"/>
    <xf numFmtId="1" fontId="10" fillId="0" borderId="0" xfId="0" applyNumberFormat="1" applyFont="1" applyProtection="1">
      <protection hidden="1"/>
    </xf>
    <xf numFmtId="1" fontId="10" fillId="0" borderId="4" xfId="0" applyNumberFormat="1" applyFont="1" applyBorder="1" applyProtection="1">
      <protection hidden="1"/>
    </xf>
    <xf numFmtId="1" fontId="14" fillId="0" borderId="65" xfId="0" applyNumberFormat="1" applyFont="1" applyBorder="1" applyProtection="1">
      <protection hidden="1"/>
    </xf>
    <xf numFmtId="1" fontId="14" fillId="0" borderId="71" xfId="0" applyNumberFormat="1" applyFont="1" applyBorder="1" applyProtection="1">
      <protection hidden="1"/>
    </xf>
    <xf numFmtId="1" fontId="33" fillId="0" borderId="6" xfId="0" applyNumberFormat="1" applyFont="1" applyBorder="1" applyProtection="1">
      <protection hidden="1"/>
    </xf>
    <xf numFmtId="1" fontId="14" fillId="0" borderId="79" xfId="0" applyNumberFormat="1" applyFont="1" applyBorder="1" applyProtection="1">
      <protection hidden="1"/>
    </xf>
    <xf numFmtId="1" fontId="10" fillId="17" borderId="0" xfId="125" applyNumberFormat="1" applyFont="1" applyFill="1" applyAlignment="1">
      <alignment vertical="center" wrapText="1"/>
    </xf>
    <xf numFmtId="1" fontId="10" fillId="17" borderId="0" xfId="125" quotePrefix="1" applyNumberFormat="1" applyFont="1" applyFill="1"/>
    <xf numFmtId="1" fontId="10" fillId="17" borderId="0" xfId="0" applyNumberFormat="1" applyFont="1" applyFill="1" applyAlignment="1">
      <alignment vertical="center"/>
    </xf>
    <xf numFmtId="1" fontId="6" fillId="21" borderId="0" xfId="125" quotePrefix="1" applyNumberFormat="1" applyFont="1" applyFill="1" applyAlignment="1">
      <alignment vertical="center" wrapText="1"/>
    </xf>
    <xf numFmtId="1" fontId="6" fillId="21" borderId="0" xfId="125" quotePrefix="1" applyNumberFormat="1" applyFont="1" applyFill="1" applyAlignment="1">
      <alignment horizontal="center" vertical="center" wrapText="1"/>
    </xf>
    <xf numFmtId="1" fontId="6" fillId="21" borderId="0" xfId="125" applyNumberFormat="1" applyFont="1" applyFill="1" applyAlignment="1">
      <alignment vertical="center" wrapText="1"/>
    </xf>
    <xf numFmtId="1" fontId="6" fillId="21" borderId="0" xfId="125" applyNumberFormat="1" applyFont="1" applyFill="1" applyAlignment="1">
      <alignment horizontal="center" vertical="center" wrapText="1"/>
    </xf>
    <xf numFmtId="1" fontId="6" fillId="21" borderId="0" xfId="125" applyNumberFormat="1" applyFont="1" applyFill="1"/>
    <xf numFmtId="1" fontId="10" fillId="17" borderId="6" xfId="125" quotePrefix="1" applyNumberFormat="1" applyFont="1" applyFill="1" applyBorder="1"/>
    <xf numFmtId="1" fontId="10" fillId="0" borderId="4" xfId="125" quotePrefix="1" applyNumberFormat="1" applyFont="1" applyBorder="1"/>
    <xf numFmtId="1" fontId="10" fillId="0" borderId="0" xfId="125" quotePrefix="1" applyNumberFormat="1" applyFont="1"/>
    <xf numFmtId="1" fontId="10" fillId="0" borderId="6" xfId="125" quotePrefix="1" applyNumberFormat="1" applyFont="1" applyBorder="1"/>
    <xf numFmtId="1" fontId="14" fillId="17" borderId="0" xfId="125" quotePrefix="1" applyNumberFormat="1" applyFont="1" applyFill="1"/>
    <xf numFmtId="1" fontId="14" fillId="17" borderId="6" xfId="125" quotePrefix="1" applyNumberFormat="1" applyFont="1" applyFill="1" applyBorder="1"/>
    <xf numFmtId="1" fontId="14" fillId="0" borderId="4" xfId="125" quotePrefix="1" applyNumberFormat="1" applyFont="1" applyBorder="1"/>
    <xf numFmtId="1" fontId="14" fillId="0" borderId="6" xfId="125" quotePrefix="1" applyNumberFormat="1" applyFont="1" applyBorder="1"/>
    <xf numFmtId="1" fontId="10" fillId="0" borderId="6" xfId="126" applyNumberFormat="1" applyFont="1" applyBorder="1"/>
    <xf numFmtId="1" fontId="14" fillId="0" borderId="6" xfId="126" applyNumberFormat="1" applyFont="1" applyBorder="1"/>
    <xf numFmtId="1" fontId="10" fillId="0" borderId="0" xfId="126" applyNumberFormat="1" applyFont="1" applyProtection="1">
      <protection hidden="1"/>
    </xf>
    <xf numFmtId="1" fontId="6" fillId="0" borderId="0" xfId="0" applyNumberFormat="1" applyFont="1" applyAlignment="1">
      <alignment vertical="center"/>
    </xf>
    <xf numFmtId="1" fontId="6" fillId="0" borderId="6" xfId="126" applyNumberFormat="1" applyFont="1" applyBorder="1" applyAlignment="1" applyProtection="1">
      <alignment horizontal="right" vertical="center"/>
      <protection hidden="1"/>
    </xf>
    <xf numFmtId="1" fontId="10" fillId="0" borderId="6" xfId="126" applyNumberFormat="1" applyFont="1" applyBorder="1" applyProtection="1">
      <protection hidden="1"/>
    </xf>
    <xf numFmtId="1" fontId="6" fillId="29" borderId="0" xfId="126" quotePrefix="1" applyNumberFormat="1" applyFont="1" applyFill="1" applyAlignment="1" applyProtection="1">
      <alignment horizontal="center" vertical="center"/>
      <protection hidden="1"/>
    </xf>
    <xf numFmtId="1" fontId="6" fillId="29" borderId="0" xfId="126" quotePrefix="1" applyNumberFormat="1" applyFont="1" applyFill="1" applyAlignment="1">
      <alignment horizontal="center" vertical="center"/>
    </xf>
    <xf numFmtId="1" fontId="6" fillId="29" borderId="0" xfId="109" applyNumberFormat="1" applyFont="1" applyFill="1" applyAlignment="1">
      <alignment horizontal="center" vertical="center" wrapText="1"/>
    </xf>
    <xf numFmtId="1" fontId="6" fillId="29" borderId="0" xfId="126" applyNumberFormat="1" applyFont="1" applyFill="1" applyAlignment="1" applyProtection="1">
      <alignment horizontal="center" vertical="center"/>
      <protection hidden="1"/>
    </xf>
    <xf numFmtId="1" fontId="6" fillId="28" borderId="0" xfId="0" quotePrefix="1" applyNumberFormat="1" applyFont="1" applyFill="1"/>
    <xf numFmtId="1" fontId="14" fillId="0" borderId="0" xfId="126" applyNumberFormat="1" applyFont="1" applyProtection="1">
      <protection hidden="1"/>
    </xf>
    <xf numFmtId="1" fontId="10" fillId="0" borderId="0" xfId="127" applyNumberFormat="1" applyFont="1" applyAlignment="1" applyProtection="1">
      <alignment vertical="center" wrapText="1"/>
      <protection hidden="1"/>
    </xf>
    <xf numFmtId="1" fontId="10" fillId="0" borderId="6" xfId="127" applyNumberFormat="1" applyFont="1" applyBorder="1" applyProtection="1">
      <protection hidden="1"/>
    </xf>
    <xf numFmtId="1" fontId="10" fillId="0" borderId="93" xfId="127" applyNumberFormat="1" applyFont="1" applyBorder="1" applyProtection="1">
      <protection hidden="1"/>
    </xf>
    <xf numFmtId="1" fontId="14" fillId="0" borderId="6" xfId="127" applyNumberFormat="1" applyFont="1" applyBorder="1" applyProtection="1">
      <protection hidden="1"/>
    </xf>
    <xf numFmtId="1" fontId="10" fillId="0" borderId="0" xfId="126" applyNumberFormat="1" applyFont="1" applyAlignment="1" applyProtection="1">
      <alignment horizontal="center" vertical="center"/>
      <protection hidden="1"/>
    </xf>
    <xf numFmtId="1" fontId="6" fillId="21" borderId="0" xfId="126" applyNumberFormat="1" applyFont="1" applyFill="1" applyProtection="1">
      <protection hidden="1"/>
    </xf>
    <xf numFmtId="1" fontId="6" fillId="29" borderId="0" xfId="126" applyNumberFormat="1" applyFont="1" applyFill="1" applyProtection="1">
      <protection hidden="1"/>
    </xf>
    <xf numFmtId="1" fontId="6" fillId="22" borderId="49" xfId="0" applyNumberFormat="1" applyFont="1" applyFill="1" applyBorder="1" applyAlignment="1">
      <alignment horizontal="center" vertical="center"/>
    </xf>
    <xf numFmtId="1" fontId="14" fillId="0" borderId="6" xfId="126" applyNumberFormat="1" applyFont="1" applyBorder="1" applyProtection="1">
      <protection hidden="1"/>
    </xf>
    <xf numFmtId="1" fontId="10" fillId="0" borderId="6" xfId="0" applyNumberFormat="1" applyFont="1" applyBorder="1"/>
    <xf numFmtId="1" fontId="10" fillId="22" borderId="6" xfId="0" applyNumberFormat="1" applyFont="1" applyFill="1" applyBorder="1"/>
    <xf numFmtId="1" fontId="14" fillId="0" borderId="6" xfId="0" applyNumberFormat="1" applyFont="1" applyBorder="1"/>
    <xf numFmtId="1" fontId="14" fillId="22" borderId="6" xfId="0" applyNumberFormat="1" applyFont="1" applyFill="1" applyBorder="1"/>
    <xf numFmtId="1" fontId="10" fillId="22" borderId="0" xfId="126" applyNumberFormat="1" applyFont="1" applyFill="1" applyAlignment="1">
      <alignment vertical="center"/>
    </xf>
    <xf numFmtId="1" fontId="6" fillId="17" borderId="0" xfId="109" applyNumberFormat="1" applyFont="1" applyFill="1"/>
    <xf numFmtId="1" fontId="10" fillId="17" borderId="79" xfId="109" applyNumberFormat="1" applyFont="1" applyFill="1" applyBorder="1"/>
    <xf numFmtId="1" fontId="6" fillId="27" borderId="0" xfId="0" applyNumberFormat="1" applyFont="1" applyFill="1" applyProtection="1">
      <protection hidden="1"/>
    </xf>
    <xf numFmtId="1" fontId="6" fillId="28" borderId="0" xfId="0" applyNumberFormat="1" applyFont="1" applyFill="1" applyProtection="1">
      <protection hidden="1"/>
    </xf>
    <xf numFmtId="1" fontId="14" fillId="17" borderId="0" xfId="127" applyNumberFormat="1" applyFont="1" applyFill="1" applyAlignment="1" applyProtection="1">
      <alignment horizontal="left"/>
      <protection hidden="1"/>
    </xf>
    <xf numFmtId="1" fontId="14" fillId="0" borderId="6" xfId="130" applyNumberFormat="1" applyFont="1" applyBorder="1" applyAlignment="1" applyProtection="1">
      <alignment horizontal="left"/>
    </xf>
    <xf numFmtId="1" fontId="6" fillId="0" borderId="1" xfId="126" applyNumberFormat="1" applyFont="1" applyBorder="1" applyAlignment="1" applyProtection="1">
      <alignment horizontal="right" wrapText="1"/>
      <protection hidden="1"/>
    </xf>
    <xf numFmtId="1" fontId="6" fillId="0" borderId="7" xfId="126" applyNumberFormat="1" applyFont="1" applyBorder="1" applyAlignment="1" applyProtection="1">
      <alignment horizontal="right" wrapText="1"/>
      <protection hidden="1"/>
    </xf>
    <xf numFmtId="1" fontId="6" fillId="0" borderId="64" xfId="126" applyNumberFormat="1" applyFont="1" applyBorder="1" applyAlignment="1" applyProtection="1">
      <alignment horizontal="right" wrapText="1"/>
      <protection hidden="1"/>
    </xf>
    <xf numFmtId="1" fontId="6" fillId="0" borderId="62" xfId="126" applyNumberFormat="1" applyFont="1" applyBorder="1" applyAlignment="1" applyProtection="1">
      <alignment horizontal="right" wrapText="1"/>
      <protection hidden="1"/>
    </xf>
    <xf numFmtId="1" fontId="6" fillId="0" borderId="75" xfId="126" applyNumberFormat="1" applyFont="1" applyBorder="1" applyAlignment="1" applyProtection="1">
      <alignment horizontal="right" wrapText="1"/>
      <protection hidden="1"/>
    </xf>
    <xf numFmtId="1" fontId="6" fillId="0" borderId="91" xfId="126" applyNumberFormat="1" applyFont="1" applyBorder="1" applyAlignment="1" applyProtection="1">
      <alignment horizontal="right" wrapText="1"/>
      <protection hidden="1"/>
    </xf>
    <xf numFmtId="1" fontId="6" fillId="0" borderId="34" xfId="126" applyNumberFormat="1" applyFont="1" applyBorder="1" applyAlignment="1" applyProtection="1">
      <alignment horizontal="right" wrapText="1"/>
      <protection hidden="1"/>
    </xf>
    <xf numFmtId="1" fontId="6" fillId="0" borderId="55" xfId="126" applyNumberFormat="1" applyFont="1" applyBorder="1" applyAlignment="1" applyProtection="1">
      <alignment horizontal="right" wrapText="1"/>
      <protection hidden="1"/>
    </xf>
    <xf numFmtId="1" fontId="6" fillId="0" borderId="27" xfId="126" applyNumberFormat="1" applyFont="1" applyBorder="1" applyAlignment="1" applyProtection="1">
      <alignment horizontal="right" wrapText="1"/>
      <protection hidden="1"/>
    </xf>
    <xf numFmtId="1" fontId="6" fillId="0" borderId="35" xfId="126" applyNumberFormat="1" applyFont="1" applyBorder="1" applyAlignment="1" applyProtection="1">
      <alignment horizontal="right" wrapText="1"/>
      <protection hidden="1"/>
    </xf>
    <xf numFmtId="1" fontId="6" fillId="0" borderId="68" xfId="126" applyNumberFormat="1" applyFont="1" applyBorder="1" applyAlignment="1" applyProtection="1">
      <alignment horizontal="right" wrapText="1"/>
      <protection hidden="1"/>
    </xf>
    <xf numFmtId="1" fontId="6" fillId="0" borderId="58" xfId="126" applyNumberFormat="1" applyFont="1" applyBorder="1" applyAlignment="1" applyProtection="1">
      <alignment horizontal="right" wrapText="1"/>
      <protection hidden="1"/>
    </xf>
    <xf numFmtId="1" fontId="6" fillId="0" borderId="39" xfId="126" applyNumberFormat="1" applyFont="1" applyBorder="1" applyAlignment="1" applyProtection="1">
      <alignment horizontal="right" wrapText="1"/>
      <protection hidden="1"/>
    </xf>
    <xf numFmtId="1" fontId="6" fillId="0" borderId="66" xfId="126" applyNumberFormat="1" applyFont="1" applyBorder="1" applyAlignment="1" applyProtection="1">
      <alignment horizontal="right" wrapText="1"/>
      <protection hidden="1"/>
    </xf>
    <xf numFmtId="1" fontId="6" fillId="0" borderId="106" xfId="126" applyNumberFormat="1" applyFont="1" applyBorder="1" applyAlignment="1" applyProtection="1">
      <alignment horizontal="right" wrapText="1"/>
      <protection hidden="1"/>
    </xf>
    <xf numFmtId="1" fontId="6" fillId="0" borderId="124" xfId="126" applyNumberFormat="1" applyFont="1" applyBorder="1" applyAlignment="1" applyProtection="1">
      <alignment horizontal="right" wrapText="1"/>
      <protection hidden="1"/>
    </xf>
    <xf numFmtId="1" fontId="6" fillId="0" borderId="101" xfId="126" applyNumberFormat="1" applyFont="1" applyBorder="1" applyAlignment="1" applyProtection="1">
      <alignment horizontal="right" wrapText="1"/>
      <protection hidden="1"/>
    </xf>
    <xf numFmtId="1" fontId="6" fillId="0" borderId="11" xfId="126" applyNumberFormat="1" applyFont="1" applyBorder="1" applyAlignment="1" applyProtection="1">
      <alignment horizontal="right" wrapText="1"/>
      <protection hidden="1"/>
    </xf>
    <xf numFmtId="1" fontId="6" fillId="0" borderId="82" xfId="126" applyNumberFormat="1" applyFont="1" applyBorder="1" applyAlignment="1" applyProtection="1">
      <alignment horizontal="right" wrapText="1"/>
      <protection hidden="1"/>
    </xf>
    <xf numFmtId="1" fontId="6" fillId="0" borderId="29" xfId="126" applyNumberFormat="1" applyFont="1" applyBorder="1" applyAlignment="1" applyProtection="1">
      <alignment horizontal="right" wrapText="1"/>
      <protection hidden="1"/>
    </xf>
    <xf numFmtId="1" fontId="6" fillId="0" borderId="6" xfId="126" applyNumberFormat="1" applyFont="1" applyBorder="1" applyAlignment="1" applyProtection="1">
      <alignment horizontal="right" wrapText="1"/>
      <protection hidden="1"/>
    </xf>
    <xf numFmtId="1" fontId="6" fillId="0" borderId="146" xfId="126" applyNumberFormat="1" applyFont="1" applyBorder="1" applyAlignment="1" applyProtection="1">
      <alignment horizontal="right" wrapText="1"/>
      <protection hidden="1"/>
    </xf>
    <xf numFmtId="1" fontId="6" fillId="0" borderId="83" xfId="126" applyNumberFormat="1" applyFont="1" applyBorder="1" applyAlignment="1" applyProtection="1">
      <alignment horizontal="right" wrapText="1"/>
      <protection hidden="1"/>
    </xf>
    <xf numFmtId="1" fontId="6" fillId="0" borderId="144" xfId="126" applyNumberFormat="1" applyFont="1" applyBorder="1" applyAlignment="1" applyProtection="1">
      <alignment horizontal="right" wrapText="1"/>
      <protection hidden="1"/>
    </xf>
    <xf numFmtId="1" fontId="6" fillId="0" borderId="45" xfId="126" applyNumberFormat="1" applyFont="1" applyBorder="1" applyAlignment="1" applyProtection="1">
      <alignment horizontal="right" wrapText="1"/>
      <protection hidden="1"/>
    </xf>
    <xf numFmtId="1" fontId="6" fillId="0" borderId="70" xfId="126" applyNumberFormat="1" applyFont="1" applyBorder="1" applyAlignment="1" applyProtection="1">
      <alignment horizontal="right" wrapText="1"/>
      <protection hidden="1"/>
    </xf>
    <xf numFmtId="1" fontId="6" fillId="0" borderId="61" xfId="126" applyNumberFormat="1" applyFont="1" applyBorder="1" applyAlignment="1" applyProtection="1">
      <alignment horizontal="right" wrapText="1"/>
      <protection hidden="1"/>
    </xf>
    <xf numFmtId="1" fontId="6" fillId="0" borderId="44" xfId="126" applyNumberFormat="1" applyFont="1" applyBorder="1" applyAlignment="1" applyProtection="1">
      <alignment horizontal="right" wrapText="1"/>
      <protection hidden="1"/>
    </xf>
    <xf numFmtId="1" fontId="6" fillId="0" borderId="93" xfId="126" applyNumberFormat="1" applyFont="1" applyBorder="1" applyAlignment="1" applyProtection="1">
      <alignment horizontal="right" wrapText="1"/>
      <protection hidden="1"/>
    </xf>
    <xf numFmtId="1" fontId="6" fillId="0" borderId="63" xfId="126" applyNumberFormat="1" applyFont="1" applyBorder="1" applyAlignment="1" applyProtection="1">
      <alignment horizontal="right" wrapText="1"/>
      <protection hidden="1"/>
    </xf>
    <xf numFmtId="1" fontId="6" fillId="0" borderId="5" xfId="126" applyNumberFormat="1" applyFont="1" applyBorder="1" applyAlignment="1" applyProtection="1">
      <alignment horizontal="right" wrapText="1"/>
      <protection hidden="1"/>
    </xf>
    <xf numFmtId="1" fontId="6" fillId="0" borderId="80" xfId="126" applyNumberFormat="1" applyFont="1" applyBorder="1" applyAlignment="1" applyProtection="1">
      <alignment horizontal="right" wrapText="1"/>
      <protection hidden="1"/>
    </xf>
    <xf numFmtId="1" fontId="6" fillId="0" borderId="78" xfId="126" applyNumberFormat="1" applyFont="1" applyBorder="1" applyAlignment="1" applyProtection="1">
      <alignment horizontal="right" wrapText="1"/>
      <protection hidden="1"/>
    </xf>
    <xf numFmtId="1" fontId="6" fillId="0" borderId="30" xfId="0" applyNumberFormat="1" applyFont="1" applyBorder="1" applyAlignment="1">
      <alignment horizontal="right"/>
    </xf>
    <xf numFmtId="1" fontId="6" fillId="15" borderId="67" xfId="0" applyNumberFormat="1" applyFont="1" applyFill="1" applyBorder="1" applyAlignment="1" applyProtection="1">
      <alignment horizontal="right"/>
      <protection locked="0"/>
    </xf>
    <xf numFmtId="1" fontId="6" fillId="15" borderId="24" xfId="0" applyNumberFormat="1" applyFont="1" applyFill="1" applyBorder="1" applyAlignment="1" applyProtection="1">
      <alignment horizontal="right"/>
      <protection locked="0"/>
    </xf>
    <xf numFmtId="1" fontId="6" fillId="15" borderId="25" xfId="0" applyNumberFormat="1" applyFont="1" applyFill="1" applyBorder="1" applyAlignment="1" applyProtection="1">
      <alignment horizontal="right"/>
      <protection locked="0"/>
    </xf>
    <xf numFmtId="1" fontId="6" fillId="15" borderId="56" xfId="0" applyNumberFormat="1" applyFont="1" applyFill="1" applyBorder="1" applyAlignment="1" applyProtection="1">
      <alignment horizontal="right"/>
      <protection locked="0"/>
    </xf>
    <xf numFmtId="1" fontId="6" fillId="15" borderId="27" xfId="0" applyNumberFormat="1" applyFont="1" applyFill="1" applyBorder="1" applyAlignment="1" applyProtection="1">
      <alignment horizontal="right"/>
      <protection locked="0"/>
    </xf>
    <xf numFmtId="1" fontId="6" fillId="0" borderId="11" xfId="0" applyNumberFormat="1" applyFont="1" applyBorder="1" applyAlignment="1">
      <alignment horizontal="right"/>
    </xf>
    <xf numFmtId="1" fontId="6" fillId="15" borderId="85" xfId="0" applyNumberFormat="1" applyFont="1" applyFill="1" applyBorder="1" applyAlignment="1" applyProtection="1">
      <alignment horizontal="right"/>
      <protection locked="0"/>
    </xf>
    <xf numFmtId="1" fontId="6" fillId="15" borderId="104" xfId="0" applyNumberFormat="1" applyFont="1" applyFill="1" applyBorder="1" applyAlignment="1" applyProtection="1">
      <alignment horizontal="right"/>
      <protection locked="0"/>
    </xf>
    <xf numFmtId="1" fontId="6" fillId="15" borderId="123" xfId="0" applyNumberFormat="1" applyFont="1" applyFill="1" applyBorder="1" applyAlignment="1" applyProtection="1">
      <alignment horizontal="right"/>
      <protection locked="0"/>
    </xf>
    <xf numFmtId="1" fontId="6" fillId="15" borderId="127" xfId="0" applyNumberFormat="1" applyFont="1" applyFill="1" applyBorder="1" applyAlignment="1" applyProtection="1">
      <alignment horizontal="right"/>
      <protection locked="0"/>
    </xf>
    <xf numFmtId="1" fontId="6" fillId="20" borderId="141" xfId="0" applyNumberFormat="1" applyFont="1" applyFill="1" applyBorder="1" applyAlignment="1">
      <alignment horizontal="right"/>
    </xf>
    <xf numFmtId="1" fontId="6" fillId="15" borderId="29" xfId="0" applyNumberFormat="1" applyFont="1" applyFill="1" applyBorder="1" applyAlignment="1" applyProtection="1">
      <alignment horizontal="right"/>
      <protection locked="0"/>
    </xf>
    <xf numFmtId="1" fontId="6" fillId="0" borderId="75" xfId="0" applyNumberFormat="1" applyFont="1" applyBorder="1" applyAlignment="1">
      <alignment horizontal="right"/>
    </xf>
    <xf numFmtId="1" fontId="6" fillId="15" borderId="31" xfId="0" applyNumberFormat="1" applyFont="1" applyFill="1" applyBorder="1" applyAlignment="1" applyProtection="1">
      <alignment horizontal="right"/>
      <protection locked="0"/>
    </xf>
    <xf numFmtId="1" fontId="6" fillId="15" borderId="32" xfId="0" applyNumberFormat="1" applyFont="1" applyFill="1" applyBorder="1" applyAlignment="1" applyProtection="1">
      <alignment horizontal="right"/>
      <protection locked="0"/>
    </xf>
    <xf numFmtId="1" fontId="6" fillId="15" borderId="34" xfId="0" applyNumberFormat="1" applyFont="1" applyFill="1" applyBorder="1" applyAlignment="1" applyProtection="1">
      <alignment horizontal="right"/>
      <protection locked="0"/>
    </xf>
    <xf numFmtId="1" fontId="6" fillId="15" borderId="36" xfId="0" applyNumberFormat="1" applyFont="1" applyFill="1" applyBorder="1" applyAlignment="1" applyProtection="1">
      <alignment horizontal="right"/>
      <protection locked="0"/>
    </xf>
    <xf numFmtId="1" fontId="6" fillId="15" borderId="21" xfId="0" applyNumberFormat="1" applyFont="1" applyFill="1" applyBorder="1" applyAlignment="1" applyProtection="1">
      <alignment horizontal="right"/>
      <protection locked="0"/>
    </xf>
    <xf numFmtId="1" fontId="6" fillId="15" borderId="59" xfId="0" applyNumberFormat="1" applyFont="1" applyFill="1" applyBorder="1" applyAlignment="1" applyProtection="1">
      <alignment horizontal="right"/>
      <protection locked="0"/>
    </xf>
    <xf numFmtId="1" fontId="6" fillId="15" borderId="39" xfId="0" applyNumberFormat="1" applyFont="1" applyFill="1" applyBorder="1" applyAlignment="1" applyProtection="1">
      <alignment horizontal="right"/>
      <protection locked="0"/>
    </xf>
    <xf numFmtId="1" fontId="6" fillId="15" borderId="40" xfId="0" applyNumberFormat="1" applyFont="1" applyFill="1" applyBorder="1" applyAlignment="1" applyProtection="1">
      <alignment horizontal="right"/>
      <protection locked="0"/>
    </xf>
    <xf numFmtId="1" fontId="6" fillId="15" borderId="41" xfId="0" applyNumberFormat="1" applyFont="1" applyFill="1" applyBorder="1" applyAlignment="1" applyProtection="1">
      <alignment horizontal="right"/>
      <protection locked="0"/>
    </xf>
    <xf numFmtId="1" fontId="6" fillId="15" borderId="44" xfId="0" applyNumberFormat="1" applyFont="1" applyFill="1" applyBorder="1" applyAlignment="1" applyProtection="1">
      <alignment horizontal="right"/>
      <protection locked="0"/>
    </xf>
    <xf numFmtId="1" fontId="6" fillId="15" borderId="124" xfId="0" applyNumberFormat="1" applyFont="1" applyFill="1" applyBorder="1" applyAlignment="1" applyProtection="1">
      <alignment horizontal="right"/>
      <protection locked="0"/>
    </xf>
    <xf numFmtId="1" fontId="6" fillId="0" borderId="76" xfId="0" applyNumberFormat="1" applyFont="1" applyBorder="1" applyAlignment="1">
      <alignment horizontal="right"/>
    </xf>
    <xf numFmtId="1" fontId="6" fillId="15" borderId="117" xfId="0" applyNumberFormat="1" applyFont="1" applyFill="1" applyBorder="1" applyAlignment="1" applyProtection="1">
      <alignment horizontal="right"/>
      <protection locked="0"/>
    </xf>
    <xf numFmtId="1" fontId="6" fillId="15" borderId="128" xfId="0" applyNumberFormat="1" applyFont="1" applyFill="1" applyBorder="1" applyAlignment="1" applyProtection="1">
      <alignment horizontal="right"/>
      <protection locked="0"/>
    </xf>
    <xf numFmtId="1" fontId="6" fillId="15" borderId="97" xfId="0" applyNumberFormat="1" applyFont="1" applyFill="1" applyBorder="1" applyAlignment="1" applyProtection="1">
      <alignment horizontal="right"/>
      <protection locked="0"/>
    </xf>
    <xf numFmtId="1" fontId="6" fillId="15" borderId="91" xfId="0" applyNumberFormat="1" applyFont="1" applyFill="1" applyBorder="1" applyAlignment="1" applyProtection="1">
      <alignment horizontal="right"/>
      <protection locked="0"/>
    </xf>
    <xf numFmtId="1" fontId="6" fillId="0" borderId="45" xfId="0" applyNumberFormat="1" applyFont="1" applyBorder="1" applyAlignment="1">
      <alignment horizontal="right"/>
    </xf>
    <xf numFmtId="1" fontId="6" fillId="15" borderId="106" xfId="0" applyNumberFormat="1" applyFont="1" applyFill="1" applyBorder="1" applyAlignment="1" applyProtection="1">
      <alignment horizontal="right"/>
      <protection locked="0"/>
    </xf>
    <xf numFmtId="1" fontId="6" fillId="0" borderId="135" xfId="0" applyNumberFormat="1" applyFont="1" applyBorder="1" applyAlignment="1">
      <alignment horizontal="right"/>
    </xf>
    <xf numFmtId="1" fontId="6" fillId="0" borderId="46" xfId="0" applyNumberFormat="1" applyFont="1" applyBorder="1" applyAlignment="1">
      <alignment horizontal="right"/>
    </xf>
    <xf numFmtId="1" fontId="6" fillId="0" borderId="157" xfId="0" applyNumberFormat="1" applyFont="1" applyBorder="1" applyAlignment="1">
      <alignment horizontal="right"/>
    </xf>
    <xf numFmtId="1" fontId="6" fillId="15" borderId="51" xfId="0" applyNumberFormat="1" applyFont="1" applyFill="1" applyBorder="1" applyAlignment="1" applyProtection="1">
      <alignment horizontal="right"/>
      <protection locked="0"/>
    </xf>
    <xf numFmtId="1" fontId="6" fillId="15" borderId="52" xfId="0" applyNumberFormat="1" applyFont="1" applyFill="1" applyBorder="1" applyAlignment="1" applyProtection="1">
      <alignment horizontal="right"/>
      <protection locked="0"/>
    </xf>
    <xf numFmtId="1" fontId="6" fillId="15" borderId="54" xfId="0" applyNumberFormat="1" applyFont="1" applyFill="1" applyBorder="1" applyAlignment="1" applyProtection="1">
      <alignment horizontal="right"/>
      <protection locked="0"/>
    </xf>
    <xf numFmtId="1" fontId="6" fillId="15" borderId="55" xfId="0" applyNumberFormat="1" applyFont="1" applyFill="1" applyBorder="1" applyAlignment="1" applyProtection="1">
      <alignment horizontal="right"/>
      <protection locked="0"/>
    </xf>
    <xf numFmtId="1" fontId="6" fillId="15" borderId="57" xfId="0" applyNumberFormat="1" applyFont="1" applyFill="1" applyBorder="1" applyAlignment="1" applyProtection="1">
      <alignment horizontal="right"/>
      <protection locked="0"/>
    </xf>
    <xf numFmtId="1" fontId="6" fillId="15" borderId="58" xfId="0" applyNumberFormat="1" applyFont="1" applyFill="1" applyBorder="1" applyAlignment="1" applyProtection="1">
      <alignment horizontal="right"/>
      <protection locked="0"/>
    </xf>
    <xf numFmtId="1" fontId="6" fillId="15" borderId="60" xfId="0" applyNumberFormat="1" applyFont="1" applyFill="1" applyBorder="1" applyAlignment="1" applyProtection="1">
      <alignment horizontal="right"/>
      <protection locked="0"/>
    </xf>
    <xf numFmtId="1" fontId="6" fillId="15" borderId="61" xfId="0" applyNumberFormat="1" applyFont="1" applyFill="1" applyBorder="1" applyAlignment="1" applyProtection="1">
      <alignment horizontal="right"/>
      <protection locked="0"/>
    </xf>
    <xf numFmtId="1" fontId="6" fillId="0" borderId="62" xfId="0" applyNumberFormat="1" applyFont="1" applyBorder="1" applyAlignment="1">
      <alignment horizontal="right"/>
    </xf>
    <xf numFmtId="1" fontId="6" fillId="0" borderId="64" xfId="0" applyNumberFormat="1" applyFont="1" applyBorder="1" applyAlignment="1">
      <alignment horizontal="right"/>
    </xf>
    <xf numFmtId="1" fontId="6" fillId="15" borderId="30" xfId="0" applyNumberFormat="1" applyFont="1" applyFill="1" applyBorder="1" applyAlignment="1" applyProtection="1">
      <alignment horizontal="right"/>
      <protection locked="0"/>
    </xf>
    <xf numFmtId="1" fontId="6" fillId="15" borderId="35" xfId="0" applyNumberFormat="1" applyFont="1" applyFill="1" applyBorder="1" applyAlignment="1" applyProtection="1">
      <alignment horizontal="right"/>
      <protection locked="0"/>
    </xf>
    <xf numFmtId="1" fontId="6" fillId="0" borderId="35" xfId="0" applyNumberFormat="1" applyFont="1" applyBorder="1" applyAlignment="1">
      <alignment horizontal="right"/>
    </xf>
    <xf numFmtId="1" fontId="6" fillId="15" borderId="66" xfId="0" applyNumberFormat="1" applyFont="1" applyFill="1" applyBorder="1" applyAlignment="1" applyProtection="1">
      <alignment horizontal="right"/>
      <protection locked="0"/>
    </xf>
    <xf numFmtId="1" fontId="6" fillId="0" borderId="1" xfId="0" applyNumberFormat="1" applyFont="1" applyBorder="1" applyAlignment="1">
      <alignment horizontal="right"/>
    </xf>
    <xf numFmtId="1" fontId="6" fillId="17" borderId="30" xfId="0" applyNumberFormat="1" applyFont="1" applyFill="1" applyBorder="1" applyAlignment="1">
      <alignment horizontal="right"/>
    </xf>
    <xf numFmtId="1" fontId="6" fillId="17" borderId="35" xfId="0" applyNumberFormat="1" applyFont="1" applyFill="1" applyBorder="1" applyAlignment="1">
      <alignment horizontal="right"/>
    </xf>
    <xf numFmtId="1" fontId="6" fillId="17" borderId="45" xfId="0" applyNumberFormat="1" applyFont="1" applyFill="1" applyBorder="1" applyAlignment="1">
      <alignment horizontal="right"/>
    </xf>
    <xf numFmtId="1" fontId="6" fillId="15" borderId="45" xfId="0" applyNumberFormat="1" applyFont="1" applyFill="1" applyBorder="1" applyAlignment="1" applyProtection="1">
      <alignment horizontal="right"/>
      <protection locked="0"/>
    </xf>
    <xf numFmtId="1" fontId="6" fillId="17" borderId="1" xfId="0" applyNumberFormat="1" applyFont="1" applyFill="1" applyBorder="1" applyAlignment="1">
      <alignment horizontal="right"/>
    </xf>
    <xf numFmtId="1" fontId="6" fillId="15" borderId="1" xfId="0" applyNumberFormat="1" applyFont="1" applyFill="1" applyBorder="1" applyAlignment="1" applyProtection="1">
      <alignment horizontal="right"/>
      <protection locked="0"/>
    </xf>
    <xf numFmtId="1" fontId="30" fillId="0" borderId="30" xfId="0" applyNumberFormat="1" applyFont="1" applyBorder="1" applyAlignment="1">
      <alignment horizontal="right"/>
    </xf>
    <xf numFmtId="1" fontId="30" fillId="15" borderId="67" xfId="0" applyNumberFormat="1" applyFont="1" applyFill="1" applyBorder="1" applyAlignment="1" applyProtection="1">
      <alignment horizontal="right"/>
      <protection locked="0"/>
    </xf>
    <xf numFmtId="1" fontId="30" fillId="15" borderId="24" xfId="0" applyNumberFormat="1" applyFont="1" applyFill="1" applyBorder="1" applyAlignment="1" applyProtection="1">
      <alignment horizontal="right"/>
      <protection locked="0"/>
    </xf>
    <xf numFmtId="1" fontId="30" fillId="15" borderId="27" xfId="0" applyNumberFormat="1" applyFont="1" applyFill="1" applyBorder="1" applyAlignment="1" applyProtection="1">
      <alignment horizontal="right"/>
      <protection locked="0"/>
    </xf>
    <xf numFmtId="1" fontId="30" fillId="0" borderId="35" xfId="0" applyNumberFormat="1" applyFont="1" applyBorder="1" applyAlignment="1">
      <alignment horizontal="right"/>
    </xf>
    <xf numFmtId="1" fontId="30" fillId="15" borderId="36" xfId="0" applyNumberFormat="1" applyFont="1" applyFill="1" applyBorder="1" applyAlignment="1" applyProtection="1">
      <alignment horizontal="right"/>
      <protection locked="0"/>
    </xf>
    <xf numFmtId="1" fontId="30" fillId="15" borderId="21" xfId="0" applyNumberFormat="1" applyFont="1" applyFill="1" applyBorder="1" applyAlignment="1" applyProtection="1">
      <alignment horizontal="right"/>
      <protection locked="0"/>
    </xf>
    <xf numFmtId="1" fontId="30" fillId="15" borderId="39" xfId="0" applyNumberFormat="1" applyFont="1" applyFill="1" applyBorder="1" applyAlignment="1" applyProtection="1">
      <alignment horizontal="right"/>
      <protection locked="0"/>
    </xf>
    <xf numFmtId="1" fontId="30" fillId="0" borderId="75" xfId="0" applyNumberFormat="1" applyFont="1" applyBorder="1" applyAlignment="1">
      <alignment horizontal="right"/>
    </xf>
    <xf numFmtId="1" fontId="30" fillId="15" borderId="31" xfId="0" applyNumberFormat="1" applyFont="1" applyFill="1" applyBorder="1" applyAlignment="1" applyProtection="1">
      <alignment horizontal="right"/>
      <protection locked="0"/>
    </xf>
    <xf numFmtId="1" fontId="30" fillId="15" borderId="34" xfId="0" applyNumberFormat="1" applyFont="1" applyFill="1" applyBorder="1" applyAlignment="1" applyProtection="1">
      <alignment horizontal="right"/>
      <protection locked="0"/>
    </xf>
    <xf numFmtId="1" fontId="30" fillId="0" borderId="66" xfId="0" applyNumberFormat="1" applyFont="1" applyBorder="1" applyAlignment="1">
      <alignment horizontal="right"/>
    </xf>
    <xf numFmtId="1" fontId="6" fillId="0" borderId="85" xfId="0" applyNumberFormat="1" applyFont="1" applyBorder="1" applyAlignment="1">
      <alignment horizontal="right"/>
    </xf>
    <xf numFmtId="1" fontId="6" fillId="0" borderId="85" xfId="0" applyNumberFormat="1" applyFont="1" applyBorder="1" applyAlignment="1">
      <alignment horizontal="right" wrapText="1"/>
    </xf>
    <xf numFmtId="1" fontId="6" fillId="0" borderId="11" xfId="0" applyNumberFormat="1" applyFont="1" applyBorder="1" applyAlignment="1">
      <alignment horizontal="right" wrapText="1"/>
    </xf>
    <xf numFmtId="1" fontId="6" fillId="15" borderId="86" xfId="0" applyNumberFormat="1" applyFont="1" applyFill="1" applyBorder="1" applyAlignment="1" applyProtection="1">
      <alignment horizontal="right"/>
      <protection locked="0"/>
    </xf>
    <xf numFmtId="1" fontId="6" fillId="15" borderId="68" xfId="0" applyNumberFormat="1" applyFont="1" applyFill="1" applyBorder="1" applyAlignment="1" applyProtection="1">
      <alignment horizontal="right"/>
      <protection locked="0"/>
    </xf>
    <xf numFmtId="1" fontId="6" fillId="15" borderId="69" xfId="0" applyNumberFormat="1" applyFont="1" applyFill="1" applyBorder="1" applyAlignment="1" applyProtection="1">
      <alignment horizontal="right"/>
      <protection locked="0"/>
    </xf>
    <xf numFmtId="1" fontId="6" fillId="15" borderId="105" xfId="0" applyNumberFormat="1" applyFont="1" applyFill="1" applyBorder="1" applyAlignment="1" applyProtection="1">
      <alignment horizontal="right"/>
      <protection locked="0"/>
    </xf>
    <xf numFmtId="1" fontId="6" fillId="0" borderId="29" xfId="125" applyNumberFormat="1" applyFont="1" applyBorder="1" applyAlignment="1">
      <alignment horizontal="right" wrapText="1"/>
    </xf>
    <xf numFmtId="1" fontId="6" fillId="0" borderId="11" xfId="125" applyNumberFormat="1" applyFont="1" applyBorder="1" applyAlignment="1">
      <alignment horizontal="right"/>
    </xf>
    <xf numFmtId="1" fontId="6" fillId="15" borderId="82" xfId="125" applyNumberFormat="1" applyFont="1" applyFill="1" applyBorder="1" applyAlignment="1" applyProtection="1">
      <alignment horizontal="right"/>
      <protection locked="0"/>
    </xf>
    <xf numFmtId="1" fontId="6" fillId="15" borderId="83" xfId="125" applyNumberFormat="1" applyFont="1" applyFill="1" applyBorder="1" applyAlignment="1" applyProtection="1">
      <alignment horizontal="right"/>
      <protection locked="0"/>
    </xf>
    <xf numFmtId="1" fontId="6" fillId="15" borderId="132" xfId="125" applyNumberFormat="1" applyFont="1" applyFill="1" applyBorder="1" applyAlignment="1" applyProtection="1">
      <alignment horizontal="right"/>
      <protection locked="0"/>
    </xf>
    <xf numFmtId="1" fontId="6" fillId="15" borderId="7" xfId="125" applyNumberFormat="1" applyFont="1" applyFill="1" applyBorder="1" applyAlignment="1" applyProtection="1">
      <alignment horizontal="right"/>
      <protection locked="0"/>
    </xf>
    <xf numFmtId="1" fontId="6" fillId="15" borderId="5" xfId="125" applyNumberFormat="1" applyFont="1" applyFill="1" applyBorder="1" applyAlignment="1" applyProtection="1">
      <alignment horizontal="right"/>
      <protection locked="0"/>
    </xf>
    <xf numFmtId="1" fontId="6" fillId="15" borderId="85" xfId="125" applyNumberFormat="1" applyFont="1" applyFill="1" applyBorder="1" applyAlignment="1" applyProtection="1">
      <alignment horizontal="right"/>
      <protection locked="0"/>
    </xf>
    <xf numFmtId="1" fontId="6" fillId="15" borderId="23" xfId="125" applyNumberFormat="1" applyFont="1" applyFill="1" applyBorder="1" applyAlignment="1" applyProtection="1">
      <alignment horizontal="right"/>
      <protection locked="0"/>
    </xf>
    <xf numFmtId="1" fontId="6" fillId="15" borderId="81" xfId="125" applyNumberFormat="1" applyFont="1" applyFill="1" applyBorder="1" applyAlignment="1" applyProtection="1">
      <alignment horizontal="right"/>
      <protection locked="0"/>
    </xf>
    <xf numFmtId="1" fontId="6" fillId="0" borderId="30" xfId="125" applyNumberFormat="1" applyFont="1" applyBorder="1" applyAlignment="1">
      <alignment horizontal="right"/>
    </xf>
    <xf numFmtId="1" fontId="6" fillId="15" borderId="67" xfId="125" applyNumberFormat="1" applyFont="1" applyFill="1" applyBorder="1" applyAlignment="1" applyProtection="1">
      <alignment horizontal="right"/>
      <protection locked="0"/>
    </xf>
    <xf numFmtId="1" fontId="6" fillId="15" borderId="86" xfId="125" applyNumberFormat="1" applyFont="1" applyFill="1" applyBorder="1" applyAlignment="1" applyProtection="1">
      <alignment horizontal="right"/>
      <protection locked="0"/>
    </xf>
    <xf numFmtId="1" fontId="6" fillId="15" borderId="129" xfId="125" applyNumberFormat="1" applyFont="1" applyFill="1" applyBorder="1" applyAlignment="1" applyProtection="1">
      <alignment horizontal="right"/>
      <protection locked="0"/>
    </xf>
    <xf numFmtId="1" fontId="6" fillId="15" borderId="24" xfId="125" applyNumberFormat="1" applyFont="1" applyFill="1" applyBorder="1" applyAlignment="1" applyProtection="1">
      <alignment horizontal="right"/>
      <protection locked="0"/>
    </xf>
    <xf numFmtId="1" fontId="6" fillId="15" borderId="103" xfId="125" applyNumberFormat="1" applyFont="1" applyFill="1" applyBorder="1" applyAlignment="1" applyProtection="1">
      <alignment horizontal="right"/>
      <protection locked="0"/>
    </xf>
    <xf numFmtId="1" fontId="6" fillId="0" borderId="45" xfId="125" applyNumberFormat="1" applyFont="1" applyBorder="1" applyAlignment="1">
      <alignment horizontal="right"/>
    </xf>
    <xf numFmtId="1" fontId="6" fillId="15" borderId="106" xfId="125" applyNumberFormat="1" applyFont="1" applyFill="1" applyBorder="1" applyAlignment="1" applyProtection="1">
      <alignment horizontal="right"/>
      <protection locked="0"/>
    </xf>
    <xf numFmtId="1" fontId="6" fillId="15" borderId="105" xfId="125" applyNumberFormat="1" applyFont="1" applyFill="1" applyBorder="1" applyAlignment="1" applyProtection="1">
      <alignment horizontal="right"/>
      <protection locked="0"/>
    </xf>
    <xf numFmtId="1" fontId="6" fillId="15" borderId="118" xfId="125" applyNumberFormat="1" applyFont="1" applyFill="1" applyBorder="1" applyAlignment="1" applyProtection="1">
      <alignment horizontal="right"/>
      <protection locked="0"/>
    </xf>
    <xf numFmtId="1" fontId="6" fillId="15" borderId="104" xfId="125" applyNumberFormat="1" applyFont="1" applyFill="1" applyBorder="1" applyAlignment="1" applyProtection="1">
      <alignment horizontal="right"/>
      <protection locked="0"/>
    </xf>
    <xf numFmtId="1" fontId="6" fillId="15" borderId="133" xfId="125" applyNumberFormat="1" applyFont="1" applyFill="1" applyBorder="1" applyAlignment="1" applyProtection="1">
      <alignment horizontal="right"/>
      <protection locked="0"/>
    </xf>
    <xf numFmtId="1" fontId="6" fillId="15" borderId="137" xfId="125" applyNumberFormat="1" applyFont="1" applyFill="1" applyBorder="1" applyAlignment="1" applyProtection="1">
      <alignment horizontal="right"/>
      <protection locked="0"/>
    </xf>
    <xf numFmtId="1" fontId="6" fillId="0" borderId="1" xfId="125" applyNumberFormat="1" applyFont="1" applyBorder="1" applyAlignment="1">
      <alignment horizontal="right"/>
    </xf>
    <xf numFmtId="1" fontId="6" fillId="0" borderId="7" xfId="125" applyNumberFormat="1" applyFont="1" applyBorder="1" applyAlignment="1">
      <alignment horizontal="right"/>
    </xf>
    <xf numFmtId="1" fontId="6" fillId="0" borderId="5" xfId="125" applyNumberFormat="1" applyFont="1" applyBorder="1" applyAlignment="1">
      <alignment horizontal="right"/>
    </xf>
    <xf numFmtId="1" fontId="6" fillId="0" borderId="23" xfId="125" applyNumberFormat="1" applyFont="1" applyBorder="1" applyAlignment="1">
      <alignment horizontal="right"/>
    </xf>
    <xf numFmtId="1" fontId="6" fillId="0" borderId="78" xfId="125" applyNumberFormat="1" applyFont="1" applyBorder="1" applyAlignment="1">
      <alignment horizontal="right"/>
    </xf>
    <xf numFmtId="1" fontId="6" fillId="0" borderId="81" xfId="125" applyNumberFormat="1" applyFont="1" applyBorder="1" applyAlignment="1">
      <alignment horizontal="right"/>
    </xf>
    <xf numFmtId="1" fontId="6" fillId="15" borderId="120" xfId="125" applyNumberFormat="1" applyFont="1" applyFill="1" applyBorder="1" applyAlignment="1" applyProtection="1">
      <alignment horizontal="right"/>
      <protection locked="0"/>
    </xf>
    <xf numFmtId="1" fontId="6" fillId="0" borderId="76" xfId="125" applyNumberFormat="1" applyFont="1" applyBorder="1" applyAlignment="1">
      <alignment horizontal="right"/>
    </xf>
    <xf numFmtId="1" fontId="6" fillId="15" borderId="126" xfId="125" applyNumberFormat="1" applyFont="1" applyFill="1" applyBorder="1" applyAlignment="1" applyProtection="1">
      <alignment horizontal="right"/>
      <protection locked="0"/>
    </xf>
    <xf numFmtId="1" fontId="6" fillId="0" borderId="75" xfId="125" applyNumberFormat="1" applyFont="1" applyBorder="1" applyAlignment="1">
      <alignment horizontal="right"/>
    </xf>
    <xf numFmtId="1" fontId="6" fillId="0" borderId="64" xfId="125" applyNumberFormat="1" applyFont="1" applyBorder="1" applyAlignment="1">
      <alignment horizontal="right"/>
    </xf>
    <xf numFmtId="1" fontId="6" fillId="0" borderId="72" xfId="125" applyNumberFormat="1" applyFont="1" applyBorder="1" applyAlignment="1">
      <alignment horizontal="right"/>
    </xf>
    <xf numFmtId="1" fontId="6" fillId="0" borderId="9" xfId="125" applyNumberFormat="1" applyFont="1" applyBorder="1" applyAlignment="1">
      <alignment horizontal="right"/>
    </xf>
    <xf numFmtId="1" fontId="6" fillId="0" borderId="10" xfId="125" applyNumberFormat="1" applyFont="1" applyBorder="1" applyAlignment="1">
      <alignment horizontal="right"/>
    </xf>
    <xf numFmtId="1" fontId="6" fillId="22" borderId="7" xfId="125" applyNumberFormat="1" applyFont="1" applyFill="1" applyBorder="1" applyAlignment="1">
      <alignment horizontal="right"/>
    </xf>
    <xf numFmtId="1" fontId="6" fillId="22" borderId="64" xfId="125" applyNumberFormat="1" applyFont="1" applyFill="1" applyBorder="1" applyAlignment="1">
      <alignment horizontal="right"/>
    </xf>
    <xf numFmtId="1" fontId="6" fillId="22" borderId="23" xfId="125" applyNumberFormat="1" applyFont="1" applyFill="1" applyBorder="1" applyAlignment="1">
      <alignment horizontal="right"/>
    </xf>
    <xf numFmtId="1" fontId="6" fillId="22" borderId="5" xfId="125" applyNumberFormat="1" applyFont="1" applyFill="1" applyBorder="1" applyAlignment="1">
      <alignment horizontal="right"/>
    </xf>
    <xf numFmtId="1" fontId="6" fillId="22" borderId="78" xfId="125" applyNumberFormat="1" applyFont="1" applyFill="1" applyBorder="1" applyAlignment="1">
      <alignment horizontal="right"/>
    </xf>
    <xf numFmtId="1" fontId="6" fillId="22" borderId="93" xfId="125" applyNumberFormat="1" applyFont="1" applyFill="1" applyBorder="1" applyAlignment="1">
      <alignment horizontal="right"/>
    </xf>
    <xf numFmtId="1" fontId="6" fillId="22" borderId="81" xfId="125" applyNumberFormat="1" applyFont="1" applyFill="1" applyBorder="1" applyAlignment="1">
      <alignment horizontal="right"/>
    </xf>
    <xf numFmtId="1" fontId="6" fillId="15" borderId="91" xfId="125" applyNumberFormat="1" applyFont="1" applyFill="1" applyBorder="1" applyAlignment="1" applyProtection="1">
      <alignment horizontal="right"/>
      <protection locked="0"/>
    </xf>
    <xf numFmtId="1" fontId="6" fillId="15" borderId="31" xfId="125" applyNumberFormat="1" applyFont="1" applyFill="1" applyBorder="1" applyAlignment="1" applyProtection="1">
      <alignment horizontal="right"/>
      <protection locked="0"/>
    </xf>
    <xf numFmtId="1" fontId="6" fillId="15" borderId="130" xfId="125" applyNumberFormat="1" applyFont="1" applyFill="1" applyBorder="1" applyAlignment="1" applyProtection="1">
      <alignment horizontal="right"/>
      <protection locked="0"/>
    </xf>
    <xf numFmtId="1" fontId="6" fillId="15" borderId="92" xfId="125" applyNumberFormat="1" applyFont="1" applyFill="1" applyBorder="1" applyAlignment="1" applyProtection="1">
      <alignment horizontal="right"/>
      <protection locked="0"/>
    </xf>
    <xf numFmtId="1" fontId="6" fillId="15" borderId="121" xfId="125" applyNumberFormat="1" applyFont="1" applyFill="1" applyBorder="1" applyAlignment="1" applyProtection="1">
      <alignment horizontal="right"/>
      <protection locked="0"/>
    </xf>
    <xf numFmtId="1" fontId="6" fillId="15" borderId="139" xfId="125" applyNumberFormat="1" applyFont="1" applyFill="1" applyBorder="1" applyAlignment="1" applyProtection="1">
      <alignment horizontal="right"/>
      <protection locked="0"/>
    </xf>
    <xf numFmtId="1" fontId="6" fillId="15" borderId="142" xfId="125" applyNumberFormat="1" applyFont="1" applyFill="1" applyBorder="1" applyAlignment="1" applyProtection="1">
      <alignment horizontal="right"/>
      <protection locked="0"/>
    </xf>
    <xf numFmtId="1" fontId="6" fillId="0" borderId="94" xfId="125" applyNumberFormat="1" applyFont="1" applyBorder="1" applyAlignment="1">
      <alignment horizontal="right"/>
    </xf>
    <xf numFmtId="1" fontId="6" fillId="15" borderId="78" xfId="125" applyNumberFormat="1" applyFont="1" applyFill="1" applyBorder="1" applyAlignment="1" applyProtection="1">
      <alignment horizontal="right"/>
      <protection locked="0"/>
    </xf>
    <xf numFmtId="1" fontId="6" fillId="15" borderId="84" xfId="125" applyNumberFormat="1" applyFont="1" applyFill="1" applyBorder="1" applyAlignment="1" applyProtection="1">
      <alignment horizontal="right"/>
      <protection locked="0"/>
    </xf>
    <xf numFmtId="1" fontId="6" fillId="0" borderId="74" xfId="125" applyNumberFormat="1" applyFont="1" applyBorder="1" applyAlignment="1">
      <alignment horizontal="right"/>
    </xf>
    <xf numFmtId="1" fontId="6" fillId="0" borderId="73" xfId="125" applyNumberFormat="1" applyFont="1" applyBorder="1" applyAlignment="1">
      <alignment horizontal="right"/>
    </xf>
    <xf numFmtId="1" fontId="6" fillId="0" borderId="35" xfId="125" applyNumberFormat="1" applyFont="1" applyBorder="1" applyAlignment="1">
      <alignment horizontal="right"/>
    </xf>
    <xf numFmtId="1" fontId="6" fillId="15" borderId="68" xfId="125" applyNumberFormat="1" applyFont="1" applyFill="1" applyBorder="1" applyAlignment="1" applyProtection="1">
      <alignment horizontal="right"/>
      <protection locked="0"/>
    </xf>
    <xf numFmtId="1" fontId="6" fillId="15" borderId="69" xfId="125" applyNumberFormat="1" applyFont="1" applyFill="1" applyBorder="1" applyAlignment="1" applyProtection="1">
      <alignment horizontal="right"/>
      <protection locked="0"/>
    </xf>
    <xf numFmtId="1" fontId="6" fillId="15" borderId="107" xfId="125" applyNumberFormat="1" applyFont="1" applyFill="1" applyBorder="1" applyAlignment="1" applyProtection="1">
      <alignment horizontal="right"/>
      <protection locked="0"/>
    </xf>
    <xf numFmtId="1" fontId="6" fillId="15" borderId="36" xfId="125" applyNumberFormat="1" applyFont="1" applyFill="1" applyBorder="1" applyAlignment="1" applyProtection="1">
      <alignment horizontal="right"/>
      <protection locked="0"/>
    </xf>
    <xf numFmtId="1" fontId="6" fillId="15" borderId="95" xfId="125" applyNumberFormat="1" applyFont="1" applyFill="1" applyBorder="1" applyAlignment="1" applyProtection="1">
      <alignment horizontal="right"/>
      <protection locked="0"/>
    </xf>
    <xf numFmtId="1" fontId="6" fillId="0" borderId="89" xfId="125" applyNumberFormat="1" applyFont="1" applyBorder="1" applyAlignment="1">
      <alignment horizontal="right"/>
    </xf>
    <xf numFmtId="1" fontId="6" fillId="15" borderId="88" xfId="125" applyNumberFormat="1" applyFont="1" applyFill="1" applyBorder="1" applyAlignment="1" applyProtection="1">
      <alignment horizontal="right"/>
      <protection locked="0"/>
    </xf>
    <xf numFmtId="1" fontId="6" fillId="15" borderId="96" xfId="125" applyNumberFormat="1" applyFont="1" applyFill="1" applyBorder="1" applyAlignment="1" applyProtection="1">
      <alignment horizontal="right"/>
      <protection locked="0"/>
    </xf>
    <xf numFmtId="1" fontId="6" fillId="0" borderId="1" xfId="125" applyNumberFormat="1" applyFont="1" applyBorder="1" applyAlignment="1">
      <alignment horizontal="right" wrapText="1"/>
    </xf>
    <xf numFmtId="1" fontId="6" fillId="0" borderId="93" xfId="125" applyNumberFormat="1" applyFont="1" applyBorder="1" applyAlignment="1">
      <alignment horizontal="right"/>
    </xf>
    <xf numFmtId="1" fontId="6" fillId="0" borderId="82" xfId="125" applyNumberFormat="1" applyFont="1" applyBorder="1" applyAlignment="1">
      <alignment horizontal="right" wrapText="1"/>
    </xf>
    <xf numFmtId="1" fontId="6" fillId="0" borderId="64" xfId="125" applyNumberFormat="1" applyFont="1" applyBorder="1" applyAlignment="1">
      <alignment horizontal="right" wrapText="1"/>
    </xf>
    <xf numFmtId="1" fontId="6" fillId="0" borderId="67" xfId="125" applyNumberFormat="1" applyFont="1" applyBorder="1" applyAlignment="1">
      <alignment horizontal="right"/>
    </xf>
    <xf numFmtId="1" fontId="6" fillId="0" borderId="27" xfId="125" applyNumberFormat="1" applyFont="1" applyBorder="1" applyAlignment="1">
      <alignment horizontal="right"/>
    </xf>
    <xf numFmtId="1" fontId="6" fillId="0" borderId="68" xfId="125" applyNumberFormat="1" applyFont="1" applyBorder="1" applyAlignment="1">
      <alignment horizontal="right"/>
    </xf>
    <xf numFmtId="1" fontId="6" fillId="0" borderId="39" xfId="125" applyNumberFormat="1" applyFont="1" applyBorder="1" applyAlignment="1">
      <alignment horizontal="right"/>
    </xf>
    <xf numFmtId="1" fontId="6" fillId="0" borderId="70" xfId="125" applyNumberFormat="1" applyFont="1" applyBorder="1" applyAlignment="1">
      <alignment horizontal="right"/>
    </xf>
    <xf numFmtId="1" fontId="6" fillId="0" borderId="44" xfId="125" applyNumberFormat="1" applyFont="1" applyBorder="1" applyAlignment="1">
      <alignment horizontal="right"/>
    </xf>
    <xf numFmtId="1" fontId="6" fillId="0" borderId="91" xfId="125" applyNumberFormat="1" applyFont="1" applyBorder="1" applyAlignment="1">
      <alignment horizontal="right"/>
    </xf>
    <xf numFmtId="1" fontId="6" fillId="0" borderId="34" xfId="125" applyNumberFormat="1" applyFont="1" applyBorder="1" applyAlignment="1">
      <alignment horizontal="right"/>
    </xf>
    <xf numFmtId="1" fontId="6" fillId="0" borderId="29" xfId="125" applyNumberFormat="1" applyFont="1" applyBorder="1" applyAlignment="1">
      <alignment horizontal="right"/>
    </xf>
    <xf numFmtId="1" fontId="6" fillId="0" borderId="7" xfId="125" applyNumberFormat="1" applyFont="1" applyBorder="1" applyAlignment="1">
      <alignment horizontal="right" wrapText="1"/>
    </xf>
    <xf numFmtId="1" fontId="6" fillId="0" borderId="66" xfId="0" applyNumberFormat="1" applyFont="1" applyBorder="1" applyAlignment="1">
      <alignment horizontal="right"/>
    </xf>
    <xf numFmtId="1" fontId="6" fillId="15" borderId="70" xfId="0" applyNumberFormat="1" applyFont="1" applyFill="1" applyBorder="1" applyAlignment="1" applyProtection="1">
      <alignment horizontal="right"/>
      <protection locked="0"/>
    </xf>
    <xf numFmtId="1" fontId="6" fillId="15" borderId="90" xfId="0" applyNumberFormat="1" applyFont="1" applyFill="1" applyBorder="1" applyAlignment="1" applyProtection="1">
      <alignment horizontal="right"/>
      <protection locked="0"/>
    </xf>
    <xf numFmtId="1" fontId="6" fillId="15" borderId="25" xfId="125" applyNumberFormat="1" applyFont="1" applyFill="1" applyBorder="1" applyAlignment="1" applyProtection="1">
      <alignment horizontal="right"/>
      <protection locked="0"/>
    </xf>
    <xf numFmtId="1" fontId="6" fillId="15" borderId="21" xfId="125" applyNumberFormat="1" applyFont="1" applyFill="1" applyBorder="1" applyAlignment="1" applyProtection="1">
      <alignment horizontal="right"/>
      <protection locked="0"/>
    </xf>
    <xf numFmtId="1" fontId="6" fillId="15" borderId="58" xfId="125" applyNumberFormat="1" applyFont="1" applyFill="1" applyBorder="1" applyAlignment="1" applyProtection="1">
      <alignment horizontal="right"/>
      <protection locked="0"/>
    </xf>
    <xf numFmtId="1" fontId="6" fillId="0" borderId="66" xfId="125" applyNumberFormat="1" applyFont="1" applyBorder="1" applyAlignment="1">
      <alignment horizontal="right"/>
    </xf>
    <xf numFmtId="1" fontId="6" fillId="15" borderId="123" xfId="125" applyNumberFormat="1" applyFont="1" applyFill="1" applyBorder="1" applyAlignment="1" applyProtection="1">
      <alignment horizontal="right"/>
      <protection locked="0"/>
    </xf>
    <xf numFmtId="1" fontId="6" fillId="15" borderId="101" xfId="125" applyNumberFormat="1" applyFont="1" applyFill="1" applyBorder="1" applyAlignment="1" applyProtection="1">
      <alignment horizontal="right"/>
      <protection locked="0"/>
    </xf>
    <xf numFmtId="1" fontId="6" fillId="0" borderId="8" xfId="125" applyNumberFormat="1" applyFont="1" applyBorder="1" applyAlignment="1">
      <alignment horizontal="right"/>
    </xf>
    <xf numFmtId="1" fontId="6" fillId="0" borderId="62" xfId="125" applyNumberFormat="1" applyFont="1" applyBorder="1" applyAlignment="1">
      <alignment horizontal="right"/>
    </xf>
    <xf numFmtId="1" fontId="6" fillId="15" borderId="30" xfId="125" applyNumberFormat="1" applyFont="1" applyFill="1" applyBorder="1" applyAlignment="1" applyProtection="1">
      <alignment horizontal="right"/>
      <protection locked="0"/>
    </xf>
    <xf numFmtId="1" fontId="6" fillId="15" borderId="66" xfId="125" applyNumberFormat="1" applyFont="1" applyFill="1" applyBorder="1" applyAlignment="1" applyProtection="1">
      <alignment horizontal="right"/>
      <protection locked="0"/>
    </xf>
    <xf numFmtId="1" fontId="6" fillId="0" borderId="67" xfId="126" applyNumberFormat="1" applyFont="1" applyBorder="1" applyAlignment="1">
      <alignment horizontal="right"/>
    </xf>
    <xf numFmtId="1" fontId="6" fillId="0" borderId="25" xfId="126" applyNumberFormat="1" applyFont="1" applyBorder="1" applyAlignment="1">
      <alignment horizontal="right"/>
    </xf>
    <xf numFmtId="1" fontId="6" fillId="0" borderId="68" xfId="126" applyNumberFormat="1" applyFont="1" applyBorder="1" applyAlignment="1">
      <alignment horizontal="right"/>
    </xf>
    <xf numFmtId="1" fontId="6" fillId="0" borderId="21" xfId="126" applyNumberFormat="1" applyFont="1" applyBorder="1" applyAlignment="1">
      <alignment horizontal="right"/>
    </xf>
    <xf numFmtId="1" fontId="6" fillId="0" borderId="69" xfId="126" applyNumberFormat="1" applyFont="1" applyBorder="1" applyAlignment="1">
      <alignment horizontal="right"/>
    </xf>
    <xf numFmtId="1" fontId="6" fillId="0" borderId="106" xfId="126" applyNumberFormat="1" applyFont="1" applyBorder="1" applyAlignment="1">
      <alignment horizontal="right"/>
    </xf>
    <xf numFmtId="1" fontId="6" fillId="0" borderId="123" xfId="126" applyNumberFormat="1" applyFont="1" applyBorder="1" applyAlignment="1">
      <alignment horizontal="right"/>
    </xf>
    <xf numFmtId="1" fontId="6" fillId="0" borderId="105" xfId="126" applyNumberFormat="1" applyFont="1" applyBorder="1" applyAlignment="1">
      <alignment horizontal="right"/>
    </xf>
    <xf numFmtId="1" fontId="6" fillId="0" borderId="91" xfId="126" applyNumberFormat="1" applyFont="1" applyBorder="1" applyAlignment="1">
      <alignment horizontal="right"/>
    </xf>
    <xf numFmtId="1" fontId="6" fillId="0" borderId="31" xfId="126" applyNumberFormat="1" applyFont="1" applyBorder="1" applyAlignment="1">
      <alignment horizontal="right"/>
    </xf>
    <xf numFmtId="1" fontId="6" fillId="0" borderId="92" xfId="126" applyNumberFormat="1" applyFont="1" applyBorder="1" applyAlignment="1">
      <alignment horizontal="right"/>
    </xf>
    <xf numFmtId="1" fontId="6" fillId="0" borderId="98" xfId="126" applyNumberFormat="1" applyFont="1" applyBorder="1" applyAlignment="1">
      <alignment horizontal="right"/>
    </xf>
    <xf numFmtId="1" fontId="6" fillId="0" borderId="117" xfId="126" applyNumberFormat="1" applyFont="1" applyBorder="1" applyAlignment="1">
      <alignment horizontal="right"/>
    </xf>
    <xf numFmtId="1" fontId="6" fillId="0" borderId="96" xfId="126" applyNumberFormat="1" applyFont="1" applyBorder="1" applyAlignment="1">
      <alignment horizontal="right"/>
    </xf>
    <xf numFmtId="1" fontId="6" fillId="0" borderId="104" xfId="126" applyNumberFormat="1" applyFont="1" applyBorder="1" applyAlignment="1">
      <alignment horizontal="right"/>
    </xf>
    <xf numFmtId="1" fontId="6" fillId="0" borderId="24" xfId="126" applyNumberFormat="1" applyFont="1" applyBorder="1" applyAlignment="1">
      <alignment horizontal="right"/>
    </xf>
    <xf numFmtId="1" fontId="6" fillId="0" borderId="86" xfId="126" applyNumberFormat="1" applyFont="1" applyBorder="1" applyAlignment="1">
      <alignment horizontal="right"/>
    </xf>
    <xf numFmtId="1" fontId="6" fillId="24" borderId="67" xfId="126" applyNumberFormat="1" applyFont="1" applyFill="1" applyBorder="1" applyAlignment="1" applyProtection="1">
      <alignment horizontal="right"/>
      <protection locked="0"/>
    </xf>
    <xf numFmtId="1" fontId="6" fillId="24" borderId="86" xfId="126" applyNumberFormat="1" applyFont="1" applyFill="1" applyBorder="1" applyAlignment="1" applyProtection="1">
      <alignment horizontal="right"/>
      <protection locked="0"/>
    </xf>
    <xf numFmtId="1" fontId="6" fillId="24" borderId="26" xfId="126" applyNumberFormat="1" applyFont="1" applyFill="1" applyBorder="1" applyAlignment="1" applyProtection="1">
      <alignment horizontal="right"/>
      <protection locked="0"/>
    </xf>
    <xf numFmtId="1" fontId="6" fillId="0" borderId="36" xfId="126" applyNumberFormat="1" applyFont="1" applyBorder="1" applyAlignment="1">
      <alignment horizontal="right"/>
    </xf>
    <xf numFmtId="1" fontId="6" fillId="24" borderId="68" xfId="126" applyNumberFormat="1" applyFont="1" applyFill="1" applyBorder="1" applyAlignment="1" applyProtection="1">
      <alignment horizontal="right"/>
      <protection locked="0"/>
    </xf>
    <xf numFmtId="1" fontId="6" fillId="24" borderId="69" xfId="126" applyNumberFormat="1" applyFont="1" applyFill="1" applyBorder="1" applyAlignment="1" applyProtection="1">
      <alignment horizontal="right"/>
      <protection locked="0"/>
    </xf>
    <xf numFmtId="1" fontId="6" fillId="24" borderId="38" xfId="126" applyNumberFormat="1" applyFont="1" applyFill="1" applyBorder="1" applyAlignment="1" applyProtection="1">
      <alignment horizontal="right"/>
      <protection locked="0"/>
    </xf>
    <xf numFmtId="1" fontId="6" fillId="0" borderId="40" xfId="126" applyNumberFormat="1" applyFont="1" applyBorder="1" applyAlignment="1">
      <alignment horizontal="right"/>
    </xf>
    <xf numFmtId="1" fontId="6" fillId="0" borderId="90" xfId="126" applyNumberFormat="1" applyFont="1" applyBorder="1" applyAlignment="1">
      <alignment horizontal="right"/>
    </xf>
    <xf numFmtId="1" fontId="6" fillId="24" borderId="106" xfId="126" applyNumberFormat="1" applyFont="1" applyFill="1" applyBorder="1" applyAlignment="1" applyProtection="1">
      <alignment horizontal="right"/>
      <protection locked="0"/>
    </xf>
    <xf numFmtId="1" fontId="6" fillId="24" borderId="105" xfId="126" applyNumberFormat="1" applyFont="1" applyFill="1" applyBorder="1" applyAlignment="1" applyProtection="1">
      <alignment horizontal="right"/>
      <protection locked="0"/>
    </xf>
    <xf numFmtId="1" fontId="6" fillId="24" borderId="43" xfId="126" applyNumberFormat="1" applyFont="1" applyFill="1" applyBorder="1" applyAlignment="1" applyProtection="1">
      <alignment horizontal="right"/>
      <protection locked="0"/>
    </xf>
    <xf numFmtId="1" fontId="6" fillId="24" borderId="87" xfId="126" applyNumberFormat="1" applyFont="1" applyFill="1" applyBorder="1" applyAlignment="1" applyProtection="1">
      <alignment horizontal="right"/>
      <protection locked="0"/>
    </xf>
    <xf numFmtId="1" fontId="6" fillId="24" borderId="37" xfId="126" applyNumberFormat="1" applyFont="1" applyFill="1" applyBorder="1" applyAlignment="1" applyProtection="1">
      <alignment horizontal="right"/>
      <protection locked="0"/>
    </xf>
    <xf numFmtId="1" fontId="6" fillId="0" borderId="82" xfId="126" applyNumberFormat="1" applyFont="1" applyBorder="1" applyAlignment="1">
      <alignment horizontal="right"/>
    </xf>
    <xf numFmtId="1" fontId="6" fillId="24" borderId="70" xfId="126" applyNumberFormat="1" applyFont="1" applyFill="1" applyBorder="1" applyAlignment="1" applyProtection="1">
      <alignment horizontal="right"/>
      <protection locked="0"/>
    </xf>
    <xf numFmtId="1" fontId="6" fillId="24" borderId="90" xfId="126" applyNumberFormat="1" applyFont="1" applyFill="1" applyBorder="1" applyAlignment="1" applyProtection="1">
      <alignment horizontal="right"/>
      <protection locked="0"/>
    </xf>
    <xf numFmtId="1" fontId="6" fillId="24" borderId="42" xfId="126" applyNumberFormat="1" applyFont="1" applyFill="1" applyBorder="1" applyAlignment="1" applyProtection="1">
      <alignment horizontal="right"/>
      <protection locked="0"/>
    </xf>
    <xf numFmtId="1" fontId="6" fillId="24" borderId="149" xfId="126" applyNumberFormat="1" applyFont="1" applyFill="1" applyBorder="1" applyAlignment="1" applyProtection="1">
      <alignment horizontal="right"/>
      <protection locked="0"/>
    </xf>
    <xf numFmtId="1" fontId="6" fillId="24" borderId="103" xfId="126" applyNumberFormat="1" applyFont="1" applyFill="1" applyBorder="1" applyAlignment="1" applyProtection="1">
      <alignment horizontal="right"/>
      <protection locked="0"/>
    </xf>
    <xf numFmtId="1" fontId="6" fillId="24" borderId="82" xfId="126" applyNumberFormat="1" applyFont="1" applyFill="1" applyBorder="1" applyAlignment="1" applyProtection="1">
      <alignment horizontal="right"/>
      <protection locked="0"/>
    </xf>
    <xf numFmtId="1" fontId="6" fillId="24" borderId="83" xfId="126" applyNumberFormat="1" applyFont="1" applyFill="1" applyBorder="1" applyAlignment="1" applyProtection="1">
      <alignment horizontal="right"/>
      <protection locked="0"/>
    </xf>
    <xf numFmtId="1" fontId="6" fillId="24" borderId="147" xfId="126" applyNumberFormat="1" applyFont="1" applyFill="1" applyBorder="1" applyAlignment="1" applyProtection="1">
      <alignment horizontal="right"/>
      <protection locked="0"/>
    </xf>
    <xf numFmtId="1" fontId="6" fillId="24" borderId="133" xfId="126" applyNumberFormat="1" applyFont="1" applyFill="1" applyBorder="1" applyAlignment="1" applyProtection="1">
      <alignment horizontal="right"/>
      <protection locked="0"/>
    </xf>
    <xf numFmtId="1" fontId="6" fillId="24" borderId="91" xfId="126" applyNumberFormat="1" applyFont="1" applyFill="1" applyBorder="1" applyAlignment="1" applyProtection="1">
      <alignment horizontal="right"/>
      <protection locked="0"/>
    </xf>
    <xf numFmtId="1" fontId="6" fillId="24" borderId="92" xfId="126" applyNumberFormat="1" applyFont="1" applyFill="1" applyBorder="1" applyAlignment="1" applyProtection="1">
      <alignment horizontal="right"/>
      <protection locked="0"/>
    </xf>
    <xf numFmtId="1" fontId="6" fillId="24" borderId="142" xfId="126" applyNumberFormat="1" applyFont="1" applyFill="1" applyBorder="1" applyAlignment="1" applyProtection="1">
      <alignment horizontal="right"/>
      <protection locked="0"/>
    </xf>
    <xf numFmtId="1" fontId="6" fillId="20" borderId="33" xfId="126" applyNumberFormat="1" applyFont="1" applyFill="1" applyBorder="1" applyAlignment="1">
      <alignment horizontal="right"/>
    </xf>
    <xf numFmtId="1" fontId="6" fillId="20" borderId="38" xfId="126" applyNumberFormat="1" applyFont="1" applyFill="1" applyBorder="1" applyAlignment="1">
      <alignment horizontal="right"/>
    </xf>
    <xf numFmtId="1" fontId="6" fillId="0" borderId="109" xfId="126" applyNumberFormat="1" applyFont="1" applyBorder="1" applyAlignment="1">
      <alignment horizontal="right"/>
    </xf>
    <xf numFmtId="1" fontId="6" fillId="0" borderId="110" xfId="126" applyNumberFormat="1" applyFont="1" applyBorder="1" applyAlignment="1">
      <alignment horizontal="right"/>
    </xf>
    <xf numFmtId="1" fontId="6" fillId="0" borderId="111" xfId="126" applyNumberFormat="1" applyFont="1" applyBorder="1" applyAlignment="1">
      <alignment horizontal="right"/>
    </xf>
    <xf numFmtId="1" fontId="6" fillId="20" borderId="154" xfId="126" applyNumberFormat="1" applyFont="1" applyFill="1" applyBorder="1" applyAlignment="1">
      <alignment horizontal="right"/>
    </xf>
    <xf numFmtId="1" fontId="6" fillId="0" borderId="113" xfId="126" applyNumberFormat="1" applyFont="1" applyBorder="1" applyAlignment="1">
      <alignment horizontal="right"/>
    </xf>
    <xf numFmtId="1" fontId="6" fillId="0" borderId="114" xfId="126" applyNumberFormat="1" applyFont="1" applyBorder="1" applyAlignment="1">
      <alignment horizontal="right"/>
    </xf>
    <xf numFmtId="1" fontId="6" fillId="0" borderId="112" xfId="126" applyNumberFormat="1" applyFont="1" applyBorder="1" applyAlignment="1">
      <alignment horizontal="right"/>
    </xf>
    <xf numFmtId="1" fontId="6" fillId="24" borderId="113" xfId="126" applyNumberFormat="1" applyFont="1" applyFill="1" applyBorder="1" applyAlignment="1" applyProtection="1">
      <alignment horizontal="right"/>
      <protection locked="0"/>
    </xf>
    <xf numFmtId="1" fontId="6" fillId="24" borderId="112" xfId="126" applyNumberFormat="1" applyFont="1" applyFill="1" applyBorder="1" applyAlignment="1" applyProtection="1">
      <alignment horizontal="right"/>
      <protection locked="0"/>
    </xf>
    <xf numFmtId="1" fontId="6" fillId="24" borderId="155" xfId="126" applyNumberFormat="1" applyFont="1" applyFill="1" applyBorder="1" applyAlignment="1" applyProtection="1">
      <alignment horizontal="right"/>
      <protection locked="0"/>
    </xf>
    <xf numFmtId="1" fontId="6" fillId="20" borderId="115" xfId="126" applyNumberFormat="1" applyFont="1" applyFill="1" applyBorder="1" applyAlignment="1">
      <alignment horizontal="right"/>
    </xf>
    <xf numFmtId="1" fontId="6" fillId="24" borderId="137" xfId="126" applyNumberFormat="1" applyFont="1" applyFill="1" applyBorder="1" applyAlignment="1" applyProtection="1">
      <alignment horizontal="right"/>
      <protection locked="0"/>
    </xf>
    <xf numFmtId="1" fontId="6" fillId="0" borderId="7" xfId="126" applyNumberFormat="1" applyFont="1" applyBorder="1" applyAlignment="1">
      <alignment horizontal="right"/>
    </xf>
    <xf numFmtId="1" fontId="6" fillId="0" borderId="5" xfId="126" applyNumberFormat="1" applyFont="1" applyBorder="1" applyAlignment="1">
      <alignment horizontal="right"/>
    </xf>
    <xf numFmtId="1" fontId="6" fillId="24" borderId="34" xfId="126" applyNumberFormat="1" applyFont="1" applyFill="1" applyBorder="1" applyAlignment="1" applyProtection="1">
      <alignment horizontal="right"/>
      <protection locked="0"/>
    </xf>
    <xf numFmtId="1" fontId="6" fillId="20" borderId="67" xfId="126" applyNumberFormat="1" applyFont="1" applyFill="1" applyBorder="1" applyAlignment="1">
      <alignment horizontal="right"/>
    </xf>
    <xf numFmtId="1" fontId="6" fillId="20" borderId="86" xfId="126" applyNumberFormat="1" applyFont="1" applyFill="1" applyBorder="1" applyAlignment="1">
      <alignment horizontal="right"/>
    </xf>
    <xf numFmtId="1" fontId="6" fillId="20" borderId="27" xfId="126" applyNumberFormat="1" applyFont="1" applyFill="1" applyBorder="1" applyAlignment="1">
      <alignment horizontal="right"/>
    </xf>
    <xf numFmtId="1" fontId="6" fillId="20" borderId="68" xfId="126" applyNumberFormat="1" applyFont="1" applyFill="1" applyBorder="1" applyAlignment="1">
      <alignment horizontal="right"/>
    </xf>
    <xf numFmtId="1" fontId="6" fillId="20" borderId="69" xfId="126" applyNumberFormat="1" applyFont="1" applyFill="1" applyBorder="1" applyAlignment="1">
      <alignment horizontal="right"/>
    </xf>
    <xf numFmtId="1" fontId="6" fillId="20" borderId="39" xfId="126" applyNumberFormat="1" applyFont="1" applyFill="1" applyBorder="1" applyAlignment="1">
      <alignment horizontal="right"/>
    </xf>
    <xf numFmtId="1" fontId="6" fillId="20" borderId="106" xfId="126" applyNumberFormat="1" applyFont="1" applyFill="1" applyBorder="1" applyAlignment="1">
      <alignment horizontal="right"/>
    </xf>
    <xf numFmtId="1" fontId="6" fillId="20" borderId="105" xfId="126" applyNumberFormat="1" applyFont="1" applyFill="1" applyBorder="1" applyAlignment="1">
      <alignment horizontal="right"/>
    </xf>
    <xf numFmtId="1" fontId="6" fillId="20" borderId="124" xfId="126" applyNumberFormat="1" applyFont="1" applyFill="1" applyBorder="1" applyAlignment="1">
      <alignment horizontal="right"/>
    </xf>
    <xf numFmtId="1" fontId="6" fillId="24" borderId="124" xfId="126" applyNumberFormat="1" applyFont="1" applyFill="1" applyBorder="1" applyAlignment="1" applyProtection="1">
      <alignment horizontal="right"/>
      <protection locked="0"/>
    </xf>
    <xf numFmtId="1" fontId="6" fillId="0" borderId="8" xfId="126" applyNumberFormat="1" applyFont="1" applyBorder="1" applyAlignment="1">
      <alignment horizontal="right"/>
    </xf>
    <xf numFmtId="1" fontId="6" fillId="0" borderId="64" xfId="126" applyNumberFormat="1" applyFont="1" applyBorder="1" applyAlignment="1">
      <alignment horizontal="right"/>
    </xf>
    <xf numFmtId="1" fontId="6" fillId="0" borderId="93" xfId="126" applyNumberFormat="1" applyFont="1" applyBorder="1" applyAlignment="1">
      <alignment horizontal="right"/>
    </xf>
    <xf numFmtId="1" fontId="6" fillId="0" borderId="32" xfId="126" applyNumberFormat="1" applyFont="1" applyBorder="1" applyAlignment="1">
      <alignment horizontal="right"/>
    </xf>
    <xf numFmtId="1" fontId="6" fillId="0" borderId="34" xfId="126" applyNumberFormat="1" applyFont="1" applyBorder="1" applyAlignment="1">
      <alignment horizontal="right"/>
    </xf>
    <xf numFmtId="1" fontId="6" fillId="0" borderId="39" xfId="126" applyNumberFormat="1" applyFont="1" applyBorder="1" applyAlignment="1">
      <alignment horizontal="right"/>
    </xf>
    <xf numFmtId="1" fontId="6" fillId="24" borderId="95" xfId="126" applyNumberFormat="1" applyFont="1" applyFill="1" applyBorder="1" applyAlignment="1" applyProtection="1">
      <alignment horizontal="right"/>
      <protection locked="0"/>
    </xf>
    <xf numFmtId="1" fontId="6" fillId="0" borderId="124" xfId="126" applyNumberFormat="1" applyFont="1" applyBorder="1" applyAlignment="1">
      <alignment horizontal="right"/>
    </xf>
    <xf numFmtId="1" fontId="6" fillId="0" borderId="120" xfId="126" applyNumberFormat="1" applyFont="1" applyBorder="1" applyAlignment="1">
      <alignment horizontal="right"/>
    </xf>
    <xf numFmtId="1" fontId="6" fillId="0" borderId="125" xfId="126" applyNumberFormat="1" applyFont="1" applyBorder="1" applyAlignment="1">
      <alignment horizontal="right"/>
    </xf>
    <xf numFmtId="1" fontId="6" fillId="24" borderId="140" xfId="126" applyNumberFormat="1" applyFont="1" applyFill="1" applyBorder="1" applyAlignment="1" applyProtection="1">
      <alignment horizontal="right"/>
      <protection locked="0"/>
    </xf>
    <xf numFmtId="1" fontId="6" fillId="24" borderId="98" xfId="126" applyNumberFormat="1" applyFont="1" applyFill="1" applyBorder="1" applyAlignment="1" applyProtection="1">
      <alignment horizontal="right"/>
      <protection locked="0"/>
    </xf>
    <xf numFmtId="1" fontId="6" fillId="24" borderId="96" xfId="126" applyNumberFormat="1" applyFont="1" applyFill="1" applyBorder="1" applyAlignment="1" applyProtection="1">
      <alignment horizontal="right"/>
      <protection locked="0"/>
    </xf>
    <xf numFmtId="1" fontId="6" fillId="24" borderId="143" xfId="126" applyNumberFormat="1" applyFont="1" applyFill="1" applyBorder="1" applyAlignment="1" applyProtection="1">
      <alignment horizontal="right"/>
      <protection locked="0"/>
    </xf>
    <xf numFmtId="1" fontId="6" fillId="20" borderId="124" xfId="0" applyNumberFormat="1" applyFont="1" applyFill="1" applyBorder="1" applyAlignment="1">
      <alignment horizontal="right"/>
    </xf>
    <xf numFmtId="1" fontId="6" fillId="0" borderId="121" xfId="126" applyNumberFormat="1" applyFont="1" applyBorder="1" applyAlignment="1">
      <alignment horizontal="right"/>
    </xf>
    <xf numFmtId="1" fontId="6" fillId="24" borderId="139" xfId="126" applyNumberFormat="1" applyFont="1" applyFill="1" applyBorder="1" applyAlignment="1" applyProtection="1">
      <alignment horizontal="right"/>
      <protection locked="0"/>
    </xf>
    <xf numFmtId="1" fontId="6" fillId="24" borderId="144" xfId="126" applyNumberFormat="1" applyFont="1" applyFill="1" applyBorder="1" applyAlignment="1" applyProtection="1">
      <alignment horizontal="right"/>
      <protection locked="0"/>
    </xf>
    <xf numFmtId="1" fontId="6" fillId="24" borderId="58" xfId="126" applyNumberFormat="1" applyFont="1" applyFill="1" applyBorder="1" applyAlignment="1" applyProtection="1">
      <alignment horizontal="right"/>
      <protection locked="0"/>
    </xf>
    <xf numFmtId="1" fontId="6" fillId="0" borderId="126" xfId="126" applyNumberFormat="1" applyFont="1" applyBorder="1" applyAlignment="1">
      <alignment horizontal="right"/>
    </xf>
    <xf numFmtId="1" fontId="6" fillId="0" borderId="23" xfId="126" applyNumberFormat="1" applyFont="1" applyBorder="1" applyAlignment="1">
      <alignment horizontal="right"/>
    </xf>
    <xf numFmtId="1" fontId="6" fillId="0" borderId="62" xfId="126" applyNumberFormat="1" applyFont="1" applyBorder="1" applyAlignment="1">
      <alignment horizontal="right"/>
    </xf>
    <xf numFmtId="1" fontId="6" fillId="24" borderId="27" xfId="126" applyNumberFormat="1" applyFont="1" applyFill="1" applyBorder="1" applyAlignment="1" applyProtection="1">
      <alignment horizontal="right"/>
      <protection locked="0"/>
    </xf>
    <xf numFmtId="1" fontId="6" fillId="24" borderId="24" xfId="126" applyNumberFormat="1" applyFont="1" applyFill="1" applyBorder="1" applyAlignment="1" applyProtection="1">
      <alignment horizontal="right"/>
      <protection locked="0"/>
    </xf>
    <xf numFmtId="1" fontId="6" fillId="24" borderId="85" xfId="126" applyNumberFormat="1" applyFont="1" applyFill="1" applyBorder="1" applyAlignment="1" applyProtection="1">
      <alignment horizontal="right"/>
      <protection locked="0"/>
    </xf>
    <xf numFmtId="1" fontId="6" fillId="24" borderId="104" xfId="126" applyNumberFormat="1" applyFont="1" applyFill="1" applyBorder="1" applyAlignment="1" applyProtection="1">
      <alignment horizontal="right"/>
      <protection locked="0"/>
    </xf>
    <xf numFmtId="1" fontId="6" fillId="24" borderId="36" xfId="126" applyNumberFormat="1" applyFont="1" applyFill="1" applyBorder="1" applyAlignment="1" applyProtection="1">
      <alignment horizontal="right"/>
      <protection locked="0"/>
    </xf>
    <xf numFmtId="1" fontId="6" fillId="24" borderId="84" xfId="126" applyNumberFormat="1" applyFont="1" applyFill="1" applyBorder="1" applyAlignment="1" applyProtection="1">
      <alignment horizontal="right"/>
      <protection locked="0"/>
    </xf>
    <xf numFmtId="1" fontId="6" fillId="24" borderId="31" xfId="126" applyNumberFormat="1" applyFont="1" applyFill="1" applyBorder="1" applyAlignment="1" applyProtection="1">
      <alignment horizontal="right"/>
      <protection locked="0"/>
    </xf>
    <xf numFmtId="1" fontId="6" fillId="24" borderId="130" xfId="126" applyNumberFormat="1" applyFont="1" applyFill="1" applyBorder="1" applyAlignment="1" applyProtection="1">
      <alignment horizontal="right"/>
      <protection locked="0"/>
    </xf>
    <xf numFmtId="1" fontId="6" fillId="24" borderId="118" xfId="126" applyNumberFormat="1" applyFont="1" applyFill="1" applyBorder="1" applyAlignment="1" applyProtection="1">
      <alignment horizontal="right"/>
      <protection locked="0"/>
    </xf>
    <xf numFmtId="1" fontId="6" fillId="0" borderId="67" xfId="127" applyNumberFormat="1" applyFont="1" applyBorder="1" applyAlignment="1">
      <alignment horizontal="right"/>
    </xf>
    <xf numFmtId="1" fontId="6" fillId="0" borderId="24" xfId="127" applyNumberFormat="1" applyFont="1" applyBorder="1" applyAlignment="1">
      <alignment horizontal="right"/>
    </xf>
    <xf numFmtId="1" fontId="6" fillId="0" borderId="86" xfId="127" applyNumberFormat="1" applyFont="1" applyBorder="1" applyAlignment="1">
      <alignment horizontal="right"/>
    </xf>
    <xf numFmtId="1" fontId="6" fillId="15" borderId="67" xfId="127" applyNumberFormat="1" applyFont="1" applyFill="1" applyBorder="1" applyAlignment="1" applyProtection="1">
      <alignment horizontal="right"/>
      <protection locked="0"/>
    </xf>
    <xf numFmtId="1" fontId="6" fillId="15" borderId="86" xfId="127" applyNumberFormat="1" applyFont="1" applyFill="1" applyBorder="1" applyAlignment="1" applyProtection="1">
      <alignment horizontal="right"/>
      <protection locked="0"/>
    </xf>
    <xf numFmtId="1" fontId="6" fillId="15" borderId="129" xfId="127" applyNumberFormat="1" applyFont="1" applyFill="1" applyBorder="1" applyAlignment="1" applyProtection="1">
      <alignment horizontal="right"/>
      <protection locked="0"/>
    </xf>
    <xf numFmtId="1" fontId="6" fillId="15" borderId="103" xfId="127" applyNumberFormat="1" applyFont="1" applyFill="1" applyBorder="1" applyAlignment="1" applyProtection="1">
      <alignment horizontal="right"/>
      <protection locked="0"/>
    </xf>
    <xf numFmtId="1" fontId="6" fillId="15" borderId="24" xfId="127" applyNumberFormat="1" applyFont="1" applyFill="1" applyBorder="1" applyAlignment="1" applyProtection="1">
      <alignment horizontal="right"/>
      <protection locked="0"/>
    </xf>
    <xf numFmtId="1" fontId="6" fillId="0" borderId="68" xfId="127" applyNumberFormat="1" applyFont="1" applyBorder="1" applyAlignment="1">
      <alignment horizontal="right"/>
    </xf>
    <xf numFmtId="1" fontId="6" fillId="0" borderId="36" xfId="127" applyNumberFormat="1" applyFont="1" applyBorder="1" applyAlignment="1">
      <alignment horizontal="right"/>
    </xf>
    <xf numFmtId="1" fontId="6" fillId="0" borderId="69" xfId="127" applyNumberFormat="1" applyFont="1" applyBorder="1" applyAlignment="1">
      <alignment horizontal="right"/>
    </xf>
    <xf numFmtId="1" fontId="6" fillId="15" borderId="68" xfId="127" applyNumberFormat="1" applyFont="1" applyFill="1" applyBorder="1" applyAlignment="1" applyProtection="1">
      <alignment horizontal="right"/>
      <protection locked="0"/>
    </xf>
    <xf numFmtId="1" fontId="6" fillId="15" borderId="69" xfId="127" applyNumberFormat="1" applyFont="1" applyFill="1" applyBorder="1" applyAlignment="1" applyProtection="1">
      <alignment horizontal="right"/>
      <protection locked="0"/>
    </xf>
    <xf numFmtId="1" fontId="6" fillId="15" borderId="107" xfId="127" applyNumberFormat="1" applyFont="1" applyFill="1" applyBorder="1" applyAlignment="1" applyProtection="1">
      <alignment horizontal="right"/>
      <protection locked="0"/>
    </xf>
    <xf numFmtId="1" fontId="6" fillId="15" borderId="95" xfId="127" applyNumberFormat="1" applyFont="1" applyFill="1" applyBorder="1" applyAlignment="1" applyProtection="1">
      <alignment horizontal="right"/>
      <protection locked="0"/>
    </xf>
    <xf numFmtId="1" fontId="6" fillId="15" borderId="36" xfId="127" applyNumberFormat="1" applyFont="1" applyFill="1" applyBorder="1" applyAlignment="1" applyProtection="1">
      <alignment horizontal="right"/>
      <protection locked="0"/>
    </xf>
    <xf numFmtId="1" fontId="6" fillId="15" borderId="106" xfId="127" applyNumberFormat="1" applyFont="1" applyFill="1" applyBorder="1" applyAlignment="1" applyProtection="1">
      <alignment horizontal="right"/>
      <protection locked="0"/>
    </xf>
    <xf numFmtId="1" fontId="6" fillId="15" borderId="105" xfId="127" applyNumberFormat="1" applyFont="1" applyFill="1" applyBorder="1" applyAlignment="1" applyProtection="1">
      <alignment horizontal="right"/>
      <protection locked="0"/>
    </xf>
    <xf numFmtId="1" fontId="6" fillId="15" borderId="118" xfId="127" applyNumberFormat="1" applyFont="1" applyFill="1" applyBorder="1" applyAlignment="1" applyProtection="1">
      <alignment horizontal="right"/>
      <protection locked="0"/>
    </xf>
    <xf numFmtId="1" fontId="6" fillId="15" borderId="133" xfId="127" applyNumberFormat="1" applyFont="1" applyFill="1" applyBorder="1" applyAlignment="1" applyProtection="1">
      <alignment horizontal="right"/>
      <protection locked="0"/>
    </xf>
    <xf numFmtId="1" fontId="6" fillId="15" borderId="104" xfId="127" applyNumberFormat="1" applyFont="1" applyFill="1" applyBorder="1" applyAlignment="1" applyProtection="1">
      <alignment horizontal="right"/>
      <protection locked="0"/>
    </xf>
    <xf numFmtId="1" fontId="6" fillId="0" borderId="7" xfId="127" applyNumberFormat="1" applyFont="1" applyBorder="1" applyAlignment="1">
      <alignment horizontal="right"/>
    </xf>
    <xf numFmtId="1" fontId="6" fillId="0" borderId="78" xfId="127" applyNumberFormat="1" applyFont="1" applyBorder="1" applyAlignment="1">
      <alignment horizontal="right"/>
    </xf>
    <xf numFmtId="1" fontId="6" fillId="0" borderId="5" xfId="127" applyNumberFormat="1" applyFont="1" applyBorder="1" applyAlignment="1">
      <alignment horizontal="right"/>
    </xf>
    <xf numFmtId="1" fontId="6" fillId="0" borderId="23" xfId="127" applyNumberFormat="1" applyFont="1" applyBorder="1" applyAlignment="1">
      <alignment horizontal="right"/>
    </xf>
    <xf numFmtId="1" fontId="6" fillId="0" borderId="81" xfId="127" applyNumberFormat="1" applyFont="1" applyBorder="1" applyAlignment="1">
      <alignment horizontal="right"/>
    </xf>
    <xf numFmtId="1" fontId="6" fillId="0" borderId="69" xfId="14" applyNumberFormat="1" applyFont="1" applyFill="1" applyBorder="1" applyAlignment="1" applyProtection="1">
      <alignment horizontal="right"/>
    </xf>
    <xf numFmtId="1" fontId="6" fillId="0" borderId="98" xfId="127" applyNumberFormat="1" applyFont="1" applyBorder="1" applyAlignment="1">
      <alignment horizontal="right"/>
    </xf>
    <xf numFmtId="1" fontId="6" fillId="0" borderId="117" xfId="127" applyNumberFormat="1" applyFont="1" applyBorder="1" applyAlignment="1">
      <alignment horizontal="right"/>
    </xf>
    <xf numFmtId="1" fontId="6" fillId="0" borderId="96" xfId="14" applyNumberFormat="1" applyFont="1" applyFill="1" applyBorder="1" applyAlignment="1" applyProtection="1">
      <alignment horizontal="right"/>
    </xf>
    <xf numFmtId="1" fontId="6" fillId="15" borderId="106" xfId="14" applyNumberFormat="1" applyFont="1" applyFill="1" applyBorder="1" applyAlignment="1">
      <alignment horizontal="right"/>
      <protection locked="0"/>
    </xf>
    <xf numFmtId="1" fontId="6" fillId="15" borderId="105" xfId="14" applyNumberFormat="1" applyFont="1" applyFill="1" applyBorder="1" applyAlignment="1">
      <alignment horizontal="right"/>
      <protection locked="0"/>
    </xf>
    <xf numFmtId="1" fontId="6" fillId="15" borderId="118" xfId="14" applyNumberFormat="1" applyFont="1" applyFill="1" applyBorder="1" applyAlignment="1">
      <alignment horizontal="right"/>
      <protection locked="0"/>
    </xf>
    <xf numFmtId="1" fontId="6" fillId="15" borderId="133" xfId="14" applyNumberFormat="1" applyFont="1" applyFill="1" applyBorder="1" applyAlignment="1">
      <alignment horizontal="right"/>
      <protection locked="0"/>
    </xf>
    <xf numFmtId="1" fontId="6" fillId="15" borderId="137" xfId="14" applyNumberFormat="1" applyFont="1" applyFill="1" applyBorder="1" applyAlignment="1">
      <alignment horizontal="right"/>
      <protection locked="0"/>
    </xf>
    <xf numFmtId="1" fontId="6" fillId="15" borderId="104" xfId="14" applyNumberFormat="1" applyFont="1" applyFill="1" applyBorder="1" applyAlignment="1">
      <alignment horizontal="right"/>
      <protection locked="0"/>
    </xf>
    <xf numFmtId="1" fontId="6" fillId="0" borderId="64" xfId="127" applyNumberFormat="1" applyFont="1" applyBorder="1" applyAlignment="1">
      <alignment horizontal="right"/>
    </xf>
    <xf numFmtId="1" fontId="6" fillId="0" borderId="7" xfId="14" applyNumberFormat="1" applyFont="1" applyFill="1" applyBorder="1" applyAlignment="1" applyProtection="1">
      <alignment horizontal="right"/>
    </xf>
    <xf numFmtId="1" fontId="6" fillId="0" borderId="64" xfId="14" applyNumberFormat="1" applyFont="1" applyFill="1" applyBorder="1" applyAlignment="1" applyProtection="1">
      <alignment horizontal="right"/>
    </xf>
    <xf numFmtId="1" fontId="6" fillId="0" borderId="82" xfId="14" applyNumberFormat="1" applyFont="1" applyFill="1" applyBorder="1" applyAlignment="1" applyProtection="1">
      <alignment horizontal="right"/>
    </xf>
    <xf numFmtId="1" fontId="6" fillId="0" borderId="23" xfId="14" applyNumberFormat="1" applyFont="1" applyFill="1" applyBorder="1" applyAlignment="1" applyProtection="1">
      <alignment horizontal="right"/>
    </xf>
    <xf numFmtId="1" fontId="6" fillId="0" borderId="81" xfId="14" applyNumberFormat="1" applyFont="1" applyFill="1" applyBorder="1" applyAlignment="1" applyProtection="1">
      <alignment horizontal="right"/>
    </xf>
    <xf numFmtId="1" fontId="6" fillId="0" borderId="80" xfId="14" applyNumberFormat="1" applyFont="1" applyFill="1" applyBorder="1" applyAlignment="1" applyProtection="1">
      <alignment horizontal="right"/>
    </xf>
    <xf numFmtId="1" fontId="6" fillId="0" borderId="78" xfId="14" applyNumberFormat="1" applyFont="1" applyFill="1" applyBorder="1" applyAlignment="1" applyProtection="1">
      <alignment horizontal="right"/>
    </xf>
    <xf numFmtId="1" fontId="6" fillId="0" borderId="5" xfId="14" applyNumberFormat="1" applyFont="1" applyFill="1" applyBorder="1" applyAlignment="1" applyProtection="1">
      <alignment horizontal="right"/>
    </xf>
    <xf numFmtId="1" fontId="6" fillId="0" borderId="25" xfId="127" applyNumberFormat="1" applyFont="1" applyBorder="1" applyAlignment="1">
      <alignment horizontal="right"/>
    </xf>
    <xf numFmtId="1" fontId="6" fillId="0" borderId="27" xfId="127" applyNumberFormat="1" applyFont="1" applyBorder="1" applyAlignment="1">
      <alignment horizontal="right"/>
    </xf>
    <xf numFmtId="1" fontId="6" fillId="15" borderId="67" xfId="14" applyNumberFormat="1" applyFont="1" applyFill="1" applyBorder="1" applyAlignment="1">
      <alignment horizontal="right"/>
      <protection locked="0"/>
    </xf>
    <xf numFmtId="1" fontId="6" fillId="15" borderId="86" xfId="14" applyNumberFormat="1" applyFont="1" applyFill="1" applyBorder="1" applyAlignment="1">
      <alignment horizontal="right"/>
      <protection locked="0"/>
    </xf>
    <xf numFmtId="1" fontId="6" fillId="15" borderId="129" xfId="14" applyNumberFormat="1" applyFont="1" applyFill="1" applyBorder="1" applyAlignment="1">
      <alignment horizontal="right"/>
      <protection locked="0"/>
    </xf>
    <xf numFmtId="1" fontId="6" fillId="15" borderId="103" xfId="14" applyNumberFormat="1" applyFont="1" applyFill="1" applyBorder="1" applyAlignment="1">
      <alignment horizontal="right"/>
      <protection locked="0"/>
    </xf>
    <xf numFmtId="1" fontId="6" fillId="15" borderId="87" xfId="14" applyNumberFormat="1" applyFont="1" applyFill="1" applyBorder="1" applyAlignment="1">
      <alignment horizontal="right"/>
      <protection locked="0"/>
    </xf>
    <xf numFmtId="1" fontId="6" fillId="0" borderId="91" xfId="127" applyNumberFormat="1" applyFont="1" applyBorder="1" applyAlignment="1">
      <alignment horizontal="right"/>
    </xf>
    <xf numFmtId="1" fontId="6" fillId="0" borderId="32" xfId="127" applyNumberFormat="1" applyFont="1" applyBorder="1" applyAlignment="1">
      <alignment horizontal="right"/>
    </xf>
    <xf numFmtId="1" fontId="6" fillId="0" borderId="34" xfId="127" applyNumberFormat="1" applyFont="1" applyBorder="1" applyAlignment="1">
      <alignment horizontal="right"/>
    </xf>
    <xf numFmtId="1" fontId="6" fillId="15" borderId="68" xfId="14" applyNumberFormat="1" applyFont="1" applyFill="1" applyBorder="1" applyAlignment="1">
      <alignment horizontal="right"/>
      <protection locked="0"/>
    </xf>
    <xf numFmtId="1" fontId="6" fillId="15" borderId="69" xfId="14" applyNumberFormat="1" applyFont="1" applyFill="1" applyBorder="1" applyAlignment="1">
      <alignment horizontal="right"/>
      <protection locked="0"/>
    </xf>
    <xf numFmtId="1" fontId="6" fillId="15" borderId="107" xfId="14" applyNumberFormat="1" applyFont="1" applyFill="1" applyBorder="1" applyAlignment="1">
      <alignment horizontal="right"/>
      <protection locked="0"/>
    </xf>
    <xf numFmtId="1" fontId="6" fillId="15" borderId="95" xfId="14" applyNumberFormat="1" applyFont="1" applyFill="1" applyBorder="1" applyAlignment="1">
      <alignment horizontal="right"/>
      <protection locked="0"/>
    </xf>
    <xf numFmtId="1" fontId="6" fillId="15" borderId="37" xfId="14" applyNumberFormat="1" applyFont="1" applyFill="1" applyBorder="1" applyAlignment="1">
      <alignment horizontal="right"/>
      <protection locked="0"/>
    </xf>
    <xf numFmtId="1" fontId="6" fillId="0" borderId="82" xfId="127" applyNumberFormat="1" applyFont="1" applyBorder="1" applyAlignment="1">
      <alignment horizontal="right"/>
    </xf>
    <xf numFmtId="1" fontId="6" fillId="0" borderId="8" xfId="127" applyNumberFormat="1" applyFont="1" applyBorder="1" applyAlignment="1">
      <alignment horizontal="right"/>
    </xf>
    <xf numFmtId="1" fontId="6" fillId="0" borderId="25" xfId="14" applyNumberFormat="1" applyFont="1" applyFill="1" applyBorder="1" applyAlignment="1" applyProtection="1">
      <alignment horizontal="right"/>
    </xf>
    <xf numFmtId="1" fontId="6" fillId="0" borderId="86" xfId="14" applyNumberFormat="1" applyFont="1" applyFill="1" applyBorder="1" applyAlignment="1" applyProtection="1">
      <alignment horizontal="right"/>
    </xf>
    <xf numFmtId="1" fontId="6" fillId="15" borderId="24" xfId="14" applyNumberFormat="1" applyFont="1" applyFill="1" applyBorder="1" applyAlignment="1">
      <alignment horizontal="right"/>
      <protection locked="0"/>
    </xf>
    <xf numFmtId="1" fontId="6" fillId="0" borderId="21" xfId="14" applyNumberFormat="1" applyFont="1" applyFill="1" applyBorder="1" applyAlignment="1" applyProtection="1">
      <alignment horizontal="right"/>
    </xf>
    <xf numFmtId="1" fontId="6" fillId="15" borderId="36" xfId="14" applyNumberFormat="1" applyFont="1" applyFill="1" applyBorder="1" applyAlignment="1">
      <alignment horizontal="right"/>
      <protection locked="0"/>
    </xf>
    <xf numFmtId="1" fontId="6" fillId="0" borderId="70" xfId="127" applyNumberFormat="1" applyFont="1" applyBorder="1" applyAlignment="1">
      <alignment horizontal="right"/>
    </xf>
    <xf numFmtId="1" fontId="6" fillId="0" borderId="41" xfId="14" applyNumberFormat="1" applyFont="1" applyFill="1" applyBorder="1" applyAlignment="1" applyProtection="1">
      <alignment horizontal="right"/>
    </xf>
    <xf numFmtId="1" fontId="6" fillId="0" borderId="90" xfId="14" applyNumberFormat="1" applyFont="1" applyFill="1" applyBorder="1" applyAlignment="1" applyProtection="1">
      <alignment horizontal="right"/>
    </xf>
    <xf numFmtId="1" fontId="6" fillId="0" borderId="8" xfId="14" applyNumberFormat="1" applyFont="1" applyFill="1" applyBorder="1" applyAlignment="1" applyProtection="1">
      <alignment horizontal="right"/>
    </xf>
    <xf numFmtId="1" fontId="6" fillId="15" borderId="7" xfId="14" applyNumberFormat="1" applyFont="1" applyFill="1" applyBorder="1" applyAlignment="1">
      <alignment horizontal="right"/>
      <protection locked="0"/>
    </xf>
    <xf numFmtId="1" fontId="6" fillId="15" borderId="5" xfId="14" applyNumberFormat="1" applyFont="1" applyFill="1" applyBorder="1" applyAlignment="1">
      <alignment horizontal="right"/>
      <protection locked="0"/>
    </xf>
    <xf numFmtId="1" fontId="6" fillId="0" borderId="99" xfId="127" applyNumberFormat="1" applyFont="1" applyBorder="1" applyAlignment="1">
      <alignment horizontal="right"/>
    </xf>
    <xf numFmtId="1" fontId="6" fillId="0" borderId="46" xfId="15" applyNumberFormat="1" applyFont="1" applyFill="1" applyBorder="1" applyAlignment="1" applyProtection="1">
      <alignment horizontal="right"/>
    </xf>
    <xf numFmtId="1" fontId="6" fillId="0" borderId="102" xfId="15" applyNumberFormat="1" applyFont="1" applyFill="1" applyBorder="1" applyAlignment="1" applyProtection="1">
      <alignment horizontal="right"/>
    </xf>
    <xf numFmtId="1" fontId="6" fillId="0" borderId="36" xfId="15" applyNumberFormat="1" applyFont="1" applyFill="1" applyBorder="1" applyAlignment="1" applyProtection="1">
      <alignment horizontal="right"/>
    </xf>
    <xf numFmtId="1" fontId="6" fillId="0" borderId="69" xfId="15" applyNumberFormat="1" applyFont="1" applyFill="1" applyBorder="1" applyAlignment="1" applyProtection="1">
      <alignment horizontal="right"/>
    </xf>
    <xf numFmtId="1" fontId="6" fillId="0" borderId="85" xfId="15" applyNumberFormat="1" applyFont="1" applyFill="1" applyBorder="1" applyAlignment="1" applyProtection="1">
      <alignment horizontal="right"/>
    </xf>
    <xf numFmtId="1" fontId="6" fillId="0" borderId="83" xfId="15" applyNumberFormat="1" applyFont="1" applyFill="1" applyBorder="1" applyAlignment="1" applyProtection="1">
      <alignment horizontal="right"/>
    </xf>
    <xf numFmtId="1" fontId="6" fillId="0" borderId="67" xfId="127" applyNumberFormat="1" applyFont="1" applyBorder="1" applyAlignment="1" applyProtection="1">
      <alignment horizontal="right"/>
      <protection hidden="1"/>
    </xf>
    <xf numFmtId="1" fontId="6" fillId="0" borderId="25" xfId="127" applyNumberFormat="1" applyFont="1" applyBorder="1" applyAlignment="1" applyProtection="1">
      <alignment horizontal="right"/>
      <protection hidden="1"/>
    </xf>
    <xf numFmtId="1" fontId="6" fillId="0" borderId="27" xfId="127" applyNumberFormat="1" applyFont="1" applyBorder="1" applyAlignment="1" applyProtection="1">
      <alignment horizontal="right"/>
      <protection hidden="1"/>
    </xf>
    <xf numFmtId="1" fontId="6" fillId="15" borderId="91" xfId="14" applyNumberFormat="1" applyFont="1" applyFill="1" applyBorder="1" applyAlignment="1">
      <alignment horizontal="right"/>
      <protection locked="0"/>
    </xf>
    <xf numFmtId="1" fontId="6" fillId="15" borderId="92" xfId="14" applyNumberFormat="1" applyFont="1" applyFill="1" applyBorder="1" applyAlignment="1">
      <alignment horizontal="right"/>
      <protection locked="0"/>
    </xf>
    <xf numFmtId="1" fontId="6" fillId="0" borderId="106" xfId="127" applyNumberFormat="1" applyFont="1" applyBorder="1" applyAlignment="1" applyProtection="1">
      <alignment horizontal="right"/>
      <protection hidden="1"/>
    </xf>
    <xf numFmtId="1" fontId="6" fillId="0" borderId="123" xfId="127" applyNumberFormat="1" applyFont="1" applyBorder="1" applyAlignment="1" applyProtection="1">
      <alignment horizontal="right"/>
      <protection hidden="1"/>
    </xf>
    <xf numFmtId="1" fontId="6" fillId="0" borderId="124" xfId="127" applyNumberFormat="1" applyFont="1" applyBorder="1" applyAlignment="1" applyProtection="1">
      <alignment horizontal="right"/>
      <protection hidden="1"/>
    </xf>
    <xf numFmtId="1" fontId="6" fillId="24" borderId="39" xfId="126" applyNumberFormat="1" applyFont="1" applyFill="1" applyBorder="1" applyAlignment="1" applyProtection="1">
      <alignment horizontal="right"/>
      <protection locked="0"/>
    </xf>
    <xf numFmtId="1" fontId="6" fillId="20" borderId="36" xfId="126" applyNumberFormat="1" applyFont="1" applyFill="1" applyBorder="1" applyAlignment="1">
      <alignment horizontal="right"/>
    </xf>
    <xf numFmtId="1" fontId="6" fillId="20" borderId="37" xfId="126" applyNumberFormat="1" applyFont="1" applyFill="1" applyBorder="1" applyAlignment="1">
      <alignment horizontal="right"/>
    </xf>
    <xf numFmtId="1" fontId="6" fillId="24" borderId="44" xfId="126" applyNumberFormat="1" applyFont="1" applyFill="1" applyBorder="1" applyAlignment="1" applyProtection="1">
      <alignment horizontal="right"/>
      <protection locked="0"/>
    </xf>
    <xf numFmtId="1" fontId="6" fillId="0" borderId="85" xfId="126" applyNumberFormat="1" applyFont="1" applyBorder="1" applyAlignment="1">
      <alignment horizontal="right"/>
    </xf>
    <xf numFmtId="1" fontId="6" fillId="24" borderId="29" xfId="126" applyNumberFormat="1" applyFont="1" applyFill="1" applyBorder="1" applyAlignment="1" applyProtection="1">
      <alignment horizontal="right"/>
      <protection locked="0"/>
    </xf>
    <xf numFmtId="1" fontId="6" fillId="24" borderId="7" xfId="46" applyNumberFormat="1" applyFont="1" applyFill="1" applyBorder="1" applyAlignment="1" applyProtection="1">
      <alignment horizontal="right"/>
      <protection locked="0"/>
    </xf>
    <xf numFmtId="1" fontId="6" fillId="24" borderId="78" xfId="46" applyNumberFormat="1" applyFont="1" applyFill="1" applyBorder="1" applyAlignment="1" applyProtection="1">
      <alignment horizontal="right"/>
      <protection locked="0"/>
    </xf>
    <xf numFmtId="1" fontId="6" fillId="24" borderId="5" xfId="46" applyNumberFormat="1" applyFont="1" applyFill="1" applyBorder="1" applyAlignment="1" applyProtection="1">
      <alignment horizontal="right"/>
      <protection locked="0"/>
    </xf>
    <xf numFmtId="1" fontId="6" fillId="20" borderId="91" xfId="126" applyNumberFormat="1" applyFont="1" applyFill="1" applyBorder="1" applyAlignment="1">
      <alignment horizontal="right"/>
    </xf>
    <xf numFmtId="1" fontId="6" fillId="20" borderId="92" xfId="126" applyNumberFormat="1" applyFont="1" applyFill="1" applyBorder="1" applyAlignment="1">
      <alignment horizontal="right"/>
    </xf>
    <xf numFmtId="1" fontId="6" fillId="24" borderId="64" xfId="46" applyNumberFormat="1" applyFont="1" applyFill="1" applyBorder="1" applyAlignment="1" applyProtection="1">
      <alignment horizontal="right"/>
      <protection locked="0"/>
    </xf>
    <xf numFmtId="0" fontId="30" fillId="0" borderId="11" xfId="0" applyFont="1" applyBorder="1" applyAlignment="1">
      <alignment horizontal="right" wrapText="1"/>
    </xf>
    <xf numFmtId="0" fontId="30" fillId="0" borderId="35" xfId="0" applyFont="1" applyBorder="1" applyAlignment="1">
      <alignment horizontal="right" wrapText="1"/>
    </xf>
    <xf numFmtId="0" fontId="30" fillId="0" borderId="30" xfId="0" applyFont="1" applyBorder="1" applyAlignment="1">
      <alignment horizontal="right" wrapText="1"/>
    </xf>
    <xf numFmtId="1" fontId="6" fillId="0" borderId="30" xfId="0" applyNumberFormat="1" applyFont="1" applyBorder="1" applyAlignment="1">
      <alignment horizontal="right" wrapText="1"/>
    </xf>
    <xf numFmtId="1" fontId="6" fillId="0" borderId="35" xfId="0" applyNumberFormat="1" applyFont="1" applyBorder="1" applyAlignment="1">
      <alignment horizontal="right" wrapText="1"/>
    </xf>
    <xf numFmtId="0" fontId="30" fillId="26" borderId="85" xfId="0" applyFont="1" applyFill="1" applyBorder="1" applyAlignment="1" applyProtection="1">
      <alignment horizontal="right"/>
      <protection locked="0"/>
    </xf>
    <xf numFmtId="0" fontId="30" fillId="26" borderId="127" xfId="0" applyFont="1" applyFill="1" applyBorder="1" applyAlignment="1" applyProtection="1">
      <alignment horizontal="right"/>
      <protection locked="0"/>
    </xf>
    <xf numFmtId="0" fontId="30" fillId="26" borderId="29" xfId="0" applyFont="1" applyFill="1" applyBorder="1" applyAlignment="1" applyProtection="1">
      <alignment horizontal="right"/>
      <protection locked="0"/>
    </xf>
    <xf numFmtId="0" fontId="30" fillId="26" borderId="36" xfId="0" applyFont="1" applyFill="1" applyBorder="1" applyAlignment="1" applyProtection="1">
      <alignment horizontal="right"/>
      <protection locked="0"/>
    </xf>
    <xf numFmtId="0" fontId="30" fillId="26" borderId="21" xfId="0" applyFont="1" applyFill="1" applyBorder="1" applyAlignment="1" applyProtection="1">
      <alignment horizontal="right"/>
      <protection locked="0"/>
    </xf>
    <xf numFmtId="0" fontId="30" fillId="26" borderId="39" xfId="0" applyFont="1" applyFill="1" applyBorder="1" applyAlignment="1" applyProtection="1">
      <alignment horizontal="right"/>
      <protection locked="0"/>
    </xf>
    <xf numFmtId="0" fontId="30" fillId="26" borderId="24" xfId="0" applyFont="1" applyFill="1" applyBorder="1" applyAlignment="1" applyProtection="1">
      <alignment horizontal="right"/>
      <protection locked="0"/>
    </xf>
    <xf numFmtId="0" fontId="30" fillId="26" borderId="25" xfId="0" applyFont="1" applyFill="1" applyBorder="1" applyAlignment="1" applyProtection="1">
      <alignment horizontal="right"/>
      <protection locked="0"/>
    </xf>
    <xf numFmtId="0" fontId="30" fillId="26" borderId="86" xfId="0" applyFont="1" applyFill="1" applyBorder="1" applyAlignment="1" applyProtection="1">
      <alignment horizontal="right"/>
      <protection locked="0"/>
    </xf>
    <xf numFmtId="0" fontId="30" fillId="26" borderId="69" xfId="0" applyFont="1" applyFill="1" applyBorder="1" applyAlignment="1" applyProtection="1">
      <alignment horizontal="right"/>
      <protection locked="0"/>
    </xf>
    <xf numFmtId="0" fontId="30" fillId="26" borderId="83" xfId="0" applyFont="1" applyFill="1" applyBorder="1" applyAlignment="1" applyProtection="1">
      <alignment horizontal="right"/>
      <protection locked="0"/>
    </xf>
    <xf numFmtId="1" fontId="6" fillId="17" borderId="5" xfId="109" applyNumberFormat="1" applyFont="1" applyFill="1" applyBorder="1" applyAlignment="1">
      <alignment horizontal="right" wrapText="1"/>
    </xf>
    <xf numFmtId="1" fontId="6" fillId="17" borderId="7" xfId="109" applyNumberFormat="1" applyFont="1" applyFill="1" applyBorder="1" applyAlignment="1">
      <alignment horizontal="right" wrapText="1"/>
    </xf>
    <xf numFmtId="1" fontId="6" fillId="17" borderId="8" xfId="109" applyNumberFormat="1" applyFont="1" applyFill="1" applyBorder="1" applyAlignment="1">
      <alignment horizontal="right" wrapText="1"/>
    </xf>
    <xf numFmtId="1" fontId="6" fillId="15" borderId="78" xfId="73" applyNumberFormat="1" applyFont="1" applyFill="1" applyBorder="1" applyAlignment="1" applyProtection="1">
      <alignment horizontal="right"/>
      <protection locked="0"/>
    </xf>
    <xf numFmtId="1" fontId="6" fillId="15" borderId="81" xfId="73" applyNumberFormat="1" applyFont="1" applyFill="1" applyBorder="1" applyAlignment="1" applyProtection="1">
      <alignment horizontal="right"/>
      <protection locked="0"/>
    </xf>
    <xf numFmtId="1" fontId="6" fillId="15" borderId="34" xfId="14" applyNumberFormat="1" applyFont="1" applyFill="1" applyBorder="1" applyAlignment="1">
      <alignment horizontal="right"/>
      <protection locked="0"/>
    </xf>
    <xf numFmtId="1" fontId="6" fillId="0" borderId="75" xfId="130" applyNumberFormat="1" applyFont="1" applyBorder="1" applyAlignment="1" applyProtection="1">
      <alignment horizontal="right"/>
    </xf>
    <xf numFmtId="1" fontId="6" fillId="15" borderId="75" xfId="14" applyNumberFormat="1" applyFont="1" applyFill="1" applyBorder="1" applyAlignment="1">
      <alignment horizontal="right"/>
      <protection locked="0"/>
    </xf>
    <xf numFmtId="1" fontId="6" fillId="0" borderId="66" xfId="130" applyNumberFormat="1" applyFont="1" applyBorder="1" applyAlignment="1" applyProtection="1">
      <alignment horizontal="right"/>
    </xf>
    <xf numFmtId="1" fontId="6" fillId="15" borderId="124" xfId="14" applyNumberFormat="1" applyFont="1" applyFill="1" applyBorder="1" applyAlignment="1">
      <alignment horizontal="right"/>
      <protection locked="0"/>
    </xf>
    <xf numFmtId="1" fontId="6" fillId="15" borderId="66" xfId="14" applyNumberFormat="1" applyFont="1" applyFill="1" applyBorder="1" applyAlignment="1">
      <alignment horizontal="right"/>
      <protection locked="0"/>
    </xf>
    <xf numFmtId="1" fontId="6" fillId="15" borderId="30" xfId="14" applyNumberFormat="1" applyFont="1" applyFill="1" applyBorder="1" applyAlignment="1">
      <alignment horizontal="right"/>
      <protection locked="0"/>
    </xf>
    <xf numFmtId="1" fontId="6" fillId="0" borderId="35" xfId="130" applyNumberFormat="1" applyFont="1" applyBorder="1" applyAlignment="1" applyProtection="1">
      <alignment horizontal="right"/>
    </xf>
    <xf numFmtId="1" fontId="6" fillId="0" borderId="1" xfId="26" applyNumberFormat="1" applyFont="1" applyFill="1" applyBorder="1" applyAlignment="1" applyProtection="1">
      <alignment horizontal="right"/>
    </xf>
    <xf numFmtId="1" fontId="10" fillId="22" borderId="0" xfId="128" applyNumberFormat="1" applyFont="1" applyFill="1" applyAlignment="1" applyProtection="1">
      <alignment vertical="center" wrapText="1"/>
      <protection hidden="1"/>
    </xf>
    <xf numFmtId="1" fontId="6" fillId="21" borderId="0" xfId="0" applyNumberFormat="1" applyFont="1" applyFill="1" applyAlignment="1">
      <alignment vertical="center"/>
    </xf>
    <xf numFmtId="1" fontId="6" fillId="29" borderId="0" xfId="0" applyNumberFormat="1" applyFont="1" applyFill="1" applyAlignment="1">
      <alignment vertical="center"/>
    </xf>
    <xf numFmtId="1" fontId="6" fillId="21" borderId="1" xfId="0" applyNumberFormat="1" applyFont="1" applyFill="1" applyBorder="1" applyAlignment="1">
      <alignment horizontal="center" vertical="center" wrapText="1"/>
    </xf>
    <xf numFmtId="1" fontId="6" fillId="21" borderId="1" xfId="0" applyNumberFormat="1" applyFont="1" applyFill="1" applyBorder="1" applyAlignment="1">
      <alignment horizontal="center"/>
    </xf>
    <xf numFmtId="1" fontId="6" fillId="21" borderId="1" xfId="0" applyNumberFormat="1" applyFont="1" applyFill="1" applyBorder="1" applyAlignment="1">
      <alignment horizontal="center" vertical="center"/>
    </xf>
    <xf numFmtId="1" fontId="6" fillId="21" borderId="1" xfId="126" applyNumberFormat="1" applyFont="1" applyFill="1" applyBorder="1" applyAlignment="1" applyProtection="1">
      <alignment horizontal="center" vertical="center"/>
      <protection hidden="1"/>
    </xf>
    <xf numFmtId="1" fontId="6" fillId="29" borderId="1" xfId="0" applyNumberFormat="1" applyFont="1" applyFill="1" applyBorder="1" applyAlignment="1">
      <alignment horizontal="center" vertical="center" wrapText="1"/>
    </xf>
    <xf numFmtId="1" fontId="6" fillId="29" borderId="1" xfId="0" applyNumberFormat="1" applyFont="1" applyFill="1" applyBorder="1" applyAlignment="1">
      <alignment horizontal="center" vertical="center"/>
    </xf>
    <xf numFmtId="1" fontId="6" fillId="29" borderId="1" xfId="0" applyNumberFormat="1" applyFont="1" applyFill="1" applyBorder="1" applyAlignment="1">
      <alignment horizontal="center"/>
    </xf>
    <xf numFmtId="1" fontId="6" fillId="0" borderId="27" xfId="125" applyNumberFormat="1" applyFont="1" applyBorder="1" applyAlignment="1">
      <alignment horizontal="left" vertical="center"/>
    </xf>
    <xf numFmtId="1" fontId="6" fillId="0" borderId="39" xfId="126" applyNumberFormat="1" applyFont="1" applyBorder="1" applyAlignment="1">
      <alignment horizontal="left" vertical="center" wrapText="1"/>
    </xf>
    <xf numFmtId="1" fontId="6" fillId="20" borderId="82" xfId="126" applyNumberFormat="1" applyFont="1" applyFill="1" applyBorder="1" applyAlignment="1">
      <alignment horizontal="right"/>
    </xf>
    <xf numFmtId="1" fontId="6" fillId="20" borderId="83" xfId="126" applyNumberFormat="1" applyFont="1" applyFill="1" applyBorder="1" applyAlignment="1">
      <alignment horizontal="right"/>
    </xf>
    <xf numFmtId="1" fontId="6" fillId="20" borderId="87" xfId="126" applyNumberFormat="1" applyFont="1" applyFill="1" applyBorder="1" applyAlignment="1">
      <alignment horizontal="right"/>
    </xf>
    <xf numFmtId="1" fontId="6" fillId="20" borderId="142" xfId="126" applyNumberFormat="1" applyFont="1" applyFill="1" applyBorder="1" applyAlignment="1">
      <alignment horizontal="right"/>
    </xf>
    <xf numFmtId="1" fontId="6" fillId="20" borderId="98" xfId="126" applyNumberFormat="1" applyFont="1" applyFill="1" applyBorder="1" applyAlignment="1">
      <alignment horizontal="right"/>
    </xf>
    <xf numFmtId="1" fontId="6" fillId="20" borderId="96" xfId="126" applyNumberFormat="1" applyFont="1" applyFill="1" applyBorder="1" applyAlignment="1">
      <alignment horizontal="right"/>
    </xf>
    <xf numFmtId="1" fontId="6" fillId="20" borderId="143" xfId="126" applyNumberFormat="1" applyFont="1" applyFill="1" applyBorder="1" applyAlignment="1">
      <alignment horizontal="right"/>
    </xf>
    <xf numFmtId="1" fontId="6" fillId="24" borderId="116" xfId="126" applyNumberFormat="1" applyFont="1" applyFill="1" applyBorder="1" applyAlignment="1" applyProtection="1">
      <alignment horizontal="right"/>
      <protection locked="0"/>
    </xf>
    <xf numFmtId="1" fontId="6" fillId="0" borderId="29" xfId="0" applyNumberFormat="1" applyFont="1" applyBorder="1" applyAlignment="1">
      <alignment horizontal="right"/>
    </xf>
    <xf numFmtId="1" fontId="6" fillId="0" borderId="27" xfId="0" applyNumberFormat="1" applyFont="1" applyBorder="1" applyAlignment="1">
      <alignment horizontal="right"/>
    </xf>
    <xf numFmtId="1" fontId="6" fillId="15" borderId="87" xfId="0" applyNumberFormat="1" applyFont="1" applyFill="1" applyBorder="1" applyAlignment="1" applyProtection="1">
      <alignment horizontal="right"/>
      <protection locked="0"/>
    </xf>
    <xf numFmtId="1" fontId="6" fillId="15" borderId="143" xfId="0" applyNumberFormat="1" applyFont="1" applyFill="1" applyBorder="1" applyAlignment="1" applyProtection="1">
      <alignment horizontal="right"/>
      <protection locked="0"/>
    </xf>
    <xf numFmtId="1" fontId="6" fillId="15" borderId="147" xfId="0" applyNumberFormat="1" applyFont="1" applyFill="1" applyBorder="1" applyAlignment="1" applyProtection="1">
      <alignment horizontal="right"/>
      <protection locked="0"/>
    </xf>
    <xf numFmtId="1" fontId="6" fillId="24" borderId="145" xfId="126" applyNumberFormat="1" applyFont="1" applyFill="1" applyBorder="1" applyAlignment="1" applyProtection="1">
      <alignment horizontal="right"/>
      <protection locked="0"/>
    </xf>
    <xf numFmtId="1" fontId="6" fillId="0" borderId="34" xfId="0" applyNumberFormat="1" applyFont="1" applyBorder="1" applyAlignment="1">
      <alignment wrapText="1"/>
    </xf>
    <xf numFmtId="1" fontId="6" fillId="0" borderId="39" xfId="0" applyNumberFormat="1" applyFont="1" applyBorder="1" applyAlignment="1">
      <alignment wrapText="1"/>
    </xf>
    <xf numFmtId="1" fontId="6" fillId="0" borderId="66" xfId="0" applyNumberFormat="1" applyFont="1" applyBorder="1" applyAlignment="1">
      <alignment vertical="center" wrapText="1"/>
    </xf>
    <xf numFmtId="1" fontId="6" fillId="0" borderId="44" xfId="0" applyNumberFormat="1" applyFont="1" applyBorder="1" applyAlignment="1">
      <alignment horizontal="left" vertical="center" wrapText="1"/>
    </xf>
    <xf numFmtId="1" fontId="6" fillId="0" borderId="183" xfId="126" applyNumberFormat="1" applyFont="1" applyBorder="1" applyAlignment="1">
      <alignment vertical="center" wrapText="1"/>
    </xf>
    <xf numFmtId="1" fontId="6" fillId="0" borderId="83" xfId="126" applyNumberFormat="1" applyFont="1" applyBorder="1" applyAlignment="1">
      <alignment horizontal="right"/>
    </xf>
    <xf numFmtId="1" fontId="6" fillId="20" borderId="28" xfId="126" applyNumberFormat="1" applyFont="1" applyFill="1" applyBorder="1" applyAlignment="1">
      <alignment horizontal="right"/>
    </xf>
    <xf numFmtId="1" fontId="6" fillId="15" borderId="34" xfId="73" applyNumberFormat="1" applyFont="1" applyFill="1" applyBorder="1" applyAlignment="1" applyProtection="1">
      <alignment horizontal="right"/>
      <protection locked="0"/>
    </xf>
    <xf numFmtId="1" fontId="6" fillId="15" borderId="85" xfId="73" applyNumberFormat="1" applyFont="1" applyFill="1" applyBorder="1" applyAlignment="1" applyProtection="1">
      <alignment horizontal="right"/>
      <protection locked="0"/>
    </xf>
    <xf numFmtId="1" fontId="6" fillId="15" borderId="29" xfId="73" applyNumberFormat="1" applyFont="1" applyFill="1" applyBorder="1" applyAlignment="1" applyProtection="1">
      <alignment horizontal="right"/>
      <protection locked="0"/>
    </xf>
    <xf numFmtId="1" fontId="6" fillId="15" borderId="27" xfId="73" applyNumberFormat="1" applyFont="1" applyFill="1" applyBorder="1" applyAlignment="1" applyProtection="1">
      <alignment horizontal="right"/>
      <protection locked="0"/>
    </xf>
    <xf numFmtId="1" fontId="6" fillId="15" borderId="27" xfId="14" applyNumberFormat="1" applyFont="1" applyFill="1" applyBorder="1" applyAlignment="1">
      <alignment horizontal="right"/>
      <protection locked="0"/>
    </xf>
    <xf numFmtId="1" fontId="6" fillId="15" borderId="54" xfId="14" applyNumberFormat="1" applyFont="1" applyFill="1" applyBorder="1" applyAlignment="1">
      <alignment horizontal="right"/>
      <protection locked="0"/>
    </xf>
    <xf numFmtId="1" fontId="6" fillId="15" borderId="184" xfId="14" applyNumberFormat="1" applyFont="1" applyFill="1" applyBorder="1" applyAlignment="1">
      <alignment horizontal="right"/>
      <protection locked="0"/>
    </xf>
    <xf numFmtId="1" fontId="6" fillId="15" borderId="185" xfId="14" applyNumberFormat="1" applyFont="1" applyFill="1" applyBorder="1" applyAlignment="1">
      <alignment horizontal="right"/>
      <protection locked="0"/>
    </xf>
    <xf numFmtId="1" fontId="6" fillId="15" borderId="55" xfId="14" applyNumberFormat="1" applyFont="1" applyFill="1" applyBorder="1" applyAlignment="1">
      <alignment horizontal="right"/>
      <protection locked="0"/>
    </xf>
    <xf numFmtId="1" fontId="6" fillId="0" borderId="124" xfId="0" applyNumberFormat="1" applyFont="1" applyBorder="1" applyAlignment="1">
      <alignment wrapText="1"/>
    </xf>
    <xf numFmtId="1" fontId="6" fillId="30" borderId="0" xfId="0" applyNumberFormat="1" applyFont="1" applyFill="1"/>
    <xf numFmtId="1" fontId="6" fillId="0" borderId="80" xfId="0" applyNumberFormat="1" applyFont="1" applyBorder="1" applyAlignment="1">
      <alignment horizontal="center" vertical="center"/>
    </xf>
    <xf numFmtId="1" fontId="6" fillId="24" borderId="80" xfId="46" applyNumberFormat="1" applyFont="1" applyFill="1" applyBorder="1" applyAlignment="1" applyProtection="1">
      <alignment horizontal="right"/>
      <protection locked="0"/>
    </xf>
    <xf numFmtId="1" fontId="6" fillId="15" borderId="125" xfId="125" applyNumberFormat="1" applyFont="1" applyFill="1" applyBorder="1" applyAlignment="1" applyProtection="1">
      <alignment horizontal="right"/>
      <protection locked="0"/>
    </xf>
    <xf numFmtId="1" fontId="6" fillId="17" borderId="7" xfId="109" applyNumberFormat="1" applyFont="1" applyFill="1" applyBorder="1" applyAlignment="1">
      <alignment horizontal="center" vertical="center" wrapText="1"/>
    </xf>
    <xf numFmtId="1" fontId="6" fillId="17" borderId="72" xfId="123" applyNumberFormat="1" applyFont="1" applyFill="1" applyBorder="1" applyAlignment="1">
      <alignment horizontal="left" wrapText="1"/>
    </xf>
    <xf numFmtId="1" fontId="6" fillId="17" borderId="91" xfId="123" applyNumberFormat="1" applyFont="1" applyFill="1" applyBorder="1" applyAlignment="1">
      <alignment horizontal="right"/>
    </xf>
    <xf numFmtId="1" fontId="6" fillId="17" borderId="86" xfId="109" applyNumberFormat="1" applyFont="1" applyFill="1" applyBorder="1" applyAlignment="1">
      <alignment horizontal="right" wrapText="1"/>
    </xf>
    <xf numFmtId="1" fontId="6" fillId="17" borderId="94" xfId="123" applyNumberFormat="1" applyFont="1" applyFill="1" applyBorder="1" applyAlignment="1">
      <alignment horizontal="left"/>
    </xf>
    <xf numFmtId="1" fontId="6" fillId="17" borderId="106" xfId="123" applyNumberFormat="1" applyFont="1" applyFill="1" applyBorder="1" applyAlignment="1">
      <alignment horizontal="right"/>
    </xf>
    <xf numFmtId="1" fontId="6" fillId="17" borderId="83" xfId="109" applyNumberFormat="1" applyFont="1" applyFill="1" applyBorder="1" applyAlignment="1">
      <alignment horizontal="right" wrapText="1"/>
    </xf>
    <xf numFmtId="1" fontId="6" fillId="17" borderId="74" xfId="123" applyNumberFormat="1" applyFont="1" applyFill="1" applyBorder="1" applyAlignment="1">
      <alignment horizontal="left"/>
    </xf>
    <xf numFmtId="1" fontId="6" fillId="17" borderId="32" xfId="123" applyNumberFormat="1" applyFont="1" applyFill="1" applyBorder="1" applyAlignment="1">
      <alignment horizontal="right"/>
    </xf>
    <xf numFmtId="1" fontId="6" fillId="17" borderId="92" xfId="109" applyNumberFormat="1" applyFont="1" applyFill="1" applyBorder="1" applyAlignment="1">
      <alignment horizontal="right" wrapText="1"/>
    </xf>
    <xf numFmtId="1" fontId="6" fillId="17" borderId="82" xfId="123" applyNumberFormat="1" applyFont="1" applyFill="1" applyBorder="1" applyAlignment="1">
      <alignment horizontal="right"/>
    </xf>
    <xf numFmtId="1" fontId="6" fillId="17" borderId="127" xfId="123" applyNumberFormat="1" applyFont="1" applyFill="1" applyBorder="1" applyAlignment="1">
      <alignment horizontal="right"/>
    </xf>
    <xf numFmtId="1" fontId="14" fillId="0" borderId="0" xfId="0" applyNumberFormat="1" applyFont="1"/>
    <xf numFmtId="1" fontId="6" fillId="22" borderId="78" xfId="0" applyNumberFormat="1" applyFont="1" applyFill="1" applyBorder="1" applyAlignment="1">
      <alignment horizontal="center" vertical="center"/>
    </xf>
    <xf numFmtId="1" fontId="6" fillId="0" borderId="6" xfId="126" applyNumberFormat="1" applyFont="1" applyBorder="1" applyAlignment="1">
      <alignment vertical="center" wrapText="1"/>
    </xf>
    <xf numFmtId="1" fontId="6" fillId="0" borderId="85" xfId="125" applyNumberFormat="1" applyFont="1" applyBorder="1" applyAlignment="1">
      <alignment horizontal="center" vertical="center" wrapText="1"/>
    </xf>
    <xf numFmtId="1" fontId="6" fillId="0" borderId="45" xfId="0" applyNumberFormat="1" applyFont="1" applyBorder="1" applyAlignment="1" applyProtection="1">
      <alignment horizontal="left" wrapText="1"/>
      <protection hidden="1"/>
    </xf>
    <xf numFmtId="1" fontId="6" fillId="0" borderId="11" xfId="0" applyNumberFormat="1" applyFont="1" applyBorder="1" applyAlignment="1" applyProtection="1">
      <alignment horizontal="left" wrapText="1"/>
      <protection hidden="1"/>
    </xf>
    <xf numFmtId="0" fontId="35" fillId="0" borderId="0" xfId="0" applyFont="1"/>
    <xf numFmtId="1" fontId="6" fillId="15" borderId="34" xfId="138" applyNumberFormat="1" applyFont="1" applyFill="1" applyBorder="1" applyAlignment="1">
      <alignment horizontal="right"/>
      <protection locked="0"/>
    </xf>
    <xf numFmtId="1" fontId="6" fillId="15" borderId="97" xfId="138" applyNumberFormat="1" applyFont="1" applyFill="1" applyBorder="1" applyAlignment="1">
      <alignment horizontal="right"/>
      <protection locked="0"/>
    </xf>
    <xf numFmtId="1" fontId="6" fillId="15" borderId="34" xfId="139" applyNumberFormat="1" applyFont="1" applyFill="1" applyBorder="1" applyAlignment="1">
      <alignment horizontal="right"/>
      <protection locked="0"/>
    </xf>
    <xf numFmtId="1" fontId="6" fillId="15" borderId="75" xfId="139" applyNumberFormat="1" applyFont="1" applyFill="1" applyBorder="1" applyAlignment="1">
      <alignment horizontal="right"/>
      <protection locked="0"/>
    </xf>
    <xf numFmtId="1" fontId="6" fillId="15" borderId="184" xfId="139" applyNumberFormat="1" applyFont="1" applyFill="1" applyBorder="1" applyAlignment="1">
      <alignment horizontal="right"/>
      <protection locked="0"/>
    </xf>
    <xf numFmtId="1" fontId="6" fillId="15" borderId="124" xfId="139" applyNumberFormat="1" applyFont="1" applyFill="1" applyBorder="1" applyAlignment="1">
      <alignment horizontal="right"/>
      <protection locked="0"/>
    </xf>
    <xf numFmtId="1" fontId="6" fillId="15" borderId="66" xfId="139" applyNumberFormat="1" applyFont="1" applyFill="1" applyBorder="1" applyAlignment="1">
      <alignment horizontal="right"/>
      <protection locked="0"/>
    </xf>
    <xf numFmtId="1" fontId="6" fillId="15" borderId="185" xfId="139" applyNumberFormat="1" applyFont="1" applyFill="1" applyBorder="1" applyAlignment="1">
      <alignment horizontal="right"/>
      <protection locked="0"/>
    </xf>
    <xf numFmtId="1" fontId="14" fillId="0" borderId="0" xfId="126" applyNumberFormat="1" applyFont="1" applyAlignment="1" applyProtection="1">
      <alignment horizontal="left"/>
      <protection hidden="1"/>
    </xf>
    <xf numFmtId="1" fontId="18" fillId="0" borderId="0" xfId="126" applyNumberFormat="1" applyFont="1" applyAlignment="1" applyProtection="1">
      <alignment vertical="center" wrapText="1"/>
      <protection hidden="1"/>
    </xf>
    <xf numFmtId="1" fontId="6" fillId="0" borderId="75" xfId="126" applyNumberFormat="1" applyFont="1" applyBorder="1" applyAlignment="1" applyProtection="1">
      <alignment horizontal="left" vertical="center" wrapText="1"/>
      <protection hidden="1"/>
    </xf>
    <xf numFmtId="1" fontId="6" fillId="0" borderId="35" xfId="126" applyNumberFormat="1" applyFont="1" applyBorder="1" applyAlignment="1" applyProtection="1">
      <alignment horizontal="left" vertical="center" wrapText="1"/>
      <protection hidden="1"/>
    </xf>
    <xf numFmtId="1" fontId="6" fillId="0" borderId="66" xfId="126" applyNumberFormat="1" applyFont="1" applyBorder="1" applyAlignment="1" applyProtection="1">
      <alignment horizontal="left" vertical="center" wrapText="1"/>
      <protection hidden="1"/>
    </xf>
    <xf numFmtId="0" fontId="36" fillId="22" borderId="39" xfId="126" applyFont="1" applyFill="1" applyBorder="1"/>
    <xf numFmtId="1" fontId="6" fillId="0" borderId="0" xfId="0" applyNumberFormat="1" applyFont="1" applyAlignment="1">
      <alignment horizontal="left"/>
    </xf>
    <xf numFmtId="1" fontId="14" fillId="0" borderId="4" xfId="0" applyNumberFormat="1" applyFont="1" applyBorder="1" applyProtection="1">
      <protection hidden="1"/>
    </xf>
    <xf numFmtId="1" fontId="14" fillId="0" borderId="0" xfId="0" applyNumberFormat="1" applyFont="1" applyProtection="1">
      <protection hidden="1"/>
    </xf>
    <xf numFmtId="1" fontId="6" fillId="0" borderId="189" xfId="0" applyNumberFormat="1" applyFont="1" applyBorder="1" applyAlignment="1" applyProtection="1">
      <alignment horizontal="center" vertical="center" wrapText="1"/>
      <protection hidden="1"/>
    </xf>
    <xf numFmtId="1" fontId="6" fillId="0" borderId="5" xfId="0" applyNumberFormat="1" applyFont="1" applyBorder="1" applyAlignment="1" applyProtection="1">
      <alignment horizontal="center" vertical="center" wrapText="1"/>
      <protection hidden="1"/>
    </xf>
    <xf numFmtId="0" fontId="6" fillId="0" borderId="30" xfId="0" applyFont="1" applyBorder="1"/>
    <xf numFmtId="0" fontId="6" fillId="31" borderId="30" xfId="0" applyFont="1" applyFill="1" applyBorder="1" applyAlignment="1">
      <alignment horizontal="right"/>
    </xf>
    <xf numFmtId="0" fontId="6" fillId="0" borderId="35" xfId="0" applyFont="1" applyBorder="1"/>
    <xf numFmtId="0" fontId="6" fillId="31" borderId="35" xfId="0" applyFont="1" applyFill="1" applyBorder="1" applyAlignment="1">
      <alignment horizontal="right"/>
    </xf>
    <xf numFmtId="0" fontId="6" fillId="0" borderId="66" xfId="0" applyFont="1" applyBorder="1"/>
    <xf numFmtId="0" fontId="6" fillId="31" borderId="66" xfId="0" applyFont="1" applyFill="1" applyBorder="1" applyAlignment="1">
      <alignment horizontal="right"/>
    </xf>
    <xf numFmtId="0" fontId="6" fillId="0" borderId="186" xfId="0" applyFont="1" applyBorder="1" applyAlignment="1">
      <alignment horizontal="center"/>
    </xf>
    <xf numFmtId="0" fontId="6" fillId="0" borderId="186" xfId="0" applyFont="1" applyBorder="1" applyAlignment="1">
      <alignment horizontal="right"/>
    </xf>
    <xf numFmtId="0" fontId="6" fillId="0" borderId="189" xfId="0" applyFont="1" applyBorder="1" applyAlignment="1">
      <alignment horizontal="right"/>
    </xf>
    <xf numFmtId="0" fontId="6" fillId="0" borderId="8" xfId="0" applyFont="1" applyBorder="1" applyAlignment="1">
      <alignment horizontal="right"/>
    </xf>
    <xf numFmtId="0" fontId="6" fillId="0" borderId="5" xfId="0" applyFont="1" applyBorder="1" applyAlignment="1">
      <alignment horizontal="right"/>
    </xf>
    <xf numFmtId="1" fontId="6" fillId="29" borderId="11" xfId="0" applyNumberFormat="1" applyFont="1" applyFill="1" applyBorder="1" applyAlignment="1">
      <alignment horizontal="center" vertical="center" wrapText="1"/>
    </xf>
    <xf numFmtId="1" fontId="6" fillId="20" borderId="67" xfId="73" applyNumberFormat="1" applyFont="1" applyFill="1" applyBorder="1" applyAlignment="1" applyProtection="1">
      <alignment horizontal="right"/>
    </xf>
    <xf numFmtId="1" fontId="6" fillId="20" borderId="86" xfId="73" applyNumberFormat="1" applyFont="1" applyFill="1" applyBorder="1" applyAlignment="1" applyProtection="1">
      <alignment horizontal="right"/>
    </xf>
    <xf numFmtId="1" fontId="6" fillId="20" borderId="82" xfId="73" applyNumberFormat="1" applyFont="1" applyFill="1" applyBorder="1" applyAlignment="1" applyProtection="1">
      <alignment horizontal="right"/>
    </xf>
    <xf numFmtId="1" fontId="6" fillId="20" borderId="83" xfId="73" applyNumberFormat="1" applyFont="1" applyFill="1" applyBorder="1" applyAlignment="1" applyProtection="1">
      <alignment horizontal="right"/>
    </xf>
    <xf numFmtId="1" fontId="6" fillId="20" borderId="87" xfId="73" applyNumberFormat="1" applyFont="1" applyFill="1" applyBorder="1" applyAlignment="1" applyProtection="1">
      <alignment horizontal="right"/>
    </xf>
    <xf numFmtId="1" fontId="6" fillId="20" borderId="147" xfId="73" applyNumberFormat="1" applyFont="1" applyFill="1" applyBorder="1" applyAlignment="1" applyProtection="1">
      <alignment horizontal="right"/>
    </xf>
    <xf numFmtId="1" fontId="6" fillId="0" borderId="187" xfId="125" applyNumberFormat="1" applyFont="1" applyBorder="1" applyAlignment="1">
      <alignment horizontal="right"/>
    </xf>
    <xf numFmtId="0" fontId="6" fillId="26" borderId="67" xfId="0" applyFont="1" applyFill="1" applyBorder="1" applyAlignment="1" applyProtection="1">
      <alignment horizontal="right"/>
      <protection locked="0"/>
    </xf>
    <xf numFmtId="0" fontId="6" fillId="26" borderId="25" xfId="0" applyFont="1" applyFill="1" applyBorder="1" applyAlignment="1" applyProtection="1">
      <alignment horizontal="right"/>
      <protection locked="0"/>
    </xf>
    <xf numFmtId="0" fontId="6" fillId="26" borderId="86" xfId="0" applyFont="1" applyFill="1" applyBorder="1" applyAlignment="1" applyProtection="1">
      <alignment horizontal="right"/>
      <protection locked="0"/>
    </xf>
    <xf numFmtId="0" fontId="6" fillId="26" borderId="68" xfId="0" applyFont="1" applyFill="1" applyBorder="1" applyAlignment="1" applyProtection="1">
      <alignment horizontal="right"/>
      <protection locked="0"/>
    </xf>
    <xf numFmtId="0" fontId="6" fillId="26" borderId="21" xfId="0" applyFont="1" applyFill="1" applyBorder="1" applyAlignment="1" applyProtection="1">
      <alignment horizontal="right"/>
      <protection locked="0"/>
    </xf>
    <xf numFmtId="0" fontId="6" fillId="26" borderId="69" xfId="0" applyFont="1" applyFill="1" applyBorder="1" applyAlignment="1" applyProtection="1">
      <alignment horizontal="right"/>
      <protection locked="0"/>
    </xf>
    <xf numFmtId="0" fontId="6" fillId="26" borderId="106" xfId="0" applyFont="1" applyFill="1" applyBorder="1" applyAlignment="1" applyProtection="1">
      <alignment horizontal="right"/>
      <protection locked="0"/>
    </xf>
    <xf numFmtId="0" fontId="6" fillId="26" borderId="123" xfId="0" applyFont="1" applyFill="1" applyBorder="1" applyAlignment="1" applyProtection="1">
      <alignment horizontal="right"/>
      <protection locked="0"/>
    </xf>
    <xf numFmtId="0" fontId="6" fillId="26" borderId="105" xfId="0" applyFont="1" applyFill="1" applyBorder="1" applyAlignment="1" applyProtection="1">
      <alignment horizontal="right"/>
      <protection locked="0"/>
    </xf>
    <xf numFmtId="1" fontId="6" fillId="20" borderId="25" xfId="0" applyNumberFormat="1" applyFont="1" applyFill="1" applyBorder="1" applyAlignment="1">
      <alignment horizontal="right"/>
    </xf>
    <xf numFmtId="1" fontId="6" fillId="20" borderId="127" xfId="0" applyNumberFormat="1" applyFont="1" applyFill="1" applyBorder="1" applyAlignment="1">
      <alignment horizontal="right"/>
    </xf>
    <xf numFmtId="1" fontId="6" fillId="20" borderId="32" xfId="0" applyNumberFormat="1" applyFont="1" applyFill="1" applyBorder="1" applyAlignment="1">
      <alignment horizontal="right"/>
    </xf>
    <xf numFmtId="1" fontId="6" fillId="20" borderId="21" xfId="0" applyNumberFormat="1" applyFont="1" applyFill="1" applyBorder="1" applyAlignment="1">
      <alignment horizontal="right"/>
    </xf>
    <xf numFmtId="1" fontId="6" fillId="20" borderId="41" xfId="0" applyNumberFormat="1" applyFont="1" applyFill="1" applyBorder="1" applyAlignment="1">
      <alignment horizontal="right"/>
    </xf>
    <xf numFmtId="1" fontId="6" fillId="20" borderId="123" xfId="0" applyNumberFormat="1" applyFont="1" applyFill="1" applyBorder="1" applyAlignment="1">
      <alignment horizontal="right"/>
    </xf>
    <xf numFmtId="1" fontId="6" fillId="0" borderId="187" xfId="129" applyNumberFormat="1" applyFont="1" applyBorder="1" applyAlignment="1" applyProtection="1">
      <alignment horizontal="left" vertical="center" wrapText="1"/>
      <protection hidden="1"/>
    </xf>
    <xf numFmtId="1" fontId="6" fillId="0" borderId="97" xfId="129" applyNumberFormat="1" applyFont="1" applyBorder="1" applyAlignment="1" applyProtection="1">
      <alignment horizontal="left" vertical="center" wrapText="1"/>
      <protection hidden="1"/>
    </xf>
    <xf numFmtId="1" fontId="6" fillId="0" borderId="187" xfId="0" applyNumberFormat="1" applyFont="1" applyBorder="1" applyAlignment="1">
      <alignment horizontal="left" vertical="center" wrapText="1"/>
    </xf>
    <xf numFmtId="1" fontId="6" fillId="17" borderId="67" xfId="123" applyNumberFormat="1" applyFont="1" applyFill="1" applyBorder="1" applyAlignment="1">
      <alignment horizontal="right"/>
    </xf>
    <xf numFmtId="1" fontId="6" fillId="15" borderId="103" xfId="73" applyNumberFormat="1" applyFont="1" applyFill="1" applyBorder="1" applyAlignment="1" applyProtection="1">
      <alignment horizontal="right"/>
      <protection locked="0"/>
    </xf>
    <xf numFmtId="1" fontId="6" fillId="15" borderId="25" xfId="73" applyNumberFormat="1" applyFont="1" applyFill="1" applyBorder="1" applyAlignment="1" applyProtection="1">
      <alignment horizontal="right"/>
      <protection locked="0"/>
    </xf>
    <xf numFmtId="1" fontId="6" fillId="15" borderId="84" xfId="73" applyNumberFormat="1" applyFont="1" applyFill="1" applyBorder="1" applyAlignment="1" applyProtection="1">
      <alignment horizontal="right"/>
      <protection locked="0"/>
    </xf>
    <xf numFmtId="1" fontId="6" fillId="15" borderId="127" xfId="73" applyNumberFormat="1" applyFont="1" applyFill="1" applyBorder="1" applyAlignment="1" applyProtection="1">
      <alignment horizontal="right"/>
      <protection locked="0"/>
    </xf>
    <xf numFmtId="1" fontId="6" fillId="15" borderId="139" xfId="73" applyNumberFormat="1" applyFont="1" applyFill="1" applyBorder="1" applyAlignment="1" applyProtection="1">
      <alignment horizontal="right"/>
      <protection locked="0"/>
    </xf>
    <xf numFmtId="1" fontId="6" fillId="15" borderId="32" xfId="73" applyNumberFormat="1" applyFont="1" applyFill="1" applyBorder="1" applyAlignment="1" applyProtection="1">
      <alignment horizontal="right"/>
      <protection locked="0"/>
    </xf>
    <xf numFmtId="1" fontId="6" fillId="15" borderId="192" xfId="73" applyNumberFormat="1" applyFont="1" applyFill="1" applyBorder="1" applyAlignment="1" applyProtection="1">
      <alignment horizontal="right"/>
      <protection locked="0"/>
    </xf>
    <xf numFmtId="1" fontId="6" fillId="15" borderId="196" xfId="73" applyNumberFormat="1" applyFont="1" applyFill="1" applyBorder="1" applyAlignment="1" applyProtection="1">
      <alignment horizontal="right"/>
      <protection locked="0"/>
    </xf>
    <xf numFmtId="1" fontId="30" fillId="15" borderId="55" xfId="0" applyNumberFormat="1" applyFont="1" applyFill="1" applyBorder="1" applyAlignment="1" applyProtection="1">
      <alignment horizontal="right"/>
      <protection locked="0"/>
    </xf>
    <xf numFmtId="1" fontId="30" fillId="15" borderId="58" xfId="0" applyNumberFormat="1" applyFont="1" applyFill="1" applyBorder="1" applyAlignment="1" applyProtection="1">
      <alignment horizontal="right"/>
      <protection locked="0"/>
    </xf>
    <xf numFmtId="1" fontId="30" fillId="15" borderId="144" xfId="0" applyNumberFormat="1" applyFont="1" applyFill="1" applyBorder="1" applyAlignment="1" applyProtection="1">
      <alignment horizontal="right"/>
      <protection locked="0"/>
    </xf>
    <xf numFmtId="1" fontId="6" fillId="0" borderId="192" xfId="0" applyNumberFormat="1" applyFont="1" applyBorder="1" applyAlignment="1">
      <alignment horizontal="right"/>
    </xf>
    <xf numFmtId="1" fontId="6" fillId="17" borderId="192" xfId="0" applyNumberFormat="1" applyFont="1" applyFill="1" applyBorder="1" applyAlignment="1">
      <alignment horizontal="right"/>
    </xf>
    <xf numFmtId="1" fontId="6" fillId="0" borderId="7" xfId="0" applyNumberFormat="1" applyFont="1" applyBorder="1" applyAlignment="1">
      <alignment horizontal="right"/>
    </xf>
    <xf numFmtId="1" fontId="6" fillId="0" borderId="8" xfId="0" applyNumberFormat="1" applyFont="1" applyBorder="1" applyAlignment="1">
      <alignment horizontal="right"/>
    </xf>
    <xf numFmtId="1" fontId="6" fillId="17" borderId="7" xfId="0" applyNumberFormat="1" applyFont="1" applyFill="1" applyBorder="1" applyAlignment="1">
      <alignment horizontal="right"/>
    </xf>
    <xf numFmtId="1" fontId="6" fillId="17" borderId="8" xfId="0" applyNumberFormat="1" applyFont="1" applyFill="1" applyBorder="1" applyAlignment="1">
      <alignment horizontal="right"/>
    </xf>
    <xf numFmtId="1" fontId="6" fillId="0" borderId="192" xfId="0" applyNumberFormat="1" applyFont="1" applyBorder="1" applyAlignment="1">
      <alignment horizontal="center" vertical="center"/>
    </xf>
    <xf numFmtId="1" fontId="6" fillId="15" borderId="32" xfId="125" applyNumberFormat="1" applyFont="1" applyFill="1" applyBorder="1" applyAlignment="1" applyProtection="1">
      <alignment horizontal="right"/>
      <protection locked="0"/>
    </xf>
    <xf numFmtId="1" fontId="6" fillId="0" borderId="196" xfId="125" applyNumberFormat="1" applyFont="1" applyBorder="1" applyAlignment="1">
      <alignment horizontal="right"/>
    </xf>
    <xf numFmtId="1" fontId="6" fillId="0" borderId="196" xfId="125" applyNumberFormat="1" applyFont="1" applyBorder="1" applyAlignment="1">
      <alignment horizontal="center" vertical="center" wrapText="1"/>
    </xf>
    <xf numFmtId="1" fontId="6" fillId="22" borderId="196" xfId="125" applyNumberFormat="1" applyFont="1" applyFill="1" applyBorder="1" applyAlignment="1">
      <alignment horizontal="right"/>
    </xf>
    <xf numFmtId="1" fontId="6" fillId="22" borderId="8" xfId="125" applyNumberFormat="1" applyFont="1" applyFill="1" applyBorder="1" applyAlignment="1">
      <alignment horizontal="right"/>
    </xf>
    <xf numFmtId="1" fontId="6" fillId="0" borderId="196" xfId="0" applyNumberFormat="1" applyFont="1" applyBorder="1" applyAlignment="1">
      <alignment horizontal="center" vertical="center"/>
    </xf>
    <xf numFmtId="1" fontId="6" fillId="15" borderId="196" xfId="125" applyNumberFormat="1" applyFont="1" applyFill="1" applyBorder="1" applyAlignment="1" applyProtection="1">
      <alignment horizontal="right"/>
      <protection locked="0"/>
    </xf>
    <xf numFmtId="1" fontId="6" fillId="15" borderId="117" xfId="125" applyNumberFormat="1" applyFont="1" applyFill="1" applyBorder="1" applyAlignment="1" applyProtection="1">
      <alignment horizontal="right"/>
      <protection locked="0"/>
    </xf>
    <xf numFmtId="1" fontId="6" fillId="15" borderId="8" xfId="125" applyNumberFormat="1" applyFont="1" applyFill="1" applyBorder="1" applyAlignment="1" applyProtection="1">
      <alignment horizontal="right"/>
      <protection locked="0"/>
    </xf>
    <xf numFmtId="1" fontId="6" fillId="15" borderId="127" xfId="125" applyNumberFormat="1" applyFont="1" applyFill="1" applyBorder="1" applyAlignment="1" applyProtection="1">
      <alignment horizontal="right"/>
      <protection locked="0"/>
    </xf>
    <xf numFmtId="1" fontId="6" fillId="20" borderId="192" xfId="0" applyNumberFormat="1" applyFont="1" applyFill="1" applyBorder="1" applyAlignment="1">
      <alignment horizontal="right"/>
    </xf>
    <xf numFmtId="1" fontId="6" fillId="20" borderId="34" xfId="0" applyNumberFormat="1" applyFont="1" applyFill="1" applyBorder="1" applyAlignment="1">
      <alignment horizontal="right"/>
    </xf>
    <xf numFmtId="1" fontId="6" fillId="20" borderId="39" xfId="0" applyNumberFormat="1" applyFont="1" applyFill="1" applyBorder="1" applyAlignment="1">
      <alignment horizontal="right"/>
    </xf>
    <xf numFmtId="1" fontId="6" fillId="20" borderId="44" xfId="0" applyNumberFormat="1" applyFont="1" applyFill="1" applyBorder="1" applyAlignment="1">
      <alignment horizontal="right"/>
    </xf>
    <xf numFmtId="1" fontId="6" fillId="20" borderId="27" xfId="0" applyNumberFormat="1" applyFont="1" applyFill="1" applyBorder="1" applyAlignment="1">
      <alignment horizontal="right"/>
    </xf>
    <xf numFmtId="1" fontId="6" fillId="0" borderId="192" xfId="126" applyNumberFormat="1" applyFont="1" applyBorder="1" applyAlignment="1">
      <alignment horizontal="right"/>
    </xf>
    <xf numFmtId="1" fontId="6" fillId="0" borderId="62" xfId="126" applyNumberFormat="1" applyFont="1" applyBorder="1" applyAlignment="1" applyProtection="1">
      <alignment horizontal="center" vertical="center"/>
      <protection hidden="1"/>
    </xf>
    <xf numFmtId="1" fontId="6" fillId="0" borderId="1" xfId="126" applyNumberFormat="1" applyFont="1" applyBorder="1" applyAlignment="1" applyProtection="1">
      <alignment horizontal="center" vertical="center"/>
      <protection hidden="1"/>
    </xf>
    <xf numFmtId="1" fontId="6" fillId="0" borderId="1" xfId="126" applyNumberFormat="1" applyFont="1" applyBorder="1" applyAlignment="1">
      <alignment horizontal="right"/>
    </xf>
    <xf numFmtId="1" fontId="6" fillId="24" borderId="55" xfId="126" applyNumberFormat="1" applyFont="1" applyFill="1" applyBorder="1" applyAlignment="1" applyProtection="1">
      <alignment horizontal="right"/>
      <protection locked="0"/>
    </xf>
    <xf numFmtId="1" fontId="6" fillId="24" borderId="30" xfId="126" applyNumberFormat="1" applyFont="1" applyFill="1" applyBorder="1" applyAlignment="1" applyProtection="1">
      <alignment horizontal="right"/>
      <protection locked="0"/>
    </xf>
    <xf numFmtId="1" fontId="6" fillId="24" borderId="35" xfId="126" applyNumberFormat="1" applyFont="1" applyFill="1" applyBorder="1" applyAlignment="1" applyProtection="1">
      <alignment horizontal="right"/>
      <protection locked="0"/>
    </xf>
    <xf numFmtId="1" fontId="6" fillId="24" borderId="101" xfId="126" applyNumberFormat="1" applyFont="1" applyFill="1" applyBorder="1" applyAlignment="1" applyProtection="1">
      <alignment horizontal="right"/>
      <protection locked="0"/>
    </xf>
    <xf numFmtId="1" fontId="6" fillId="24" borderId="66" xfId="126" applyNumberFormat="1" applyFont="1" applyFill="1" applyBorder="1" applyAlignment="1" applyProtection="1">
      <alignment horizontal="right"/>
      <protection locked="0"/>
    </xf>
    <xf numFmtId="1" fontId="6" fillId="24" borderId="45" xfId="126" applyNumberFormat="1" applyFont="1" applyFill="1" applyBorder="1" applyAlignment="1" applyProtection="1">
      <alignment horizontal="right"/>
      <protection locked="0"/>
    </xf>
    <xf numFmtId="1" fontId="6" fillId="24" borderId="156" xfId="126" applyNumberFormat="1" applyFont="1" applyFill="1" applyBorder="1" applyAlignment="1" applyProtection="1">
      <alignment horizontal="right"/>
      <protection locked="0"/>
    </xf>
    <xf numFmtId="1" fontId="6" fillId="24" borderId="76" xfId="126" applyNumberFormat="1" applyFont="1" applyFill="1" applyBorder="1" applyAlignment="1" applyProtection="1">
      <alignment horizontal="right"/>
      <protection locked="0"/>
    </xf>
    <xf numFmtId="1" fontId="6" fillId="24" borderId="75" xfId="126" applyNumberFormat="1" applyFont="1" applyFill="1" applyBorder="1" applyAlignment="1" applyProtection="1">
      <alignment horizontal="right"/>
      <protection locked="0"/>
    </xf>
    <xf numFmtId="1" fontId="6" fillId="0" borderId="196" xfId="127" applyNumberFormat="1" applyFont="1" applyBorder="1" applyAlignment="1">
      <alignment horizontal="right"/>
    </xf>
    <xf numFmtId="1" fontId="6" fillId="0" borderId="196" xfId="14" applyNumberFormat="1" applyFont="1" applyFill="1" applyBorder="1" applyAlignment="1" applyProtection="1">
      <alignment horizontal="right"/>
    </xf>
    <xf numFmtId="1" fontId="6" fillId="0" borderId="192" xfId="14" applyNumberFormat="1" applyFont="1" applyFill="1" applyBorder="1" applyAlignment="1" applyProtection="1">
      <alignment horizontal="right"/>
    </xf>
    <xf numFmtId="1" fontId="6" fillId="15" borderId="86" xfId="14" quotePrefix="1" applyNumberFormat="1" applyFont="1" applyFill="1" applyBorder="1" applyAlignment="1">
      <alignment horizontal="right"/>
      <protection locked="0"/>
    </xf>
    <xf numFmtId="1" fontId="6" fillId="15" borderId="69" xfId="14" quotePrefix="1" applyNumberFormat="1" applyFont="1" applyFill="1" applyBorder="1" applyAlignment="1">
      <alignment horizontal="right"/>
      <protection locked="0"/>
    </xf>
    <xf numFmtId="1" fontId="6" fillId="15" borderId="105" xfId="14" quotePrefix="1" applyNumberFormat="1" applyFont="1" applyFill="1" applyBorder="1" applyAlignment="1">
      <alignment horizontal="right"/>
      <protection locked="0"/>
    </xf>
    <xf numFmtId="1" fontId="6" fillId="24" borderId="40" xfId="126" applyNumberFormat="1" applyFont="1" applyFill="1" applyBorder="1" applyAlignment="1" applyProtection="1">
      <alignment horizontal="right"/>
      <protection locked="0"/>
    </xf>
    <xf numFmtId="1" fontId="6" fillId="22" borderId="196" xfId="0" applyNumberFormat="1" applyFont="1" applyFill="1" applyBorder="1" applyAlignment="1">
      <alignment horizontal="center" vertical="center"/>
    </xf>
    <xf numFmtId="1" fontId="6" fillId="24" borderId="117" xfId="126" applyNumberFormat="1" applyFont="1" applyFill="1" applyBorder="1" applyAlignment="1" applyProtection="1">
      <alignment horizontal="right"/>
      <protection locked="0"/>
    </xf>
    <xf numFmtId="1" fontId="6" fillId="22" borderId="1" xfId="0" applyNumberFormat="1" applyFont="1" applyFill="1" applyBorder="1" applyAlignment="1">
      <alignment horizontal="center" vertical="center"/>
    </xf>
    <xf numFmtId="1" fontId="6" fillId="22" borderId="193" xfId="0" applyNumberFormat="1" applyFont="1" applyFill="1" applyBorder="1" applyAlignment="1">
      <alignment horizontal="center" vertical="center"/>
    </xf>
    <xf numFmtId="1" fontId="6" fillId="0" borderId="196" xfId="126" applyNumberFormat="1" applyFont="1" applyBorder="1" applyAlignment="1" applyProtection="1">
      <alignment horizontal="center" vertical="center" wrapText="1"/>
      <protection hidden="1"/>
    </xf>
    <xf numFmtId="1" fontId="6" fillId="0" borderId="192" xfId="126" applyNumberFormat="1" applyFont="1" applyBorder="1" applyAlignment="1" applyProtection="1">
      <alignment horizontal="right" wrapText="1"/>
      <protection hidden="1"/>
    </xf>
    <xf numFmtId="1" fontId="6" fillId="0" borderId="192" xfId="126" applyNumberFormat="1" applyFont="1" applyBorder="1" applyAlignment="1" applyProtection="1">
      <alignment horizontal="center" vertical="center" wrapText="1"/>
      <protection hidden="1"/>
    </xf>
    <xf numFmtId="1" fontId="6" fillId="22" borderId="192" xfId="0" applyNumberFormat="1" applyFont="1" applyFill="1" applyBorder="1" applyAlignment="1">
      <alignment horizontal="center" wrapText="1"/>
    </xf>
    <xf numFmtId="1" fontId="6" fillId="17" borderId="66" xfId="126" applyNumberFormat="1" applyFont="1" applyFill="1" applyBorder="1" applyAlignment="1" applyProtection="1">
      <alignment horizontal="left" vertical="center" wrapText="1"/>
      <protection hidden="1"/>
    </xf>
    <xf numFmtId="1" fontId="6" fillId="0" borderId="191" xfId="0" applyNumberFormat="1" applyFont="1" applyBorder="1"/>
    <xf numFmtId="1" fontId="6" fillId="22" borderId="73" xfId="125" applyNumberFormat="1" applyFont="1" applyFill="1" applyBorder="1"/>
    <xf numFmtId="1" fontId="6" fillId="22" borderId="74" xfId="125" applyNumberFormat="1" applyFont="1" applyFill="1" applyBorder="1" applyAlignment="1">
      <alignment horizontal="right"/>
    </xf>
    <xf numFmtId="1" fontId="6" fillId="22" borderId="91" xfId="125" applyNumberFormat="1" applyFont="1" applyFill="1" applyBorder="1" applyAlignment="1">
      <alignment horizontal="right"/>
    </xf>
    <xf numFmtId="1" fontId="6" fillId="22" borderId="34" xfId="125" applyNumberFormat="1" applyFont="1" applyFill="1" applyBorder="1" applyAlignment="1">
      <alignment horizontal="right"/>
    </xf>
    <xf numFmtId="1" fontId="6" fillId="22" borderId="89" xfId="125" applyNumberFormat="1" applyFont="1" applyFill="1" applyBorder="1"/>
    <xf numFmtId="1" fontId="6" fillId="22" borderId="89" xfId="125" applyNumberFormat="1" applyFont="1" applyFill="1" applyBorder="1" applyAlignment="1">
      <alignment horizontal="right"/>
    </xf>
    <xf numFmtId="1" fontId="6" fillId="22" borderId="70" xfId="125" applyNumberFormat="1" applyFont="1" applyFill="1" applyBorder="1" applyAlignment="1">
      <alignment horizontal="right"/>
    </xf>
    <xf numFmtId="1" fontId="6" fillId="22" borderId="44" xfId="125" applyNumberFormat="1" applyFont="1" applyFill="1" applyBorder="1" applyAlignment="1">
      <alignment horizontal="right"/>
    </xf>
    <xf numFmtId="1" fontId="6" fillId="22" borderId="10" xfId="125" applyNumberFormat="1" applyFont="1" applyFill="1" applyBorder="1"/>
    <xf numFmtId="1" fontId="6" fillId="22" borderId="10" xfId="125" applyNumberFormat="1" applyFont="1" applyFill="1" applyBorder="1" applyAlignment="1">
      <alignment horizontal="right"/>
    </xf>
    <xf numFmtId="1" fontId="6" fillId="22" borderId="74" xfId="125" applyNumberFormat="1" applyFont="1" applyFill="1" applyBorder="1"/>
    <xf numFmtId="1" fontId="6" fillId="22" borderId="11" xfId="125" applyNumberFormat="1" applyFont="1" applyFill="1" applyBorder="1"/>
    <xf numFmtId="1" fontId="6" fillId="22" borderId="94" xfId="125" applyNumberFormat="1" applyFont="1" applyFill="1" applyBorder="1" applyAlignment="1">
      <alignment horizontal="right"/>
    </xf>
    <xf numFmtId="1" fontId="6" fillId="22" borderId="82" xfId="125" applyNumberFormat="1" applyFont="1" applyFill="1" applyBorder="1" applyAlignment="1">
      <alignment horizontal="right"/>
    </xf>
    <xf numFmtId="1" fontId="6" fillId="22" borderId="29" xfId="125" applyNumberFormat="1" applyFont="1" applyFill="1" applyBorder="1" applyAlignment="1">
      <alignment horizontal="right"/>
    </xf>
    <xf numFmtId="1" fontId="6" fillId="15" borderId="80" xfId="125" applyNumberFormat="1" applyFont="1" applyFill="1" applyBorder="1" applyAlignment="1" applyProtection="1">
      <alignment horizontal="right"/>
      <protection locked="0"/>
    </xf>
    <xf numFmtId="1" fontId="6" fillId="15" borderId="147" xfId="125" applyNumberFormat="1" applyFont="1" applyFill="1" applyBorder="1" applyAlignment="1" applyProtection="1">
      <alignment horizontal="right"/>
      <protection locked="0"/>
    </xf>
    <xf numFmtId="1" fontId="6" fillId="15" borderId="35" xfId="125" applyNumberFormat="1" applyFont="1" applyFill="1" applyBorder="1" applyAlignment="1" applyProtection="1">
      <alignment horizontal="right"/>
      <protection locked="0"/>
    </xf>
    <xf numFmtId="1" fontId="14" fillId="22" borderId="0" xfId="125" quotePrefix="1" applyNumberFormat="1" applyFont="1" applyFill="1"/>
    <xf numFmtId="1" fontId="10" fillId="22" borderId="0" xfId="125" quotePrefix="1" applyNumberFormat="1" applyFont="1" applyFill="1"/>
    <xf numFmtId="1" fontId="6" fillId="15" borderId="83" xfId="0" applyNumberFormat="1" applyFont="1" applyFill="1" applyBorder="1" applyAlignment="1" applyProtection="1">
      <alignment horizontal="right"/>
      <protection locked="0"/>
    </xf>
    <xf numFmtId="1" fontId="6" fillId="15" borderId="92" xfId="0" applyNumberFormat="1" applyFont="1" applyFill="1" applyBorder="1" applyAlignment="1" applyProtection="1">
      <alignment horizontal="right"/>
      <protection locked="0"/>
    </xf>
    <xf numFmtId="1" fontId="6" fillId="15" borderId="96" xfId="0" applyNumberFormat="1" applyFont="1" applyFill="1" applyBorder="1" applyAlignment="1" applyProtection="1">
      <alignment horizontal="right"/>
      <protection locked="0"/>
    </xf>
    <xf numFmtId="1" fontId="6" fillId="15" borderId="67" xfId="126" applyNumberFormat="1" applyFont="1" applyFill="1" applyBorder="1" applyAlignment="1" applyProtection="1">
      <alignment horizontal="right"/>
      <protection locked="0"/>
    </xf>
    <xf numFmtId="1" fontId="6" fillId="15" borderId="86" xfId="126" applyNumberFormat="1" applyFont="1" applyFill="1" applyBorder="1" applyAlignment="1" applyProtection="1">
      <alignment horizontal="right"/>
      <protection locked="0"/>
    </xf>
    <xf numFmtId="1" fontId="6" fillId="15" borderId="24" xfId="126" applyNumberFormat="1" applyFont="1" applyFill="1" applyBorder="1" applyAlignment="1" applyProtection="1">
      <alignment horizontal="right"/>
      <protection locked="0"/>
    </xf>
    <xf numFmtId="1" fontId="6" fillId="15" borderId="68" xfId="126" applyNumberFormat="1" applyFont="1" applyFill="1" applyBorder="1" applyAlignment="1" applyProtection="1">
      <alignment horizontal="right"/>
      <protection locked="0"/>
    </xf>
    <xf numFmtId="1" fontId="6" fillId="15" borderId="85" xfId="126" applyNumberFormat="1" applyFont="1" applyFill="1" applyBorder="1" applyAlignment="1" applyProtection="1">
      <alignment horizontal="right"/>
      <protection locked="0"/>
    </xf>
    <xf numFmtId="1" fontId="6" fillId="15" borderId="36" xfId="126" applyNumberFormat="1" applyFont="1" applyFill="1" applyBorder="1" applyAlignment="1" applyProtection="1">
      <alignment horizontal="right"/>
      <protection locked="0"/>
    </xf>
    <xf numFmtId="1" fontId="6" fillId="15" borderId="69" xfId="126" applyNumberFormat="1" applyFont="1" applyFill="1" applyBorder="1" applyAlignment="1" applyProtection="1">
      <alignment horizontal="right"/>
      <protection locked="0"/>
    </xf>
    <xf numFmtId="1" fontId="6" fillId="15" borderId="83" xfId="126" applyNumberFormat="1" applyFont="1" applyFill="1" applyBorder="1" applyAlignment="1" applyProtection="1">
      <alignment horizontal="right"/>
      <protection locked="0"/>
    </xf>
    <xf numFmtId="1" fontId="6" fillId="0" borderId="192" xfId="125" applyNumberFormat="1" applyFont="1" applyBorder="1" applyAlignment="1">
      <alignment horizontal="right"/>
    </xf>
    <xf numFmtId="1" fontId="6" fillId="0" borderId="192" xfId="125" applyNumberFormat="1" applyFont="1" applyBorder="1" applyAlignment="1">
      <alignment horizontal="center" vertical="center" wrapText="1"/>
    </xf>
    <xf numFmtId="1" fontId="6" fillId="0" borderId="29" xfId="125" applyNumberFormat="1" applyFont="1" applyBorder="1" applyAlignment="1">
      <alignment horizontal="center" vertical="center"/>
    </xf>
    <xf numFmtId="1" fontId="6" fillId="0" borderId="30" xfId="125" applyNumberFormat="1" applyFont="1" applyBorder="1" applyAlignment="1">
      <alignment horizontal="center" vertical="center" wrapText="1"/>
    </xf>
    <xf numFmtId="1" fontId="6" fillId="0" borderId="35" xfId="125" applyNumberFormat="1" applyFont="1" applyBorder="1" applyAlignment="1">
      <alignment horizontal="center" vertical="center" wrapText="1"/>
    </xf>
    <xf numFmtId="1" fontId="6" fillId="0" borderId="11" xfId="125" applyNumberFormat="1" applyFont="1" applyBorder="1" applyAlignment="1">
      <alignment horizontal="center" vertical="center" wrapText="1"/>
    </xf>
    <xf numFmtId="1" fontId="6" fillId="17" borderId="11" xfId="123" applyNumberFormat="1" applyFont="1" applyFill="1" applyBorder="1" applyAlignment="1">
      <alignment horizontal="center" vertical="center"/>
    </xf>
    <xf numFmtId="1" fontId="6" fillId="0" borderId="117" xfId="0" applyNumberFormat="1" applyFont="1" applyBorder="1" applyAlignment="1">
      <alignment horizontal="center" vertical="center" wrapText="1"/>
    </xf>
    <xf numFmtId="1" fontId="6" fillId="0" borderId="8" xfId="125" applyNumberFormat="1" applyFont="1" applyBorder="1" applyAlignment="1">
      <alignment horizontal="center" vertical="center" wrapText="1"/>
    </xf>
    <xf numFmtId="1" fontId="6" fillId="0" borderId="67" xfId="125" applyNumberFormat="1" applyFont="1" applyBorder="1" applyAlignment="1">
      <alignment horizontal="right" vertical="center"/>
    </xf>
    <xf numFmtId="1" fontId="6" fillId="0" borderId="24" xfId="125" applyNumberFormat="1" applyFont="1" applyBorder="1" applyAlignment="1">
      <alignment horizontal="right" vertical="center"/>
    </xf>
    <xf numFmtId="1" fontId="6" fillId="15" borderId="27" xfId="125" applyNumberFormat="1" applyFont="1" applyFill="1" applyBorder="1" applyAlignment="1" applyProtection="1">
      <alignment horizontal="right"/>
      <protection locked="0"/>
    </xf>
    <xf numFmtId="1" fontId="6" fillId="0" borderId="68" xfId="125" applyNumberFormat="1" applyFont="1" applyBorder="1" applyAlignment="1">
      <alignment horizontal="right" vertical="center"/>
    </xf>
    <xf numFmtId="1" fontId="6" fillId="0" borderId="36" xfId="125" applyNumberFormat="1" applyFont="1" applyBorder="1" applyAlignment="1">
      <alignment horizontal="right" vertical="center"/>
    </xf>
    <xf numFmtId="1" fontId="6" fillId="15" borderId="39" xfId="125" applyNumberFormat="1" applyFont="1" applyFill="1" applyBorder="1" applyAlignment="1" applyProtection="1">
      <alignment horizontal="right"/>
      <protection locked="0"/>
    </xf>
    <xf numFmtId="1" fontId="6" fillId="0" borderId="106" xfId="125" applyNumberFormat="1" applyFont="1" applyBorder="1" applyAlignment="1">
      <alignment horizontal="right" vertical="center"/>
    </xf>
    <xf numFmtId="1" fontId="6" fillId="0" borderId="104" xfId="125" applyNumberFormat="1" applyFont="1" applyBorder="1" applyAlignment="1">
      <alignment horizontal="right" vertical="center"/>
    </xf>
    <xf numFmtId="1" fontId="6" fillId="0" borderId="124" xfId="125" applyNumberFormat="1" applyFont="1" applyBorder="1" applyAlignment="1">
      <alignment horizontal="right"/>
    </xf>
    <xf numFmtId="1" fontId="6" fillId="15" borderId="124" xfId="125" applyNumberFormat="1" applyFont="1" applyFill="1" applyBorder="1" applyAlignment="1" applyProtection="1">
      <alignment horizontal="right"/>
      <protection locked="0"/>
    </xf>
    <xf numFmtId="1" fontId="6" fillId="0" borderId="7" xfId="0" applyNumberFormat="1" applyFont="1" applyBorder="1"/>
    <xf numFmtId="1" fontId="6" fillId="0" borderId="196" xfId="0" applyNumberFormat="1" applyFont="1" applyBorder="1"/>
    <xf numFmtId="1" fontId="3" fillId="22" borderId="0" xfId="0" applyNumberFormat="1" applyFont="1" applyFill="1" applyAlignment="1">
      <alignment horizontal="left"/>
    </xf>
    <xf numFmtId="1" fontId="7" fillId="22" borderId="0" xfId="0" applyNumberFormat="1" applyFont="1" applyFill="1" applyAlignment="1">
      <alignment horizontal="left"/>
    </xf>
    <xf numFmtId="1" fontId="6" fillId="17" borderId="7" xfId="0" applyNumberFormat="1" applyFont="1" applyFill="1" applyBorder="1" applyAlignment="1">
      <alignment horizontal="center" vertical="center"/>
    </xf>
    <xf numFmtId="1" fontId="6" fillId="17" borderId="196" xfId="0" applyNumberFormat="1" applyFont="1" applyFill="1" applyBorder="1" applyAlignment="1">
      <alignment horizontal="center" vertical="center"/>
    </xf>
    <xf numFmtId="1" fontId="6" fillId="17" borderId="5" xfId="0" applyNumberFormat="1" applyFont="1" applyFill="1" applyBorder="1" applyAlignment="1">
      <alignment horizontal="center" vertical="center"/>
    </xf>
    <xf numFmtId="1" fontId="6" fillId="22" borderId="1" xfId="126" applyNumberFormat="1" applyFont="1" applyFill="1" applyBorder="1" applyAlignment="1" applyProtection="1">
      <alignment horizontal="center" vertical="center" wrapText="1"/>
      <protection hidden="1"/>
    </xf>
    <xf numFmtId="1" fontId="6" fillId="17" borderId="35" xfId="126" applyNumberFormat="1" applyFont="1" applyFill="1" applyBorder="1" applyAlignment="1" applyProtection="1">
      <alignment horizontal="left" vertical="center" wrapText="1"/>
      <protection hidden="1"/>
    </xf>
    <xf numFmtId="1" fontId="10" fillId="0" borderId="10" xfId="126" applyNumberFormat="1" applyFont="1" applyBorder="1" applyAlignment="1" applyProtection="1">
      <alignment vertical="center"/>
      <protection hidden="1"/>
    </xf>
    <xf numFmtId="0" fontId="6" fillId="22" borderId="73" xfId="126" applyFont="1" applyFill="1" applyBorder="1"/>
    <xf numFmtId="1" fontId="10" fillId="0" borderId="9" xfId="126" applyNumberFormat="1" applyFont="1" applyBorder="1" applyAlignment="1" applyProtection="1">
      <alignment horizontal="left" vertical="center"/>
      <protection hidden="1"/>
    </xf>
    <xf numFmtId="1" fontId="6" fillId="0" borderId="75" xfId="0" applyNumberFormat="1" applyFont="1" applyBorder="1" applyAlignment="1">
      <alignment wrapText="1"/>
    </xf>
    <xf numFmtId="1" fontId="6" fillId="0" borderId="35" xfId="0" applyNumberFormat="1" applyFont="1" applyBorder="1" applyAlignment="1">
      <alignment wrapText="1"/>
    </xf>
    <xf numFmtId="1" fontId="6" fillId="0" borderId="66" xfId="0" applyNumberFormat="1" applyFont="1" applyBorder="1" applyAlignment="1">
      <alignment wrapText="1"/>
    </xf>
    <xf numFmtId="1" fontId="6" fillId="17" borderId="30" xfId="123" applyNumberFormat="1" applyFont="1" applyFill="1" applyBorder="1" applyAlignment="1">
      <alignment horizontal="center" vertical="center"/>
    </xf>
    <xf numFmtId="1" fontId="6" fillId="17" borderId="30" xfId="123" applyNumberFormat="1" applyFont="1" applyFill="1" applyBorder="1" applyAlignment="1">
      <alignment horizontal="left" vertical="center" wrapText="1"/>
    </xf>
    <xf numFmtId="1" fontId="6" fillId="17" borderId="66" xfId="123" applyNumberFormat="1" applyFont="1" applyFill="1" applyBorder="1" applyAlignment="1">
      <alignment horizontal="left" vertical="center" wrapText="1"/>
    </xf>
    <xf numFmtId="0" fontId="6" fillId="0" borderId="7" xfId="0" applyFont="1" applyBorder="1" applyAlignment="1">
      <alignment horizontal="center" vertical="center" wrapText="1"/>
    </xf>
    <xf numFmtId="0" fontId="6" fillId="0" borderId="78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0" borderId="64" xfId="0" applyFont="1" applyBorder="1" applyAlignment="1">
      <alignment horizontal="center" vertical="center"/>
    </xf>
    <xf numFmtId="0" fontId="6" fillId="0" borderId="63" xfId="0" applyFont="1" applyBorder="1" applyAlignment="1">
      <alignment horizontal="center" vertical="center"/>
    </xf>
    <xf numFmtId="0" fontId="6" fillId="0" borderId="11" xfId="0" applyFont="1" applyBorder="1"/>
    <xf numFmtId="1" fontId="6" fillId="0" borderId="82" xfId="0" applyNumberFormat="1" applyFont="1" applyBorder="1" applyAlignment="1">
      <alignment horizontal="right"/>
    </xf>
    <xf numFmtId="1" fontId="6" fillId="0" borderId="141" xfId="0" applyNumberFormat="1" applyFont="1" applyBorder="1" applyAlignment="1">
      <alignment horizontal="right"/>
    </xf>
    <xf numFmtId="1" fontId="6" fillId="0" borderId="24" xfId="0" applyNumberFormat="1" applyFont="1" applyBorder="1" applyAlignment="1">
      <alignment horizontal="right"/>
    </xf>
    <xf numFmtId="0" fontId="6" fillId="0" borderId="75" xfId="0" applyFont="1" applyBorder="1"/>
    <xf numFmtId="1" fontId="6" fillId="0" borderId="91" xfId="0" applyNumberFormat="1" applyFont="1" applyBorder="1" applyAlignment="1">
      <alignment horizontal="right"/>
    </xf>
    <xf numFmtId="1" fontId="6" fillId="0" borderId="31" xfId="0" applyNumberFormat="1" applyFont="1" applyBorder="1" applyAlignment="1">
      <alignment horizontal="right"/>
    </xf>
    <xf numFmtId="1" fontId="6" fillId="0" borderId="34" xfId="0" applyNumberFormat="1" applyFont="1" applyBorder="1" applyAlignment="1">
      <alignment horizontal="right"/>
    </xf>
    <xf numFmtId="1" fontId="6" fillId="15" borderId="152" xfId="0" applyNumberFormat="1" applyFont="1" applyFill="1" applyBorder="1" applyAlignment="1" applyProtection="1">
      <alignment horizontal="right"/>
      <protection locked="0"/>
    </xf>
    <xf numFmtId="1" fontId="6" fillId="0" borderId="106" xfId="0" applyNumberFormat="1" applyFont="1" applyBorder="1" applyAlignment="1">
      <alignment horizontal="right"/>
    </xf>
    <xf numFmtId="1" fontId="6" fillId="0" borderId="104" xfId="0" applyNumberFormat="1" applyFont="1" applyBorder="1" applyAlignment="1">
      <alignment horizontal="right"/>
    </xf>
    <xf numFmtId="1" fontId="6" fillId="0" borderId="124" xfId="0" applyNumberFormat="1" applyFont="1" applyBorder="1" applyAlignment="1">
      <alignment horizontal="right"/>
    </xf>
    <xf numFmtId="1" fontId="6" fillId="15" borderId="138" xfId="0" applyNumberFormat="1" applyFont="1" applyFill="1" applyBorder="1" applyAlignment="1" applyProtection="1">
      <alignment horizontal="right"/>
      <protection locked="0"/>
    </xf>
    <xf numFmtId="0" fontId="6" fillId="0" borderId="30" xfId="0" applyFont="1" applyBorder="1" applyAlignment="1">
      <alignment horizontal="left" vertical="center" wrapText="1"/>
    </xf>
    <xf numFmtId="1" fontId="6" fillId="0" borderId="67" xfId="0" applyNumberFormat="1" applyFont="1" applyBorder="1" applyAlignment="1">
      <alignment horizontal="right"/>
    </xf>
    <xf numFmtId="0" fontId="6" fillId="0" borderId="35" xfId="0" applyFont="1" applyBorder="1" applyAlignment="1">
      <alignment horizontal="left" vertical="center" wrapText="1"/>
    </xf>
    <xf numFmtId="1" fontId="6" fillId="0" borderId="68" xfId="0" applyNumberFormat="1" applyFont="1" applyBorder="1" applyAlignment="1">
      <alignment horizontal="right"/>
    </xf>
    <xf numFmtId="1" fontId="6" fillId="0" borderId="36" xfId="0" applyNumberFormat="1" applyFont="1" applyBorder="1" applyAlignment="1">
      <alignment horizontal="right"/>
    </xf>
    <xf numFmtId="1" fontId="6" fillId="0" borderId="39" xfId="0" applyNumberFormat="1" applyFont="1" applyBorder="1" applyAlignment="1">
      <alignment horizontal="right"/>
    </xf>
    <xf numFmtId="0" fontId="6" fillId="0" borderId="66" xfId="0" applyFont="1" applyBorder="1" applyAlignment="1">
      <alignment horizontal="left" vertical="center" wrapText="1"/>
    </xf>
    <xf numFmtId="1" fontId="6" fillId="0" borderId="39" xfId="126" applyNumberFormat="1" applyFont="1" applyBorder="1" applyAlignment="1" applyProtection="1">
      <alignment horizontal="left" vertical="center"/>
      <protection hidden="1"/>
    </xf>
    <xf numFmtId="1" fontId="6" fillId="0" borderId="76" xfId="126" applyNumberFormat="1" applyFont="1" applyBorder="1" applyAlignment="1" applyProtection="1">
      <alignment vertical="center"/>
      <protection hidden="1"/>
    </xf>
    <xf numFmtId="1" fontId="6" fillId="17" borderId="66" xfId="126" applyNumberFormat="1" applyFont="1" applyFill="1" applyBorder="1" applyAlignment="1" applyProtection="1">
      <alignment vertical="center" wrapText="1"/>
      <protection hidden="1"/>
    </xf>
    <xf numFmtId="1" fontId="6" fillId="0" borderId="73" xfId="126" applyNumberFormat="1" applyFont="1" applyBorder="1" applyAlignment="1" applyProtection="1">
      <alignment horizontal="left" vertical="center"/>
      <protection hidden="1"/>
    </xf>
    <xf numFmtId="1" fontId="6" fillId="0" borderId="35" xfId="126" applyNumberFormat="1" applyFont="1" applyBorder="1" applyAlignment="1" applyProtection="1">
      <alignment vertical="center" wrapText="1"/>
      <protection hidden="1"/>
    </xf>
    <xf numFmtId="1" fontId="6" fillId="0" borderId="11" xfId="0" applyNumberFormat="1" applyFont="1" applyBorder="1" applyAlignment="1">
      <alignment vertical="center"/>
    </xf>
    <xf numFmtId="1" fontId="6" fillId="27" borderId="207" xfId="0" applyNumberFormat="1" applyFont="1" applyFill="1" applyBorder="1"/>
    <xf numFmtId="1" fontId="6" fillId="0" borderId="27" xfId="126" applyNumberFormat="1" applyFont="1" applyBorder="1" applyAlignment="1" applyProtection="1">
      <alignment horizontal="left" vertical="center" wrapText="1"/>
      <protection hidden="1"/>
    </xf>
    <xf numFmtId="1" fontId="6" fillId="0" borderId="34" xfId="0" applyNumberFormat="1" applyFont="1" applyBorder="1" applyAlignment="1">
      <alignment horizontal="left" vertical="center" wrapText="1"/>
    </xf>
    <xf numFmtId="1" fontId="30" fillId="15" borderId="104" xfId="0" applyNumberFormat="1" applyFont="1" applyFill="1" applyBorder="1" applyAlignment="1" applyProtection="1">
      <alignment horizontal="right"/>
      <protection locked="0"/>
    </xf>
    <xf numFmtId="1" fontId="30" fillId="15" borderId="101" xfId="0" applyNumberFormat="1" applyFont="1" applyFill="1" applyBorder="1" applyAlignment="1" applyProtection="1">
      <alignment horizontal="right"/>
      <protection locked="0"/>
    </xf>
    <xf numFmtId="1" fontId="30" fillId="15" borderId="124" xfId="0" applyNumberFormat="1" applyFont="1" applyFill="1" applyBorder="1" applyAlignment="1" applyProtection="1">
      <alignment horizontal="right"/>
      <protection locked="0"/>
    </xf>
    <xf numFmtId="1" fontId="14" fillId="0" borderId="22" xfId="0" applyNumberFormat="1" applyFont="1" applyBorder="1" applyProtection="1">
      <protection hidden="1"/>
    </xf>
    <xf numFmtId="1" fontId="6" fillId="0" borderId="208" xfId="125" applyNumberFormat="1" applyFont="1" applyBorder="1"/>
    <xf numFmtId="1" fontId="6" fillId="0" borderId="207" xfId="125" applyNumberFormat="1" applyFont="1" applyBorder="1" applyAlignment="1">
      <alignment horizontal="right" wrapText="1"/>
    </xf>
    <xf numFmtId="1" fontId="6" fillId="15" borderId="37" xfId="0" applyNumberFormat="1" applyFont="1" applyFill="1" applyBorder="1" applyAlignment="1" applyProtection="1">
      <alignment horizontal="right"/>
      <protection locked="0"/>
    </xf>
    <xf numFmtId="1" fontId="6" fillId="15" borderId="42" xfId="0" applyNumberFormat="1" applyFont="1" applyFill="1" applyBorder="1" applyAlignment="1" applyProtection="1">
      <alignment horizontal="right"/>
      <protection locked="0"/>
    </xf>
    <xf numFmtId="1" fontId="6" fillId="15" borderId="137" xfId="0" applyNumberFormat="1" applyFont="1" applyFill="1" applyBorder="1" applyAlignment="1" applyProtection="1">
      <alignment horizontal="right"/>
      <protection locked="0"/>
    </xf>
    <xf numFmtId="0" fontId="36" fillId="22" borderId="29" xfId="126" applyFont="1" applyFill="1" applyBorder="1"/>
    <xf numFmtId="1" fontId="6" fillId="0" borderId="29" xfId="0" applyNumberFormat="1" applyFont="1" applyBorder="1" applyAlignment="1">
      <alignment vertical="center"/>
    </xf>
    <xf numFmtId="1" fontId="10" fillId="0" borderId="191" xfId="127" applyNumberFormat="1" applyFont="1" applyBorder="1" applyProtection="1">
      <protection hidden="1"/>
    </xf>
    <xf numFmtId="1" fontId="6" fillId="0" borderId="191" xfId="14" applyNumberFormat="1" applyFont="1" applyFill="1" applyBorder="1" applyProtection="1"/>
    <xf numFmtId="1" fontId="6" fillId="21" borderId="191" xfId="0" applyNumberFormat="1" applyFont="1" applyFill="1" applyBorder="1"/>
    <xf numFmtId="1" fontId="6" fillId="0" borderId="196" xfId="109" applyNumberFormat="1" applyFont="1" applyBorder="1" applyAlignment="1">
      <alignment horizontal="center" vertical="center" wrapText="1"/>
    </xf>
    <xf numFmtId="1" fontId="6" fillId="0" borderId="196" xfId="127" applyNumberFormat="1" applyFont="1" applyBorder="1" applyAlignment="1" applyProtection="1">
      <alignment horizontal="center" vertical="center" wrapText="1"/>
      <protection hidden="1"/>
    </xf>
    <xf numFmtId="1" fontId="6" fillId="15" borderId="196" xfId="14" applyNumberFormat="1" applyFont="1" applyFill="1" applyBorder="1" applyAlignment="1">
      <alignment horizontal="right"/>
      <protection locked="0"/>
    </xf>
    <xf numFmtId="1" fontId="6" fillId="15" borderId="80" xfId="14" applyNumberFormat="1" applyFont="1" applyFill="1" applyBorder="1" applyAlignment="1">
      <alignment horizontal="right"/>
      <protection locked="0"/>
    </xf>
    <xf numFmtId="0" fontId="7" fillId="17" borderId="4" xfId="0" applyFont="1" applyFill="1" applyBorder="1" applyAlignment="1">
      <alignment horizontal="left" vertical="center"/>
    </xf>
    <xf numFmtId="0" fontId="7" fillId="17" borderId="4" xfId="0" applyFont="1" applyFill="1" applyBorder="1" applyAlignment="1">
      <alignment horizontal="centerContinuous" vertical="center"/>
    </xf>
    <xf numFmtId="0" fontId="14" fillId="0" borderId="209" xfId="0" applyFont="1" applyBorder="1" applyAlignment="1">
      <alignment horizontal="center"/>
    </xf>
    <xf numFmtId="0" fontId="7" fillId="0" borderId="209" xfId="0" applyFont="1" applyBorder="1" applyAlignment="1">
      <alignment horizontal="left" vertical="center"/>
    </xf>
    <xf numFmtId="1" fontId="6" fillId="0" borderId="34" xfId="126" applyNumberFormat="1" applyFont="1" applyBorder="1" applyAlignment="1">
      <alignment vertical="center" wrapText="1"/>
    </xf>
    <xf numFmtId="1" fontId="6" fillId="20" borderId="149" xfId="126" applyNumberFormat="1" applyFont="1" applyFill="1" applyBorder="1" applyAlignment="1">
      <alignment horizontal="right"/>
    </xf>
    <xf numFmtId="1" fontId="6" fillId="15" borderId="31" xfId="14" applyNumberFormat="1" applyFont="1" applyFill="1" applyBorder="1" applyAlignment="1">
      <alignment horizontal="right"/>
      <protection locked="0"/>
    </xf>
    <xf numFmtId="1" fontId="6" fillId="15" borderId="142" xfId="14" applyNumberFormat="1" applyFont="1" applyFill="1" applyBorder="1" applyAlignment="1">
      <alignment horizontal="right"/>
      <protection locked="0"/>
    </xf>
    <xf numFmtId="1" fontId="6" fillId="0" borderId="209" xfId="125" applyNumberFormat="1" applyFont="1" applyBorder="1" applyAlignment="1">
      <alignment horizontal="right"/>
    </xf>
    <xf numFmtId="1" fontId="6" fillId="17" borderId="35" xfId="0" applyNumberFormat="1" applyFont="1" applyFill="1" applyBorder="1" applyAlignment="1">
      <alignment horizontal="center" vertical="center" wrapText="1"/>
    </xf>
    <xf numFmtId="1" fontId="6" fillId="17" borderId="11" xfId="0" applyNumberFormat="1" applyFont="1" applyFill="1" applyBorder="1" applyAlignment="1">
      <alignment horizontal="center" vertical="center" wrapText="1"/>
    </xf>
    <xf numFmtId="0" fontId="6" fillId="0" borderId="30" xfId="0" applyFont="1" applyBorder="1" applyAlignment="1">
      <alignment horizontal="center" vertical="center" wrapText="1"/>
    </xf>
    <xf numFmtId="1" fontId="30" fillId="0" borderId="27" xfId="0" applyNumberFormat="1" applyFont="1" applyBorder="1" applyAlignment="1" applyProtection="1">
      <alignment horizontal="left" wrapText="1"/>
      <protection hidden="1"/>
    </xf>
    <xf numFmtId="1" fontId="30" fillId="0" borderId="29" xfId="0" applyNumberFormat="1" applyFont="1" applyBorder="1" applyAlignment="1" applyProtection="1">
      <alignment horizontal="left" wrapText="1"/>
      <protection hidden="1"/>
    </xf>
    <xf numFmtId="1" fontId="30" fillId="0" borderId="34" xfId="0" applyNumberFormat="1" applyFont="1" applyBorder="1" applyAlignment="1" applyProtection="1">
      <alignment horizontal="left" wrapText="1"/>
      <protection hidden="1"/>
    </xf>
    <xf numFmtId="1" fontId="6" fillId="0" borderId="207" xfId="0" applyNumberFormat="1" applyFont="1" applyBorder="1" applyAlignment="1">
      <alignment horizontal="right"/>
    </xf>
    <xf numFmtId="0" fontId="7" fillId="15" borderId="212" xfId="14" applyFont="1" applyFill="1" applyBorder="1" applyAlignment="1">
      <alignment horizontal="center"/>
      <protection locked="0"/>
    </xf>
    <xf numFmtId="0" fontId="7" fillId="0" borderId="210" xfId="0" applyFont="1" applyBorder="1" applyAlignment="1">
      <alignment horizontal="left" vertical="center"/>
    </xf>
    <xf numFmtId="1" fontId="6" fillId="0" borderId="77" xfId="127" applyNumberFormat="1" applyFont="1" applyBorder="1" applyAlignment="1" applyProtection="1">
      <alignment vertical="center" wrapText="1"/>
      <protection hidden="1"/>
    </xf>
    <xf numFmtId="1" fontId="6" fillId="0" borderId="72" xfId="127" applyNumberFormat="1" applyFont="1" applyBorder="1" applyAlignment="1" applyProtection="1">
      <alignment vertical="center" wrapText="1"/>
      <protection hidden="1"/>
    </xf>
    <xf numFmtId="1" fontId="6" fillId="0" borderId="73" xfId="127" applyNumberFormat="1" applyFont="1" applyBorder="1" applyAlignment="1" applyProtection="1">
      <alignment vertical="center" wrapText="1"/>
      <protection hidden="1"/>
    </xf>
    <xf numFmtId="1" fontId="6" fillId="0" borderId="83" xfId="0" applyNumberFormat="1" applyFont="1" applyBorder="1" applyAlignment="1">
      <alignment horizontal="right"/>
    </xf>
    <xf numFmtId="1" fontId="6" fillId="15" borderId="142" xfId="0" applyNumberFormat="1" applyFont="1" applyFill="1" applyBorder="1" applyAlignment="1" applyProtection="1">
      <alignment horizontal="right"/>
      <protection locked="0"/>
    </xf>
    <xf numFmtId="1" fontId="6" fillId="0" borderId="209" xfId="125" applyNumberFormat="1" applyFont="1" applyBorder="1" applyAlignment="1">
      <alignment horizontal="center" vertical="center" wrapText="1"/>
    </xf>
    <xf numFmtId="1" fontId="6" fillId="0" borderId="106" xfId="125" applyNumberFormat="1" applyFont="1" applyBorder="1" applyAlignment="1">
      <alignment horizontal="right"/>
    </xf>
    <xf numFmtId="1" fontId="6" fillId="0" borderId="21" xfId="125" applyNumberFormat="1" applyFont="1" applyBorder="1" applyAlignment="1">
      <alignment horizontal="right"/>
    </xf>
    <xf numFmtId="1" fontId="6" fillId="0" borderId="32" xfId="125" applyNumberFormat="1" applyFont="1" applyBorder="1" applyAlignment="1">
      <alignment horizontal="right"/>
    </xf>
    <xf numFmtId="1" fontId="6" fillId="22" borderId="207" xfId="0" applyNumberFormat="1" applyFont="1" applyFill="1" applyBorder="1" applyAlignment="1">
      <alignment horizontal="center" wrapText="1"/>
    </xf>
    <xf numFmtId="1" fontId="6" fillId="22" borderId="209" xfId="0" applyNumberFormat="1" applyFont="1" applyFill="1" applyBorder="1" applyAlignment="1">
      <alignment horizontal="center" wrapText="1"/>
    </xf>
    <xf numFmtId="1" fontId="6" fillId="0" borderId="207" xfId="125" applyNumberFormat="1" applyFont="1" applyBorder="1" applyAlignment="1">
      <alignment horizontal="right"/>
    </xf>
    <xf numFmtId="1" fontId="6" fillId="0" borderId="207" xfId="125" applyNumberFormat="1" applyFont="1" applyBorder="1"/>
    <xf numFmtId="1" fontId="6" fillId="0" borderId="207" xfId="125" applyNumberFormat="1" applyFont="1" applyBorder="1" applyAlignment="1">
      <alignment horizontal="left"/>
    </xf>
    <xf numFmtId="1" fontId="6" fillId="0" borderId="135" xfId="125" applyNumberFormat="1" applyFont="1" applyBorder="1"/>
    <xf numFmtId="1" fontId="6" fillId="0" borderId="188" xfId="125" applyNumberFormat="1" applyFont="1" applyBorder="1" applyAlignment="1">
      <alignment horizontal="right" wrapText="1"/>
    </xf>
    <xf numFmtId="1" fontId="6" fillId="15" borderId="82" xfId="0" applyNumberFormat="1" applyFont="1" applyFill="1" applyBorder="1" applyAlignment="1" applyProtection="1">
      <alignment horizontal="right"/>
      <protection locked="0"/>
    </xf>
    <xf numFmtId="1" fontId="6" fillId="15" borderId="98" xfId="0" applyNumberFormat="1" applyFont="1" applyFill="1" applyBorder="1" applyAlignment="1" applyProtection="1">
      <alignment horizontal="right"/>
      <protection locked="0"/>
    </xf>
    <xf numFmtId="1" fontId="6" fillId="15" borderId="6" xfId="125" applyNumberFormat="1" applyFont="1" applyFill="1" applyBorder="1" applyAlignment="1" applyProtection="1">
      <alignment horizontal="right"/>
      <protection locked="0"/>
    </xf>
    <xf numFmtId="1" fontId="6" fillId="0" borderId="208" xfId="125" applyNumberFormat="1" applyFont="1" applyBorder="1" applyAlignment="1">
      <alignment wrapText="1"/>
    </xf>
    <xf numFmtId="1" fontId="6" fillId="15" borderId="45" xfId="125" applyNumberFormat="1" applyFont="1" applyFill="1" applyBorder="1" applyAlignment="1" applyProtection="1">
      <alignment horizontal="right"/>
      <protection locked="0"/>
    </xf>
    <xf numFmtId="1" fontId="6" fillId="22" borderId="186" xfId="125" applyNumberFormat="1" applyFont="1" applyFill="1" applyBorder="1" applyAlignment="1">
      <alignment horizontal="right"/>
    </xf>
    <xf numFmtId="1" fontId="6" fillId="0" borderId="21" xfId="125" applyNumberFormat="1" applyFont="1" applyBorder="1" applyAlignment="1">
      <alignment horizontal="right" vertical="center"/>
    </xf>
    <xf numFmtId="1" fontId="6" fillId="15" borderId="21" xfId="125" applyNumberFormat="1" applyFont="1" applyFill="1" applyBorder="1" applyAlignment="1" applyProtection="1">
      <alignment horizontal="right" vertical="center"/>
      <protection locked="0"/>
    </xf>
    <xf numFmtId="1" fontId="6" fillId="15" borderId="95" xfId="125" applyNumberFormat="1" applyFont="1" applyFill="1" applyBorder="1" applyAlignment="1" applyProtection="1">
      <alignment horizontal="right" vertical="center"/>
      <protection locked="0"/>
    </xf>
    <xf numFmtId="1" fontId="6" fillId="15" borderId="69" xfId="125" applyNumberFormat="1" applyFont="1" applyFill="1" applyBorder="1" applyAlignment="1" applyProtection="1">
      <alignment horizontal="right" vertical="center"/>
      <protection locked="0"/>
    </xf>
    <xf numFmtId="1" fontId="6" fillId="17" borderId="0" xfId="0" applyNumberFormat="1" applyFont="1" applyFill="1" applyAlignment="1">
      <alignment vertical="center"/>
    </xf>
    <xf numFmtId="1" fontId="10" fillId="21" borderId="0" xfId="0" applyNumberFormat="1" applyFont="1" applyFill="1" applyAlignment="1">
      <alignment vertical="center"/>
    </xf>
    <xf numFmtId="1" fontId="6" fillId="0" borderId="89" xfId="126" applyNumberFormat="1" applyFont="1" applyBorder="1" applyAlignment="1" applyProtection="1">
      <alignment horizontal="left" vertical="center"/>
      <protection hidden="1"/>
    </xf>
    <xf numFmtId="1" fontId="6" fillId="0" borderId="44" xfId="126" applyNumberFormat="1" applyFont="1" applyBorder="1" applyAlignment="1" applyProtection="1">
      <alignment horizontal="left" vertical="center"/>
      <protection hidden="1"/>
    </xf>
    <xf numFmtId="0" fontId="6" fillId="0" borderId="0" xfId="0" applyFont="1" applyAlignment="1">
      <alignment horizontal="right"/>
    </xf>
    <xf numFmtId="1" fontId="6" fillId="0" borderId="81" xfId="109" applyNumberFormat="1" applyFont="1" applyBorder="1" applyAlignment="1">
      <alignment horizontal="center" vertical="center" wrapText="1"/>
    </xf>
    <xf numFmtId="1" fontId="6" fillId="0" borderId="80" xfId="109" applyNumberFormat="1" applyFont="1" applyBorder="1" applyAlignment="1">
      <alignment horizontal="center" vertical="center" wrapText="1"/>
    </xf>
    <xf numFmtId="1" fontId="6" fillId="0" borderId="195" xfId="126" applyNumberFormat="1" applyFont="1" applyBorder="1" applyAlignment="1" applyProtection="1">
      <alignment horizontal="center" vertical="center" wrapText="1"/>
      <protection hidden="1"/>
    </xf>
    <xf numFmtId="1" fontId="6" fillId="15" borderId="29" xfId="125" applyNumberFormat="1" applyFont="1" applyFill="1" applyBorder="1" applyAlignment="1" applyProtection="1">
      <alignment horizontal="right"/>
      <protection locked="0"/>
    </xf>
    <xf numFmtId="1" fontId="6" fillId="15" borderId="209" xfId="125" applyNumberFormat="1" applyFont="1" applyFill="1" applyBorder="1" applyAlignment="1" applyProtection="1">
      <alignment horizontal="right"/>
      <protection locked="0"/>
    </xf>
    <xf numFmtId="1" fontId="6" fillId="0" borderId="67" xfId="125" applyNumberFormat="1" applyFont="1" applyBorder="1" applyAlignment="1">
      <alignment horizontal="right" wrapText="1"/>
    </xf>
    <xf numFmtId="1" fontId="6" fillId="0" borderId="68" xfId="125" applyNumberFormat="1" applyFont="1" applyBorder="1" applyAlignment="1">
      <alignment horizontal="right" wrapText="1"/>
    </xf>
    <xf numFmtId="1" fontId="6" fillId="0" borderId="91" xfId="125" applyNumberFormat="1" applyFont="1" applyBorder="1" applyAlignment="1">
      <alignment horizontal="right" wrapText="1"/>
    </xf>
    <xf numFmtId="1" fontId="6" fillId="0" borderId="123" xfId="125" applyNumberFormat="1" applyFont="1" applyBorder="1" applyAlignment="1">
      <alignment horizontal="right"/>
    </xf>
    <xf numFmtId="1" fontId="6" fillId="0" borderId="11" xfId="125" applyNumberFormat="1" applyFont="1" applyBorder="1"/>
    <xf numFmtId="1" fontId="6" fillId="0" borderId="30" xfId="125" applyNumberFormat="1" applyFont="1" applyBorder="1" applyAlignment="1">
      <alignment horizontal="left"/>
    </xf>
    <xf numFmtId="1" fontId="6" fillId="0" borderId="35" xfId="125" applyNumberFormat="1" applyFont="1" applyBorder="1" applyAlignment="1">
      <alignment horizontal="left"/>
    </xf>
    <xf numFmtId="1" fontId="6" fillId="0" borderId="66" xfId="125" applyNumberFormat="1" applyFont="1" applyBorder="1" applyAlignment="1">
      <alignment horizontal="left"/>
    </xf>
    <xf numFmtId="1" fontId="6" fillId="0" borderId="191" xfId="125" applyNumberFormat="1" applyFont="1" applyBorder="1" applyAlignment="1">
      <alignment horizontal="right"/>
    </xf>
    <xf numFmtId="1" fontId="6" fillId="0" borderId="82" xfId="125" applyNumberFormat="1" applyFont="1" applyBorder="1" applyAlignment="1">
      <alignment horizontal="right"/>
    </xf>
    <xf numFmtId="1" fontId="6" fillId="0" borderId="75" xfId="130" applyNumberFormat="1" applyFont="1" applyBorder="1" applyAlignment="1" applyProtection="1"/>
    <xf numFmtId="1" fontId="6" fillId="22" borderId="11" xfId="0" applyNumberFormat="1" applyFont="1" applyFill="1" applyBorder="1" applyAlignment="1">
      <alignment horizontal="center" vertical="center" wrapText="1"/>
    </xf>
    <xf numFmtId="1" fontId="6" fillId="0" borderId="124" xfId="0" applyNumberFormat="1" applyFont="1" applyBorder="1" applyAlignment="1">
      <alignment horizontal="left" vertical="center" wrapText="1"/>
    </xf>
    <xf numFmtId="1" fontId="6" fillId="22" borderId="73" xfId="0" applyNumberFormat="1" applyFont="1" applyFill="1" applyBorder="1" applyAlignment="1">
      <alignment horizontal="left" wrapText="1"/>
    </xf>
    <xf numFmtId="1" fontId="6" fillId="22" borderId="39" xfId="0" applyNumberFormat="1" applyFont="1" applyFill="1" applyBorder="1" applyAlignment="1">
      <alignment horizontal="left" wrapText="1"/>
    </xf>
    <xf numFmtId="1" fontId="6" fillId="22" borderId="73" xfId="0" applyNumberFormat="1" applyFont="1" applyFill="1" applyBorder="1" applyAlignment="1">
      <alignment horizontal="left"/>
    </xf>
    <xf numFmtId="1" fontId="6" fillId="22" borderId="39" xfId="0" applyNumberFormat="1" applyFont="1" applyFill="1" applyBorder="1" applyAlignment="1">
      <alignment horizontal="left"/>
    </xf>
    <xf numFmtId="1" fontId="6" fillId="22" borderId="144" xfId="0" applyNumberFormat="1" applyFont="1" applyFill="1" applyBorder="1" applyAlignment="1">
      <alignment horizontal="right"/>
    </xf>
    <xf numFmtId="1" fontId="6" fillId="22" borderId="34" xfId="0" applyNumberFormat="1" applyFont="1" applyFill="1" applyBorder="1" applyAlignment="1">
      <alignment horizontal="right"/>
    </xf>
    <xf numFmtId="1" fontId="6" fillId="22" borderId="101" xfId="0" applyNumberFormat="1" applyFont="1" applyFill="1" applyBorder="1" applyAlignment="1">
      <alignment horizontal="right"/>
    </xf>
    <xf numFmtId="1" fontId="6" fillId="22" borderId="124" xfId="0" applyNumberFormat="1" applyFont="1" applyFill="1" applyBorder="1" applyAlignment="1">
      <alignment horizontal="right"/>
    </xf>
    <xf numFmtId="1" fontId="6" fillId="22" borderId="61" xfId="0" applyNumberFormat="1" applyFont="1" applyFill="1" applyBorder="1" applyAlignment="1">
      <alignment horizontal="right"/>
    </xf>
    <xf numFmtId="1" fontId="6" fillId="22" borderId="44" xfId="0" applyNumberFormat="1" applyFont="1" applyFill="1" applyBorder="1" applyAlignment="1">
      <alignment horizontal="right"/>
    </xf>
    <xf numFmtId="1" fontId="6" fillId="22" borderId="11" xfId="0" applyNumberFormat="1" applyFont="1" applyFill="1" applyBorder="1" applyAlignment="1">
      <alignment horizontal="right"/>
    </xf>
    <xf numFmtId="1" fontId="6" fillId="22" borderId="146" xfId="0" applyNumberFormat="1" applyFont="1" applyFill="1" applyBorder="1" applyAlignment="1">
      <alignment horizontal="right"/>
    </xf>
    <xf numFmtId="1" fontId="6" fillId="22" borderId="29" xfId="0" applyNumberFormat="1" applyFont="1" applyFill="1" applyBorder="1" applyAlignment="1">
      <alignment horizontal="right"/>
    </xf>
    <xf numFmtId="1" fontId="6" fillId="22" borderId="55" xfId="0" applyNumberFormat="1" applyFont="1" applyFill="1" applyBorder="1" applyAlignment="1">
      <alignment horizontal="right"/>
    </xf>
    <xf numFmtId="1" fontId="6" fillId="22" borderId="27" xfId="0" applyNumberFormat="1" applyFont="1" applyFill="1" applyBorder="1" applyAlignment="1">
      <alignment horizontal="right"/>
    </xf>
    <xf numFmtId="1" fontId="6" fillId="22" borderId="58" xfId="0" applyNumberFormat="1" applyFont="1" applyFill="1" applyBorder="1" applyAlignment="1">
      <alignment horizontal="right"/>
    </xf>
    <xf numFmtId="1" fontId="6" fillId="22" borderId="156" xfId="0" applyNumberFormat="1" applyFont="1" applyFill="1" applyBorder="1" applyAlignment="1">
      <alignment horizontal="right"/>
    </xf>
    <xf numFmtId="1" fontId="6" fillId="22" borderId="49" xfId="0" applyNumberFormat="1" applyFont="1" applyFill="1" applyBorder="1" applyAlignment="1">
      <alignment horizontal="right"/>
    </xf>
    <xf numFmtId="1" fontId="6" fillId="22" borderId="144" xfId="0" applyNumberFormat="1" applyFont="1" applyFill="1" applyBorder="1" applyAlignment="1">
      <alignment horizontal="right" wrapText="1"/>
    </xf>
    <xf numFmtId="1" fontId="6" fillId="22" borderId="146" xfId="0" applyNumberFormat="1" applyFont="1" applyFill="1" applyBorder="1" applyAlignment="1">
      <alignment horizontal="right" wrapText="1"/>
    </xf>
    <xf numFmtId="1" fontId="6" fillId="22" borderId="0" xfId="0" applyNumberFormat="1" applyFont="1" applyFill="1" applyAlignment="1">
      <alignment horizontal="left"/>
    </xf>
    <xf numFmtId="1" fontId="6" fillId="22" borderId="30" xfId="0" applyNumberFormat="1" applyFont="1" applyFill="1" applyBorder="1" applyAlignment="1">
      <alignment horizontal="right" wrapText="1"/>
    </xf>
    <xf numFmtId="1" fontId="6" fillId="22" borderId="55" xfId="0" applyNumberFormat="1" applyFont="1" applyFill="1" applyBorder="1" applyAlignment="1">
      <alignment horizontal="right" wrapText="1"/>
    </xf>
    <xf numFmtId="1" fontId="6" fillId="22" borderId="27" xfId="0" applyNumberFormat="1" applyFont="1" applyFill="1" applyBorder="1" applyAlignment="1">
      <alignment horizontal="right" wrapText="1"/>
    </xf>
    <xf numFmtId="1" fontId="6" fillId="22" borderId="45" xfId="0" applyNumberFormat="1" applyFont="1" applyFill="1" applyBorder="1" applyAlignment="1">
      <alignment horizontal="right" wrapText="1"/>
    </xf>
    <xf numFmtId="1" fontId="6" fillId="22" borderId="61" xfId="0" applyNumberFormat="1" applyFont="1" applyFill="1" applyBorder="1" applyAlignment="1">
      <alignment horizontal="right" wrapText="1"/>
    </xf>
    <xf numFmtId="1" fontId="6" fillId="22" borderId="44" xfId="0" applyNumberFormat="1" applyFont="1" applyFill="1" applyBorder="1" applyAlignment="1">
      <alignment horizontal="right" wrapText="1"/>
    </xf>
    <xf numFmtId="1" fontId="6" fillId="22" borderId="30" xfId="0" applyNumberFormat="1" applyFont="1" applyFill="1" applyBorder="1" applyAlignment="1">
      <alignment horizontal="right"/>
    </xf>
    <xf numFmtId="1" fontId="6" fillId="22" borderId="66" xfId="0" applyNumberFormat="1" applyFont="1" applyFill="1" applyBorder="1" applyAlignment="1">
      <alignment horizontal="right"/>
    </xf>
    <xf numFmtId="1" fontId="6" fillId="22" borderId="75" xfId="0" applyNumberFormat="1" applyFont="1" applyFill="1" applyBorder="1" applyAlignment="1">
      <alignment horizontal="right"/>
    </xf>
    <xf numFmtId="1" fontId="6" fillId="22" borderId="0" xfId="0" applyNumberFormat="1" applyFont="1" applyFill="1" applyAlignment="1">
      <alignment wrapText="1"/>
    </xf>
    <xf numFmtId="1" fontId="6" fillId="0" borderId="27" xfId="0" applyNumberFormat="1" applyFont="1" applyBorder="1" applyAlignment="1">
      <alignment horizontal="left" vertical="center" wrapText="1"/>
    </xf>
    <xf numFmtId="1" fontId="6" fillId="0" borderId="120" xfId="0" applyNumberFormat="1" applyFont="1" applyBorder="1" applyAlignment="1">
      <alignment wrapText="1"/>
    </xf>
    <xf numFmtId="1" fontId="6" fillId="0" borderId="44" xfId="0" applyNumberFormat="1" applyFont="1" applyBorder="1" applyAlignment="1">
      <alignment wrapText="1"/>
    </xf>
    <xf numFmtId="1" fontId="6" fillId="0" borderId="74" xfId="0" applyNumberFormat="1" applyFont="1" applyBorder="1" applyAlignment="1">
      <alignment wrapText="1"/>
    </xf>
    <xf numFmtId="1" fontId="18" fillId="0" borderId="0" xfId="0" applyNumberFormat="1" applyFont="1"/>
    <xf numFmtId="1" fontId="10" fillId="22" borderId="0" xfId="0" applyNumberFormat="1" applyFont="1" applyFill="1" applyProtection="1">
      <protection hidden="1"/>
    </xf>
    <xf numFmtId="1" fontId="6" fillId="0" borderId="74" xfId="0" applyNumberFormat="1" applyFont="1" applyBorder="1" applyAlignment="1">
      <alignment vertical="center" wrapText="1"/>
    </xf>
    <xf numFmtId="1" fontId="14" fillId="0" borderId="93" xfId="127" applyNumberFormat="1" applyFont="1" applyBorder="1" applyProtection="1">
      <protection hidden="1"/>
    </xf>
    <xf numFmtId="1" fontId="6" fillId="0" borderId="191" xfId="0" applyNumberFormat="1" applyFont="1" applyBorder="1" applyProtection="1">
      <protection hidden="1"/>
    </xf>
    <xf numFmtId="1" fontId="10" fillId="0" borderId="4" xfId="126" applyNumberFormat="1" applyFont="1" applyBorder="1" applyAlignment="1" applyProtection="1">
      <alignment vertical="center"/>
      <protection hidden="1"/>
    </xf>
    <xf numFmtId="0" fontId="6" fillId="22" borderId="94" xfId="126" applyFont="1" applyFill="1" applyBorder="1" applyAlignment="1">
      <alignment vertical="center"/>
    </xf>
    <xf numFmtId="1" fontId="6" fillId="0" borderId="108" xfId="126" applyNumberFormat="1" applyFont="1" applyBorder="1" applyAlignment="1">
      <alignment vertical="center" wrapText="1"/>
    </xf>
    <xf numFmtId="1" fontId="6" fillId="22" borderId="196" xfId="0" applyNumberFormat="1" applyFont="1" applyFill="1" applyBorder="1" applyAlignment="1">
      <alignment horizontal="center" vertical="center" wrapText="1"/>
    </xf>
    <xf numFmtId="1" fontId="6" fillId="22" borderId="8" xfId="0" applyNumberFormat="1" applyFont="1" applyFill="1" applyBorder="1" applyAlignment="1">
      <alignment horizontal="center" vertical="center" wrapText="1"/>
    </xf>
    <xf numFmtId="1" fontId="6" fillId="22" borderId="5" xfId="0" applyNumberFormat="1" applyFont="1" applyFill="1" applyBorder="1" applyAlignment="1">
      <alignment horizontal="center" vertical="center" wrapText="1"/>
    </xf>
    <xf numFmtId="1" fontId="6" fillId="0" borderId="10" xfId="127" applyNumberFormat="1" applyFont="1" applyBorder="1" applyProtection="1">
      <protection hidden="1"/>
    </xf>
    <xf numFmtId="1" fontId="6" fillId="15" borderId="8" xfId="14" applyNumberFormat="1" applyFont="1" applyFill="1" applyBorder="1" applyAlignment="1">
      <alignment horizontal="right"/>
      <protection locked="0"/>
    </xf>
    <xf numFmtId="1" fontId="6" fillId="0" borderId="188" xfId="125" applyNumberFormat="1" applyFont="1" applyBorder="1" applyAlignment="1">
      <alignment vertical="center" wrapText="1"/>
    </xf>
    <xf numFmtId="1" fontId="6" fillId="0" borderId="45" xfId="0" quotePrefix="1" applyNumberFormat="1" applyFont="1" applyBorder="1" applyAlignment="1">
      <alignment horizontal="left" wrapText="1"/>
    </xf>
    <xf numFmtId="1" fontId="6" fillId="15" borderId="56" xfId="125" applyNumberFormat="1" applyFont="1" applyFill="1" applyBorder="1" applyAlignment="1" applyProtection="1">
      <alignment horizontal="right"/>
      <protection locked="0"/>
    </xf>
    <xf numFmtId="1" fontId="6" fillId="20" borderId="55" xfId="125" applyNumberFormat="1" applyFont="1" applyFill="1" applyBorder="1" applyAlignment="1">
      <alignment horizontal="right"/>
    </xf>
    <xf numFmtId="1" fontId="6" fillId="15" borderId="59" xfId="125" applyNumberFormat="1" applyFont="1" applyFill="1" applyBorder="1" applyAlignment="1" applyProtection="1">
      <alignment horizontal="right"/>
      <protection locked="0"/>
    </xf>
    <xf numFmtId="1" fontId="6" fillId="15" borderId="138" xfId="125" applyNumberFormat="1" applyFont="1" applyFill="1" applyBorder="1" applyAlignment="1" applyProtection="1">
      <alignment horizontal="right"/>
      <protection locked="0"/>
    </xf>
    <xf numFmtId="1" fontId="6" fillId="0" borderId="195" xfId="125" applyNumberFormat="1" applyFont="1" applyBorder="1" applyAlignment="1">
      <alignment horizontal="right"/>
    </xf>
    <xf numFmtId="1" fontId="6" fillId="15" borderId="107" xfId="125" applyNumberFormat="1" applyFont="1" applyFill="1" applyBorder="1" applyAlignment="1" applyProtection="1">
      <alignment horizontal="right" vertical="center"/>
      <protection locked="0"/>
    </xf>
    <xf numFmtId="0" fontId="35" fillId="0" borderId="0" xfId="0" applyFont="1" applyAlignment="1">
      <alignment vertical="center"/>
    </xf>
    <xf numFmtId="1" fontId="6" fillId="15" borderId="87" xfId="125" applyNumberFormat="1" applyFont="1" applyFill="1" applyBorder="1" applyAlignment="1" applyProtection="1">
      <alignment horizontal="right"/>
      <protection locked="0"/>
    </xf>
    <xf numFmtId="1" fontId="6" fillId="15" borderId="37" xfId="125" applyNumberFormat="1" applyFont="1" applyFill="1" applyBorder="1" applyAlignment="1" applyProtection="1">
      <alignment horizontal="right"/>
      <protection locked="0"/>
    </xf>
    <xf numFmtId="1" fontId="6" fillId="0" borderId="217" xfId="125" applyNumberFormat="1" applyFont="1" applyBorder="1" applyAlignment="1">
      <alignment horizontal="right"/>
    </xf>
    <xf numFmtId="1" fontId="6" fillId="0" borderId="197" xfId="125" applyNumberFormat="1" applyFont="1" applyBorder="1" applyAlignment="1">
      <alignment horizontal="right"/>
    </xf>
    <xf numFmtId="1" fontId="6" fillId="0" borderId="211" xfId="125" applyNumberFormat="1" applyFont="1" applyBorder="1" applyAlignment="1">
      <alignment horizontal="right"/>
    </xf>
    <xf numFmtId="1" fontId="6" fillId="0" borderId="215" xfId="125" applyNumberFormat="1" applyFont="1" applyBorder="1" applyAlignment="1">
      <alignment horizontal="right"/>
    </xf>
    <xf numFmtId="1" fontId="6" fillId="15" borderId="32" xfId="0" quotePrefix="1" applyNumberFormat="1" applyFont="1" applyFill="1" applyBorder="1" applyAlignment="1" applyProtection="1">
      <alignment horizontal="right"/>
      <protection locked="0"/>
    </xf>
    <xf numFmtId="1" fontId="6" fillId="15" borderId="34" xfId="0" quotePrefix="1" applyNumberFormat="1" applyFont="1" applyFill="1" applyBorder="1" applyAlignment="1" applyProtection="1">
      <alignment horizontal="right"/>
      <protection locked="0"/>
    </xf>
    <xf numFmtId="1" fontId="6" fillId="0" borderId="186" xfId="0" applyNumberFormat="1" applyFont="1" applyBorder="1" applyAlignment="1">
      <alignment horizontal="right"/>
    </xf>
    <xf numFmtId="1" fontId="6" fillId="15" borderId="189" xfId="0" applyNumberFormat="1" applyFont="1" applyFill="1" applyBorder="1" applyAlignment="1" applyProtection="1">
      <alignment horizontal="right"/>
      <protection locked="0"/>
    </xf>
    <xf numFmtId="1" fontId="6" fillId="15" borderId="218" xfId="0" applyNumberFormat="1" applyFont="1" applyFill="1" applyBorder="1" applyAlignment="1" applyProtection="1">
      <alignment horizontal="right"/>
      <protection locked="0"/>
    </xf>
    <xf numFmtId="1" fontId="6" fillId="20" borderId="218" xfId="0" applyNumberFormat="1" applyFont="1" applyFill="1" applyBorder="1" applyAlignment="1">
      <alignment horizontal="right"/>
    </xf>
    <xf numFmtId="1" fontId="6" fillId="15" borderId="127" xfId="0" quotePrefix="1" applyNumberFormat="1" applyFont="1" applyFill="1" applyBorder="1" applyAlignment="1" applyProtection="1">
      <alignment horizontal="right"/>
      <protection locked="0"/>
    </xf>
    <xf numFmtId="1" fontId="6" fillId="15" borderId="29" xfId="0" quotePrefix="1" applyNumberFormat="1" applyFont="1" applyFill="1" applyBorder="1" applyAlignment="1" applyProtection="1">
      <alignment horizontal="right"/>
      <protection locked="0"/>
    </xf>
    <xf numFmtId="1" fontId="6" fillId="15" borderId="25" xfId="0" quotePrefix="1" applyNumberFormat="1" applyFont="1" applyFill="1" applyBorder="1" applyAlignment="1" applyProtection="1">
      <alignment horizontal="right"/>
      <protection locked="0"/>
    </xf>
    <xf numFmtId="1" fontId="6" fillId="15" borderId="27" xfId="0" quotePrefix="1" applyNumberFormat="1" applyFont="1" applyFill="1" applyBorder="1" applyAlignment="1" applyProtection="1">
      <alignment horizontal="right"/>
      <protection locked="0"/>
    </xf>
    <xf numFmtId="1" fontId="6" fillId="15" borderId="78" xfId="0" applyNumberFormat="1" applyFont="1" applyFill="1" applyBorder="1" applyAlignment="1" applyProtection="1">
      <alignment horizontal="right"/>
      <protection locked="0"/>
    </xf>
    <xf numFmtId="1" fontId="6" fillId="15" borderId="219" xfId="0" applyNumberFormat="1" applyFont="1" applyFill="1" applyBorder="1" applyAlignment="1" applyProtection="1">
      <alignment horizontal="right"/>
      <protection locked="0"/>
    </xf>
    <xf numFmtId="1" fontId="6" fillId="0" borderId="213" xfId="0" applyNumberFormat="1" applyFont="1" applyBorder="1" applyAlignment="1">
      <alignment horizontal="right"/>
    </xf>
    <xf numFmtId="1" fontId="6" fillId="0" borderId="220" xfId="0" applyNumberFormat="1" applyFont="1" applyBorder="1" applyAlignment="1">
      <alignment horizontal="right"/>
    </xf>
    <xf numFmtId="1" fontId="6" fillId="15" borderId="31" xfId="0" quotePrefix="1" applyNumberFormat="1" applyFont="1" applyFill="1" applyBorder="1" applyAlignment="1" applyProtection="1">
      <alignment horizontal="right"/>
      <protection locked="0"/>
    </xf>
    <xf numFmtId="1" fontId="6" fillId="15" borderId="85" xfId="0" quotePrefix="1" applyNumberFormat="1" applyFont="1" applyFill="1" applyBorder="1" applyAlignment="1" applyProtection="1">
      <alignment horizontal="right"/>
      <protection locked="0"/>
    </xf>
    <xf numFmtId="1" fontId="6" fillId="15" borderId="24" xfId="0" quotePrefix="1" applyNumberFormat="1" applyFont="1" applyFill="1" applyBorder="1" applyAlignment="1" applyProtection="1">
      <alignment horizontal="right"/>
      <protection locked="0"/>
    </xf>
    <xf numFmtId="1" fontId="6" fillId="15" borderId="78" xfId="0" quotePrefix="1" applyNumberFormat="1" applyFont="1" applyFill="1" applyBorder="1" applyAlignment="1" applyProtection="1">
      <alignment horizontal="right"/>
      <protection locked="0"/>
    </xf>
    <xf numFmtId="1" fontId="6" fillId="0" borderId="189" xfId="0" applyNumberFormat="1" applyFont="1" applyBorder="1" applyAlignment="1">
      <alignment horizontal="center" vertical="center" wrapText="1"/>
    </xf>
    <xf numFmtId="1" fontId="6" fillId="0" borderId="218" xfId="0" quotePrefix="1" applyNumberFormat="1" applyFont="1" applyBorder="1" applyAlignment="1">
      <alignment horizontal="center" vertical="center"/>
    </xf>
    <xf numFmtId="1" fontId="6" fillId="0" borderId="218" xfId="0" applyNumberFormat="1" applyFont="1" applyBorder="1" applyAlignment="1">
      <alignment horizontal="center" vertical="center"/>
    </xf>
    <xf numFmtId="1" fontId="6" fillId="0" borderId="158" xfId="0" applyNumberFormat="1" applyFont="1" applyBorder="1" applyAlignment="1">
      <alignment horizontal="center" vertical="center" wrapText="1"/>
    </xf>
    <xf numFmtId="1" fontId="6" fillId="20" borderId="56" xfId="0" applyNumberFormat="1" applyFont="1" applyFill="1" applyBorder="1" applyAlignment="1">
      <alignment horizontal="right"/>
    </xf>
    <xf numFmtId="1" fontId="6" fillId="20" borderId="152" xfId="0" applyNumberFormat="1" applyFont="1" applyFill="1" applyBorder="1" applyAlignment="1">
      <alignment horizontal="right"/>
    </xf>
    <xf numFmtId="1" fontId="6" fillId="20" borderId="59" xfId="0" applyNumberFormat="1" applyFont="1" applyFill="1" applyBorder="1" applyAlignment="1">
      <alignment horizontal="right"/>
    </xf>
    <xf numFmtId="1" fontId="6" fillId="20" borderId="221" xfId="0" applyNumberFormat="1" applyFont="1" applyFill="1" applyBorder="1" applyAlignment="1">
      <alignment horizontal="right"/>
    </xf>
    <xf numFmtId="1" fontId="6" fillId="20" borderId="138" xfId="0" applyNumberFormat="1" applyFont="1" applyFill="1" applyBorder="1" applyAlignment="1">
      <alignment horizontal="right"/>
    </xf>
    <xf numFmtId="1" fontId="6" fillId="0" borderId="217" xfId="0" applyNumberFormat="1" applyFont="1" applyBorder="1" applyAlignment="1">
      <alignment horizontal="right"/>
    </xf>
    <xf numFmtId="1" fontId="6" fillId="15" borderId="223" xfId="0" applyNumberFormat="1" applyFont="1" applyFill="1" applyBorder="1" applyAlignment="1" applyProtection="1">
      <alignment horizontal="right"/>
      <protection locked="0"/>
    </xf>
    <xf numFmtId="1" fontId="6" fillId="20" borderId="63" xfId="0" applyNumberFormat="1" applyFont="1" applyFill="1" applyBorder="1" applyAlignment="1">
      <alignment horizontal="right"/>
    </xf>
    <xf numFmtId="1" fontId="6" fillId="20" borderId="214" xfId="0" applyNumberFormat="1" applyFont="1" applyFill="1" applyBorder="1" applyAlignment="1">
      <alignment horizontal="right"/>
    </xf>
    <xf numFmtId="1" fontId="6" fillId="20" borderId="213" xfId="0" applyNumberFormat="1" applyFont="1" applyFill="1" applyBorder="1" applyAlignment="1">
      <alignment horizontal="right"/>
    </xf>
    <xf numFmtId="1" fontId="6" fillId="20" borderId="222" xfId="0" applyNumberFormat="1" applyFont="1" applyFill="1" applyBorder="1" applyAlignment="1">
      <alignment horizontal="right"/>
    </xf>
    <xf numFmtId="0" fontId="6" fillId="0" borderId="11" xfId="0" applyFont="1" applyBorder="1" applyAlignment="1">
      <alignment horizontal="center" vertical="center"/>
    </xf>
    <xf numFmtId="1" fontId="6" fillId="0" borderId="11" xfId="0" applyNumberFormat="1" applyFont="1" applyBorder="1" applyAlignment="1" applyProtection="1">
      <alignment vertical="center" wrapText="1"/>
      <protection hidden="1"/>
    </xf>
    <xf numFmtId="1" fontId="6" fillId="0" borderId="75" xfId="0" applyNumberFormat="1" applyFont="1" applyBorder="1" applyAlignment="1" applyProtection="1">
      <alignment vertical="center" wrapText="1"/>
      <protection hidden="1"/>
    </xf>
    <xf numFmtId="1" fontId="6" fillId="0" borderId="11" xfId="0" applyNumberFormat="1" applyFont="1" applyBorder="1" applyAlignment="1" applyProtection="1">
      <alignment horizontal="left" vertical="center" wrapText="1"/>
      <protection hidden="1"/>
    </xf>
    <xf numFmtId="1" fontId="6" fillId="0" borderId="30" xfId="0" applyNumberFormat="1" applyFont="1" applyBorder="1" applyAlignment="1" applyProtection="1">
      <alignment vertical="center" wrapText="1"/>
      <protection hidden="1"/>
    </xf>
    <xf numFmtId="1" fontId="6" fillId="17" borderId="29" xfId="0" applyNumberFormat="1" applyFont="1" applyFill="1" applyBorder="1" applyAlignment="1" applyProtection="1">
      <alignment vertical="center" wrapText="1"/>
      <protection hidden="1"/>
    </xf>
    <xf numFmtId="1" fontId="6" fillId="0" borderId="210" xfId="0" applyNumberFormat="1" applyFont="1" applyBorder="1" applyAlignment="1" applyProtection="1">
      <alignment horizontal="center" vertical="center" wrapText="1"/>
      <protection hidden="1"/>
    </xf>
    <xf numFmtId="0" fontId="14" fillId="0" borderId="216" xfId="0" applyFont="1" applyBorder="1" applyAlignment="1">
      <alignment vertical="center"/>
    </xf>
    <xf numFmtId="0" fontId="14" fillId="0" borderId="211" xfId="0" applyFont="1" applyBorder="1" applyAlignment="1">
      <alignment vertical="center"/>
    </xf>
    <xf numFmtId="0" fontId="6" fillId="0" borderId="119" xfId="0" applyFont="1" applyBorder="1" applyAlignment="1">
      <alignment horizontal="center" vertical="center" wrapText="1"/>
    </xf>
    <xf numFmtId="0" fontId="6" fillId="0" borderId="209" xfId="0" applyFont="1" applyBorder="1" applyAlignment="1">
      <alignment horizontal="center" vertical="center" wrapText="1"/>
    </xf>
    <xf numFmtId="0" fontId="6" fillId="0" borderId="35" xfId="0" applyFont="1" applyBorder="1" applyAlignment="1">
      <alignment horizontal="center" vertical="center"/>
    </xf>
    <xf numFmtId="0" fontId="6" fillId="0" borderId="209" xfId="0" applyFont="1" applyBorder="1" applyAlignment="1">
      <alignment horizontal="right" vertical="center"/>
    </xf>
    <xf numFmtId="0" fontId="6" fillId="20" borderId="209" xfId="0" applyFont="1" applyFill="1" applyBorder="1" applyAlignment="1">
      <alignment horizontal="right" vertical="center" wrapText="1"/>
    </xf>
    <xf numFmtId="0" fontId="6" fillId="0" borderId="207" xfId="0" applyFont="1" applyBorder="1" applyAlignment="1">
      <alignment horizontal="center" vertical="center" wrapText="1"/>
    </xf>
    <xf numFmtId="0" fontId="6" fillId="0" borderId="207" xfId="0" applyFont="1" applyBorder="1" applyAlignment="1">
      <alignment horizontal="right" vertical="center"/>
    </xf>
    <xf numFmtId="0" fontId="6" fillId="20" borderId="207" xfId="0" applyFont="1" applyFill="1" applyBorder="1" applyAlignment="1">
      <alignment horizontal="right" vertical="center"/>
    </xf>
    <xf numFmtId="0" fontId="6" fillId="0" borderId="209" xfId="0" applyFont="1" applyBorder="1" applyAlignment="1">
      <alignment horizontal="right" vertical="center" wrapText="1"/>
    </xf>
    <xf numFmtId="0" fontId="6" fillId="0" borderId="119" xfId="0" applyFont="1" applyBorder="1" applyAlignment="1">
      <alignment horizontal="right" vertical="center" wrapText="1"/>
    </xf>
    <xf numFmtId="1" fontId="6" fillId="0" borderId="191" xfId="126" applyNumberFormat="1" applyFont="1" applyBorder="1" applyAlignment="1" applyProtection="1">
      <alignment horizontal="center" vertical="center" wrapText="1"/>
      <protection hidden="1"/>
    </xf>
    <xf numFmtId="1" fontId="6" fillId="20" borderId="106" xfId="0" applyNumberFormat="1" applyFont="1" applyFill="1" applyBorder="1" applyAlignment="1">
      <alignment horizontal="right"/>
    </xf>
    <xf numFmtId="0" fontId="6" fillId="20" borderId="67" xfId="0" applyFont="1" applyFill="1" applyBorder="1" applyAlignment="1">
      <alignment horizontal="right"/>
    </xf>
    <xf numFmtId="0" fontId="6" fillId="20" borderId="27" xfId="0" applyFont="1" applyFill="1" applyBorder="1" applyAlignment="1">
      <alignment horizontal="right"/>
    </xf>
    <xf numFmtId="0" fontId="6" fillId="20" borderId="68" xfId="0" applyFont="1" applyFill="1" applyBorder="1" applyAlignment="1">
      <alignment horizontal="right"/>
    </xf>
    <xf numFmtId="0" fontId="6" fillId="20" borderId="39" xfId="0" applyFont="1" applyFill="1" applyBorder="1" applyAlignment="1">
      <alignment horizontal="right"/>
    </xf>
    <xf numFmtId="0" fontId="6" fillId="20" borderId="59" xfId="0" applyFont="1" applyFill="1" applyBorder="1" applyAlignment="1">
      <alignment horizontal="right"/>
    </xf>
    <xf numFmtId="1" fontId="6" fillId="20" borderId="25" xfId="123" applyNumberFormat="1" applyFont="1" applyFill="1" applyBorder="1" applyAlignment="1">
      <alignment horizontal="right"/>
    </xf>
    <xf numFmtId="1" fontId="6" fillId="20" borderId="127" xfId="123" applyNumberFormat="1" applyFont="1" applyFill="1" applyBorder="1" applyAlignment="1">
      <alignment horizontal="right"/>
    </xf>
    <xf numFmtId="1" fontId="6" fillId="0" borderId="10" xfId="0" applyNumberFormat="1" applyFont="1" applyBorder="1" applyAlignment="1">
      <alignment horizontal="right"/>
    </xf>
    <xf numFmtId="1" fontId="6" fillId="0" borderId="218" xfId="0" applyNumberFormat="1" applyFont="1" applyBorder="1" applyAlignment="1">
      <alignment horizontal="right"/>
    </xf>
    <xf numFmtId="0" fontId="3" fillId="14" borderId="218" xfId="124" applyFont="1" applyFill="1" applyBorder="1" applyAlignment="1" applyProtection="1">
      <alignment horizontal="center"/>
      <protection locked="0"/>
    </xf>
    <xf numFmtId="0" fontId="3" fillId="14" borderId="219" xfId="124" applyFont="1" applyFill="1" applyBorder="1" applyAlignment="1" applyProtection="1">
      <alignment horizontal="center"/>
      <protection locked="0"/>
    </xf>
    <xf numFmtId="0" fontId="3" fillId="0" borderId="0" xfId="124" applyFont="1" applyBorder="1" applyAlignment="1" applyProtection="1">
      <alignment horizontal="center"/>
      <protection locked="0"/>
    </xf>
    <xf numFmtId="0" fontId="3" fillId="14" borderId="207" xfId="124" applyFont="1" applyFill="1" applyBorder="1" applyAlignment="1" applyProtection="1">
      <alignment horizontal="center"/>
      <protection locked="0"/>
    </xf>
    <xf numFmtId="1" fontId="6" fillId="0" borderId="23" xfId="125" applyNumberFormat="1" applyFont="1" applyBorder="1" applyAlignment="1">
      <alignment horizontal="center" vertical="center" wrapText="1"/>
    </xf>
    <xf numFmtId="1" fontId="6" fillId="0" borderId="0" xfId="126" applyNumberFormat="1" applyFont="1" applyAlignment="1" applyProtection="1">
      <alignment horizontal="right"/>
      <protection hidden="1"/>
    </xf>
    <xf numFmtId="1" fontId="6" fillId="0" borderId="228" xfId="126" applyNumberFormat="1" applyFont="1" applyBorder="1" applyAlignment="1" applyProtection="1">
      <alignment horizontal="center" vertical="center"/>
      <protection hidden="1"/>
    </xf>
    <xf numFmtId="1" fontId="6" fillId="0" borderId="0" xfId="126" applyNumberFormat="1" applyFont="1" applyAlignment="1">
      <alignment horizontal="right"/>
    </xf>
    <xf numFmtId="1" fontId="6" fillId="20" borderId="105" xfId="14" applyNumberFormat="1" applyFont="1" applyFill="1" applyBorder="1" applyAlignment="1" applyProtection="1">
      <alignment horizontal="right"/>
    </xf>
    <xf numFmtId="1" fontId="6" fillId="20" borderId="106" xfId="14" applyNumberFormat="1" applyFont="1" applyFill="1" applyBorder="1" applyAlignment="1" applyProtection="1">
      <alignment horizontal="right"/>
    </xf>
    <xf numFmtId="1" fontId="6" fillId="20" borderId="69" xfId="14" applyNumberFormat="1" applyFont="1" applyFill="1" applyBorder="1" applyAlignment="1" applyProtection="1">
      <alignment horizontal="right"/>
    </xf>
    <xf numFmtId="1" fontId="6" fillId="20" borderId="68" xfId="14" applyNumberFormat="1" applyFont="1" applyFill="1" applyBorder="1" applyAlignment="1" applyProtection="1">
      <alignment horizontal="right"/>
    </xf>
    <xf numFmtId="1" fontId="6" fillId="0" borderId="219" xfId="109" applyNumberFormat="1" applyFont="1" applyBorder="1" applyAlignment="1">
      <alignment horizontal="center" vertical="center" wrapText="1"/>
    </xf>
    <xf numFmtId="1" fontId="6" fillId="0" borderId="219" xfId="126" applyNumberFormat="1" applyFont="1" applyBorder="1" applyAlignment="1" applyProtection="1">
      <alignment horizontal="center" vertical="center"/>
      <protection hidden="1"/>
    </xf>
    <xf numFmtId="1" fontId="6" fillId="0" borderId="218" xfId="126" applyNumberFormat="1" applyFont="1" applyBorder="1" applyAlignment="1" applyProtection="1">
      <alignment horizontal="center" vertical="center"/>
      <protection hidden="1"/>
    </xf>
    <xf numFmtId="1" fontId="6" fillId="0" borderId="122" xfId="126" applyNumberFormat="1" applyFont="1" applyBorder="1" applyAlignment="1" applyProtection="1">
      <alignment horizontal="center" vertical="center"/>
      <protection hidden="1"/>
    </xf>
    <xf numFmtId="1" fontId="6" fillId="0" borderId="27" xfId="126" applyNumberFormat="1" applyFont="1" applyBorder="1" applyAlignment="1">
      <alignment horizontal="right"/>
    </xf>
    <xf numFmtId="1" fontId="6" fillId="0" borderId="127" xfId="126" applyNumberFormat="1" applyFont="1" applyBorder="1" applyAlignment="1">
      <alignment horizontal="right"/>
    </xf>
    <xf numFmtId="1" fontId="6" fillId="0" borderId="29" xfId="126" applyNumberFormat="1" applyFont="1" applyBorder="1" applyAlignment="1">
      <alignment horizontal="right"/>
    </xf>
    <xf numFmtId="1" fontId="6" fillId="0" borderId="128" xfId="126" applyNumberFormat="1" applyFont="1" applyBorder="1" applyAlignment="1">
      <alignment horizontal="right"/>
    </xf>
    <xf numFmtId="1" fontId="6" fillId="0" borderId="6" xfId="126" applyNumberFormat="1" applyFont="1" applyBorder="1" applyAlignment="1">
      <alignment horizontal="right"/>
    </xf>
    <xf numFmtId="1" fontId="6" fillId="0" borderId="229" xfId="126" applyNumberFormat="1" applyFont="1" applyBorder="1" applyAlignment="1" applyProtection="1">
      <alignment horizontal="center" vertical="center"/>
      <protection hidden="1"/>
    </xf>
    <xf numFmtId="1" fontId="6" fillId="24" borderId="88" xfId="126" applyNumberFormat="1" applyFont="1" applyFill="1" applyBorder="1" applyAlignment="1" applyProtection="1">
      <alignment horizontal="right"/>
      <protection locked="0"/>
    </xf>
    <xf numFmtId="1" fontId="6" fillId="24" borderId="141" xfId="126" applyNumberFormat="1" applyFont="1" applyFill="1" applyBorder="1" applyAlignment="1" applyProtection="1">
      <alignment horizontal="right"/>
      <protection locked="0"/>
    </xf>
    <xf numFmtId="1" fontId="6" fillId="24" borderId="59" xfId="126" applyNumberFormat="1" applyFont="1" applyFill="1" applyBorder="1" applyAlignment="1" applyProtection="1">
      <alignment horizontal="right"/>
      <protection locked="0"/>
    </xf>
    <xf numFmtId="1" fontId="6" fillId="0" borderId="97" xfId="126" applyNumberFormat="1" applyFont="1" applyBorder="1" applyAlignment="1">
      <alignment horizontal="right"/>
    </xf>
    <xf numFmtId="1" fontId="6" fillId="20" borderId="24" xfId="126" applyNumberFormat="1" applyFont="1" applyFill="1" applyBorder="1" applyAlignment="1">
      <alignment horizontal="right"/>
    </xf>
    <xf numFmtId="1" fontId="6" fillId="20" borderId="56" xfId="126" applyNumberFormat="1" applyFont="1" applyFill="1" applyBorder="1" applyAlignment="1">
      <alignment horizontal="right"/>
    </xf>
    <xf numFmtId="1" fontId="6" fillId="20" borderId="104" xfId="126" applyNumberFormat="1" applyFont="1" applyFill="1" applyBorder="1" applyAlignment="1">
      <alignment horizontal="right"/>
    </xf>
    <xf numFmtId="1" fontId="6" fillId="21" borderId="11" xfId="0" applyNumberFormat="1" applyFont="1" applyFill="1" applyBorder="1" applyAlignment="1">
      <alignment horizontal="center" vertical="center" wrapText="1"/>
    </xf>
    <xf numFmtId="1" fontId="6" fillId="21" borderId="0" xfId="126" applyNumberFormat="1" applyFont="1" applyFill="1" applyAlignment="1" applyProtection="1">
      <alignment horizontal="center" vertical="center" wrapText="1"/>
      <protection hidden="1"/>
    </xf>
    <xf numFmtId="1" fontId="6" fillId="15" borderId="36" xfId="125" applyNumberFormat="1" applyFont="1" applyFill="1" applyBorder="1" applyAlignment="1" applyProtection="1">
      <alignment horizontal="right" vertical="center"/>
      <protection locked="0"/>
    </xf>
    <xf numFmtId="1" fontId="6" fillId="0" borderId="92" xfId="125" applyNumberFormat="1" applyFont="1" applyBorder="1" applyAlignment="1">
      <alignment horizontal="right"/>
    </xf>
    <xf numFmtId="1" fontId="6" fillId="0" borderId="69" xfId="125" applyNumberFormat="1" applyFont="1" applyBorder="1" applyAlignment="1">
      <alignment horizontal="right"/>
    </xf>
    <xf numFmtId="1" fontId="6" fillId="0" borderId="69" xfId="125" applyNumberFormat="1" applyFont="1" applyBorder="1" applyAlignment="1">
      <alignment horizontal="right" vertical="center"/>
    </xf>
    <xf numFmtId="1" fontId="6" fillId="0" borderId="105" xfId="125" applyNumberFormat="1" applyFont="1" applyBorder="1" applyAlignment="1">
      <alignment horizontal="right"/>
    </xf>
    <xf numFmtId="1" fontId="6" fillId="0" borderId="219" xfId="125" applyNumberFormat="1" applyFont="1" applyBorder="1" applyAlignment="1">
      <alignment horizontal="center" vertical="center" wrapText="1"/>
    </xf>
    <xf numFmtId="1" fontId="30" fillId="27" borderId="0" xfId="0" applyNumberFormat="1" applyFont="1" applyFill="1"/>
    <xf numFmtId="1" fontId="6" fillId="22" borderId="29" xfId="0" applyNumberFormat="1" applyFont="1" applyFill="1" applyBorder="1" applyAlignment="1">
      <alignment horizontal="center" vertical="center"/>
    </xf>
    <xf numFmtId="1" fontId="6" fillId="21" borderId="193" xfId="0" applyNumberFormat="1" applyFont="1" applyFill="1" applyBorder="1" applyAlignment="1">
      <alignment horizontal="center" vertical="center" wrapText="1"/>
    </xf>
    <xf numFmtId="1" fontId="6" fillId="0" borderId="228" xfId="0" applyNumberFormat="1" applyFont="1" applyBorder="1"/>
    <xf numFmtId="1" fontId="10" fillId="0" borderId="1" xfId="125" applyNumberFormat="1" applyFont="1" applyBorder="1"/>
    <xf numFmtId="1" fontId="6" fillId="22" borderId="67" xfId="125" applyNumberFormat="1" applyFont="1" applyFill="1" applyBorder="1" applyAlignment="1">
      <alignment horizontal="right"/>
    </xf>
    <xf numFmtId="1" fontId="6" fillId="22" borderId="86" xfId="125" applyNumberFormat="1" applyFont="1" applyFill="1" applyBorder="1" applyAlignment="1">
      <alignment horizontal="right"/>
    </xf>
    <xf numFmtId="1" fontId="6" fillId="22" borderId="103" xfId="125" applyNumberFormat="1" applyFont="1" applyFill="1" applyBorder="1" applyAlignment="1">
      <alignment horizontal="right"/>
    </xf>
    <xf numFmtId="1" fontId="6" fillId="17" borderId="67" xfId="0" applyNumberFormat="1" applyFont="1" applyFill="1" applyBorder="1" applyAlignment="1">
      <alignment horizontal="center" vertical="center" wrapText="1"/>
    </xf>
    <xf numFmtId="1" fontId="6" fillId="22" borderId="25" xfId="0" applyNumberFormat="1" applyFont="1" applyFill="1" applyBorder="1" applyAlignment="1">
      <alignment horizontal="center" vertical="center"/>
    </xf>
    <xf numFmtId="1" fontId="6" fillId="22" borderId="27" xfId="0" applyNumberFormat="1" applyFont="1" applyFill="1" applyBorder="1" applyAlignment="1">
      <alignment horizontal="center" vertical="center"/>
    </xf>
    <xf numFmtId="1" fontId="6" fillId="17" borderId="68" xfId="0" applyNumberFormat="1" applyFont="1" applyFill="1" applyBorder="1" applyAlignment="1">
      <alignment horizontal="center" vertical="center" wrapText="1"/>
    </xf>
    <xf numFmtId="1" fontId="6" fillId="22" borderId="21" xfId="0" applyNumberFormat="1" applyFont="1" applyFill="1" applyBorder="1" applyAlignment="1">
      <alignment horizontal="center" vertical="center"/>
    </xf>
    <xf numFmtId="1" fontId="6" fillId="22" borderId="39" xfId="0" applyNumberFormat="1" applyFont="1" applyFill="1" applyBorder="1" applyAlignment="1">
      <alignment horizontal="center" vertical="center"/>
    </xf>
    <xf numFmtId="1" fontId="6" fillId="17" borderId="82" xfId="0" applyNumberFormat="1" applyFont="1" applyFill="1" applyBorder="1" applyAlignment="1">
      <alignment horizontal="center" vertical="center" wrapText="1"/>
    </xf>
    <xf numFmtId="1" fontId="6" fillId="22" borderId="127" xfId="0" applyNumberFormat="1" applyFont="1" applyFill="1" applyBorder="1" applyAlignment="1">
      <alignment horizontal="center" vertical="center"/>
    </xf>
    <xf numFmtId="1" fontId="6" fillId="17" borderId="91" xfId="0" applyNumberFormat="1" applyFont="1" applyFill="1" applyBorder="1" applyAlignment="1">
      <alignment horizontal="center" vertical="center" wrapText="1"/>
    </xf>
    <xf numFmtId="1" fontId="6" fillId="22" borderId="32" xfId="0" applyNumberFormat="1" applyFont="1" applyFill="1" applyBorder="1" applyAlignment="1">
      <alignment horizontal="center" vertical="center"/>
    </xf>
    <xf numFmtId="1" fontId="6" fillId="22" borderId="34" xfId="0" applyNumberFormat="1" applyFont="1" applyFill="1" applyBorder="1" applyAlignment="1">
      <alignment horizontal="center" vertical="center"/>
    </xf>
    <xf numFmtId="1" fontId="6" fillId="21" borderId="207" xfId="0" applyNumberFormat="1" applyFont="1" applyFill="1" applyBorder="1"/>
    <xf numFmtId="1" fontId="6" fillId="21" borderId="207" xfId="0" applyNumberFormat="1" applyFont="1" applyFill="1" applyBorder="1" applyAlignment="1">
      <alignment horizontal="center" vertical="center"/>
    </xf>
    <xf numFmtId="1" fontId="6" fillId="21" borderId="207" xfId="0" applyNumberFormat="1" applyFont="1" applyFill="1" applyBorder="1" applyAlignment="1">
      <alignment horizontal="center" vertical="center" wrapText="1"/>
    </xf>
    <xf numFmtId="1" fontId="6" fillId="30" borderId="207" xfId="0" applyNumberFormat="1" applyFont="1" applyFill="1" applyBorder="1"/>
    <xf numFmtId="1" fontId="6" fillId="22" borderId="67" xfId="0" applyNumberFormat="1" applyFont="1" applyFill="1" applyBorder="1" applyAlignment="1">
      <alignment horizontal="right" wrapText="1"/>
    </xf>
    <xf numFmtId="1" fontId="6" fillId="15" borderId="24" xfId="73" applyNumberFormat="1" applyFont="1" applyFill="1" applyBorder="1" applyAlignment="1" applyProtection="1">
      <alignment horizontal="right"/>
      <protection locked="0"/>
    </xf>
    <xf numFmtId="1" fontId="6" fillId="15" borderId="87" xfId="73" applyNumberFormat="1" applyFont="1" applyFill="1" applyBorder="1" applyAlignment="1" applyProtection="1">
      <alignment horizontal="right"/>
      <protection locked="0"/>
    </xf>
    <xf numFmtId="1" fontId="6" fillId="24" borderId="67" xfId="125" applyNumberFormat="1" applyFont="1" applyFill="1" applyBorder="1" applyAlignment="1" applyProtection="1">
      <alignment horizontal="right"/>
      <protection locked="0"/>
    </xf>
    <xf numFmtId="1" fontId="6" fillId="24" borderId="27" xfId="125" applyNumberFormat="1" applyFont="1" applyFill="1" applyBorder="1" applyAlignment="1" applyProtection="1">
      <alignment horizontal="right"/>
      <protection locked="0"/>
    </xf>
    <xf numFmtId="1" fontId="6" fillId="24" borderId="120" xfId="125" applyNumberFormat="1" applyFont="1" applyFill="1" applyBorder="1" applyAlignment="1" applyProtection="1">
      <alignment horizontal="right"/>
      <protection locked="0"/>
    </xf>
    <xf numFmtId="1" fontId="6" fillId="24" borderId="103" xfId="125" applyNumberFormat="1" applyFont="1" applyFill="1" applyBorder="1" applyAlignment="1" applyProtection="1">
      <alignment horizontal="right"/>
      <protection locked="0"/>
    </xf>
    <xf numFmtId="1" fontId="6" fillId="24" borderId="82" xfId="125" applyNumberFormat="1" applyFont="1" applyFill="1" applyBorder="1" applyAlignment="1" applyProtection="1">
      <alignment horizontal="right"/>
      <protection locked="0"/>
    </xf>
    <xf numFmtId="1" fontId="6" fillId="24" borderId="29" xfId="125" applyNumberFormat="1" applyFont="1" applyFill="1" applyBorder="1" applyAlignment="1" applyProtection="1">
      <alignment horizontal="right"/>
      <protection locked="0"/>
    </xf>
    <xf numFmtId="1" fontId="6" fillId="24" borderId="6" xfId="125" applyNumberFormat="1" applyFont="1" applyFill="1" applyBorder="1" applyAlignment="1" applyProtection="1">
      <alignment horizontal="right"/>
      <protection locked="0"/>
    </xf>
    <xf numFmtId="1" fontId="6" fillId="24" borderId="84" xfId="125" applyNumberFormat="1" applyFont="1" applyFill="1" applyBorder="1" applyAlignment="1" applyProtection="1">
      <alignment horizontal="right"/>
      <protection locked="0"/>
    </xf>
    <xf numFmtId="1" fontId="6" fillId="24" borderId="68" xfId="125" applyNumberFormat="1" applyFont="1" applyFill="1" applyBorder="1" applyAlignment="1" applyProtection="1">
      <alignment horizontal="right"/>
      <protection locked="0"/>
    </xf>
    <xf numFmtId="1" fontId="6" fillId="24" borderId="39" xfId="125" applyNumberFormat="1" applyFont="1" applyFill="1" applyBorder="1" applyAlignment="1" applyProtection="1">
      <alignment horizontal="right"/>
      <protection locked="0"/>
    </xf>
    <xf numFmtId="1" fontId="6" fillId="24" borderId="125" xfId="125" applyNumberFormat="1" applyFont="1" applyFill="1" applyBorder="1" applyAlignment="1" applyProtection="1">
      <alignment horizontal="right"/>
      <protection locked="0"/>
    </xf>
    <xf numFmtId="1" fontId="6" fillId="24" borderId="95" xfId="125" applyNumberFormat="1" applyFont="1" applyFill="1" applyBorder="1" applyAlignment="1" applyProtection="1">
      <alignment horizontal="right"/>
      <protection locked="0"/>
    </xf>
    <xf numFmtId="1" fontId="6" fillId="24" borderId="106" xfId="125" applyNumberFormat="1" applyFont="1" applyFill="1" applyBorder="1" applyAlignment="1" applyProtection="1">
      <alignment horizontal="right"/>
      <protection locked="0"/>
    </xf>
    <xf numFmtId="1" fontId="6" fillId="24" borderId="124" xfId="125" applyNumberFormat="1" applyFont="1" applyFill="1" applyBorder="1" applyAlignment="1" applyProtection="1">
      <alignment horizontal="right"/>
      <protection locked="0"/>
    </xf>
    <xf numFmtId="1" fontId="6" fillId="24" borderId="126" xfId="125" applyNumberFormat="1" applyFont="1" applyFill="1" applyBorder="1" applyAlignment="1" applyProtection="1">
      <alignment horizontal="right"/>
      <protection locked="0"/>
    </xf>
    <xf numFmtId="1" fontId="6" fillId="24" borderId="133" xfId="125" applyNumberFormat="1" applyFont="1" applyFill="1" applyBorder="1" applyAlignment="1" applyProtection="1">
      <alignment horizontal="right"/>
      <protection locked="0"/>
    </xf>
    <xf numFmtId="1" fontId="6" fillId="24" borderId="7" xfId="125" applyNumberFormat="1" applyFont="1" applyFill="1" applyBorder="1" applyAlignment="1" applyProtection="1">
      <alignment horizontal="right"/>
      <protection locked="0"/>
    </xf>
    <xf numFmtId="1" fontId="6" fillId="24" borderId="209" xfId="125" applyNumberFormat="1" applyFont="1" applyFill="1" applyBorder="1" applyAlignment="1" applyProtection="1">
      <alignment horizontal="right"/>
      <protection locked="0"/>
    </xf>
    <xf numFmtId="1" fontId="6" fillId="24" borderId="191" xfId="125" applyNumberFormat="1" applyFont="1" applyFill="1" applyBorder="1" applyAlignment="1" applyProtection="1">
      <alignment horizontal="right"/>
      <protection locked="0"/>
    </xf>
    <xf numFmtId="1" fontId="6" fillId="24" borderId="81" xfId="125" applyNumberFormat="1" applyFont="1" applyFill="1" applyBorder="1" applyAlignment="1" applyProtection="1">
      <alignment horizontal="right"/>
      <protection locked="0"/>
    </xf>
    <xf numFmtId="0" fontId="6" fillId="24" borderId="30" xfId="0" applyFont="1" applyFill="1" applyBorder="1" applyAlignment="1" applyProtection="1">
      <alignment horizontal="right" vertical="center"/>
      <protection locked="0"/>
    </xf>
    <xf numFmtId="0" fontId="6" fillId="24" borderId="27" xfId="0" applyFont="1" applyFill="1" applyBorder="1" applyAlignment="1" applyProtection="1">
      <alignment horizontal="right" vertical="center"/>
      <protection locked="0"/>
    </xf>
    <xf numFmtId="0" fontId="6" fillId="24" borderId="54" xfId="0" applyFont="1" applyFill="1" applyBorder="1" applyAlignment="1" applyProtection="1">
      <alignment horizontal="right" vertical="center"/>
      <protection locked="0"/>
    </xf>
    <xf numFmtId="0" fontId="6" fillId="24" borderId="35" xfId="0" applyFont="1" applyFill="1" applyBorder="1" applyAlignment="1" applyProtection="1">
      <alignment horizontal="right" vertical="center"/>
      <protection locked="0"/>
    </xf>
    <xf numFmtId="0" fontId="6" fillId="24" borderId="39" xfId="0" applyFont="1" applyFill="1" applyBorder="1" applyAlignment="1" applyProtection="1">
      <alignment horizontal="right" vertical="center"/>
      <protection locked="0"/>
    </xf>
    <xf numFmtId="0" fontId="6" fillId="24" borderId="57" xfId="0" applyFont="1" applyFill="1" applyBorder="1" applyAlignment="1" applyProtection="1">
      <alignment horizontal="right" vertical="center"/>
      <protection locked="0"/>
    </xf>
    <xf numFmtId="0" fontId="6" fillId="24" borderId="11" xfId="0" applyFont="1" applyFill="1" applyBorder="1" applyAlignment="1" applyProtection="1">
      <alignment horizontal="right" vertical="center"/>
      <protection locked="0"/>
    </xf>
    <xf numFmtId="0" fontId="6" fillId="24" borderId="29" xfId="0" applyFont="1" applyFill="1" applyBorder="1" applyAlignment="1" applyProtection="1">
      <alignment horizontal="right" vertical="center"/>
      <protection locked="0"/>
    </xf>
    <xf numFmtId="0" fontId="6" fillId="24" borderId="163" xfId="0" applyFont="1" applyFill="1" applyBorder="1" applyAlignment="1" applyProtection="1">
      <alignment horizontal="right" vertical="center"/>
      <protection locked="0"/>
    </xf>
    <xf numFmtId="0" fontId="6" fillId="24" borderId="209" xfId="0" applyFont="1" applyFill="1" applyBorder="1" applyAlignment="1" applyProtection="1">
      <alignment horizontal="right" vertical="center"/>
      <protection locked="0"/>
    </xf>
    <xf numFmtId="0" fontId="6" fillId="24" borderId="119" xfId="0" applyFont="1" applyFill="1" applyBorder="1" applyAlignment="1" applyProtection="1">
      <alignment horizontal="right" vertical="center"/>
      <protection locked="0"/>
    </xf>
    <xf numFmtId="0" fontId="6" fillId="24" borderId="207" xfId="0" applyFont="1" applyFill="1" applyBorder="1" applyAlignment="1" applyProtection="1">
      <alignment horizontal="right" vertical="center"/>
      <protection locked="0"/>
    </xf>
    <xf numFmtId="1" fontId="6" fillId="20" borderId="67" xfId="125" applyNumberFormat="1" applyFont="1" applyFill="1" applyBorder="1" applyAlignment="1">
      <alignment horizontal="right"/>
    </xf>
    <xf numFmtId="1" fontId="6" fillId="20" borderId="27" xfId="125" applyNumberFormat="1" applyFont="1" applyFill="1" applyBorder="1" applyAlignment="1">
      <alignment horizontal="right"/>
    </xf>
    <xf numFmtId="1" fontId="6" fillId="20" borderId="68" xfId="125" applyNumberFormat="1" applyFont="1" applyFill="1" applyBorder="1" applyAlignment="1">
      <alignment horizontal="right"/>
    </xf>
    <xf numFmtId="1" fontId="6" fillId="20" borderId="39" xfId="125" applyNumberFormat="1" applyFont="1" applyFill="1" applyBorder="1" applyAlignment="1">
      <alignment horizontal="right"/>
    </xf>
    <xf numFmtId="1" fontId="6" fillId="20" borderId="24" xfId="0" applyNumberFormat="1" applyFont="1" applyFill="1" applyBorder="1" applyAlignment="1">
      <alignment horizontal="right"/>
    </xf>
    <xf numFmtId="1" fontId="6" fillId="20" borderId="92" xfId="0" applyNumberFormat="1" applyFont="1" applyFill="1" applyBorder="1" applyAlignment="1">
      <alignment horizontal="right"/>
    </xf>
    <xf numFmtId="1" fontId="6" fillId="20" borderId="36" xfId="0" applyNumberFormat="1" applyFont="1" applyFill="1" applyBorder="1" applyAlignment="1">
      <alignment horizontal="right"/>
    </xf>
    <xf numFmtId="1" fontId="6" fillId="20" borderId="69" xfId="0" applyNumberFormat="1" applyFont="1" applyFill="1" applyBorder="1" applyAlignment="1">
      <alignment horizontal="right"/>
    </xf>
    <xf numFmtId="1" fontId="6" fillId="20" borderId="85" xfId="0" applyNumberFormat="1" applyFont="1" applyFill="1" applyBorder="1" applyAlignment="1">
      <alignment horizontal="right"/>
    </xf>
    <xf numFmtId="1" fontId="6" fillId="20" borderId="83" xfId="0" applyNumberFormat="1" applyFont="1" applyFill="1" applyBorder="1" applyAlignment="1">
      <alignment horizontal="right"/>
    </xf>
    <xf numFmtId="1" fontId="6" fillId="22" borderId="80" xfId="125" applyNumberFormat="1" applyFont="1" applyFill="1" applyBorder="1" applyAlignment="1">
      <alignment horizontal="right"/>
    </xf>
    <xf numFmtId="1" fontId="6" fillId="0" borderId="27" xfId="125" applyNumberFormat="1" applyFont="1" applyBorder="1" applyAlignment="1">
      <alignment horizontal="right" vertical="center"/>
    </xf>
    <xf numFmtId="1" fontId="6" fillId="0" borderId="39" xfId="125" applyNumberFormat="1" applyFont="1" applyBorder="1" applyAlignment="1">
      <alignment horizontal="right" vertical="center"/>
    </xf>
    <xf numFmtId="1" fontId="6" fillId="0" borderId="124" xfId="125" applyNumberFormat="1" applyFont="1" applyBorder="1" applyAlignment="1">
      <alignment horizontal="right" vertical="center"/>
    </xf>
    <xf numFmtId="1" fontId="6" fillId="22" borderId="1" xfId="14" applyNumberFormat="1" applyFont="1" applyFill="1" applyBorder="1" applyAlignment="1" applyProtection="1">
      <alignment horizontal="right"/>
    </xf>
    <xf numFmtId="1" fontId="40" fillId="17" borderId="0" xfId="0" applyNumberFormat="1" applyFont="1" applyFill="1"/>
    <xf numFmtId="1" fontId="29" fillId="0" borderId="0" xfId="0" applyNumberFormat="1" applyFont="1" applyAlignment="1">
      <alignment horizontal="center" vertical="center"/>
    </xf>
    <xf numFmtId="1" fontId="29" fillId="0" borderId="0" xfId="0" applyNumberFormat="1" applyFont="1" applyProtection="1">
      <protection hidden="1"/>
    </xf>
    <xf numFmtId="1" fontId="29" fillId="0" borderId="0" xfId="0" applyNumberFormat="1" applyFont="1" applyProtection="1">
      <protection locked="0"/>
    </xf>
    <xf numFmtId="0" fontId="29" fillId="0" borderId="0" xfId="0" applyFont="1" applyAlignment="1">
      <alignment horizontal="right"/>
    </xf>
    <xf numFmtId="1" fontId="29" fillId="0" borderId="9" xfId="0" applyNumberFormat="1" applyFont="1" applyBorder="1" applyAlignment="1" applyProtection="1">
      <alignment horizontal="center" vertical="center" wrapText="1"/>
      <protection hidden="1"/>
    </xf>
    <xf numFmtId="1" fontId="29" fillId="0" borderId="9" xfId="0" applyNumberFormat="1" applyFont="1" applyBorder="1" applyProtection="1">
      <protection hidden="1"/>
    </xf>
    <xf numFmtId="1" fontId="29" fillId="22" borderId="0" xfId="0" applyNumberFormat="1" applyFont="1" applyFill="1" applyProtection="1">
      <protection hidden="1"/>
    </xf>
    <xf numFmtId="1" fontId="29" fillId="17" borderId="0" xfId="0" applyNumberFormat="1" applyFont="1" applyFill="1"/>
    <xf numFmtId="1" fontId="39" fillId="0" borderId="0" xfId="0" applyNumberFormat="1" applyFont="1"/>
    <xf numFmtId="1" fontId="40" fillId="0" borderId="0" xfId="0" applyNumberFormat="1" applyFont="1" applyProtection="1">
      <protection hidden="1"/>
    </xf>
    <xf numFmtId="1" fontId="40" fillId="0" borderId="0" xfId="0" applyNumberFormat="1" applyFont="1"/>
    <xf numFmtId="0" fontId="39" fillId="0" borderId="0" xfId="0" applyFont="1"/>
    <xf numFmtId="1" fontId="29" fillId="0" borderId="0" xfId="126" applyNumberFormat="1" applyFont="1" applyProtection="1">
      <protection hidden="1"/>
    </xf>
    <xf numFmtId="1" fontId="40" fillId="22" borderId="0" xfId="0" applyNumberFormat="1" applyFont="1" applyFill="1" applyAlignment="1">
      <alignment horizontal="center" vertical="center" wrapText="1"/>
    </xf>
    <xf numFmtId="1" fontId="40" fillId="22" borderId="0" xfId="0" applyNumberFormat="1" applyFont="1" applyFill="1" applyAlignment="1">
      <alignment horizontal="center" wrapText="1"/>
    </xf>
    <xf numFmtId="1" fontId="6" fillId="0" borderId="218" xfId="125" applyNumberFormat="1" applyFont="1" applyBorder="1" applyAlignment="1">
      <alignment horizontal="right"/>
    </xf>
    <xf numFmtId="1" fontId="6" fillId="0" borderId="219" xfId="125" applyNumberFormat="1" applyFont="1" applyBorder="1" applyAlignment="1">
      <alignment horizontal="right"/>
    </xf>
    <xf numFmtId="1" fontId="6" fillId="15" borderId="68" xfId="125" applyNumberFormat="1" applyFont="1" applyFill="1" applyBorder="1" applyAlignment="1" applyProtection="1">
      <alignment horizontal="right" vertical="center"/>
      <protection locked="0"/>
    </xf>
    <xf numFmtId="1" fontId="6" fillId="0" borderId="188" xfId="125" applyNumberFormat="1" applyFont="1" applyBorder="1" applyAlignment="1">
      <alignment horizontal="center" vertical="center" wrapText="1"/>
    </xf>
    <xf numFmtId="0" fontId="12" fillId="0" borderId="1" xfId="0" applyFont="1" applyBorder="1" applyAlignment="1">
      <alignment wrapText="1"/>
    </xf>
    <xf numFmtId="0" fontId="12" fillId="0" borderId="11" xfId="0" applyFont="1" applyBorder="1"/>
    <xf numFmtId="1" fontId="6" fillId="0" borderId="75" xfId="125" applyNumberFormat="1" applyFont="1" applyBorder="1"/>
    <xf numFmtId="1" fontId="6" fillId="24" borderId="91" xfId="125" applyNumberFormat="1" applyFont="1" applyFill="1" applyBorder="1" applyAlignment="1" applyProtection="1">
      <alignment horizontal="right"/>
      <protection locked="0"/>
    </xf>
    <xf numFmtId="1" fontId="6" fillId="24" borderId="34" xfId="125" applyNumberFormat="1" applyFont="1" applyFill="1" applyBorder="1" applyAlignment="1" applyProtection="1">
      <alignment horizontal="right"/>
      <protection locked="0"/>
    </xf>
    <xf numFmtId="1" fontId="6" fillId="24" borderId="121" xfId="125" applyNumberFormat="1" applyFont="1" applyFill="1" applyBorder="1" applyAlignment="1" applyProtection="1">
      <alignment horizontal="right"/>
      <protection locked="0"/>
    </xf>
    <xf numFmtId="1" fontId="6" fillId="24" borderId="139" xfId="125" applyNumberFormat="1" applyFont="1" applyFill="1" applyBorder="1" applyAlignment="1" applyProtection="1">
      <alignment horizontal="right"/>
      <protection locked="0"/>
    </xf>
    <xf numFmtId="1" fontId="6" fillId="0" borderId="231" xfId="125" applyNumberFormat="1" applyFont="1" applyBorder="1" applyAlignment="1">
      <alignment horizontal="right" wrapText="1"/>
    </xf>
    <xf numFmtId="1" fontId="6" fillId="0" borderId="232" xfId="125" applyNumberFormat="1" applyFont="1" applyBorder="1" applyAlignment="1">
      <alignment horizontal="right" wrapText="1"/>
    </xf>
    <xf numFmtId="1" fontId="6" fillId="0" borderId="220" xfId="125" applyNumberFormat="1" applyFont="1" applyBorder="1" applyAlignment="1">
      <alignment horizontal="right"/>
    </xf>
    <xf numFmtId="1" fontId="6" fillId="24" borderId="232" xfId="125" applyNumberFormat="1" applyFont="1" applyFill="1" applyBorder="1" applyAlignment="1" applyProtection="1">
      <alignment horizontal="right"/>
      <protection locked="0"/>
    </xf>
    <xf numFmtId="1" fontId="6" fillId="24" borderId="220" xfId="125" applyNumberFormat="1" applyFont="1" applyFill="1" applyBorder="1" applyAlignment="1" applyProtection="1">
      <alignment horizontal="right"/>
      <protection locked="0"/>
    </xf>
    <xf numFmtId="1" fontId="6" fillId="24" borderId="233" xfId="125" applyNumberFormat="1" applyFont="1" applyFill="1" applyBorder="1" applyAlignment="1" applyProtection="1">
      <alignment horizontal="right"/>
      <protection locked="0"/>
    </xf>
    <xf numFmtId="1" fontId="6" fillId="24" borderId="234" xfId="125" applyNumberFormat="1" applyFont="1" applyFill="1" applyBorder="1" applyAlignment="1" applyProtection="1">
      <alignment horizontal="right"/>
      <protection locked="0"/>
    </xf>
    <xf numFmtId="1" fontId="6" fillId="0" borderId="0" xfId="125" applyNumberFormat="1" applyFont="1" applyAlignment="1" applyProtection="1">
      <alignment horizontal="right" wrapText="1"/>
      <protection locked="0"/>
    </xf>
    <xf numFmtId="1" fontId="6" fillId="0" borderId="0" xfId="125" applyNumberFormat="1" applyFont="1" applyAlignment="1">
      <alignment horizontal="right"/>
    </xf>
    <xf numFmtId="1" fontId="6" fillId="24" borderId="64" xfId="125" applyNumberFormat="1" applyFont="1" applyFill="1" applyBorder="1" applyAlignment="1" applyProtection="1">
      <alignment horizontal="right"/>
      <protection locked="0"/>
    </xf>
    <xf numFmtId="1" fontId="6" fillId="0" borderId="99" xfId="125" applyNumberFormat="1" applyFont="1" applyBorder="1" applyAlignment="1">
      <alignment horizontal="right"/>
    </xf>
    <xf numFmtId="1" fontId="6" fillId="0" borderId="49" xfId="125" applyNumberFormat="1" applyFont="1" applyBorder="1" applyAlignment="1">
      <alignment horizontal="right"/>
    </xf>
    <xf numFmtId="1" fontId="6" fillId="15" borderId="218" xfId="125" applyNumberFormat="1" applyFont="1" applyFill="1" applyBorder="1" applyAlignment="1" applyProtection="1">
      <alignment horizontal="right"/>
      <protection locked="0"/>
    </xf>
    <xf numFmtId="1" fontId="6" fillId="15" borderId="219" xfId="125" applyNumberFormat="1" applyFont="1" applyFill="1" applyBorder="1" applyAlignment="1" applyProtection="1">
      <alignment horizontal="right"/>
      <protection locked="0"/>
    </xf>
    <xf numFmtId="1" fontId="6" fillId="0" borderId="188" xfId="125" applyNumberFormat="1" applyFont="1" applyBorder="1" applyAlignment="1">
      <alignment horizontal="right"/>
    </xf>
    <xf numFmtId="1" fontId="6" fillId="22" borderId="188" xfId="125" applyNumberFormat="1" applyFont="1" applyFill="1" applyBorder="1" applyAlignment="1">
      <alignment horizontal="right"/>
    </xf>
    <xf numFmtId="1" fontId="6" fillId="15" borderId="188" xfId="125" applyNumberFormat="1" applyFont="1" applyFill="1" applyBorder="1" applyAlignment="1" applyProtection="1">
      <alignment horizontal="right"/>
      <protection locked="0"/>
    </xf>
    <xf numFmtId="1" fontId="6" fillId="15" borderId="72" xfId="125" applyNumberFormat="1" applyFont="1" applyFill="1" applyBorder="1" applyAlignment="1" applyProtection="1">
      <alignment horizontal="right"/>
      <protection locked="0"/>
    </xf>
    <xf numFmtId="1" fontId="6" fillId="15" borderId="77" xfId="125" applyNumberFormat="1" applyFont="1" applyFill="1" applyBorder="1" applyAlignment="1" applyProtection="1">
      <alignment horizontal="right"/>
      <protection locked="0"/>
    </xf>
    <xf numFmtId="1" fontId="6" fillId="15" borderId="74" xfId="125" applyNumberFormat="1" applyFont="1" applyFill="1" applyBorder="1" applyAlignment="1" applyProtection="1">
      <alignment horizontal="right"/>
      <protection locked="0"/>
    </xf>
    <xf numFmtId="1" fontId="6" fillId="15" borderId="94" xfId="125" applyNumberFormat="1" applyFont="1" applyFill="1" applyBorder="1" applyAlignment="1" applyProtection="1">
      <alignment horizontal="right"/>
      <protection locked="0"/>
    </xf>
    <xf numFmtId="1" fontId="6" fillId="15" borderId="73" xfId="125" applyNumberFormat="1" applyFont="1" applyFill="1" applyBorder="1" applyAlignment="1" applyProtection="1">
      <alignment horizontal="right"/>
      <protection locked="0"/>
    </xf>
    <xf numFmtId="1" fontId="6" fillId="22" borderId="219" xfId="125" applyNumberFormat="1" applyFont="1" applyFill="1" applyBorder="1" applyAlignment="1">
      <alignment horizontal="right"/>
    </xf>
    <xf numFmtId="0" fontId="6" fillId="0" borderId="229" xfId="0" applyFont="1" applyBorder="1" applyAlignment="1">
      <alignment horizontal="center" vertical="center"/>
    </xf>
    <xf numFmtId="0" fontId="6" fillId="0" borderId="219" xfId="0" applyFont="1" applyBorder="1" applyAlignment="1">
      <alignment horizontal="center" vertical="center"/>
    </xf>
    <xf numFmtId="1" fontId="6" fillId="0" borderId="219" xfId="0" applyNumberFormat="1" applyFont="1" applyBorder="1" applyAlignment="1">
      <alignment horizontal="right"/>
    </xf>
    <xf numFmtId="1" fontId="6" fillId="0" borderId="10" xfId="130" applyNumberFormat="1" applyFont="1" applyBorder="1" applyAlignment="1" applyProtection="1"/>
    <xf numFmtId="1" fontId="6" fillId="0" borderId="1" xfId="130" applyNumberFormat="1" applyFont="1" applyBorder="1" applyAlignment="1" applyProtection="1">
      <alignment horizontal="right"/>
    </xf>
    <xf numFmtId="1" fontId="10" fillId="0" borderId="0" xfId="130" applyNumberFormat="1" applyFont="1" applyAlignment="1" applyProtection="1">
      <protection hidden="1"/>
    </xf>
    <xf numFmtId="1" fontId="10" fillId="0" borderId="0" xfId="130" applyNumberFormat="1" applyFont="1" applyAlignment="1" applyProtection="1"/>
    <xf numFmtId="1" fontId="10" fillId="0" borderId="0" xfId="130" applyNumberFormat="1" applyFont="1" applyBorder="1" applyAlignment="1" applyProtection="1">
      <alignment wrapText="1"/>
    </xf>
    <xf numFmtId="1" fontId="6" fillId="0" borderId="135" xfId="130" applyNumberFormat="1" applyFont="1" applyBorder="1" applyAlignment="1" applyProtection="1">
      <alignment horizontal="center" vertical="center" wrapText="1"/>
    </xf>
    <xf numFmtId="1" fontId="6" fillId="0" borderId="64" xfId="130" applyNumberFormat="1" applyFont="1" applyBorder="1" applyAlignment="1" applyProtection="1">
      <alignment horizontal="center" vertical="center" wrapText="1"/>
    </xf>
    <xf numFmtId="1" fontId="6" fillId="0" borderId="1" xfId="130" applyNumberFormat="1" applyFont="1" applyBorder="1" applyAlignment="1" applyProtection="1">
      <alignment horizontal="center" vertical="center" wrapText="1"/>
      <protection hidden="1"/>
    </xf>
    <xf numFmtId="1" fontId="6" fillId="0" borderId="119" xfId="130" applyNumberFormat="1" applyFont="1" applyBorder="1" applyAlignment="1" applyProtection="1">
      <alignment horizontal="center" vertical="center" wrapText="1"/>
      <protection hidden="1"/>
    </xf>
    <xf numFmtId="1" fontId="6" fillId="0" borderId="0" xfId="109" applyNumberFormat="1" applyFont="1" applyAlignment="1">
      <alignment horizontal="center" vertical="center" wrapText="1"/>
    </xf>
    <xf numFmtId="1" fontId="6" fillId="0" borderId="0" xfId="109" applyNumberFormat="1" applyFont="1" applyAlignment="1">
      <alignment vertical="center" wrapText="1"/>
    </xf>
    <xf numFmtId="1" fontId="10" fillId="0" borderId="0" xfId="130" applyNumberFormat="1" applyFont="1" applyBorder="1" applyAlignment="1" applyProtection="1">
      <alignment horizontal="center" vertical="center"/>
      <protection hidden="1"/>
    </xf>
    <xf numFmtId="1" fontId="14" fillId="0" borderId="0" xfId="130" applyNumberFormat="1" applyFont="1" applyAlignment="1" applyProtection="1"/>
    <xf numFmtId="1" fontId="10" fillId="0" borderId="0" xfId="130" applyNumberFormat="1" applyFont="1" applyAlignment="1" applyProtection="1">
      <alignment vertical="center"/>
    </xf>
    <xf numFmtId="1" fontId="10" fillId="0" borderId="136" xfId="130" applyNumberFormat="1" applyFont="1" applyBorder="1" applyAlignment="1" applyProtection="1">
      <alignment horizontal="center" vertical="center" wrapText="1"/>
    </xf>
    <xf numFmtId="1" fontId="10" fillId="0" borderId="0" xfId="0" applyNumberFormat="1" applyFont="1" applyAlignment="1">
      <alignment vertical="center" wrapText="1"/>
    </xf>
    <xf numFmtId="1" fontId="6" fillId="0" borderId="11" xfId="130" applyNumberFormat="1" applyFont="1" applyBorder="1" applyAlignment="1" applyProtection="1"/>
    <xf numFmtId="1" fontId="6" fillId="0" borderId="11" xfId="130" applyNumberFormat="1" applyFont="1" applyBorder="1" applyAlignment="1" applyProtection="1">
      <alignment horizontal="right"/>
    </xf>
    <xf numFmtId="1" fontId="6" fillId="0" borderId="29" xfId="130" applyNumberFormat="1" applyFont="1" applyBorder="1" applyAlignment="1" applyProtection="1">
      <alignment horizontal="right"/>
    </xf>
    <xf numFmtId="1" fontId="6" fillId="0" borderId="163" xfId="130" applyNumberFormat="1" applyFont="1" applyBorder="1" applyAlignment="1" applyProtection="1">
      <alignment horizontal="right"/>
    </xf>
    <xf numFmtId="1" fontId="10" fillId="0" borderId="0" xfId="130" applyNumberFormat="1" applyFont="1" applyBorder="1" applyAlignment="1" applyProtection="1">
      <alignment horizontal="right"/>
      <protection hidden="1"/>
    </xf>
    <xf numFmtId="1" fontId="6" fillId="0" borderId="0" xfId="130" applyNumberFormat="1" applyFont="1" applyAlignment="1" applyProtection="1">
      <alignment horizontal="left" vertical="center"/>
      <protection hidden="1"/>
    </xf>
    <xf numFmtId="1" fontId="6" fillId="22" borderId="0" xfId="130" applyNumberFormat="1" applyFont="1" applyFill="1" applyAlignment="1" applyProtection="1">
      <alignment horizontal="left"/>
      <protection hidden="1"/>
    </xf>
    <xf numFmtId="1" fontId="6" fillId="0" borderId="207" xfId="130" applyNumberFormat="1" applyFont="1" applyBorder="1" applyAlignment="1" applyProtection="1">
      <alignment horizontal="center" vertical="center" wrapText="1"/>
    </xf>
    <xf numFmtId="1" fontId="6" fillId="0" borderId="186" xfId="130" applyNumberFormat="1" applyFont="1" applyBorder="1" applyAlignment="1" applyProtection="1">
      <alignment horizontal="center" vertical="center" wrapText="1"/>
    </xf>
    <xf numFmtId="1" fontId="10" fillId="0" borderId="188" xfId="130" applyNumberFormat="1" applyFont="1" applyBorder="1" applyAlignment="1" applyProtection="1"/>
    <xf numFmtId="1" fontId="6" fillId="0" borderId="186" xfId="130" applyNumberFormat="1" applyFont="1" applyBorder="1" applyAlignment="1" applyProtection="1">
      <alignment horizontal="right"/>
    </xf>
    <xf numFmtId="1" fontId="35" fillId="0" borderId="186" xfId="0" applyNumberFormat="1" applyFont="1" applyBorder="1"/>
    <xf numFmtId="1" fontId="35" fillId="0" borderId="0" xfId="0" applyNumberFormat="1" applyFont="1"/>
    <xf numFmtId="1" fontId="6" fillId="0" borderId="64" xfId="125" applyNumberFormat="1" applyFont="1" applyBorder="1" applyAlignment="1">
      <alignment horizontal="center" vertical="center" wrapText="1"/>
    </xf>
    <xf numFmtId="1" fontId="6" fillId="0" borderId="1" xfId="0" applyNumberFormat="1" applyFont="1" applyBorder="1" applyAlignment="1">
      <alignment horizontal="center" vertical="center" wrapText="1"/>
    </xf>
    <xf numFmtId="1" fontId="6" fillId="0" borderId="97" xfId="127" applyNumberFormat="1" applyFont="1" applyBorder="1" applyAlignment="1" applyProtection="1">
      <alignment horizontal="center" vertical="center" wrapText="1"/>
      <protection hidden="1"/>
    </xf>
    <xf numFmtId="1" fontId="6" fillId="0" borderId="49" xfId="0" applyNumberFormat="1" applyFont="1" applyBorder="1" applyAlignment="1">
      <alignment horizontal="center" vertical="center"/>
    </xf>
    <xf numFmtId="1" fontId="6" fillId="0" borderId="0" xfId="125" applyNumberFormat="1" applyFont="1"/>
    <xf numFmtId="1" fontId="6" fillId="0" borderId="82" xfId="125" applyNumberFormat="1" applyFont="1" applyBorder="1" applyAlignment="1">
      <alignment horizontal="center" vertical="center" wrapText="1"/>
    </xf>
    <xf numFmtId="1" fontId="6" fillId="0" borderId="83" xfId="125" applyNumberFormat="1" applyFont="1" applyBorder="1" applyAlignment="1">
      <alignment horizontal="center" vertical="center" wrapText="1"/>
    </xf>
    <xf numFmtId="1" fontId="6" fillId="0" borderId="147" xfId="125" applyNumberFormat="1" applyFont="1" applyBorder="1" applyAlignment="1">
      <alignment horizontal="center" vertical="center" wrapText="1"/>
    </xf>
    <xf numFmtId="1" fontId="6" fillId="0" borderId="84" xfId="125" applyNumberFormat="1" applyFont="1" applyBorder="1" applyAlignment="1">
      <alignment horizontal="center" vertical="center" wrapText="1"/>
    </xf>
    <xf numFmtId="1" fontId="6" fillId="0" borderId="127" xfId="125" applyNumberFormat="1" applyFont="1" applyBorder="1" applyAlignment="1">
      <alignment horizontal="center" vertical="center" wrapText="1"/>
    </xf>
    <xf numFmtId="1" fontId="6" fillId="0" borderId="196" xfId="0" applyNumberFormat="1" applyFont="1" applyBorder="1" applyAlignment="1">
      <alignment horizontal="center" vertical="center" wrapText="1"/>
    </xf>
    <xf numFmtId="1" fontId="6" fillId="0" borderId="0" xfId="125" applyNumberFormat="1" applyFont="1" applyAlignment="1">
      <alignment horizontal="center" vertical="center"/>
    </xf>
    <xf numFmtId="1" fontId="6" fillId="0" borderId="0" xfId="125" quotePrefix="1" applyNumberFormat="1" applyFont="1" applyAlignment="1">
      <alignment horizontal="center" vertical="center"/>
    </xf>
    <xf numFmtId="1" fontId="6" fillId="0" borderId="210" xfId="125" applyNumberFormat="1" applyFont="1" applyBorder="1" applyAlignment="1">
      <alignment horizontal="center" vertical="center" wrapText="1"/>
    </xf>
    <xf numFmtId="1" fontId="6" fillId="0" borderId="82" xfId="127" applyNumberFormat="1" applyFont="1" applyBorder="1" applyAlignment="1" applyProtection="1">
      <alignment horizontal="center" vertical="center" wrapText="1"/>
      <protection hidden="1"/>
    </xf>
    <xf numFmtId="1" fontId="6" fillId="0" borderId="218" xfId="125" applyNumberFormat="1" applyFont="1" applyBorder="1" applyAlignment="1">
      <alignment horizontal="center" vertical="center" wrapText="1"/>
    </xf>
    <xf numFmtId="1" fontId="6" fillId="0" borderId="81" xfId="125" applyNumberFormat="1" applyFont="1" applyBorder="1" applyAlignment="1">
      <alignment horizontal="center" vertical="center" wrapText="1"/>
    </xf>
    <xf numFmtId="1" fontId="6" fillId="0" borderId="229" xfId="125" applyNumberFormat="1" applyFont="1" applyBorder="1" applyAlignment="1">
      <alignment horizontal="center" vertical="center" wrapText="1"/>
    </xf>
    <xf numFmtId="1" fontId="14" fillId="0" borderId="0" xfId="125" quotePrefix="1" applyNumberFormat="1" applyFont="1"/>
    <xf numFmtId="1" fontId="6" fillId="0" borderId="217" xfId="125" applyNumberFormat="1" applyFont="1" applyBorder="1" applyAlignment="1">
      <alignment horizontal="center" vertical="center" wrapText="1"/>
    </xf>
    <xf numFmtId="1" fontId="6" fillId="0" borderId="211" xfId="125" applyNumberFormat="1" applyFont="1" applyBorder="1" applyAlignment="1">
      <alignment horizontal="center" vertical="center" wrapText="1"/>
    </xf>
    <xf numFmtId="1" fontId="6" fillId="0" borderId="209" xfId="0" applyNumberFormat="1" applyFont="1" applyBorder="1" applyAlignment="1">
      <alignment horizontal="center" vertical="center"/>
    </xf>
    <xf numFmtId="1" fontId="6" fillId="0" borderId="197" xfId="0" applyNumberFormat="1" applyFont="1" applyBorder="1" applyAlignment="1">
      <alignment horizontal="center" vertical="center"/>
    </xf>
    <xf numFmtId="1" fontId="6" fillId="0" borderId="210" xfId="0" applyNumberFormat="1" applyFont="1" applyBorder="1" applyAlignment="1">
      <alignment horizontal="center" vertical="center"/>
    </xf>
    <xf numFmtId="1" fontId="6" fillId="29" borderId="135" xfId="0" applyNumberFormat="1" applyFont="1" applyFill="1" applyBorder="1" applyAlignment="1">
      <alignment horizontal="center" vertical="center" wrapText="1"/>
    </xf>
    <xf numFmtId="1" fontId="30" fillId="28" borderId="0" xfId="0" applyNumberFormat="1" applyFont="1" applyFill="1"/>
    <xf numFmtId="1" fontId="6" fillId="21" borderId="193" xfId="0" applyNumberFormat="1" applyFont="1" applyFill="1" applyBorder="1" applyAlignment="1">
      <alignment vertical="center" wrapText="1"/>
    </xf>
    <xf numFmtId="1" fontId="6" fillId="29" borderId="186" xfId="0" applyNumberFormat="1" applyFont="1" applyFill="1" applyBorder="1" applyAlignment="1">
      <alignment horizontal="center" vertical="center" wrapText="1"/>
    </xf>
    <xf numFmtId="1" fontId="6" fillId="29" borderId="186" xfId="0" applyNumberFormat="1" applyFont="1" applyFill="1" applyBorder="1" applyAlignment="1">
      <alignment horizontal="center" vertical="center"/>
    </xf>
    <xf numFmtId="1" fontId="30" fillId="0" borderId="0" xfId="0" applyNumberFormat="1" applyFont="1"/>
    <xf numFmtId="1" fontId="10" fillId="0" borderId="0" xfId="125" applyNumberFormat="1" applyFont="1" applyAlignment="1">
      <alignment vertical="center" wrapText="1"/>
    </xf>
    <xf numFmtId="1" fontId="6" fillId="21" borderId="0" xfId="0" applyNumberFormat="1" applyFont="1" applyFill="1" applyAlignment="1">
      <alignment horizontal="center"/>
    </xf>
    <xf numFmtId="1" fontId="6" fillId="21" borderId="207" xfId="0" applyNumberFormat="1" applyFont="1" applyFill="1" applyBorder="1" applyAlignment="1">
      <alignment horizontal="center"/>
    </xf>
    <xf numFmtId="1" fontId="6" fillId="29" borderId="207" xfId="0" applyNumberFormat="1" applyFont="1" applyFill="1" applyBorder="1" applyAlignment="1">
      <alignment horizontal="center" vertical="center" wrapText="1"/>
    </xf>
    <xf numFmtId="1" fontId="6" fillId="32" borderId="0" xfId="130" applyNumberFormat="1" applyFont="1" applyFill="1" applyAlignment="1" applyProtection="1">
      <alignment horizontal="left" vertical="center"/>
      <protection hidden="1"/>
    </xf>
    <xf numFmtId="1" fontId="6" fillId="30" borderId="186" xfId="0" applyNumberFormat="1" applyFont="1" applyFill="1" applyBorder="1"/>
    <xf numFmtId="1" fontId="10" fillId="0" borderId="0" xfId="130" applyNumberFormat="1" applyFont="1" applyAlignment="1" applyProtection="1">
      <alignment horizontal="center" vertical="center"/>
    </xf>
    <xf numFmtId="1" fontId="14" fillId="0" borderId="0" xfId="130" applyNumberFormat="1" applyFont="1" applyAlignment="1" applyProtection="1">
      <alignment vertical="center" wrapText="1"/>
    </xf>
    <xf numFmtId="1" fontId="10" fillId="0" borderId="0" xfId="130" applyNumberFormat="1" applyFont="1" applyAlignment="1" applyProtection="1">
      <alignment horizontal="center" vertical="center"/>
      <protection hidden="1"/>
    </xf>
    <xf numFmtId="1" fontId="6" fillId="0" borderId="0" xfId="130" applyNumberFormat="1" applyFont="1" applyAlignment="1" applyProtection="1">
      <alignment vertical="center"/>
      <protection hidden="1"/>
    </xf>
    <xf numFmtId="1" fontId="6" fillId="15" borderId="91" xfId="127" applyNumberFormat="1" applyFont="1" applyFill="1" applyBorder="1" applyAlignment="1" applyProtection="1">
      <alignment horizontal="right"/>
      <protection locked="0"/>
    </xf>
    <xf numFmtId="0" fontId="42" fillId="0" borderId="0" xfId="158" applyFont="1" applyAlignment="1">
      <alignment horizontal="center"/>
    </xf>
    <xf numFmtId="1" fontId="6" fillId="23" borderId="0" xfId="0" applyNumberFormat="1" applyFont="1" applyFill="1"/>
    <xf numFmtId="0" fontId="42" fillId="0" borderId="97" xfId="158" applyFont="1" applyBorder="1" applyAlignment="1">
      <alignment horizontal="center"/>
    </xf>
    <xf numFmtId="1" fontId="12" fillId="23" borderId="0" xfId="0" applyNumberFormat="1" applyFont="1" applyFill="1"/>
    <xf numFmtId="1" fontId="12" fillId="0" borderId="0" xfId="0" applyNumberFormat="1" applyFont="1"/>
    <xf numFmtId="0" fontId="12" fillId="23" borderId="0" xfId="0" applyFont="1" applyFill="1"/>
    <xf numFmtId="0" fontId="43" fillId="0" borderId="0" xfId="0" applyFont="1"/>
    <xf numFmtId="0" fontId="12" fillId="0" borderId="0" xfId="0" applyFont="1"/>
    <xf numFmtId="1" fontId="12" fillId="23" borderId="0" xfId="0" applyNumberFormat="1" applyFont="1" applyFill="1" applyProtection="1">
      <protection hidden="1"/>
    </xf>
    <xf numFmtId="0" fontId="44" fillId="0" borderId="97" xfId="158" applyFont="1" applyBorder="1" applyAlignment="1">
      <alignment horizontal="center"/>
    </xf>
    <xf numFmtId="0" fontId="43" fillId="23" borderId="97" xfId="0" applyFont="1" applyFill="1" applyBorder="1"/>
    <xf numFmtId="0" fontId="44" fillId="23" borderId="97" xfId="158" applyFont="1" applyFill="1" applyBorder="1" applyAlignment="1">
      <alignment horizontal="center"/>
    </xf>
    <xf numFmtId="1" fontId="6" fillId="23" borderId="97" xfId="0" applyNumberFormat="1" applyFont="1" applyFill="1" applyBorder="1"/>
    <xf numFmtId="0" fontId="44" fillId="0" borderId="0" xfId="158" applyFont="1" applyAlignment="1">
      <alignment horizontal="center"/>
    </xf>
    <xf numFmtId="0" fontId="44" fillId="23" borderId="0" xfId="158" applyFont="1" applyFill="1" applyAlignment="1">
      <alignment horizontal="center"/>
    </xf>
    <xf numFmtId="0" fontId="43" fillId="23" borderId="0" xfId="0" applyFont="1" applyFill="1"/>
    <xf numFmtId="1" fontId="43" fillId="23" borderId="0" xfId="0" applyNumberFormat="1" applyFont="1" applyFill="1"/>
    <xf numFmtId="0" fontId="45" fillId="0" borderId="0" xfId="158" applyFont="1" applyAlignment="1">
      <alignment horizontal="center"/>
    </xf>
    <xf numFmtId="1" fontId="29" fillId="23" borderId="0" xfId="0" applyNumberFormat="1" applyFont="1" applyFill="1"/>
    <xf numFmtId="1" fontId="43" fillId="0" borderId="0" xfId="126" applyNumberFormat="1" applyFont="1" applyProtection="1">
      <protection hidden="1"/>
    </xf>
    <xf numFmtId="1" fontId="6" fillId="0" borderId="97" xfId="126" applyNumberFormat="1" applyFont="1" applyBorder="1" applyProtection="1">
      <protection hidden="1"/>
    </xf>
    <xf numFmtId="1" fontId="6" fillId="0" borderId="97" xfId="0" applyNumberFormat="1" applyFont="1" applyBorder="1" applyProtection="1">
      <protection hidden="1"/>
    </xf>
    <xf numFmtId="1" fontId="6" fillId="0" borderId="97" xfId="0" applyNumberFormat="1" applyFont="1" applyBorder="1"/>
    <xf numFmtId="0" fontId="44" fillId="0" borderId="76" xfId="158" applyFont="1" applyBorder="1" applyAlignment="1">
      <alignment horizontal="center"/>
    </xf>
    <xf numFmtId="0" fontId="46" fillId="22" borderId="0" xfId="0" applyFont="1" applyFill="1" applyAlignment="1">
      <alignment horizontal="center"/>
    </xf>
    <xf numFmtId="0" fontId="46" fillId="23" borderId="0" xfId="0" applyFont="1" applyFill="1"/>
    <xf numFmtId="1" fontId="47" fillId="23" borderId="0" xfId="0" applyNumberFormat="1" applyFont="1" applyFill="1"/>
    <xf numFmtId="0" fontId="44" fillId="0" borderId="97" xfId="158" applyFont="1" applyBorder="1" applyAlignment="1">
      <alignment horizontal="center" vertical="center"/>
    </xf>
    <xf numFmtId="1" fontId="43" fillId="23" borderId="0" xfId="130" applyNumberFormat="1" applyFont="1" applyFill="1" applyAlignment="1" applyProtection="1">
      <protection hidden="1"/>
    </xf>
    <xf numFmtId="1" fontId="6" fillId="0" borderId="7" xfId="126" applyNumberFormat="1" applyFont="1" applyBorder="1" applyAlignment="1">
      <alignment horizontal="left"/>
    </xf>
    <xf numFmtId="1" fontId="6" fillId="0" borderId="78" xfId="126" applyNumberFormat="1" applyFont="1" applyBorder="1" applyAlignment="1">
      <alignment horizontal="left"/>
    </xf>
    <xf numFmtId="1" fontId="6" fillId="0" borderId="23" xfId="126" applyNumberFormat="1" applyFont="1" applyBorder="1" applyAlignment="1">
      <alignment horizontal="left"/>
    </xf>
    <xf numFmtId="1" fontId="6" fillId="24" borderId="7" xfId="126" applyNumberFormat="1" applyFont="1" applyFill="1" applyBorder="1" applyAlignment="1" applyProtection="1">
      <alignment horizontal="left"/>
      <protection locked="0"/>
    </xf>
    <xf numFmtId="1" fontId="6" fillId="24" borderId="23" xfId="126" applyNumberFormat="1" applyFont="1" applyFill="1" applyBorder="1" applyAlignment="1" applyProtection="1">
      <alignment horizontal="left"/>
      <protection locked="0"/>
    </xf>
    <xf numFmtId="1" fontId="6" fillId="24" borderId="5" xfId="126" applyNumberFormat="1" applyFont="1" applyFill="1" applyBorder="1" applyAlignment="1" applyProtection="1">
      <alignment horizontal="left"/>
      <protection locked="0"/>
    </xf>
    <xf numFmtId="1" fontId="6" fillId="24" borderId="62" xfId="126" applyNumberFormat="1" applyFont="1" applyFill="1" applyBorder="1" applyAlignment="1" applyProtection="1">
      <alignment horizontal="left"/>
      <protection locked="0"/>
    </xf>
    <xf numFmtId="1" fontId="6" fillId="24" borderId="1" xfId="126" applyNumberFormat="1" applyFont="1" applyFill="1" applyBorder="1" applyAlignment="1" applyProtection="1">
      <alignment horizontal="left"/>
      <protection locked="0"/>
    </xf>
    <xf numFmtId="1" fontId="6" fillId="24" borderId="196" xfId="126" applyNumberFormat="1" applyFont="1" applyFill="1" applyBorder="1" applyAlignment="1" applyProtection="1">
      <alignment horizontal="left"/>
      <protection locked="0"/>
    </xf>
    <xf numFmtId="1" fontId="6" fillId="20" borderId="7" xfId="126" applyNumberFormat="1" applyFont="1" applyFill="1" applyBorder="1" applyAlignment="1">
      <alignment horizontal="left"/>
    </xf>
    <xf numFmtId="1" fontId="6" fillId="20" borderId="8" xfId="126" applyNumberFormat="1" applyFont="1" applyFill="1" applyBorder="1" applyAlignment="1">
      <alignment horizontal="left"/>
    </xf>
    <xf numFmtId="1" fontId="6" fillId="20" borderId="5" xfId="126" applyNumberFormat="1" applyFont="1" applyFill="1" applyBorder="1" applyAlignment="1">
      <alignment horizontal="left"/>
    </xf>
    <xf numFmtId="1" fontId="6" fillId="20" borderId="196" xfId="126" applyNumberFormat="1" applyFont="1" applyFill="1" applyBorder="1" applyAlignment="1">
      <alignment horizontal="left"/>
    </xf>
    <xf numFmtId="1" fontId="6" fillId="20" borderId="23" xfId="126" applyNumberFormat="1" applyFont="1" applyFill="1" applyBorder="1" applyAlignment="1">
      <alignment horizontal="left"/>
    </xf>
    <xf numFmtId="1" fontId="6" fillId="20" borderId="62" xfId="126" applyNumberFormat="1" applyFont="1" applyFill="1" applyBorder="1" applyAlignment="1">
      <alignment horizontal="left"/>
    </xf>
    <xf numFmtId="1" fontId="6" fillId="20" borderId="1" xfId="126" applyNumberFormat="1" applyFont="1" applyFill="1" applyBorder="1" applyAlignment="1">
      <alignment horizontal="left"/>
    </xf>
    <xf numFmtId="1" fontId="6" fillId="20" borderId="93" xfId="126" applyNumberFormat="1" applyFont="1" applyFill="1" applyBorder="1" applyAlignment="1">
      <alignment horizontal="left"/>
    </xf>
    <xf numFmtId="1" fontId="6" fillId="20" borderId="64" xfId="126" applyNumberFormat="1" applyFont="1" applyFill="1" applyBorder="1" applyAlignment="1">
      <alignment horizontal="left"/>
    </xf>
    <xf numFmtId="1" fontId="6" fillId="0" borderId="67" xfId="126" applyNumberFormat="1" applyFont="1" applyBorder="1" applyAlignment="1">
      <alignment horizontal="left"/>
    </xf>
    <xf numFmtId="1" fontId="6" fillId="0" borderId="24" xfId="126" applyNumberFormat="1" applyFont="1" applyBorder="1" applyAlignment="1">
      <alignment horizontal="left"/>
    </xf>
    <xf numFmtId="1" fontId="6" fillId="0" borderId="129" xfId="126" applyNumberFormat="1" applyFont="1" applyBorder="1" applyAlignment="1">
      <alignment horizontal="left"/>
    </xf>
    <xf numFmtId="1" fontId="6" fillId="24" borderId="67" xfId="126" applyNumberFormat="1" applyFont="1" applyFill="1" applyBorder="1" applyAlignment="1" applyProtection="1">
      <alignment horizontal="left"/>
      <protection locked="0"/>
    </xf>
    <xf numFmtId="1" fontId="6" fillId="24" borderId="86" xfId="126" applyNumberFormat="1" applyFont="1" applyFill="1" applyBorder="1" applyAlignment="1" applyProtection="1">
      <alignment horizontal="left"/>
      <protection locked="0"/>
    </xf>
    <xf numFmtId="1" fontId="6" fillId="24" borderId="129" xfId="126" applyNumberFormat="1" applyFont="1" applyFill="1" applyBorder="1" applyAlignment="1" applyProtection="1">
      <alignment horizontal="left"/>
      <protection locked="0"/>
    </xf>
    <xf numFmtId="1" fontId="6" fillId="24" borderId="55" xfId="126" applyNumberFormat="1" applyFont="1" applyFill="1" applyBorder="1" applyAlignment="1" applyProtection="1">
      <alignment horizontal="left"/>
      <protection locked="0"/>
    </xf>
    <xf numFmtId="1" fontId="6" fillId="24" borderId="30" xfId="126" applyNumberFormat="1" applyFont="1" applyFill="1" applyBorder="1" applyAlignment="1" applyProtection="1">
      <alignment horizontal="left"/>
      <protection locked="0"/>
    </xf>
    <xf numFmtId="1" fontId="6" fillId="24" borderId="24" xfId="126" applyNumberFormat="1" applyFont="1" applyFill="1" applyBorder="1" applyAlignment="1" applyProtection="1">
      <alignment horizontal="left"/>
      <protection locked="0"/>
    </xf>
    <xf numFmtId="1" fontId="6" fillId="0" borderId="106" xfId="126" applyNumberFormat="1" applyFont="1" applyBorder="1" applyAlignment="1">
      <alignment horizontal="left"/>
    </xf>
    <xf numFmtId="1" fontId="6" fillId="0" borderId="104" xfId="126" applyNumberFormat="1" applyFont="1" applyBorder="1" applyAlignment="1">
      <alignment horizontal="left"/>
    </xf>
    <xf numFmtId="1" fontId="6" fillId="0" borderId="118" xfId="126" applyNumberFormat="1" applyFont="1" applyBorder="1" applyAlignment="1">
      <alignment horizontal="left"/>
    </xf>
    <xf numFmtId="1" fontId="6" fillId="24" borderId="91" xfId="126" applyNumberFormat="1" applyFont="1" applyFill="1" applyBorder="1" applyAlignment="1" applyProtection="1">
      <alignment horizontal="left"/>
      <protection locked="0"/>
    </xf>
    <xf numFmtId="1" fontId="6" fillId="24" borderId="92" xfId="126" applyNumberFormat="1" applyFont="1" applyFill="1" applyBorder="1" applyAlignment="1" applyProtection="1">
      <alignment horizontal="left"/>
      <protection locked="0"/>
    </xf>
    <xf numFmtId="1" fontId="6" fillId="24" borderId="68" xfId="126" applyNumberFormat="1" applyFont="1" applyFill="1" applyBorder="1" applyAlignment="1" applyProtection="1">
      <alignment horizontal="left"/>
      <protection locked="0"/>
    </xf>
    <xf numFmtId="1" fontId="6" fillId="24" borderId="69" xfId="126" applyNumberFormat="1" applyFont="1" applyFill="1" applyBorder="1" applyAlignment="1" applyProtection="1">
      <alignment horizontal="left"/>
      <protection locked="0"/>
    </xf>
    <xf numFmtId="1" fontId="6" fillId="24" borderId="107" xfId="126" applyNumberFormat="1" applyFont="1" applyFill="1" applyBorder="1" applyAlignment="1" applyProtection="1">
      <alignment horizontal="left"/>
      <protection locked="0"/>
    </xf>
    <xf numFmtId="1" fontId="6" fillId="24" borderId="58" xfId="126" applyNumberFormat="1" applyFont="1" applyFill="1" applyBorder="1" applyAlignment="1" applyProtection="1">
      <alignment horizontal="left"/>
      <protection locked="0"/>
    </xf>
    <xf numFmtId="1" fontId="6" fillId="24" borderId="35" xfId="126" applyNumberFormat="1" applyFont="1" applyFill="1" applyBorder="1" applyAlignment="1" applyProtection="1">
      <alignment horizontal="left"/>
      <protection locked="0"/>
    </xf>
    <xf numFmtId="1" fontId="6" fillId="24" borderId="36" xfId="126" applyNumberFormat="1" applyFont="1" applyFill="1" applyBorder="1" applyAlignment="1" applyProtection="1">
      <alignment horizontal="left"/>
      <protection locked="0"/>
    </xf>
    <xf numFmtId="1" fontId="6" fillId="24" borderId="82" xfId="126" applyNumberFormat="1" applyFont="1" applyFill="1" applyBorder="1" applyAlignment="1" applyProtection="1">
      <alignment horizontal="left"/>
      <protection locked="0"/>
    </xf>
    <xf numFmtId="1" fontId="6" fillId="24" borderId="83" xfId="126" applyNumberFormat="1" applyFont="1" applyFill="1" applyBorder="1" applyAlignment="1" applyProtection="1">
      <alignment horizontal="left"/>
      <protection locked="0"/>
    </xf>
    <xf numFmtId="1" fontId="6" fillId="24" borderId="106" xfId="126" applyNumberFormat="1" applyFont="1" applyFill="1" applyBorder="1" applyAlignment="1" applyProtection="1">
      <alignment horizontal="left"/>
      <protection locked="0"/>
    </xf>
    <xf numFmtId="1" fontId="6" fillId="24" borderId="105" xfId="126" applyNumberFormat="1" applyFont="1" applyFill="1" applyBorder="1" applyAlignment="1" applyProtection="1">
      <alignment horizontal="left"/>
      <protection locked="0"/>
    </xf>
    <xf numFmtId="1" fontId="6" fillId="24" borderId="118" xfId="126" applyNumberFormat="1" applyFont="1" applyFill="1" applyBorder="1" applyAlignment="1" applyProtection="1">
      <alignment horizontal="left"/>
      <protection locked="0"/>
    </xf>
    <xf numFmtId="1" fontId="6" fillId="24" borderId="101" xfId="126" applyNumberFormat="1" applyFont="1" applyFill="1" applyBorder="1" applyAlignment="1" applyProtection="1">
      <alignment horizontal="left"/>
      <protection locked="0"/>
    </xf>
    <xf numFmtId="1" fontId="6" fillId="24" borderId="66" xfId="126" applyNumberFormat="1" applyFont="1" applyFill="1" applyBorder="1" applyAlignment="1" applyProtection="1">
      <alignment horizontal="left"/>
      <protection locked="0"/>
    </xf>
    <xf numFmtId="1" fontId="6" fillId="24" borderId="104" xfId="126" applyNumberFormat="1" applyFont="1" applyFill="1" applyBorder="1" applyAlignment="1" applyProtection="1">
      <alignment horizontal="left"/>
      <protection locked="0"/>
    </xf>
    <xf numFmtId="1" fontId="6" fillId="0" borderId="91" xfId="126" applyNumberFormat="1" applyFont="1" applyBorder="1" applyAlignment="1">
      <alignment horizontal="left"/>
    </xf>
    <xf numFmtId="1" fontId="6" fillId="0" borderId="31" xfId="126" applyNumberFormat="1" applyFont="1" applyBorder="1" applyAlignment="1">
      <alignment horizontal="left"/>
    </xf>
    <xf numFmtId="1" fontId="6" fillId="0" borderId="92" xfId="126" applyNumberFormat="1" applyFont="1" applyBorder="1" applyAlignment="1">
      <alignment horizontal="left"/>
    </xf>
    <xf numFmtId="1" fontId="6" fillId="20" borderId="91" xfId="126" applyNumberFormat="1" applyFont="1" applyFill="1" applyBorder="1" applyAlignment="1">
      <alignment horizontal="left"/>
    </xf>
    <xf numFmtId="1" fontId="6" fillId="20" borderId="92" xfId="126" applyNumberFormat="1" applyFont="1" applyFill="1" applyBorder="1" applyAlignment="1">
      <alignment horizontal="left"/>
    </xf>
    <xf numFmtId="1" fontId="6" fillId="24" borderId="130" xfId="126" applyNumberFormat="1" applyFont="1" applyFill="1" applyBorder="1" applyAlignment="1" applyProtection="1">
      <alignment horizontal="left"/>
      <protection locked="0"/>
    </xf>
    <xf numFmtId="1" fontId="6" fillId="24" borderId="144" xfId="126" applyNumberFormat="1" applyFont="1" applyFill="1" applyBorder="1" applyAlignment="1" applyProtection="1">
      <alignment horizontal="left"/>
      <protection locked="0"/>
    </xf>
    <xf numFmtId="1" fontId="6" fillId="24" borderId="75" xfId="126" applyNumberFormat="1" applyFont="1" applyFill="1" applyBorder="1" applyAlignment="1" applyProtection="1">
      <alignment horizontal="left"/>
      <protection locked="0"/>
    </xf>
    <xf numFmtId="1" fontId="6" fillId="24" borderId="31" xfId="126" applyNumberFormat="1" applyFont="1" applyFill="1" applyBorder="1" applyAlignment="1" applyProtection="1">
      <alignment horizontal="left"/>
      <protection locked="0"/>
    </xf>
    <xf numFmtId="1" fontId="6" fillId="0" borderId="98" xfId="126" applyNumberFormat="1" applyFont="1" applyBorder="1" applyAlignment="1">
      <alignment horizontal="left"/>
    </xf>
    <xf numFmtId="1" fontId="6" fillId="0" borderId="117" xfId="126" applyNumberFormat="1" applyFont="1" applyBorder="1" applyAlignment="1">
      <alignment horizontal="left"/>
    </xf>
    <xf numFmtId="1" fontId="6" fillId="0" borderId="145" xfId="126" applyNumberFormat="1" applyFont="1" applyBorder="1" applyAlignment="1">
      <alignment horizontal="left"/>
    </xf>
    <xf numFmtId="1" fontId="6" fillId="20" borderId="98" xfId="126" applyNumberFormat="1" applyFont="1" applyFill="1" applyBorder="1" applyAlignment="1">
      <alignment horizontal="left"/>
    </xf>
    <xf numFmtId="1" fontId="6" fillId="20" borderId="96" xfId="126" applyNumberFormat="1" applyFont="1" applyFill="1" applyBorder="1" applyAlignment="1">
      <alignment horizontal="left"/>
    </xf>
    <xf numFmtId="1" fontId="6" fillId="24" borderId="98" xfId="126" applyNumberFormat="1" applyFont="1" applyFill="1" applyBorder="1" applyAlignment="1" applyProtection="1">
      <alignment horizontal="left"/>
      <protection locked="0"/>
    </xf>
    <xf numFmtId="1" fontId="6" fillId="24" borderId="96" xfId="126" applyNumberFormat="1" applyFont="1" applyFill="1" applyBorder="1" applyAlignment="1" applyProtection="1">
      <alignment horizontal="left"/>
      <protection locked="0"/>
    </xf>
    <xf numFmtId="1" fontId="6" fillId="24" borderId="145" xfId="126" applyNumberFormat="1" applyFont="1" applyFill="1" applyBorder="1" applyAlignment="1" applyProtection="1">
      <alignment horizontal="left"/>
      <protection locked="0"/>
    </xf>
    <xf numFmtId="1" fontId="6" fillId="24" borderId="156" xfId="126" applyNumberFormat="1" applyFont="1" applyFill="1" applyBorder="1" applyAlignment="1" applyProtection="1">
      <alignment horizontal="left"/>
      <protection locked="0"/>
    </xf>
    <xf numFmtId="1" fontId="6" fillId="24" borderId="76" xfId="126" applyNumberFormat="1" applyFont="1" applyFill="1" applyBorder="1" applyAlignment="1" applyProtection="1">
      <alignment horizontal="left"/>
      <protection locked="0"/>
    </xf>
    <xf numFmtId="1" fontId="6" fillId="24" borderId="117" xfId="126" applyNumberFormat="1" applyFont="1" applyFill="1" applyBorder="1" applyAlignment="1" applyProtection="1">
      <alignment horizontal="left"/>
      <protection locked="0"/>
    </xf>
    <xf numFmtId="1" fontId="6" fillId="0" borderId="130" xfId="126" applyNumberFormat="1" applyFont="1" applyBorder="1" applyAlignment="1">
      <alignment horizontal="left"/>
    </xf>
    <xf numFmtId="1" fontId="6" fillId="20" borderId="36" xfId="126" applyNumberFormat="1" applyFont="1" applyFill="1" applyBorder="1" applyAlignment="1">
      <alignment horizontal="left"/>
    </xf>
    <xf numFmtId="1" fontId="6" fillId="0" borderId="107" xfId="126" applyNumberFormat="1" applyFont="1" applyBorder="1" applyAlignment="1">
      <alignment horizontal="left"/>
    </xf>
    <xf numFmtId="1" fontId="6" fillId="20" borderId="68" xfId="126" applyNumberFormat="1" applyFont="1" applyFill="1" applyBorder="1" applyAlignment="1">
      <alignment horizontal="left"/>
    </xf>
    <xf numFmtId="1" fontId="6" fillId="20" borderId="69" xfId="126" applyNumberFormat="1" applyFont="1" applyFill="1" applyBorder="1" applyAlignment="1">
      <alignment horizontal="left"/>
    </xf>
    <xf numFmtId="1" fontId="6" fillId="20" borderId="107" xfId="126" applyNumberFormat="1" applyFont="1" applyFill="1" applyBorder="1" applyAlignment="1">
      <alignment horizontal="left"/>
    </xf>
    <xf numFmtId="1" fontId="6" fillId="20" borderId="58" xfId="126" applyNumberFormat="1" applyFont="1" applyFill="1" applyBorder="1" applyAlignment="1">
      <alignment horizontal="left"/>
    </xf>
    <xf numFmtId="1" fontId="6" fillId="20" borderId="35" xfId="126" applyNumberFormat="1" applyFont="1" applyFill="1" applyBorder="1" applyAlignment="1">
      <alignment horizontal="left"/>
    </xf>
    <xf numFmtId="1" fontId="6" fillId="24" borderId="70" xfId="126" applyNumberFormat="1" applyFont="1" applyFill="1" applyBorder="1" applyAlignment="1" applyProtection="1">
      <alignment horizontal="left"/>
      <protection locked="0"/>
    </xf>
    <xf numFmtId="1" fontId="6" fillId="24" borderId="90" xfId="126" applyNumberFormat="1" applyFont="1" applyFill="1" applyBorder="1" applyAlignment="1" applyProtection="1">
      <alignment horizontal="left"/>
      <protection locked="0"/>
    </xf>
    <xf numFmtId="1" fontId="6" fillId="24" borderId="131" xfId="126" applyNumberFormat="1" applyFont="1" applyFill="1" applyBorder="1" applyAlignment="1" applyProtection="1">
      <alignment horizontal="left"/>
      <protection locked="0"/>
    </xf>
    <xf numFmtId="1" fontId="6" fillId="24" borderId="61" xfId="126" applyNumberFormat="1" applyFont="1" applyFill="1" applyBorder="1" applyAlignment="1" applyProtection="1">
      <alignment horizontal="left"/>
      <protection locked="0"/>
    </xf>
    <xf numFmtId="1" fontId="6" fillId="24" borderId="45" xfId="126" applyNumberFormat="1" applyFont="1" applyFill="1" applyBorder="1" applyAlignment="1" applyProtection="1">
      <alignment horizontal="left"/>
      <protection locked="0"/>
    </xf>
    <xf numFmtId="1" fontId="6" fillId="24" borderId="40" xfId="126" applyNumberFormat="1" applyFont="1" applyFill="1" applyBorder="1" applyAlignment="1" applyProtection="1">
      <alignment horizontal="left"/>
      <protection locked="0"/>
    </xf>
    <xf numFmtId="1" fontId="6" fillId="0" borderId="68" xfId="126" applyNumberFormat="1" applyFont="1" applyBorder="1" applyAlignment="1">
      <alignment horizontal="left"/>
    </xf>
    <xf numFmtId="1" fontId="6" fillId="0" borderId="36" xfId="126" applyNumberFormat="1" applyFont="1" applyBorder="1" applyAlignment="1">
      <alignment horizontal="left"/>
    </xf>
    <xf numFmtId="1" fontId="6" fillId="0" borderId="70" xfId="126" applyNumberFormat="1" applyFont="1" applyBorder="1" applyAlignment="1">
      <alignment horizontal="left"/>
    </xf>
    <xf numFmtId="1" fontId="6" fillId="0" borderId="40" xfId="126" applyNumberFormat="1" applyFont="1" applyBorder="1" applyAlignment="1">
      <alignment horizontal="left"/>
    </xf>
    <xf numFmtId="1" fontId="6" fillId="0" borderId="131" xfId="126" applyNumberFormat="1" applyFont="1" applyBorder="1" applyAlignment="1">
      <alignment horizontal="left"/>
    </xf>
    <xf numFmtId="1" fontId="6" fillId="24" borderId="32" xfId="126" applyNumberFormat="1" applyFont="1" applyFill="1" applyBorder="1" applyAlignment="1" applyProtection="1">
      <alignment horizontal="left"/>
      <protection locked="0"/>
    </xf>
    <xf numFmtId="1" fontId="6" fillId="18" borderId="75" xfId="0" applyNumberFormat="1" applyFont="1" applyFill="1" applyBorder="1" applyAlignment="1">
      <alignment horizontal="left"/>
    </xf>
    <xf numFmtId="1" fontId="6" fillId="20" borderId="35" xfId="0" applyNumberFormat="1" applyFont="1" applyFill="1" applyBorder="1" applyAlignment="1">
      <alignment horizontal="left"/>
    </xf>
    <xf numFmtId="1" fontId="6" fillId="20" borderId="106" xfId="126" applyNumberFormat="1" applyFont="1" applyFill="1" applyBorder="1" applyAlignment="1">
      <alignment horizontal="left"/>
    </xf>
    <xf numFmtId="1" fontId="6" fillId="20" borderId="105" xfId="126" applyNumberFormat="1" applyFont="1" applyFill="1" applyBorder="1" applyAlignment="1">
      <alignment horizontal="left"/>
    </xf>
    <xf numFmtId="1" fontId="6" fillId="20" borderId="118" xfId="126" applyNumberFormat="1" applyFont="1" applyFill="1" applyBorder="1" applyAlignment="1">
      <alignment horizontal="left"/>
    </xf>
    <xf numFmtId="1" fontId="6" fillId="20" borderId="66" xfId="0" applyNumberFormat="1" applyFont="1" applyFill="1" applyBorder="1" applyAlignment="1">
      <alignment horizontal="left"/>
    </xf>
    <xf numFmtId="1" fontId="6" fillId="0" borderId="91" xfId="0" applyNumberFormat="1" applyFont="1" applyBorder="1" applyAlignment="1">
      <alignment horizontal="left" wrapText="1"/>
    </xf>
    <xf numFmtId="1" fontId="6" fillId="0" borderId="32" xfId="0" applyNumberFormat="1" applyFont="1" applyBorder="1" applyAlignment="1">
      <alignment horizontal="left" wrapText="1"/>
    </xf>
    <xf numFmtId="1" fontId="6" fillId="0" borderId="34" xfId="0" applyNumberFormat="1" applyFont="1" applyBorder="1" applyAlignment="1">
      <alignment horizontal="left" wrapText="1"/>
    </xf>
    <xf numFmtId="1" fontId="6" fillId="24" borderId="142" xfId="126" applyNumberFormat="1" applyFont="1" applyFill="1" applyBorder="1" applyAlignment="1" applyProtection="1">
      <alignment horizontal="left"/>
      <protection locked="0"/>
    </xf>
    <xf numFmtId="1" fontId="6" fillId="0" borderId="68" xfId="0" applyNumberFormat="1" applyFont="1" applyBorder="1" applyAlignment="1">
      <alignment horizontal="left" wrapText="1"/>
    </xf>
    <xf numFmtId="1" fontId="6" fillId="0" borderId="21" xfId="0" applyNumberFormat="1" applyFont="1" applyBorder="1" applyAlignment="1">
      <alignment horizontal="left" wrapText="1"/>
    </xf>
    <xf numFmtId="1" fontId="6" fillId="0" borderId="39" xfId="0" applyNumberFormat="1" applyFont="1" applyBorder="1" applyAlignment="1">
      <alignment horizontal="left" wrapText="1"/>
    </xf>
    <xf numFmtId="1" fontId="6" fillId="24" borderId="37" xfId="126" applyNumberFormat="1" applyFont="1" applyFill="1" applyBorder="1" applyAlignment="1" applyProtection="1">
      <alignment horizontal="left"/>
      <protection locked="0"/>
    </xf>
    <xf numFmtId="1" fontId="6" fillId="0" borderId="106" xfId="0" applyNumberFormat="1" applyFont="1" applyBorder="1" applyAlignment="1">
      <alignment horizontal="left" wrapText="1"/>
    </xf>
    <xf numFmtId="1" fontId="6" fillId="0" borderId="123" xfId="0" applyNumberFormat="1" applyFont="1" applyBorder="1" applyAlignment="1">
      <alignment horizontal="left" wrapText="1"/>
    </xf>
    <xf numFmtId="1" fontId="6" fillId="0" borderId="124" xfId="0" applyNumberFormat="1" applyFont="1" applyBorder="1" applyAlignment="1">
      <alignment horizontal="left" wrapText="1"/>
    </xf>
    <xf numFmtId="1" fontId="6" fillId="24" borderId="137" xfId="126" applyNumberFormat="1" applyFont="1" applyFill="1" applyBorder="1" applyAlignment="1" applyProtection="1">
      <alignment horizontal="left"/>
      <protection locked="0"/>
    </xf>
    <xf numFmtId="1" fontId="6" fillId="20" borderId="144" xfId="126" applyNumberFormat="1" applyFont="1" applyFill="1" applyBorder="1" applyAlignment="1">
      <alignment horizontal="left"/>
    </xf>
    <xf numFmtId="1" fontId="6" fillId="20" borderId="75" xfId="126" applyNumberFormat="1" applyFont="1" applyFill="1" applyBorder="1" applyAlignment="1">
      <alignment horizontal="left"/>
    </xf>
    <xf numFmtId="1" fontId="6" fillId="0" borderId="82" xfId="126" applyNumberFormat="1" applyFont="1" applyBorder="1" applyAlignment="1">
      <alignment horizontal="left"/>
    </xf>
    <xf numFmtId="1" fontId="6" fillId="0" borderId="85" xfId="126" applyNumberFormat="1" applyFont="1" applyBorder="1" applyAlignment="1">
      <alignment horizontal="left"/>
    </xf>
    <xf numFmtId="1" fontId="6" fillId="0" borderId="132" xfId="126" applyNumberFormat="1" applyFont="1" applyBorder="1" applyAlignment="1">
      <alignment horizontal="left"/>
    </xf>
    <xf numFmtId="1" fontId="6" fillId="20" borderId="101" xfId="126" applyNumberFormat="1" applyFont="1" applyFill="1" applyBorder="1" applyAlignment="1">
      <alignment horizontal="left"/>
    </xf>
    <xf numFmtId="1" fontId="6" fillId="20" borderId="66" xfId="126" applyNumberFormat="1" applyFont="1" applyFill="1" applyBorder="1" applyAlignment="1">
      <alignment horizontal="left"/>
    </xf>
    <xf numFmtId="1" fontId="6" fillId="0" borderId="105" xfId="126" applyNumberFormat="1" applyFont="1" applyBorder="1" applyAlignment="1">
      <alignment horizontal="left"/>
    </xf>
    <xf numFmtId="1" fontId="6" fillId="24" borderId="78" xfId="126" applyNumberFormat="1" applyFont="1" applyFill="1" applyBorder="1" applyAlignment="1" applyProtection="1">
      <alignment horizontal="left"/>
      <protection locked="0"/>
    </xf>
    <xf numFmtId="1" fontId="6" fillId="24" borderId="122" xfId="126" applyNumberFormat="1" applyFont="1" applyFill="1" applyBorder="1" applyAlignment="1" applyProtection="1">
      <alignment horizontal="left"/>
      <protection locked="0"/>
    </xf>
    <xf numFmtId="1" fontId="6" fillId="24" borderId="192" xfId="126" applyNumberFormat="1" applyFont="1" applyFill="1" applyBorder="1" applyAlignment="1" applyProtection="1">
      <alignment horizontal="left"/>
      <protection locked="0"/>
    </xf>
    <xf numFmtId="1" fontId="6" fillId="24" borderId="64" xfId="126" applyNumberFormat="1" applyFont="1" applyFill="1" applyBorder="1" applyAlignment="1" applyProtection="1">
      <alignment horizontal="left"/>
      <protection locked="0"/>
    </xf>
    <xf numFmtId="1" fontId="6" fillId="20" borderId="122" xfId="126" applyNumberFormat="1" applyFont="1" applyFill="1" applyBorder="1" applyAlignment="1">
      <alignment horizontal="left"/>
    </xf>
    <xf numFmtId="1" fontId="6" fillId="20" borderId="192" xfId="126" applyNumberFormat="1" applyFont="1" applyFill="1" applyBorder="1" applyAlignment="1">
      <alignment horizontal="left"/>
    </xf>
    <xf numFmtId="1" fontId="6" fillId="24" borderId="87" xfId="126" applyNumberFormat="1" applyFont="1" applyFill="1" applyBorder="1" applyAlignment="1" applyProtection="1">
      <alignment horizontal="left"/>
      <protection locked="0"/>
    </xf>
    <xf numFmtId="1" fontId="6" fillId="24" borderId="202" xfId="126" applyNumberFormat="1" applyFont="1" applyFill="1" applyBorder="1" applyAlignment="1" applyProtection="1">
      <alignment horizontal="left"/>
      <protection locked="0"/>
    </xf>
    <xf numFmtId="1" fontId="6" fillId="24" borderId="27" xfId="126" applyNumberFormat="1" applyFont="1" applyFill="1" applyBorder="1" applyAlignment="1" applyProtection="1">
      <alignment horizontal="left"/>
      <protection locked="0"/>
    </xf>
    <xf numFmtId="1" fontId="6" fillId="24" borderId="151" xfId="126" applyNumberFormat="1" applyFont="1" applyFill="1" applyBorder="1" applyAlignment="1" applyProtection="1">
      <alignment horizontal="left"/>
      <protection locked="0"/>
    </xf>
    <xf numFmtId="1" fontId="6" fillId="24" borderId="124" xfId="126" applyNumberFormat="1" applyFont="1" applyFill="1" applyBorder="1" applyAlignment="1" applyProtection="1">
      <alignment horizontal="left"/>
      <protection locked="0"/>
    </xf>
    <xf numFmtId="1" fontId="6" fillId="24" borderId="147" xfId="126" applyNumberFormat="1" applyFont="1" applyFill="1" applyBorder="1" applyAlignment="1" applyProtection="1">
      <alignment horizontal="left"/>
      <protection locked="0"/>
    </xf>
    <xf numFmtId="1" fontId="6" fillId="24" borderId="166" xfId="126" applyNumberFormat="1" applyFont="1" applyFill="1" applyBorder="1" applyAlignment="1" applyProtection="1">
      <alignment horizontal="left"/>
      <protection locked="0"/>
    </xf>
    <xf numFmtId="1" fontId="6" fillId="24" borderId="11" xfId="126" applyNumberFormat="1" applyFont="1" applyFill="1" applyBorder="1" applyAlignment="1" applyProtection="1">
      <alignment horizontal="left"/>
      <protection locked="0"/>
    </xf>
    <xf numFmtId="1" fontId="6" fillId="24" borderId="85" xfId="126" applyNumberFormat="1" applyFont="1" applyFill="1" applyBorder="1" applyAlignment="1" applyProtection="1">
      <alignment horizontal="left"/>
      <protection locked="0"/>
    </xf>
    <xf numFmtId="1" fontId="6" fillId="24" borderId="29" xfId="126" applyNumberFormat="1" applyFont="1" applyFill="1" applyBorder="1" applyAlignment="1" applyProtection="1">
      <alignment horizontal="left"/>
      <protection locked="0"/>
    </xf>
    <xf numFmtId="1" fontId="6" fillId="0" borderId="25" xfId="126" applyNumberFormat="1" applyFont="1" applyBorder="1" applyAlignment="1">
      <alignment horizontal="left"/>
    </xf>
    <xf numFmtId="1" fontId="6" fillId="20" borderId="67" xfId="126" applyNumberFormat="1" applyFont="1" applyFill="1" applyBorder="1" applyAlignment="1">
      <alignment horizontal="left"/>
    </xf>
    <xf numFmtId="1" fontId="6" fillId="20" borderId="86" xfId="126" applyNumberFormat="1" applyFont="1" applyFill="1" applyBorder="1" applyAlignment="1">
      <alignment horizontal="left"/>
    </xf>
    <xf numFmtId="1" fontId="6" fillId="20" borderId="82" xfId="126" applyNumberFormat="1" applyFont="1" applyFill="1" applyBorder="1" applyAlignment="1">
      <alignment horizontal="left"/>
    </xf>
    <xf numFmtId="1" fontId="6" fillId="20" borderId="83" xfId="126" applyNumberFormat="1" applyFont="1" applyFill="1" applyBorder="1" applyAlignment="1">
      <alignment horizontal="left"/>
    </xf>
    <xf numFmtId="1" fontId="6" fillId="24" borderId="80" xfId="126" applyNumberFormat="1" applyFont="1" applyFill="1" applyBorder="1" applyAlignment="1" applyProtection="1">
      <alignment horizontal="left"/>
      <protection locked="0"/>
    </xf>
    <xf numFmtId="1" fontId="6" fillId="24" borderId="150" xfId="126" applyNumberFormat="1" applyFont="1" applyFill="1" applyBorder="1" applyAlignment="1" applyProtection="1">
      <alignment horizontal="left"/>
      <protection locked="0"/>
    </xf>
    <xf numFmtId="1" fontId="6" fillId="24" borderId="34" xfId="126" applyNumberFormat="1" applyFont="1" applyFill="1" applyBorder="1" applyAlignment="1" applyProtection="1">
      <alignment horizontal="left"/>
      <protection locked="0"/>
    </xf>
    <xf numFmtId="1" fontId="6" fillId="24" borderId="148" xfId="126" applyNumberFormat="1" applyFont="1" applyFill="1" applyBorder="1" applyAlignment="1" applyProtection="1">
      <alignment horizontal="left"/>
      <protection locked="0"/>
    </xf>
    <xf numFmtId="1" fontId="6" fillId="24" borderId="39" xfId="126" applyNumberFormat="1" applyFont="1" applyFill="1" applyBorder="1" applyAlignment="1" applyProtection="1">
      <alignment horizontal="left"/>
      <protection locked="0"/>
    </xf>
    <xf numFmtId="1" fontId="6" fillId="20" borderId="37" xfId="126" applyNumberFormat="1" applyFont="1" applyFill="1" applyBorder="1" applyAlignment="1">
      <alignment horizontal="left"/>
    </xf>
    <xf numFmtId="1" fontId="6" fillId="20" borderId="148" xfId="126" applyNumberFormat="1" applyFont="1" applyFill="1" applyBorder="1" applyAlignment="1">
      <alignment horizontal="left"/>
    </xf>
    <xf numFmtId="1" fontId="6" fillId="20" borderId="39" xfId="126" applyNumberFormat="1" applyFont="1" applyFill="1" applyBorder="1" applyAlignment="1">
      <alignment horizontal="left"/>
    </xf>
    <xf numFmtId="1" fontId="6" fillId="24" borderId="42" xfId="126" applyNumberFormat="1" applyFont="1" applyFill="1" applyBorder="1" applyAlignment="1" applyProtection="1">
      <alignment horizontal="left"/>
      <protection locked="0"/>
    </xf>
    <xf numFmtId="1" fontId="6" fillId="24" borderId="203" xfId="126" applyNumberFormat="1" applyFont="1" applyFill="1" applyBorder="1" applyAlignment="1" applyProtection="1">
      <alignment horizontal="left"/>
      <protection locked="0"/>
    </xf>
    <xf numFmtId="1" fontId="6" fillId="24" borderId="44" xfId="126" applyNumberFormat="1" applyFont="1" applyFill="1" applyBorder="1" applyAlignment="1" applyProtection="1">
      <alignment horizontal="left"/>
      <protection locked="0"/>
    </xf>
    <xf numFmtId="1" fontId="6" fillId="20" borderId="30" xfId="0" applyNumberFormat="1" applyFont="1" applyFill="1" applyBorder="1" applyAlignment="1">
      <alignment horizontal="left"/>
    </xf>
    <xf numFmtId="1" fontId="6" fillId="20" borderId="137" xfId="126" applyNumberFormat="1" applyFont="1" applyFill="1" applyBorder="1" applyAlignment="1">
      <alignment horizontal="left"/>
    </xf>
    <xf numFmtId="1" fontId="6" fillId="0" borderId="98" xfId="0" applyNumberFormat="1" applyFont="1" applyBorder="1" applyAlignment="1">
      <alignment horizontal="left" wrapText="1"/>
    </xf>
    <xf numFmtId="1" fontId="6" fillId="0" borderId="128" xfId="0" applyNumberFormat="1" applyFont="1" applyBorder="1" applyAlignment="1">
      <alignment horizontal="left" wrapText="1"/>
    </xf>
    <xf numFmtId="1" fontId="6" fillId="0" borderId="97" xfId="0" applyNumberFormat="1" applyFont="1" applyBorder="1" applyAlignment="1">
      <alignment horizontal="left" wrapText="1"/>
    </xf>
    <xf numFmtId="1" fontId="6" fillId="20" borderId="202" xfId="126" applyNumberFormat="1" applyFont="1" applyFill="1" applyBorder="1" applyAlignment="1">
      <alignment horizontal="left"/>
    </xf>
    <xf numFmtId="1" fontId="6" fillId="20" borderId="30" xfId="126" applyNumberFormat="1" applyFont="1" applyFill="1" applyBorder="1" applyAlignment="1">
      <alignment horizontal="left"/>
    </xf>
    <xf numFmtId="1" fontId="6" fillId="20" borderId="150" xfId="126" applyNumberFormat="1" applyFont="1" applyFill="1" applyBorder="1" applyAlignment="1">
      <alignment horizontal="left"/>
    </xf>
    <xf numFmtId="1" fontId="6" fillId="20" borderId="166" xfId="126" applyNumberFormat="1" applyFont="1" applyFill="1" applyBorder="1" applyAlignment="1">
      <alignment horizontal="left"/>
    </xf>
    <xf numFmtId="1" fontId="6" fillId="20" borderId="11" xfId="126" applyNumberFormat="1" applyFont="1" applyFill="1" applyBorder="1" applyAlignment="1">
      <alignment horizontal="left"/>
    </xf>
    <xf numFmtId="1" fontId="6" fillId="24" borderId="143" xfId="126" applyNumberFormat="1" applyFont="1" applyFill="1" applyBorder="1" applyAlignment="1" applyProtection="1">
      <alignment horizontal="left"/>
      <protection locked="0"/>
    </xf>
    <xf numFmtId="1" fontId="6" fillId="24" borderId="97" xfId="126" applyNumberFormat="1" applyFont="1" applyFill="1" applyBorder="1" applyAlignment="1" applyProtection="1">
      <alignment horizontal="left"/>
      <protection locked="0"/>
    </xf>
    <xf numFmtId="1" fontId="6" fillId="0" borderId="123" xfId="126" applyNumberFormat="1" applyFont="1" applyBorder="1" applyAlignment="1">
      <alignment horizontal="left"/>
    </xf>
    <xf numFmtId="0" fontId="13" fillId="14" borderId="135" xfId="124" applyFont="1" applyFill="1" applyBorder="1" applyAlignment="1" applyProtection="1">
      <alignment horizontal="center" vertical="center" wrapText="1"/>
    </xf>
    <xf numFmtId="0" fontId="8" fillId="0" borderId="76" xfId="0" applyFont="1" applyBorder="1" applyAlignment="1">
      <alignment horizontal="center" vertical="center" wrapText="1"/>
    </xf>
    <xf numFmtId="0" fontId="8" fillId="0" borderId="11" xfId="0" applyFont="1" applyBorder="1" applyAlignment="1">
      <alignment horizontal="center" vertical="center" wrapText="1"/>
    </xf>
    <xf numFmtId="0" fontId="3" fillId="19" borderId="188" xfId="0" applyFont="1" applyFill="1" applyBorder="1" applyAlignment="1">
      <alignment horizontal="center" vertical="center" wrapText="1"/>
    </xf>
    <xf numFmtId="0" fontId="3" fillId="0" borderId="209" xfId="0" applyFont="1" applyBorder="1" applyAlignment="1">
      <alignment horizontal="center" vertical="center" wrapText="1"/>
    </xf>
    <xf numFmtId="0" fontId="4" fillId="19" borderId="207" xfId="124" applyFont="1" applyFill="1" applyBorder="1" applyAlignment="1" applyProtection="1">
      <alignment horizontal="center" vertical="center" wrapText="1"/>
    </xf>
    <xf numFmtId="0" fontId="11" fillId="14" borderId="208" xfId="120" applyFont="1" applyFill="1" applyBorder="1" applyAlignment="1">
      <alignment horizontal="center" vertical="center"/>
    </xf>
    <xf numFmtId="0" fontId="11" fillId="14" borderId="192" xfId="120" applyFont="1" applyFill="1" applyBorder="1" applyAlignment="1">
      <alignment horizontal="center" vertical="center"/>
    </xf>
    <xf numFmtId="0" fontId="7" fillId="19" borderId="10" xfId="124" applyFont="1" applyFill="1" applyBorder="1" applyAlignment="1" applyProtection="1">
      <alignment horizontal="center" vertical="center"/>
    </xf>
    <xf numFmtId="0" fontId="7" fillId="19" borderId="64" xfId="124" applyFont="1" applyFill="1" applyBorder="1" applyAlignment="1" applyProtection="1">
      <alignment horizontal="center" vertical="center"/>
    </xf>
    <xf numFmtId="1" fontId="14" fillId="0" borderId="65" xfId="0" applyNumberFormat="1" applyFont="1" applyBorder="1" applyAlignment="1" applyProtection="1">
      <alignment horizontal="left"/>
      <protection hidden="1"/>
    </xf>
    <xf numFmtId="1" fontId="14" fillId="0" borderId="0" xfId="0" applyNumberFormat="1" applyFont="1" applyAlignment="1" applyProtection="1">
      <alignment horizontal="left"/>
      <protection hidden="1"/>
    </xf>
    <xf numFmtId="1" fontId="6" fillId="0" borderId="4" xfId="0" applyNumberFormat="1" applyFont="1" applyBorder="1" applyAlignment="1" applyProtection="1">
      <alignment horizontal="left" vertical="center" wrapText="1"/>
      <protection hidden="1"/>
    </xf>
    <xf numFmtId="1" fontId="6" fillId="0" borderId="135" xfId="0" applyNumberFormat="1" applyFont="1" applyBorder="1" applyAlignment="1" applyProtection="1">
      <alignment horizontal="center" vertical="center"/>
      <protection hidden="1"/>
    </xf>
    <xf numFmtId="1" fontId="6" fillId="0" borderId="11" xfId="0" applyNumberFormat="1" applyFont="1" applyBorder="1" applyAlignment="1" applyProtection="1">
      <alignment horizontal="center" vertical="center"/>
      <protection hidden="1"/>
    </xf>
    <xf numFmtId="1" fontId="6" fillId="0" borderId="135" xfId="0" applyNumberFormat="1" applyFont="1" applyBorder="1" applyAlignment="1" applyProtection="1">
      <alignment horizontal="center" vertical="center" wrapText="1"/>
      <protection hidden="1"/>
    </xf>
    <xf numFmtId="1" fontId="6" fillId="0" borderId="11" xfId="0" applyNumberFormat="1" applyFont="1" applyBorder="1" applyAlignment="1" applyProtection="1">
      <alignment horizontal="center" vertical="center" wrapText="1"/>
      <protection hidden="1"/>
    </xf>
    <xf numFmtId="1" fontId="6" fillId="0" borderId="76" xfId="0" applyNumberFormat="1" applyFont="1" applyBorder="1" applyAlignment="1" applyProtection="1">
      <alignment horizontal="center" vertical="center" wrapText="1"/>
      <protection hidden="1"/>
    </xf>
    <xf numFmtId="1" fontId="6" fillId="0" borderId="10" xfId="0" applyNumberFormat="1" applyFont="1" applyBorder="1" applyAlignment="1" applyProtection="1">
      <alignment horizontal="center" vertical="center" wrapText="1"/>
      <protection hidden="1"/>
    </xf>
    <xf numFmtId="1" fontId="6" fillId="0" borderId="93" xfId="0" applyNumberFormat="1" applyFont="1" applyBorder="1" applyAlignment="1" applyProtection="1">
      <alignment horizontal="center" vertical="center" wrapText="1"/>
      <protection hidden="1"/>
    </xf>
    <xf numFmtId="1" fontId="6" fillId="0" borderId="64" xfId="0" applyNumberFormat="1" applyFont="1" applyBorder="1" applyAlignment="1" applyProtection="1">
      <alignment horizontal="center" vertical="center" wrapText="1"/>
      <protection hidden="1"/>
    </xf>
    <xf numFmtId="1" fontId="6" fillId="0" borderId="77" xfId="0" applyNumberFormat="1" applyFont="1" applyBorder="1" applyAlignment="1" applyProtection="1">
      <alignment horizontal="left" vertical="center" wrapText="1"/>
      <protection hidden="1"/>
    </xf>
    <xf numFmtId="1" fontId="6" fillId="0" borderId="124" xfId="0" applyNumberFormat="1" applyFont="1" applyBorder="1" applyAlignment="1" applyProtection="1">
      <alignment horizontal="left" vertical="center" wrapText="1"/>
      <protection hidden="1"/>
    </xf>
    <xf numFmtId="1" fontId="30" fillId="0" borderId="73" xfId="0" applyNumberFormat="1" applyFont="1" applyBorder="1" applyAlignment="1" applyProtection="1">
      <alignment horizontal="left" vertical="center" wrapText="1"/>
      <protection hidden="1"/>
    </xf>
    <xf numFmtId="1" fontId="30" fillId="0" borderId="39" xfId="0" applyNumberFormat="1" applyFont="1" applyBorder="1" applyAlignment="1" applyProtection="1">
      <alignment horizontal="left" vertical="center" wrapText="1"/>
      <protection hidden="1"/>
    </xf>
    <xf numFmtId="0" fontId="6" fillId="0" borderId="186" xfId="0" applyFont="1" applyBorder="1" applyAlignment="1">
      <alignment horizontal="center" wrapText="1"/>
    </xf>
    <xf numFmtId="0" fontId="6" fillId="0" borderId="135" xfId="0" applyFont="1" applyBorder="1" applyAlignment="1">
      <alignment horizontal="center" vertical="center" wrapText="1"/>
    </xf>
    <xf numFmtId="0" fontId="6" fillId="0" borderId="76" xfId="0" applyFont="1" applyBorder="1" applyAlignment="1">
      <alignment horizontal="center" vertical="center" wrapText="1"/>
    </xf>
    <xf numFmtId="0" fontId="6" fillId="0" borderId="11" xfId="0" applyFont="1" applyBorder="1" applyAlignment="1">
      <alignment horizontal="center" vertical="center" wrapText="1"/>
    </xf>
    <xf numFmtId="1" fontId="30" fillId="0" borderId="10" xfId="0" applyNumberFormat="1" applyFont="1" applyBorder="1" applyAlignment="1" applyProtection="1">
      <alignment horizontal="center" vertical="center"/>
      <protection hidden="1"/>
    </xf>
    <xf numFmtId="1" fontId="30" fillId="0" borderId="93" xfId="0" applyNumberFormat="1" applyFont="1" applyBorder="1" applyAlignment="1" applyProtection="1">
      <alignment horizontal="center" vertical="center"/>
      <protection hidden="1"/>
    </xf>
    <xf numFmtId="1" fontId="30" fillId="0" borderId="63" xfId="0" applyNumberFormat="1" applyFont="1" applyBorder="1" applyAlignment="1" applyProtection="1">
      <alignment horizontal="center" vertical="center"/>
      <protection hidden="1"/>
    </xf>
    <xf numFmtId="1" fontId="30" fillId="0" borderId="94" xfId="0" applyNumberFormat="1" applyFont="1" applyBorder="1" applyAlignment="1">
      <alignment horizontal="left" vertical="center"/>
    </xf>
    <xf numFmtId="1" fontId="30" fillId="0" borderId="29" xfId="0" applyNumberFormat="1" applyFont="1" applyBorder="1" applyAlignment="1">
      <alignment horizontal="left" vertical="center"/>
    </xf>
    <xf numFmtId="1" fontId="30" fillId="0" borderId="194" xfId="0" applyNumberFormat="1" applyFont="1" applyBorder="1" applyAlignment="1">
      <alignment horizontal="center" vertical="center" wrapText="1"/>
    </xf>
    <xf numFmtId="1" fontId="30" fillId="0" borderId="29" xfId="0" applyNumberFormat="1" applyFont="1" applyBorder="1" applyAlignment="1">
      <alignment horizontal="center" vertical="center" wrapText="1"/>
    </xf>
    <xf numFmtId="1" fontId="14" fillId="0" borderId="0" xfId="0" applyNumberFormat="1" applyFont="1" applyAlignment="1" applyProtection="1">
      <alignment horizontal="center" vertical="center" wrapText="1"/>
      <protection hidden="1"/>
    </xf>
    <xf numFmtId="1" fontId="14" fillId="0" borderId="162" xfId="0" applyNumberFormat="1" applyFont="1" applyBorder="1" applyAlignment="1" applyProtection="1">
      <alignment horizontal="left"/>
      <protection hidden="1"/>
    </xf>
    <xf numFmtId="1" fontId="14" fillId="0" borderId="93" xfId="0" applyNumberFormat="1" applyFont="1" applyBorder="1" applyAlignment="1" applyProtection="1">
      <alignment horizontal="left"/>
      <protection hidden="1"/>
    </xf>
    <xf numFmtId="1" fontId="14" fillId="0" borderId="6" xfId="0" applyNumberFormat="1" applyFont="1" applyBorder="1" applyAlignment="1" applyProtection="1">
      <alignment horizontal="left"/>
      <protection hidden="1"/>
    </xf>
    <xf numFmtId="1" fontId="14" fillId="0" borderId="22" xfId="0" applyNumberFormat="1" applyFont="1" applyBorder="1" applyAlignment="1" applyProtection="1">
      <alignment horizontal="left"/>
      <protection hidden="1"/>
    </xf>
    <xf numFmtId="1" fontId="6" fillId="0" borderId="49" xfId="0" applyNumberFormat="1" applyFont="1" applyBorder="1" applyAlignment="1" applyProtection="1">
      <alignment horizontal="center" vertical="center" wrapText="1"/>
      <protection hidden="1"/>
    </xf>
    <xf numFmtId="1" fontId="6" fillId="0" borderId="29" xfId="0" applyNumberFormat="1" applyFont="1" applyBorder="1" applyAlignment="1" applyProtection="1">
      <alignment horizontal="center" vertical="center" wrapText="1"/>
      <protection hidden="1"/>
    </xf>
    <xf numFmtId="1" fontId="6" fillId="0" borderId="1" xfId="0" applyNumberFormat="1" applyFont="1" applyBorder="1" applyAlignment="1" applyProtection="1">
      <alignment horizontal="center" vertical="center" wrapText="1"/>
      <protection hidden="1"/>
    </xf>
    <xf numFmtId="1" fontId="6" fillId="0" borderId="193" xfId="0" applyNumberFormat="1" applyFont="1" applyBorder="1" applyAlignment="1" applyProtection="1">
      <alignment horizontal="center" vertical="center" wrapText="1"/>
      <protection hidden="1"/>
    </xf>
    <xf numFmtId="1" fontId="6" fillId="0" borderId="119" xfId="0" applyNumberFormat="1" applyFont="1" applyBorder="1" applyAlignment="1" applyProtection="1">
      <alignment horizontal="center" vertical="center" wrapText="1"/>
      <protection hidden="1"/>
    </xf>
    <xf numFmtId="1" fontId="6" fillId="0" borderId="93" xfId="0" applyNumberFormat="1" applyFont="1" applyBorder="1" applyAlignment="1" applyProtection="1">
      <alignment horizontal="left" vertical="center" wrapText="1"/>
      <protection hidden="1"/>
    </xf>
    <xf numFmtId="1" fontId="6" fillId="0" borderId="64" xfId="0" applyNumberFormat="1" applyFont="1" applyBorder="1" applyAlignment="1" applyProtection="1">
      <alignment horizontal="left" vertical="center" wrapText="1"/>
      <protection hidden="1"/>
    </xf>
    <xf numFmtId="1" fontId="6" fillId="0" borderId="205" xfId="0" applyNumberFormat="1" applyFont="1" applyBorder="1" applyAlignment="1">
      <alignment horizontal="center" vertical="center" wrapText="1"/>
    </xf>
    <xf numFmtId="1" fontId="6" fillId="0" borderId="83" xfId="0" applyNumberFormat="1" applyFont="1" applyBorder="1" applyAlignment="1">
      <alignment horizontal="center" vertical="center" wrapText="1"/>
    </xf>
    <xf numFmtId="1" fontId="6" fillId="0" borderId="193" xfId="0" applyNumberFormat="1" applyFont="1" applyBorder="1" applyAlignment="1">
      <alignment horizontal="center" vertical="center" wrapText="1"/>
    </xf>
    <xf numFmtId="1" fontId="6" fillId="0" borderId="11" xfId="0" applyNumberFormat="1" applyFont="1" applyBorder="1" applyAlignment="1">
      <alignment horizontal="center" vertical="center" wrapText="1"/>
    </xf>
    <xf numFmtId="1" fontId="6" fillId="0" borderId="159" xfId="0" quotePrefix="1" applyNumberFormat="1" applyFont="1" applyBorder="1" applyAlignment="1" applyProtection="1">
      <alignment horizontal="center" vertical="center"/>
      <protection hidden="1"/>
    </xf>
    <xf numFmtId="1" fontId="6" fillId="0" borderId="160" xfId="0" quotePrefix="1" applyNumberFormat="1" applyFont="1" applyBorder="1" applyAlignment="1" applyProtection="1">
      <alignment horizontal="center" vertical="center"/>
      <protection hidden="1"/>
    </xf>
    <xf numFmtId="1" fontId="30" fillId="0" borderId="188" xfId="0" applyNumberFormat="1" applyFont="1" applyBorder="1" applyAlignment="1">
      <alignment horizontal="left" vertical="center"/>
    </xf>
    <xf numFmtId="1" fontId="30" fillId="0" borderId="64" xfId="0" applyNumberFormat="1" applyFont="1" applyBorder="1" applyAlignment="1">
      <alignment horizontal="left" vertical="center"/>
    </xf>
    <xf numFmtId="1" fontId="6" fillId="0" borderId="161" xfId="0" applyNumberFormat="1" applyFont="1" applyBorder="1" applyAlignment="1" applyProtection="1">
      <alignment horizontal="left" vertical="center" wrapText="1"/>
      <protection hidden="1"/>
    </xf>
    <xf numFmtId="1" fontId="6" fillId="0" borderId="53" xfId="0" applyNumberFormat="1" applyFont="1" applyBorder="1" applyAlignment="1" applyProtection="1">
      <alignment horizontal="left" vertical="center" wrapText="1"/>
      <protection hidden="1"/>
    </xf>
    <xf numFmtId="1" fontId="30" fillId="0" borderId="30" xfId="0" applyNumberFormat="1" applyFont="1" applyBorder="1" applyAlignment="1" applyProtection="1">
      <alignment horizontal="center" vertical="center" wrapText="1"/>
      <protection hidden="1"/>
    </xf>
    <xf numFmtId="1" fontId="30" fillId="0" borderId="66" xfId="0" applyNumberFormat="1" applyFont="1" applyBorder="1" applyAlignment="1" applyProtection="1">
      <alignment horizontal="center" vertical="center" wrapText="1"/>
      <protection hidden="1"/>
    </xf>
    <xf numFmtId="1" fontId="30" fillId="0" borderId="197" xfId="0" applyNumberFormat="1" applyFont="1" applyBorder="1" applyAlignment="1">
      <alignment horizontal="center" vertical="center" wrapText="1"/>
    </xf>
    <xf numFmtId="1" fontId="30" fillId="0" borderId="85" xfId="0" applyNumberFormat="1" applyFont="1" applyBorder="1" applyAlignment="1">
      <alignment horizontal="center" vertical="center" wrapText="1"/>
    </xf>
    <xf numFmtId="1" fontId="6" fillId="0" borderId="136" xfId="0" applyNumberFormat="1" applyFont="1" applyBorder="1" applyAlignment="1" applyProtection="1">
      <alignment horizontal="center" vertical="center"/>
      <protection hidden="1"/>
    </xf>
    <xf numFmtId="1" fontId="6" fillId="0" borderId="94" xfId="0" applyNumberFormat="1" applyFont="1" applyBorder="1" applyAlignment="1" applyProtection="1">
      <alignment horizontal="center" vertical="center"/>
      <protection hidden="1"/>
    </xf>
    <xf numFmtId="1" fontId="6" fillId="0" borderId="46" xfId="0" applyNumberFormat="1" applyFont="1" applyBorder="1" applyAlignment="1">
      <alignment horizontal="center" vertical="center" wrapText="1"/>
    </xf>
    <xf numFmtId="1" fontId="6" fillId="0" borderId="85" xfId="0" applyNumberFormat="1" applyFont="1" applyBorder="1" applyAlignment="1">
      <alignment horizontal="center" vertical="center" wrapText="1"/>
    </xf>
    <xf numFmtId="1" fontId="30" fillId="0" borderId="67" xfId="0" applyNumberFormat="1" applyFont="1" applyBorder="1" applyAlignment="1" applyProtection="1">
      <alignment horizontal="left"/>
      <protection hidden="1"/>
    </xf>
    <xf numFmtId="1" fontId="30" fillId="0" borderId="86" xfId="0" quotePrefix="1" applyNumberFormat="1" applyFont="1" applyBorder="1" applyAlignment="1" applyProtection="1">
      <alignment horizontal="left"/>
      <protection hidden="1"/>
    </xf>
    <xf numFmtId="1" fontId="6" fillId="0" borderId="188" xfId="0" applyNumberFormat="1" applyFont="1" applyBorder="1" applyAlignment="1" applyProtection="1">
      <alignment horizontal="center" vertical="center"/>
      <protection hidden="1"/>
    </xf>
    <xf numFmtId="1" fontId="6" fillId="0" borderId="93" xfId="0" applyNumberFormat="1" applyFont="1" applyBorder="1" applyAlignment="1" applyProtection="1">
      <alignment horizontal="center" vertical="center"/>
      <protection hidden="1"/>
    </xf>
    <xf numFmtId="1" fontId="6" fillId="0" borderId="63" xfId="0" applyNumberFormat="1" applyFont="1" applyBorder="1" applyAlignment="1" applyProtection="1">
      <alignment horizontal="center" vertical="center"/>
      <protection hidden="1"/>
    </xf>
    <xf numFmtId="1" fontId="6" fillId="0" borderId="136" xfId="0" applyNumberFormat="1" applyFont="1" applyBorder="1" applyAlignment="1" applyProtection="1">
      <alignment horizontal="center" vertical="center" wrapText="1"/>
      <protection hidden="1"/>
    </xf>
    <xf numFmtId="1" fontId="6" fillId="0" borderId="187" xfId="0" applyNumberFormat="1" applyFont="1" applyBorder="1" applyAlignment="1" applyProtection="1">
      <alignment horizontal="center" vertical="center" wrapText="1"/>
      <protection hidden="1"/>
    </xf>
    <xf numFmtId="1" fontId="6" fillId="0" borderId="94" xfId="0" applyNumberFormat="1" applyFont="1" applyBorder="1" applyAlignment="1" applyProtection="1">
      <alignment horizontal="center" vertical="center" wrapText="1"/>
      <protection hidden="1"/>
    </xf>
    <xf numFmtId="1" fontId="6" fillId="0" borderId="136" xfId="0" quotePrefix="1" applyNumberFormat="1" applyFont="1" applyBorder="1" applyAlignment="1" applyProtection="1">
      <alignment horizontal="center" vertical="center"/>
      <protection hidden="1"/>
    </xf>
    <xf numFmtId="1" fontId="6" fillId="0" borderId="49" xfId="0" quotePrefix="1" applyNumberFormat="1" applyFont="1" applyBorder="1" applyAlignment="1" applyProtection="1">
      <alignment horizontal="center" vertical="center"/>
      <protection hidden="1"/>
    </xf>
    <xf numFmtId="1" fontId="6" fillId="0" borderId="94" xfId="0" quotePrefix="1" applyNumberFormat="1" applyFont="1" applyBorder="1" applyAlignment="1" applyProtection="1">
      <alignment horizontal="center" vertical="center"/>
      <protection hidden="1"/>
    </xf>
    <xf numFmtId="1" fontId="6" fillId="0" borderId="29" xfId="0" quotePrefix="1" applyNumberFormat="1" applyFont="1" applyBorder="1" applyAlignment="1" applyProtection="1">
      <alignment horizontal="center" vertical="center"/>
      <protection hidden="1"/>
    </xf>
    <xf numFmtId="1" fontId="6" fillId="0" borderId="62" xfId="0" applyNumberFormat="1" applyFont="1" applyBorder="1" applyAlignment="1" applyProtection="1">
      <alignment horizontal="center" vertical="center" wrapText="1"/>
      <protection hidden="1"/>
    </xf>
    <xf numFmtId="1" fontId="30" fillId="0" borderId="74" xfId="0" applyNumberFormat="1" applyFont="1" applyBorder="1" applyAlignment="1" applyProtection="1">
      <alignment horizontal="left" vertical="center" wrapText="1"/>
      <protection hidden="1"/>
    </xf>
    <xf numFmtId="1" fontId="30" fillId="0" borderId="34" xfId="0" applyNumberFormat="1" applyFont="1" applyBorder="1" applyAlignment="1" applyProtection="1">
      <alignment horizontal="left" vertical="center" wrapText="1"/>
      <protection hidden="1"/>
    </xf>
    <xf numFmtId="1" fontId="30" fillId="0" borderId="136" xfId="0" quotePrefix="1" applyNumberFormat="1" applyFont="1" applyBorder="1" applyAlignment="1" applyProtection="1">
      <alignment horizontal="center" vertical="center"/>
      <protection hidden="1"/>
    </xf>
    <xf numFmtId="1" fontId="30" fillId="0" borderId="49" xfId="0" quotePrefix="1" applyNumberFormat="1" applyFont="1" applyBorder="1" applyAlignment="1" applyProtection="1">
      <alignment horizontal="center" vertical="center"/>
      <protection hidden="1"/>
    </xf>
    <xf numFmtId="1" fontId="30" fillId="0" borderId="94" xfId="0" quotePrefix="1" applyNumberFormat="1" applyFont="1" applyBorder="1" applyAlignment="1" applyProtection="1">
      <alignment horizontal="center" vertical="center"/>
      <protection hidden="1"/>
    </xf>
    <xf numFmtId="1" fontId="30" fillId="0" borderId="29" xfId="0" quotePrefix="1" applyNumberFormat="1" applyFont="1" applyBorder="1" applyAlignment="1" applyProtection="1">
      <alignment horizontal="center" vertical="center"/>
      <protection hidden="1"/>
    </xf>
    <xf numFmtId="1" fontId="30" fillId="0" borderId="136" xfId="0" applyNumberFormat="1" applyFont="1" applyBorder="1" applyAlignment="1" applyProtection="1">
      <alignment horizontal="center" vertical="center"/>
      <protection hidden="1"/>
    </xf>
    <xf numFmtId="1" fontId="30" fillId="0" borderId="94" xfId="0" applyNumberFormat="1" applyFont="1" applyBorder="1" applyAlignment="1" applyProtection="1">
      <alignment horizontal="center" vertical="center"/>
      <protection hidden="1"/>
    </xf>
    <xf numFmtId="1" fontId="30" fillId="0" borderId="200" xfId="0" applyNumberFormat="1" applyFont="1" applyBorder="1" applyAlignment="1">
      <alignment horizontal="center" vertical="center" wrapText="1"/>
    </xf>
    <xf numFmtId="1" fontId="30" fillId="0" borderId="146" xfId="0" applyNumberFormat="1" applyFont="1" applyBorder="1" applyAlignment="1">
      <alignment horizontal="center" vertical="center" wrapText="1"/>
    </xf>
    <xf numFmtId="1" fontId="6" fillId="0" borderId="188" xfId="0" applyNumberFormat="1" applyFont="1" applyBorder="1" applyAlignment="1" applyProtection="1">
      <alignment horizontal="center" vertical="center" wrapText="1"/>
      <protection hidden="1"/>
    </xf>
    <xf numFmtId="1" fontId="6" fillId="0" borderId="46" xfId="0" applyNumberFormat="1" applyFont="1" applyBorder="1" applyAlignment="1" applyProtection="1">
      <alignment horizontal="center" vertical="center" wrapText="1"/>
      <protection hidden="1"/>
    </xf>
    <xf numFmtId="1" fontId="6" fillId="0" borderId="85" xfId="0" applyNumberFormat="1" applyFont="1" applyBorder="1" applyAlignment="1" applyProtection="1">
      <alignment horizontal="center" vertical="center" wrapText="1"/>
      <protection hidden="1"/>
    </xf>
    <xf numFmtId="1" fontId="6" fillId="0" borderId="102" xfId="0" applyNumberFormat="1" applyFont="1" applyBorder="1" applyAlignment="1" applyProtection="1">
      <alignment horizontal="center" vertical="center" wrapText="1"/>
      <protection hidden="1"/>
    </xf>
    <xf numFmtId="1" fontId="6" fillId="0" borderId="83" xfId="0" applyNumberFormat="1" applyFont="1" applyBorder="1" applyAlignment="1" applyProtection="1">
      <alignment horizontal="center" vertical="center" wrapText="1"/>
      <protection hidden="1"/>
    </xf>
    <xf numFmtId="1" fontId="6" fillId="0" borderId="77" xfId="125" applyNumberFormat="1" applyFont="1" applyBorder="1" applyAlignment="1">
      <alignment horizontal="left" vertical="center"/>
    </xf>
    <xf numFmtId="1" fontId="6" fillId="0" borderId="124" xfId="125" applyNumberFormat="1" applyFont="1" applyBorder="1" applyAlignment="1">
      <alignment horizontal="left" vertical="center"/>
    </xf>
    <xf numFmtId="1" fontId="6" fillId="0" borderId="67" xfId="126" applyNumberFormat="1" applyFont="1" applyBorder="1" applyAlignment="1">
      <alignment horizontal="center" vertical="center"/>
    </xf>
    <xf numFmtId="1" fontId="6" fillId="0" borderId="25" xfId="126" applyNumberFormat="1" applyFont="1" applyBorder="1" applyAlignment="1">
      <alignment horizontal="center" vertical="center"/>
    </xf>
    <xf numFmtId="1" fontId="6" fillId="0" borderId="86" xfId="126" applyNumberFormat="1" applyFont="1" applyBorder="1" applyAlignment="1">
      <alignment horizontal="center" vertical="center"/>
    </xf>
    <xf numFmtId="1" fontId="6" fillId="0" borderId="106" xfId="126" applyNumberFormat="1" applyFont="1" applyBorder="1" applyAlignment="1">
      <alignment horizontal="center" vertical="center"/>
    </xf>
    <xf numFmtId="1" fontId="6" fillId="0" borderId="123" xfId="126" applyNumberFormat="1" applyFont="1" applyBorder="1" applyAlignment="1">
      <alignment horizontal="center" vertical="center"/>
    </xf>
    <xf numFmtId="1" fontId="6" fillId="0" borderId="105" xfId="126" applyNumberFormat="1" applyFont="1" applyBorder="1" applyAlignment="1">
      <alignment horizontal="center" vertical="center"/>
    </xf>
    <xf numFmtId="1" fontId="6" fillId="0" borderId="10" xfId="125" applyNumberFormat="1" applyFont="1" applyBorder="1" applyAlignment="1">
      <alignment horizontal="center" vertical="center"/>
    </xf>
    <xf numFmtId="1" fontId="6" fillId="0" borderId="93" xfId="125" applyNumberFormat="1" applyFont="1" applyBorder="1" applyAlignment="1">
      <alignment horizontal="center" vertical="center"/>
    </xf>
    <xf numFmtId="1" fontId="6" fillId="0" borderId="64" xfId="125" applyNumberFormat="1" applyFont="1" applyBorder="1" applyAlignment="1">
      <alignment horizontal="center" vertical="center"/>
    </xf>
    <xf numFmtId="1" fontId="6" fillId="0" borderId="188" xfId="125" applyNumberFormat="1" applyFont="1" applyBorder="1" applyAlignment="1">
      <alignment horizontal="center" vertical="center" wrapText="1"/>
    </xf>
    <xf numFmtId="1" fontId="6" fillId="0" borderId="64" xfId="125" applyNumberFormat="1" applyFont="1" applyBorder="1" applyAlignment="1">
      <alignment horizontal="center" vertical="center" wrapText="1"/>
    </xf>
    <xf numFmtId="1" fontId="6" fillId="0" borderId="188" xfId="125" quotePrefix="1" applyNumberFormat="1" applyFont="1" applyBorder="1" applyAlignment="1">
      <alignment horizontal="center" vertical="center" wrapText="1"/>
    </xf>
    <xf numFmtId="1" fontId="6" fillId="0" borderId="93" xfId="125" quotePrefix="1" applyNumberFormat="1" applyFont="1" applyBorder="1" applyAlignment="1">
      <alignment horizontal="center" vertical="center" wrapText="1"/>
    </xf>
    <xf numFmtId="1" fontId="6" fillId="0" borderId="63" xfId="125" quotePrefix="1" applyNumberFormat="1" applyFont="1" applyBorder="1" applyAlignment="1">
      <alignment horizontal="center" vertical="center" wrapText="1"/>
    </xf>
    <xf numFmtId="1" fontId="6" fillId="0" borderId="188" xfId="125" applyNumberFormat="1" applyFont="1" applyBorder="1" applyAlignment="1">
      <alignment horizontal="left" vertical="center" wrapText="1"/>
    </xf>
    <xf numFmtId="1" fontId="6" fillId="0" borderId="64" xfId="125" applyNumberFormat="1" applyFont="1" applyBorder="1" applyAlignment="1">
      <alignment horizontal="left" vertical="center" wrapText="1"/>
    </xf>
    <xf numFmtId="1" fontId="6" fillId="0" borderId="169" xfId="125" applyNumberFormat="1" applyFont="1" applyBorder="1" applyAlignment="1">
      <alignment horizontal="center" vertical="center" wrapText="1"/>
    </xf>
    <xf numFmtId="1" fontId="6" fillId="0" borderId="167" xfId="125" applyNumberFormat="1" applyFont="1" applyBorder="1" applyAlignment="1">
      <alignment horizontal="center" vertical="center" wrapText="1"/>
    </xf>
    <xf numFmtId="1" fontId="6" fillId="0" borderId="168" xfId="125" applyNumberFormat="1" applyFont="1" applyBorder="1" applyAlignment="1">
      <alignment horizontal="center" vertical="center" wrapText="1"/>
    </xf>
    <xf numFmtId="1" fontId="6" fillId="0" borderId="74" xfId="125" applyNumberFormat="1" applyFont="1" applyBorder="1" applyAlignment="1">
      <alignment horizontal="left" vertical="center" wrapText="1"/>
    </xf>
    <xf numFmtId="1" fontId="6" fillId="0" borderId="34" xfId="125" applyNumberFormat="1" applyFont="1" applyBorder="1" applyAlignment="1">
      <alignment horizontal="left" vertical="center" wrapText="1"/>
    </xf>
    <xf numFmtId="1" fontId="6" fillId="0" borderId="23" xfId="125" applyNumberFormat="1" applyFont="1" applyBorder="1" applyAlignment="1">
      <alignment horizontal="center" vertical="center" wrapText="1"/>
    </xf>
    <xf numFmtId="1" fontId="6" fillId="0" borderId="192" xfId="125" applyNumberFormat="1" applyFont="1" applyBorder="1" applyAlignment="1">
      <alignment horizontal="center" vertical="center" wrapText="1"/>
    </xf>
    <xf numFmtId="1" fontId="6" fillId="0" borderId="117" xfId="125" applyNumberFormat="1" applyFont="1" applyBorder="1" applyAlignment="1">
      <alignment horizontal="center" vertical="center" wrapText="1"/>
    </xf>
    <xf numFmtId="1" fontId="6" fillId="0" borderId="128" xfId="125" applyNumberFormat="1" applyFont="1" applyBorder="1" applyAlignment="1">
      <alignment horizontal="center" vertical="center" wrapText="1"/>
    </xf>
    <xf numFmtId="1" fontId="6" fillId="0" borderId="191" xfId="125" applyNumberFormat="1" applyFont="1" applyBorder="1" applyAlignment="1">
      <alignment horizontal="center" vertical="center"/>
    </xf>
    <xf numFmtId="1" fontId="6" fillId="0" borderId="192" xfId="125" applyNumberFormat="1" applyFont="1" applyBorder="1" applyAlignment="1">
      <alignment horizontal="center" vertical="center"/>
    </xf>
    <xf numFmtId="1" fontId="6" fillId="0" borderId="193" xfId="125" applyNumberFormat="1" applyFont="1" applyBorder="1" applyAlignment="1">
      <alignment horizontal="center" vertical="center" wrapText="1"/>
    </xf>
    <xf numFmtId="1" fontId="6" fillId="0" borderId="76" xfId="125" applyNumberFormat="1" applyFont="1" applyBorder="1" applyAlignment="1">
      <alignment horizontal="center" vertical="center" wrapText="1"/>
    </xf>
    <xf numFmtId="1" fontId="6" fillId="0" borderId="11" xfId="125" applyNumberFormat="1" applyFont="1" applyBorder="1" applyAlignment="1">
      <alignment horizontal="center" vertical="center" wrapText="1"/>
    </xf>
    <xf numFmtId="1" fontId="6" fillId="0" borderId="10" xfId="125" applyNumberFormat="1" applyFont="1" applyBorder="1" applyAlignment="1">
      <alignment horizontal="center" vertical="center" wrapText="1"/>
    </xf>
    <xf numFmtId="1" fontId="6" fillId="0" borderId="191" xfId="125" applyNumberFormat="1" applyFont="1" applyBorder="1" applyAlignment="1">
      <alignment horizontal="center" vertical="center" wrapText="1"/>
    </xf>
    <xf numFmtId="1" fontId="6" fillId="0" borderId="100" xfId="125" applyNumberFormat="1" applyFont="1" applyBorder="1" applyAlignment="1">
      <alignment horizontal="center" vertical="center" wrapText="1"/>
    </xf>
    <xf numFmtId="1" fontId="6" fillId="0" borderId="127" xfId="0" applyNumberFormat="1" applyFont="1" applyBorder="1" applyAlignment="1">
      <alignment horizontal="center" vertical="center" wrapText="1"/>
    </xf>
    <xf numFmtId="1" fontId="6" fillId="0" borderId="99" xfId="125" applyNumberFormat="1" applyFont="1" applyBorder="1" applyAlignment="1">
      <alignment horizontal="center" vertical="center" wrapText="1"/>
    </xf>
    <xf numFmtId="1" fontId="6" fillId="0" borderId="82" xfId="125" applyNumberFormat="1" applyFont="1" applyBorder="1" applyAlignment="1">
      <alignment horizontal="center" vertical="center" wrapText="1"/>
    </xf>
    <xf numFmtId="1" fontId="6" fillId="0" borderId="10" xfId="0" applyNumberFormat="1" applyFont="1" applyBorder="1"/>
    <xf numFmtId="1" fontId="6" fillId="0" borderId="64" xfId="0" applyNumberFormat="1" applyFont="1" applyBorder="1"/>
    <xf numFmtId="1" fontId="6" fillId="0" borderId="72" xfId="125" applyNumberFormat="1" applyFont="1" applyBorder="1" applyAlignment="1">
      <alignment horizontal="left" vertical="center"/>
    </xf>
    <xf numFmtId="1" fontId="6" fillId="0" borderId="27" xfId="125" applyNumberFormat="1" applyFont="1" applyBorder="1" applyAlignment="1">
      <alignment horizontal="left" vertical="center"/>
    </xf>
    <xf numFmtId="1" fontId="6" fillId="0" borderId="136" xfId="125" applyNumberFormat="1" applyFont="1" applyBorder="1" applyAlignment="1">
      <alignment horizontal="center" vertical="center" wrapText="1"/>
    </xf>
    <xf numFmtId="1" fontId="6" fillId="0" borderId="49" xfId="125" applyNumberFormat="1" applyFont="1" applyBorder="1" applyAlignment="1">
      <alignment horizontal="center" vertical="center" wrapText="1"/>
    </xf>
    <xf numFmtId="1" fontId="6" fillId="0" borderId="94" xfId="125" applyNumberFormat="1" applyFont="1" applyBorder="1" applyAlignment="1">
      <alignment horizontal="center" vertical="center" wrapText="1"/>
    </xf>
    <xf numFmtId="1" fontId="6" fillId="0" borderId="29" xfId="125" applyNumberFormat="1" applyFont="1" applyBorder="1" applyAlignment="1">
      <alignment horizontal="center" vertical="center" wrapText="1"/>
    </xf>
    <xf numFmtId="1" fontId="6" fillId="0" borderId="67" xfId="0" applyNumberFormat="1" applyFont="1" applyBorder="1" applyAlignment="1">
      <alignment horizontal="center" vertical="center" wrapText="1"/>
    </xf>
    <xf numFmtId="1" fontId="6" fillId="0" borderId="86" xfId="0" applyNumberFormat="1" applyFont="1" applyBorder="1" applyAlignment="1">
      <alignment horizontal="center" vertical="center" wrapText="1"/>
    </xf>
    <xf numFmtId="1" fontId="6" fillId="0" borderId="70" xfId="0" applyNumberFormat="1" applyFont="1" applyBorder="1" applyAlignment="1">
      <alignment horizontal="center" vertical="center" wrapText="1"/>
    </xf>
    <xf numFmtId="1" fontId="6" fillId="0" borderId="90" xfId="0" applyNumberFormat="1" applyFont="1" applyBorder="1" applyAlignment="1">
      <alignment horizontal="center" vertical="center" wrapText="1"/>
    </xf>
    <xf numFmtId="1" fontId="6" fillId="0" borderId="145" xfId="125" applyNumberFormat="1" applyFont="1" applyBorder="1" applyAlignment="1">
      <alignment horizontal="center" vertical="center" wrapText="1"/>
    </xf>
    <xf numFmtId="1" fontId="6" fillId="0" borderId="7" xfId="125" quotePrefix="1" applyNumberFormat="1" applyFont="1" applyBorder="1" applyAlignment="1">
      <alignment horizontal="center" vertical="center" wrapText="1"/>
    </xf>
    <xf numFmtId="1" fontId="6" fillId="0" borderId="218" xfId="125" quotePrefix="1" applyNumberFormat="1" applyFont="1" applyBorder="1" applyAlignment="1">
      <alignment horizontal="center" vertical="center" wrapText="1"/>
    </xf>
    <xf numFmtId="1" fontId="6" fillId="0" borderId="80" xfId="125" quotePrefix="1" applyNumberFormat="1" applyFont="1" applyBorder="1" applyAlignment="1">
      <alignment horizontal="center" vertical="center" wrapText="1"/>
    </xf>
    <xf numFmtId="1" fontId="6" fillId="0" borderId="103" xfId="0" applyNumberFormat="1" applyFont="1" applyBorder="1" applyAlignment="1">
      <alignment horizontal="center" vertical="center" wrapText="1"/>
    </xf>
    <xf numFmtId="1" fontId="6" fillId="0" borderId="129" xfId="0" applyNumberFormat="1" applyFont="1" applyBorder="1" applyAlignment="1">
      <alignment horizontal="center" vertical="center" wrapText="1"/>
    </xf>
    <xf numFmtId="1" fontId="6" fillId="0" borderId="140" xfId="0" applyNumberFormat="1" applyFont="1" applyBorder="1" applyAlignment="1">
      <alignment horizontal="center" vertical="center" wrapText="1"/>
    </xf>
    <xf numFmtId="1" fontId="6" fillId="0" borderId="131" xfId="0" applyNumberFormat="1" applyFont="1" applyBorder="1" applyAlignment="1">
      <alignment horizontal="center" vertical="center" wrapText="1"/>
    </xf>
    <xf numFmtId="1" fontId="14" fillId="0" borderId="6" xfId="125" quotePrefix="1" applyNumberFormat="1" applyFont="1" applyBorder="1" applyAlignment="1">
      <alignment horizontal="left"/>
    </xf>
    <xf numFmtId="1" fontId="14" fillId="0" borderId="0" xfId="125" quotePrefix="1" applyNumberFormat="1" applyFont="1" applyAlignment="1">
      <alignment horizontal="left"/>
    </xf>
    <xf numFmtId="1" fontId="10" fillId="0" borderId="171" xfId="125" applyNumberFormat="1" applyFont="1" applyBorder="1" applyAlignment="1">
      <alignment horizontal="center" vertical="center" wrapText="1"/>
    </xf>
    <xf numFmtId="1" fontId="10" fillId="0" borderId="29" xfId="125" applyNumberFormat="1" applyFont="1" applyBorder="1" applyAlignment="1">
      <alignment horizontal="center" vertical="center" wrapText="1"/>
    </xf>
    <xf numFmtId="1" fontId="6" fillId="0" borderId="167" xfId="0" applyNumberFormat="1" applyFont="1" applyBorder="1" applyAlignment="1">
      <alignment horizontal="center" vertical="center" wrapText="1"/>
    </xf>
    <xf numFmtId="1" fontId="6" fillId="0" borderId="168" xfId="0" applyNumberFormat="1" applyFont="1" applyBorder="1" applyAlignment="1">
      <alignment horizontal="center" vertical="center" wrapText="1"/>
    </xf>
    <xf numFmtId="1" fontId="14" fillId="17" borderId="0" xfId="125" applyNumberFormat="1" applyFont="1" applyFill="1" applyAlignment="1">
      <alignment horizontal="center" vertical="center" wrapText="1"/>
    </xf>
    <xf numFmtId="1" fontId="6" fillId="0" borderId="49" xfId="125" applyNumberFormat="1" applyFont="1" applyBorder="1" applyAlignment="1">
      <alignment horizontal="center" vertical="center"/>
    </xf>
    <xf numFmtId="1" fontId="6" fillId="0" borderId="9" xfId="125" applyNumberFormat="1" applyFont="1" applyBorder="1" applyAlignment="1">
      <alignment horizontal="center" vertical="center"/>
    </xf>
    <xf numFmtId="1" fontId="6" fillId="0" borderId="97" xfId="125" applyNumberFormat="1" applyFont="1" applyBorder="1" applyAlignment="1">
      <alignment horizontal="center" vertical="center"/>
    </xf>
    <xf numFmtId="1" fontId="6" fillId="0" borderId="94" xfId="125" applyNumberFormat="1" applyFont="1" applyBorder="1" applyAlignment="1">
      <alignment horizontal="center" vertical="center"/>
    </xf>
    <xf numFmtId="1" fontId="6" fillId="0" borderId="29" xfId="125" applyNumberFormat="1" applyFont="1" applyBorder="1" applyAlignment="1">
      <alignment horizontal="center" vertical="center"/>
    </xf>
    <xf numFmtId="1" fontId="6" fillId="0" borderId="136" xfId="126" applyNumberFormat="1" applyFont="1" applyBorder="1" applyAlignment="1">
      <alignment horizontal="center" vertical="center"/>
    </xf>
    <xf numFmtId="1" fontId="6" fillId="0" borderId="4" xfId="126" applyNumberFormat="1" applyFont="1" applyBorder="1" applyAlignment="1">
      <alignment horizontal="center" vertical="center"/>
    </xf>
    <xf numFmtId="1" fontId="6" fillId="0" borderId="49" xfId="126" applyNumberFormat="1" applyFont="1" applyBorder="1" applyAlignment="1">
      <alignment horizontal="center" vertical="center"/>
    </xf>
    <xf numFmtId="1" fontId="6" fillId="0" borderId="94" xfId="126" applyNumberFormat="1" applyFont="1" applyBorder="1" applyAlignment="1">
      <alignment horizontal="center" vertical="center"/>
    </xf>
    <xf numFmtId="1" fontId="6" fillId="0" borderId="6" xfId="126" applyNumberFormat="1" applyFont="1" applyBorder="1" applyAlignment="1">
      <alignment horizontal="center" vertical="center"/>
    </xf>
    <xf numFmtId="1" fontId="6" fillId="0" borderId="29" xfId="126" applyNumberFormat="1" applyFont="1" applyBorder="1" applyAlignment="1">
      <alignment horizontal="center" vertical="center"/>
    </xf>
    <xf numFmtId="1" fontId="6" fillId="22" borderId="169" xfId="0" applyNumberFormat="1" applyFont="1" applyFill="1" applyBorder="1" applyAlignment="1">
      <alignment horizontal="center" vertical="center" wrapText="1"/>
    </xf>
    <xf numFmtId="1" fontId="6" fillId="22" borderId="167" xfId="0" applyNumberFormat="1" applyFont="1" applyFill="1" applyBorder="1" applyAlignment="1">
      <alignment horizontal="center" vertical="center" wrapText="1"/>
    </xf>
    <xf numFmtId="1" fontId="6" fillId="22" borderId="168" xfId="0" applyNumberFormat="1" applyFont="1" applyFill="1" applyBorder="1" applyAlignment="1">
      <alignment horizontal="center" vertical="center" wrapText="1"/>
    </xf>
    <xf numFmtId="1" fontId="6" fillId="0" borderId="169" xfId="0" applyNumberFormat="1" applyFont="1" applyBorder="1" applyAlignment="1">
      <alignment horizontal="center" vertical="center" wrapText="1"/>
    </xf>
    <xf numFmtId="1" fontId="6" fillId="0" borderId="192" xfId="0" applyNumberFormat="1" applyFont="1" applyBorder="1" applyAlignment="1">
      <alignment horizontal="center" vertical="center" wrapText="1"/>
    </xf>
    <xf numFmtId="1" fontId="6" fillId="0" borderId="1" xfId="0" applyNumberFormat="1" applyFont="1" applyBorder="1" applyAlignment="1">
      <alignment horizontal="center" vertical="center" wrapText="1"/>
    </xf>
    <xf numFmtId="1" fontId="6" fillId="0" borderId="62" xfId="0" applyNumberFormat="1" applyFont="1" applyBorder="1" applyAlignment="1">
      <alignment horizontal="center" vertical="center" wrapText="1"/>
    </xf>
    <xf numFmtId="1" fontId="6" fillId="0" borderId="7" xfId="0" applyNumberFormat="1" applyFont="1" applyBorder="1" applyAlignment="1">
      <alignment horizontal="center" vertical="center" wrapText="1"/>
    </xf>
    <xf numFmtId="1" fontId="6" fillId="0" borderId="208" xfId="125" quotePrefix="1" applyNumberFormat="1" applyFont="1" applyBorder="1" applyAlignment="1">
      <alignment horizontal="center" vertical="center" wrapText="1"/>
    </xf>
    <xf numFmtId="1" fontId="6" fillId="0" borderId="191" xfId="125" quotePrefix="1" applyNumberFormat="1" applyFont="1" applyBorder="1" applyAlignment="1">
      <alignment horizontal="center" vertical="center" wrapText="1"/>
    </xf>
    <xf numFmtId="1" fontId="6" fillId="0" borderId="192" xfId="125" quotePrefix="1" applyNumberFormat="1" applyFont="1" applyBorder="1" applyAlignment="1">
      <alignment horizontal="center" vertical="center" wrapText="1"/>
    </xf>
    <xf numFmtId="1" fontId="10" fillId="0" borderId="10" xfId="125" applyNumberFormat="1" applyFont="1" applyBorder="1" applyAlignment="1">
      <alignment horizontal="center" vertical="center" wrapText="1"/>
    </xf>
    <xf numFmtId="1" fontId="10" fillId="0" borderId="64" xfId="125" applyNumberFormat="1" applyFont="1" applyBorder="1" applyAlignment="1">
      <alignment horizontal="center" vertical="center" wrapText="1"/>
    </xf>
    <xf numFmtId="1" fontId="6" fillId="0" borderId="135" xfId="125" applyNumberFormat="1" applyFont="1" applyBorder="1" applyAlignment="1">
      <alignment horizontal="center" vertical="center" wrapText="1"/>
    </xf>
    <xf numFmtId="1" fontId="6" fillId="0" borderId="0" xfId="126" applyNumberFormat="1" applyFont="1" applyAlignment="1">
      <alignment horizontal="center" vertical="center"/>
    </xf>
    <xf numFmtId="1" fontId="6" fillId="0" borderId="97" xfId="126" applyNumberFormat="1" applyFont="1" applyBorder="1" applyAlignment="1">
      <alignment horizontal="center" vertical="center"/>
    </xf>
    <xf numFmtId="1" fontId="6" fillId="0" borderId="73" xfId="125" applyNumberFormat="1" applyFont="1" applyBorder="1" applyAlignment="1">
      <alignment horizontal="left" vertical="center" wrapText="1"/>
    </xf>
    <xf numFmtId="1" fontId="6" fillId="0" borderId="39" xfId="125" applyNumberFormat="1" applyFont="1" applyBorder="1" applyAlignment="1">
      <alignment horizontal="left" vertical="center" wrapText="1"/>
    </xf>
    <xf numFmtId="1" fontId="6" fillId="0" borderId="67" xfId="125" applyNumberFormat="1" applyFont="1" applyBorder="1" applyAlignment="1">
      <alignment horizontal="center" vertical="center" wrapText="1"/>
    </xf>
    <xf numFmtId="1" fontId="6" fillId="0" borderId="86" xfId="125" applyNumberFormat="1" applyFont="1" applyBorder="1" applyAlignment="1">
      <alignment horizontal="center" vertical="center" wrapText="1"/>
    </xf>
    <xf numFmtId="1" fontId="6" fillId="0" borderId="68" xfId="125" applyNumberFormat="1" applyFont="1" applyBorder="1" applyAlignment="1">
      <alignment horizontal="center" vertical="center" wrapText="1"/>
    </xf>
    <xf numFmtId="1" fontId="6" fillId="0" borderId="69" xfId="125" applyNumberFormat="1" applyFont="1" applyBorder="1" applyAlignment="1">
      <alignment horizontal="center" vertical="center" wrapText="1"/>
    </xf>
    <xf numFmtId="1" fontId="6" fillId="0" borderId="106" xfId="125" applyNumberFormat="1" applyFont="1" applyBorder="1" applyAlignment="1">
      <alignment horizontal="center" vertical="center" wrapText="1"/>
    </xf>
    <xf numFmtId="1" fontId="6" fillId="0" borderId="105" xfId="125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horizontal="left" vertical="top" wrapText="1"/>
    </xf>
    <xf numFmtId="1" fontId="6" fillId="0" borderId="210" xfId="125" applyNumberFormat="1" applyFont="1" applyBorder="1" applyAlignment="1">
      <alignment horizontal="center" vertical="center" wrapText="1"/>
    </xf>
    <xf numFmtId="1" fontId="6" fillId="0" borderId="194" xfId="125" applyNumberFormat="1" applyFont="1" applyBorder="1" applyAlignment="1">
      <alignment horizontal="center" vertical="center" wrapText="1"/>
    </xf>
    <xf numFmtId="1" fontId="6" fillId="0" borderId="30" xfId="0" applyNumberFormat="1" applyFont="1" applyBorder="1" applyAlignment="1" applyProtection="1">
      <alignment horizontal="center" vertical="center" wrapText="1"/>
      <protection hidden="1"/>
    </xf>
    <xf numFmtId="1" fontId="6" fillId="0" borderId="35" xfId="0" applyNumberFormat="1" applyFont="1" applyBorder="1" applyAlignment="1" applyProtection="1">
      <alignment horizontal="center" vertical="center" wrapText="1"/>
      <protection hidden="1"/>
    </xf>
    <xf numFmtId="1" fontId="6" fillId="0" borderId="45" xfId="0" applyNumberFormat="1" applyFont="1" applyBorder="1" applyAlignment="1" applyProtection="1">
      <alignment horizontal="center" vertical="center" wrapText="1"/>
      <protection hidden="1"/>
    </xf>
    <xf numFmtId="1" fontId="6" fillId="0" borderId="66" xfId="0" applyNumberFormat="1" applyFont="1" applyBorder="1" applyAlignment="1" applyProtection="1">
      <alignment horizontal="center" vertical="center" wrapText="1"/>
      <protection hidden="1"/>
    </xf>
    <xf numFmtId="1" fontId="6" fillId="0" borderId="170" xfId="125" applyNumberFormat="1" applyFont="1" applyBorder="1" applyAlignment="1">
      <alignment horizontal="center" vertical="center" wrapText="1"/>
    </xf>
    <xf numFmtId="1" fontId="6" fillId="0" borderId="146" xfId="125" applyNumberFormat="1" applyFont="1" applyBorder="1" applyAlignment="1">
      <alignment horizontal="center" vertical="center" wrapText="1"/>
    </xf>
    <xf numFmtId="1" fontId="6" fillId="0" borderId="135" xfId="125" applyNumberFormat="1" applyFont="1" applyBorder="1" applyAlignment="1">
      <alignment horizontal="center" vertical="center"/>
    </xf>
    <xf numFmtId="1" fontId="6" fillId="0" borderId="11" xfId="125" applyNumberFormat="1" applyFont="1" applyBorder="1" applyAlignment="1">
      <alignment horizontal="center" vertical="center"/>
    </xf>
    <xf numFmtId="1" fontId="6" fillId="0" borderId="73" xfId="125" applyNumberFormat="1" applyFont="1" applyBorder="1" applyAlignment="1">
      <alignment horizontal="left" vertical="center"/>
    </xf>
    <xf numFmtId="1" fontId="6" fillId="0" borderId="39" xfId="125" applyNumberFormat="1" applyFont="1" applyBorder="1" applyAlignment="1">
      <alignment horizontal="left" vertical="center"/>
    </xf>
    <xf numFmtId="1" fontId="6" fillId="0" borderId="206" xfId="125" applyNumberFormat="1" applyFont="1" applyBorder="1" applyAlignment="1">
      <alignment horizontal="center" vertical="center" wrapText="1"/>
    </xf>
    <xf numFmtId="1" fontId="6" fillId="0" borderId="141" xfId="0" applyNumberFormat="1" applyFont="1" applyBorder="1" applyAlignment="1">
      <alignment horizontal="center" vertical="center" wrapText="1"/>
    </xf>
    <xf numFmtId="1" fontId="6" fillId="0" borderId="205" xfId="125" applyNumberFormat="1" applyFont="1" applyBorder="1" applyAlignment="1">
      <alignment horizontal="center" vertical="center" wrapText="1"/>
    </xf>
    <xf numFmtId="1" fontId="6" fillId="0" borderId="30" xfId="125" applyNumberFormat="1" applyFont="1" applyBorder="1" applyAlignment="1">
      <alignment horizontal="center" vertical="center" wrapText="1"/>
    </xf>
    <xf numFmtId="1" fontId="6" fillId="0" borderId="35" xfId="125" applyNumberFormat="1" applyFont="1" applyBorder="1" applyAlignment="1">
      <alignment horizontal="center" vertical="center" wrapText="1"/>
    </xf>
    <xf numFmtId="1" fontId="6" fillId="0" borderId="66" xfId="125" applyNumberFormat="1" applyFont="1" applyBorder="1" applyAlignment="1">
      <alignment horizontal="center" vertical="center" wrapText="1"/>
    </xf>
    <xf numFmtId="1" fontId="6" fillId="0" borderId="7" xfId="125" applyNumberFormat="1" applyFont="1" applyBorder="1" applyAlignment="1">
      <alignment horizontal="center" vertical="center" wrapText="1"/>
    </xf>
    <xf numFmtId="1" fontId="6" fillId="0" borderId="219" xfId="125" applyNumberFormat="1" applyFont="1" applyBorder="1" applyAlignment="1">
      <alignment horizontal="center" vertical="center" wrapText="1"/>
    </xf>
    <xf numFmtId="1" fontId="6" fillId="22" borderId="72" xfId="0" applyNumberFormat="1" applyFont="1" applyFill="1" applyBorder="1" applyAlignment="1">
      <alignment horizontal="left"/>
    </xf>
    <xf numFmtId="1" fontId="6" fillId="22" borderId="27" xfId="0" applyNumberFormat="1" applyFont="1" applyFill="1" applyBorder="1" applyAlignment="1">
      <alignment horizontal="left"/>
    </xf>
    <xf numFmtId="1" fontId="6" fillId="22" borderId="73" xfId="110" applyNumberFormat="1" applyFont="1" applyFill="1" applyBorder="1" applyAlignment="1">
      <alignment horizontal="left"/>
    </xf>
    <xf numFmtId="1" fontId="6" fillId="22" borderId="39" xfId="110" applyNumberFormat="1" applyFont="1" applyFill="1" applyBorder="1" applyAlignment="1">
      <alignment horizontal="left"/>
    </xf>
    <xf numFmtId="1" fontId="6" fillId="22" borderId="135" xfId="125" applyNumberFormat="1" applyFont="1" applyFill="1" applyBorder="1" applyAlignment="1">
      <alignment horizontal="center" vertical="center"/>
    </xf>
    <xf numFmtId="1" fontId="6" fillId="22" borderId="11" xfId="125" applyNumberFormat="1" applyFont="1" applyFill="1" applyBorder="1" applyAlignment="1">
      <alignment horizontal="center" vertical="center"/>
    </xf>
    <xf numFmtId="1" fontId="6" fillId="22" borderId="136" xfId="125" applyNumberFormat="1" applyFont="1" applyFill="1" applyBorder="1" applyAlignment="1">
      <alignment horizontal="center" vertical="center" wrapText="1"/>
    </xf>
    <xf numFmtId="1" fontId="6" fillId="22" borderId="49" xfId="125" applyNumberFormat="1" applyFont="1" applyFill="1" applyBorder="1" applyAlignment="1">
      <alignment horizontal="center" vertical="center" wrapText="1"/>
    </xf>
    <xf numFmtId="1" fontId="6" fillId="22" borderId="94" xfId="125" applyNumberFormat="1" applyFont="1" applyFill="1" applyBorder="1" applyAlignment="1">
      <alignment horizontal="center" vertical="center" wrapText="1"/>
    </xf>
    <xf numFmtId="1" fontId="6" fillId="22" borderId="29" xfId="125" applyNumberFormat="1" applyFont="1" applyFill="1" applyBorder="1" applyAlignment="1">
      <alignment horizontal="center" vertical="center" wrapText="1"/>
    </xf>
    <xf numFmtId="1" fontId="6" fillId="0" borderId="77" xfId="0" applyNumberFormat="1" applyFont="1" applyBorder="1" applyAlignment="1">
      <alignment horizontal="left"/>
    </xf>
    <xf numFmtId="1" fontId="6" fillId="0" borderId="124" xfId="0" applyNumberFormat="1" applyFont="1" applyBorder="1" applyAlignment="1">
      <alignment horizontal="left"/>
    </xf>
    <xf numFmtId="1" fontId="6" fillId="0" borderId="201" xfId="125" applyNumberFormat="1" applyFont="1" applyBorder="1" applyAlignment="1">
      <alignment horizontal="center" vertical="center" wrapText="1"/>
    </xf>
    <xf numFmtId="1" fontId="6" fillId="0" borderId="4" xfId="125" applyNumberFormat="1" applyFont="1" applyBorder="1" applyAlignment="1">
      <alignment horizontal="center" vertical="center" wrapText="1"/>
    </xf>
    <xf numFmtId="1" fontId="6" fillId="0" borderId="6" xfId="125" applyNumberFormat="1" applyFont="1" applyBorder="1" applyAlignment="1">
      <alignment horizontal="center" vertical="center" wrapText="1"/>
    </xf>
    <xf numFmtId="1" fontId="6" fillId="0" borderId="72" xfId="0" applyNumberFormat="1" applyFont="1" applyBorder="1" applyAlignment="1">
      <alignment horizontal="left"/>
    </xf>
    <xf numFmtId="1" fontId="6" fillId="0" borderId="27" xfId="0" applyNumberFormat="1" applyFont="1" applyBorder="1" applyAlignment="1">
      <alignment horizontal="left"/>
    </xf>
    <xf numFmtId="1" fontId="6" fillId="22" borderId="10" xfId="0" applyNumberFormat="1" applyFont="1" applyFill="1" applyBorder="1"/>
    <xf numFmtId="1" fontId="6" fillId="22" borderId="64" xfId="0" applyNumberFormat="1" applyFont="1" applyFill="1" applyBorder="1"/>
    <xf numFmtId="1" fontId="6" fillId="22" borderId="73" xfId="0" applyNumberFormat="1" applyFont="1" applyFill="1" applyBorder="1" applyAlignment="1">
      <alignment horizontal="left"/>
    </xf>
    <xf numFmtId="1" fontId="6" fillId="22" borderId="39" xfId="0" applyNumberFormat="1" applyFont="1" applyFill="1" applyBorder="1" applyAlignment="1">
      <alignment horizontal="left"/>
    </xf>
    <xf numFmtId="1" fontId="6" fillId="0" borderId="187" xfId="125" applyNumberFormat="1" applyFont="1" applyBorder="1" applyAlignment="1">
      <alignment horizontal="center" vertical="center" wrapText="1"/>
    </xf>
    <xf numFmtId="1" fontId="6" fillId="0" borderId="97" xfId="125" applyNumberFormat="1" applyFont="1" applyBorder="1" applyAlignment="1">
      <alignment horizontal="center" vertical="center" wrapText="1"/>
    </xf>
    <xf numFmtId="1" fontId="6" fillId="0" borderId="199" xfId="0" applyNumberFormat="1" applyFont="1" applyBorder="1" applyAlignment="1">
      <alignment horizontal="center" vertical="center" wrapText="1"/>
    </xf>
    <xf numFmtId="1" fontId="6" fillId="0" borderId="49" xfId="0" applyNumberFormat="1" applyFont="1" applyBorder="1" applyAlignment="1">
      <alignment horizontal="center" vertical="center" wrapText="1"/>
    </xf>
    <xf numFmtId="1" fontId="6" fillId="0" borderId="166" xfId="0" applyNumberFormat="1" applyFont="1" applyBorder="1" applyAlignment="1">
      <alignment horizontal="center" vertical="center" wrapText="1"/>
    </xf>
    <xf numFmtId="1" fontId="6" fillId="0" borderId="29" xfId="0" applyNumberFormat="1" applyFont="1" applyBorder="1" applyAlignment="1">
      <alignment horizontal="center" vertical="center" wrapText="1"/>
    </xf>
    <xf numFmtId="1" fontId="6" fillId="0" borderId="136" xfId="0" applyNumberFormat="1" applyFont="1" applyBorder="1" applyAlignment="1">
      <alignment horizontal="center" vertical="center" wrapText="1"/>
    </xf>
    <xf numFmtId="1" fontId="6" fillId="0" borderId="94" xfId="0" applyNumberFormat="1" applyFont="1" applyBorder="1" applyAlignment="1">
      <alignment horizontal="center" vertical="center" wrapText="1"/>
    </xf>
    <xf numFmtId="1" fontId="6" fillId="0" borderId="208" xfId="125" applyNumberFormat="1" applyFont="1" applyBorder="1" applyAlignment="1">
      <alignment horizontal="center" vertical="center" wrapText="1"/>
    </xf>
    <xf numFmtId="1" fontId="6" fillId="0" borderId="209" xfId="125" applyNumberFormat="1" applyFont="1" applyBorder="1" applyAlignment="1">
      <alignment horizontal="center" vertical="center" wrapText="1"/>
    </xf>
    <xf numFmtId="1" fontId="6" fillId="0" borderId="195" xfId="125" applyNumberFormat="1" applyFont="1" applyBorder="1" applyAlignment="1">
      <alignment horizontal="center" vertical="center" wrapText="1"/>
    </xf>
    <xf numFmtId="1" fontId="6" fillId="0" borderId="195" xfId="125" quotePrefix="1" applyNumberFormat="1" applyFont="1" applyBorder="1" applyAlignment="1">
      <alignment horizontal="center" vertical="center" wrapText="1"/>
    </xf>
    <xf numFmtId="1" fontId="6" fillId="0" borderId="164" xfId="0" applyNumberFormat="1" applyFont="1" applyBorder="1" applyAlignment="1">
      <alignment horizontal="center" vertical="center" wrapText="1"/>
    </xf>
    <xf numFmtId="1" fontId="6" fillId="0" borderId="4" xfId="0" applyNumberFormat="1" applyFont="1" applyBorder="1" applyAlignment="1">
      <alignment horizontal="center" vertical="center" wrapText="1"/>
    </xf>
    <xf numFmtId="1" fontId="6" fillId="0" borderId="6" xfId="0" applyNumberFormat="1" applyFont="1" applyBorder="1" applyAlignment="1">
      <alignment horizontal="center" vertical="center" wrapText="1"/>
    </xf>
    <xf numFmtId="1" fontId="6" fillId="0" borderId="77" xfId="125" applyNumberFormat="1" applyFont="1" applyBorder="1" applyAlignment="1">
      <alignment horizontal="left" vertical="center" wrapText="1"/>
    </xf>
    <xf numFmtId="1" fontId="6" fillId="0" borderId="124" xfId="125" applyNumberFormat="1" applyFont="1" applyBorder="1" applyAlignment="1">
      <alignment horizontal="left" vertical="center" wrapText="1"/>
    </xf>
    <xf numFmtId="1" fontId="6" fillId="0" borderId="201" xfId="126" applyNumberFormat="1" applyFont="1" applyBorder="1" applyAlignment="1">
      <alignment horizontal="center" vertical="center"/>
    </xf>
    <xf numFmtId="1" fontId="6" fillId="22" borderId="188" xfId="125" applyNumberFormat="1" applyFont="1" applyFill="1" applyBorder="1" applyAlignment="1">
      <alignment horizontal="center" vertical="center" wrapText="1"/>
    </xf>
    <xf numFmtId="1" fontId="6" fillId="22" borderId="64" xfId="125" applyNumberFormat="1" applyFont="1" applyFill="1" applyBorder="1" applyAlignment="1">
      <alignment horizontal="center" vertical="center" wrapText="1"/>
    </xf>
    <xf numFmtId="1" fontId="6" fillId="0" borderId="187" xfId="125" applyNumberFormat="1" applyFont="1" applyBorder="1" applyAlignment="1">
      <alignment horizontal="center" vertical="center"/>
    </xf>
    <xf numFmtId="1" fontId="6" fillId="0" borderId="74" xfId="125" applyNumberFormat="1" applyFont="1" applyBorder="1" applyAlignment="1">
      <alignment horizontal="left" vertical="center"/>
    </xf>
    <xf numFmtId="1" fontId="6" fillId="0" borderId="34" xfId="125" applyNumberFormat="1" applyFont="1" applyBorder="1" applyAlignment="1">
      <alignment horizontal="left" vertical="center"/>
    </xf>
    <xf numFmtId="1" fontId="6" fillId="0" borderId="93" xfId="125" applyNumberFormat="1" applyFont="1" applyBorder="1" applyAlignment="1">
      <alignment horizontal="center" vertical="center" wrapText="1"/>
    </xf>
    <xf numFmtId="1" fontId="10" fillId="0" borderId="159" xfId="125" applyNumberFormat="1" applyFont="1" applyBorder="1" applyAlignment="1">
      <alignment horizontal="center" vertical="center" wrapText="1"/>
    </xf>
    <xf numFmtId="1" fontId="10" fillId="0" borderId="220" xfId="125" applyNumberFormat="1" applyFont="1" applyBorder="1" applyAlignment="1">
      <alignment horizontal="center" vertical="center" wrapText="1"/>
    </xf>
    <xf numFmtId="1" fontId="6" fillId="0" borderId="193" xfId="0" applyNumberFormat="1" applyFont="1" applyBorder="1" applyAlignment="1">
      <alignment horizontal="center" vertical="center"/>
    </xf>
    <xf numFmtId="1" fontId="6" fillId="0" borderId="76" xfId="0" applyNumberFormat="1" applyFont="1" applyBorder="1" applyAlignment="1">
      <alignment horizontal="center" vertical="center"/>
    </xf>
    <xf numFmtId="1" fontId="6" fillId="0" borderId="11" xfId="0" applyNumberFormat="1" applyFont="1" applyBorder="1" applyAlignment="1">
      <alignment horizontal="center" vertical="center"/>
    </xf>
    <xf numFmtId="1" fontId="6" fillId="0" borderId="76" xfId="0" applyNumberFormat="1" applyFont="1" applyBorder="1" applyAlignment="1">
      <alignment horizontal="center" vertical="center" wrapText="1"/>
    </xf>
    <xf numFmtId="0" fontId="6" fillId="0" borderId="193" xfId="0" applyFont="1" applyBorder="1" applyAlignment="1">
      <alignment horizontal="center" vertical="center"/>
    </xf>
    <xf numFmtId="0" fontId="6" fillId="0" borderId="76" xfId="0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1" fontId="6" fillId="0" borderId="201" xfId="126" applyNumberFormat="1" applyFont="1" applyBorder="1" applyAlignment="1">
      <alignment horizontal="center" vertical="center" wrapText="1"/>
    </xf>
    <xf numFmtId="1" fontId="6" fillId="0" borderId="210" xfId="126" applyNumberFormat="1" applyFont="1" applyBorder="1" applyAlignment="1">
      <alignment horizontal="center" vertical="center" wrapText="1"/>
    </xf>
    <xf numFmtId="1" fontId="6" fillId="0" borderId="187" xfId="126" applyNumberFormat="1" applyFont="1" applyBorder="1" applyAlignment="1">
      <alignment horizontal="center" vertical="center" wrapText="1"/>
    </xf>
    <xf numFmtId="1" fontId="6" fillId="0" borderId="97" xfId="126" applyNumberFormat="1" applyFont="1" applyBorder="1" applyAlignment="1">
      <alignment horizontal="center" vertical="center" wrapText="1"/>
    </xf>
    <xf numFmtId="1" fontId="6" fillId="0" borderId="94" xfId="126" applyNumberFormat="1" applyFont="1" applyBorder="1" applyAlignment="1">
      <alignment horizontal="center" vertical="center" wrapText="1"/>
    </xf>
    <xf numFmtId="1" fontId="6" fillId="0" borderId="29" xfId="126" applyNumberFormat="1" applyFont="1" applyBorder="1" applyAlignment="1">
      <alignment horizontal="center" vertical="center" wrapText="1"/>
    </xf>
    <xf numFmtId="168" fontId="6" fillId="0" borderId="210" xfId="125" applyNumberFormat="1" applyFont="1" applyBorder="1" applyAlignment="1">
      <alignment horizontal="center" vertical="center"/>
    </xf>
    <xf numFmtId="168" fontId="6" fillId="0" borderId="97" xfId="125" applyNumberFormat="1" applyFont="1" applyBorder="1" applyAlignment="1">
      <alignment horizontal="center" vertical="center"/>
    </xf>
    <xf numFmtId="168" fontId="6" fillId="0" borderId="29" xfId="125" applyNumberFormat="1" applyFont="1" applyBorder="1" applyAlignment="1">
      <alignment horizontal="center" vertical="center"/>
    </xf>
    <xf numFmtId="1" fontId="6" fillId="0" borderId="193" xfId="126" applyNumberFormat="1" applyFont="1" applyBorder="1" applyAlignment="1">
      <alignment horizontal="center" vertical="center" wrapText="1"/>
    </xf>
    <xf numFmtId="1" fontId="6" fillId="0" borderId="11" xfId="126" applyNumberFormat="1" applyFont="1" applyBorder="1" applyAlignment="1">
      <alignment horizontal="center" vertical="center" wrapText="1"/>
    </xf>
    <xf numFmtId="1" fontId="6" fillId="17" borderId="10" xfId="0" applyNumberFormat="1" applyFont="1" applyFill="1" applyBorder="1" applyAlignment="1">
      <alignment horizontal="center" vertical="center"/>
    </xf>
    <xf numFmtId="1" fontId="6" fillId="17" borderId="191" xfId="0" applyNumberFormat="1" applyFont="1" applyFill="1" applyBorder="1" applyAlignment="1">
      <alignment horizontal="center" vertical="center"/>
    </xf>
    <xf numFmtId="1" fontId="6" fillId="17" borderId="192" xfId="0" applyNumberFormat="1" applyFont="1" applyFill="1" applyBorder="1" applyAlignment="1">
      <alignment horizontal="center" vertical="center"/>
    </xf>
    <xf numFmtId="1" fontId="6" fillId="0" borderId="201" xfId="0" applyNumberFormat="1" applyFont="1" applyBorder="1" applyAlignment="1">
      <alignment horizontal="center" vertical="center"/>
    </xf>
    <xf numFmtId="1" fontId="6" fillId="0" borderId="194" xfId="0" applyNumberFormat="1" applyFont="1" applyBorder="1" applyAlignment="1">
      <alignment horizontal="center" vertical="center"/>
    </xf>
    <xf numFmtId="1" fontId="6" fillId="0" borderId="4" xfId="0" applyNumberFormat="1" applyFont="1" applyBorder="1" applyAlignment="1">
      <alignment horizontal="center" vertical="center"/>
    </xf>
    <xf numFmtId="1" fontId="6" fillId="0" borderId="10" xfId="0" applyNumberFormat="1" applyFont="1" applyBorder="1" applyAlignment="1">
      <alignment horizontal="center" vertical="center"/>
    </xf>
    <xf numFmtId="1" fontId="6" fillId="0" borderId="192" xfId="0" applyNumberFormat="1" applyFont="1" applyBorder="1" applyAlignment="1">
      <alignment horizontal="center" vertical="center"/>
    </xf>
    <xf numFmtId="1" fontId="6" fillId="0" borderId="191" xfId="0" applyNumberFormat="1" applyFont="1" applyBorder="1" applyAlignment="1">
      <alignment horizontal="center" vertical="center"/>
    </xf>
    <xf numFmtId="1" fontId="6" fillId="0" borderId="199" xfId="109" applyNumberFormat="1" applyFont="1" applyBorder="1" applyAlignment="1">
      <alignment horizontal="center" vertical="center" wrapText="1"/>
    </xf>
    <xf numFmtId="1" fontId="6" fillId="0" borderId="206" xfId="109" applyNumberFormat="1" applyFont="1" applyBorder="1" applyAlignment="1">
      <alignment horizontal="center" vertical="center" wrapText="1"/>
    </xf>
    <xf numFmtId="1" fontId="6" fillId="0" borderId="166" xfId="109" applyNumberFormat="1" applyFont="1" applyBorder="1" applyAlignment="1">
      <alignment horizontal="center" vertical="center" wrapText="1"/>
    </xf>
    <xf numFmtId="1" fontId="6" fillId="0" borderId="141" xfId="109" applyNumberFormat="1" applyFont="1" applyBorder="1" applyAlignment="1">
      <alignment horizontal="center" vertical="center" wrapText="1"/>
    </xf>
    <xf numFmtId="1" fontId="6" fillId="0" borderId="1" xfId="0" applyNumberFormat="1" applyFont="1" applyBorder="1" applyAlignment="1">
      <alignment horizontal="center" vertical="center"/>
    </xf>
    <xf numFmtId="1" fontId="6" fillId="17" borderId="1" xfId="0" applyNumberFormat="1" applyFont="1" applyFill="1" applyBorder="1" applyAlignment="1">
      <alignment horizontal="center" vertical="center"/>
    </xf>
    <xf numFmtId="1" fontId="14" fillId="0" borderId="0" xfId="126" applyNumberFormat="1" applyFont="1" applyAlignment="1">
      <alignment horizontal="center" vertical="center" wrapText="1"/>
    </xf>
    <xf numFmtId="1" fontId="10" fillId="0" borderId="135" xfId="126" applyNumberFormat="1" applyFont="1" applyBorder="1" applyAlignment="1">
      <alignment horizontal="center" vertical="center" wrapText="1"/>
    </xf>
    <xf numFmtId="1" fontId="10" fillId="0" borderId="76" xfId="126" applyNumberFormat="1" applyFont="1" applyBorder="1" applyAlignment="1">
      <alignment horizontal="center" vertical="center" wrapText="1"/>
    </xf>
    <xf numFmtId="1" fontId="6" fillId="0" borderId="1" xfId="126" quotePrefix="1" applyNumberFormat="1" applyFont="1" applyBorder="1" applyAlignment="1" applyProtection="1">
      <alignment horizontal="center" vertical="center"/>
      <protection hidden="1"/>
    </xf>
    <xf numFmtId="1" fontId="6" fillId="0" borderId="64" xfId="0" applyNumberFormat="1" applyFont="1" applyBorder="1" applyAlignment="1">
      <alignment horizontal="center" vertical="center"/>
    </xf>
    <xf numFmtId="1" fontId="6" fillId="0" borderId="10" xfId="0" applyNumberFormat="1" applyFont="1" applyBorder="1" applyAlignment="1">
      <alignment horizontal="center" vertical="center" wrapText="1"/>
    </xf>
    <xf numFmtId="1" fontId="6" fillId="0" borderId="64" xfId="0" applyNumberFormat="1" applyFont="1" applyBorder="1" applyAlignment="1">
      <alignment horizontal="center" vertical="center" wrapText="1"/>
    </xf>
    <xf numFmtId="1" fontId="14" fillId="0" borderId="6" xfId="126" applyNumberFormat="1" applyFont="1" applyBorder="1" applyAlignment="1">
      <alignment horizontal="left"/>
    </xf>
    <xf numFmtId="1" fontId="6" fillId="0" borderId="10" xfId="109" applyNumberFormat="1" applyFont="1" applyBorder="1" applyAlignment="1">
      <alignment horizontal="center" vertical="center" wrapText="1"/>
    </xf>
    <xf numFmtId="1" fontId="6" fillId="0" borderId="64" xfId="109" applyNumberFormat="1" applyFont="1" applyBorder="1" applyAlignment="1">
      <alignment horizontal="center" vertical="center" wrapText="1"/>
    </xf>
    <xf numFmtId="1" fontId="6" fillId="0" borderId="1" xfId="0" applyNumberFormat="1" applyFont="1" applyBorder="1" applyAlignment="1">
      <alignment horizontal="center"/>
    </xf>
    <xf numFmtId="1" fontId="6" fillId="0" borderId="75" xfId="125" applyNumberFormat="1" applyFont="1" applyBorder="1" applyAlignment="1">
      <alignment horizontal="left" vertical="center" wrapText="1"/>
    </xf>
    <xf numFmtId="1" fontId="6" fillId="0" borderId="135" xfId="125" applyNumberFormat="1" applyFont="1" applyBorder="1" applyAlignment="1">
      <alignment horizontal="left" vertical="center" wrapText="1"/>
    </xf>
    <xf numFmtId="1" fontId="6" fillId="0" borderId="76" xfId="0" applyNumberFormat="1" applyFont="1" applyBorder="1" applyAlignment="1">
      <alignment horizontal="left" vertical="center" wrapText="1"/>
    </xf>
    <xf numFmtId="1" fontId="6" fillId="0" borderId="11" xfId="0" applyNumberFormat="1" applyFont="1" applyBorder="1" applyAlignment="1">
      <alignment horizontal="left" vertical="center" wrapText="1"/>
    </xf>
    <xf numFmtId="1" fontId="6" fillId="0" borderId="49" xfId="127" applyNumberFormat="1" applyFont="1" applyBorder="1" applyAlignment="1">
      <alignment horizontal="left" vertical="center" wrapText="1"/>
    </xf>
    <xf numFmtId="1" fontId="6" fillId="0" borderId="97" xfId="0" applyNumberFormat="1" applyFont="1" applyBorder="1" applyAlignment="1">
      <alignment horizontal="left" vertical="center" wrapText="1"/>
    </xf>
    <xf numFmtId="1" fontId="6" fillId="0" borderId="29" xfId="0" applyNumberFormat="1" applyFont="1" applyBorder="1" applyAlignment="1">
      <alignment horizontal="left" vertical="center" wrapText="1"/>
    </xf>
    <xf numFmtId="1" fontId="6" fillId="0" borderId="135" xfId="127" applyNumberFormat="1" applyFont="1" applyBorder="1" applyAlignment="1">
      <alignment horizontal="left" vertical="center" wrapText="1"/>
    </xf>
    <xf numFmtId="1" fontId="6" fillId="0" borderId="73" xfId="126" applyNumberFormat="1" applyFont="1" applyBorder="1" applyAlignment="1">
      <alignment horizontal="left" vertical="center" wrapText="1"/>
    </xf>
    <xf numFmtId="1" fontId="6" fillId="0" borderId="39" xfId="126" applyNumberFormat="1" applyFont="1" applyBorder="1" applyAlignment="1">
      <alignment horizontal="left" vertical="center" wrapText="1"/>
    </xf>
    <xf numFmtId="1" fontId="6" fillId="0" borderId="66" xfId="126" applyNumberFormat="1" applyFont="1" applyBorder="1" applyAlignment="1">
      <alignment horizontal="left" vertical="center" wrapText="1"/>
    </xf>
    <xf numFmtId="1" fontId="6" fillId="0" borderId="50" xfId="126" applyNumberFormat="1" applyFont="1" applyBorder="1" applyAlignment="1">
      <alignment horizontal="center" vertical="center" wrapText="1"/>
    </xf>
    <xf numFmtId="1" fontId="6" fillId="0" borderId="80" xfId="0" applyNumberFormat="1" applyFont="1" applyBorder="1" applyAlignment="1">
      <alignment horizontal="center" vertical="center" wrapText="1"/>
    </xf>
    <xf numFmtId="1" fontId="6" fillId="0" borderId="73" xfId="127" applyNumberFormat="1" applyFont="1" applyBorder="1" applyAlignment="1">
      <alignment horizontal="left" vertical="center" wrapText="1"/>
    </xf>
    <xf numFmtId="1" fontId="6" fillId="0" borderId="39" xfId="127" applyNumberFormat="1" applyFont="1" applyBorder="1" applyAlignment="1">
      <alignment horizontal="left" vertical="center" wrapText="1"/>
    </xf>
    <xf numFmtId="1" fontId="6" fillId="0" borderId="35" xfId="126" applyNumberFormat="1" applyFont="1" applyBorder="1" applyAlignment="1">
      <alignment horizontal="left" vertical="center" wrapText="1"/>
    </xf>
    <xf numFmtId="1" fontId="6" fillId="0" borderId="125" xfId="0" applyNumberFormat="1" applyFont="1" applyBorder="1" applyAlignment="1">
      <alignment horizontal="left" vertical="center"/>
    </xf>
    <xf numFmtId="1" fontId="6" fillId="0" borderId="39" xfId="0" applyNumberFormat="1" applyFont="1" applyBorder="1" applyAlignment="1">
      <alignment horizontal="left" vertical="center"/>
    </xf>
    <xf numFmtId="1" fontId="6" fillId="0" borderId="73" xfId="125" applyNumberFormat="1" applyFont="1" applyBorder="1" applyAlignment="1">
      <alignment vertical="center" wrapText="1"/>
    </xf>
    <xf numFmtId="1" fontId="6" fillId="0" borderId="39" xfId="125" applyNumberFormat="1" applyFont="1" applyBorder="1" applyAlignment="1">
      <alignment vertical="center" wrapText="1"/>
    </xf>
    <xf numFmtId="1" fontId="6" fillId="0" borderId="96" xfId="126" applyNumberFormat="1" applyFont="1" applyBorder="1" applyAlignment="1">
      <alignment horizontal="center" vertical="center" wrapText="1"/>
    </xf>
    <xf numFmtId="1" fontId="6" fillId="0" borderId="111" xfId="126" applyNumberFormat="1" applyFont="1" applyBorder="1" applyAlignment="1">
      <alignment horizontal="center" vertical="center" wrapText="1"/>
    </xf>
    <xf numFmtId="1" fontId="6" fillId="0" borderId="125" xfId="126" applyNumberFormat="1" applyFont="1" applyBorder="1" applyAlignment="1">
      <alignment horizontal="left" vertical="center" wrapText="1"/>
    </xf>
    <xf numFmtId="1" fontId="6" fillId="0" borderId="125" xfId="127" applyNumberFormat="1" applyFont="1" applyBorder="1" applyAlignment="1">
      <alignment horizontal="left" vertical="center" wrapText="1"/>
    </xf>
    <xf numFmtId="1" fontId="14" fillId="0" borderId="0" xfId="126" applyNumberFormat="1" applyFont="1" applyAlignment="1">
      <alignment horizontal="left"/>
    </xf>
    <xf numFmtId="1" fontId="6" fillId="0" borderId="191" xfId="0" applyNumberFormat="1" applyFont="1" applyBorder="1" applyAlignment="1">
      <alignment horizontal="center" vertical="center" wrapText="1"/>
    </xf>
    <xf numFmtId="1" fontId="6" fillId="0" borderId="209" xfId="0" applyNumberFormat="1" applyFont="1" applyBorder="1" applyAlignment="1">
      <alignment horizontal="center" vertical="center" wrapText="1"/>
    </xf>
    <xf numFmtId="1" fontId="14" fillId="22" borderId="93" xfId="126" applyNumberFormat="1" applyFont="1" applyFill="1" applyBorder="1" applyAlignment="1">
      <alignment horizontal="left"/>
    </xf>
    <xf numFmtId="1" fontId="6" fillId="0" borderId="10" xfId="0" applyNumberFormat="1" applyFont="1" applyBorder="1" applyAlignment="1">
      <alignment horizontal="center"/>
    </xf>
    <xf numFmtId="1" fontId="6" fillId="0" borderId="64" xfId="0" applyNumberFormat="1" applyFont="1" applyBorder="1" applyAlignment="1">
      <alignment horizontal="center"/>
    </xf>
    <xf numFmtId="1" fontId="6" fillId="0" borderId="193" xfId="127" applyNumberFormat="1" applyFont="1" applyBorder="1" applyAlignment="1">
      <alignment horizontal="center" vertical="center" wrapText="1"/>
    </xf>
    <xf numFmtId="1" fontId="6" fillId="0" borderId="76" xfId="127" applyNumberFormat="1" applyFont="1" applyBorder="1" applyAlignment="1">
      <alignment horizontal="center" vertical="center" wrapText="1"/>
    </xf>
    <xf numFmtId="1" fontId="6" fillId="0" borderId="1" xfId="126" applyNumberFormat="1" applyFont="1" applyBorder="1" applyAlignment="1">
      <alignment horizontal="center" vertical="center" wrapText="1"/>
    </xf>
    <xf numFmtId="1" fontId="6" fillId="0" borderId="135" xfId="0" applyNumberFormat="1" applyFont="1" applyBorder="1" applyAlignment="1">
      <alignment horizontal="center"/>
    </xf>
    <xf numFmtId="1" fontId="6" fillId="0" borderId="1" xfId="126" applyNumberFormat="1" applyFont="1" applyBorder="1" applyAlignment="1">
      <alignment horizontal="center" vertical="center"/>
    </xf>
    <xf numFmtId="1" fontId="6" fillId="0" borderId="4" xfId="109" applyNumberFormat="1" applyFont="1" applyBorder="1" applyAlignment="1">
      <alignment horizontal="center" vertical="center" wrapText="1"/>
    </xf>
    <xf numFmtId="1" fontId="6" fillId="0" borderId="49" xfId="109" applyNumberFormat="1" applyFont="1" applyBorder="1" applyAlignment="1">
      <alignment horizontal="center" vertical="center" wrapText="1"/>
    </xf>
    <xf numFmtId="1" fontId="6" fillId="0" borderId="6" xfId="109" applyNumberFormat="1" applyFont="1" applyBorder="1" applyAlignment="1">
      <alignment horizontal="center" vertical="center" wrapText="1"/>
    </xf>
    <xf numFmtId="1" fontId="6" fillId="0" borderId="29" xfId="109" applyNumberFormat="1" applyFont="1" applyBorder="1" applyAlignment="1">
      <alignment horizontal="center" vertical="center" wrapText="1"/>
    </xf>
    <xf numFmtId="1" fontId="6" fillId="0" borderId="48" xfId="109" applyNumberFormat="1" applyFont="1" applyBorder="1" applyAlignment="1">
      <alignment horizontal="center" vertical="center" wrapText="1"/>
    </xf>
    <xf numFmtId="1" fontId="6" fillId="0" borderId="153" xfId="109" applyNumberFormat="1" applyFont="1" applyBorder="1" applyAlignment="1">
      <alignment horizontal="center" vertical="center" wrapText="1"/>
    </xf>
    <xf numFmtId="1" fontId="6" fillId="0" borderId="28" xfId="109" applyNumberFormat="1" applyFont="1" applyBorder="1" applyAlignment="1">
      <alignment horizontal="center" vertical="center" wrapText="1"/>
    </xf>
    <xf numFmtId="1" fontId="6" fillId="0" borderId="93" xfId="109" applyNumberFormat="1" applyFont="1" applyBorder="1" applyAlignment="1">
      <alignment horizontal="center" vertical="center" wrapText="1"/>
    </xf>
    <xf numFmtId="1" fontId="6" fillId="22" borderId="77" xfId="126" applyNumberFormat="1" applyFont="1" applyFill="1" applyBorder="1" applyAlignment="1" applyProtection="1">
      <alignment horizontal="left" vertical="center" wrapText="1"/>
      <protection hidden="1"/>
    </xf>
    <xf numFmtId="1" fontId="6" fillId="22" borderId="124" xfId="126" applyNumberFormat="1" applyFont="1" applyFill="1" applyBorder="1" applyAlignment="1" applyProtection="1">
      <alignment horizontal="left" vertical="center" wrapText="1"/>
      <protection hidden="1"/>
    </xf>
    <xf numFmtId="1" fontId="6" fillId="21" borderId="1" xfId="0" applyNumberFormat="1" applyFont="1" applyFill="1" applyBorder="1" applyAlignment="1">
      <alignment horizontal="center" vertical="center" wrapText="1"/>
    </xf>
    <xf numFmtId="1" fontId="6" fillId="0" borderId="229" xfId="109" applyNumberFormat="1" applyFont="1" applyBorder="1" applyAlignment="1">
      <alignment horizontal="center" vertical="center" wrapText="1"/>
    </xf>
    <xf numFmtId="1" fontId="6" fillId="0" borderId="73" xfId="126" applyNumberFormat="1" applyFont="1" applyBorder="1" applyAlignment="1" applyProtection="1">
      <alignment horizontal="left" wrapText="1"/>
      <protection hidden="1"/>
    </xf>
    <xf numFmtId="1" fontId="6" fillId="0" borderId="39" xfId="126" applyNumberFormat="1" applyFont="1" applyBorder="1" applyAlignment="1" applyProtection="1">
      <alignment horizontal="left" wrapText="1"/>
      <protection hidden="1"/>
    </xf>
    <xf numFmtId="1" fontId="6" fillId="0" borderId="229" xfId="0" applyNumberFormat="1" applyFont="1" applyBorder="1" applyAlignment="1">
      <alignment horizontal="center" vertical="center" wrapText="1"/>
    </xf>
    <xf numFmtId="1" fontId="6" fillId="0" borderId="73" xfId="126" applyNumberFormat="1" applyFont="1" applyBorder="1" applyAlignment="1" applyProtection="1">
      <alignment horizontal="left" vertical="center"/>
      <protection hidden="1"/>
    </xf>
    <xf numFmtId="1" fontId="6" fillId="0" borderId="39" xfId="126" applyNumberFormat="1" applyFont="1" applyBorder="1" applyAlignment="1" applyProtection="1">
      <alignment horizontal="left" vertical="center"/>
      <protection hidden="1"/>
    </xf>
    <xf numFmtId="1" fontId="10" fillId="0" borderId="94" xfId="126" applyNumberFormat="1" applyFont="1" applyBorder="1" applyAlignment="1" applyProtection="1">
      <alignment horizontal="left" vertical="center" wrapText="1"/>
      <protection hidden="1"/>
    </xf>
    <xf numFmtId="1" fontId="10" fillId="0" borderId="6" xfId="126" applyNumberFormat="1" applyFont="1" applyBorder="1" applyAlignment="1" applyProtection="1">
      <alignment horizontal="left" vertical="center" wrapText="1"/>
      <protection hidden="1"/>
    </xf>
    <xf numFmtId="1" fontId="6" fillId="22" borderId="73" xfId="126" applyNumberFormat="1" applyFont="1" applyFill="1" applyBorder="1" applyAlignment="1" applyProtection="1">
      <alignment horizontal="left" vertical="center" wrapText="1"/>
      <protection hidden="1"/>
    </xf>
    <xf numFmtId="1" fontId="6" fillId="22" borderId="39" xfId="126" applyNumberFormat="1" applyFont="1" applyFill="1" applyBorder="1" applyAlignment="1" applyProtection="1">
      <alignment horizontal="left" vertical="center" wrapText="1"/>
      <protection hidden="1"/>
    </xf>
    <xf numFmtId="1" fontId="6" fillId="0" borderId="97" xfId="0" applyNumberFormat="1" applyFont="1" applyBorder="1" applyAlignment="1">
      <alignment horizontal="center" vertical="center" wrapText="1"/>
    </xf>
    <xf numFmtId="1" fontId="14" fillId="0" borderId="0" xfId="126" applyNumberFormat="1" applyFont="1" applyAlignment="1" applyProtection="1">
      <alignment horizontal="center" vertical="center" wrapText="1"/>
      <protection hidden="1"/>
    </xf>
    <xf numFmtId="1" fontId="6" fillId="0" borderId="201" xfId="126" applyNumberFormat="1" applyFont="1" applyBorder="1" applyAlignment="1" applyProtection="1">
      <alignment horizontal="center" vertical="center" wrapText="1"/>
      <protection hidden="1"/>
    </xf>
    <xf numFmtId="1" fontId="6" fillId="0" borderId="49" xfId="126" applyNumberFormat="1" applyFont="1" applyBorder="1" applyAlignment="1" applyProtection="1">
      <alignment horizontal="center" vertical="center" wrapText="1"/>
      <protection hidden="1"/>
    </xf>
    <xf numFmtId="1" fontId="6" fillId="0" borderId="187" xfId="126" applyNumberFormat="1" applyFont="1" applyBorder="1" applyAlignment="1" applyProtection="1">
      <alignment horizontal="center" vertical="center" wrapText="1"/>
      <protection hidden="1"/>
    </xf>
    <xf numFmtId="1" fontId="6" fillId="0" borderId="97" xfId="126" applyNumberFormat="1" applyFont="1" applyBorder="1" applyAlignment="1" applyProtection="1">
      <alignment horizontal="center" vertical="center" wrapText="1"/>
      <protection hidden="1"/>
    </xf>
    <xf numFmtId="1" fontId="6" fillId="0" borderId="94" xfId="126" applyNumberFormat="1" applyFont="1" applyBorder="1" applyAlignment="1" applyProtection="1">
      <alignment horizontal="center" vertical="center" wrapText="1"/>
      <protection hidden="1"/>
    </xf>
    <xf numFmtId="1" fontId="6" fillId="0" borderId="29" xfId="126" applyNumberFormat="1" applyFont="1" applyBorder="1" applyAlignment="1" applyProtection="1">
      <alignment horizontal="center" vertical="center" wrapText="1"/>
      <protection hidden="1"/>
    </xf>
    <xf numFmtId="1" fontId="6" fillId="0" borderId="136" xfId="126" applyNumberFormat="1" applyFont="1" applyBorder="1" applyAlignment="1" applyProtection="1">
      <alignment horizontal="center" vertical="center" wrapText="1"/>
      <protection hidden="1"/>
    </xf>
    <xf numFmtId="1" fontId="6" fillId="0" borderId="4" xfId="126" applyNumberFormat="1" applyFont="1" applyBorder="1" applyAlignment="1" applyProtection="1">
      <alignment horizontal="center" vertical="center" wrapText="1"/>
      <protection hidden="1"/>
    </xf>
    <xf numFmtId="1" fontId="6" fillId="0" borderId="6" xfId="126" applyNumberFormat="1" applyFont="1" applyBorder="1" applyAlignment="1" applyProtection="1">
      <alignment horizontal="center" vertical="center" wrapText="1"/>
      <protection hidden="1"/>
    </xf>
    <xf numFmtId="1" fontId="6" fillId="0" borderId="93" xfId="0" applyNumberFormat="1" applyFont="1" applyBorder="1" applyAlignment="1">
      <alignment horizontal="center"/>
    </xf>
    <xf numFmtId="1" fontId="6" fillId="0" borderId="10" xfId="126" quotePrefix="1" applyNumberFormat="1" applyFont="1" applyBorder="1" applyAlignment="1" applyProtection="1">
      <alignment horizontal="center" vertical="center"/>
      <protection hidden="1"/>
    </xf>
    <xf numFmtId="1" fontId="6" fillId="0" borderId="64" xfId="126" quotePrefix="1" applyNumberFormat="1" applyFont="1" applyBorder="1" applyAlignment="1" applyProtection="1">
      <alignment horizontal="center" vertical="center"/>
      <protection hidden="1"/>
    </xf>
    <xf numFmtId="1" fontId="6" fillId="0" borderId="135" xfId="126" applyNumberFormat="1" applyFont="1" applyBorder="1" applyAlignment="1" applyProtection="1">
      <alignment horizontal="center" vertical="center" wrapText="1"/>
      <protection hidden="1"/>
    </xf>
    <xf numFmtId="1" fontId="6" fillId="0" borderId="76" xfId="126" applyNumberFormat="1" applyFont="1" applyBorder="1" applyAlignment="1" applyProtection="1">
      <alignment horizontal="center" vertical="center" wrapText="1"/>
      <protection hidden="1"/>
    </xf>
    <xf numFmtId="1" fontId="6" fillId="0" borderId="11" xfId="126" applyNumberFormat="1" applyFont="1" applyBorder="1" applyAlignment="1" applyProtection="1">
      <alignment horizontal="center" vertical="center" wrapText="1"/>
      <protection hidden="1"/>
    </xf>
    <xf numFmtId="1" fontId="6" fillId="0" borderId="74" xfId="126" applyNumberFormat="1" applyFont="1" applyBorder="1" applyAlignment="1" applyProtection="1">
      <alignment horizontal="left" vertical="center" wrapText="1"/>
      <protection hidden="1"/>
    </xf>
    <xf numFmtId="1" fontId="6" fillId="0" borderId="34" xfId="126" applyNumberFormat="1" applyFont="1" applyBorder="1" applyAlignment="1" applyProtection="1">
      <alignment horizontal="left" vertical="center" wrapText="1"/>
      <protection hidden="1"/>
    </xf>
    <xf numFmtId="1" fontId="6" fillId="0" borderId="229" xfId="126" quotePrefix="1" applyNumberFormat="1" applyFont="1" applyBorder="1" applyAlignment="1" applyProtection="1">
      <alignment horizontal="center" vertical="center"/>
      <protection hidden="1"/>
    </xf>
    <xf numFmtId="1" fontId="6" fillId="17" borderId="193" xfId="126" applyNumberFormat="1" applyFont="1" applyFill="1" applyBorder="1" applyAlignment="1" applyProtection="1">
      <alignment horizontal="center" vertical="center" wrapText="1"/>
      <protection hidden="1"/>
    </xf>
    <xf numFmtId="1" fontId="6" fillId="17" borderId="76" xfId="126" applyNumberFormat="1" applyFont="1" applyFill="1" applyBorder="1" applyAlignment="1" applyProtection="1">
      <alignment horizontal="center" vertical="center" wrapText="1"/>
      <protection hidden="1"/>
    </xf>
    <xf numFmtId="1" fontId="6" fillId="17" borderId="11" xfId="126" applyNumberFormat="1" applyFont="1" applyFill="1" applyBorder="1" applyAlignment="1" applyProtection="1">
      <alignment horizontal="center" vertical="center" wrapText="1"/>
      <protection hidden="1"/>
    </xf>
    <xf numFmtId="1" fontId="6" fillId="0" borderId="135" xfId="0" applyNumberFormat="1" applyFont="1" applyBorder="1" applyAlignment="1">
      <alignment horizontal="center" vertical="center" wrapText="1"/>
    </xf>
    <xf numFmtId="1" fontId="6" fillId="0" borderId="73" xfId="126" applyNumberFormat="1" applyFont="1" applyBorder="1" applyAlignment="1" applyProtection="1">
      <alignment horizontal="left" vertical="center" wrapText="1"/>
      <protection hidden="1"/>
    </xf>
    <xf numFmtId="1" fontId="6" fillId="0" borderId="39" xfId="126" applyNumberFormat="1" applyFont="1" applyBorder="1" applyAlignment="1" applyProtection="1">
      <alignment horizontal="left" vertical="center" wrapText="1"/>
      <protection hidden="1"/>
    </xf>
    <xf numFmtId="1" fontId="6" fillId="0" borderId="1" xfId="126" applyNumberFormat="1" applyFont="1" applyBorder="1" applyAlignment="1" applyProtection="1">
      <alignment horizontal="center" vertical="center" wrapText="1"/>
      <protection hidden="1"/>
    </xf>
    <xf numFmtId="1" fontId="14" fillId="0" borderId="6" xfId="126" applyNumberFormat="1" applyFont="1" applyBorder="1" applyAlignment="1" applyProtection="1">
      <alignment horizontal="left" wrapText="1"/>
      <protection hidden="1"/>
    </xf>
    <xf numFmtId="1" fontId="6" fillId="0" borderId="193" xfId="126" applyNumberFormat="1" applyFont="1" applyBorder="1" applyAlignment="1" applyProtection="1">
      <alignment horizontal="center" vertical="center" wrapText="1"/>
      <protection hidden="1"/>
    </xf>
    <xf numFmtId="1" fontId="6" fillId="0" borderId="228" xfId="0" applyNumberFormat="1" applyFont="1" applyBorder="1" applyAlignment="1">
      <alignment horizontal="center"/>
    </xf>
    <xf numFmtId="1" fontId="6" fillId="0" borderId="230" xfId="0" applyNumberFormat="1" applyFont="1" applyBorder="1" applyAlignment="1">
      <alignment horizontal="center"/>
    </xf>
    <xf numFmtId="1" fontId="6" fillId="0" borderId="193" xfId="126" applyNumberFormat="1" applyFont="1" applyBorder="1" applyAlignment="1" applyProtection="1">
      <alignment horizontal="left" vertical="center" wrapText="1"/>
      <protection hidden="1"/>
    </xf>
    <xf numFmtId="1" fontId="6" fillId="0" borderId="76" xfId="126" applyNumberFormat="1" applyFont="1" applyBorder="1" applyAlignment="1" applyProtection="1">
      <alignment horizontal="left" vertical="center" wrapText="1"/>
      <protection hidden="1"/>
    </xf>
    <xf numFmtId="1" fontId="6" fillId="0" borderId="11" xfId="126" applyNumberFormat="1" applyFont="1" applyBorder="1" applyAlignment="1" applyProtection="1">
      <alignment horizontal="left" vertical="center" wrapText="1"/>
      <protection hidden="1"/>
    </xf>
    <xf numFmtId="1" fontId="6" fillId="22" borderId="73" xfId="126" applyNumberFormat="1" applyFont="1" applyFill="1" applyBorder="1" applyAlignment="1" applyProtection="1">
      <alignment horizontal="left" vertical="center"/>
      <protection hidden="1"/>
    </xf>
    <xf numFmtId="1" fontId="6" fillId="22" borderId="39" xfId="126" applyNumberFormat="1" applyFont="1" applyFill="1" applyBorder="1" applyAlignment="1" applyProtection="1">
      <alignment horizontal="left" vertical="center"/>
      <protection hidden="1"/>
    </xf>
    <xf numFmtId="1" fontId="6" fillId="0" borderId="72" xfId="126" applyNumberFormat="1" applyFont="1" applyBorder="1" applyAlignment="1" applyProtection="1">
      <alignment horizontal="left" vertical="center" wrapText="1"/>
      <protection hidden="1"/>
    </xf>
    <xf numFmtId="1" fontId="6" fillId="0" borderId="27" xfId="126" applyNumberFormat="1" applyFont="1" applyBorder="1" applyAlignment="1" applyProtection="1">
      <alignment horizontal="left" vertical="center" wrapText="1"/>
      <protection hidden="1"/>
    </xf>
    <xf numFmtId="1" fontId="6" fillId="0" borderId="10" xfId="126" quotePrefix="1" applyNumberFormat="1" applyFont="1" applyBorder="1" applyAlignment="1">
      <alignment horizontal="center" vertical="center"/>
    </xf>
    <xf numFmtId="1" fontId="6" fillId="0" borderId="229" xfId="126" quotePrefix="1" applyNumberFormat="1" applyFont="1" applyBorder="1" applyAlignment="1">
      <alignment horizontal="center" vertical="center"/>
    </xf>
    <xf numFmtId="1" fontId="6" fillId="0" borderId="77" xfId="126" applyNumberFormat="1" applyFont="1" applyBorder="1" applyAlignment="1" applyProtection="1">
      <alignment horizontal="left" vertical="center" wrapText="1"/>
      <protection hidden="1"/>
    </xf>
    <xf numFmtId="1" fontId="6" fillId="0" borderId="124" xfId="126" applyNumberFormat="1" applyFont="1" applyBorder="1" applyAlignment="1" applyProtection="1">
      <alignment horizontal="left" vertical="center" wrapText="1"/>
      <protection hidden="1"/>
    </xf>
    <xf numFmtId="1" fontId="6" fillId="0" borderId="10" xfId="127" applyNumberFormat="1" applyFont="1" applyBorder="1" applyAlignment="1" applyProtection="1">
      <alignment horizontal="center" vertical="center" wrapText="1"/>
      <protection hidden="1"/>
    </xf>
    <xf numFmtId="1" fontId="6" fillId="0" borderId="228" xfId="127" applyNumberFormat="1" applyFont="1" applyBorder="1" applyAlignment="1" applyProtection="1">
      <alignment horizontal="center" vertical="center" wrapText="1"/>
      <protection hidden="1"/>
    </xf>
    <xf numFmtId="1" fontId="6" fillId="0" borderId="229" xfId="127" applyNumberFormat="1" applyFont="1" applyBorder="1" applyAlignment="1" applyProtection="1">
      <alignment horizontal="center" vertical="center" wrapText="1"/>
      <protection hidden="1"/>
    </xf>
    <xf numFmtId="1" fontId="6" fillId="0" borderId="228" xfId="0" applyNumberFormat="1" applyFont="1" applyBorder="1" applyAlignment="1" applyProtection="1">
      <alignment horizontal="center"/>
      <protection hidden="1"/>
    </xf>
    <xf numFmtId="1" fontId="6" fillId="0" borderId="229" xfId="0" applyNumberFormat="1" applyFont="1" applyBorder="1" applyAlignment="1" applyProtection="1">
      <alignment horizontal="center"/>
      <protection hidden="1"/>
    </xf>
    <xf numFmtId="1" fontId="6" fillId="0" borderId="229" xfId="0" applyNumberFormat="1" applyFont="1" applyBorder="1" applyAlignment="1">
      <alignment horizontal="center"/>
    </xf>
    <xf numFmtId="1" fontId="6" fillId="22" borderId="77" xfId="126" applyNumberFormat="1" applyFont="1" applyFill="1" applyBorder="1" applyAlignment="1" applyProtection="1">
      <alignment horizontal="left" vertical="center"/>
      <protection hidden="1"/>
    </xf>
    <xf numFmtId="1" fontId="6" fillId="22" borderId="124" xfId="126" applyNumberFormat="1" applyFont="1" applyFill="1" applyBorder="1" applyAlignment="1" applyProtection="1">
      <alignment horizontal="left" vertical="center"/>
      <protection hidden="1"/>
    </xf>
    <xf numFmtId="0" fontId="6" fillId="22" borderId="74" xfId="126" applyFont="1" applyFill="1" applyBorder="1" applyAlignment="1">
      <alignment horizontal="left"/>
    </xf>
    <xf numFmtId="0" fontId="6" fillId="22" borderId="34" xfId="126" applyFont="1" applyFill="1" applyBorder="1" applyAlignment="1">
      <alignment horizontal="left"/>
    </xf>
    <xf numFmtId="1" fontId="6" fillId="22" borderId="74" xfId="126" applyNumberFormat="1" applyFont="1" applyFill="1" applyBorder="1" applyAlignment="1" applyProtection="1">
      <alignment horizontal="left" vertical="center" wrapText="1"/>
      <protection hidden="1"/>
    </xf>
    <xf numFmtId="1" fontId="6" fillId="22" borderId="34" xfId="126" applyNumberFormat="1" applyFont="1" applyFill="1" applyBorder="1" applyAlignment="1" applyProtection="1">
      <alignment horizontal="left" vertical="center" wrapText="1"/>
      <protection hidden="1"/>
    </xf>
    <xf numFmtId="1" fontId="10" fillId="0" borderId="201" xfId="126" applyNumberFormat="1" applyFont="1" applyBorder="1" applyAlignment="1" applyProtection="1">
      <alignment horizontal="center" vertical="center"/>
      <protection hidden="1"/>
    </xf>
    <xf numFmtId="1" fontId="10" fillId="0" borderId="194" xfId="126" applyNumberFormat="1" applyFont="1" applyBorder="1" applyAlignment="1" applyProtection="1">
      <alignment horizontal="center" vertical="center"/>
      <protection hidden="1"/>
    </xf>
    <xf numFmtId="1" fontId="10" fillId="0" borderId="187" xfId="126" applyNumberFormat="1" applyFont="1" applyBorder="1" applyAlignment="1" applyProtection="1">
      <alignment horizontal="center" vertical="center"/>
      <protection hidden="1"/>
    </xf>
    <xf numFmtId="1" fontId="10" fillId="0" borderId="97" xfId="126" applyNumberFormat="1" applyFont="1" applyBorder="1" applyAlignment="1" applyProtection="1">
      <alignment horizontal="center" vertical="center"/>
      <protection hidden="1"/>
    </xf>
    <xf numFmtId="1" fontId="10" fillId="0" borderId="94" xfId="126" applyNumberFormat="1" applyFont="1" applyBorder="1" applyAlignment="1" applyProtection="1">
      <alignment horizontal="center" vertical="center"/>
      <protection hidden="1"/>
    </xf>
    <xf numFmtId="1" fontId="10" fillId="0" borderId="29" xfId="126" applyNumberFormat="1" applyFont="1" applyBorder="1" applyAlignment="1" applyProtection="1">
      <alignment horizontal="center" vertical="center"/>
      <protection hidden="1"/>
    </xf>
    <xf numFmtId="1" fontId="6" fillId="0" borderId="7" xfId="126" applyNumberFormat="1" applyFont="1" applyBorder="1" applyAlignment="1" applyProtection="1">
      <alignment horizontal="left" vertical="center" wrapText="1"/>
      <protection hidden="1"/>
    </xf>
    <xf numFmtId="1" fontId="6" fillId="0" borderId="5" xfId="126" applyNumberFormat="1" applyFont="1" applyBorder="1" applyAlignment="1" applyProtection="1">
      <alignment horizontal="left" vertical="center" wrapText="1"/>
      <protection hidden="1"/>
    </xf>
    <xf numFmtId="1" fontId="6" fillId="0" borderId="200" xfId="0" applyNumberFormat="1" applyFont="1" applyBorder="1" applyAlignment="1">
      <alignment horizontal="center" vertical="center" wrapText="1"/>
    </xf>
    <xf numFmtId="1" fontId="6" fillId="0" borderId="146" xfId="0" applyNumberFormat="1" applyFont="1" applyBorder="1" applyAlignment="1">
      <alignment horizontal="center" vertical="center" wrapText="1"/>
    </xf>
    <xf numFmtId="1" fontId="6" fillId="0" borderId="230" xfId="109" applyNumberFormat="1" applyFont="1" applyBorder="1" applyAlignment="1">
      <alignment horizontal="center" vertical="center" wrapText="1"/>
    </xf>
    <xf numFmtId="1" fontId="6" fillId="21" borderId="207" xfId="0" applyNumberFormat="1" applyFont="1" applyFill="1" applyBorder="1" applyAlignment="1">
      <alignment horizontal="center" vertical="center" wrapText="1"/>
    </xf>
    <xf numFmtId="1" fontId="10" fillId="0" borderId="208" xfId="127" quotePrefix="1" applyNumberFormat="1" applyFont="1" applyBorder="1" applyAlignment="1" applyProtection="1">
      <alignment horizontal="center" vertical="center" wrapText="1"/>
      <protection hidden="1"/>
    </xf>
    <xf numFmtId="1" fontId="10" fillId="0" borderId="209" xfId="127" quotePrefix="1" applyNumberFormat="1" applyFont="1" applyBorder="1" applyAlignment="1" applyProtection="1">
      <alignment horizontal="center" vertical="center" wrapText="1"/>
      <protection hidden="1"/>
    </xf>
    <xf numFmtId="1" fontId="10" fillId="0" borderId="208" xfId="127" applyNumberFormat="1" applyFont="1" applyBorder="1" applyAlignment="1" applyProtection="1">
      <alignment horizontal="center" vertical="center" wrapText="1"/>
      <protection hidden="1"/>
    </xf>
    <xf numFmtId="1" fontId="10" fillId="0" borderId="209" xfId="127" applyNumberFormat="1" applyFont="1" applyBorder="1" applyAlignment="1" applyProtection="1">
      <alignment horizontal="center" vertical="center" wrapText="1"/>
      <protection hidden="1"/>
    </xf>
    <xf numFmtId="1" fontId="6" fillId="0" borderId="68" xfId="127" applyNumberFormat="1" applyFont="1" applyBorder="1" applyAlignment="1" applyProtection="1">
      <alignment horizontal="left"/>
      <protection hidden="1"/>
    </xf>
    <xf numFmtId="1" fontId="6" fillId="0" borderId="107" xfId="127" applyNumberFormat="1" applyFont="1" applyBorder="1" applyAlignment="1" applyProtection="1">
      <alignment horizontal="left"/>
      <protection hidden="1"/>
    </xf>
    <xf numFmtId="1" fontId="6" fillId="0" borderId="201" xfId="127" applyNumberFormat="1" applyFont="1" applyBorder="1" applyAlignment="1" applyProtection="1">
      <alignment horizontal="center" vertical="center" wrapText="1"/>
      <protection hidden="1"/>
    </xf>
    <xf numFmtId="1" fontId="6" fillId="0" borderId="210" xfId="127" applyNumberFormat="1" applyFont="1" applyBorder="1" applyAlignment="1" applyProtection="1">
      <alignment horizontal="center" vertical="center" wrapText="1"/>
      <protection hidden="1"/>
    </xf>
    <xf numFmtId="1" fontId="6" fillId="0" borderId="187" xfId="127" applyNumberFormat="1" applyFont="1" applyBorder="1" applyAlignment="1" applyProtection="1">
      <alignment horizontal="center" vertical="center" wrapText="1"/>
      <protection hidden="1"/>
    </xf>
    <xf numFmtId="1" fontId="6" fillId="0" borderId="97" xfId="127" applyNumberFormat="1" applyFont="1" applyBorder="1" applyAlignment="1" applyProtection="1">
      <alignment horizontal="center" vertical="center" wrapText="1"/>
      <protection hidden="1"/>
    </xf>
    <xf numFmtId="1" fontId="6" fillId="0" borderId="94" xfId="127" applyNumberFormat="1" applyFont="1" applyBorder="1" applyAlignment="1" applyProtection="1">
      <alignment horizontal="center" vertical="center" wrapText="1"/>
      <protection hidden="1"/>
    </xf>
    <xf numFmtId="1" fontId="6" fillId="0" borderId="29" xfId="127" applyNumberFormat="1" applyFont="1" applyBorder="1" applyAlignment="1" applyProtection="1">
      <alignment horizontal="center" vertical="center" wrapText="1"/>
      <protection hidden="1"/>
    </xf>
    <xf numFmtId="1" fontId="6" fillId="0" borderId="72" xfId="127" applyNumberFormat="1" applyFont="1" applyBorder="1" applyAlignment="1" applyProtection="1">
      <alignment horizontal="left" vertical="center" wrapText="1"/>
      <protection hidden="1"/>
    </xf>
    <xf numFmtId="1" fontId="6" fillId="0" borderId="27" xfId="127" applyNumberFormat="1" applyFont="1" applyBorder="1" applyAlignment="1" applyProtection="1">
      <alignment horizontal="left" vertical="center" wrapText="1"/>
      <protection hidden="1"/>
    </xf>
    <xf numFmtId="1" fontId="6" fillId="0" borderId="73" xfId="127" applyNumberFormat="1" applyFont="1" applyBorder="1" applyAlignment="1" applyProtection="1">
      <alignment horizontal="left" vertical="center" wrapText="1"/>
      <protection hidden="1"/>
    </xf>
    <xf numFmtId="1" fontId="6" fillId="0" borderId="39" xfId="127" applyNumberFormat="1" applyFont="1" applyBorder="1" applyAlignment="1" applyProtection="1">
      <alignment horizontal="left" vertical="center" wrapText="1"/>
      <protection hidden="1"/>
    </xf>
    <xf numFmtId="1" fontId="6" fillId="0" borderId="77" xfId="127" applyNumberFormat="1" applyFont="1" applyBorder="1" applyAlignment="1" applyProtection="1">
      <alignment horizontal="left" vertical="center" wrapText="1"/>
      <protection hidden="1"/>
    </xf>
    <xf numFmtId="1" fontId="6" fillId="0" borderId="124" xfId="127" applyNumberFormat="1" applyFont="1" applyBorder="1" applyAlignment="1" applyProtection="1">
      <alignment horizontal="left" vertical="center" wrapText="1"/>
      <protection hidden="1"/>
    </xf>
    <xf numFmtId="1" fontId="6" fillId="0" borderId="73" xfId="127" applyNumberFormat="1" applyFont="1" applyBorder="1" applyAlignment="1" applyProtection="1">
      <alignment horizontal="left"/>
      <protection hidden="1"/>
    </xf>
    <xf numFmtId="1" fontId="6" fillId="0" borderId="39" xfId="127" applyNumberFormat="1" applyFont="1" applyBorder="1" applyAlignment="1" applyProtection="1">
      <alignment horizontal="left"/>
      <protection hidden="1"/>
    </xf>
    <xf numFmtId="1" fontId="6" fillId="0" borderId="77" xfId="127" applyNumberFormat="1" applyFont="1" applyBorder="1" applyAlignment="1" applyProtection="1">
      <alignment horizontal="left"/>
      <protection hidden="1"/>
    </xf>
    <xf numFmtId="1" fontId="6" fillId="0" borderId="124" xfId="127" applyNumberFormat="1" applyFont="1" applyBorder="1" applyAlignment="1" applyProtection="1">
      <alignment horizontal="left"/>
      <protection hidden="1"/>
    </xf>
    <xf numFmtId="1" fontId="6" fillId="0" borderId="94" xfId="127" quotePrefix="1" applyNumberFormat="1" applyFont="1" applyBorder="1" applyAlignment="1" applyProtection="1">
      <alignment horizontal="center" vertical="center"/>
      <protection hidden="1"/>
    </xf>
    <xf numFmtId="1" fontId="6" fillId="0" borderId="6" xfId="127" quotePrefix="1" applyNumberFormat="1" applyFont="1" applyBorder="1" applyAlignment="1" applyProtection="1">
      <alignment horizontal="center" vertical="center"/>
      <protection hidden="1"/>
    </xf>
    <xf numFmtId="1" fontId="6" fillId="0" borderId="141" xfId="127" quotePrefix="1" applyNumberFormat="1" applyFont="1" applyBorder="1" applyAlignment="1" applyProtection="1">
      <alignment horizontal="center" vertical="center"/>
      <protection hidden="1"/>
    </xf>
    <xf numFmtId="1" fontId="6" fillId="0" borderId="208" xfId="127" quotePrefix="1" applyNumberFormat="1" applyFont="1" applyBorder="1" applyAlignment="1" applyProtection="1">
      <alignment horizontal="center" vertical="center"/>
      <protection hidden="1"/>
    </xf>
    <xf numFmtId="1" fontId="6" fillId="0" borderId="191" xfId="127" quotePrefix="1" applyNumberFormat="1" applyFont="1" applyBorder="1" applyAlignment="1" applyProtection="1">
      <alignment horizontal="center" vertical="center"/>
      <protection hidden="1"/>
    </xf>
    <xf numFmtId="1" fontId="6" fillId="0" borderId="195" xfId="127" quotePrefix="1" applyNumberFormat="1" applyFont="1" applyBorder="1" applyAlignment="1" applyProtection="1">
      <alignment horizontal="center" vertical="center"/>
      <protection hidden="1"/>
    </xf>
    <xf numFmtId="1" fontId="6" fillId="0" borderId="70" xfId="127" applyNumberFormat="1" applyFont="1" applyBorder="1" applyAlignment="1" applyProtection="1">
      <alignment horizontal="left"/>
      <protection hidden="1"/>
    </xf>
    <xf numFmtId="1" fontId="6" fillId="0" borderId="131" xfId="127" applyNumberFormat="1" applyFont="1" applyBorder="1" applyAlignment="1" applyProtection="1">
      <alignment horizontal="left"/>
      <protection hidden="1"/>
    </xf>
    <xf numFmtId="1" fontId="6" fillId="0" borderId="10" xfId="127" applyNumberFormat="1" applyFont="1" applyBorder="1" applyAlignment="1" applyProtection="1">
      <alignment horizontal="center"/>
      <protection hidden="1"/>
    </xf>
    <xf numFmtId="1" fontId="6" fillId="0" borderId="64" xfId="127" applyNumberFormat="1" applyFont="1" applyBorder="1" applyAlignment="1" applyProtection="1">
      <alignment horizontal="center"/>
      <protection hidden="1"/>
    </xf>
    <xf numFmtId="1" fontId="6" fillId="0" borderId="191" xfId="109" applyNumberFormat="1" applyFont="1" applyBorder="1" applyAlignment="1">
      <alignment horizontal="center" vertical="center" wrapText="1"/>
    </xf>
    <xf numFmtId="1" fontId="6" fillId="0" borderId="1" xfId="127" applyNumberFormat="1" applyFont="1" applyBorder="1" applyAlignment="1" applyProtection="1">
      <alignment horizontal="center" vertical="center"/>
      <protection hidden="1"/>
    </xf>
    <xf numFmtId="1" fontId="6" fillId="0" borderId="1" xfId="127" applyNumberFormat="1" applyFont="1" applyBorder="1" applyAlignment="1" applyProtection="1">
      <alignment horizontal="center" vertical="center" wrapText="1"/>
      <protection hidden="1"/>
    </xf>
    <xf numFmtId="1" fontId="6" fillId="0" borderId="208" xfId="109" applyNumberFormat="1" applyFont="1" applyBorder="1" applyAlignment="1">
      <alignment horizontal="center" vertical="center" wrapText="1"/>
    </xf>
    <xf numFmtId="1" fontId="6" fillId="0" borderId="192" xfId="109" applyNumberFormat="1" applyFont="1" applyBorder="1" applyAlignment="1">
      <alignment horizontal="center" vertical="center" wrapText="1"/>
    </xf>
    <xf numFmtId="1" fontId="6" fillId="0" borderId="67" xfId="127" applyNumberFormat="1" applyFont="1" applyBorder="1" applyAlignment="1" applyProtection="1">
      <alignment horizontal="left"/>
      <protection hidden="1"/>
    </xf>
    <xf numFmtId="1" fontId="6" fillId="0" borderId="129" xfId="127" applyNumberFormat="1" applyFont="1" applyBorder="1" applyAlignment="1" applyProtection="1">
      <alignment horizontal="left"/>
      <protection hidden="1"/>
    </xf>
    <xf numFmtId="1" fontId="14" fillId="0" borderId="93" xfId="0" applyNumberFormat="1" applyFont="1" applyBorder="1" applyAlignment="1">
      <alignment horizontal="left"/>
    </xf>
    <xf numFmtId="1" fontId="14" fillId="0" borderId="93" xfId="127" quotePrefix="1" applyNumberFormat="1" applyFont="1" applyBorder="1" applyAlignment="1" applyProtection="1">
      <alignment horizontal="left"/>
      <protection hidden="1"/>
    </xf>
    <xf numFmtId="1" fontId="14" fillId="0" borderId="4" xfId="127" quotePrefix="1" applyNumberFormat="1" applyFont="1" applyBorder="1" applyAlignment="1" applyProtection="1">
      <alignment horizontal="left"/>
      <protection hidden="1"/>
    </xf>
    <xf numFmtId="1" fontId="6" fillId="0" borderId="195" xfId="109" applyNumberFormat="1" applyFont="1" applyBorder="1" applyAlignment="1">
      <alignment horizontal="center" vertical="center" wrapText="1"/>
    </xf>
    <xf numFmtId="1" fontId="6" fillId="0" borderId="193" xfId="127" applyNumberFormat="1" applyFont="1" applyBorder="1" applyAlignment="1" applyProtection="1">
      <alignment horizontal="center" vertical="center" wrapText="1"/>
      <protection hidden="1"/>
    </xf>
    <xf numFmtId="1" fontId="6" fillId="0" borderId="76" xfId="127" applyNumberFormat="1" applyFont="1" applyBorder="1" applyAlignment="1" applyProtection="1">
      <alignment horizontal="center" vertical="center" wrapText="1"/>
      <protection hidden="1"/>
    </xf>
    <xf numFmtId="1" fontId="6" fillId="0" borderId="11" xfId="127" applyNumberFormat="1" applyFont="1" applyBorder="1" applyAlignment="1" applyProtection="1">
      <alignment horizontal="center" vertical="center" wrapText="1"/>
      <protection hidden="1"/>
    </xf>
    <xf numFmtId="1" fontId="14" fillId="0" borderId="0" xfId="127" applyNumberFormat="1" applyFont="1" applyAlignment="1" applyProtection="1">
      <alignment horizontal="left" vertical="center" wrapText="1"/>
      <protection hidden="1"/>
    </xf>
    <xf numFmtId="1" fontId="14" fillId="0" borderId="93" xfId="127" applyNumberFormat="1" applyFont="1" applyBorder="1" applyAlignment="1" applyProtection="1">
      <alignment horizontal="left"/>
      <protection hidden="1"/>
    </xf>
    <xf numFmtId="1" fontId="14" fillId="0" borderId="4" xfId="127" applyNumberFormat="1" applyFont="1" applyBorder="1" applyAlignment="1" applyProtection="1">
      <alignment horizontal="left"/>
      <protection hidden="1"/>
    </xf>
    <xf numFmtId="1" fontId="6" fillId="0" borderId="10" xfId="127" applyNumberFormat="1" applyFont="1" applyBorder="1" applyAlignment="1" applyProtection="1">
      <alignment horizontal="left"/>
      <protection hidden="1"/>
    </xf>
    <xf numFmtId="1" fontId="6" fillId="0" borderId="64" xfId="127" applyNumberFormat="1" applyFont="1" applyBorder="1" applyAlignment="1" applyProtection="1">
      <alignment horizontal="left"/>
      <protection hidden="1"/>
    </xf>
    <xf numFmtId="1" fontId="6" fillId="0" borderId="10" xfId="127" applyNumberFormat="1" applyFont="1" applyBorder="1" applyAlignment="1" applyProtection="1">
      <alignment horizontal="left" vertical="center" wrapText="1"/>
      <protection hidden="1"/>
    </xf>
    <xf numFmtId="1" fontId="6" fillId="0" borderId="64" xfId="127" applyNumberFormat="1" applyFont="1" applyBorder="1" applyAlignment="1" applyProtection="1">
      <alignment horizontal="left" vertical="center" wrapText="1"/>
      <protection hidden="1"/>
    </xf>
    <xf numFmtId="1" fontId="6" fillId="0" borderId="194" xfId="109" applyNumberFormat="1" applyFont="1" applyBorder="1" applyAlignment="1">
      <alignment horizontal="center" vertical="center" wrapText="1"/>
    </xf>
    <xf numFmtId="1" fontId="6" fillId="0" borderId="211" xfId="109" applyNumberFormat="1" applyFont="1" applyBorder="1" applyAlignment="1">
      <alignment horizontal="center" vertical="center" wrapText="1"/>
    </xf>
    <xf numFmtId="1" fontId="6" fillId="29" borderId="201" xfId="0" applyNumberFormat="1" applyFont="1" applyFill="1" applyBorder="1" applyAlignment="1">
      <alignment horizontal="center" vertical="center" wrapText="1"/>
    </xf>
    <xf numFmtId="1" fontId="6" fillId="29" borderId="210" xfId="0" applyNumberFormat="1" applyFont="1" applyFill="1" applyBorder="1" applyAlignment="1">
      <alignment horizontal="center" vertical="center" wrapText="1"/>
    </xf>
    <xf numFmtId="1" fontId="6" fillId="29" borderId="94" xfId="0" applyNumberFormat="1" applyFont="1" applyFill="1" applyBorder="1" applyAlignment="1">
      <alignment horizontal="center" vertical="center" wrapText="1"/>
    </xf>
    <xf numFmtId="1" fontId="6" fillId="29" borderId="29" xfId="0" applyNumberFormat="1" applyFont="1" applyFill="1" applyBorder="1" applyAlignment="1">
      <alignment horizontal="center" vertical="center" wrapText="1"/>
    </xf>
    <xf numFmtId="1" fontId="6" fillId="21" borderId="201" xfId="0" applyNumberFormat="1" applyFont="1" applyFill="1" applyBorder="1" applyAlignment="1">
      <alignment horizontal="center" vertical="center" wrapText="1"/>
    </xf>
    <xf numFmtId="1" fontId="6" fillId="21" borderId="210" xfId="0" applyNumberFormat="1" applyFont="1" applyFill="1" applyBorder="1" applyAlignment="1">
      <alignment horizontal="center" vertical="center" wrapText="1"/>
    </xf>
    <xf numFmtId="1" fontId="6" fillId="21" borderId="94" xfId="0" applyNumberFormat="1" applyFont="1" applyFill="1" applyBorder="1" applyAlignment="1">
      <alignment horizontal="center" vertical="center" wrapText="1"/>
    </xf>
    <xf numFmtId="1" fontId="6" fillId="21" borderId="29" xfId="0" applyNumberFormat="1" applyFont="1" applyFill="1" applyBorder="1" applyAlignment="1">
      <alignment horizontal="center" vertical="center" wrapText="1"/>
    </xf>
    <xf numFmtId="1" fontId="6" fillId="21" borderId="193" xfId="0" applyNumberFormat="1" applyFont="1" applyFill="1" applyBorder="1" applyAlignment="1">
      <alignment horizontal="center" vertical="center" wrapText="1"/>
    </xf>
    <xf numFmtId="1" fontId="6" fillId="21" borderId="11" xfId="0" applyNumberFormat="1" applyFont="1" applyFill="1" applyBorder="1" applyAlignment="1">
      <alignment horizontal="center" vertical="center" wrapText="1"/>
    </xf>
    <xf numFmtId="1" fontId="6" fillId="29" borderId="1" xfId="0" applyNumberFormat="1" applyFont="1" applyFill="1" applyBorder="1" applyAlignment="1">
      <alignment horizontal="center" vertical="center" wrapText="1"/>
    </xf>
    <xf numFmtId="1" fontId="6" fillId="21" borderId="188" xfId="0" applyNumberFormat="1" applyFont="1" applyFill="1" applyBorder="1" applyAlignment="1">
      <alignment horizontal="center" vertical="center" wrapText="1"/>
    </xf>
    <xf numFmtId="1" fontId="6" fillId="21" borderId="64" xfId="0" applyNumberFormat="1" applyFont="1" applyFill="1" applyBorder="1" applyAlignment="1">
      <alignment horizontal="center" vertical="center" wrapText="1"/>
    </xf>
    <xf numFmtId="1" fontId="6" fillId="29" borderId="135" xfId="0" applyNumberFormat="1" applyFont="1" applyFill="1" applyBorder="1" applyAlignment="1">
      <alignment horizontal="center" vertical="center" wrapText="1"/>
    </xf>
    <xf numFmtId="1" fontId="6" fillId="29" borderId="11" xfId="0" applyNumberFormat="1" applyFont="1" applyFill="1" applyBorder="1" applyAlignment="1">
      <alignment horizontal="center" vertical="center" wrapText="1"/>
    </xf>
    <xf numFmtId="1" fontId="6" fillId="21" borderId="208" xfId="0" applyNumberFormat="1" applyFont="1" applyFill="1" applyBorder="1" applyAlignment="1">
      <alignment horizontal="center" vertical="center" wrapText="1"/>
    </xf>
    <xf numFmtId="1" fontId="6" fillId="21" borderId="229" xfId="0" applyNumberFormat="1" applyFont="1" applyFill="1" applyBorder="1" applyAlignment="1">
      <alignment horizontal="center" vertical="center" wrapText="1"/>
    </xf>
    <xf numFmtId="1" fontId="6" fillId="22" borderId="193" xfId="0" applyNumberFormat="1" applyFont="1" applyFill="1" applyBorder="1" applyAlignment="1">
      <alignment horizontal="center" vertical="center" wrapText="1"/>
    </xf>
    <xf numFmtId="1" fontId="6" fillId="22" borderId="76" xfId="0" applyNumberFormat="1" applyFont="1" applyFill="1" applyBorder="1" applyAlignment="1">
      <alignment horizontal="center" vertical="center" wrapText="1"/>
    </xf>
    <xf numFmtId="1" fontId="6" fillId="22" borderId="11" xfId="0" applyNumberFormat="1" applyFont="1" applyFill="1" applyBorder="1" applyAlignment="1">
      <alignment horizontal="center" vertical="center" wrapText="1"/>
    </xf>
    <xf numFmtId="1" fontId="6" fillId="22" borderId="136" xfId="0" applyNumberFormat="1" applyFont="1" applyFill="1" applyBorder="1" applyAlignment="1">
      <alignment horizontal="center" vertical="center" wrapText="1"/>
    </xf>
    <xf numFmtId="1" fontId="6" fillId="22" borderId="49" xfId="0" applyNumberFormat="1" applyFont="1" applyFill="1" applyBorder="1" applyAlignment="1">
      <alignment horizontal="center" vertical="center" wrapText="1"/>
    </xf>
    <xf numFmtId="1" fontId="6" fillId="22" borderId="94" xfId="0" applyNumberFormat="1" applyFont="1" applyFill="1" applyBorder="1" applyAlignment="1">
      <alignment horizontal="center" vertical="center" wrapText="1"/>
    </xf>
    <xf numFmtId="1" fontId="6" fillId="22" borderId="29" xfId="0" applyNumberFormat="1" applyFont="1" applyFill="1" applyBorder="1" applyAlignment="1">
      <alignment horizontal="center" vertical="center" wrapText="1"/>
    </xf>
    <xf numFmtId="1" fontId="6" fillId="22" borderId="199" xfId="0" applyNumberFormat="1" applyFont="1" applyFill="1" applyBorder="1" applyAlignment="1">
      <alignment horizontal="center" vertical="center" wrapText="1"/>
    </xf>
    <xf numFmtId="1" fontId="6" fillId="22" borderId="172" xfId="0" applyNumberFormat="1" applyFont="1" applyFill="1" applyBorder="1" applyAlignment="1">
      <alignment horizontal="center" vertical="center" wrapText="1"/>
    </xf>
    <xf numFmtId="1" fontId="6" fillId="22" borderId="166" xfId="0" applyNumberFormat="1" applyFont="1" applyFill="1" applyBorder="1" applyAlignment="1">
      <alignment horizontal="center" vertical="center" wrapText="1"/>
    </xf>
    <xf numFmtId="1" fontId="6" fillId="22" borderId="97" xfId="0" applyNumberFormat="1" applyFont="1" applyFill="1" applyBorder="1" applyAlignment="1">
      <alignment horizontal="center" vertical="center" wrapText="1"/>
    </xf>
    <xf numFmtId="1" fontId="6" fillId="22" borderId="4" xfId="0" applyNumberFormat="1" applyFont="1" applyFill="1" applyBorder="1" applyAlignment="1">
      <alignment horizontal="center" vertical="center" wrapText="1"/>
    </xf>
    <xf numFmtId="1" fontId="6" fillId="22" borderId="6" xfId="0" applyNumberFormat="1" applyFont="1" applyFill="1" applyBorder="1" applyAlignment="1">
      <alignment horizontal="center" vertical="center" wrapText="1"/>
    </xf>
    <xf numFmtId="1" fontId="6" fillId="22" borderId="200" xfId="0" applyNumberFormat="1" applyFont="1" applyFill="1" applyBorder="1" applyAlignment="1">
      <alignment horizontal="center" vertical="center" wrapText="1"/>
    </xf>
    <xf numFmtId="1" fontId="6" fillId="22" borderId="156" xfId="0" applyNumberFormat="1" applyFont="1" applyFill="1" applyBorder="1" applyAlignment="1">
      <alignment horizontal="center" vertical="center" wrapText="1"/>
    </xf>
    <xf numFmtId="1" fontId="6" fillId="22" borderId="135" xfId="0" applyNumberFormat="1" applyFont="1" applyFill="1" applyBorder="1" applyAlignment="1">
      <alignment horizontal="center" vertical="center" wrapText="1"/>
    </xf>
    <xf numFmtId="1" fontId="6" fillId="0" borderId="10" xfId="127" applyNumberFormat="1" applyFont="1" applyBorder="1" applyAlignment="1" applyProtection="1">
      <alignment horizontal="center" vertical="center"/>
      <protection hidden="1"/>
    </xf>
    <xf numFmtId="1" fontId="6" fillId="0" borderId="93" xfId="127" applyNumberFormat="1" applyFont="1" applyBorder="1" applyAlignment="1" applyProtection="1">
      <alignment horizontal="center" vertical="center"/>
      <protection hidden="1"/>
    </xf>
    <xf numFmtId="1" fontId="6" fillId="0" borderId="1" xfId="109" applyNumberFormat="1" applyFont="1" applyBorder="1" applyAlignment="1">
      <alignment horizontal="center" vertical="center" wrapText="1"/>
    </xf>
    <xf numFmtId="1" fontId="6" fillId="22" borderId="164" xfId="0" applyNumberFormat="1" applyFont="1" applyFill="1" applyBorder="1" applyAlignment="1">
      <alignment horizontal="center" vertical="center" wrapText="1"/>
    </xf>
    <xf numFmtId="1" fontId="14" fillId="0" borderId="0" xfId="126" applyNumberFormat="1" applyFont="1" applyAlignment="1" applyProtection="1">
      <alignment horizontal="center" vertical="center"/>
      <protection hidden="1"/>
    </xf>
    <xf numFmtId="1" fontId="6" fillId="0" borderId="6" xfId="0" applyNumberFormat="1" applyFont="1" applyBorder="1" applyAlignment="1">
      <alignment horizontal="center" vertical="center"/>
    </xf>
    <xf numFmtId="1" fontId="6" fillId="0" borderId="136" xfId="0" applyNumberFormat="1" applyFont="1" applyBorder="1" applyAlignment="1">
      <alignment horizontal="center" vertical="center"/>
    </xf>
    <xf numFmtId="1" fontId="6" fillId="0" borderId="49" xfId="0" applyNumberFormat="1" applyFont="1" applyBorder="1" applyAlignment="1">
      <alignment horizontal="center" vertical="center"/>
    </xf>
    <xf numFmtId="1" fontId="6" fillId="0" borderId="9" xfId="0" applyNumberFormat="1" applyFont="1" applyBorder="1" applyAlignment="1">
      <alignment horizontal="center" vertical="center"/>
    </xf>
    <xf numFmtId="1" fontId="6" fillId="0" borderId="97" xfId="0" applyNumberFormat="1" applyFont="1" applyBorder="1" applyAlignment="1">
      <alignment horizontal="center" vertical="center"/>
    </xf>
    <xf numFmtId="1" fontId="6" fillId="0" borderId="94" xfId="0" applyNumberFormat="1" applyFont="1" applyBorder="1" applyAlignment="1">
      <alignment horizontal="center" vertical="center"/>
    </xf>
    <xf numFmtId="1" fontId="6" fillId="0" borderId="29" xfId="0" applyNumberFormat="1" applyFont="1" applyBorder="1" applyAlignment="1">
      <alignment horizontal="center" vertical="center"/>
    </xf>
    <xf numFmtId="1" fontId="14" fillId="0" borderId="6" xfId="126" applyNumberFormat="1" applyFont="1" applyBorder="1" applyAlignment="1" applyProtection="1">
      <alignment horizontal="left"/>
      <protection hidden="1"/>
    </xf>
    <xf numFmtId="1" fontId="6" fillId="0" borderId="1" xfId="129" applyNumberFormat="1" applyFont="1" applyBorder="1" applyAlignment="1" applyProtection="1">
      <alignment vertical="center" wrapText="1"/>
      <protection hidden="1"/>
    </xf>
    <xf numFmtId="1" fontId="6" fillId="0" borderId="10" xfId="0" applyNumberFormat="1" applyFont="1" applyBorder="1" applyAlignment="1">
      <alignment horizontal="left" vertical="center" wrapText="1"/>
    </xf>
    <xf numFmtId="1" fontId="6" fillId="0" borderId="64" xfId="0" applyNumberFormat="1" applyFont="1" applyBorder="1" applyAlignment="1">
      <alignment horizontal="left" vertical="center" wrapText="1"/>
    </xf>
    <xf numFmtId="1" fontId="10" fillId="0" borderId="10" xfId="126" applyNumberFormat="1" applyFont="1" applyBorder="1" applyAlignment="1" applyProtection="1">
      <alignment horizontal="left" vertical="center" wrapText="1"/>
      <protection hidden="1"/>
    </xf>
    <xf numFmtId="1" fontId="6" fillId="0" borderId="93" xfId="0" applyNumberFormat="1" applyFont="1" applyBorder="1" applyAlignment="1">
      <alignment horizontal="left" wrapText="1"/>
    </xf>
    <xf numFmtId="1" fontId="14" fillId="0" borderId="0" xfId="126" applyNumberFormat="1" applyFont="1" applyAlignment="1" applyProtection="1">
      <alignment horizontal="left" wrapText="1"/>
      <protection hidden="1"/>
    </xf>
    <xf numFmtId="1" fontId="14" fillId="0" borderId="0" xfId="126" applyNumberFormat="1" applyFont="1" applyAlignment="1" applyProtection="1">
      <alignment horizontal="left"/>
      <protection hidden="1"/>
    </xf>
    <xf numFmtId="1" fontId="6" fillId="0" borderId="1" xfId="113" applyNumberFormat="1" applyFont="1" applyBorder="1" applyAlignment="1" applyProtection="1">
      <alignment horizontal="center" vertical="center"/>
      <protection hidden="1"/>
    </xf>
    <xf numFmtId="1" fontId="6" fillId="0" borderId="136" xfId="129" applyNumberFormat="1" applyFont="1" applyBorder="1" applyAlignment="1" applyProtection="1">
      <alignment horizontal="center" vertical="center" wrapText="1"/>
      <protection hidden="1"/>
    </xf>
    <xf numFmtId="1" fontId="6" fillId="0" borderId="9" xfId="0" applyNumberFormat="1" applyFont="1" applyBorder="1" applyAlignment="1">
      <alignment horizontal="center" vertical="center" wrapText="1"/>
    </xf>
    <xf numFmtId="1" fontId="10" fillId="0" borderId="93" xfId="126" applyNumberFormat="1" applyFont="1" applyBorder="1" applyAlignment="1" applyProtection="1">
      <alignment horizontal="left" vertical="center" wrapText="1"/>
      <protection hidden="1"/>
    </xf>
    <xf numFmtId="1" fontId="6" fillId="0" borderId="30" xfId="129" applyNumberFormat="1" applyFont="1" applyBorder="1" applyAlignment="1" applyProtection="1">
      <alignment horizontal="center" vertical="center" wrapText="1"/>
      <protection hidden="1"/>
    </xf>
    <xf numFmtId="1" fontId="6" fillId="0" borderId="35" xfId="129" applyNumberFormat="1" applyFont="1" applyBorder="1" applyAlignment="1" applyProtection="1">
      <alignment horizontal="center" vertical="center" wrapText="1"/>
      <protection hidden="1"/>
    </xf>
    <xf numFmtId="1" fontId="6" fillId="0" borderId="45" xfId="129" applyNumberFormat="1" applyFont="1" applyBorder="1" applyAlignment="1" applyProtection="1">
      <alignment horizontal="center" vertical="center" wrapText="1"/>
      <protection hidden="1"/>
    </xf>
    <xf numFmtId="1" fontId="6" fillId="0" borderId="66" xfId="129" applyNumberFormat="1" applyFont="1" applyBorder="1" applyAlignment="1" applyProtection="1">
      <alignment horizontal="center" vertical="center" wrapText="1"/>
      <protection hidden="1"/>
    </xf>
    <xf numFmtId="1" fontId="6" fillId="0" borderId="73" xfId="0" applyNumberFormat="1" applyFont="1" applyBorder="1" applyAlignment="1">
      <alignment horizontal="left" vertical="center" wrapText="1"/>
    </xf>
    <xf numFmtId="1" fontId="6" fillId="0" borderId="39" xfId="0" applyNumberFormat="1" applyFont="1" applyBorder="1" applyAlignment="1">
      <alignment horizontal="left" vertical="center" wrapText="1"/>
    </xf>
    <xf numFmtId="1" fontId="6" fillId="0" borderId="77" xfId="0" applyNumberFormat="1" applyFont="1" applyBorder="1" applyAlignment="1">
      <alignment horizontal="left" vertical="center" wrapText="1"/>
    </xf>
    <xf numFmtId="1" fontId="6" fillId="0" borderId="124" xfId="0" applyNumberFormat="1" applyFont="1" applyBorder="1" applyAlignment="1">
      <alignment horizontal="left" vertical="center" wrapText="1"/>
    </xf>
    <xf numFmtId="1" fontId="6" fillId="0" borderId="135" xfId="129" applyNumberFormat="1" applyFont="1" applyBorder="1" applyAlignment="1" applyProtection="1">
      <alignment horizontal="center" vertical="center" wrapText="1"/>
      <protection hidden="1"/>
    </xf>
    <xf numFmtId="1" fontId="6" fillId="0" borderId="76" xfId="129" applyNumberFormat="1" applyFont="1" applyBorder="1" applyAlignment="1" applyProtection="1">
      <alignment horizontal="center" vertical="center" wrapText="1"/>
      <protection hidden="1"/>
    </xf>
    <xf numFmtId="1" fontId="6" fillId="0" borderId="11" xfId="129" applyNumberFormat="1" applyFont="1" applyBorder="1" applyAlignment="1" applyProtection="1">
      <alignment horizontal="center" vertical="center" wrapText="1"/>
      <protection hidden="1"/>
    </xf>
    <xf numFmtId="1" fontId="6" fillId="0" borderId="194" xfId="0" applyNumberFormat="1" applyFont="1" applyBorder="1" applyAlignment="1">
      <alignment horizontal="center" vertical="center" wrapText="1"/>
    </xf>
    <xf numFmtId="1" fontId="6" fillId="0" borderId="74" xfId="0" applyNumberFormat="1" applyFont="1" applyBorder="1" applyAlignment="1">
      <alignment wrapText="1"/>
    </xf>
    <xf numFmtId="1" fontId="6" fillId="0" borderId="34" xfId="0" applyNumberFormat="1" applyFont="1" applyBorder="1" applyAlignment="1">
      <alignment wrapText="1"/>
    </xf>
    <xf numFmtId="1" fontId="6" fillId="0" borderId="195" xfId="0" applyNumberFormat="1" applyFont="1" applyBorder="1" applyAlignment="1">
      <alignment horizontal="center" vertical="center" wrapText="1"/>
    </xf>
    <xf numFmtId="1" fontId="6" fillId="22" borderId="136" xfId="0" applyNumberFormat="1" applyFont="1" applyFill="1" applyBorder="1" applyAlignment="1">
      <alignment horizontal="center" vertical="center"/>
    </xf>
    <xf numFmtId="1" fontId="6" fillId="22" borderId="4" xfId="0" applyNumberFormat="1" applyFont="1" applyFill="1" applyBorder="1" applyAlignment="1">
      <alignment horizontal="center" vertical="center"/>
    </xf>
    <xf numFmtId="1" fontId="6" fillId="22" borderId="49" xfId="0" applyNumberFormat="1" applyFont="1" applyFill="1" applyBorder="1" applyAlignment="1">
      <alignment horizontal="center" vertical="center"/>
    </xf>
    <xf numFmtId="1" fontId="6" fillId="22" borderId="94" xfId="0" applyNumberFormat="1" applyFont="1" applyFill="1" applyBorder="1" applyAlignment="1">
      <alignment horizontal="center" vertical="center"/>
    </xf>
    <xf numFmtId="1" fontId="6" fillId="22" borderId="6" xfId="0" applyNumberFormat="1" applyFont="1" applyFill="1" applyBorder="1" applyAlignment="1">
      <alignment horizontal="center" vertical="center"/>
    </xf>
    <xf numFmtId="1" fontId="6" fillId="22" borderId="29" xfId="0" applyNumberFormat="1" applyFont="1" applyFill="1" applyBorder="1" applyAlignment="1">
      <alignment horizontal="center" vertical="center"/>
    </xf>
    <xf numFmtId="1" fontId="6" fillId="0" borderId="11" xfId="129" applyNumberFormat="1" applyFont="1" applyBorder="1" applyAlignment="1" applyProtection="1">
      <alignment vertical="center" wrapText="1"/>
      <protection hidden="1"/>
    </xf>
    <xf numFmtId="1" fontId="6" fillId="0" borderId="72" xfId="129" quotePrefix="1" applyNumberFormat="1" applyFont="1" applyBorder="1" applyAlignment="1" applyProtection="1">
      <alignment horizontal="left" vertical="center" wrapText="1"/>
      <protection hidden="1"/>
    </xf>
    <xf numFmtId="1" fontId="6" fillId="0" borderId="77" xfId="129" applyNumberFormat="1" applyFont="1" applyBorder="1" applyAlignment="1" applyProtection="1">
      <alignment horizontal="left" vertical="center" wrapText="1"/>
      <protection hidden="1"/>
    </xf>
    <xf numFmtId="1" fontId="10" fillId="0" borderId="4" xfId="0" applyNumberFormat="1" applyFont="1" applyBorder="1" applyAlignment="1">
      <alignment horizontal="center" vertical="center" wrapText="1"/>
    </xf>
    <xf numFmtId="1" fontId="10" fillId="0" borderId="49" xfId="0" applyNumberFormat="1" applyFont="1" applyBorder="1" applyAlignment="1">
      <alignment horizontal="center" vertical="center" wrapText="1"/>
    </xf>
    <xf numFmtId="1" fontId="10" fillId="0" borderId="0" xfId="0" applyNumberFormat="1" applyFont="1" applyAlignment="1">
      <alignment horizontal="center" vertical="center" wrapText="1"/>
    </xf>
    <xf numFmtId="1" fontId="10" fillId="0" borderId="97" xfId="0" applyNumberFormat="1" applyFont="1" applyBorder="1" applyAlignment="1">
      <alignment horizontal="center" vertical="center" wrapText="1"/>
    </xf>
    <xf numFmtId="1" fontId="10" fillId="0" borderId="6" xfId="0" applyNumberFormat="1" applyFont="1" applyBorder="1" applyAlignment="1">
      <alignment horizontal="center" vertical="center" wrapText="1"/>
    </xf>
    <xf numFmtId="1" fontId="10" fillId="0" borderId="29" xfId="0" applyNumberFormat="1" applyFont="1" applyBorder="1" applyAlignment="1">
      <alignment horizontal="center" vertical="center" wrapText="1"/>
    </xf>
    <xf numFmtId="1" fontId="6" fillId="0" borderId="64" xfId="0" applyNumberFormat="1" applyFont="1" applyBorder="1" applyAlignment="1">
      <alignment horizontal="left" wrapText="1"/>
    </xf>
    <xf numFmtId="1" fontId="6" fillId="0" borderId="35" xfId="129" applyNumberFormat="1" applyFont="1" applyBorder="1" applyAlignment="1" applyProtection="1">
      <alignment vertical="center" wrapText="1"/>
      <protection hidden="1"/>
    </xf>
    <xf numFmtId="1" fontId="6" fillId="0" borderId="66" xfId="129" applyNumberFormat="1" applyFont="1" applyBorder="1" applyAlignment="1" applyProtection="1">
      <alignment vertical="center" wrapText="1"/>
      <protection hidden="1"/>
    </xf>
    <xf numFmtId="1" fontId="6" fillId="0" borderId="194" xfId="129" applyNumberFormat="1" applyFont="1" applyBorder="1" applyAlignment="1" applyProtection="1">
      <alignment horizontal="center" vertical="center" wrapText="1"/>
      <protection hidden="1"/>
    </xf>
    <xf numFmtId="1" fontId="6" fillId="0" borderId="97" xfId="129" applyNumberFormat="1" applyFont="1" applyBorder="1" applyAlignment="1" applyProtection="1">
      <alignment horizontal="center" vertical="center" wrapText="1"/>
      <protection hidden="1"/>
    </xf>
    <xf numFmtId="1" fontId="6" fillId="0" borderId="29" xfId="129" applyNumberFormat="1" applyFont="1" applyBorder="1" applyAlignment="1" applyProtection="1">
      <alignment horizontal="center" vertical="center" wrapText="1"/>
      <protection hidden="1"/>
    </xf>
    <xf numFmtId="1" fontId="6" fillId="0" borderId="124" xfId="129" applyNumberFormat="1" applyFont="1" applyBorder="1" applyAlignment="1" applyProtection="1">
      <alignment horizontal="left" vertical="center" wrapText="1"/>
      <protection hidden="1"/>
    </xf>
    <xf numFmtId="1" fontId="10" fillId="0" borderId="64" xfId="126" applyNumberFormat="1" applyFont="1" applyBorder="1" applyAlignment="1" applyProtection="1">
      <alignment horizontal="left" vertical="center" wrapText="1"/>
      <protection hidden="1"/>
    </xf>
    <xf numFmtId="1" fontId="6" fillId="0" borderId="75" xfId="129" applyNumberFormat="1" applyFont="1" applyBorder="1" applyAlignment="1" applyProtection="1">
      <alignment horizontal="center" vertical="center" wrapText="1"/>
      <protection hidden="1"/>
    </xf>
    <xf numFmtId="1" fontId="6" fillId="0" borderId="35" xfId="129" quotePrefix="1" applyNumberFormat="1" applyFont="1" applyBorder="1" applyAlignment="1" applyProtection="1">
      <alignment horizontal="center" vertical="center" wrapText="1"/>
      <protection hidden="1"/>
    </xf>
    <xf numFmtId="0" fontId="32" fillId="0" borderId="182" xfId="0" applyFont="1" applyBorder="1" applyAlignment="1">
      <alignment horizontal="center" vertical="center"/>
    </xf>
    <xf numFmtId="0" fontId="32" fillId="0" borderId="93" xfId="0" applyFont="1" applyBorder="1" applyAlignment="1">
      <alignment horizontal="center" vertical="center"/>
    </xf>
    <xf numFmtId="0" fontId="32" fillId="0" borderId="64" xfId="0" applyFont="1" applyBorder="1" applyAlignment="1">
      <alignment horizontal="center" vertical="center"/>
    </xf>
    <xf numFmtId="1" fontId="14" fillId="0" borderId="0" xfId="128" applyNumberFormat="1" applyFont="1" applyAlignment="1" applyProtection="1">
      <alignment horizontal="center" vertical="center" wrapText="1"/>
      <protection hidden="1"/>
    </xf>
    <xf numFmtId="0" fontId="30" fillId="0" borderId="36" xfId="0" applyFont="1" applyBorder="1" applyAlignment="1">
      <alignment vertical="center" wrapText="1"/>
    </xf>
    <xf numFmtId="0" fontId="30" fillId="0" borderId="69" xfId="0" applyFont="1" applyBorder="1" applyAlignment="1">
      <alignment vertical="center" wrapText="1"/>
    </xf>
    <xf numFmtId="0" fontId="30" fillId="0" borderId="24" xfId="0" applyFont="1" applyBorder="1" applyAlignment="1">
      <alignment vertical="center" wrapText="1"/>
    </xf>
    <xf numFmtId="0" fontId="30" fillId="0" borderId="86" xfId="0" applyFont="1" applyBorder="1" applyAlignment="1">
      <alignment vertical="center" wrapText="1"/>
    </xf>
    <xf numFmtId="0" fontId="30" fillId="0" borderId="6" xfId="0" applyFont="1" applyBorder="1" applyAlignment="1">
      <alignment vertical="center" wrapText="1"/>
    </xf>
    <xf numFmtId="0" fontId="30" fillId="0" borderId="29" xfId="0" applyFont="1" applyBorder="1" applyAlignment="1">
      <alignment vertical="center" wrapText="1"/>
    </xf>
    <xf numFmtId="0" fontId="30" fillId="0" borderId="125" xfId="0" applyFont="1" applyBorder="1" applyAlignment="1">
      <alignment vertical="center" wrapText="1"/>
    </xf>
    <xf numFmtId="0" fontId="30" fillId="0" borderId="39" xfId="0" applyFont="1" applyBorder="1" applyAlignment="1">
      <alignment vertical="center" wrapText="1"/>
    </xf>
    <xf numFmtId="0" fontId="30" fillId="0" borderId="6" xfId="0" applyFont="1" applyBorder="1" applyAlignment="1">
      <alignment horizontal="center" vertical="center" wrapText="1"/>
    </xf>
    <xf numFmtId="0" fontId="30" fillId="0" borderId="29" xfId="0" applyFont="1" applyBorder="1" applyAlignment="1">
      <alignment horizontal="center" vertical="center" wrapText="1"/>
    </xf>
    <xf numFmtId="0" fontId="30" fillId="0" borderId="49" xfId="0" applyFont="1" applyBorder="1" applyAlignment="1">
      <alignment horizontal="center" vertical="center" wrapText="1"/>
    </xf>
    <xf numFmtId="0" fontId="30" fillId="0" borderId="97" xfId="0" applyFont="1" applyBorder="1" applyAlignment="1">
      <alignment horizontal="center" vertical="center" wrapText="1"/>
    </xf>
    <xf numFmtId="0" fontId="30" fillId="0" borderId="85" xfId="0" applyFont="1" applyBorder="1" applyAlignment="1">
      <alignment vertical="center" wrapText="1"/>
    </xf>
    <xf numFmtId="0" fontId="30" fillId="0" borderId="83" xfId="0" applyFont="1" applyBorder="1" applyAlignment="1">
      <alignment vertical="center" wrapText="1"/>
    </xf>
    <xf numFmtId="0" fontId="30" fillId="0" borderId="204" xfId="0" applyFont="1" applyBorder="1" applyAlignment="1">
      <alignment horizontal="center" vertical="center" wrapText="1"/>
    </xf>
    <xf numFmtId="0" fontId="30" fillId="0" borderId="167" xfId="0" applyFont="1" applyBorder="1" applyAlignment="1">
      <alignment horizontal="center" vertical="center" wrapText="1"/>
    </xf>
    <xf numFmtId="0" fontId="30" fillId="0" borderId="168" xfId="0" applyFont="1" applyBorder="1" applyAlignment="1">
      <alignment horizontal="center" vertical="center" wrapText="1"/>
    </xf>
    <xf numFmtId="1" fontId="10" fillId="0" borderId="10" xfId="126" applyNumberFormat="1" applyFont="1" applyBorder="1" applyAlignment="1" applyProtection="1">
      <alignment horizontal="center" vertical="center" wrapText="1"/>
      <protection hidden="1"/>
    </xf>
    <xf numFmtId="1" fontId="10" fillId="0" borderId="64" xfId="126" applyNumberFormat="1" applyFont="1" applyBorder="1" applyAlignment="1" applyProtection="1">
      <alignment horizontal="center" vertical="center" wrapText="1"/>
      <protection hidden="1"/>
    </xf>
    <xf numFmtId="1" fontId="6" fillId="0" borderId="10" xfId="126" applyNumberFormat="1" applyFont="1" applyBorder="1" applyAlignment="1" applyProtection="1">
      <alignment horizontal="center" vertical="center" wrapText="1"/>
      <protection hidden="1"/>
    </xf>
    <xf numFmtId="1" fontId="6" fillId="0" borderId="93" xfId="126" applyNumberFormat="1" applyFont="1" applyBorder="1" applyAlignment="1" applyProtection="1">
      <alignment horizontal="center" vertical="center" wrapText="1"/>
      <protection hidden="1"/>
    </xf>
    <xf numFmtId="1" fontId="6" fillId="0" borderId="64" xfId="126" applyNumberFormat="1" applyFont="1" applyBorder="1" applyAlignment="1" applyProtection="1">
      <alignment horizontal="center" vertical="center" wrapText="1"/>
      <protection hidden="1"/>
    </xf>
    <xf numFmtId="1" fontId="10" fillId="22" borderId="136" xfId="0" applyNumberFormat="1" applyFont="1" applyFill="1" applyBorder="1" applyAlignment="1">
      <alignment horizontal="center" vertical="center" wrapText="1"/>
    </xf>
    <xf numFmtId="1" fontId="10" fillId="22" borderId="49" xfId="0" applyNumberFormat="1" applyFont="1" applyFill="1" applyBorder="1" applyAlignment="1">
      <alignment horizontal="center" vertical="center" wrapText="1"/>
    </xf>
    <xf numFmtId="1" fontId="10" fillId="22" borderId="9" xfId="0" applyNumberFormat="1" applyFont="1" applyFill="1" applyBorder="1" applyAlignment="1">
      <alignment horizontal="center" vertical="center" wrapText="1"/>
    </xf>
    <xf numFmtId="1" fontId="10" fillId="22" borderId="97" xfId="0" applyNumberFormat="1" applyFont="1" applyFill="1" applyBorder="1" applyAlignment="1">
      <alignment horizontal="center" vertical="center" wrapText="1"/>
    </xf>
    <xf numFmtId="1" fontId="10" fillId="22" borderId="94" xfId="0" applyNumberFormat="1" applyFont="1" applyFill="1" applyBorder="1" applyAlignment="1">
      <alignment horizontal="center" vertical="center" wrapText="1"/>
    </xf>
    <xf numFmtId="1" fontId="10" fillId="22" borderId="29" xfId="0" applyNumberFormat="1" applyFont="1" applyFill="1" applyBorder="1" applyAlignment="1">
      <alignment horizontal="center" vertical="center" wrapText="1"/>
    </xf>
    <xf numFmtId="1" fontId="6" fillId="22" borderId="9" xfId="0" applyNumberFormat="1" applyFont="1" applyFill="1" applyBorder="1" applyAlignment="1">
      <alignment horizontal="center" vertical="center" wrapText="1"/>
    </xf>
    <xf numFmtId="1" fontId="6" fillId="22" borderId="0" xfId="0" applyNumberFormat="1" applyFont="1" applyFill="1" applyAlignment="1">
      <alignment horizontal="center" vertical="center" wrapText="1"/>
    </xf>
    <xf numFmtId="1" fontId="6" fillId="22" borderId="201" xfId="0" applyNumberFormat="1" applyFont="1" applyFill="1" applyBorder="1" applyAlignment="1">
      <alignment horizontal="center" vertical="center" wrapText="1"/>
    </xf>
    <xf numFmtId="1" fontId="6" fillId="22" borderId="1" xfId="0" applyNumberFormat="1" applyFont="1" applyFill="1" applyBorder="1" applyAlignment="1">
      <alignment horizontal="center" vertical="center" wrapText="1"/>
    </xf>
    <xf numFmtId="1" fontId="6" fillId="22" borderId="119" xfId="0" applyNumberFormat="1" applyFont="1" applyFill="1" applyBorder="1" applyAlignment="1">
      <alignment horizontal="center" vertical="center" wrapText="1"/>
    </xf>
    <xf numFmtId="1" fontId="6" fillId="22" borderId="209" xfId="0" applyNumberFormat="1" applyFont="1" applyFill="1" applyBorder="1" applyAlignment="1">
      <alignment horizontal="center" vertical="center" wrapText="1"/>
    </xf>
    <xf numFmtId="1" fontId="10" fillId="22" borderId="1" xfId="0" applyNumberFormat="1" applyFont="1" applyFill="1" applyBorder="1" applyAlignment="1">
      <alignment horizontal="center" vertical="center" wrapText="1"/>
    </xf>
    <xf numFmtId="1" fontId="6" fillId="22" borderId="73" xfId="0" applyNumberFormat="1" applyFont="1" applyFill="1" applyBorder="1" applyAlignment="1">
      <alignment horizontal="left" wrapText="1"/>
    </xf>
    <xf numFmtId="1" fontId="6" fillId="22" borderId="39" xfId="0" applyNumberFormat="1" applyFont="1" applyFill="1" applyBorder="1" applyAlignment="1">
      <alignment horizontal="left" wrapText="1"/>
    </xf>
    <xf numFmtId="1" fontId="6" fillId="22" borderId="35" xfId="0" applyNumberFormat="1" applyFont="1" applyFill="1" applyBorder="1" applyAlignment="1">
      <alignment horizontal="left" vertical="center" wrapText="1"/>
    </xf>
    <xf numFmtId="1" fontId="6" fillId="22" borderId="77" xfId="0" applyNumberFormat="1" applyFont="1" applyFill="1" applyBorder="1" applyAlignment="1">
      <alignment horizontal="left" vertical="center" wrapText="1"/>
    </xf>
    <xf numFmtId="1" fontId="6" fillId="22" borderId="124" xfId="0" applyNumberFormat="1" applyFont="1" applyFill="1" applyBorder="1" applyAlignment="1">
      <alignment horizontal="left" vertical="center" wrapText="1"/>
    </xf>
    <xf numFmtId="1" fontId="6" fillId="22" borderId="72" xfId="0" applyNumberFormat="1" applyFont="1" applyFill="1" applyBorder="1" applyAlignment="1">
      <alignment horizontal="left" wrapText="1"/>
    </xf>
    <xf numFmtId="1" fontId="6" fillId="22" borderId="27" xfId="0" applyNumberFormat="1" applyFont="1" applyFill="1" applyBorder="1" applyAlignment="1">
      <alignment horizontal="left" wrapText="1"/>
    </xf>
    <xf numFmtId="1" fontId="6" fillId="22" borderId="35" xfId="0" applyNumberFormat="1" applyFont="1" applyFill="1" applyBorder="1" applyAlignment="1">
      <alignment horizontal="left" wrapText="1"/>
    </xf>
    <xf numFmtId="1" fontId="6" fillId="22" borderId="77" xfId="0" applyNumberFormat="1" applyFont="1" applyFill="1" applyBorder="1" applyAlignment="1">
      <alignment horizontal="left" wrapText="1"/>
    </xf>
    <xf numFmtId="1" fontId="6" fillId="22" borderId="124" xfId="0" applyNumberFormat="1" applyFont="1" applyFill="1" applyBorder="1" applyAlignment="1">
      <alignment horizontal="left" wrapText="1"/>
    </xf>
    <xf numFmtId="1" fontId="6" fillId="22" borderId="135" xfId="0" applyNumberFormat="1" applyFont="1" applyFill="1" applyBorder="1" applyAlignment="1">
      <alignment vertical="center" wrapText="1"/>
    </xf>
    <xf numFmtId="1" fontId="6" fillId="22" borderId="11" xfId="0" applyNumberFormat="1" applyFont="1" applyFill="1" applyBorder="1" applyAlignment="1">
      <alignment vertical="center" wrapText="1"/>
    </xf>
    <xf numFmtId="1" fontId="10" fillId="22" borderId="201" xfId="0" applyNumberFormat="1" applyFont="1" applyFill="1" applyBorder="1" applyAlignment="1">
      <alignment horizontal="center" vertical="center" wrapText="1"/>
    </xf>
    <xf numFmtId="1" fontId="10" fillId="22" borderId="187" xfId="0" applyNumberFormat="1" applyFont="1" applyFill="1" applyBorder="1" applyAlignment="1">
      <alignment horizontal="center" vertical="center" wrapText="1"/>
    </xf>
    <xf numFmtId="1" fontId="6" fillId="22" borderId="89" xfId="0" applyNumberFormat="1" applyFont="1" applyFill="1" applyBorder="1" applyAlignment="1">
      <alignment horizontal="left" wrapText="1"/>
    </xf>
    <xf numFmtId="1" fontId="6" fillId="22" borderId="44" xfId="0" applyNumberFormat="1" applyFont="1" applyFill="1" applyBorder="1" applyAlignment="1">
      <alignment horizontal="left" wrapText="1"/>
    </xf>
    <xf numFmtId="1" fontId="6" fillId="22" borderId="35" xfId="0" applyNumberFormat="1" applyFont="1" applyFill="1" applyBorder="1" applyAlignment="1">
      <alignment horizontal="left"/>
    </xf>
    <xf numFmtId="1" fontId="6" fillId="22" borderId="76" xfId="0" applyNumberFormat="1" applyFont="1" applyFill="1" applyBorder="1" applyAlignment="1">
      <alignment vertical="center" wrapText="1"/>
    </xf>
    <xf numFmtId="1" fontId="6" fillId="22" borderId="135" xfId="0" applyNumberFormat="1" applyFont="1" applyFill="1" applyBorder="1" applyAlignment="1">
      <alignment vertical="center"/>
    </xf>
    <xf numFmtId="1" fontId="6" fillId="22" borderId="11" xfId="0" applyNumberFormat="1" applyFont="1" applyFill="1" applyBorder="1" applyAlignment="1">
      <alignment vertical="center"/>
    </xf>
    <xf numFmtId="1" fontId="6" fillId="22" borderId="135" xfId="0" applyNumberFormat="1" applyFont="1" applyFill="1" applyBorder="1" applyAlignment="1">
      <alignment horizontal="left" vertical="center" wrapText="1"/>
    </xf>
    <xf numFmtId="1" fontId="6" fillId="22" borderId="76" xfId="0" applyNumberFormat="1" applyFont="1" applyFill="1" applyBorder="1" applyAlignment="1">
      <alignment horizontal="left" vertical="center" wrapText="1"/>
    </xf>
    <xf numFmtId="1" fontId="6" fillId="22" borderId="10" xfId="0" applyNumberFormat="1" applyFont="1" applyFill="1" applyBorder="1" applyAlignment="1">
      <alignment horizontal="center" vertical="center" wrapText="1"/>
    </xf>
    <xf numFmtId="1" fontId="6" fillId="22" borderId="11" xfId="0" applyNumberFormat="1" applyFont="1" applyFill="1" applyBorder="1" applyAlignment="1">
      <alignment horizontal="left" wrapText="1"/>
    </xf>
    <xf numFmtId="1" fontId="14" fillId="22" borderId="0" xfId="0" applyNumberFormat="1" applyFont="1" applyFill="1" applyAlignment="1">
      <alignment horizontal="center"/>
    </xf>
    <xf numFmtId="1" fontId="6" fillId="0" borderId="9" xfId="126" applyNumberFormat="1" applyFont="1" applyBorder="1" applyAlignment="1" applyProtection="1">
      <alignment horizontal="center" vertical="center" wrapText="1"/>
      <protection hidden="1"/>
    </xf>
    <xf numFmtId="1" fontId="6" fillId="0" borderId="0" xfId="126" applyNumberFormat="1" applyFont="1" applyAlignment="1" applyProtection="1">
      <alignment horizontal="center" vertical="center" wrapText="1"/>
      <protection hidden="1"/>
    </xf>
    <xf numFmtId="1" fontId="6" fillId="22" borderId="64" xfId="0" applyNumberFormat="1" applyFont="1" applyFill="1" applyBorder="1" applyAlignment="1">
      <alignment horizontal="center" vertical="center" wrapText="1"/>
    </xf>
    <xf numFmtId="1" fontId="6" fillId="0" borderId="191" xfId="126" applyNumberFormat="1" applyFont="1" applyBorder="1" applyAlignment="1" applyProtection="1">
      <alignment horizontal="center" vertical="center" wrapText="1"/>
      <protection hidden="1"/>
    </xf>
    <xf numFmtId="1" fontId="6" fillId="0" borderId="122" xfId="126" applyNumberFormat="1" applyFont="1" applyBorder="1" applyAlignment="1" applyProtection="1">
      <alignment horizontal="center" vertical="center" wrapText="1"/>
      <protection hidden="1"/>
    </xf>
    <xf numFmtId="1" fontId="6" fillId="0" borderId="192" xfId="126" applyNumberFormat="1" applyFont="1" applyBorder="1" applyAlignment="1" applyProtection="1">
      <alignment horizontal="center" vertical="center" wrapText="1"/>
      <protection hidden="1"/>
    </xf>
    <xf numFmtId="1" fontId="6" fillId="22" borderId="165" xfId="0" applyNumberFormat="1" applyFont="1" applyFill="1" applyBorder="1" applyAlignment="1">
      <alignment horizontal="center" vertical="center" wrapText="1"/>
    </xf>
    <xf numFmtId="1" fontId="6" fillId="22" borderId="158" xfId="0" applyNumberFormat="1" applyFont="1" applyFill="1" applyBorder="1" applyAlignment="1">
      <alignment horizontal="center" vertical="center" wrapText="1"/>
    </xf>
    <xf numFmtId="1" fontId="6" fillId="22" borderId="141" xfId="0" applyNumberFormat="1" applyFont="1" applyFill="1" applyBorder="1" applyAlignment="1">
      <alignment horizontal="center" vertical="center" wrapText="1"/>
    </xf>
    <xf numFmtId="1" fontId="6" fillId="22" borderId="187" xfId="0" applyNumberFormat="1" applyFont="1" applyFill="1" applyBorder="1" applyAlignment="1">
      <alignment horizontal="center" vertical="center" wrapText="1"/>
    </xf>
    <xf numFmtId="1" fontId="6" fillId="22" borderId="62" xfId="0" applyNumberFormat="1" applyFont="1" applyFill="1" applyBorder="1" applyAlignment="1">
      <alignment horizontal="center" vertical="center" wrapText="1"/>
    </xf>
    <xf numFmtId="1" fontId="6" fillId="22" borderId="207" xfId="0" applyNumberFormat="1" applyFont="1" applyFill="1" applyBorder="1" applyAlignment="1">
      <alignment horizontal="center" vertical="center" wrapText="1"/>
    </xf>
    <xf numFmtId="1" fontId="6" fillId="21" borderId="135" xfId="0" applyNumberFormat="1" applyFont="1" applyFill="1" applyBorder="1" applyAlignment="1">
      <alignment horizontal="center" vertical="center" wrapText="1"/>
    </xf>
    <xf numFmtId="1" fontId="6" fillId="21" borderId="76" xfId="0" applyNumberFormat="1" applyFont="1" applyFill="1" applyBorder="1" applyAlignment="1">
      <alignment horizontal="center" vertical="center" wrapText="1"/>
    </xf>
    <xf numFmtId="1" fontId="6" fillId="21" borderId="136" xfId="0" applyNumberFormat="1" applyFont="1" applyFill="1" applyBorder="1" applyAlignment="1">
      <alignment horizontal="center" vertical="center" wrapText="1"/>
    </xf>
    <xf numFmtId="1" fontId="6" fillId="21" borderId="49" xfId="0" applyNumberFormat="1" applyFont="1" applyFill="1" applyBorder="1" applyAlignment="1">
      <alignment horizontal="center" vertical="center" wrapText="1"/>
    </xf>
    <xf numFmtId="1" fontId="6" fillId="17" borderId="135" xfId="123" applyNumberFormat="1" applyFont="1" applyFill="1" applyBorder="1" applyAlignment="1">
      <alignment horizontal="center" vertical="center"/>
    </xf>
    <xf numFmtId="1" fontId="6" fillId="17" borderId="11" xfId="123" applyNumberFormat="1" applyFont="1" applyFill="1" applyBorder="1" applyAlignment="1">
      <alignment horizontal="center" vertical="center"/>
    </xf>
    <xf numFmtId="1" fontId="6" fillId="17" borderId="4" xfId="109" applyNumberFormat="1" applyFont="1" applyFill="1" applyBorder="1" applyAlignment="1">
      <alignment horizontal="center" vertical="center" wrapText="1"/>
    </xf>
    <xf numFmtId="1" fontId="6" fillId="17" borderId="49" xfId="109" applyNumberFormat="1" applyFont="1" applyFill="1" applyBorder="1" applyAlignment="1">
      <alignment horizontal="center" vertical="center" wrapText="1"/>
    </xf>
    <xf numFmtId="1" fontId="6" fillId="17" borderId="0" xfId="109" applyNumberFormat="1" applyFont="1" applyFill="1" applyAlignment="1">
      <alignment horizontal="center" vertical="center" wrapText="1"/>
    </xf>
    <xf numFmtId="1" fontId="6" fillId="17" borderId="97" xfId="109" applyNumberFormat="1" applyFont="1" applyFill="1" applyBorder="1" applyAlignment="1">
      <alignment horizontal="center" vertical="center" wrapText="1"/>
    </xf>
    <xf numFmtId="1" fontId="6" fillId="17" borderId="6" xfId="109" applyNumberFormat="1" applyFont="1" applyFill="1" applyBorder="1" applyAlignment="1">
      <alignment horizontal="center" vertical="center" wrapText="1"/>
    </xf>
    <xf numFmtId="1" fontId="6" fillId="17" borderId="29" xfId="109" applyNumberFormat="1" applyFont="1" applyFill="1" applyBorder="1" applyAlignment="1">
      <alignment horizontal="center" vertical="center" wrapText="1"/>
    </xf>
    <xf numFmtId="1" fontId="6" fillId="17" borderId="76" xfId="123" applyNumberFormat="1" applyFont="1" applyFill="1" applyBorder="1" applyAlignment="1">
      <alignment horizontal="center" vertical="center"/>
    </xf>
    <xf numFmtId="1" fontId="6" fillId="0" borderId="198" xfId="0" applyNumberFormat="1" applyFont="1" applyBorder="1" applyAlignment="1">
      <alignment horizontal="center" vertical="center" wrapText="1"/>
    </xf>
    <xf numFmtId="1" fontId="6" fillId="0" borderId="128" xfId="0" applyNumberFormat="1" applyFont="1" applyBorder="1" applyAlignment="1">
      <alignment horizontal="center" vertical="center" wrapText="1"/>
    </xf>
    <xf numFmtId="1" fontId="6" fillId="0" borderId="197" xfId="0" applyNumberFormat="1" applyFont="1" applyBorder="1" applyAlignment="1">
      <alignment horizontal="center" vertical="center" wrapText="1"/>
    </xf>
    <xf numFmtId="1" fontId="6" fillId="0" borderId="117" xfId="0" applyNumberFormat="1" applyFont="1" applyBorder="1" applyAlignment="1">
      <alignment horizontal="center" vertical="center" wrapText="1"/>
    </xf>
    <xf numFmtId="1" fontId="6" fillId="0" borderId="224" xfId="0" applyNumberFormat="1" applyFont="1" applyBorder="1" applyAlignment="1">
      <alignment horizontal="center" vertical="center" wrapText="1"/>
    </xf>
    <xf numFmtId="1" fontId="6" fillId="0" borderId="88" xfId="0" applyNumberFormat="1" applyFont="1" applyBorder="1" applyAlignment="1">
      <alignment horizontal="center" vertical="center" wrapText="1"/>
    </xf>
    <xf numFmtId="1" fontId="6" fillId="0" borderId="84" xfId="0" applyNumberFormat="1" applyFont="1" applyBorder="1" applyAlignment="1">
      <alignment horizontal="center" vertical="center" wrapText="1"/>
    </xf>
    <xf numFmtId="1" fontId="6" fillId="0" borderId="93" xfId="0" applyNumberFormat="1" applyFont="1" applyBorder="1" applyAlignment="1">
      <alignment horizontal="center" vertical="center" wrapText="1"/>
    </xf>
    <xf numFmtId="1" fontId="6" fillId="0" borderId="63" xfId="0" applyNumberFormat="1" applyFont="1" applyBorder="1" applyAlignment="1">
      <alignment horizontal="center" vertical="center" wrapText="1"/>
    </xf>
    <xf numFmtId="1" fontId="6" fillId="0" borderId="211" xfId="0" applyNumberFormat="1" applyFont="1" applyBorder="1" applyAlignment="1">
      <alignment horizontal="center" vertical="center" wrapText="1"/>
    </xf>
    <xf numFmtId="1" fontId="6" fillId="0" borderId="10" xfId="0" quotePrefix="1" applyNumberFormat="1" applyFont="1" applyBorder="1" applyAlignment="1">
      <alignment horizontal="center" vertical="center" wrapText="1"/>
    </xf>
    <xf numFmtId="1" fontId="6" fillId="0" borderId="64" xfId="0" quotePrefix="1" applyNumberFormat="1" applyFont="1" applyBorder="1" applyAlignment="1">
      <alignment horizontal="center" vertical="center" wrapText="1"/>
    </xf>
    <xf numFmtId="1" fontId="6" fillId="17" borderId="93" xfId="109" applyNumberFormat="1" applyFont="1" applyFill="1" applyBorder="1" applyAlignment="1">
      <alignment horizontal="center" vertical="center" wrapText="1"/>
    </xf>
    <xf numFmtId="1" fontId="6" fillId="17" borderId="10" xfId="109" applyNumberFormat="1" applyFont="1" applyFill="1" applyBorder="1" applyAlignment="1">
      <alignment horizontal="center" vertical="center" wrapText="1"/>
    </xf>
    <xf numFmtId="1" fontId="6" fillId="17" borderId="64" xfId="109" applyNumberFormat="1" applyFont="1" applyFill="1" applyBorder="1" applyAlignment="1">
      <alignment horizontal="center" vertical="center" wrapText="1"/>
    </xf>
    <xf numFmtId="1" fontId="14" fillId="17" borderId="0" xfId="127" applyNumberFormat="1" applyFont="1" applyFill="1" applyAlignment="1" applyProtection="1">
      <alignment horizontal="center" vertical="center" wrapText="1"/>
      <protection hidden="1"/>
    </xf>
    <xf numFmtId="1" fontId="6" fillId="0" borderId="93" xfId="0" applyNumberFormat="1" applyFont="1" applyBorder="1" applyAlignment="1">
      <alignment horizontal="center" vertical="center"/>
    </xf>
    <xf numFmtId="1" fontId="6" fillId="0" borderId="63" xfId="0" applyNumberFormat="1" applyFont="1" applyBorder="1" applyAlignment="1">
      <alignment horizontal="center" vertical="center"/>
    </xf>
    <xf numFmtId="1" fontId="6" fillId="17" borderId="136" xfId="109" applyNumberFormat="1" applyFont="1" applyFill="1" applyBorder="1" applyAlignment="1">
      <alignment horizontal="center" vertical="center" wrapText="1"/>
    </xf>
    <xf numFmtId="1" fontId="6" fillId="17" borderId="94" xfId="109" applyNumberFormat="1" applyFont="1" applyFill="1" applyBorder="1" applyAlignment="1">
      <alignment horizontal="center" vertical="center" wrapText="1"/>
    </xf>
    <xf numFmtId="1" fontId="6" fillId="17" borderId="1" xfId="109" applyNumberFormat="1" applyFont="1" applyFill="1" applyBorder="1" applyAlignment="1">
      <alignment horizontal="center" vertical="center" wrapText="1"/>
    </xf>
    <xf numFmtId="1" fontId="6" fillId="0" borderId="96" xfId="0" applyNumberFormat="1" applyFont="1" applyBorder="1" applyAlignment="1">
      <alignment horizontal="center" vertical="center" wrapText="1"/>
    </xf>
    <xf numFmtId="1" fontId="6" fillId="29" borderId="207" xfId="0" applyNumberFormat="1" applyFont="1" applyFill="1" applyBorder="1" applyAlignment="1">
      <alignment horizontal="center" vertical="center" wrapText="1"/>
    </xf>
    <xf numFmtId="1" fontId="10" fillId="0" borderId="4" xfId="130" applyNumberFormat="1" applyFont="1" applyBorder="1" applyAlignment="1" applyProtection="1">
      <alignment horizontal="left"/>
    </xf>
    <xf numFmtId="1" fontId="14" fillId="0" borderId="6" xfId="130" applyNumberFormat="1" applyFont="1" applyBorder="1" applyAlignment="1" applyProtection="1">
      <alignment wrapText="1"/>
    </xf>
    <xf numFmtId="1" fontId="6" fillId="0" borderId="1" xfId="130" applyNumberFormat="1" applyFont="1" applyBorder="1" applyAlignment="1" applyProtection="1">
      <alignment horizontal="center" vertical="center" wrapText="1"/>
    </xf>
    <xf numFmtId="1" fontId="6" fillId="0" borderId="135" xfId="130" applyNumberFormat="1" applyFont="1" applyBorder="1" applyAlignment="1" applyProtection="1">
      <alignment horizontal="center" vertical="center" wrapText="1"/>
    </xf>
    <xf numFmtId="1" fontId="6" fillId="0" borderId="11" xfId="130" applyNumberFormat="1" applyFont="1" applyBorder="1" applyAlignment="1" applyProtection="1">
      <alignment horizontal="center" vertical="center" wrapText="1"/>
    </xf>
    <xf numFmtId="1" fontId="6" fillId="0" borderId="49" xfId="130" applyNumberFormat="1" applyFont="1" applyBorder="1" applyAlignment="1" applyProtection="1">
      <alignment horizontal="center" vertical="center" wrapText="1"/>
    </xf>
    <xf numFmtId="1" fontId="6" fillId="0" borderId="29" xfId="130" applyNumberFormat="1" applyFont="1" applyBorder="1" applyAlignment="1" applyProtection="1">
      <alignment horizontal="center" vertical="center" wrapText="1"/>
    </xf>
    <xf numFmtId="1" fontId="6" fillId="0" borderId="10" xfId="130" applyNumberFormat="1" applyFont="1" applyBorder="1" applyAlignment="1" applyProtection="1">
      <alignment horizontal="center" vertical="center" wrapText="1"/>
      <protection hidden="1"/>
    </xf>
    <xf numFmtId="1" fontId="6" fillId="0" borderId="93" xfId="130" applyNumberFormat="1" applyFont="1" applyBorder="1" applyAlignment="1" applyProtection="1">
      <alignment horizontal="center" vertical="center" wrapText="1"/>
      <protection hidden="1"/>
    </xf>
    <xf numFmtId="1" fontId="6" fillId="0" borderId="63" xfId="130" applyNumberFormat="1" applyFont="1" applyBorder="1" applyAlignment="1" applyProtection="1">
      <alignment horizontal="center" vertical="center" wrapText="1"/>
      <protection hidden="1"/>
    </xf>
    <xf numFmtId="1" fontId="6" fillId="0" borderId="64" xfId="130" applyNumberFormat="1" applyFont="1" applyBorder="1" applyAlignment="1" applyProtection="1">
      <alignment horizontal="center" vertical="center" wrapText="1"/>
      <protection hidden="1"/>
    </xf>
    <xf numFmtId="0" fontId="6" fillId="0" borderId="170" xfId="130" applyFont="1" applyBorder="1" applyAlignment="1" applyProtection="1">
      <alignment horizontal="center" vertical="center" wrapText="1"/>
    </xf>
    <xf numFmtId="0" fontId="6" fillId="0" borderId="146" xfId="130" applyFont="1" applyBorder="1" applyAlignment="1" applyProtection="1">
      <alignment horizontal="center" vertical="center" wrapText="1"/>
    </xf>
    <xf numFmtId="1" fontId="6" fillId="0" borderId="0" xfId="109" applyNumberFormat="1" applyFont="1" applyAlignment="1">
      <alignment horizontal="center" vertical="center" wrapText="1"/>
    </xf>
    <xf numFmtId="1" fontId="14" fillId="0" borderId="0" xfId="130" applyNumberFormat="1" applyFont="1" applyBorder="1" applyAlignment="1" applyProtection="1">
      <alignment horizontal="center" vertical="center" wrapText="1"/>
      <protection hidden="1"/>
    </xf>
    <xf numFmtId="1" fontId="14" fillId="0" borderId="0" xfId="130" applyNumberFormat="1" applyFont="1" applyBorder="1" applyAlignment="1" applyProtection="1">
      <alignment horizontal="center" vertical="center"/>
      <protection hidden="1"/>
    </xf>
    <xf numFmtId="1" fontId="14" fillId="0" borderId="0" xfId="130" applyNumberFormat="1" applyFont="1" applyBorder="1" applyAlignment="1" applyProtection="1">
      <alignment horizontal="left" wrapText="1"/>
    </xf>
    <xf numFmtId="1" fontId="6" fillId="0" borderId="186" xfId="130" applyNumberFormat="1" applyFont="1" applyBorder="1" applyAlignment="1" applyProtection="1">
      <alignment horizontal="center" vertical="center" wrapText="1"/>
    </xf>
    <xf numFmtId="1" fontId="6" fillId="0" borderId="186" xfId="0" applyNumberFormat="1" applyFont="1" applyBorder="1" applyAlignment="1">
      <alignment horizontal="center" vertical="center" wrapText="1"/>
    </xf>
    <xf numFmtId="1" fontId="6" fillId="0" borderId="188" xfId="130" applyNumberFormat="1" applyFont="1" applyBorder="1" applyAlignment="1" applyProtection="1">
      <alignment horizontal="center" vertical="center" wrapText="1"/>
      <protection hidden="1"/>
    </xf>
    <xf numFmtId="1" fontId="6" fillId="0" borderId="191" xfId="130" applyNumberFormat="1" applyFont="1" applyBorder="1" applyAlignment="1" applyProtection="1">
      <alignment horizontal="center" vertical="center" wrapText="1"/>
      <protection hidden="1"/>
    </xf>
    <xf numFmtId="1" fontId="6" fillId="0" borderId="195" xfId="130" applyNumberFormat="1" applyFont="1" applyBorder="1" applyAlignment="1" applyProtection="1">
      <alignment horizontal="center" vertical="center" wrapText="1"/>
      <protection hidden="1"/>
    </xf>
    <xf numFmtId="0" fontId="6" fillId="0" borderId="194" xfId="130" applyFont="1" applyBorder="1" applyAlignment="1" applyProtection="1">
      <alignment horizontal="center" vertical="center" wrapText="1"/>
    </xf>
    <xf numFmtId="0" fontId="6" fillId="0" borderId="29" xfId="130" applyFont="1" applyBorder="1" applyAlignment="1" applyProtection="1">
      <alignment horizontal="center" vertical="center" wrapText="1"/>
    </xf>
    <xf numFmtId="1" fontId="6" fillId="0" borderId="192" xfId="130" applyNumberFormat="1" applyFont="1" applyBorder="1" applyAlignment="1" applyProtection="1">
      <alignment horizontal="center" vertical="center" wrapText="1"/>
      <protection hidden="1"/>
    </xf>
    <xf numFmtId="1" fontId="6" fillId="0" borderId="193" xfId="130" applyNumberFormat="1" applyFont="1" applyBorder="1" applyAlignment="1" applyProtection="1">
      <alignment horizontal="center" vertical="center" wrapText="1"/>
    </xf>
    <xf numFmtId="1" fontId="6" fillId="0" borderId="194" xfId="130" applyNumberFormat="1" applyFont="1" applyBorder="1" applyAlignment="1" applyProtection="1">
      <alignment horizontal="center" vertical="center" wrapText="1"/>
    </xf>
    <xf numFmtId="0" fontId="6" fillId="0" borderId="10" xfId="0" applyFont="1" applyBorder="1" applyAlignment="1">
      <alignment horizontal="center" vertical="center"/>
    </xf>
    <xf numFmtId="0" fontId="6" fillId="0" borderId="64" xfId="0" applyFont="1" applyBorder="1" applyAlignment="1">
      <alignment horizontal="center" vertical="center"/>
    </xf>
    <xf numFmtId="0" fontId="6" fillId="0" borderId="63" xfId="0" applyFont="1" applyBorder="1" applyAlignment="1">
      <alignment horizontal="center" vertical="center"/>
    </xf>
    <xf numFmtId="0" fontId="6" fillId="0" borderId="208" xfId="0" applyFont="1" applyBorder="1" applyAlignment="1">
      <alignment horizontal="center" vertical="center"/>
    </xf>
    <xf numFmtId="0" fontId="6" fillId="0" borderId="229" xfId="0" applyFont="1" applyBorder="1" applyAlignment="1">
      <alignment horizontal="center" vertical="center"/>
    </xf>
    <xf numFmtId="0" fontId="6" fillId="0" borderId="193" xfId="0" applyFont="1" applyBorder="1" applyAlignment="1">
      <alignment horizontal="center" vertical="center" wrapText="1"/>
    </xf>
    <xf numFmtId="0" fontId="6" fillId="0" borderId="49" xfId="0" applyFont="1" applyBorder="1" applyAlignment="1">
      <alignment horizontal="center" vertical="center"/>
    </xf>
    <xf numFmtId="0" fontId="6" fillId="0" borderId="97" xfId="0" applyFont="1" applyBorder="1" applyAlignment="1">
      <alignment horizontal="center" vertical="center"/>
    </xf>
    <xf numFmtId="0" fontId="6" fillId="0" borderId="29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 wrapText="1"/>
    </xf>
    <xf numFmtId="0" fontId="6" fillId="0" borderId="136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94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/>
    </xf>
    <xf numFmtId="0" fontId="6" fillId="0" borderId="93" xfId="0" applyFont="1" applyBorder="1" applyAlignment="1">
      <alignment horizontal="center"/>
    </xf>
    <xf numFmtId="0" fontId="6" fillId="0" borderId="63" xfId="0" applyFont="1" applyBorder="1" applyAlignment="1">
      <alignment horizontal="center"/>
    </xf>
    <xf numFmtId="0" fontId="24" fillId="16" borderId="173" xfId="0" applyFont="1" applyFill="1" applyBorder="1" applyAlignment="1">
      <alignment horizontal="center" vertical="center" wrapText="1"/>
    </xf>
    <xf numFmtId="0" fontId="24" fillId="16" borderId="174" xfId="0" applyFont="1" applyFill="1" applyBorder="1" applyAlignment="1">
      <alignment horizontal="center" vertical="center" wrapText="1"/>
    </xf>
    <xf numFmtId="0" fontId="24" fillId="16" borderId="175" xfId="0" applyFont="1" applyFill="1" applyBorder="1" applyAlignment="1">
      <alignment horizontal="center" vertical="center" wrapText="1"/>
    </xf>
    <xf numFmtId="0" fontId="25" fillId="16" borderId="176" xfId="0" applyFont="1" applyFill="1" applyBorder="1" applyAlignment="1">
      <alignment horizontal="center" vertical="center" wrapText="1"/>
    </xf>
    <xf numFmtId="0" fontId="25" fillId="16" borderId="177" xfId="0" applyFont="1" applyFill="1" applyBorder="1" applyAlignment="1">
      <alignment horizontal="center" vertical="center" wrapText="1"/>
    </xf>
    <xf numFmtId="0" fontId="25" fillId="16" borderId="178" xfId="0" applyFont="1" applyFill="1" applyBorder="1" applyAlignment="1">
      <alignment horizontal="center" vertical="center" wrapText="1"/>
    </xf>
    <xf numFmtId="0" fontId="25" fillId="16" borderId="179" xfId="0" applyFont="1" applyFill="1" applyBorder="1" applyAlignment="1">
      <alignment horizontal="center" vertical="center" wrapText="1"/>
    </xf>
    <xf numFmtId="0" fontId="25" fillId="16" borderId="180" xfId="0" applyFont="1" applyFill="1" applyBorder="1" applyAlignment="1">
      <alignment horizontal="center" vertical="center" wrapText="1"/>
    </xf>
    <xf numFmtId="0" fontId="25" fillId="16" borderId="181" xfId="0" applyFont="1" applyFill="1" applyBorder="1" applyAlignment="1">
      <alignment horizontal="center" vertical="center" wrapText="1"/>
    </xf>
  </cellXfs>
  <cellStyles count="159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Escribir" xfId="13" xr:uid="{00000000-0005-0000-0000-00000C000000}"/>
    <cellStyle name="Escribir 2" xfId="14" xr:uid="{00000000-0005-0000-0000-00000D000000}"/>
    <cellStyle name="Escribir 2 11" xfId="139" xr:uid="{00000000-0005-0000-0000-00000E000000}"/>
    <cellStyle name="Escribir 2 11 2" xfId="157" xr:uid="{00000000-0005-0000-0000-00000F000000}"/>
    <cellStyle name="Escribir 2 2" xfId="15" xr:uid="{00000000-0005-0000-0000-000010000000}"/>
    <cellStyle name="Escribir 2 2 2" xfId="142" xr:uid="{00000000-0005-0000-0000-000011000000}"/>
    <cellStyle name="Escribir 2 3" xfId="16" xr:uid="{00000000-0005-0000-0000-000012000000}"/>
    <cellStyle name="Escribir 2 3 2" xfId="143" xr:uid="{00000000-0005-0000-0000-000013000000}"/>
    <cellStyle name="Escribir 2 4" xfId="17" xr:uid="{00000000-0005-0000-0000-000014000000}"/>
    <cellStyle name="Escribir 2 4 2" xfId="144" xr:uid="{00000000-0005-0000-0000-000015000000}"/>
    <cellStyle name="Escribir 2 5" xfId="18" xr:uid="{00000000-0005-0000-0000-000016000000}"/>
    <cellStyle name="Escribir 2 5 2" xfId="145" xr:uid="{00000000-0005-0000-0000-000017000000}"/>
    <cellStyle name="Escribir 2 6" xfId="138" xr:uid="{00000000-0005-0000-0000-000018000000}"/>
    <cellStyle name="Escribir 2 6 2" xfId="156" xr:uid="{00000000-0005-0000-0000-000019000000}"/>
    <cellStyle name="Escribir 2 7" xfId="141" xr:uid="{00000000-0005-0000-0000-00001A000000}"/>
    <cellStyle name="Escribir 2_NOMBRE" xfId="19" xr:uid="{00000000-0005-0000-0000-00001B000000}"/>
    <cellStyle name="Escribir 3" xfId="20" xr:uid="{00000000-0005-0000-0000-00001C000000}"/>
    <cellStyle name="Escribir 3 2" xfId="21" xr:uid="{00000000-0005-0000-0000-00001D000000}"/>
    <cellStyle name="Escribir 3 2 2" xfId="147" xr:uid="{00000000-0005-0000-0000-00001E000000}"/>
    <cellStyle name="Escribir 3 3" xfId="146" xr:uid="{00000000-0005-0000-0000-00001F000000}"/>
    <cellStyle name="Escribir 4" xfId="22" xr:uid="{00000000-0005-0000-0000-000020000000}"/>
    <cellStyle name="Escribir 4 2" xfId="148" xr:uid="{00000000-0005-0000-0000-000021000000}"/>
    <cellStyle name="Escribir 5" xfId="23" xr:uid="{00000000-0005-0000-0000-000022000000}"/>
    <cellStyle name="Escribir 5 2" xfId="24" xr:uid="{00000000-0005-0000-0000-000023000000}"/>
    <cellStyle name="Escribir 5 2 2" xfId="150" xr:uid="{00000000-0005-0000-0000-000024000000}"/>
    <cellStyle name="Escribir 5 3" xfId="149" xr:uid="{00000000-0005-0000-0000-000025000000}"/>
    <cellStyle name="Escribir 6" xfId="140" xr:uid="{00000000-0005-0000-0000-000026000000}"/>
    <cellStyle name="Escribir_NOMBRE" xfId="25" xr:uid="{00000000-0005-0000-0000-000027000000}"/>
    <cellStyle name="Escribir_P12" xfId="26" xr:uid="{00000000-0005-0000-0000-000028000000}"/>
    <cellStyle name="Estilo 1" xfId="27" xr:uid="{00000000-0005-0000-0000-000029000000}"/>
    <cellStyle name="Estilo 1 2" xfId="151" xr:uid="{00000000-0005-0000-0000-00002A000000}"/>
    <cellStyle name="Estilo 2" xfId="28" xr:uid="{00000000-0005-0000-0000-00002B000000}"/>
    <cellStyle name="Estilo 2 2" xfId="152" xr:uid="{00000000-0005-0000-0000-00002C000000}"/>
    <cellStyle name="Estilo 3" xfId="29" xr:uid="{00000000-0005-0000-0000-00002D000000}"/>
    <cellStyle name="Estilo 3 2" xfId="153" xr:uid="{00000000-0005-0000-0000-00002E000000}"/>
    <cellStyle name="Euro" xfId="30" xr:uid="{00000000-0005-0000-0000-00002F000000}"/>
    <cellStyle name="Euro 2" xfId="31" xr:uid="{00000000-0005-0000-0000-000030000000}"/>
    <cellStyle name="Euro 2 2" xfId="32" xr:uid="{00000000-0005-0000-0000-000031000000}"/>
    <cellStyle name="Euro 3" xfId="33" xr:uid="{00000000-0005-0000-0000-000032000000}"/>
    <cellStyle name="Millares [0] 2" xfId="34" xr:uid="{00000000-0005-0000-0000-000033000000}"/>
    <cellStyle name="Millares [0] 2 2" xfId="35" xr:uid="{00000000-0005-0000-0000-000034000000}"/>
    <cellStyle name="Millares [0] 2 2 2" xfId="36" xr:uid="{00000000-0005-0000-0000-000035000000}"/>
    <cellStyle name="Millares [0] 2 3" xfId="37" xr:uid="{00000000-0005-0000-0000-000036000000}"/>
    <cellStyle name="Millares [0] 3" xfId="38" xr:uid="{00000000-0005-0000-0000-000037000000}"/>
    <cellStyle name="Millares [0] 3 2" xfId="39" xr:uid="{00000000-0005-0000-0000-000038000000}"/>
    <cellStyle name="Millares [0] 3 2 2" xfId="40" xr:uid="{00000000-0005-0000-0000-000039000000}"/>
    <cellStyle name="Millares [0] 3 2 2 2" xfId="41" xr:uid="{00000000-0005-0000-0000-00003A000000}"/>
    <cellStyle name="Millares [0] 3 2 3" xfId="42" xr:uid="{00000000-0005-0000-0000-00003B000000}"/>
    <cellStyle name="Millares [0] 3 3" xfId="43" xr:uid="{00000000-0005-0000-0000-00003C000000}"/>
    <cellStyle name="Millares [0] 3 3 2" xfId="44" xr:uid="{00000000-0005-0000-0000-00003D000000}"/>
    <cellStyle name="Millares [0] 3 4" xfId="45" xr:uid="{00000000-0005-0000-0000-00003E000000}"/>
    <cellStyle name="Millares [0] 4" xfId="46" xr:uid="{00000000-0005-0000-0000-00003F000000}"/>
    <cellStyle name="Millares [0] 4 2" xfId="47" xr:uid="{00000000-0005-0000-0000-000040000000}"/>
    <cellStyle name="Millares [0] 4 3" xfId="48" xr:uid="{00000000-0005-0000-0000-000041000000}"/>
    <cellStyle name="Millares 10" xfId="49" xr:uid="{00000000-0005-0000-0000-000042000000}"/>
    <cellStyle name="Millares 10 2" xfId="50" xr:uid="{00000000-0005-0000-0000-000043000000}"/>
    <cellStyle name="Millares 10 3" xfId="51" xr:uid="{00000000-0005-0000-0000-000044000000}"/>
    <cellStyle name="Millares 11" xfId="52" xr:uid="{00000000-0005-0000-0000-000045000000}"/>
    <cellStyle name="Millares 11 2" xfId="53" xr:uid="{00000000-0005-0000-0000-000046000000}"/>
    <cellStyle name="Millares 11 3" xfId="54" xr:uid="{00000000-0005-0000-0000-000047000000}"/>
    <cellStyle name="Millares 12" xfId="55" xr:uid="{00000000-0005-0000-0000-000048000000}"/>
    <cellStyle name="Millares 12 2" xfId="56" xr:uid="{00000000-0005-0000-0000-000049000000}"/>
    <cellStyle name="Millares 12 3" xfId="57" xr:uid="{00000000-0005-0000-0000-00004A000000}"/>
    <cellStyle name="Millares 13" xfId="58" xr:uid="{00000000-0005-0000-0000-00004B000000}"/>
    <cellStyle name="Millares 13 2" xfId="59" xr:uid="{00000000-0005-0000-0000-00004C000000}"/>
    <cellStyle name="Millares 13 3" xfId="60" xr:uid="{00000000-0005-0000-0000-00004D000000}"/>
    <cellStyle name="Millares 14" xfId="61" xr:uid="{00000000-0005-0000-0000-00004E000000}"/>
    <cellStyle name="Millares 14 2" xfId="62" xr:uid="{00000000-0005-0000-0000-00004F000000}"/>
    <cellStyle name="Millares 14 3" xfId="63" xr:uid="{00000000-0005-0000-0000-000050000000}"/>
    <cellStyle name="Millares 15" xfId="64" xr:uid="{00000000-0005-0000-0000-000051000000}"/>
    <cellStyle name="Millares 15 2" xfId="65" xr:uid="{00000000-0005-0000-0000-000052000000}"/>
    <cellStyle name="Millares 15 3" xfId="66" xr:uid="{00000000-0005-0000-0000-000053000000}"/>
    <cellStyle name="Millares 16" xfId="67" xr:uid="{00000000-0005-0000-0000-000054000000}"/>
    <cellStyle name="Millares 16 2" xfId="68" xr:uid="{00000000-0005-0000-0000-000055000000}"/>
    <cellStyle name="Millares 17" xfId="69" xr:uid="{00000000-0005-0000-0000-000056000000}"/>
    <cellStyle name="Millares 17 2" xfId="70" xr:uid="{00000000-0005-0000-0000-000057000000}"/>
    <cellStyle name="Millares 18" xfId="71" xr:uid="{00000000-0005-0000-0000-000058000000}"/>
    <cellStyle name="Millares 19" xfId="72" xr:uid="{00000000-0005-0000-0000-000059000000}"/>
    <cellStyle name="Millares 2" xfId="73" xr:uid="{00000000-0005-0000-0000-00005A000000}"/>
    <cellStyle name="Millares 2 2" xfId="74" xr:uid="{00000000-0005-0000-0000-00005B000000}"/>
    <cellStyle name="Millares 2 2 2" xfId="75" xr:uid="{00000000-0005-0000-0000-00005C000000}"/>
    <cellStyle name="Millares 2 2 2 2" xfId="76" xr:uid="{00000000-0005-0000-0000-00005D000000}"/>
    <cellStyle name="Millares 2 2 3" xfId="77" xr:uid="{00000000-0005-0000-0000-00005E000000}"/>
    <cellStyle name="Millares 2 2 4" xfId="78" xr:uid="{00000000-0005-0000-0000-00005F000000}"/>
    <cellStyle name="Millares 2 3" xfId="79" xr:uid="{00000000-0005-0000-0000-000060000000}"/>
    <cellStyle name="Millares 2 3 2" xfId="80" xr:uid="{00000000-0005-0000-0000-000061000000}"/>
    <cellStyle name="Millares 2 4" xfId="81" xr:uid="{00000000-0005-0000-0000-000062000000}"/>
    <cellStyle name="Millares 2 4 2" xfId="82" xr:uid="{00000000-0005-0000-0000-000063000000}"/>
    <cellStyle name="Millares 2 5" xfId="83" xr:uid="{00000000-0005-0000-0000-000064000000}"/>
    <cellStyle name="Millares 2 6" xfId="84" xr:uid="{00000000-0005-0000-0000-000065000000}"/>
    <cellStyle name="Millares 2_NOMBRE" xfId="85" xr:uid="{00000000-0005-0000-0000-000066000000}"/>
    <cellStyle name="Millares 20" xfId="86" xr:uid="{00000000-0005-0000-0000-000067000000}"/>
    <cellStyle name="Millares 3" xfId="87" xr:uid="{00000000-0005-0000-0000-000068000000}"/>
    <cellStyle name="Millares 3 2" xfId="88" xr:uid="{00000000-0005-0000-0000-000069000000}"/>
    <cellStyle name="Millares 4" xfId="89" xr:uid="{00000000-0005-0000-0000-00006A000000}"/>
    <cellStyle name="Millares 4 2" xfId="90" xr:uid="{00000000-0005-0000-0000-00006B000000}"/>
    <cellStyle name="Millares 5" xfId="91" xr:uid="{00000000-0005-0000-0000-00006C000000}"/>
    <cellStyle name="Millares 5 2" xfId="92" xr:uid="{00000000-0005-0000-0000-00006D000000}"/>
    <cellStyle name="Millares 6" xfId="93" xr:uid="{00000000-0005-0000-0000-00006E000000}"/>
    <cellStyle name="Millares 7" xfId="94" xr:uid="{00000000-0005-0000-0000-00006F000000}"/>
    <cellStyle name="Millares 7 2" xfId="95" xr:uid="{00000000-0005-0000-0000-000070000000}"/>
    <cellStyle name="Millares 7 3" xfId="96" xr:uid="{00000000-0005-0000-0000-000071000000}"/>
    <cellStyle name="Millares 7 3 2" xfId="97" xr:uid="{00000000-0005-0000-0000-000072000000}"/>
    <cellStyle name="Millares 7 4" xfId="98" xr:uid="{00000000-0005-0000-0000-000073000000}"/>
    <cellStyle name="Millares 7 5" xfId="99" xr:uid="{00000000-0005-0000-0000-000074000000}"/>
    <cellStyle name="Millares 7 5 2" xfId="100" xr:uid="{00000000-0005-0000-0000-000075000000}"/>
    <cellStyle name="Millares 8" xfId="101" xr:uid="{00000000-0005-0000-0000-000076000000}"/>
    <cellStyle name="Millares 8 2" xfId="102" xr:uid="{00000000-0005-0000-0000-000077000000}"/>
    <cellStyle name="Millares 8 3" xfId="103" xr:uid="{00000000-0005-0000-0000-000078000000}"/>
    <cellStyle name="Millares 9" xfId="104" xr:uid="{00000000-0005-0000-0000-000079000000}"/>
    <cellStyle name="Millares 9 2" xfId="105" xr:uid="{00000000-0005-0000-0000-00007A000000}"/>
    <cellStyle name="Millares 9 3" xfId="106" xr:uid="{00000000-0005-0000-0000-00007B000000}"/>
    <cellStyle name="Moneda 2" xfId="107" xr:uid="{00000000-0005-0000-0000-00007C000000}"/>
    <cellStyle name="Moneda 2 2" xfId="108" xr:uid="{00000000-0005-0000-0000-00007D000000}"/>
    <cellStyle name="Normal" xfId="0" builtinId="0"/>
    <cellStyle name="Normal 2" xfId="109" xr:uid="{00000000-0005-0000-0000-00007F000000}"/>
    <cellStyle name="Normal 2 2" xfId="110" xr:uid="{00000000-0005-0000-0000-000080000000}"/>
    <cellStyle name="Normal 2 3" xfId="111" xr:uid="{00000000-0005-0000-0000-000081000000}"/>
    <cellStyle name="Normal 2_NOMBRE" xfId="112" xr:uid="{00000000-0005-0000-0000-000082000000}"/>
    <cellStyle name="Normal 3" xfId="113" xr:uid="{00000000-0005-0000-0000-000083000000}"/>
    <cellStyle name="Normal 4" xfId="114" xr:uid="{00000000-0005-0000-0000-000084000000}"/>
    <cellStyle name="Normal 4 2" xfId="115" xr:uid="{00000000-0005-0000-0000-000085000000}"/>
    <cellStyle name="Normal 4 2 2" xfId="116" xr:uid="{00000000-0005-0000-0000-000086000000}"/>
    <cellStyle name="Normal 4 3" xfId="117" xr:uid="{00000000-0005-0000-0000-000087000000}"/>
    <cellStyle name="Normal 4_A01" xfId="118" xr:uid="{00000000-0005-0000-0000-000088000000}"/>
    <cellStyle name="Normal 5" xfId="119" xr:uid="{00000000-0005-0000-0000-000089000000}"/>
    <cellStyle name="Normal 6" xfId="120" xr:uid="{00000000-0005-0000-0000-00008A000000}"/>
    <cellStyle name="Normal 6 2" xfId="121" xr:uid="{00000000-0005-0000-0000-00008B000000}"/>
    <cellStyle name="Normal 7" xfId="122" xr:uid="{00000000-0005-0000-0000-00008C000000}"/>
    <cellStyle name="Normal_APS 2" xfId="123" xr:uid="{00000000-0005-0000-0000-00008D000000}"/>
    <cellStyle name="Normal_nombre" xfId="124" xr:uid="{00000000-0005-0000-0000-00008E000000}"/>
    <cellStyle name="Normal_REM 02-2002" xfId="125" xr:uid="{00000000-0005-0000-0000-00008F000000}"/>
    <cellStyle name="Normal_REM 04-2002" xfId="126" xr:uid="{00000000-0005-0000-0000-000090000000}"/>
    <cellStyle name="Normal_REM 05-2002" xfId="127" xr:uid="{00000000-0005-0000-0000-000091000000}"/>
    <cellStyle name="Normal_REM 05-2002 2" xfId="128" xr:uid="{00000000-0005-0000-0000-000092000000}"/>
    <cellStyle name="Normal_REM 06-2002" xfId="129" xr:uid="{00000000-0005-0000-0000-000093000000}"/>
    <cellStyle name="Normal_REM 12-2002" xfId="130" xr:uid="{00000000-0005-0000-0000-000094000000}"/>
    <cellStyle name="Normal_REM 15-2002" xfId="158" xr:uid="{72F0FC79-0CE6-4924-8AE4-C722F9C13438}"/>
    <cellStyle name="Normal_RMC_0" xfId="131" xr:uid="{00000000-0005-0000-0000-000095000000}"/>
    <cellStyle name="Normal_RMC_0 2" xfId="132" xr:uid="{00000000-0005-0000-0000-000096000000}"/>
    <cellStyle name="Normal_RMC_0 3" xfId="133" xr:uid="{00000000-0005-0000-0000-000097000000}"/>
    <cellStyle name="Notas 2" xfId="134" xr:uid="{00000000-0005-0000-0000-000098000000}"/>
    <cellStyle name="Notas 2 2" xfId="135" xr:uid="{00000000-0005-0000-0000-000099000000}"/>
    <cellStyle name="Notas 2 2 2" xfId="155" xr:uid="{00000000-0005-0000-0000-00009A000000}"/>
    <cellStyle name="Notas 2 3" xfId="154" xr:uid="{00000000-0005-0000-0000-00009B000000}"/>
    <cellStyle name="Porcentual 2" xfId="136" xr:uid="{00000000-0005-0000-0000-00009C000000}"/>
    <cellStyle name="Porcentual 2 2" xfId="137" xr:uid="{00000000-0005-0000-0000-00009D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BA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C000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3</xdr:row>
      <xdr:rowOff>133351</xdr:rowOff>
    </xdr:from>
    <xdr:to>
      <xdr:col>4</xdr:col>
      <xdr:colOff>1209675</xdr:colOff>
      <xdr:row>3</xdr:row>
      <xdr:rowOff>428625</xdr:rowOff>
    </xdr:to>
    <xdr:sp macro="[0]!DESPROTEGER" textlink="">
      <xdr:nvSpPr>
        <xdr:cNvPr id="2" name="1 Rectángulo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4629150" y="1257301"/>
          <a:ext cx="923925" cy="295274"/>
        </a:xfrm>
        <a:prstGeom prst="rect">
          <a:avLst/>
        </a:prstGeom>
        <a:solidFill>
          <a:srgbClr val="6699FF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ACEPTAR</a:t>
          </a:r>
        </a:p>
      </xdr:txBody>
    </xdr:sp>
    <xdr:clientData/>
  </xdr:twoCellAnchor>
  <xdr:twoCellAnchor>
    <xdr:from>
      <xdr:col>4</xdr:col>
      <xdr:colOff>304800</xdr:colOff>
      <xdr:row>5</xdr:row>
      <xdr:rowOff>114300</xdr:rowOff>
    </xdr:from>
    <xdr:to>
      <xdr:col>4</xdr:col>
      <xdr:colOff>1228725</xdr:colOff>
      <xdr:row>5</xdr:row>
      <xdr:rowOff>409575</xdr:rowOff>
    </xdr:to>
    <xdr:sp macro="[0]!PROTEGER" textlink="">
      <xdr:nvSpPr>
        <xdr:cNvPr id="3" name="2 Rectángulo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4648200" y="1781175"/>
          <a:ext cx="923925" cy="295275"/>
        </a:xfrm>
        <a:prstGeom prst="rect">
          <a:avLst/>
        </a:prstGeom>
        <a:solidFill>
          <a:srgbClr val="6699FF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ACEPTAR</a:t>
          </a:r>
        </a:p>
      </xdr:txBody>
    </xdr:sp>
    <xdr:clientData/>
  </xdr:twoCellAnchor>
  <xdr:twoCellAnchor>
    <xdr:from>
      <xdr:col>4</xdr:col>
      <xdr:colOff>276225</xdr:colOff>
      <xdr:row>7</xdr:row>
      <xdr:rowOff>142875</xdr:rowOff>
    </xdr:from>
    <xdr:to>
      <xdr:col>4</xdr:col>
      <xdr:colOff>1200150</xdr:colOff>
      <xdr:row>7</xdr:row>
      <xdr:rowOff>447675</xdr:rowOff>
    </xdr:to>
    <xdr:sp macro="[0]!RESPALDAARCHIVO" textlink="">
      <xdr:nvSpPr>
        <xdr:cNvPr id="4" name="3 Rectángulo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4619625" y="2609850"/>
          <a:ext cx="923925" cy="304800"/>
        </a:xfrm>
        <a:prstGeom prst="rect">
          <a:avLst/>
        </a:prstGeom>
        <a:solidFill>
          <a:srgbClr val="6699FF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 b="1">
              <a:solidFill>
                <a:sysClr val="windowText" lastClr="000000"/>
              </a:solidFill>
            </a:rPr>
            <a:t>ACEPTAR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H40"/>
  <sheetViews>
    <sheetView showGridLines="0" tabSelected="1" zoomScaleNormal="100" workbookViewId="0">
      <selection sqref="A1:B1"/>
    </sheetView>
  </sheetViews>
  <sheetFormatPr baseColWidth="10" defaultColWidth="11.44140625" defaultRowHeight="12" customHeight="1" x14ac:dyDescent="0.2"/>
  <cols>
    <col min="1" max="1" width="59" style="26" customWidth="1"/>
    <col min="2" max="2" width="61" style="2" customWidth="1"/>
    <col min="3" max="8" width="4.6640625" style="2" customWidth="1"/>
    <col min="9" max="9" width="22.88671875" style="1" customWidth="1"/>
    <col min="10" max="26" width="11.88671875" style="2" customWidth="1"/>
    <col min="27" max="27" width="17.44140625" style="2" hidden="1" customWidth="1"/>
    <col min="28" max="28" width="56.6640625" style="2" hidden="1" customWidth="1"/>
    <col min="29" max="29" width="21.5546875" style="2" hidden="1" customWidth="1"/>
    <col min="30" max="32" width="11.88671875" style="2" hidden="1" customWidth="1"/>
    <col min="33" max="33" width="28.44140625" style="2" hidden="1" customWidth="1"/>
    <col min="34" max="34" width="11.88671875" style="2" hidden="1" customWidth="1"/>
    <col min="35" max="37" width="11.88671875" style="2" customWidth="1"/>
    <col min="38" max="16384" width="11.44140625" style="2"/>
  </cols>
  <sheetData>
    <row r="1" spans="1:33" ht="51" customHeight="1" x14ac:dyDescent="0.2">
      <c r="A1" s="1817"/>
      <c r="B1" s="1818"/>
      <c r="C1" s="1819" t="s">
        <v>1</v>
      </c>
      <c r="D1" s="1819"/>
      <c r="E1" s="1819"/>
      <c r="F1" s="1819"/>
      <c r="G1" s="1819"/>
      <c r="H1" s="1819"/>
    </row>
    <row r="2" spans="1:33" ht="18" customHeight="1" x14ac:dyDescent="0.25">
      <c r="A2" s="1219" t="s">
        <v>2</v>
      </c>
      <c r="B2" s="1218"/>
      <c r="C2" s="8"/>
      <c r="D2" s="1395"/>
      <c r="E2" s="1395"/>
      <c r="F2" s="1395"/>
      <c r="G2" s="1396"/>
      <c r="H2" s="1397"/>
      <c r="I2" s="4" t="str">
        <f>IF(OR(NOMBRE!C2="",NOMBRE!D2="",NOMBRE!E2="",NOMBRE!F2="",NOMBRE!G2=""),"Falta Cód. Com.","")</f>
        <v>Falta Cód. Com.</v>
      </c>
      <c r="J2" s="4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D2" s="6"/>
      <c r="AG2" s="7">
        <f>IF(I2&gt;"",1,0)</f>
        <v>1</v>
      </c>
    </row>
    <row r="3" spans="1:33" ht="18" customHeight="1" x14ac:dyDescent="0.25">
      <c r="A3" s="1219" t="s">
        <v>700</v>
      </c>
      <c r="B3" s="1218"/>
      <c r="C3" s="8"/>
      <c r="D3" s="1395"/>
      <c r="E3" s="1395"/>
      <c r="F3" s="1395"/>
      <c r="G3" s="1396"/>
      <c r="H3" s="1398"/>
      <c r="I3" s="4" t="str">
        <f>IF(OR(NOMBRE!C3="",NOMBRE!D3="",NOMBRE!E3="",NOMBRE!F3="",NOMBRE!G3="",NOMBRE!H3=""),"Falta Cód. Est.","")</f>
        <v>Falta Cód. Est.</v>
      </c>
      <c r="J3" s="4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D3" s="6"/>
      <c r="AG3" s="7">
        <f>IF(I3&gt;"",1,0)</f>
        <v>1</v>
      </c>
    </row>
    <row r="4" spans="1:33" ht="18" customHeight="1" x14ac:dyDescent="0.25">
      <c r="A4" s="1219" t="s">
        <v>299</v>
      </c>
      <c r="B4" s="1218"/>
      <c r="C4" s="9"/>
      <c r="D4" s="10"/>
      <c r="E4" s="10"/>
      <c r="F4" s="10"/>
      <c r="G4" s="10"/>
      <c r="H4" s="10"/>
      <c r="I4" s="4" t="str">
        <f>IF(OR(NOMBRE!B4=""),"Falta Tipo. Est.","")</f>
        <v>Falta Tipo. Est.</v>
      </c>
      <c r="J4" s="11"/>
      <c r="K4" s="12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3"/>
      <c r="AB4" s="13"/>
      <c r="AD4" s="6"/>
      <c r="AG4" s="7">
        <f>IF(I4&gt;"",1,0)</f>
        <v>1</v>
      </c>
    </row>
    <row r="5" spans="1:33" ht="18" customHeight="1" x14ac:dyDescent="0.25">
      <c r="A5" s="1219" t="s">
        <v>3</v>
      </c>
      <c r="B5" s="1218"/>
      <c r="C5" s="9"/>
      <c r="D5" s="10"/>
      <c r="E5" s="10"/>
      <c r="F5" s="10"/>
      <c r="G5" s="10"/>
      <c r="H5" s="10"/>
      <c r="I5" s="4" t="str">
        <f>IF(OR(NOMBRE!B5=""),"Falta Dependencia. Est.","")</f>
        <v>Falta Dependencia. Est.</v>
      </c>
      <c r="J5" s="11"/>
      <c r="K5" s="12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3"/>
      <c r="AB5" s="13"/>
      <c r="AD5" s="6"/>
      <c r="AG5" s="7">
        <f>IF(I5&gt;"",1,0)</f>
        <v>1</v>
      </c>
    </row>
    <row r="6" spans="1:33" ht="18" customHeight="1" x14ac:dyDescent="0.25">
      <c r="A6" s="1219" t="s">
        <v>4</v>
      </c>
      <c r="B6" s="1218"/>
      <c r="C6" s="14"/>
      <c r="D6" s="3"/>
      <c r="E6" s="15"/>
      <c r="F6" s="15"/>
      <c r="G6" s="15"/>
      <c r="H6" s="15"/>
      <c r="I6" s="4" t="str">
        <f>IF(OR(NOMBRE!C6="",NOMBRE!D6=""),"Falta Cód. Mes.","")</f>
        <v>Falta Cód. Mes.</v>
      </c>
      <c r="J6" s="11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D6" s="6"/>
      <c r="AG6" s="7">
        <f>IF(I6&gt;"",1,0)</f>
        <v>1</v>
      </c>
    </row>
    <row r="7" spans="1:33" ht="18" customHeight="1" x14ac:dyDescent="0.3">
      <c r="A7" s="1205" t="s">
        <v>5</v>
      </c>
      <c r="B7" s="1204">
        <v>2023</v>
      </c>
      <c r="AG7" s="17">
        <f>SUM(AG2:AG6)</f>
        <v>5</v>
      </c>
    </row>
    <row r="8" spans="1:33" ht="24" customHeight="1" x14ac:dyDescent="0.2">
      <c r="A8" s="1202"/>
      <c r="B8" s="1203"/>
    </row>
    <row r="9" spans="1:33" ht="20.100000000000001" customHeight="1" x14ac:dyDescent="0.2">
      <c r="A9" s="1820" t="s">
        <v>883</v>
      </c>
      <c r="B9" s="1821"/>
    </row>
    <row r="10" spans="1:33" ht="12" customHeight="1" x14ac:dyDescent="0.2">
      <c r="A10" s="18"/>
      <c r="B10" s="19"/>
    </row>
    <row r="11" spans="1:33" ht="29.25" customHeight="1" x14ac:dyDescent="0.2">
      <c r="A11" s="1525" t="s">
        <v>869</v>
      </c>
      <c r="B11" s="20"/>
      <c r="L11" s="21"/>
      <c r="M11" s="22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3" t="s">
        <v>6</v>
      </c>
      <c r="AB11" s="29" t="s">
        <v>300</v>
      </c>
      <c r="AC11" s="29" t="s">
        <v>7</v>
      </c>
    </row>
    <row r="12" spans="1:33" ht="27.75" customHeight="1" x14ac:dyDescent="0.2">
      <c r="A12" s="1526" t="s">
        <v>868</v>
      </c>
      <c r="B12" s="20"/>
      <c r="L12" s="21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3" t="s">
        <v>8</v>
      </c>
      <c r="AB12" s="29" t="s">
        <v>301</v>
      </c>
      <c r="AC12" s="29" t="s">
        <v>9</v>
      </c>
    </row>
    <row r="13" spans="1:33" ht="21" customHeight="1" x14ac:dyDescent="0.25">
      <c r="A13" s="24"/>
      <c r="B13" s="25"/>
      <c r="L13" s="21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B13" s="29" t="s">
        <v>302</v>
      </c>
      <c r="AC13" s="29" t="s">
        <v>847</v>
      </c>
    </row>
    <row r="14" spans="1:33" ht="21" customHeight="1" x14ac:dyDescent="0.2">
      <c r="L14" s="21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B14" s="29" t="s">
        <v>842</v>
      </c>
    </row>
    <row r="15" spans="1:33" ht="21" customHeight="1" x14ac:dyDescent="0.2">
      <c r="A15" s="1822" t="s">
        <v>10</v>
      </c>
      <c r="B15" s="1823"/>
      <c r="L15" s="21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B15" s="29" t="s">
        <v>303</v>
      </c>
    </row>
    <row r="16" spans="1:33" ht="21" customHeight="1" x14ac:dyDescent="0.2">
      <c r="L16" s="21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B16" s="29" t="s">
        <v>305</v>
      </c>
    </row>
    <row r="17" spans="2:28" ht="21" customHeight="1" x14ac:dyDescent="0.2">
      <c r="B17" s="1814" t="s">
        <v>879</v>
      </c>
      <c r="L17" s="21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B17" s="29" t="s">
        <v>310</v>
      </c>
    </row>
    <row r="18" spans="2:28" ht="21" customHeight="1" x14ac:dyDescent="0.2">
      <c r="B18" s="1815"/>
      <c r="I18" s="27"/>
      <c r="J18" s="28"/>
      <c r="L18" s="21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B18" s="29" t="s">
        <v>582</v>
      </c>
    </row>
    <row r="19" spans="2:28" ht="21" customHeight="1" x14ac:dyDescent="0.2">
      <c r="B19" s="1816"/>
      <c r="I19" s="27"/>
      <c r="J19" s="28"/>
      <c r="L19" s="21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B19" s="29" t="s">
        <v>583</v>
      </c>
    </row>
    <row r="20" spans="2:28" ht="21" customHeight="1" x14ac:dyDescent="0.2">
      <c r="I20" s="27"/>
      <c r="J20" s="28"/>
      <c r="L20" s="21"/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B20" s="29" t="s">
        <v>306</v>
      </c>
    </row>
    <row r="21" spans="2:28" ht="21" customHeight="1" x14ac:dyDescent="0.2">
      <c r="I21" s="27"/>
      <c r="J21" s="28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B21" s="29" t="s">
        <v>311</v>
      </c>
    </row>
    <row r="22" spans="2:28" ht="21" customHeight="1" x14ac:dyDescent="0.2">
      <c r="I22" s="27"/>
      <c r="J22" s="28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  <c r="AB22" s="29" t="s">
        <v>584</v>
      </c>
    </row>
    <row r="23" spans="2:28" ht="17.25" customHeight="1" x14ac:dyDescent="0.2">
      <c r="I23" s="27"/>
      <c r="J23" s="28"/>
      <c r="M23" s="22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  <c r="AB23" s="29" t="s">
        <v>585</v>
      </c>
    </row>
    <row r="24" spans="2:28" ht="18.75" customHeight="1" x14ac:dyDescent="0.2">
      <c r="I24" s="27"/>
      <c r="J24" s="28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B24" s="29" t="s">
        <v>304</v>
      </c>
    </row>
    <row r="25" spans="2:28" ht="18" customHeight="1" x14ac:dyDescent="0.2">
      <c r="I25" s="27"/>
      <c r="J25" s="28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B25" s="29" t="s">
        <v>307</v>
      </c>
    </row>
    <row r="26" spans="2:28" ht="19.5" customHeight="1" x14ac:dyDescent="0.2"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  <c r="AB26" s="29" t="s">
        <v>308</v>
      </c>
    </row>
    <row r="27" spans="2:28" ht="19.5" customHeight="1" x14ac:dyDescent="0.2"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B27" s="29" t="s">
        <v>309</v>
      </c>
    </row>
    <row r="28" spans="2:28" ht="21" customHeight="1" x14ac:dyDescent="0.2"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B28" s="29" t="s">
        <v>313</v>
      </c>
    </row>
    <row r="29" spans="2:28" ht="18" customHeight="1" x14ac:dyDescent="0.2"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B29" s="29" t="s">
        <v>648</v>
      </c>
    </row>
    <row r="30" spans="2:28" ht="18.75" customHeight="1" x14ac:dyDescent="0.2"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B30" s="29" t="s">
        <v>843</v>
      </c>
    </row>
    <row r="31" spans="2:28" ht="18" customHeight="1" x14ac:dyDescent="0.2">
      <c r="M31" s="22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B31" s="29" t="s">
        <v>312</v>
      </c>
    </row>
    <row r="32" spans="2:28" ht="15" customHeight="1" x14ac:dyDescent="0.2">
      <c r="M32" s="22"/>
      <c r="N32" s="22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22"/>
      <c r="AB32" s="29" t="s">
        <v>649</v>
      </c>
    </row>
    <row r="33" spans="13:28" ht="15" customHeight="1" x14ac:dyDescent="0.2"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B33" s="29" t="s">
        <v>844</v>
      </c>
    </row>
    <row r="34" spans="13:28" ht="15" customHeight="1" x14ac:dyDescent="0.2"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  <c r="AB34" s="29" t="s">
        <v>650</v>
      </c>
    </row>
    <row r="35" spans="13:28" ht="15" customHeight="1" x14ac:dyDescent="0.2">
      <c r="AB35" s="29" t="s">
        <v>845</v>
      </c>
    </row>
    <row r="36" spans="13:28" ht="15" customHeight="1" x14ac:dyDescent="0.2">
      <c r="AB36" s="29" t="s">
        <v>651</v>
      </c>
    </row>
    <row r="37" spans="13:28" ht="15" customHeight="1" x14ac:dyDescent="0.2">
      <c r="AB37" s="29" t="s">
        <v>846</v>
      </c>
    </row>
    <row r="38" spans="13:28" ht="15" customHeight="1" x14ac:dyDescent="0.2">
      <c r="AB38" s="29" t="s">
        <v>652</v>
      </c>
    </row>
    <row r="39" spans="13:28" ht="15" customHeight="1" x14ac:dyDescent="0.2">
      <c r="AB39" s="29" t="s">
        <v>653</v>
      </c>
    </row>
    <row r="40" spans="13:28" ht="15" customHeight="1" x14ac:dyDescent="0.2">
      <c r="AB40" s="29" t="s">
        <v>654</v>
      </c>
    </row>
  </sheetData>
  <mergeCells count="5">
    <mergeCell ref="B17:B19"/>
    <mergeCell ref="A1:B1"/>
    <mergeCell ref="C1:H1"/>
    <mergeCell ref="A9:B9"/>
    <mergeCell ref="A15:B15"/>
  </mergeCells>
  <phoneticPr fontId="26" type="noConversion"/>
  <dataValidations xWindow="654" yWindow="356" count="16">
    <dataValidation type="whole" allowBlank="1" showInputMessage="1" showErrorMessage="1" promptTitle="CÓDIGO MES:" prompt="Primer: Entre 0 y 1" sqref="C6" xr:uid="{00000000-0002-0000-0000-000000000000}">
      <formula1>0</formula1>
      <formula2>1</formula2>
    </dataValidation>
    <dataValidation type="whole" allowBlank="1" showInputMessage="1" showErrorMessage="1" promptTitle="CÓDIGO MES:" prompt="Segundo: Entre 0 y 9" sqref="D6" xr:uid="{00000000-0002-0000-0000-000001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2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3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4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05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06000000}">
      <formula1>0</formula1>
      <formula2>9</formula2>
    </dataValidation>
    <dataValidation type="whole" allowBlank="1" showInputMessage="1" showErrorMessage="1" promptTitle="CÓDIGO ESTABLECIMIENTO/ESTRATEGI" prompt="Primer: Entre 1 y 9" sqref="C3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" xr:uid="{00000000-0002-0000-0000-00000C000000}">
      <formula1>0</formula1>
      <formula2>9</formula2>
    </dataValidation>
    <dataValidation type="list" allowBlank="1" showInputMessage="1" showErrorMessage="1" sqref="B6" xr:uid="{00000000-0002-0000-0000-00000D000000}">
      <formula1>$AA$11:$AA$12</formula1>
    </dataValidation>
    <dataValidation type="list" allowBlank="1" showInputMessage="1" showErrorMessage="1" sqref="B5" xr:uid="{00000000-0002-0000-0000-00000E000000}">
      <formula1>$AC$11:$AC$13</formula1>
    </dataValidation>
    <dataValidation type="list" allowBlank="1" showInputMessage="1" showErrorMessage="1" sqref="B4" xr:uid="{00000000-0002-0000-0000-00000F000000}">
      <formula1>$AB$11:$AB$40</formula1>
    </dataValidation>
  </dataValidations>
  <pageMargins left="0.70866141732283472" right="0.70866141732283472" top="0.74803149606299213" bottom="0.74803149606299213" header="0.31496062992125984" footer="0.31496062992125984"/>
  <pageSetup scale="65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CW164"/>
  <sheetViews>
    <sheetView showGridLines="0" zoomScaleNormal="100" workbookViewId="0"/>
  </sheetViews>
  <sheetFormatPr baseColWidth="10" defaultColWidth="11.44140625" defaultRowHeight="10.199999999999999" x14ac:dyDescent="0.2"/>
  <cols>
    <col min="1" max="1" width="14.88671875" style="175" customWidth="1"/>
    <col min="2" max="2" width="32.88671875" style="175" customWidth="1"/>
    <col min="3" max="3" width="26.6640625" style="175" customWidth="1"/>
    <col min="4" max="4" width="22.5546875" style="175" customWidth="1"/>
    <col min="5" max="5" width="15.33203125" style="175" customWidth="1"/>
    <col min="6" max="6" width="16" style="175" customWidth="1"/>
    <col min="7" max="7" width="15.44140625" style="175" customWidth="1"/>
    <col min="8" max="8" width="17.33203125" style="175" customWidth="1"/>
    <col min="9" max="9" width="11.5546875" style="175" customWidth="1"/>
    <col min="10" max="11" width="12" style="175" customWidth="1"/>
    <col min="12" max="13" width="11.88671875" style="175" customWidth="1"/>
    <col min="14" max="14" width="12.88671875" style="175" customWidth="1"/>
    <col min="15" max="15" width="12.5546875" style="175" customWidth="1"/>
    <col min="16" max="16" width="10.6640625" style="175" customWidth="1"/>
    <col min="17" max="17" width="11.44140625" style="175"/>
    <col min="18" max="18" width="11.33203125" style="175" customWidth="1"/>
    <col min="19" max="19" width="11.44140625" style="175"/>
    <col min="20" max="20" width="9.6640625" style="175" customWidth="1"/>
    <col min="21" max="21" width="12.5546875" style="343" customWidth="1"/>
    <col min="22" max="23" width="11.44140625" style="175"/>
    <col min="24" max="24" width="11.88671875" style="175" customWidth="1"/>
    <col min="25" max="25" width="11.88671875" style="291" customWidth="1"/>
    <col min="26" max="62" width="11.88671875" style="307" customWidth="1"/>
    <col min="63" max="64" width="11.88671875" style="291" customWidth="1"/>
    <col min="65" max="79" width="11.44140625" style="291" customWidth="1"/>
    <col min="80" max="97" width="11.44140625" style="175" hidden="1" customWidth="1"/>
    <col min="98" max="116" width="11.44140625" style="175" customWidth="1"/>
    <col min="117" max="16384" width="11.44140625" style="175"/>
  </cols>
  <sheetData>
    <row r="1" spans="1:97" s="55" customFormat="1" ht="13.5" customHeight="1" x14ac:dyDescent="0.2">
      <c r="B1" s="54" t="s">
        <v>0</v>
      </c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1505"/>
      <c r="V1" s="54"/>
      <c r="W1" s="54"/>
      <c r="X1" s="54"/>
      <c r="Y1" s="307"/>
      <c r="Z1" s="307"/>
      <c r="AA1" s="307"/>
      <c r="AB1" s="307"/>
      <c r="AC1" s="307"/>
      <c r="AD1" s="307"/>
      <c r="AE1" s="307"/>
      <c r="AF1" s="307"/>
      <c r="AG1" s="307"/>
      <c r="AH1" s="307"/>
      <c r="AI1" s="307"/>
      <c r="AJ1" s="307"/>
      <c r="AK1" s="307"/>
      <c r="AL1" s="307"/>
      <c r="AM1" s="307"/>
      <c r="AN1" s="307"/>
      <c r="AO1" s="307"/>
      <c r="AP1" s="307"/>
      <c r="AQ1" s="307"/>
      <c r="AR1" s="307"/>
      <c r="AS1" s="307"/>
      <c r="AT1" s="307"/>
      <c r="AU1" s="307"/>
      <c r="AV1" s="307"/>
      <c r="AW1" s="307"/>
      <c r="AX1" s="307"/>
      <c r="AY1" s="307"/>
      <c r="AZ1" s="307"/>
      <c r="BA1" s="307"/>
      <c r="BB1" s="307"/>
      <c r="BC1" s="307"/>
      <c r="BD1" s="307"/>
      <c r="BE1" s="307"/>
      <c r="BF1" s="307"/>
      <c r="BG1" s="307"/>
      <c r="BH1" s="307"/>
      <c r="BI1" s="307"/>
      <c r="BJ1" s="307"/>
      <c r="BK1" s="307"/>
      <c r="BL1" s="307"/>
      <c r="BM1" s="307"/>
      <c r="BN1" s="307"/>
      <c r="BO1" s="307"/>
      <c r="BP1" s="307"/>
      <c r="BQ1" s="307"/>
      <c r="BR1" s="307"/>
      <c r="BS1" s="307"/>
      <c r="BT1" s="307"/>
      <c r="BU1" s="307"/>
      <c r="BV1" s="307"/>
      <c r="BW1" s="307"/>
      <c r="BX1" s="307"/>
      <c r="BY1" s="307"/>
      <c r="BZ1" s="307"/>
      <c r="CA1" s="307"/>
    </row>
    <row r="2" spans="1:97" s="55" customFormat="1" ht="13.5" customHeight="1" x14ac:dyDescent="0.2">
      <c r="B2" s="54" t="str">
        <f>CONCATENATE("COMUNA: ",NOMBRE!$B$2," - ","( ",NOMBRE!$C$2,NOMBRE!$D$2,NOMBRE!$E$2,NOMBRE!$F$2,NOMBRE!$G$2," )")</f>
        <v>COMUNA:  - (  )</v>
      </c>
      <c r="C2" s="54"/>
      <c r="D2" s="54"/>
      <c r="E2" s="56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1505"/>
      <c r="V2" s="54"/>
      <c r="W2" s="54"/>
      <c r="X2" s="54"/>
      <c r="Y2" s="307"/>
      <c r="Z2" s="307"/>
      <c r="AA2" s="307"/>
      <c r="AB2" s="307"/>
      <c r="AC2" s="307"/>
      <c r="AD2" s="307"/>
      <c r="AE2" s="307"/>
      <c r="AF2" s="307"/>
      <c r="AG2" s="307"/>
      <c r="AH2" s="307"/>
      <c r="AI2" s="307"/>
      <c r="AJ2" s="307"/>
      <c r="AK2" s="307"/>
      <c r="AL2" s="307"/>
      <c r="AM2" s="307"/>
      <c r="AN2" s="307"/>
      <c r="AO2" s="307"/>
      <c r="AP2" s="307"/>
      <c r="AQ2" s="307"/>
      <c r="AR2" s="307"/>
      <c r="AS2" s="307"/>
      <c r="AT2" s="307"/>
      <c r="AU2" s="307"/>
      <c r="AV2" s="307"/>
      <c r="AW2" s="307"/>
      <c r="AX2" s="307"/>
      <c r="AY2" s="307"/>
      <c r="AZ2" s="307"/>
      <c r="BA2" s="307"/>
      <c r="BB2" s="307"/>
      <c r="BC2" s="307"/>
      <c r="BD2" s="307"/>
      <c r="BE2" s="307"/>
      <c r="BF2" s="307"/>
      <c r="BG2" s="307"/>
      <c r="BH2" s="307"/>
      <c r="BI2" s="307"/>
      <c r="BJ2" s="307"/>
      <c r="BK2" s="307"/>
      <c r="BL2" s="307"/>
      <c r="BM2" s="307"/>
      <c r="BN2" s="307"/>
      <c r="BO2" s="307"/>
      <c r="BP2" s="307"/>
      <c r="BQ2" s="307"/>
      <c r="BR2" s="307"/>
      <c r="BS2" s="307"/>
      <c r="BT2" s="307"/>
      <c r="BU2" s="307"/>
      <c r="BV2" s="307"/>
      <c r="BW2" s="307"/>
      <c r="BX2" s="307"/>
      <c r="BY2" s="307"/>
      <c r="BZ2" s="307"/>
      <c r="CA2" s="307"/>
    </row>
    <row r="3" spans="1:97" s="55" customFormat="1" ht="13.5" customHeight="1" x14ac:dyDescent="0.2">
      <c r="B3" s="54" t="str">
        <f>CONCATENATE("ESTABLECIMIENTO/ESTRATEGIA: ",NOMBRE!$B$3," - ","( ",NOMBRE!$C$3,NOMBRE!$D$3,NOMBRE!$E$3,NOMBRE!$F$3,NOMBRE!$G$3,NOMBRE!$H$3," )")</f>
        <v>ESTABLECIMIENTO/ESTRATEGIA:  - (  )</v>
      </c>
      <c r="C3" s="54"/>
      <c r="D3" s="54"/>
      <c r="E3" s="54"/>
      <c r="F3" s="54"/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1505"/>
      <c r="V3" s="54"/>
      <c r="W3" s="54"/>
      <c r="X3" s="54"/>
      <c r="Y3" s="307"/>
      <c r="Z3" s="307"/>
      <c r="AA3" s="307"/>
      <c r="AB3" s="307"/>
      <c r="AC3" s="307"/>
      <c r="AD3" s="307"/>
      <c r="AE3" s="307"/>
      <c r="AF3" s="307"/>
      <c r="AG3" s="307"/>
      <c r="AH3" s="307"/>
      <c r="AI3" s="307"/>
      <c r="AJ3" s="307"/>
      <c r="AK3" s="307"/>
      <c r="AL3" s="307"/>
      <c r="AM3" s="307"/>
      <c r="AN3" s="307"/>
      <c r="AO3" s="307"/>
      <c r="AP3" s="307"/>
      <c r="AQ3" s="307"/>
      <c r="AR3" s="307"/>
      <c r="AS3" s="307"/>
      <c r="AT3" s="307"/>
      <c r="AU3" s="307"/>
      <c r="AV3" s="307"/>
      <c r="AW3" s="307"/>
      <c r="AX3" s="307"/>
      <c r="AY3" s="307"/>
      <c r="AZ3" s="307"/>
      <c r="BA3" s="307"/>
      <c r="BB3" s="307"/>
      <c r="BC3" s="307"/>
      <c r="BD3" s="307"/>
      <c r="BE3" s="307"/>
      <c r="BF3" s="307"/>
      <c r="BG3" s="307"/>
      <c r="BH3" s="307"/>
      <c r="BI3" s="307"/>
      <c r="BJ3" s="307"/>
      <c r="BK3" s="307"/>
      <c r="BL3" s="307"/>
      <c r="BM3" s="307"/>
      <c r="BN3" s="307"/>
      <c r="BO3" s="307"/>
      <c r="BP3" s="307"/>
      <c r="BQ3" s="307"/>
      <c r="BR3" s="307"/>
      <c r="BS3" s="307"/>
      <c r="BT3" s="307"/>
      <c r="BU3" s="307"/>
      <c r="BV3" s="307"/>
      <c r="BW3" s="307"/>
      <c r="BX3" s="307"/>
      <c r="BY3" s="307"/>
      <c r="BZ3" s="307"/>
      <c r="CA3" s="307"/>
    </row>
    <row r="4" spans="1:97" s="55" customFormat="1" ht="13.5" customHeight="1" x14ac:dyDescent="0.2">
      <c r="B4" s="54" t="str">
        <f>CONCATENATE("MES: ",NOMBRE!$B$6," - ","( ",NOMBRE!$C$6,NOMBRE!$D$6," )")</f>
        <v>MES:  - (  )</v>
      </c>
      <c r="C4" s="54"/>
      <c r="D4" s="54"/>
      <c r="E4" s="54"/>
      <c r="F4" s="54"/>
      <c r="G4" s="54"/>
      <c r="H4" s="54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1505"/>
      <c r="V4" s="54"/>
      <c r="W4" s="54"/>
      <c r="X4" s="54"/>
      <c r="Y4" s="307"/>
      <c r="Z4" s="307"/>
      <c r="AA4" s="307"/>
      <c r="AB4" s="307"/>
      <c r="AC4" s="307"/>
      <c r="AD4" s="307"/>
      <c r="AE4" s="307"/>
      <c r="AF4" s="307"/>
      <c r="AG4" s="307"/>
      <c r="AH4" s="307"/>
      <c r="AI4" s="307"/>
      <c r="AJ4" s="307"/>
      <c r="AK4" s="307"/>
      <c r="AL4" s="307"/>
      <c r="AM4" s="307"/>
      <c r="AN4" s="307"/>
      <c r="AO4" s="307"/>
      <c r="AP4" s="307"/>
      <c r="AQ4" s="307"/>
      <c r="AR4" s="307"/>
      <c r="AS4" s="307"/>
      <c r="AT4" s="307"/>
      <c r="AU4" s="307"/>
      <c r="AV4" s="307"/>
      <c r="AW4" s="307"/>
      <c r="AX4" s="307"/>
      <c r="AY4" s="307"/>
      <c r="AZ4" s="307"/>
      <c r="BA4" s="307"/>
      <c r="BB4" s="307"/>
      <c r="BC4" s="307"/>
      <c r="BD4" s="307"/>
      <c r="BE4" s="307"/>
      <c r="BF4" s="307"/>
      <c r="BG4" s="307"/>
      <c r="BH4" s="307"/>
      <c r="BI4" s="307"/>
      <c r="BJ4" s="307"/>
      <c r="BK4" s="307"/>
      <c r="BL4" s="307"/>
      <c r="BM4" s="307"/>
      <c r="BN4" s="307"/>
      <c r="BO4" s="307"/>
      <c r="BP4" s="307"/>
      <c r="BQ4" s="307"/>
      <c r="BR4" s="307"/>
      <c r="BS4" s="307"/>
      <c r="BT4" s="307"/>
      <c r="BU4" s="307"/>
      <c r="BV4" s="307"/>
      <c r="BW4" s="307"/>
      <c r="BX4" s="307"/>
      <c r="BY4" s="307"/>
      <c r="BZ4" s="307"/>
      <c r="CA4" s="307"/>
    </row>
    <row r="5" spans="1:97" s="55" customFormat="1" ht="13.5" customHeight="1" x14ac:dyDescent="0.2">
      <c r="B5" s="54" t="str">
        <f>CONCATENATE("AÑO: ",NOMBRE!$B$7)</f>
        <v>AÑO: 2023</v>
      </c>
      <c r="C5" s="54"/>
      <c r="D5" s="54"/>
      <c r="E5" s="54"/>
      <c r="F5" s="54"/>
      <c r="G5" s="54"/>
      <c r="H5" s="54"/>
      <c r="I5" s="54"/>
      <c r="J5" s="54"/>
      <c r="K5" s="54"/>
      <c r="L5" s="54"/>
      <c r="M5" s="54"/>
      <c r="N5" s="54"/>
      <c r="O5" s="54"/>
      <c r="P5" s="54"/>
      <c r="Q5" s="54"/>
      <c r="R5" s="54"/>
      <c r="S5" s="54"/>
      <c r="T5" s="54"/>
      <c r="U5" s="1505"/>
      <c r="V5" s="54"/>
      <c r="W5" s="54"/>
      <c r="X5" s="54"/>
      <c r="Y5" s="307"/>
      <c r="Z5" s="307"/>
      <c r="AA5" s="307"/>
      <c r="AB5" s="307"/>
      <c r="AC5" s="307"/>
      <c r="AD5" s="307"/>
      <c r="AE5" s="307"/>
      <c r="AF5" s="307"/>
      <c r="AG5" s="307"/>
      <c r="AH5" s="307"/>
      <c r="AI5" s="307"/>
      <c r="AJ5" s="307"/>
      <c r="AK5" s="307"/>
      <c r="AL5" s="307"/>
      <c r="AM5" s="307"/>
      <c r="AN5" s="307"/>
      <c r="AO5" s="307"/>
      <c r="AP5" s="307"/>
      <c r="AQ5" s="307"/>
      <c r="AR5" s="307"/>
      <c r="AS5" s="307"/>
      <c r="AT5" s="307"/>
      <c r="AU5" s="307"/>
      <c r="AV5" s="307"/>
      <c r="AW5" s="307"/>
      <c r="AX5" s="307"/>
      <c r="AY5" s="307"/>
      <c r="AZ5" s="307"/>
      <c r="BA5" s="307"/>
      <c r="BB5" s="307"/>
      <c r="BC5" s="307"/>
      <c r="BD5" s="307"/>
      <c r="BE5" s="307"/>
      <c r="BF5" s="307"/>
      <c r="BG5" s="307"/>
      <c r="BH5" s="307"/>
      <c r="BI5" s="307"/>
      <c r="BJ5" s="307"/>
      <c r="BK5" s="307"/>
      <c r="BL5" s="307"/>
      <c r="BM5" s="307"/>
      <c r="BN5" s="307"/>
      <c r="BO5" s="307"/>
      <c r="BP5" s="307"/>
      <c r="BQ5" s="307"/>
      <c r="BR5" s="307"/>
      <c r="BS5" s="307"/>
      <c r="BT5" s="307"/>
      <c r="BU5" s="307"/>
      <c r="BV5" s="307"/>
      <c r="BW5" s="307"/>
      <c r="BX5" s="307"/>
      <c r="BY5" s="307"/>
      <c r="BZ5" s="307"/>
      <c r="CA5" s="307"/>
    </row>
    <row r="6" spans="1:97" ht="33" customHeight="1" x14ac:dyDescent="0.2">
      <c r="C6" s="403"/>
      <c r="D6" s="1850" t="s">
        <v>499</v>
      </c>
      <c r="E6" s="1850"/>
      <c r="F6" s="1850"/>
      <c r="G6" s="1850"/>
      <c r="H6" s="1850"/>
      <c r="I6" s="1850"/>
      <c r="J6" s="1850"/>
      <c r="K6" s="1850"/>
      <c r="L6" s="1850"/>
      <c r="M6" s="1850"/>
      <c r="N6" s="1850"/>
      <c r="O6" s="1850"/>
      <c r="P6" s="1850"/>
      <c r="Q6" s="1850"/>
    </row>
    <row r="7" spans="1:97" ht="44.1" customHeight="1" x14ac:dyDescent="0.3">
      <c r="B7" s="1824" t="s">
        <v>11</v>
      </c>
      <c r="C7" s="1825"/>
      <c r="D7" s="1825"/>
      <c r="E7" s="1825"/>
      <c r="F7" s="1825"/>
      <c r="G7" s="1825"/>
      <c r="H7" s="1825"/>
      <c r="I7" s="57"/>
    </row>
    <row r="8" spans="1:97" ht="27" customHeight="1" x14ac:dyDescent="0.3">
      <c r="B8" s="1187" t="s">
        <v>536</v>
      </c>
      <c r="C8" s="404"/>
      <c r="D8" s="404"/>
      <c r="E8" s="404"/>
      <c r="F8" s="404"/>
      <c r="G8" s="404"/>
      <c r="H8" s="404"/>
      <c r="I8" s="404"/>
      <c r="J8" s="404"/>
      <c r="K8" s="405"/>
      <c r="L8" s="405"/>
      <c r="M8" s="405"/>
      <c r="N8" s="405"/>
      <c r="O8" s="405"/>
    </row>
    <row r="9" spans="1:97" ht="15.75" customHeight="1" x14ac:dyDescent="0.2">
      <c r="B9" s="1888" t="s">
        <v>12</v>
      </c>
      <c r="C9" s="1889"/>
      <c r="D9" s="1876" t="s">
        <v>13</v>
      </c>
      <c r="E9" s="1882" t="s">
        <v>14</v>
      </c>
      <c r="F9" s="1883"/>
      <c r="G9" s="1883"/>
      <c r="H9" s="1883"/>
      <c r="I9" s="1883"/>
      <c r="J9" s="1883"/>
      <c r="K9" s="1883"/>
      <c r="L9" s="1883"/>
      <c r="M9" s="1883"/>
      <c r="N9" s="1883"/>
      <c r="O9" s="1883"/>
      <c r="P9" s="1883"/>
      <c r="Q9" s="1884"/>
      <c r="R9" s="1878" t="s">
        <v>15</v>
      </c>
      <c r="S9" s="1874" t="s">
        <v>804</v>
      </c>
      <c r="T9" s="1862" t="s">
        <v>545</v>
      </c>
    </row>
    <row r="10" spans="1:97" ht="35.25" customHeight="1" x14ac:dyDescent="0.2">
      <c r="B10" s="1890"/>
      <c r="C10" s="1891"/>
      <c r="D10" s="1877"/>
      <c r="E10" s="1350" t="s">
        <v>16</v>
      </c>
      <c r="F10" s="1351" t="s">
        <v>17</v>
      </c>
      <c r="G10" s="1351" t="s">
        <v>18</v>
      </c>
      <c r="H10" s="1352" t="s">
        <v>19</v>
      </c>
      <c r="I10" s="1352" t="s">
        <v>20</v>
      </c>
      <c r="J10" s="1352" t="s">
        <v>21</v>
      </c>
      <c r="K10" s="1352" t="s">
        <v>22</v>
      </c>
      <c r="L10" s="1352" t="s">
        <v>23</v>
      </c>
      <c r="M10" s="1352" t="s">
        <v>24</v>
      </c>
      <c r="N10" s="1119" t="s">
        <v>208</v>
      </c>
      <c r="O10" s="1352" t="s">
        <v>209</v>
      </c>
      <c r="P10" s="361" t="s">
        <v>181</v>
      </c>
      <c r="Q10" s="1353" t="s">
        <v>866</v>
      </c>
      <c r="R10" s="1879"/>
      <c r="S10" s="1875"/>
      <c r="T10" s="1863"/>
      <c r="U10" s="1506"/>
      <c r="V10" s="61"/>
      <c r="W10" s="61"/>
      <c r="X10" s="61"/>
      <c r="Y10" s="308"/>
    </row>
    <row r="11" spans="1:97" ht="15.75" customHeight="1" x14ac:dyDescent="0.2">
      <c r="A11" s="1628" t="s">
        <v>893</v>
      </c>
      <c r="B11" s="1880" t="s">
        <v>507</v>
      </c>
      <c r="C11" s="1881"/>
      <c r="D11" s="496" t="s">
        <v>1550</v>
      </c>
      <c r="E11" s="498" t="s">
        <v>1551</v>
      </c>
      <c r="F11" s="498" t="s">
        <v>1552</v>
      </c>
      <c r="G11" s="498" t="s">
        <v>1553</v>
      </c>
      <c r="H11" s="498" t="s">
        <v>1554</v>
      </c>
      <c r="I11" s="498" t="s">
        <v>1555</v>
      </c>
      <c r="J11" s="498" t="s">
        <v>1556</v>
      </c>
      <c r="K11" s="498" t="s">
        <v>1557</v>
      </c>
      <c r="L11" s="498" t="s">
        <v>1558</v>
      </c>
      <c r="M11" s="498" t="s">
        <v>1559</v>
      </c>
      <c r="N11" s="498" t="s">
        <v>1560</v>
      </c>
      <c r="O11" s="1008" t="s">
        <v>1561</v>
      </c>
      <c r="P11" s="1008" t="s">
        <v>1562</v>
      </c>
      <c r="Q11" s="1354" t="s">
        <v>1563</v>
      </c>
      <c r="R11" s="498" t="s">
        <v>1564</v>
      </c>
      <c r="S11" s="498" t="s">
        <v>1565</v>
      </c>
      <c r="T11" s="567" t="s">
        <v>1566</v>
      </c>
      <c r="U11" s="343" t="str">
        <f>($CB11&amp;CC11&amp;CD11&amp;CE11&amp;CF11&amp;CG11&amp;CH11&amp;CI11&amp;CJ11)</f>
        <v xml:space="preserve">* La celda Pueblos Originarios debe ser menor o igual al Total de Métodos. * La celda Población Migrantes debe ser menor o igual al Total de Métodos. * La celda PV-VIH (Personas Viviendo con VIH) debe ser menor o igual al Total de Métodos. </v>
      </c>
      <c r="CB11" s="348" t="str">
        <f>IF($R11&gt;$D11,"* La celda Pueblos Originarios debe ser menor o igual al Total de Métodos. ","")</f>
        <v xml:space="preserve">* La celda Pueblos Originarios debe ser menor o igual al Total de Métodos. </v>
      </c>
      <c r="CC11" s="348" t="str">
        <f>IF($S11&gt;$D11,"* La celda Población Migrantes debe ser menor o igual al Total de Métodos. ","")</f>
        <v xml:space="preserve">* La celda Población Migrantes debe ser menor o igual al Total de Métodos. </v>
      </c>
      <c r="CD11" s="348" t="str">
        <f>IF($T11&gt;$D11,"* La celda PV-VIH (Personas Viviendo con VIH) debe ser menor o igual al Total de Métodos. ","")</f>
        <v xml:space="preserve">* La celda PV-VIH (Personas Viviendo con VIH) debe ser menor o igual al Total de Métodos. </v>
      </c>
      <c r="CE11" s="348" t="str">
        <f>IF(AND($D11&lt;&gt;0,$R11=""),"* No olvide escribir en la celda de Pueblos Originarios (Digite CERO si no tiene). ","")</f>
        <v/>
      </c>
      <c r="CF11" s="348" t="str">
        <f>IF(AND($D11&lt;&gt;0,$S11=""),"* No olvide escribir en la celda Migrantes (Digite CERO si no tiene). ","")</f>
        <v/>
      </c>
      <c r="CG11" s="348" t="str">
        <f>IF(AND($D11&lt;&gt;0,$T11=""),"* No olvide escribir en la celda de PV-VIH (Personas Viviendo con VIH) (Digite CERO si no tiene). ","")</f>
        <v/>
      </c>
      <c r="CH11" s="354"/>
      <c r="CI11" s="354"/>
      <c r="CJ11" s="354"/>
      <c r="CK11" s="358">
        <f>IF($R11&gt;$D11,1,0)</f>
        <v>1</v>
      </c>
      <c r="CL11" s="358">
        <f t="shared" ref="CL11:CL23" si="0">IF($S11&gt;$D11,1,0)</f>
        <v>1</v>
      </c>
      <c r="CM11" s="358">
        <f t="shared" ref="CM11:CM23" si="1">IF($T11&gt;$D11,1,0)</f>
        <v>1</v>
      </c>
      <c r="CN11" s="358">
        <f t="shared" ref="CN11:CN23" si="2">IF(AND($D11&lt;&gt;0,$R11=""),1,0)</f>
        <v>0</v>
      </c>
      <c r="CO11" s="358">
        <f t="shared" ref="CO11:CO23" si="3">IF(AND($D11&lt;&gt;0,$S11=""),1,0)</f>
        <v>0</v>
      </c>
      <c r="CP11" s="358">
        <f>IF(AND($D11&lt;&gt;0,$T11=""),1,0)</f>
        <v>0</v>
      </c>
      <c r="CQ11" s="354"/>
      <c r="CR11" s="354"/>
      <c r="CS11" s="354"/>
    </row>
    <row r="12" spans="1:97" ht="15.75" customHeight="1" x14ac:dyDescent="0.2">
      <c r="A12" s="1628" t="s">
        <v>894</v>
      </c>
      <c r="B12" s="297" t="s">
        <v>500</v>
      </c>
      <c r="C12" s="298"/>
      <c r="D12" s="502" t="s">
        <v>1550</v>
      </c>
      <c r="E12" s="503" t="s">
        <v>1551</v>
      </c>
      <c r="F12" s="503" t="s">
        <v>1552</v>
      </c>
      <c r="G12" s="503" t="s">
        <v>1553</v>
      </c>
      <c r="H12" s="503" t="s">
        <v>1554</v>
      </c>
      <c r="I12" s="503" t="s">
        <v>1555</v>
      </c>
      <c r="J12" s="503" t="s">
        <v>1556</v>
      </c>
      <c r="K12" s="503" t="s">
        <v>1557</v>
      </c>
      <c r="L12" s="503" t="s">
        <v>1558</v>
      </c>
      <c r="M12" s="503" t="s">
        <v>1559</v>
      </c>
      <c r="N12" s="503" t="s">
        <v>1560</v>
      </c>
      <c r="O12" s="1009" t="s">
        <v>1561</v>
      </c>
      <c r="P12" s="1009" t="s">
        <v>1562</v>
      </c>
      <c r="Q12" s="507" t="s">
        <v>1563</v>
      </c>
      <c r="R12" s="503" t="s">
        <v>1564</v>
      </c>
      <c r="S12" s="503" t="s">
        <v>1565</v>
      </c>
      <c r="T12" s="1101" t="s">
        <v>1566</v>
      </c>
      <c r="U12" s="343" t="str">
        <f t="shared" ref="U12:U36" si="4">($CB12&amp;CC12&amp;CD12&amp;CE12&amp;CF12&amp;CG12&amp;CH12&amp;CI12&amp;CJ12)</f>
        <v xml:space="preserve">* La celda Pueblos Originarios debe ser menor o igual al Total de Métodos. * La celda Población Migrantes debe ser menor o igual al Total de Métodos. * La celda PV-VIH (Personas Viviendo con VIH) debe ser menor o igual al Total de Métodos. </v>
      </c>
      <c r="CB12" s="348" t="str">
        <f t="shared" ref="CB12:CB36" si="5">IF($R12&gt;$D12,"* La celda Pueblos Originarios debe ser menor o igual al Total de Métodos. ","")</f>
        <v xml:space="preserve">* La celda Pueblos Originarios debe ser menor o igual al Total de Métodos. </v>
      </c>
      <c r="CC12" s="348" t="str">
        <f t="shared" ref="CC12:CC36" si="6">IF($S12&gt;$D12,"* La celda Población Migrantes debe ser menor o igual al Total de Métodos. ","")</f>
        <v xml:space="preserve">* La celda Población Migrantes debe ser menor o igual al Total de Métodos. </v>
      </c>
      <c r="CD12" s="348" t="str">
        <f t="shared" ref="CD12:CD36" si="7">IF($T12&gt;$D12,"* La celda PV-VIH (Personas Viviendo con VIH) debe ser menor o igual al Total de Métodos. ","")</f>
        <v xml:space="preserve">* La celda PV-VIH (Personas Viviendo con VIH) debe ser menor o igual al Total de Métodos. </v>
      </c>
      <c r="CE12" s="348" t="str">
        <f t="shared" ref="CE12:CE36" si="8">IF(AND($D12&lt;&gt;0,$R12=""),"* No olvide escribir en la celda de Pueblos Originarios (Digite CERO si no tiene). ","")</f>
        <v/>
      </c>
      <c r="CF12" s="348" t="str">
        <f t="shared" ref="CF12:CF36" si="9">IF(AND($D12&lt;&gt;0,$S12=""),"* No olvide escribir en la celda Migrantes (Digite CERO si no tiene). ","")</f>
        <v/>
      </c>
      <c r="CG12" s="348" t="str">
        <f t="shared" ref="CG12:CG36" si="10">IF(AND($D12&lt;&gt;0,$T12=""),"* No olvide escribir en la celda de PV-VIH (Personas Viviendo con VIH) (Digite CERO si no tiene). ","")</f>
        <v/>
      </c>
      <c r="CH12" s="354"/>
      <c r="CI12" s="354"/>
      <c r="CJ12" s="354"/>
      <c r="CK12" s="358">
        <f t="shared" ref="CK12:CK23" si="11">IF($R12&gt;$D12,1,0)</f>
        <v>1</v>
      </c>
      <c r="CL12" s="358">
        <f t="shared" si="0"/>
        <v>1</v>
      </c>
      <c r="CM12" s="358">
        <f t="shared" si="1"/>
        <v>1</v>
      </c>
      <c r="CN12" s="358">
        <f t="shared" si="2"/>
        <v>0</v>
      </c>
      <c r="CO12" s="358">
        <f t="shared" si="3"/>
        <v>0</v>
      </c>
      <c r="CP12" s="358">
        <f t="shared" ref="CP12:CP23" si="12">IF(AND($D12&lt;&gt;0,$T12=""),1,0)</f>
        <v>0</v>
      </c>
      <c r="CQ12" s="354"/>
      <c r="CR12" s="354"/>
      <c r="CS12" s="354"/>
    </row>
    <row r="13" spans="1:97" ht="19.5" customHeight="1" x14ac:dyDescent="0.2">
      <c r="A13" s="1628" t="s">
        <v>895</v>
      </c>
      <c r="B13" s="1885" t="s">
        <v>25</v>
      </c>
      <c r="C13" s="62" t="s">
        <v>26</v>
      </c>
      <c r="D13" s="509" t="s">
        <v>1550</v>
      </c>
      <c r="E13" s="510" t="s">
        <v>1551</v>
      </c>
      <c r="F13" s="510" t="s">
        <v>1552</v>
      </c>
      <c r="G13" s="510" t="s">
        <v>1553</v>
      </c>
      <c r="H13" s="510" t="s">
        <v>1554</v>
      </c>
      <c r="I13" s="510" t="s">
        <v>1555</v>
      </c>
      <c r="J13" s="510" t="s">
        <v>1556</v>
      </c>
      <c r="K13" s="510" t="s">
        <v>1557</v>
      </c>
      <c r="L13" s="510" t="s">
        <v>1558</v>
      </c>
      <c r="M13" s="510" t="s">
        <v>1559</v>
      </c>
      <c r="N13" s="510" t="s">
        <v>1560</v>
      </c>
      <c r="O13" s="1010" t="s">
        <v>1561</v>
      </c>
      <c r="P13" s="1010" t="s">
        <v>1562</v>
      </c>
      <c r="Q13" s="1355" t="s">
        <v>1563</v>
      </c>
      <c r="R13" s="510" t="s">
        <v>1564</v>
      </c>
      <c r="S13" s="510" t="s">
        <v>1565</v>
      </c>
      <c r="T13" s="1102" t="s">
        <v>1566</v>
      </c>
      <c r="U13" s="343" t="str">
        <f t="shared" si="4"/>
        <v xml:space="preserve">* La celda Pueblos Originarios debe ser menor o igual al Total de Métodos. * La celda Población Migrantes debe ser menor o igual al Total de Métodos. * La celda PV-VIH (Personas Viviendo con VIH) debe ser menor o igual al Total de Métodos. </v>
      </c>
      <c r="CB13" s="348" t="str">
        <f t="shared" si="5"/>
        <v xml:space="preserve">* La celda Pueblos Originarios debe ser menor o igual al Total de Métodos. </v>
      </c>
      <c r="CC13" s="348" t="str">
        <f t="shared" si="6"/>
        <v xml:space="preserve">* La celda Población Migrantes debe ser menor o igual al Total de Métodos. </v>
      </c>
      <c r="CD13" s="348" t="str">
        <f t="shared" si="7"/>
        <v xml:space="preserve">* La celda PV-VIH (Personas Viviendo con VIH) debe ser menor o igual al Total de Métodos. </v>
      </c>
      <c r="CE13" s="348" t="str">
        <f t="shared" si="8"/>
        <v/>
      </c>
      <c r="CF13" s="348" t="str">
        <f t="shared" si="9"/>
        <v/>
      </c>
      <c r="CG13" s="348" t="str">
        <f t="shared" si="10"/>
        <v/>
      </c>
      <c r="CH13" s="354"/>
      <c r="CI13" s="354"/>
      <c r="CJ13" s="354"/>
      <c r="CK13" s="358">
        <f t="shared" si="11"/>
        <v>1</v>
      </c>
      <c r="CL13" s="358">
        <f t="shared" si="0"/>
        <v>1</v>
      </c>
      <c r="CM13" s="358">
        <f t="shared" si="1"/>
        <v>1</v>
      </c>
      <c r="CN13" s="358">
        <f t="shared" si="2"/>
        <v>0</v>
      </c>
      <c r="CO13" s="358">
        <f t="shared" si="3"/>
        <v>0</v>
      </c>
      <c r="CP13" s="358">
        <f t="shared" si="12"/>
        <v>0</v>
      </c>
      <c r="CQ13" s="354"/>
      <c r="CR13" s="354"/>
      <c r="CS13" s="354"/>
    </row>
    <row r="14" spans="1:97" ht="18.75" customHeight="1" x14ac:dyDescent="0.2">
      <c r="A14" s="1628" t="s">
        <v>896</v>
      </c>
      <c r="B14" s="1886"/>
      <c r="C14" s="63" t="s">
        <v>27</v>
      </c>
      <c r="D14" s="509" t="s">
        <v>1550</v>
      </c>
      <c r="E14" s="513" t="s">
        <v>1551</v>
      </c>
      <c r="F14" s="513" t="s">
        <v>1552</v>
      </c>
      <c r="G14" s="513" t="s">
        <v>1553</v>
      </c>
      <c r="H14" s="513" t="s">
        <v>1554</v>
      </c>
      <c r="I14" s="513" t="s">
        <v>1555</v>
      </c>
      <c r="J14" s="513" t="s">
        <v>1556</v>
      </c>
      <c r="K14" s="513" t="s">
        <v>1557</v>
      </c>
      <c r="L14" s="513" t="s">
        <v>1558</v>
      </c>
      <c r="M14" s="513" t="s">
        <v>1559</v>
      </c>
      <c r="N14" s="513" t="s">
        <v>1560</v>
      </c>
      <c r="O14" s="1011" t="s">
        <v>1561</v>
      </c>
      <c r="P14" s="1011" t="s">
        <v>1562</v>
      </c>
      <c r="Q14" s="1356" t="s">
        <v>1563</v>
      </c>
      <c r="R14" s="510" t="s">
        <v>1564</v>
      </c>
      <c r="S14" s="513" t="s">
        <v>1565</v>
      </c>
      <c r="T14" s="569" t="s">
        <v>1566</v>
      </c>
      <c r="U14" s="343" t="str">
        <f t="shared" si="4"/>
        <v xml:space="preserve">* La celda Pueblos Originarios debe ser menor o igual al Total de Métodos. * La celda Población Migrantes debe ser menor o igual al Total de Métodos. * La celda PV-VIH (Personas Viviendo con VIH) debe ser menor o igual al Total de Métodos. </v>
      </c>
      <c r="CB14" s="348" t="str">
        <f t="shared" si="5"/>
        <v xml:space="preserve">* La celda Pueblos Originarios debe ser menor o igual al Total de Métodos. </v>
      </c>
      <c r="CC14" s="348" t="str">
        <f t="shared" si="6"/>
        <v xml:space="preserve">* La celda Población Migrantes debe ser menor o igual al Total de Métodos. </v>
      </c>
      <c r="CD14" s="348" t="str">
        <f t="shared" si="7"/>
        <v xml:space="preserve">* La celda PV-VIH (Personas Viviendo con VIH) debe ser menor o igual al Total de Métodos. </v>
      </c>
      <c r="CE14" s="348" t="str">
        <f t="shared" si="8"/>
        <v/>
      </c>
      <c r="CF14" s="348" t="str">
        <f t="shared" si="9"/>
        <v/>
      </c>
      <c r="CG14" s="348" t="str">
        <f t="shared" si="10"/>
        <v/>
      </c>
      <c r="CH14" s="354"/>
      <c r="CI14" s="354"/>
      <c r="CJ14" s="354"/>
      <c r="CK14" s="358">
        <f t="shared" si="11"/>
        <v>1</v>
      </c>
      <c r="CL14" s="358">
        <f t="shared" si="0"/>
        <v>1</v>
      </c>
      <c r="CM14" s="358">
        <f t="shared" si="1"/>
        <v>1</v>
      </c>
      <c r="CN14" s="358">
        <f t="shared" si="2"/>
        <v>0</v>
      </c>
      <c r="CO14" s="358">
        <f t="shared" si="3"/>
        <v>0</v>
      </c>
      <c r="CP14" s="358">
        <f t="shared" si="12"/>
        <v>0</v>
      </c>
      <c r="CQ14" s="354"/>
      <c r="CR14" s="354"/>
      <c r="CS14" s="354"/>
    </row>
    <row r="15" spans="1:97" ht="18.75" customHeight="1" x14ac:dyDescent="0.2">
      <c r="A15" s="1628" t="s">
        <v>897</v>
      </c>
      <c r="B15" s="1886"/>
      <c r="C15" s="63" t="s">
        <v>28</v>
      </c>
      <c r="D15" s="509" t="s">
        <v>1550</v>
      </c>
      <c r="E15" s="513" t="s">
        <v>1551</v>
      </c>
      <c r="F15" s="513" t="s">
        <v>1552</v>
      </c>
      <c r="G15" s="513" t="s">
        <v>1553</v>
      </c>
      <c r="H15" s="513" t="s">
        <v>1554</v>
      </c>
      <c r="I15" s="513" t="s">
        <v>1555</v>
      </c>
      <c r="J15" s="513" t="s">
        <v>1556</v>
      </c>
      <c r="K15" s="513" t="s">
        <v>1557</v>
      </c>
      <c r="L15" s="513" t="s">
        <v>1558</v>
      </c>
      <c r="M15" s="513" t="s">
        <v>1559</v>
      </c>
      <c r="N15" s="513" t="s">
        <v>1560</v>
      </c>
      <c r="O15" s="1011" t="s">
        <v>1561</v>
      </c>
      <c r="P15" s="1011" t="s">
        <v>1562</v>
      </c>
      <c r="Q15" s="1356" t="s">
        <v>1563</v>
      </c>
      <c r="R15" s="510" t="s">
        <v>1564</v>
      </c>
      <c r="S15" s="513" t="s">
        <v>1565</v>
      </c>
      <c r="T15" s="569" t="s">
        <v>1566</v>
      </c>
      <c r="U15" s="343" t="str">
        <f t="shared" si="4"/>
        <v xml:space="preserve">* La celda Pueblos Originarios debe ser menor o igual al Total de Métodos. * La celda Población Migrantes debe ser menor o igual al Total de Métodos. * La celda PV-VIH (Personas Viviendo con VIH) debe ser menor o igual al Total de Métodos. </v>
      </c>
      <c r="CB15" s="348" t="str">
        <f t="shared" si="5"/>
        <v xml:space="preserve">* La celda Pueblos Originarios debe ser menor o igual al Total de Métodos. </v>
      </c>
      <c r="CC15" s="348" t="str">
        <f t="shared" si="6"/>
        <v xml:space="preserve">* La celda Población Migrantes debe ser menor o igual al Total de Métodos. </v>
      </c>
      <c r="CD15" s="348" t="str">
        <f t="shared" si="7"/>
        <v xml:space="preserve">* La celda PV-VIH (Personas Viviendo con VIH) debe ser menor o igual al Total de Métodos. </v>
      </c>
      <c r="CE15" s="348" t="str">
        <f t="shared" si="8"/>
        <v/>
      </c>
      <c r="CF15" s="348" t="str">
        <f t="shared" si="9"/>
        <v/>
      </c>
      <c r="CG15" s="348" t="str">
        <f t="shared" si="10"/>
        <v/>
      </c>
      <c r="CH15" s="354"/>
      <c r="CI15" s="354"/>
      <c r="CJ15" s="354"/>
      <c r="CK15" s="358">
        <f t="shared" si="11"/>
        <v>1</v>
      </c>
      <c r="CL15" s="358">
        <f t="shared" si="0"/>
        <v>1</v>
      </c>
      <c r="CM15" s="358">
        <f t="shared" si="1"/>
        <v>1</v>
      </c>
      <c r="CN15" s="358">
        <f t="shared" si="2"/>
        <v>0</v>
      </c>
      <c r="CO15" s="358">
        <f t="shared" si="3"/>
        <v>0</v>
      </c>
      <c r="CP15" s="358">
        <f t="shared" si="12"/>
        <v>0</v>
      </c>
      <c r="CQ15" s="354"/>
      <c r="CR15" s="354"/>
      <c r="CS15" s="354"/>
    </row>
    <row r="16" spans="1:97" ht="18" customHeight="1" x14ac:dyDescent="0.2">
      <c r="A16" s="1628" t="s">
        <v>898</v>
      </c>
      <c r="B16" s="1886"/>
      <c r="C16" s="63" t="s">
        <v>29</v>
      </c>
      <c r="D16" s="509" t="s">
        <v>1550</v>
      </c>
      <c r="E16" s="517" t="s">
        <v>1551</v>
      </c>
      <c r="F16" s="517" t="s">
        <v>1552</v>
      </c>
      <c r="G16" s="517" t="s">
        <v>1553</v>
      </c>
      <c r="H16" s="517" t="s">
        <v>1554</v>
      </c>
      <c r="I16" s="517" t="s">
        <v>1555</v>
      </c>
      <c r="J16" s="517" t="s">
        <v>1556</v>
      </c>
      <c r="K16" s="517" t="s">
        <v>1557</v>
      </c>
      <c r="L16" s="517" t="s">
        <v>1558</v>
      </c>
      <c r="M16" s="517" t="s">
        <v>1559</v>
      </c>
      <c r="N16" s="517" t="s">
        <v>1560</v>
      </c>
      <c r="O16" s="1012" t="s">
        <v>1561</v>
      </c>
      <c r="P16" s="1012" t="s">
        <v>1562</v>
      </c>
      <c r="Q16" s="1357" t="s">
        <v>1563</v>
      </c>
      <c r="R16" s="510" t="s">
        <v>1564</v>
      </c>
      <c r="S16" s="517" t="s">
        <v>1565</v>
      </c>
      <c r="T16" s="652" t="s">
        <v>1566</v>
      </c>
      <c r="U16" s="343" t="str">
        <f t="shared" si="4"/>
        <v xml:space="preserve">* La celda Pueblos Originarios debe ser menor o igual al Total de Métodos. * La celda Población Migrantes debe ser menor o igual al Total de Métodos. * La celda PV-VIH (Personas Viviendo con VIH) debe ser menor o igual al Total de Métodos. </v>
      </c>
      <c r="CB16" s="348" t="str">
        <f t="shared" si="5"/>
        <v xml:space="preserve">* La celda Pueblos Originarios debe ser menor o igual al Total de Métodos. </v>
      </c>
      <c r="CC16" s="348" t="str">
        <f t="shared" si="6"/>
        <v xml:space="preserve">* La celda Población Migrantes debe ser menor o igual al Total de Métodos. </v>
      </c>
      <c r="CD16" s="348" t="str">
        <f t="shared" si="7"/>
        <v xml:space="preserve">* La celda PV-VIH (Personas Viviendo con VIH) debe ser menor o igual al Total de Métodos. </v>
      </c>
      <c r="CE16" s="348" t="str">
        <f t="shared" si="8"/>
        <v/>
      </c>
      <c r="CF16" s="348" t="str">
        <f t="shared" si="9"/>
        <v/>
      </c>
      <c r="CG16" s="348" t="str">
        <f t="shared" si="10"/>
        <v/>
      </c>
      <c r="CH16" s="354"/>
      <c r="CI16" s="354"/>
      <c r="CJ16" s="354"/>
      <c r="CK16" s="358">
        <f t="shared" si="11"/>
        <v>1</v>
      </c>
      <c r="CL16" s="358">
        <f t="shared" si="0"/>
        <v>1</v>
      </c>
      <c r="CM16" s="358">
        <f t="shared" si="1"/>
        <v>1</v>
      </c>
      <c r="CN16" s="358">
        <f t="shared" si="2"/>
        <v>0</v>
      </c>
      <c r="CO16" s="358">
        <f t="shared" si="3"/>
        <v>0</v>
      </c>
      <c r="CP16" s="358">
        <f t="shared" si="12"/>
        <v>0</v>
      </c>
      <c r="CQ16" s="354"/>
      <c r="CR16" s="354"/>
      <c r="CS16" s="354"/>
    </row>
    <row r="17" spans="1:101" ht="21" customHeight="1" x14ac:dyDescent="0.2">
      <c r="A17" s="1628" t="s">
        <v>899</v>
      </c>
      <c r="B17" s="1886"/>
      <c r="C17" s="299" t="s">
        <v>498</v>
      </c>
      <c r="D17" s="509" t="s">
        <v>1550</v>
      </c>
      <c r="E17" s="513" t="s">
        <v>1551</v>
      </c>
      <c r="F17" s="513" t="s">
        <v>1552</v>
      </c>
      <c r="G17" s="513" t="s">
        <v>1553</v>
      </c>
      <c r="H17" s="513" t="s">
        <v>1554</v>
      </c>
      <c r="I17" s="513" t="s">
        <v>1555</v>
      </c>
      <c r="J17" s="513" t="s">
        <v>1556</v>
      </c>
      <c r="K17" s="513" t="s">
        <v>1557</v>
      </c>
      <c r="L17" s="513" t="s">
        <v>1558</v>
      </c>
      <c r="M17" s="513" t="s">
        <v>1559</v>
      </c>
      <c r="N17" s="513" t="s">
        <v>1560</v>
      </c>
      <c r="O17" s="1011" t="s">
        <v>1561</v>
      </c>
      <c r="P17" s="1011" t="s">
        <v>1562</v>
      </c>
      <c r="Q17" s="1356" t="s">
        <v>1563</v>
      </c>
      <c r="R17" s="513" t="s">
        <v>1564</v>
      </c>
      <c r="S17" s="513" t="s">
        <v>1565</v>
      </c>
      <c r="T17" s="569" t="s">
        <v>1566</v>
      </c>
      <c r="U17" s="343" t="str">
        <f t="shared" si="4"/>
        <v xml:space="preserve">* La celda Pueblos Originarios debe ser menor o igual al Total de Métodos. * La celda Población Migrantes debe ser menor o igual al Total de Métodos. * La celda PV-VIH (Personas Viviendo con VIH) debe ser menor o igual al Total de Métodos. </v>
      </c>
      <c r="CB17" s="348" t="str">
        <f t="shared" si="5"/>
        <v xml:space="preserve">* La celda Pueblos Originarios debe ser menor o igual al Total de Métodos. </v>
      </c>
      <c r="CC17" s="348" t="str">
        <f t="shared" si="6"/>
        <v xml:space="preserve">* La celda Población Migrantes debe ser menor o igual al Total de Métodos. </v>
      </c>
      <c r="CD17" s="348" t="str">
        <f t="shared" si="7"/>
        <v xml:space="preserve">* La celda PV-VIH (Personas Viviendo con VIH) debe ser menor o igual al Total de Métodos. </v>
      </c>
      <c r="CE17" s="348" t="str">
        <f t="shared" si="8"/>
        <v/>
      </c>
      <c r="CF17" s="348" t="str">
        <f t="shared" si="9"/>
        <v/>
      </c>
      <c r="CG17" s="348" t="str">
        <f t="shared" si="10"/>
        <v/>
      </c>
      <c r="CH17" s="354"/>
      <c r="CI17" s="354"/>
      <c r="CJ17" s="354"/>
      <c r="CK17" s="358">
        <f t="shared" si="11"/>
        <v>1</v>
      </c>
      <c r="CL17" s="358">
        <f t="shared" si="0"/>
        <v>1</v>
      </c>
      <c r="CM17" s="358">
        <f t="shared" si="1"/>
        <v>1</v>
      </c>
      <c r="CN17" s="358">
        <f t="shared" si="2"/>
        <v>0</v>
      </c>
      <c r="CO17" s="358">
        <f t="shared" si="3"/>
        <v>0</v>
      </c>
      <c r="CP17" s="358">
        <f t="shared" si="12"/>
        <v>0</v>
      </c>
      <c r="CQ17" s="354"/>
      <c r="CR17" s="354"/>
      <c r="CS17" s="354"/>
    </row>
    <row r="18" spans="1:101" ht="24" customHeight="1" x14ac:dyDescent="0.2">
      <c r="A18" s="1628" t="s">
        <v>900</v>
      </c>
      <c r="B18" s="1886"/>
      <c r="C18" s="299" t="s">
        <v>492</v>
      </c>
      <c r="D18" s="543" t="s">
        <v>1550</v>
      </c>
      <c r="E18" s="513" t="s">
        <v>1551</v>
      </c>
      <c r="F18" s="513" t="s">
        <v>1552</v>
      </c>
      <c r="G18" s="513" t="s">
        <v>1553</v>
      </c>
      <c r="H18" s="513" t="s">
        <v>1554</v>
      </c>
      <c r="I18" s="513" t="s">
        <v>1555</v>
      </c>
      <c r="J18" s="513" t="s">
        <v>1556</v>
      </c>
      <c r="K18" s="513" t="s">
        <v>1557</v>
      </c>
      <c r="L18" s="513" t="s">
        <v>1558</v>
      </c>
      <c r="M18" s="513" t="s">
        <v>1559</v>
      </c>
      <c r="N18" s="513" t="s">
        <v>1560</v>
      </c>
      <c r="O18" s="1011" t="s">
        <v>1561</v>
      </c>
      <c r="P18" s="1011" t="s">
        <v>1562</v>
      </c>
      <c r="Q18" s="1356" t="s">
        <v>1563</v>
      </c>
      <c r="R18" s="513" t="s">
        <v>1564</v>
      </c>
      <c r="S18" s="513" t="s">
        <v>1565</v>
      </c>
      <c r="T18" s="569" t="s">
        <v>1566</v>
      </c>
      <c r="U18" s="343" t="str">
        <f t="shared" si="4"/>
        <v xml:space="preserve">* La celda Pueblos Originarios debe ser menor o igual al Total de Métodos. * La celda Población Migrantes debe ser menor o igual al Total de Métodos. * La celda PV-VIH (Personas Viviendo con VIH) debe ser menor o igual al Total de Métodos. </v>
      </c>
      <c r="CB18" s="348" t="str">
        <f t="shared" si="5"/>
        <v xml:space="preserve">* La celda Pueblos Originarios debe ser menor o igual al Total de Métodos. </v>
      </c>
      <c r="CC18" s="348" t="str">
        <f t="shared" si="6"/>
        <v xml:space="preserve">* La celda Población Migrantes debe ser menor o igual al Total de Métodos. </v>
      </c>
      <c r="CD18" s="348" t="str">
        <f t="shared" si="7"/>
        <v xml:space="preserve">* La celda PV-VIH (Personas Viviendo con VIH) debe ser menor o igual al Total de Métodos. </v>
      </c>
      <c r="CE18" s="348" t="str">
        <f t="shared" si="8"/>
        <v/>
      </c>
      <c r="CF18" s="348" t="str">
        <f t="shared" si="9"/>
        <v/>
      </c>
      <c r="CG18" s="348" t="str">
        <f t="shared" si="10"/>
        <v/>
      </c>
      <c r="CH18" s="354"/>
      <c r="CI18" s="354"/>
      <c r="CJ18" s="354"/>
      <c r="CK18" s="358">
        <f t="shared" si="11"/>
        <v>1</v>
      </c>
      <c r="CL18" s="358">
        <f t="shared" si="0"/>
        <v>1</v>
      </c>
      <c r="CM18" s="358">
        <f t="shared" si="1"/>
        <v>1</v>
      </c>
      <c r="CN18" s="358">
        <f t="shared" si="2"/>
        <v>0</v>
      </c>
      <c r="CO18" s="358">
        <f t="shared" si="3"/>
        <v>0</v>
      </c>
      <c r="CP18" s="358">
        <f t="shared" si="12"/>
        <v>0</v>
      </c>
      <c r="CQ18" s="354"/>
      <c r="CR18" s="354"/>
      <c r="CS18" s="354"/>
    </row>
    <row r="19" spans="1:101" ht="21" customHeight="1" x14ac:dyDescent="0.2">
      <c r="A19" s="1628" t="s">
        <v>901</v>
      </c>
      <c r="B19" s="1887"/>
      <c r="C19" s="1366" t="s">
        <v>798</v>
      </c>
      <c r="D19" s="509" t="s">
        <v>1550</v>
      </c>
      <c r="E19" s="522" t="s">
        <v>1551</v>
      </c>
      <c r="F19" s="522" t="s">
        <v>1552</v>
      </c>
      <c r="G19" s="522" t="s">
        <v>1553</v>
      </c>
      <c r="H19" s="522" t="s">
        <v>1554</v>
      </c>
      <c r="I19" s="522" t="s">
        <v>1555</v>
      </c>
      <c r="J19" s="522" t="s">
        <v>1556</v>
      </c>
      <c r="K19" s="522" t="s">
        <v>1557</v>
      </c>
      <c r="L19" s="522" t="s">
        <v>1558</v>
      </c>
      <c r="M19" s="522" t="s">
        <v>1559</v>
      </c>
      <c r="N19" s="522" t="s">
        <v>1560</v>
      </c>
      <c r="O19" s="1013" t="s">
        <v>1561</v>
      </c>
      <c r="P19" s="1013" t="s">
        <v>1562</v>
      </c>
      <c r="Q19" s="1358" t="s">
        <v>1563</v>
      </c>
      <c r="R19" s="522" t="s">
        <v>1564</v>
      </c>
      <c r="S19" s="522" t="s">
        <v>1565</v>
      </c>
      <c r="T19" s="1103" t="s">
        <v>1566</v>
      </c>
      <c r="U19" s="343" t="str">
        <f t="shared" si="4"/>
        <v xml:space="preserve">* La celda Pueblos Originarios debe ser menor o igual al Total de Métodos. * La celda Población Migrantes debe ser menor o igual al Total de Métodos. * La celda PV-VIH (Personas Viviendo con VIH) debe ser menor o igual al Total de Métodos. </v>
      </c>
      <c r="CB19" s="348" t="str">
        <f t="shared" si="5"/>
        <v xml:space="preserve">* La celda Pueblos Originarios debe ser menor o igual al Total de Métodos. </v>
      </c>
      <c r="CC19" s="348" t="str">
        <f t="shared" si="6"/>
        <v xml:space="preserve">* La celda Población Migrantes debe ser menor o igual al Total de Métodos. </v>
      </c>
      <c r="CD19" s="348" t="str">
        <f t="shared" si="7"/>
        <v xml:space="preserve">* La celda PV-VIH (Personas Viviendo con VIH) debe ser menor o igual al Total de Métodos. </v>
      </c>
      <c r="CE19" s="348" t="str">
        <f t="shared" si="8"/>
        <v/>
      </c>
      <c r="CF19" s="348" t="str">
        <f t="shared" si="9"/>
        <v/>
      </c>
      <c r="CG19" s="348" t="str">
        <f t="shared" si="10"/>
        <v/>
      </c>
      <c r="CH19" s="354"/>
      <c r="CI19" s="354"/>
      <c r="CJ19" s="354"/>
      <c r="CK19" s="358">
        <f t="shared" si="11"/>
        <v>1</v>
      </c>
      <c r="CL19" s="358">
        <f t="shared" si="0"/>
        <v>1</v>
      </c>
      <c r="CM19" s="358">
        <f t="shared" si="1"/>
        <v>1</v>
      </c>
      <c r="CN19" s="358">
        <f t="shared" si="2"/>
        <v>0</v>
      </c>
      <c r="CO19" s="358">
        <f t="shared" si="3"/>
        <v>0</v>
      </c>
      <c r="CP19" s="358">
        <f t="shared" si="12"/>
        <v>0</v>
      </c>
      <c r="CQ19" s="354"/>
      <c r="CR19" s="354"/>
      <c r="CS19" s="354"/>
    </row>
    <row r="20" spans="1:101" ht="24.75" customHeight="1" x14ac:dyDescent="0.2">
      <c r="A20" s="1628" t="s">
        <v>902</v>
      </c>
      <c r="B20" s="1864" t="s">
        <v>857</v>
      </c>
      <c r="C20" s="1214" t="s">
        <v>30</v>
      </c>
      <c r="D20" s="496" t="s">
        <v>1550</v>
      </c>
      <c r="E20" s="498" t="s">
        <v>1551</v>
      </c>
      <c r="F20" s="498" t="s">
        <v>1552</v>
      </c>
      <c r="G20" s="498" t="s">
        <v>1553</v>
      </c>
      <c r="H20" s="498" t="s">
        <v>1554</v>
      </c>
      <c r="I20" s="498" t="s">
        <v>1555</v>
      </c>
      <c r="J20" s="498" t="s">
        <v>1556</v>
      </c>
      <c r="K20" s="498" t="s">
        <v>1557</v>
      </c>
      <c r="L20" s="498" t="s">
        <v>1558</v>
      </c>
      <c r="M20" s="498" t="s">
        <v>1559</v>
      </c>
      <c r="N20" s="498" t="s">
        <v>1560</v>
      </c>
      <c r="O20" s="1010" t="s">
        <v>1561</v>
      </c>
      <c r="P20" s="1010" t="s">
        <v>1562</v>
      </c>
      <c r="Q20" s="1355" t="s">
        <v>1563</v>
      </c>
      <c r="R20" s="498" t="s">
        <v>1564</v>
      </c>
      <c r="S20" s="498" t="s">
        <v>1565</v>
      </c>
      <c r="T20" s="567" t="s">
        <v>1566</v>
      </c>
      <c r="U20" s="343" t="str">
        <f t="shared" si="4"/>
        <v xml:space="preserve">* La celda Pueblos Originarios debe ser menor o igual al Total de Métodos. * La celda Población Migrantes debe ser menor o igual al Total de Métodos. * La celda PV-VIH (Personas Viviendo con VIH) debe ser menor o igual al Total de Métodos. </v>
      </c>
      <c r="CB20" s="348" t="str">
        <f t="shared" si="5"/>
        <v xml:space="preserve">* La celda Pueblos Originarios debe ser menor o igual al Total de Métodos. </v>
      </c>
      <c r="CC20" s="348" t="str">
        <f t="shared" si="6"/>
        <v xml:space="preserve">* La celda Población Migrantes debe ser menor o igual al Total de Métodos. </v>
      </c>
      <c r="CD20" s="348" t="str">
        <f t="shared" si="7"/>
        <v xml:space="preserve">* La celda PV-VIH (Personas Viviendo con VIH) debe ser menor o igual al Total de Métodos. </v>
      </c>
      <c r="CE20" s="348" t="str">
        <f t="shared" si="8"/>
        <v/>
      </c>
      <c r="CF20" s="348" t="str">
        <f t="shared" si="9"/>
        <v/>
      </c>
      <c r="CG20" s="348" t="str">
        <f t="shared" si="10"/>
        <v/>
      </c>
      <c r="CH20" s="354"/>
      <c r="CI20" s="354"/>
      <c r="CJ20" s="354"/>
      <c r="CK20" s="358">
        <f t="shared" si="11"/>
        <v>1</v>
      </c>
      <c r="CL20" s="358">
        <f t="shared" si="0"/>
        <v>1</v>
      </c>
      <c r="CM20" s="358">
        <f t="shared" si="1"/>
        <v>1</v>
      </c>
      <c r="CN20" s="358">
        <f t="shared" si="2"/>
        <v>0</v>
      </c>
      <c r="CO20" s="358">
        <f t="shared" si="3"/>
        <v>0</v>
      </c>
      <c r="CP20" s="358">
        <f t="shared" si="12"/>
        <v>0</v>
      </c>
      <c r="CQ20" s="354"/>
      <c r="CR20" s="354"/>
      <c r="CS20" s="354"/>
    </row>
    <row r="21" spans="1:101" ht="20.25" customHeight="1" x14ac:dyDescent="0.2">
      <c r="A21" s="1628" t="s">
        <v>903</v>
      </c>
      <c r="B21" s="1865"/>
      <c r="C21" s="1215" t="s">
        <v>31</v>
      </c>
      <c r="D21" s="502" t="s">
        <v>1550</v>
      </c>
      <c r="E21" s="503" t="s">
        <v>1551</v>
      </c>
      <c r="F21" s="503" t="s">
        <v>1552</v>
      </c>
      <c r="G21" s="503" t="s">
        <v>1553</v>
      </c>
      <c r="H21" s="503" t="s">
        <v>1554</v>
      </c>
      <c r="I21" s="503" t="s">
        <v>1555</v>
      </c>
      <c r="J21" s="503" t="s">
        <v>1556</v>
      </c>
      <c r="K21" s="503" t="s">
        <v>1557</v>
      </c>
      <c r="L21" s="503" t="s">
        <v>1558</v>
      </c>
      <c r="M21" s="503" t="s">
        <v>1559</v>
      </c>
      <c r="N21" s="503" t="s">
        <v>1560</v>
      </c>
      <c r="O21" s="1013" t="s">
        <v>1561</v>
      </c>
      <c r="P21" s="1013" t="s">
        <v>1562</v>
      </c>
      <c r="Q21" s="1358" t="s">
        <v>1563</v>
      </c>
      <c r="R21" s="503" t="s">
        <v>1564</v>
      </c>
      <c r="S21" s="503" t="s">
        <v>1565</v>
      </c>
      <c r="T21" s="1101" t="s">
        <v>1566</v>
      </c>
      <c r="U21" s="343" t="str">
        <f t="shared" si="4"/>
        <v xml:space="preserve">* La celda Pueblos Originarios debe ser menor o igual al Total de Métodos. * La celda Población Migrantes debe ser menor o igual al Total de Métodos. * La celda PV-VIH (Personas Viviendo con VIH) debe ser menor o igual al Total de Métodos. </v>
      </c>
      <c r="CB21" s="348" t="str">
        <f t="shared" si="5"/>
        <v xml:space="preserve">* La celda Pueblos Originarios debe ser menor o igual al Total de Métodos. </v>
      </c>
      <c r="CC21" s="348" t="str">
        <f t="shared" si="6"/>
        <v xml:space="preserve">* La celda Población Migrantes debe ser menor o igual al Total de Métodos. </v>
      </c>
      <c r="CD21" s="348" t="str">
        <f t="shared" si="7"/>
        <v xml:space="preserve">* La celda PV-VIH (Personas Viviendo con VIH) debe ser menor o igual al Total de Métodos. </v>
      </c>
      <c r="CE21" s="348" t="str">
        <f t="shared" si="8"/>
        <v/>
      </c>
      <c r="CF21" s="348" t="str">
        <f t="shared" si="9"/>
        <v/>
      </c>
      <c r="CG21" s="348" t="str">
        <f t="shared" si="10"/>
        <v/>
      </c>
      <c r="CH21" s="354"/>
      <c r="CI21" s="354"/>
      <c r="CJ21" s="354"/>
      <c r="CK21" s="358">
        <f t="shared" si="11"/>
        <v>1</v>
      </c>
      <c r="CL21" s="358">
        <f t="shared" si="0"/>
        <v>1</v>
      </c>
      <c r="CM21" s="358">
        <f t="shared" si="1"/>
        <v>1</v>
      </c>
      <c r="CN21" s="358">
        <f t="shared" si="2"/>
        <v>0</v>
      </c>
      <c r="CO21" s="358">
        <f t="shared" si="3"/>
        <v>0</v>
      </c>
      <c r="CP21" s="358">
        <f t="shared" si="12"/>
        <v>0</v>
      </c>
      <c r="CQ21" s="354"/>
      <c r="CR21" s="354"/>
      <c r="CS21" s="354"/>
    </row>
    <row r="22" spans="1:101" ht="20.25" customHeight="1" x14ac:dyDescent="0.2">
      <c r="A22" s="1628" t="s">
        <v>904</v>
      </c>
      <c r="B22" s="1872" t="s">
        <v>467</v>
      </c>
      <c r="C22" s="1216" t="s">
        <v>30</v>
      </c>
      <c r="D22" s="509" t="s">
        <v>1550</v>
      </c>
      <c r="E22" s="510" t="s">
        <v>1551</v>
      </c>
      <c r="F22" s="510" t="s">
        <v>1552</v>
      </c>
      <c r="G22" s="510" t="s">
        <v>1553</v>
      </c>
      <c r="H22" s="510" t="s">
        <v>1554</v>
      </c>
      <c r="I22" s="510" t="s">
        <v>1555</v>
      </c>
      <c r="J22" s="510" t="s">
        <v>1556</v>
      </c>
      <c r="K22" s="510" t="s">
        <v>1557</v>
      </c>
      <c r="L22" s="510" t="s">
        <v>1558</v>
      </c>
      <c r="M22" s="510" t="s">
        <v>1559</v>
      </c>
      <c r="N22" s="510" t="s">
        <v>1560</v>
      </c>
      <c r="O22" s="1010" t="s">
        <v>1561</v>
      </c>
      <c r="P22" s="1010" t="s">
        <v>1562</v>
      </c>
      <c r="Q22" s="1355" t="s">
        <v>1563</v>
      </c>
      <c r="R22" s="510" t="s">
        <v>1564</v>
      </c>
      <c r="S22" s="510" t="s">
        <v>1565</v>
      </c>
      <c r="T22" s="1102" t="s">
        <v>1566</v>
      </c>
      <c r="U22" s="343" t="str">
        <f t="shared" si="4"/>
        <v xml:space="preserve">* La celda Pueblos Originarios debe ser menor o igual al Total de Métodos. * La celda Población Migrantes debe ser menor o igual al Total de Métodos. * La celda PV-VIH (Personas Viviendo con VIH) debe ser menor o igual al Total de Métodos. </v>
      </c>
      <c r="CB22" s="348" t="str">
        <f t="shared" si="5"/>
        <v xml:space="preserve">* La celda Pueblos Originarios debe ser menor o igual al Total de Métodos. </v>
      </c>
      <c r="CC22" s="348" t="str">
        <f t="shared" si="6"/>
        <v xml:space="preserve">* La celda Población Migrantes debe ser menor o igual al Total de Métodos. </v>
      </c>
      <c r="CD22" s="348" t="str">
        <f t="shared" si="7"/>
        <v xml:space="preserve">* La celda PV-VIH (Personas Viviendo con VIH) debe ser menor o igual al Total de Métodos. </v>
      </c>
      <c r="CE22" s="348" t="str">
        <f t="shared" si="8"/>
        <v/>
      </c>
      <c r="CF22" s="348" t="str">
        <f t="shared" si="9"/>
        <v/>
      </c>
      <c r="CG22" s="348" t="str">
        <f t="shared" si="10"/>
        <v/>
      </c>
      <c r="CH22" s="354"/>
      <c r="CI22" s="354"/>
      <c r="CJ22" s="354"/>
      <c r="CK22" s="358">
        <f t="shared" si="11"/>
        <v>1</v>
      </c>
      <c r="CL22" s="358">
        <f t="shared" si="0"/>
        <v>1</v>
      </c>
      <c r="CM22" s="358">
        <f t="shared" si="1"/>
        <v>1</v>
      </c>
      <c r="CN22" s="358">
        <f t="shared" si="2"/>
        <v>0</v>
      </c>
      <c r="CO22" s="358">
        <f t="shared" si="3"/>
        <v>0</v>
      </c>
      <c r="CP22" s="358">
        <f t="shared" si="12"/>
        <v>0</v>
      </c>
      <c r="CQ22" s="354"/>
      <c r="CR22" s="354"/>
      <c r="CS22" s="354"/>
    </row>
    <row r="23" spans="1:101" ht="16.5" customHeight="1" x14ac:dyDescent="0.2">
      <c r="A23" s="1628" t="s">
        <v>905</v>
      </c>
      <c r="B23" s="1873"/>
      <c r="C23" s="1215" t="s">
        <v>31</v>
      </c>
      <c r="D23" s="526" t="s">
        <v>1550</v>
      </c>
      <c r="E23" s="517" t="s">
        <v>1551</v>
      </c>
      <c r="F23" s="517" t="s">
        <v>1552</v>
      </c>
      <c r="G23" s="517" t="s">
        <v>1553</v>
      </c>
      <c r="H23" s="517" t="s">
        <v>1554</v>
      </c>
      <c r="I23" s="517" t="s">
        <v>1555</v>
      </c>
      <c r="J23" s="517" t="s">
        <v>1556</v>
      </c>
      <c r="K23" s="517" t="s">
        <v>1557</v>
      </c>
      <c r="L23" s="517" t="s">
        <v>1558</v>
      </c>
      <c r="M23" s="517" t="s">
        <v>1559</v>
      </c>
      <c r="N23" s="517" t="s">
        <v>1560</v>
      </c>
      <c r="O23" s="1013" t="s">
        <v>1561</v>
      </c>
      <c r="P23" s="1013" t="s">
        <v>1562</v>
      </c>
      <c r="Q23" s="1358" t="s">
        <v>1563</v>
      </c>
      <c r="R23" s="517" t="s">
        <v>1564</v>
      </c>
      <c r="S23" s="517" t="s">
        <v>1565</v>
      </c>
      <c r="T23" s="652" t="s">
        <v>1566</v>
      </c>
      <c r="U23" s="343" t="str">
        <f t="shared" si="4"/>
        <v xml:space="preserve">* La celda Pueblos Originarios debe ser menor o igual al Total de Métodos. * La celda Población Migrantes debe ser menor o igual al Total de Métodos. * La celda PV-VIH (Personas Viviendo con VIH) debe ser menor o igual al Total de Métodos. </v>
      </c>
      <c r="CB23" s="348" t="str">
        <f t="shared" si="5"/>
        <v xml:space="preserve">* La celda Pueblos Originarios debe ser menor o igual al Total de Métodos. </v>
      </c>
      <c r="CC23" s="348" t="str">
        <f t="shared" si="6"/>
        <v xml:space="preserve">* La celda Población Migrantes debe ser menor o igual al Total de Métodos. </v>
      </c>
      <c r="CD23" s="348" t="str">
        <f t="shared" si="7"/>
        <v xml:space="preserve">* La celda PV-VIH (Personas Viviendo con VIH) debe ser menor o igual al Total de Métodos. </v>
      </c>
      <c r="CE23" s="348" t="str">
        <f t="shared" si="8"/>
        <v/>
      </c>
      <c r="CF23" s="348" t="str">
        <f t="shared" si="9"/>
        <v/>
      </c>
      <c r="CG23" s="348" t="str">
        <f t="shared" si="10"/>
        <v/>
      </c>
      <c r="CH23" s="354"/>
      <c r="CI23" s="354"/>
      <c r="CJ23" s="354"/>
      <c r="CK23" s="358">
        <f t="shared" si="11"/>
        <v>1</v>
      </c>
      <c r="CL23" s="358">
        <f t="shared" si="0"/>
        <v>1</v>
      </c>
      <c r="CM23" s="358">
        <f t="shared" si="1"/>
        <v>1</v>
      </c>
      <c r="CN23" s="358">
        <f t="shared" si="2"/>
        <v>0</v>
      </c>
      <c r="CO23" s="358">
        <f t="shared" si="3"/>
        <v>0</v>
      </c>
      <c r="CP23" s="358">
        <f t="shared" si="12"/>
        <v>0</v>
      </c>
      <c r="CQ23" s="354"/>
      <c r="CR23" s="354"/>
      <c r="CS23" s="354"/>
    </row>
    <row r="24" spans="1:101" ht="23.25" customHeight="1" thickBot="1" x14ac:dyDescent="0.25">
      <c r="A24" s="1629"/>
      <c r="B24" s="1866" t="s">
        <v>508</v>
      </c>
      <c r="C24" s="1867"/>
      <c r="D24" s="528">
        <f>SUM(E24:Q24)</f>
        <v>0</v>
      </c>
      <c r="E24" s="1359">
        <f>SUM(E11:E23)</f>
        <v>0</v>
      </c>
      <c r="F24" s="529">
        <f>SUM(F11:F23)</f>
        <v>0</v>
      </c>
      <c r="G24" s="529">
        <f>SUM(G11:G23)</f>
        <v>0</v>
      </c>
      <c r="H24" s="529">
        <f t="shared" ref="H24:L24" si="13">SUM(H11:H23)</f>
        <v>0</v>
      </c>
      <c r="I24" s="529">
        <f t="shared" si="13"/>
        <v>0</v>
      </c>
      <c r="J24" s="529">
        <f t="shared" si="13"/>
        <v>0</v>
      </c>
      <c r="K24" s="529">
        <f t="shared" si="13"/>
        <v>0</v>
      </c>
      <c r="L24" s="529">
        <f t="shared" si="13"/>
        <v>0</v>
      </c>
      <c r="M24" s="529">
        <f t="shared" ref="M24:T24" si="14">SUM(M11:M23)</f>
        <v>0</v>
      </c>
      <c r="N24" s="529">
        <f t="shared" si="14"/>
        <v>0</v>
      </c>
      <c r="O24" s="1362"/>
      <c r="P24" s="1363"/>
      <c r="Q24" s="1364"/>
      <c r="R24" s="1344">
        <f t="shared" si="14"/>
        <v>0</v>
      </c>
      <c r="S24" s="1344">
        <f t="shared" si="14"/>
        <v>0</v>
      </c>
      <c r="T24" s="1345">
        <f t="shared" si="14"/>
        <v>0</v>
      </c>
      <c r="CB24" s="354" t="str">
        <f t="shared" si="5"/>
        <v/>
      </c>
      <c r="CC24" s="354" t="str">
        <f t="shared" si="6"/>
        <v/>
      </c>
      <c r="CD24" s="354" t="str">
        <f t="shared" si="7"/>
        <v/>
      </c>
      <c r="CE24" s="354" t="str">
        <f t="shared" si="8"/>
        <v/>
      </c>
      <c r="CF24" s="354" t="str">
        <f t="shared" si="9"/>
        <v/>
      </c>
      <c r="CG24" s="354" t="str">
        <f t="shared" si="10"/>
        <v/>
      </c>
      <c r="CH24" s="354"/>
      <c r="CI24" s="354"/>
      <c r="CJ24" s="354"/>
      <c r="CK24" s="354"/>
      <c r="CL24" s="354"/>
      <c r="CM24" s="354"/>
      <c r="CN24" s="354"/>
      <c r="CO24" s="354"/>
      <c r="CP24" s="354"/>
      <c r="CQ24" s="354"/>
      <c r="CR24" s="354"/>
      <c r="CS24" s="354"/>
    </row>
    <row r="25" spans="1:101" ht="21.75" customHeight="1" thickTop="1" x14ac:dyDescent="0.2">
      <c r="A25" s="1628" t="s">
        <v>906</v>
      </c>
      <c r="B25" s="1870" t="s">
        <v>878</v>
      </c>
      <c r="C25" s="1871"/>
      <c r="D25" s="530" t="s">
        <v>1550</v>
      </c>
      <c r="E25" s="1360" t="s">
        <v>1551</v>
      </c>
      <c r="F25" s="531" t="s">
        <v>1552</v>
      </c>
      <c r="G25" s="531" t="s">
        <v>1553</v>
      </c>
      <c r="H25" s="531" t="s">
        <v>1554</v>
      </c>
      <c r="I25" s="531" t="s">
        <v>1555</v>
      </c>
      <c r="J25" s="531" t="s">
        <v>1556</v>
      </c>
      <c r="K25" s="531" t="s">
        <v>1557</v>
      </c>
      <c r="L25" s="531" t="s">
        <v>1558</v>
      </c>
      <c r="M25" s="532" t="s">
        <v>1559</v>
      </c>
      <c r="N25" s="532" t="s">
        <v>1560</v>
      </c>
      <c r="O25" s="1009" t="s">
        <v>1561</v>
      </c>
      <c r="P25" s="1009" t="s">
        <v>1562</v>
      </c>
      <c r="Q25" s="507" t="s">
        <v>1563</v>
      </c>
      <c r="R25" s="503" t="s">
        <v>1564</v>
      </c>
      <c r="S25" s="503" t="s">
        <v>1565</v>
      </c>
      <c r="T25" s="1101" t="s">
        <v>1566</v>
      </c>
      <c r="U25" s="343" t="str">
        <f t="shared" si="4"/>
        <v xml:space="preserve">* La celda Pueblos Originarios debe ser menor o igual al Total de Métodos. * La celda Población Migrantes debe ser menor o igual al Total de Métodos. * La celda PV-VIH (Personas Viviendo con VIH) debe ser menor o igual al Total de Métodos. </v>
      </c>
      <c r="CB25" s="348" t="str">
        <f>IF($R25&gt;$D25,"* La celda Pueblos Originarios debe ser menor o igual al Total de Métodos. ","")</f>
        <v xml:space="preserve">* La celda Pueblos Originarios debe ser menor o igual al Total de Métodos. </v>
      </c>
      <c r="CC25" s="348" t="str">
        <f t="shared" si="6"/>
        <v xml:space="preserve">* La celda Población Migrantes debe ser menor o igual al Total de Métodos. </v>
      </c>
      <c r="CD25" s="348" t="str">
        <f t="shared" si="7"/>
        <v xml:space="preserve">* La celda PV-VIH (Personas Viviendo con VIH) debe ser menor o igual al Total de Métodos. </v>
      </c>
      <c r="CE25" s="348" t="str">
        <f t="shared" si="8"/>
        <v/>
      </c>
      <c r="CF25" s="348" t="str">
        <f t="shared" si="9"/>
        <v/>
      </c>
      <c r="CG25" s="348" t="str">
        <f t="shared" si="10"/>
        <v/>
      </c>
      <c r="CH25" s="354"/>
      <c r="CI25" s="354"/>
      <c r="CJ25" s="354"/>
      <c r="CK25" s="358">
        <f t="shared" ref="CK25:CK36" si="15">IF($R25&gt;$D25,1,0)</f>
        <v>1</v>
      </c>
      <c r="CL25" s="358">
        <f t="shared" ref="CL25:CL36" si="16">IF($S25&gt;$D25,1,0)</f>
        <v>1</v>
      </c>
      <c r="CM25" s="358">
        <f t="shared" ref="CM25:CM36" si="17">IF($T25&gt;$D25,1,0)</f>
        <v>1</v>
      </c>
      <c r="CN25" s="358">
        <f t="shared" ref="CN25:CN36" si="18">IF(AND($D25&lt;&gt;0,$R25=""),1,0)</f>
        <v>0</v>
      </c>
      <c r="CO25" s="358">
        <f t="shared" ref="CO25:CO36" si="19">IF(AND($D25&lt;&gt;0,$S25=""),1,0)</f>
        <v>0</v>
      </c>
      <c r="CP25" s="358">
        <f t="shared" ref="CP25:CP36" si="20">IF(AND($D25&lt;&gt;0,$T25=""),1,0)</f>
        <v>0</v>
      </c>
      <c r="CQ25" s="354"/>
      <c r="CR25" s="354"/>
      <c r="CS25" s="354"/>
    </row>
    <row r="26" spans="1:101" ht="20.25" customHeight="1" x14ac:dyDescent="0.2">
      <c r="A26" s="1628" t="s">
        <v>907</v>
      </c>
      <c r="B26" s="1886" t="s">
        <v>32</v>
      </c>
      <c r="C26" s="1367" t="s">
        <v>799</v>
      </c>
      <c r="D26" s="509" t="s">
        <v>1550</v>
      </c>
      <c r="E26" s="525" t="s">
        <v>1551</v>
      </c>
      <c r="F26" s="511" t="s">
        <v>1552</v>
      </c>
      <c r="G26" s="511" t="s">
        <v>1553</v>
      </c>
      <c r="H26" s="511" t="s">
        <v>1554</v>
      </c>
      <c r="I26" s="511" t="s">
        <v>1555</v>
      </c>
      <c r="J26" s="511" t="s">
        <v>1556</v>
      </c>
      <c r="K26" s="511" t="s">
        <v>1557</v>
      </c>
      <c r="L26" s="511" t="s">
        <v>1558</v>
      </c>
      <c r="M26" s="511" t="s">
        <v>1559</v>
      </c>
      <c r="N26" s="511" t="s">
        <v>1560</v>
      </c>
      <c r="O26" s="1010" t="s">
        <v>1561</v>
      </c>
      <c r="P26" s="1010" t="s">
        <v>1562</v>
      </c>
      <c r="Q26" s="1355" t="s">
        <v>1563</v>
      </c>
      <c r="R26" s="1346" t="s">
        <v>1564</v>
      </c>
      <c r="S26" s="1332" t="s">
        <v>1565</v>
      </c>
      <c r="T26" s="1333" t="s">
        <v>1566</v>
      </c>
      <c r="U26" s="343" t="str">
        <f t="shared" si="4"/>
        <v xml:space="preserve">* La celda Pueblos Originarios debe ser menor o igual al Total de Métodos. * La celda Población Migrantes debe ser menor o igual al Total de Métodos. * La celda PV-VIH (Personas Viviendo con VIH) debe ser menor o igual al Total de Métodos. </v>
      </c>
      <c r="CB26" s="348" t="str">
        <f t="shared" si="5"/>
        <v xml:space="preserve">* La celda Pueblos Originarios debe ser menor o igual al Total de Métodos. </v>
      </c>
      <c r="CC26" s="348" t="str">
        <f t="shared" si="6"/>
        <v xml:space="preserve">* La celda Población Migrantes debe ser menor o igual al Total de Métodos. </v>
      </c>
      <c r="CD26" s="348" t="str">
        <f t="shared" si="7"/>
        <v xml:space="preserve">* La celda PV-VIH (Personas Viviendo con VIH) debe ser menor o igual al Total de Métodos. </v>
      </c>
      <c r="CE26" s="348" t="str">
        <f t="shared" si="8"/>
        <v/>
      </c>
      <c r="CF26" s="348" t="str">
        <f t="shared" si="9"/>
        <v/>
      </c>
      <c r="CG26" s="348" t="str">
        <f t="shared" si="10"/>
        <v/>
      </c>
      <c r="CH26" s="354"/>
      <c r="CI26" s="354"/>
      <c r="CJ26" s="354"/>
      <c r="CK26" s="358">
        <f t="shared" si="15"/>
        <v>1</v>
      </c>
      <c r="CL26" s="358">
        <f t="shared" si="16"/>
        <v>1</v>
      </c>
      <c r="CM26" s="358">
        <f t="shared" si="17"/>
        <v>1</v>
      </c>
      <c r="CN26" s="358">
        <f t="shared" si="18"/>
        <v>0</v>
      </c>
      <c r="CO26" s="358">
        <f t="shared" si="19"/>
        <v>0</v>
      </c>
      <c r="CP26" s="358">
        <f t="shared" si="20"/>
        <v>0</v>
      </c>
      <c r="CQ26" s="354"/>
      <c r="CR26" s="354"/>
      <c r="CS26" s="354"/>
    </row>
    <row r="27" spans="1:101" ht="20.25" customHeight="1" x14ac:dyDescent="0.2">
      <c r="A27" s="1628" t="s">
        <v>908</v>
      </c>
      <c r="B27" s="1887"/>
      <c r="C27" s="1368" t="s">
        <v>800</v>
      </c>
      <c r="D27" s="502" t="s">
        <v>1550</v>
      </c>
      <c r="E27" s="1236" t="s">
        <v>1551</v>
      </c>
      <c r="F27" s="506" t="s">
        <v>1552</v>
      </c>
      <c r="G27" s="506" t="s">
        <v>1553</v>
      </c>
      <c r="H27" s="506" t="s">
        <v>1554</v>
      </c>
      <c r="I27" s="506" t="s">
        <v>1555</v>
      </c>
      <c r="J27" s="506" t="s">
        <v>1556</v>
      </c>
      <c r="K27" s="506" t="s">
        <v>1557</v>
      </c>
      <c r="L27" s="506" t="s">
        <v>1558</v>
      </c>
      <c r="M27" s="506" t="s">
        <v>1559</v>
      </c>
      <c r="N27" s="506" t="s">
        <v>1560</v>
      </c>
      <c r="O27" s="1009" t="s">
        <v>1561</v>
      </c>
      <c r="P27" s="1009" t="s">
        <v>1562</v>
      </c>
      <c r="Q27" s="507" t="s">
        <v>1563</v>
      </c>
      <c r="R27" s="1347" t="s">
        <v>1564</v>
      </c>
      <c r="S27" s="1338" t="s">
        <v>1565</v>
      </c>
      <c r="T27" s="1339" t="s">
        <v>1566</v>
      </c>
      <c r="U27" s="343" t="str">
        <f t="shared" si="4"/>
        <v xml:space="preserve">* La celda Pueblos Originarios debe ser menor o igual al Total de Métodos. * La celda Población Migrantes debe ser menor o igual al Total de Métodos. * La celda PV-VIH (Personas Viviendo con VIH) debe ser menor o igual al Total de Métodos. </v>
      </c>
      <c r="CB27" s="348" t="str">
        <f t="shared" si="5"/>
        <v xml:space="preserve">* La celda Pueblos Originarios debe ser menor o igual al Total de Métodos. </v>
      </c>
      <c r="CC27" s="348" t="str">
        <f t="shared" si="6"/>
        <v xml:space="preserve">* La celda Población Migrantes debe ser menor o igual al Total de Métodos. </v>
      </c>
      <c r="CD27" s="348" t="str">
        <f t="shared" si="7"/>
        <v xml:space="preserve">* La celda PV-VIH (Personas Viviendo con VIH) debe ser menor o igual al Total de Métodos. </v>
      </c>
      <c r="CE27" s="348" t="str">
        <f t="shared" si="8"/>
        <v/>
      </c>
      <c r="CF27" s="348" t="str">
        <f t="shared" si="9"/>
        <v/>
      </c>
      <c r="CG27" s="348" t="str">
        <f t="shared" si="10"/>
        <v/>
      </c>
      <c r="CH27" s="354"/>
      <c r="CI27" s="354"/>
      <c r="CJ27" s="354"/>
      <c r="CK27" s="354"/>
      <c r="CL27" s="354"/>
      <c r="CM27" s="354"/>
      <c r="CN27" s="354"/>
      <c r="CO27" s="354"/>
      <c r="CP27" s="354"/>
      <c r="CQ27" s="354"/>
      <c r="CR27" s="354"/>
      <c r="CS27" s="354"/>
    </row>
    <row r="28" spans="1:101" ht="20.25" customHeight="1" x14ac:dyDescent="0.2">
      <c r="A28" s="1628" t="s">
        <v>909</v>
      </c>
      <c r="B28" s="1885" t="s">
        <v>468</v>
      </c>
      <c r="C28" s="1369" t="s">
        <v>799</v>
      </c>
      <c r="D28" s="496" t="s">
        <v>1550</v>
      </c>
      <c r="E28" s="497" t="s">
        <v>1551</v>
      </c>
      <c r="F28" s="499" t="s">
        <v>1552</v>
      </c>
      <c r="G28" s="499" t="s">
        <v>1553</v>
      </c>
      <c r="H28" s="499" t="s">
        <v>1554</v>
      </c>
      <c r="I28" s="499" t="s">
        <v>1555</v>
      </c>
      <c r="J28" s="499" t="s">
        <v>1556</v>
      </c>
      <c r="K28" s="499" t="s">
        <v>1557</v>
      </c>
      <c r="L28" s="499" t="s">
        <v>1558</v>
      </c>
      <c r="M28" s="499" t="s">
        <v>1559</v>
      </c>
      <c r="N28" s="499" t="s">
        <v>1560</v>
      </c>
      <c r="O28" s="1008" t="s">
        <v>1561</v>
      </c>
      <c r="P28" s="1008" t="s">
        <v>1562</v>
      </c>
      <c r="Q28" s="1354" t="s">
        <v>1563</v>
      </c>
      <c r="R28" s="1348" t="s">
        <v>1564</v>
      </c>
      <c r="S28" s="1340" t="s">
        <v>1565</v>
      </c>
      <c r="T28" s="1341" t="s">
        <v>1566</v>
      </c>
      <c r="U28" s="343" t="str">
        <f t="shared" si="4"/>
        <v xml:space="preserve">* La celda Pueblos Originarios debe ser menor o igual al Total de Métodos. * La celda Población Migrantes debe ser menor o igual al Total de Métodos. * La celda PV-VIH (Personas Viviendo con VIH) debe ser menor o igual al Total de Métodos. </v>
      </c>
      <c r="CB28" s="348" t="str">
        <f t="shared" si="5"/>
        <v xml:space="preserve">* La celda Pueblos Originarios debe ser menor o igual al Total de Métodos. </v>
      </c>
      <c r="CC28" s="348" t="str">
        <f t="shared" si="6"/>
        <v xml:space="preserve">* La celda Población Migrantes debe ser menor o igual al Total de Métodos. </v>
      </c>
      <c r="CD28" s="348" t="str">
        <f t="shared" si="7"/>
        <v xml:space="preserve">* La celda PV-VIH (Personas Viviendo con VIH) debe ser menor o igual al Total de Métodos. </v>
      </c>
      <c r="CE28" s="348" t="str">
        <f t="shared" si="8"/>
        <v/>
      </c>
      <c r="CF28" s="348" t="str">
        <f t="shared" si="9"/>
        <v/>
      </c>
      <c r="CG28" s="348" t="str">
        <f t="shared" si="10"/>
        <v/>
      </c>
      <c r="CH28" s="354"/>
      <c r="CI28" s="354"/>
      <c r="CJ28" s="354"/>
      <c r="CK28" s="354"/>
      <c r="CL28" s="354"/>
      <c r="CM28" s="354"/>
      <c r="CN28" s="354"/>
      <c r="CO28" s="354"/>
      <c r="CP28" s="354"/>
      <c r="CQ28" s="354"/>
      <c r="CR28" s="354"/>
      <c r="CS28" s="354"/>
    </row>
    <row r="29" spans="1:101" ht="27.75" customHeight="1" x14ac:dyDescent="0.2">
      <c r="A29" s="1628" t="s">
        <v>910</v>
      </c>
      <c r="B29" s="1887"/>
      <c r="C29" s="1368" t="s">
        <v>800</v>
      </c>
      <c r="D29" s="502" t="s">
        <v>1550</v>
      </c>
      <c r="E29" s="1236" t="s">
        <v>1551</v>
      </c>
      <c r="F29" s="506" t="s">
        <v>1552</v>
      </c>
      <c r="G29" s="506" t="s">
        <v>1553</v>
      </c>
      <c r="H29" s="506" t="s">
        <v>1554</v>
      </c>
      <c r="I29" s="506" t="s">
        <v>1555</v>
      </c>
      <c r="J29" s="506" t="s">
        <v>1556</v>
      </c>
      <c r="K29" s="506" t="s">
        <v>1557</v>
      </c>
      <c r="L29" s="506" t="s">
        <v>1558</v>
      </c>
      <c r="M29" s="506" t="s">
        <v>1559</v>
      </c>
      <c r="N29" s="506" t="s">
        <v>1560</v>
      </c>
      <c r="O29" s="1009" t="s">
        <v>1561</v>
      </c>
      <c r="P29" s="1009" t="s">
        <v>1562</v>
      </c>
      <c r="Q29" s="507" t="s">
        <v>1563</v>
      </c>
      <c r="R29" s="1347" t="s">
        <v>1564</v>
      </c>
      <c r="S29" s="1338" t="s">
        <v>1565</v>
      </c>
      <c r="T29" s="1339" t="s">
        <v>1566</v>
      </c>
      <c r="U29" s="343" t="str">
        <f t="shared" si="4"/>
        <v xml:space="preserve">* La celda Pueblos Originarios debe ser menor o igual al Total de Métodos. * La celda Población Migrantes debe ser menor o igual al Total de Métodos. * La celda PV-VIH (Personas Viviendo con VIH) debe ser menor o igual al Total de Métodos. </v>
      </c>
      <c r="CB29" s="348" t="str">
        <f t="shared" si="5"/>
        <v xml:space="preserve">* La celda Pueblos Originarios debe ser menor o igual al Total de Métodos. </v>
      </c>
      <c r="CC29" s="348" t="str">
        <f t="shared" si="6"/>
        <v xml:space="preserve">* La celda Población Migrantes debe ser menor o igual al Total de Métodos. </v>
      </c>
      <c r="CD29" s="348" t="str">
        <f t="shared" si="7"/>
        <v xml:space="preserve">* La celda PV-VIH (Personas Viviendo con VIH) debe ser menor o igual al Total de Métodos. </v>
      </c>
      <c r="CE29" s="348" t="str">
        <f t="shared" si="8"/>
        <v/>
      </c>
      <c r="CF29" s="348" t="str">
        <f t="shared" si="9"/>
        <v/>
      </c>
      <c r="CG29" s="348" t="str">
        <f t="shared" si="10"/>
        <v/>
      </c>
      <c r="CH29" s="354"/>
      <c r="CI29" s="354"/>
      <c r="CJ29" s="354"/>
      <c r="CK29" s="358">
        <f t="shared" si="15"/>
        <v>1</v>
      </c>
      <c r="CL29" s="358">
        <f t="shared" si="16"/>
        <v>1</v>
      </c>
      <c r="CM29" s="358">
        <f t="shared" si="17"/>
        <v>1</v>
      </c>
      <c r="CN29" s="358">
        <f t="shared" si="18"/>
        <v>0</v>
      </c>
      <c r="CO29" s="358">
        <f t="shared" si="19"/>
        <v>0</v>
      </c>
      <c r="CP29" s="358">
        <f t="shared" si="20"/>
        <v>0</v>
      </c>
      <c r="CQ29" s="354"/>
      <c r="CR29" s="354"/>
      <c r="CS29" s="354"/>
    </row>
    <row r="30" spans="1:101" ht="23.25" customHeight="1" x14ac:dyDescent="0.2">
      <c r="A30" s="1628" t="s">
        <v>911</v>
      </c>
      <c r="B30" s="1868" t="s">
        <v>834</v>
      </c>
      <c r="C30" s="1869"/>
      <c r="D30" s="1334" t="s">
        <v>1550</v>
      </c>
      <c r="E30" s="1335" t="s">
        <v>1551</v>
      </c>
      <c r="F30" s="1336" t="s">
        <v>1552</v>
      </c>
      <c r="G30" s="1336" t="s">
        <v>1553</v>
      </c>
      <c r="H30" s="1336" t="s">
        <v>1554</v>
      </c>
      <c r="I30" s="1336" t="s">
        <v>1555</v>
      </c>
      <c r="J30" s="1336" t="s">
        <v>1556</v>
      </c>
      <c r="K30" s="1336" t="s">
        <v>1557</v>
      </c>
      <c r="L30" s="1336" t="s">
        <v>1558</v>
      </c>
      <c r="M30" s="1336" t="s">
        <v>1559</v>
      </c>
      <c r="N30" s="1336" t="s">
        <v>1560</v>
      </c>
      <c r="O30" s="1337" t="s">
        <v>1561</v>
      </c>
      <c r="P30" s="1337" t="s">
        <v>1562</v>
      </c>
      <c r="Q30" s="1361" t="s">
        <v>1563</v>
      </c>
      <c r="R30" s="1349" t="s">
        <v>1564</v>
      </c>
      <c r="S30" s="1342" t="s">
        <v>1565</v>
      </c>
      <c r="T30" s="1343" t="s">
        <v>1566</v>
      </c>
      <c r="U30" s="343" t="str">
        <f t="shared" si="4"/>
        <v xml:space="preserve">* La celda Pueblos Originarios debe ser menor o igual al Total de Métodos. * La celda Población Migrantes debe ser menor o igual al Total de Métodos. * La celda PV-VIH (Personas Viviendo con VIH) debe ser menor o igual al Total de Métodos. </v>
      </c>
      <c r="CB30" s="348" t="str">
        <f t="shared" si="5"/>
        <v xml:space="preserve">* La celda Pueblos Originarios debe ser menor o igual al Total de Métodos. </v>
      </c>
      <c r="CC30" s="348" t="str">
        <f t="shared" si="6"/>
        <v xml:space="preserve">* La celda Población Migrantes debe ser menor o igual al Total de Métodos. </v>
      </c>
      <c r="CD30" s="348" t="str">
        <f t="shared" si="7"/>
        <v xml:space="preserve">* La celda PV-VIH (Personas Viviendo con VIH) debe ser menor o igual al Total de Métodos. </v>
      </c>
      <c r="CE30" s="348" t="str">
        <f t="shared" si="8"/>
        <v/>
      </c>
      <c r="CF30" s="348" t="str">
        <f t="shared" si="9"/>
        <v/>
      </c>
      <c r="CG30" s="348" t="str">
        <f t="shared" si="10"/>
        <v/>
      </c>
      <c r="CH30" s="354"/>
      <c r="CI30" s="354"/>
      <c r="CJ30" s="354"/>
      <c r="CK30" s="358">
        <f t="shared" si="15"/>
        <v>1</v>
      </c>
      <c r="CL30" s="358">
        <f t="shared" si="16"/>
        <v>1</v>
      </c>
      <c r="CM30" s="358">
        <f t="shared" si="17"/>
        <v>1</v>
      </c>
      <c r="CN30" s="358">
        <f t="shared" si="18"/>
        <v>0</v>
      </c>
      <c r="CO30" s="358">
        <f t="shared" si="19"/>
        <v>0</v>
      </c>
      <c r="CP30" s="358">
        <f t="shared" si="20"/>
        <v>0</v>
      </c>
      <c r="CQ30" s="354"/>
      <c r="CR30" s="354"/>
      <c r="CS30" s="354"/>
    </row>
    <row r="31" spans="1:101" ht="23.25" customHeight="1" x14ac:dyDescent="0.2">
      <c r="A31" s="1628" t="s">
        <v>912</v>
      </c>
      <c r="B31" s="1846" t="s">
        <v>469</v>
      </c>
      <c r="C31" s="1847"/>
      <c r="D31" s="502" t="s">
        <v>1550</v>
      </c>
      <c r="E31" s="1236" t="s">
        <v>1551</v>
      </c>
      <c r="F31" s="506" t="s">
        <v>1552</v>
      </c>
      <c r="G31" s="506" t="s">
        <v>1553</v>
      </c>
      <c r="H31" s="506" t="s">
        <v>1554</v>
      </c>
      <c r="I31" s="506" t="s">
        <v>1555</v>
      </c>
      <c r="J31" s="506" t="s">
        <v>1556</v>
      </c>
      <c r="K31" s="506" t="s">
        <v>1557</v>
      </c>
      <c r="L31" s="506" t="s">
        <v>1558</v>
      </c>
      <c r="M31" s="506" t="s">
        <v>1559</v>
      </c>
      <c r="N31" s="506" t="s">
        <v>1560</v>
      </c>
      <c r="O31" s="1009" t="s">
        <v>1561</v>
      </c>
      <c r="P31" s="1009" t="s">
        <v>1562</v>
      </c>
      <c r="Q31" s="507" t="s">
        <v>1563</v>
      </c>
      <c r="R31" s="1347" t="s">
        <v>1564</v>
      </c>
      <c r="S31" s="503" t="s">
        <v>1565</v>
      </c>
      <c r="T31" s="1101" t="s">
        <v>1566</v>
      </c>
      <c r="U31" s="343" t="str">
        <f t="shared" si="4"/>
        <v xml:space="preserve">* La celda Pueblos Originarios debe ser menor o igual al Total de Métodos. * La celda Población Migrantes debe ser menor o igual al Total de Métodos. * La celda PV-VIH (Personas Viviendo con VIH) debe ser menor o igual al Total de Métodos. </v>
      </c>
      <c r="CB31" s="348" t="str">
        <f t="shared" si="5"/>
        <v xml:space="preserve">* La celda Pueblos Originarios debe ser menor o igual al Total de Métodos. </v>
      </c>
      <c r="CC31" s="348" t="str">
        <f t="shared" si="6"/>
        <v xml:space="preserve">* La celda Población Migrantes debe ser menor o igual al Total de Métodos. </v>
      </c>
      <c r="CD31" s="348" t="str">
        <f t="shared" si="7"/>
        <v xml:space="preserve">* La celda PV-VIH (Personas Viviendo con VIH) debe ser menor o igual al Total de Métodos. </v>
      </c>
      <c r="CE31" s="348" t="str">
        <f t="shared" si="8"/>
        <v/>
      </c>
      <c r="CF31" s="348" t="str">
        <f t="shared" si="9"/>
        <v/>
      </c>
      <c r="CG31" s="348" t="str">
        <f t="shared" si="10"/>
        <v/>
      </c>
      <c r="CH31" s="354"/>
      <c r="CI31" s="354"/>
      <c r="CJ31" s="354"/>
      <c r="CK31" s="358">
        <f t="shared" si="15"/>
        <v>1</v>
      </c>
      <c r="CL31" s="358">
        <f t="shared" si="16"/>
        <v>1</v>
      </c>
      <c r="CM31" s="358">
        <f t="shared" si="17"/>
        <v>1</v>
      </c>
      <c r="CN31" s="358">
        <f t="shared" si="18"/>
        <v>0</v>
      </c>
      <c r="CO31" s="358">
        <f t="shared" si="19"/>
        <v>0</v>
      </c>
      <c r="CP31" s="358">
        <f t="shared" si="20"/>
        <v>0</v>
      </c>
      <c r="CQ31" s="354"/>
      <c r="CR31" s="354"/>
      <c r="CS31" s="354"/>
      <c r="CW31" s="1616"/>
    </row>
    <row r="32" spans="1:101" ht="21.75" customHeight="1" x14ac:dyDescent="0.2">
      <c r="A32" s="1628" t="s">
        <v>913</v>
      </c>
      <c r="B32" s="1829" t="s">
        <v>493</v>
      </c>
      <c r="C32" s="62" t="s">
        <v>30</v>
      </c>
      <c r="D32" s="496" t="s">
        <v>1550</v>
      </c>
      <c r="E32" s="497" t="s">
        <v>1551</v>
      </c>
      <c r="F32" s="498" t="s">
        <v>1552</v>
      </c>
      <c r="G32" s="498" t="s">
        <v>1553</v>
      </c>
      <c r="H32" s="498" t="s">
        <v>1554</v>
      </c>
      <c r="I32" s="498" t="s">
        <v>1555</v>
      </c>
      <c r="J32" s="498" t="s">
        <v>1556</v>
      </c>
      <c r="K32" s="498" t="s">
        <v>1557</v>
      </c>
      <c r="L32" s="499" t="s">
        <v>1558</v>
      </c>
      <c r="M32" s="499" t="s">
        <v>1559</v>
      </c>
      <c r="N32" s="499" t="s">
        <v>1560</v>
      </c>
      <c r="O32" s="499" t="s">
        <v>1561</v>
      </c>
      <c r="P32" s="498" t="s">
        <v>1562</v>
      </c>
      <c r="Q32" s="917" t="s">
        <v>1563</v>
      </c>
      <c r="R32" s="498" t="s">
        <v>1564</v>
      </c>
      <c r="S32" s="498" t="s">
        <v>1565</v>
      </c>
      <c r="T32" s="567" t="s">
        <v>1566</v>
      </c>
      <c r="U32" s="343" t="str">
        <f t="shared" si="4"/>
        <v xml:space="preserve">* La celda Pueblos Originarios debe ser menor o igual al Total de Métodos. * La celda Población Migrantes debe ser menor o igual al Total de Métodos. * La celda PV-VIH (Personas Viviendo con VIH) debe ser menor o igual al Total de Métodos. </v>
      </c>
      <c r="CB32" s="348" t="str">
        <f t="shared" si="5"/>
        <v xml:space="preserve">* La celda Pueblos Originarios debe ser menor o igual al Total de Métodos. </v>
      </c>
      <c r="CC32" s="348" t="str">
        <f t="shared" si="6"/>
        <v xml:space="preserve">* La celda Población Migrantes debe ser menor o igual al Total de Métodos. </v>
      </c>
      <c r="CD32" s="348" t="str">
        <f t="shared" si="7"/>
        <v xml:space="preserve">* La celda PV-VIH (Personas Viviendo con VIH) debe ser menor o igual al Total de Métodos. </v>
      </c>
      <c r="CE32" s="348" t="str">
        <f t="shared" si="8"/>
        <v/>
      </c>
      <c r="CF32" s="348" t="str">
        <f t="shared" si="9"/>
        <v/>
      </c>
      <c r="CG32" s="348" t="str">
        <f t="shared" si="10"/>
        <v/>
      </c>
      <c r="CH32" s="354"/>
      <c r="CI32" s="354"/>
      <c r="CJ32" s="354"/>
      <c r="CK32" s="358">
        <f t="shared" si="15"/>
        <v>1</v>
      </c>
      <c r="CL32" s="358">
        <f t="shared" si="16"/>
        <v>1</v>
      </c>
      <c r="CM32" s="358">
        <f t="shared" si="17"/>
        <v>1</v>
      </c>
      <c r="CN32" s="358">
        <f t="shared" si="18"/>
        <v>0</v>
      </c>
      <c r="CO32" s="358">
        <f t="shared" si="19"/>
        <v>0</v>
      </c>
      <c r="CP32" s="358">
        <f t="shared" si="20"/>
        <v>0</v>
      </c>
      <c r="CQ32" s="354"/>
      <c r="CR32" s="354"/>
      <c r="CS32" s="354"/>
    </row>
    <row r="33" spans="1:97" ht="22.5" customHeight="1" x14ac:dyDescent="0.2">
      <c r="A33" s="1628" t="s">
        <v>914</v>
      </c>
      <c r="B33" s="1830"/>
      <c r="C33" s="958" t="s">
        <v>31</v>
      </c>
      <c r="D33" s="521" t="s">
        <v>1550</v>
      </c>
      <c r="E33" s="1237" t="s">
        <v>1551</v>
      </c>
      <c r="F33" s="522" t="s">
        <v>1552</v>
      </c>
      <c r="G33" s="522" t="s">
        <v>1553</v>
      </c>
      <c r="H33" s="522" t="s">
        <v>1554</v>
      </c>
      <c r="I33" s="522" t="s">
        <v>1555</v>
      </c>
      <c r="J33" s="522" t="s">
        <v>1556</v>
      </c>
      <c r="K33" s="522" t="s">
        <v>1557</v>
      </c>
      <c r="L33" s="523" t="s">
        <v>1558</v>
      </c>
      <c r="M33" s="523" t="s">
        <v>1559</v>
      </c>
      <c r="N33" s="523" t="s">
        <v>1560</v>
      </c>
      <c r="O33" s="523" t="s">
        <v>1561</v>
      </c>
      <c r="P33" s="522" t="s">
        <v>1562</v>
      </c>
      <c r="Q33" s="918" t="s">
        <v>1563</v>
      </c>
      <c r="R33" s="522" t="s">
        <v>1564</v>
      </c>
      <c r="S33" s="522" t="s">
        <v>1565</v>
      </c>
      <c r="T33" s="1103" t="s">
        <v>1566</v>
      </c>
      <c r="U33" s="343" t="str">
        <f t="shared" si="4"/>
        <v xml:space="preserve">* La celda Pueblos Originarios debe ser menor o igual al Total de Métodos. * La celda Población Migrantes debe ser menor o igual al Total de Métodos. * La celda PV-VIH (Personas Viviendo con VIH) debe ser menor o igual al Total de Métodos. </v>
      </c>
      <c r="CB33" s="348" t="str">
        <f t="shared" si="5"/>
        <v xml:space="preserve">* La celda Pueblos Originarios debe ser menor o igual al Total de Métodos. </v>
      </c>
      <c r="CC33" s="348" t="str">
        <f t="shared" si="6"/>
        <v xml:space="preserve">* La celda Población Migrantes debe ser menor o igual al Total de Métodos. </v>
      </c>
      <c r="CD33" s="348" t="str">
        <f t="shared" si="7"/>
        <v xml:space="preserve">* La celda PV-VIH (Personas Viviendo con VIH) debe ser menor o igual al Total de Métodos. </v>
      </c>
      <c r="CE33" s="348" t="str">
        <f t="shared" si="8"/>
        <v/>
      </c>
      <c r="CF33" s="348" t="str">
        <f t="shared" si="9"/>
        <v/>
      </c>
      <c r="CG33" s="348" t="str">
        <f t="shared" si="10"/>
        <v/>
      </c>
      <c r="CH33" s="354"/>
      <c r="CI33" s="354"/>
      <c r="CJ33" s="354"/>
      <c r="CK33" s="358">
        <f t="shared" si="15"/>
        <v>1</v>
      </c>
      <c r="CL33" s="358">
        <f t="shared" si="16"/>
        <v>1</v>
      </c>
      <c r="CM33" s="358">
        <f t="shared" si="17"/>
        <v>1</v>
      </c>
      <c r="CN33" s="358">
        <f t="shared" si="18"/>
        <v>0</v>
      </c>
      <c r="CO33" s="358">
        <f t="shared" si="19"/>
        <v>0</v>
      </c>
      <c r="CP33" s="358">
        <f t="shared" si="20"/>
        <v>0</v>
      </c>
      <c r="CQ33" s="354"/>
      <c r="CR33" s="354"/>
      <c r="CS33" s="354"/>
    </row>
    <row r="34" spans="1:97" ht="18.75" customHeight="1" x14ac:dyDescent="0.2">
      <c r="A34" s="1628" t="s">
        <v>915</v>
      </c>
      <c r="B34" s="1829" t="s">
        <v>466</v>
      </c>
      <c r="C34" s="62" t="s">
        <v>30</v>
      </c>
      <c r="D34" s="916" t="s">
        <v>1550</v>
      </c>
      <c r="E34" s="497" t="s">
        <v>1551</v>
      </c>
      <c r="F34" s="499" t="s">
        <v>1552</v>
      </c>
      <c r="G34" s="499" t="s">
        <v>1553</v>
      </c>
      <c r="H34" s="499" t="s">
        <v>1554</v>
      </c>
      <c r="I34" s="499" t="s">
        <v>1555</v>
      </c>
      <c r="J34" s="499" t="s">
        <v>1556</v>
      </c>
      <c r="K34" s="499" t="s">
        <v>1557</v>
      </c>
      <c r="L34" s="499" t="s">
        <v>1558</v>
      </c>
      <c r="M34" s="499" t="s">
        <v>1559</v>
      </c>
      <c r="N34" s="499" t="s">
        <v>1560</v>
      </c>
      <c r="O34" s="499" t="s">
        <v>1561</v>
      </c>
      <c r="P34" s="498" t="s">
        <v>1562</v>
      </c>
      <c r="Q34" s="917" t="s">
        <v>1563</v>
      </c>
      <c r="R34" s="498" t="s">
        <v>1564</v>
      </c>
      <c r="S34" s="498" t="s">
        <v>1565</v>
      </c>
      <c r="T34" s="567" t="s">
        <v>1566</v>
      </c>
      <c r="U34" s="343" t="str">
        <f t="shared" si="4"/>
        <v xml:space="preserve">* La celda Pueblos Originarios debe ser menor o igual al Total de Métodos. * La celda Población Migrantes debe ser menor o igual al Total de Métodos. * La celda PV-VIH (Personas Viviendo con VIH) debe ser menor o igual al Total de Métodos. </v>
      </c>
      <c r="CB34" s="348" t="str">
        <f t="shared" si="5"/>
        <v xml:space="preserve">* La celda Pueblos Originarios debe ser menor o igual al Total de Métodos. </v>
      </c>
      <c r="CC34" s="348" t="str">
        <f t="shared" si="6"/>
        <v xml:space="preserve">* La celda Población Migrantes debe ser menor o igual al Total de Métodos. </v>
      </c>
      <c r="CD34" s="348" t="str">
        <f t="shared" si="7"/>
        <v xml:space="preserve">* La celda PV-VIH (Personas Viviendo con VIH) debe ser menor o igual al Total de Métodos. </v>
      </c>
      <c r="CE34" s="348" t="str">
        <f t="shared" si="8"/>
        <v/>
      </c>
      <c r="CF34" s="348" t="str">
        <f t="shared" si="9"/>
        <v/>
      </c>
      <c r="CG34" s="348" t="str">
        <f t="shared" si="10"/>
        <v/>
      </c>
      <c r="CH34" s="354"/>
      <c r="CI34" s="354"/>
      <c r="CJ34" s="354"/>
      <c r="CK34" s="358">
        <f t="shared" si="15"/>
        <v>1</v>
      </c>
      <c r="CL34" s="358">
        <f t="shared" si="16"/>
        <v>1</v>
      </c>
      <c r="CM34" s="358">
        <f t="shared" si="17"/>
        <v>1</v>
      </c>
      <c r="CN34" s="358">
        <f t="shared" si="18"/>
        <v>0</v>
      </c>
      <c r="CO34" s="358">
        <f t="shared" si="19"/>
        <v>0</v>
      </c>
      <c r="CP34" s="358">
        <f t="shared" si="20"/>
        <v>0</v>
      </c>
      <c r="CQ34" s="354"/>
      <c r="CR34" s="354"/>
      <c r="CS34" s="354"/>
    </row>
    <row r="35" spans="1:97" ht="24" customHeight="1" x14ac:dyDescent="0.2">
      <c r="A35" s="1628" t="s">
        <v>916</v>
      </c>
      <c r="B35" s="1830"/>
      <c r="C35" s="959" t="s">
        <v>31</v>
      </c>
      <c r="D35" s="915" t="s">
        <v>1550</v>
      </c>
      <c r="E35" s="1236" t="s">
        <v>1551</v>
      </c>
      <c r="F35" s="506" t="s">
        <v>1552</v>
      </c>
      <c r="G35" s="506" t="s">
        <v>1553</v>
      </c>
      <c r="H35" s="506" t="s">
        <v>1554</v>
      </c>
      <c r="I35" s="506" t="s">
        <v>1555</v>
      </c>
      <c r="J35" s="506" t="s">
        <v>1556</v>
      </c>
      <c r="K35" s="506" t="s">
        <v>1557</v>
      </c>
      <c r="L35" s="506" t="s">
        <v>1558</v>
      </c>
      <c r="M35" s="506" t="s">
        <v>1559</v>
      </c>
      <c r="N35" s="506" t="s">
        <v>1560</v>
      </c>
      <c r="O35" s="506" t="s">
        <v>1561</v>
      </c>
      <c r="P35" s="503" t="s">
        <v>1562</v>
      </c>
      <c r="Q35" s="919" t="s">
        <v>1563</v>
      </c>
      <c r="R35" s="503" t="s">
        <v>1564</v>
      </c>
      <c r="S35" s="503" t="s">
        <v>1565</v>
      </c>
      <c r="T35" s="1101" t="s">
        <v>1566</v>
      </c>
      <c r="U35" s="343" t="str">
        <f t="shared" si="4"/>
        <v xml:space="preserve">* La celda Pueblos Originarios debe ser menor o igual al Total de Métodos. * La celda Población Migrantes debe ser menor o igual al Total de Métodos. * La celda PV-VIH (Personas Viviendo con VIH) debe ser menor o igual al Total de Métodos. </v>
      </c>
      <c r="CB35" s="348" t="str">
        <f t="shared" si="5"/>
        <v xml:space="preserve">* La celda Pueblos Originarios debe ser menor o igual al Total de Métodos. </v>
      </c>
      <c r="CC35" s="348" t="str">
        <f t="shared" si="6"/>
        <v xml:space="preserve">* La celda Población Migrantes debe ser menor o igual al Total de Métodos. </v>
      </c>
      <c r="CD35" s="348" t="str">
        <f t="shared" si="7"/>
        <v xml:space="preserve">* La celda PV-VIH (Personas Viviendo con VIH) debe ser menor o igual al Total de Métodos. </v>
      </c>
      <c r="CE35" s="348" t="str">
        <f t="shared" si="8"/>
        <v/>
      </c>
      <c r="CF35" s="348" t="str">
        <f t="shared" si="9"/>
        <v/>
      </c>
      <c r="CG35" s="348" t="str">
        <f t="shared" si="10"/>
        <v/>
      </c>
      <c r="CH35" s="354"/>
      <c r="CI35" s="354"/>
      <c r="CJ35" s="354"/>
      <c r="CK35" s="358">
        <f t="shared" si="15"/>
        <v>1</v>
      </c>
      <c r="CL35" s="358">
        <f t="shared" si="16"/>
        <v>1</v>
      </c>
      <c r="CM35" s="358">
        <f t="shared" si="17"/>
        <v>1</v>
      </c>
      <c r="CN35" s="358">
        <f t="shared" si="18"/>
        <v>0</v>
      </c>
      <c r="CO35" s="358">
        <f t="shared" si="19"/>
        <v>0</v>
      </c>
      <c r="CP35" s="358">
        <f t="shared" si="20"/>
        <v>0</v>
      </c>
      <c r="CQ35" s="354"/>
      <c r="CR35" s="354"/>
      <c r="CS35" s="354"/>
    </row>
    <row r="36" spans="1:97" ht="20.25" customHeight="1" x14ac:dyDescent="0.2">
      <c r="A36" s="1630" t="s">
        <v>917</v>
      </c>
      <c r="B36" s="1860" t="s">
        <v>544</v>
      </c>
      <c r="C36" s="1861"/>
      <c r="D36" s="915" t="s">
        <v>1550</v>
      </c>
      <c r="E36" s="1236" t="s">
        <v>1551</v>
      </c>
      <c r="F36" s="506" t="s">
        <v>1552</v>
      </c>
      <c r="G36" s="506" t="s">
        <v>1553</v>
      </c>
      <c r="H36" s="506" t="s">
        <v>1554</v>
      </c>
      <c r="I36" s="506" t="s">
        <v>1555</v>
      </c>
      <c r="J36" s="506" t="s">
        <v>1556</v>
      </c>
      <c r="K36" s="506" t="s">
        <v>1557</v>
      </c>
      <c r="L36" s="506" t="s">
        <v>1558</v>
      </c>
      <c r="M36" s="506" t="s">
        <v>1559</v>
      </c>
      <c r="N36" s="506" t="s">
        <v>1560</v>
      </c>
      <c r="O36" s="506" t="s">
        <v>1561</v>
      </c>
      <c r="P36" s="503" t="s">
        <v>1562</v>
      </c>
      <c r="Q36" s="919" t="s">
        <v>1563</v>
      </c>
      <c r="R36" s="503" t="s">
        <v>1564</v>
      </c>
      <c r="S36" s="503" t="s">
        <v>1565</v>
      </c>
      <c r="T36" s="1101" t="s">
        <v>1566</v>
      </c>
      <c r="U36" s="343" t="str">
        <f t="shared" si="4"/>
        <v xml:space="preserve">* La celda Pueblos Originarios debe ser menor o igual al Total de Métodos. * La celda Población Migrantes debe ser menor o igual al Total de Métodos. * La celda PV-VIH (Personas Viviendo con VIH) debe ser menor o igual al Total de Métodos. </v>
      </c>
      <c r="CB36" s="348" t="str">
        <f t="shared" si="5"/>
        <v xml:space="preserve">* La celda Pueblos Originarios debe ser menor o igual al Total de Métodos. </v>
      </c>
      <c r="CC36" s="348" t="str">
        <f t="shared" si="6"/>
        <v xml:space="preserve">* La celda Población Migrantes debe ser menor o igual al Total de Métodos. </v>
      </c>
      <c r="CD36" s="348" t="str">
        <f t="shared" si="7"/>
        <v xml:space="preserve">* La celda PV-VIH (Personas Viviendo con VIH) debe ser menor o igual al Total de Métodos. </v>
      </c>
      <c r="CE36" s="348" t="str">
        <f t="shared" si="8"/>
        <v/>
      </c>
      <c r="CF36" s="348" t="str">
        <f t="shared" si="9"/>
        <v/>
      </c>
      <c r="CG36" s="348" t="str">
        <f t="shared" si="10"/>
        <v/>
      </c>
      <c r="CH36" s="354"/>
      <c r="CI36" s="354"/>
      <c r="CJ36" s="354"/>
      <c r="CK36" s="358">
        <f t="shared" si="15"/>
        <v>1</v>
      </c>
      <c r="CL36" s="358">
        <f t="shared" si="16"/>
        <v>1</v>
      </c>
      <c r="CM36" s="358">
        <f t="shared" si="17"/>
        <v>1</v>
      </c>
      <c r="CN36" s="358">
        <f t="shared" si="18"/>
        <v>0</v>
      </c>
      <c r="CO36" s="358">
        <f t="shared" si="19"/>
        <v>0</v>
      </c>
      <c r="CP36" s="358">
        <f t="shared" si="20"/>
        <v>0</v>
      </c>
      <c r="CQ36" s="354"/>
      <c r="CR36" s="354"/>
      <c r="CS36" s="354"/>
    </row>
    <row r="37" spans="1:97" ht="28.5" customHeight="1" x14ac:dyDescent="0.3">
      <c r="B37" s="1851" t="s">
        <v>656</v>
      </c>
      <c r="C37" s="1852"/>
      <c r="D37" s="1852"/>
      <c r="E37" s="1853"/>
      <c r="F37" s="1853"/>
      <c r="G37" s="1853"/>
      <c r="H37" s="57"/>
      <c r="I37" s="57"/>
      <c r="CB37" s="354"/>
      <c r="CC37" s="354"/>
      <c r="CD37" s="354"/>
      <c r="CE37" s="354"/>
      <c r="CF37" s="354"/>
      <c r="CG37" s="354"/>
      <c r="CH37" s="354"/>
      <c r="CI37" s="354"/>
      <c r="CJ37" s="354"/>
      <c r="CK37" s="354"/>
      <c r="CL37" s="354"/>
      <c r="CM37" s="354"/>
      <c r="CN37" s="354"/>
      <c r="CO37" s="354"/>
      <c r="CP37" s="354"/>
      <c r="CQ37" s="354"/>
      <c r="CR37" s="354"/>
      <c r="CS37" s="354"/>
    </row>
    <row r="38" spans="1:97" ht="15.75" customHeight="1" x14ac:dyDescent="0.2">
      <c r="B38" s="1857" t="s">
        <v>33</v>
      </c>
      <c r="C38" s="1859" t="s">
        <v>34</v>
      </c>
      <c r="D38" s="1892" t="s">
        <v>35</v>
      </c>
      <c r="E38" s="1858" t="s">
        <v>36</v>
      </c>
      <c r="F38" s="1858" t="s">
        <v>346</v>
      </c>
      <c r="G38" s="1855" t="s">
        <v>835</v>
      </c>
      <c r="H38" s="344"/>
      <c r="CB38" s="354"/>
      <c r="CC38" s="354"/>
      <c r="CD38" s="354"/>
      <c r="CE38" s="354"/>
      <c r="CF38" s="354"/>
      <c r="CG38" s="354"/>
      <c r="CH38" s="354"/>
      <c r="CI38" s="354"/>
      <c r="CJ38" s="354"/>
      <c r="CK38" s="354"/>
      <c r="CL38" s="354"/>
      <c r="CM38" s="354"/>
      <c r="CN38" s="354"/>
      <c r="CO38" s="354"/>
      <c r="CP38" s="354"/>
      <c r="CQ38" s="354"/>
      <c r="CR38" s="354"/>
      <c r="CS38" s="354"/>
    </row>
    <row r="39" spans="1:97" ht="32.25" customHeight="1" x14ac:dyDescent="0.2">
      <c r="B39" s="1857"/>
      <c r="C39" s="1859"/>
      <c r="D39" s="1892"/>
      <c r="E39" s="1830"/>
      <c r="F39" s="1830"/>
      <c r="G39" s="1856"/>
      <c r="CB39" s="354"/>
      <c r="CC39" s="354"/>
      <c r="CD39" s="354"/>
      <c r="CE39" s="354"/>
      <c r="CF39" s="354"/>
      <c r="CG39" s="354"/>
      <c r="CH39" s="354"/>
      <c r="CI39" s="354"/>
      <c r="CJ39" s="354"/>
      <c r="CK39" s="354"/>
      <c r="CL39" s="354"/>
      <c r="CM39" s="354"/>
      <c r="CN39" s="354"/>
      <c r="CO39" s="354"/>
      <c r="CP39" s="354"/>
      <c r="CQ39" s="354"/>
      <c r="CR39" s="354"/>
      <c r="CS39" s="354"/>
    </row>
    <row r="40" spans="1:97" ht="15.75" customHeight="1" x14ac:dyDescent="0.2">
      <c r="A40" s="1628" t="s">
        <v>918</v>
      </c>
      <c r="B40" s="64" t="s">
        <v>37</v>
      </c>
      <c r="C40" s="533" t="s">
        <v>1550</v>
      </c>
      <c r="D40" s="534" t="s">
        <v>1551</v>
      </c>
      <c r="E40" s="541" t="s">
        <v>1552</v>
      </c>
      <c r="F40" s="541" t="s">
        <v>1553</v>
      </c>
      <c r="G40" s="501" t="s">
        <v>1554</v>
      </c>
      <c r="H40" s="343" t="str">
        <f>($CB40&amp;$CC40&amp;$CD40&amp;$CE40&amp;$CF40&amp;$CG40)</f>
        <v xml:space="preserve">* Las Gestantes Menores de 15 años con violencia de género deben estar incluidas en las Gestantes con riesgo psicosocial. * Las Gestantes Menores de 15 años con Riesgo Psicosocial deben estar incluidas en el Total de Gestantes en Control misma edad. * Las Gestantes Menores de 15 años que presentan ARO deben estar incluidas en el Total de Gestantes en Control misma edad. * Las Gestantes que pertenecen a 'Población Migrantes' no debe ser mayor al Total de Gestantes en Control misma edad. </v>
      </c>
      <c r="CB40" s="348" t="str">
        <f>IF($D40&lt;$E40,"* Las Gestantes Menores de 15 años con violencia de género deben estar incluidas en las Gestantes con riesgo psicosocial. ","")</f>
        <v xml:space="preserve">* Las Gestantes Menores de 15 años con violencia de género deben estar incluidas en las Gestantes con riesgo psicosocial. </v>
      </c>
      <c r="CC40" s="348" t="str">
        <f>IF($C40&lt;$D40,"* Las Gestantes Menores de 15 años con Riesgo Psicosocial deben estar incluidas en el Total de Gestantes en Control misma edad. ","")</f>
        <v xml:space="preserve">* Las Gestantes Menores de 15 años con Riesgo Psicosocial deben estar incluidas en el Total de Gestantes en Control misma edad. </v>
      </c>
      <c r="CD40" s="348" t="str">
        <f>IF($C40&lt;$F40,"* Las Gestantes Menores de 15 años que presentan ARO deben estar incluidas en el Total de Gestantes en Control misma edad. ","")</f>
        <v xml:space="preserve">* Las Gestantes Menores de 15 años que presentan ARO deben estar incluidas en el Total de Gestantes en Control misma edad. </v>
      </c>
      <c r="CE40" s="348" t="str">
        <f>IF($C40&lt;$G40,"* Las Gestantes que pertenecen a 'Población Migrantes' no debe ser mayor al Total de Gestantes en Control misma edad. ","")</f>
        <v xml:space="preserve">* Las Gestantes que pertenecen a 'Población Migrantes' no debe ser mayor al Total de Gestantes en Control misma edad. </v>
      </c>
      <c r="CF40" s="348" t="str">
        <f t="shared" ref="CF40:CF48" si="21">IF(AND(C40&lt;&gt;0,G40=""),"* No olvide escribir en la celda de 'Población Migrantes' (Digite CERO si no tiene). ","")</f>
        <v/>
      </c>
      <c r="CG40" s="348"/>
      <c r="CH40" s="354"/>
      <c r="CI40" s="354"/>
      <c r="CJ40" s="354"/>
      <c r="CK40" s="358">
        <f>IF($D40&lt;$E40,1,0)</f>
        <v>1</v>
      </c>
      <c r="CL40" s="358">
        <f>IF($C40&lt;$D40,1,0)</f>
        <v>1</v>
      </c>
      <c r="CM40" s="358">
        <f>IF($C40&lt;$F40,1,0)</f>
        <v>1</v>
      </c>
      <c r="CN40" s="358">
        <f>IF($C40&lt;$G40,1,0)</f>
        <v>1</v>
      </c>
      <c r="CO40" s="358">
        <f t="shared" ref="CO40:CO48" si="22">IF(AND(C40&lt;&gt;0,G40=""),1,0)</f>
        <v>0</v>
      </c>
      <c r="CP40" s="354"/>
      <c r="CQ40" s="354"/>
      <c r="CR40" s="354"/>
      <c r="CS40" s="354"/>
    </row>
    <row r="41" spans="1:97" ht="15.75" customHeight="1" x14ac:dyDescent="0.2">
      <c r="A41" s="1628" t="s">
        <v>919</v>
      </c>
      <c r="B41" s="66" t="s">
        <v>17</v>
      </c>
      <c r="C41" s="535" t="s">
        <v>1550</v>
      </c>
      <c r="D41" s="536" t="s">
        <v>1551</v>
      </c>
      <c r="E41" s="542" t="s">
        <v>1552</v>
      </c>
      <c r="F41" s="542" t="s">
        <v>1553</v>
      </c>
      <c r="G41" s="516" t="s">
        <v>1554</v>
      </c>
      <c r="H41" s="343" t="str">
        <f t="shared" ref="H41:H48" si="23">($CB41&amp;$CC41&amp;$CD41&amp;$CE41&amp;$CF41&amp;$CG41)</f>
        <v xml:space="preserve">* Las Gestantes de 15 a 19 años con violencia de género deben estar incluidas en las Gestantes con riesgo psicosocial. * Las Gestantes de 15 a 19 años con Riesgo Psicosocial deben estar incluidas en el Total de Gestantes en Control misma edad. * Las Gestantes de 15 a 19 años que presentan ARO deben estar incluidas en el Total de Gestantes en Control misma edad. * Las Gestantes que pertenecen a 'Población Migrantes' no debe ser mayor al Total de Gestantes en Control misma edad. </v>
      </c>
      <c r="CB41" s="348" t="str">
        <f>IF($D41&lt;$E41,"* Las Gestantes de 15 a 19 años con violencia de género deben estar incluidas en las Gestantes con riesgo psicosocial. ","")</f>
        <v xml:space="preserve">* Las Gestantes de 15 a 19 años con violencia de género deben estar incluidas en las Gestantes con riesgo psicosocial. </v>
      </c>
      <c r="CC41" s="348" t="str">
        <f>IF($C41&lt;$D41,"* Las Gestantes de 15 a 19 años con Riesgo Psicosocial deben estar incluidas en el Total de Gestantes en Control misma edad. ","")</f>
        <v xml:space="preserve">* Las Gestantes de 15 a 19 años con Riesgo Psicosocial deben estar incluidas en el Total de Gestantes en Control misma edad. </v>
      </c>
      <c r="CD41" s="348" t="str">
        <f>IF($C41&lt;$F41,"* Las Gestantes de 15 a 19 años que presentan ARO deben estar incluidas en el Total de Gestantes en Control misma edad. ","")</f>
        <v xml:space="preserve">* Las Gestantes de 15 a 19 años que presentan ARO deben estar incluidas en el Total de Gestantes en Control misma edad. </v>
      </c>
      <c r="CE41" s="348" t="str">
        <f t="shared" ref="CE41:CE48" si="24">IF($C41&lt;$G41,"* Las Gestantes que pertenecen a 'Población Migrantes' no debe ser mayor al Total de Gestantes en Control misma edad. ","")</f>
        <v xml:space="preserve">* Las Gestantes que pertenecen a 'Población Migrantes' no debe ser mayor al Total de Gestantes en Control misma edad. </v>
      </c>
      <c r="CF41" s="348" t="str">
        <f t="shared" si="21"/>
        <v/>
      </c>
      <c r="CG41" s="348"/>
      <c r="CH41" s="354"/>
      <c r="CI41" s="354"/>
      <c r="CJ41" s="354"/>
      <c r="CK41" s="358">
        <f t="shared" ref="CK41:CK48" si="25">IF($D41&lt;$E41,1,0)</f>
        <v>1</v>
      </c>
      <c r="CL41" s="358">
        <f t="shared" ref="CL41:CL48" si="26">IF($C41&lt;$D41,1,0)</f>
        <v>1</v>
      </c>
      <c r="CM41" s="358">
        <f t="shared" ref="CM41:CM48" si="27">IF($C41&lt;$F41,1,0)</f>
        <v>1</v>
      </c>
      <c r="CN41" s="358">
        <f t="shared" ref="CN41:CN48" si="28">IF($C41&lt;$G41,1,0)</f>
        <v>1</v>
      </c>
      <c r="CO41" s="358">
        <f t="shared" si="22"/>
        <v>0</v>
      </c>
      <c r="CP41" s="354"/>
      <c r="CQ41" s="354"/>
      <c r="CR41" s="354"/>
      <c r="CS41" s="354"/>
    </row>
    <row r="42" spans="1:97" ht="15.75" customHeight="1" x14ac:dyDescent="0.2">
      <c r="A42" s="1628" t="s">
        <v>920</v>
      </c>
      <c r="B42" s="66" t="s">
        <v>18</v>
      </c>
      <c r="C42" s="535" t="s">
        <v>1550</v>
      </c>
      <c r="D42" s="536" t="s">
        <v>1551</v>
      </c>
      <c r="E42" s="542" t="s">
        <v>1552</v>
      </c>
      <c r="F42" s="542" t="s">
        <v>1553</v>
      </c>
      <c r="G42" s="516" t="s">
        <v>1554</v>
      </c>
      <c r="H42" s="343" t="str">
        <f t="shared" si="23"/>
        <v xml:space="preserve">* Las Gestantes de 20 a 24 años con violencia de género deben estar incluidas en las Gestantes con riesgo psicosocial. * Las Gestantes de 20 a 24 años con Riesgo Psicosocial deben estar incluidas en el Total de Gestantes en Control misma edad. * Las Gestantes de 20 a 24 años que presentan ARO deben estar incluidas en el Total de Gestantes en Control misma edad. * Las Gestantes que pertenecen a 'Población Migrantes' no debe ser mayor al Total de Gestantes en Control misma edad. </v>
      </c>
      <c r="CB42" s="348" t="str">
        <f>IF($D42&lt;$E42,"* Las Gestantes de 20 a 24 años con violencia de género deben estar incluidas en las Gestantes con riesgo psicosocial. ","")</f>
        <v xml:space="preserve">* Las Gestantes de 20 a 24 años con violencia de género deben estar incluidas en las Gestantes con riesgo psicosocial. </v>
      </c>
      <c r="CC42" s="348" t="str">
        <f>IF($C42&lt;$D42,"* Las Gestantes de 20 a 24 años con Riesgo Psicosocial deben estar incluidas en el Total de Gestantes en Control misma edad. ","")</f>
        <v xml:space="preserve">* Las Gestantes de 20 a 24 años con Riesgo Psicosocial deben estar incluidas en el Total de Gestantes en Control misma edad. </v>
      </c>
      <c r="CD42" s="348" t="str">
        <f>IF($C42&lt;$F42,"* Las Gestantes de 20 a 24 años que presentan ARO deben estar incluidas en el Total de Gestantes en Control misma edad. ","")</f>
        <v xml:space="preserve">* Las Gestantes de 20 a 24 años que presentan ARO deben estar incluidas en el Total de Gestantes en Control misma edad. </v>
      </c>
      <c r="CE42" s="348" t="str">
        <f t="shared" si="24"/>
        <v xml:space="preserve">* Las Gestantes que pertenecen a 'Población Migrantes' no debe ser mayor al Total de Gestantes en Control misma edad. </v>
      </c>
      <c r="CF42" s="348" t="str">
        <f t="shared" si="21"/>
        <v/>
      </c>
      <c r="CG42" s="348"/>
      <c r="CH42" s="354"/>
      <c r="CI42" s="354"/>
      <c r="CJ42" s="354"/>
      <c r="CK42" s="358">
        <f t="shared" si="25"/>
        <v>1</v>
      </c>
      <c r="CL42" s="358">
        <f t="shared" si="26"/>
        <v>1</v>
      </c>
      <c r="CM42" s="358">
        <f t="shared" si="27"/>
        <v>1</v>
      </c>
      <c r="CN42" s="358">
        <f t="shared" si="28"/>
        <v>1</v>
      </c>
      <c r="CO42" s="358">
        <f t="shared" si="22"/>
        <v>0</v>
      </c>
      <c r="CP42" s="354"/>
      <c r="CQ42" s="354"/>
      <c r="CR42" s="354"/>
      <c r="CS42" s="354"/>
    </row>
    <row r="43" spans="1:97" ht="15.75" customHeight="1" x14ac:dyDescent="0.2">
      <c r="A43" s="1628" t="s">
        <v>921</v>
      </c>
      <c r="B43" s="66" t="s">
        <v>19</v>
      </c>
      <c r="C43" s="537" t="s">
        <v>1550</v>
      </c>
      <c r="D43" s="538" t="s">
        <v>1551</v>
      </c>
      <c r="E43" s="549" t="s">
        <v>1552</v>
      </c>
      <c r="F43" s="549" t="s">
        <v>1553</v>
      </c>
      <c r="G43" s="519" t="s">
        <v>1554</v>
      </c>
      <c r="H43" s="343" t="str">
        <f t="shared" si="23"/>
        <v xml:space="preserve">* Las Gestantes de 25 a 29 años con violencia de género deben estar incluidas en las Gestantes con riesgo psicosocial. * Las Gestantes de 25 a 29 años con Riesgo Psicosocial deben estar incluidas en el Total de Gestantes en Control misma edad. * Las Gestantes de 25 a 29 años que presentan ARO deben estar incluidas en el Total de Gestantes en Control misma edad. * Las Gestantes que pertenecen a 'Población Migrantes' no debe ser mayor al Total de Gestantes en Control misma edad. </v>
      </c>
      <c r="CB43" s="348" t="str">
        <f>IF($D43&lt;$E43,"* Las Gestantes de 25 a 29 años con violencia de género deben estar incluidas en las Gestantes con riesgo psicosocial. ","")</f>
        <v xml:space="preserve">* Las Gestantes de 25 a 29 años con violencia de género deben estar incluidas en las Gestantes con riesgo psicosocial. </v>
      </c>
      <c r="CC43" s="348" t="str">
        <f>IF($C43&lt;$D43,"* Las Gestantes de 25 a 29 años con Riesgo Psicosocial deben estar incluidas en el Total de Gestantes en Control misma edad. ","")</f>
        <v xml:space="preserve">* Las Gestantes de 25 a 29 años con Riesgo Psicosocial deben estar incluidas en el Total de Gestantes en Control misma edad. </v>
      </c>
      <c r="CD43" s="348" t="str">
        <f>IF($C43&lt;$F43,"* Las Gestantes de 25 a 29 años que presentan ARO deben estar incluidas en el Total de Gestantes en Control misma edad. ","")</f>
        <v xml:space="preserve">* Las Gestantes de 25 a 29 años que presentan ARO deben estar incluidas en el Total de Gestantes en Control misma edad. </v>
      </c>
      <c r="CE43" s="348" t="str">
        <f t="shared" si="24"/>
        <v xml:space="preserve">* Las Gestantes que pertenecen a 'Población Migrantes' no debe ser mayor al Total de Gestantes en Control misma edad. </v>
      </c>
      <c r="CF43" s="348" t="str">
        <f t="shared" si="21"/>
        <v/>
      </c>
      <c r="CG43" s="348"/>
      <c r="CH43" s="354"/>
      <c r="CI43" s="354"/>
      <c r="CJ43" s="354"/>
      <c r="CK43" s="358">
        <f t="shared" si="25"/>
        <v>1</v>
      </c>
      <c r="CL43" s="358">
        <f t="shared" si="26"/>
        <v>1</v>
      </c>
      <c r="CM43" s="358">
        <f t="shared" si="27"/>
        <v>1</v>
      </c>
      <c r="CN43" s="358">
        <f t="shared" si="28"/>
        <v>1</v>
      </c>
      <c r="CO43" s="358">
        <f t="shared" si="22"/>
        <v>0</v>
      </c>
      <c r="CP43" s="354"/>
      <c r="CQ43" s="354"/>
      <c r="CR43" s="354"/>
      <c r="CS43" s="354"/>
    </row>
    <row r="44" spans="1:97" ht="15.75" customHeight="1" x14ac:dyDescent="0.2">
      <c r="A44" s="1628" t="s">
        <v>922</v>
      </c>
      <c r="B44" s="66" t="s">
        <v>20</v>
      </c>
      <c r="C44" s="537" t="s">
        <v>1550</v>
      </c>
      <c r="D44" s="538" t="s">
        <v>1551</v>
      </c>
      <c r="E44" s="549" t="s">
        <v>1552</v>
      </c>
      <c r="F44" s="549" t="s">
        <v>1553</v>
      </c>
      <c r="G44" s="519" t="s">
        <v>1554</v>
      </c>
      <c r="H44" s="343" t="str">
        <f t="shared" si="23"/>
        <v xml:space="preserve">* Las Gestantes de 30 a 34 años con violencia de género deben estar incluidas en las Gestantes con riesgo psicosocial. * Las Gestantes de 30 a 34 años con Riesgo Psicosocial deben estar incluidas en el Total de Gestantes en Control misma edad. * Las Gestantes de 30 a 34 años que presentan ARO deben estar incluidas en el Total de Gestantes en Control misma edad. * Las Gestantes que pertenecen a 'Población Migrantes' no debe ser mayor al Total de Gestantes en Control misma edad. </v>
      </c>
      <c r="CB44" s="348" t="str">
        <f>IF($D44&lt;$E44,"* Las Gestantes de 30 a 34 años con violencia de género deben estar incluidas en las Gestantes con riesgo psicosocial. ","")</f>
        <v xml:space="preserve">* Las Gestantes de 30 a 34 años con violencia de género deben estar incluidas en las Gestantes con riesgo psicosocial. </v>
      </c>
      <c r="CC44" s="348" t="str">
        <f>IF($C44&lt;$D44,"* Las Gestantes de 30 a 34 años con Riesgo Psicosocial deben estar incluidas en el Total de Gestantes en Control misma edad. ","")</f>
        <v xml:space="preserve">* Las Gestantes de 30 a 34 años con Riesgo Psicosocial deben estar incluidas en el Total de Gestantes en Control misma edad. </v>
      </c>
      <c r="CD44" s="348" t="str">
        <f>IF($C44&lt;$F44,"* Las Gestantes de 30 a 34 años que presentan ARO deben estar incluidas en el Total de Gestantes en Control misma edad. ","")</f>
        <v xml:space="preserve">* Las Gestantes de 30 a 34 años que presentan ARO deben estar incluidas en el Total de Gestantes en Control misma edad. </v>
      </c>
      <c r="CE44" s="348" t="str">
        <f t="shared" si="24"/>
        <v xml:space="preserve">* Las Gestantes que pertenecen a 'Población Migrantes' no debe ser mayor al Total de Gestantes en Control misma edad. </v>
      </c>
      <c r="CF44" s="348" t="str">
        <f t="shared" si="21"/>
        <v/>
      </c>
      <c r="CG44" s="348"/>
      <c r="CH44" s="354"/>
      <c r="CI44" s="354"/>
      <c r="CJ44" s="354"/>
      <c r="CK44" s="358">
        <f t="shared" si="25"/>
        <v>1</v>
      </c>
      <c r="CL44" s="358">
        <f t="shared" si="26"/>
        <v>1</v>
      </c>
      <c r="CM44" s="358">
        <f t="shared" si="27"/>
        <v>1</v>
      </c>
      <c r="CN44" s="358">
        <f t="shared" si="28"/>
        <v>1</v>
      </c>
      <c r="CO44" s="358">
        <f t="shared" si="22"/>
        <v>0</v>
      </c>
      <c r="CP44" s="354"/>
      <c r="CQ44" s="354"/>
      <c r="CR44" s="354"/>
      <c r="CS44" s="354"/>
    </row>
    <row r="45" spans="1:97" ht="15.75" customHeight="1" x14ac:dyDescent="0.2">
      <c r="A45" s="1628" t="s">
        <v>923</v>
      </c>
      <c r="B45" s="66" t="s">
        <v>21</v>
      </c>
      <c r="C45" s="537" t="s">
        <v>1550</v>
      </c>
      <c r="D45" s="538" t="s">
        <v>1551</v>
      </c>
      <c r="E45" s="549" t="s">
        <v>1552</v>
      </c>
      <c r="F45" s="549" t="s">
        <v>1553</v>
      </c>
      <c r="G45" s="519" t="s">
        <v>1554</v>
      </c>
      <c r="H45" s="343" t="str">
        <f t="shared" si="23"/>
        <v xml:space="preserve">* Las Gestantes de 35 a 39 años con violencia de género deben estar incluidas en las Gestantes con riesgo psicosocial. * Las Gestantes de 35 a 39 años con Riesgo Psicosocial deben estar incluidas en el Total de Gestantes en Control misma edad. * Las Gestantes de 35 a 39 años que presentan ARO deben estar incluidas en el Total de Gestantes en Control misma edad. * Las Gestantes que pertenecen a 'Población Migrantes' no debe ser mayor al Total de Gestantes en Control misma edad. </v>
      </c>
      <c r="CB45" s="348" t="str">
        <f>IF($D45&lt;$E45,"* Las Gestantes de 35 a 39 años con violencia de género deben estar incluidas en las Gestantes con riesgo psicosocial. ","")</f>
        <v xml:space="preserve">* Las Gestantes de 35 a 39 años con violencia de género deben estar incluidas en las Gestantes con riesgo psicosocial. </v>
      </c>
      <c r="CC45" s="348" t="str">
        <f>IF($C45&lt;$D45,"* Las Gestantes de 35 a 39 años con Riesgo Psicosocial deben estar incluidas en el Total de Gestantes en Control misma edad. ","")</f>
        <v xml:space="preserve">* Las Gestantes de 35 a 39 años con Riesgo Psicosocial deben estar incluidas en el Total de Gestantes en Control misma edad. </v>
      </c>
      <c r="CD45" s="348" t="str">
        <f>IF($C45&lt;$F45,"* Las Gestantes de 35 a 39 años que presentan ARO deben estar incluidas en el Total de Gestantes en Control misma edad. ","")</f>
        <v xml:space="preserve">* Las Gestantes de 35 a 39 años que presentan ARO deben estar incluidas en el Total de Gestantes en Control misma edad. </v>
      </c>
      <c r="CE45" s="348" t="str">
        <f t="shared" si="24"/>
        <v xml:space="preserve">* Las Gestantes que pertenecen a 'Población Migrantes' no debe ser mayor al Total de Gestantes en Control misma edad. </v>
      </c>
      <c r="CF45" s="348" t="str">
        <f t="shared" si="21"/>
        <v/>
      </c>
      <c r="CG45" s="348"/>
      <c r="CH45" s="354"/>
      <c r="CI45" s="354"/>
      <c r="CJ45" s="354"/>
      <c r="CK45" s="358">
        <f t="shared" si="25"/>
        <v>1</v>
      </c>
      <c r="CL45" s="358">
        <f t="shared" si="26"/>
        <v>1</v>
      </c>
      <c r="CM45" s="358">
        <f t="shared" si="27"/>
        <v>1</v>
      </c>
      <c r="CN45" s="358">
        <f t="shared" si="28"/>
        <v>1</v>
      </c>
      <c r="CO45" s="358">
        <f t="shared" si="22"/>
        <v>0</v>
      </c>
      <c r="CP45" s="354"/>
      <c r="CQ45" s="354"/>
      <c r="CR45" s="354"/>
      <c r="CS45" s="354"/>
    </row>
    <row r="46" spans="1:97" ht="18" customHeight="1" x14ac:dyDescent="0.2">
      <c r="A46" s="1628" t="s">
        <v>924</v>
      </c>
      <c r="B46" s="66" t="s">
        <v>22</v>
      </c>
      <c r="C46" s="537" t="s">
        <v>1550</v>
      </c>
      <c r="D46" s="538" t="s">
        <v>1551</v>
      </c>
      <c r="E46" s="549" t="s">
        <v>1552</v>
      </c>
      <c r="F46" s="549" t="s">
        <v>1553</v>
      </c>
      <c r="G46" s="519" t="s">
        <v>1554</v>
      </c>
      <c r="H46" s="343" t="str">
        <f t="shared" si="23"/>
        <v xml:space="preserve">* Las Gestantes de 40 a 44 años con violencia de género deben estar incluidas en las Gestantes con riesgo psicosocial. * Las Gestantes de 40 a 44 años con Riesgo Psicosocial deben estar incluidas en el Total de Gestantes en Control misma edad. * Las Gestantes de 40 a 44 años que presentan ARO deben estar incluidas en el Total de Gestantes en Control misma edad. * Las Gestantes que pertenecen a 'Población Migrantes' no debe ser mayor al Total de Gestantes en Control misma edad. </v>
      </c>
      <c r="CB46" s="348" t="str">
        <f>IF($D46&lt;$E46,"* Las Gestantes de 40 a 44 años con violencia de género deben estar incluidas en las Gestantes con riesgo psicosocial. ","")</f>
        <v xml:space="preserve">* Las Gestantes de 40 a 44 años con violencia de género deben estar incluidas en las Gestantes con riesgo psicosocial. </v>
      </c>
      <c r="CC46" s="348" t="str">
        <f>IF($C46&lt;$D46,"* Las Gestantes de 40 a 44 años con Riesgo Psicosocial deben estar incluidas en el Total de Gestantes en Control misma edad. ","")</f>
        <v xml:space="preserve">* Las Gestantes de 40 a 44 años con Riesgo Psicosocial deben estar incluidas en el Total de Gestantes en Control misma edad. </v>
      </c>
      <c r="CD46" s="348" t="str">
        <f>IF($C46&lt;$F46,"* Las Gestantes de 40 a 44 años que presentan ARO deben estar incluidas en el Total de Gestantes en Control misma edad. ","")</f>
        <v xml:space="preserve">* Las Gestantes de 40 a 44 años que presentan ARO deben estar incluidas en el Total de Gestantes en Control misma edad. </v>
      </c>
      <c r="CE46" s="348" t="str">
        <f t="shared" si="24"/>
        <v xml:space="preserve">* Las Gestantes que pertenecen a 'Población Migrantes' no debe ser mayor al Total de Gestantes en Control misma edad. </v>
      </c>
      <c r="CF46" s="348" t="str">
        <f t="shared" si="21"/>
        <v/>
      </c>
      <c r="CG46" s="348"/>
      <c r="CH46" s="354"/>
      <c r="CI46" s="354"/>
      <c r="CJ46" s="354"/>
      <c r="CK46" s="358">
        <f t="shared" si="25"/>
        <v>1</v>
      </c>
      <c r="CL46" s="358">
        <f t="shared" si="26"/>
        <v>1</v>
      </c>
      <c r="CM46" s="358">
        <f t="shared" si="27"/>
        <v>1</v>
      </c>
      <c r="CN46" s="358">
        <f t="shared" si="28"/>
        <v>1</v>
      </c>
      <c r="CO46" s="358">
        <f t="shared" si="22"/>
        <v>0</v>
      </c>
      <c r="CP46" s="354"/>
      <c r="CQ46" s="354"/>
      <c r="CR46" s="354"/>
      <c r="CS46" s="354"/>
    </row>
    <row r="47" spans="1:97" ht="15.75" customHeight="1" x14ac:dyDescent="0.2">
      <c r="A47" s="1628" t="s">
        <v>925</v>
      </c>
      <c r="B47" s="66" t="s">
        <v>23</v>
      </c>
      <c r="C47" s="537" t="s">
        <v>1550</v>
      </c>
      <c r="D47" s="538" t="s">
        <v>1551</v>
      </c>
      <c r="E47" s="549" t="s">
        <v>1552</v>
      </c>
      <c r="F47" s="549" t="s">
        <v>1553</v>
      </c>
      <c r="G47" s="519" t="s">
        <v>1554</v>
      </c>
      <c r="H47" s="343" t="str">
        <f t="shared" si="23"/>
        <v xml:space="preserve">* Las Gestantes de 45 a 49 años con violencia de género deben estar incluidas en las Gestantes con riesgo psicosocial. * Las Gestantes de 45 a 49 años con Riesgo Psicosocial deben estar incluidas en el Total de Gestantes en Control misma edad. * Las Gestantes de 45 a 49 años que presentan ARO deben estar incluidas en el Total de Gestantes en Control misma edad. * Las Gestantes que pertenecen a 'Población Migrantes' no debe ser mayor al Total de Gestantes en Control misma edad. </v>
      </c>
      <c r="CB47" s="348" t="str">
        <f>IF($D47&lt;$E47,"* Las Gestantes de 45 a 49 años con violencia de género deben estar incluidas en las Gestantes con riesgo psicosocial. ","")</f>
        <v xml:space="preserve">* Las Gestantes de 45 a 49 años con violencia de género deben estar incluidas en las Gestantes con riesgo psicosocial. </v>
      </c>
      <c r="CC47" s="348" t="str">
        <f>IF($C47&lt;$D47,"* Las Gestantes de 45 a 49 años con Riesgo Psicosocial deben estar incluidas en el Total de Gestantes en Control misma edad. ","")</f>
        <v xml:space="preserve">* Las Gestantes de 45 a 49 años con Riesgo Psicosocial deben estar incluidas en el Total de Gestantes en Control misma edad. </v>
      </c>
      <c r="CD47" s="348" t="str">
        <f>IF($C47&lt;$F47,"* Las Gestantes de 45 a 49 años que presentan ARO deben estar incluidas en el Total de Gestantes en Control misma edad. ","")</f>
        <v xml:space="preserve">* Las Gestantes de 45 a 49 años que presentan ARO deben estar incluidas en el Total de Gestantes en Control misma edad. </v>
      </c>
      <c r="CE47" s="348" t="str">
        <f t="shared" si="24"/>
        <v xml:space="preserve">* Las Gestantes que pertenecen a 'Población Migrantes' no debe ser mayor al Total de Gestantes en Control misma edad. </v>
      </c>
      <c r="CF47" s="348" t="str">
        <f t="shared" si="21"/>
        <v/>
      </c>
      <c r="CG47" s="348"/>
      <c r="CH47" s="354"/>
      <c r="CI47" s="354"/>
      <c r="CJ47" s="354"/>
      <c r="CK47" s="358">
        <f t="shared" si="25"/>
        <v>1</v>
      </c>
      <c r="CL47" s="358">
        <f t="shared" si="26"/>
        <v>1</v>
      </c>
      <c r="CM47" s="358">
        <f t="shared" si="27"/>
        <v>1</v>
      </c>
      <c r="CN47" s="358">
        <f t="shared" si="28"/>
        <v>1</v>
      </c>
      <c r="CO47" s="358">
        <f t="shared" si="22"/>
        <v>0</v>
      </c>
      <c r="CP47" s="354"/>
      <c r="CQ47" s="354"/>
      <c r="CR47" s="354"/>
      <c r="CS47" s="354"/>
    </row>
    <row r="48" spans="1:97" ht="15.75" customHeight="1" x14ac:dyDescent="0.2">
      <c r="A48" s="1628" t="s">
        <v>926</v>
      </c>
      <c r="B48" s="66" t="s">
        <v>24</v>
      </c>
      <c r="C48" s="537" t="s">
        <v>1550</v>
      </c>
      <c r="D48" s="538" t="s">
        <v>1551</v>
      </c>
      <c r="E48" s="549" t="s">
        <v>1552</v>
      </c>
      <c r="F48" s="549" t="s">
        <v>1553</v>
      </c>
      <c r="G48" s="519" t="s">
        <v>1554</v>
      </c>
      <c r="H48" s="343" t="str">
        <f t="shared" si="23"/>
        <v xml:space="preserve">* Las Gestantes de 50 a 54 años con violencia de género deben estar incluidas en las Gestantes con riesgo psicosocial. * Las Gestantes de 50 a 54 años con Riesgo Psicosocial deben estar incluidas en el Total de Gestantes en Control misma edad. * Las Gestantes de 50 a 54 años que presentan ARO deben estar incluidas en el Total de Gestantes en Control misma edad. * Las Gestantes que pertenecen a 'Población Migrantes' no debe ser mayor al Total de Gestantes en Control misma edad. </v>
      </c>
      <c r="CB48" s="348" t="str">
        <f>IF($D48&lt;$E48,"* Las Gestantes de 50 a 54 años con violencia de género deben estar incluidas en las Gestantes con riesgo psicosocial. ","")</f>
        <v xml:space="preserve">* Las Gestantes de 50 a 54 años con violencia de género deben estar incluidas en las Gestantes con riesgo psicosocial. </v>
      </c>
      <c r="CC48" s="348" t="str">
        <f>IF($C48&lt;$D48,"* Las Gestantes de 50 a 54 años con Riesgo Psicosocial deben estar incluidas en el Total de Gestantes en Control misma edad. ","")</f>
        <v xml:space="preserve">* Las Gestantes de 50 a 54 años con Riesgo Psicosocial deben estar incluidas en el Total de Gestantes en Control misma edad. </v>
      </c>
      <c r="CD48" s="348" t="str">
        <f>IF($C48&lt;$F48,"* Las Gestantes de 50 a 54 años que presentan ARO deben estar incluidas en el Total de Gestantes en Control misma edad. ","")</f>
        <v xml:space="preserve">* Las Gestantes de 50 a 54 años que presentan ARO deben estar incluidas en el Total de Gestantes en Control misma edad. </v>
      </c>
      <c r="CE48" s="348" t="str">
        <f t="shared" si="24"/>
        <v xml:space="preserve">* Las Gestantes que pertenecen a 'Población Migrantes' no debe ser mayor al Total de Gestantes en Control misma edad. </v>
      </c>
      <c r="CF48" s="348" t="str">
        <f t="shared" si="21"/>
        <v/>
      </c>
      <c r="CG48" s="348"/>
      <c r="CH48" s="354"/>
      <c r="CI48" s="354"/>
      <c r="CJ48" s="354"/>
      <c r="CK48" s="358">
        <f t="shared" si="25"/>
        <v>1</v>
      </c>
      <c r="CL48" s="358">
        <f t="shared" si="26"/>
        <v>1</v>
      </c>
      <c r="CM48" s="358">
        <f t="shared" si="27"/>
        <v>1</v>
      </c>
      <c r="CN48" s="358">
        <f t="shared" si="28"/>
        <v>1</v>
      </c>
      <c r="CO48" s="358">
        <f t="shared" si="22"/>
        <v>0</v>
      </c>
      <c r="CP48" s="354"/>
      <c r="CQ48" s="354"/>
      <c r="CR48" s="354"/>
      <c r="CS48" s="354"/>
    </row>
    <row r="49" spans="1:97" ht="15.75" customHeight="1" x14ac:dyDescent="0.2">
      <c r="A49" s="1631"/>
      <c r="B49" s="67" t="s">
        <v>13</v>
      </c>
      <c r="C49" s="540">
        <f>SUM(C40:C48)</f>
        <v>0</v>
      </c>
      <c r="D49" s="539">
        <f>SUM(D40:D48)</f>
        <v>0</v>
      </c>
      <c r="E49" s="1217">
        <f>SUM(E40:E48)</f>
        <v>0</v>
      </c>
      <c r="F49" s="1217">
        <f>SUM(F40:F48)</f>
        <v>0</v>
      </c>
      <c r="G49" s="540">
        <f>SUM(G40:G48)</f>
        <v>0</v>
      </c>
      <c r="H49" s="1507"/>
      <c r="CB49" s="354"/>
      <c r="CC49" s="354"/>
      <c r="CD49" s="354"/>
      <c r="CE49" s="354"/>
      <c r="CF49" s="354"/>
      <c r="CG49" s="354"/>
      <c r="CH49" s="354"/>
      <c r="CI49" s="354"/>
      <c r="CJ49" s="354"/>
      <c r="CK49" s="354"/>
      <c r="CL49" s="354"/>
      <c r="CM49" s="354"/>
      <c r="CN49" s="354"/>
      <c r="CO49" s="354"/>
      <c r="CP49" s="354"/>
      <c r="CQ49" s="354"/>
      <c r="CR49" s="354"/>
      <c r="CS49" s="354"/>
    </row>
    <row r="50" spans="1:97" ht="27.75" customHeight="1" x14ac:dyDescent="0.3">
      <c r="A50" s="1632"/>
      <c r="B50" s="411" t="s">
        <v>831</v>
      </c>
      <c r="C50" s="409"/>
      <c r="D50" s="409"/>
      <c r="E50" s="409"/>
      <c r="F50" s="409"/>
      <c r="G50" s="409"/>
      <c r="H50" s="409"/>
      <c r="I50" s="409"/>
      <c r="J50" s="409"/>
      <c r="K50" s="409"/>
      <c r="L50" s="409"/>
      <c r="CB50" s="354"/>
      <c r="CC50" s="354"/>
      <c r="CD50" s="354"/>
      <c r="CE50" s="354"/>
      <c r="CF50" s="354"/>
      <c r="CG50" s="354"/>
      <c r="CH50" s="354"/>
      <c r="CI50" s="354"/>
      <c r="CJ50" s="354"/>
      <c r="CK50" s="354"/>
      <c r="CL50" s="354"/>
      <c r="CM50" s="354"/>
      <c r="CN50" s="354"/>
      <c r="CO50" s="354"/>
      <c r="CP50" s="354"/>
      <c r="CQ50" s="354"/>
      <c r="CR50" s="354"/>
      <c r="CS50" s="354"/>
    </row>
    <row r="51" spans="1:97" ht="15.75" customHeight="1" x14ac:dyDescent="0.2">
      <c r="A51" s="1632"/>
      <c r="B51" s="1857" t="s">
        <v>38</v>
      </c>
      <c r="C51" s="1857" t="s">
        <v>39</v>
      </c>
      <c r="D51" s="1857" t="s">
        <v>40</v>
      </c>
      <c r="E51" s="68"/>
      <c r="F51" s="345"/>
      <c r="CB51" s="354"/>
      <c r="CC51" s="354"/>
      <c r="CD51" s="354"/>
      <c r="CE51" s="354"/>
      <c r="CF51" s="354"/>
      <c r="CG51" s="354"/>
      <c r="CH51" s="354"/>
      <c r="CI51" s="354"/>
      <c r="CJ51" s="354"/>
      <c r="CK51" s="354"/>
      <c r="CL51" s="354"/>
      <c r="CM51" s="354"/>
      <c r="CN51" s="354"/>
      <c r="CO51" s="354"/>
      <c r="CP51" s="354"/>
      <c r="CQ51" s="354"/>
      <c r="CR51" s="354"/>
      <c r="CS51" s="354"/>
    </row>
    <row r="52" spans="1:97" ht="15.75" customHeight="1" x14ac:dyDescent="0.2">
      <c r="A52" s="1632"/>
      <c r="B52" s="1857"/>
      <c r="C52" s="1857"/>
      <c r="D52" s="1857"/>
      <c r="E52" s="68"/>
      <c r="F52" s="345"/>
      <c r="CB52" s="354"/>
      <c r="CC52" s="354"/>
      <c r="CD52" s="354"/>
      <c r="CE52" s="354"/>
      <c r="CF52" s="354"/>
      <c r="CG52" s="354"/>
      <c r="CH52" s="354"/>
      <c r="CI52" s="354"/>
      <c r="CJ52" s="354"/>
      <c r="CK52" s="354"/>
      <c r="CL52" s="354"/>
      <c r="CM52" s="354"/>
      <c r="CN52" s="354"/>
      <c r="CO52" s="354"/>
      <c r="CP52" s="354"/>
      <c r="CQ52" s="354"/>
      <c r="CR52" s="354"/>
      <c r="CS52" s="354"/>
    </row>
    <row r="53" spans="1:97" ht="20.25" customHeight="1" x14ac:dyDescent="0.2">
      <c r="A53" s="1628" t="s">
        <v>927</v>
      </c>
      <c r="B53" s="64" t="s">
        <v>41</v>
      </c>
      <c r="C53" s="541" t="s">
        <v>1550</v>
      </c>
      <c r="D53" s="496" t="s">
        <v>1551</v>
      </c>
      <c r="E53" s="343" t="e">
        <f>($CB53&amp;$CC53&amp;$CD53&amp;$CE53&amp;$CF53&amp;$CG53&amp;$CH53&amp;$CI53&amp;$CJ53)</f>
        <v>#VALUE!</v>
      </c>
      <c r="F53" s="345"/>
      <c r="CB53" s="348" t="e">
        <f>IF($D$53&lt;&gt;$C$53*1,"* NO ALTERE LAS FÓRMULAS, el Total de Visitas equivale a 1 visita por gestante. ","")</f>
        <v>#VALUE!</v>
      </c>
      <c r="CC53" s="354"/>
      <c r="CD53" s="354"/>
      <c r="CE53" s="354"/>
      <c r="CF53" s="354"/>
      <c r="CG53" s="354"/>
      <c r="CH53" s="354"/>
      <c r="CI53" s="354"/>
      <c r="CJ53" s="354"/>
      <c r="CK53" s="358" t="e">
        <f>IF($D$53&lt;&gt;$C$53*1,1,0)</f>
        <v>#VALUE!</v>
      </c>
      <c r="CL53" s="354"/>
      <c r="CM53" s="354"/>
      <c r="CN53" s="354"/>
      <c r="CO53" s="354"/>
      <c r="CP53" s="354"/>
      <c r="CQ53" s="354"/>
      <c r="CR53" s="354"/>
      <c r="CS53" s="354"/>
    </row>
    <row r="54" spans="1:97" ht="20.25" customHeight="1" x14ac:dyDescent="0.2">
      <c r="A54" s="1628" t="s">
        <v>928</v>
      </c>
      <c r="B54" s="66" t="s">
        <v>42</v>
      </c>
      <c r="C54" s="542" t="s">
        <v>1550</v>
      </c>
      <c r="D54" s="543" t="s">
        <v>1551</v>
      </c>
      <c r="E54" s="343" t="e">
        <f t="shared" ref="E54:E56" si="29">($CB54&amp;$CC54&amp;$CD54&amp;$CE54&amp;$CF54&amp;$CG54&amp;$CH54&amp;$CI54&amp;$CJ54)</f>
        <v>#VALUE!</v>
      </c>
      <c r="F54" s="345"/>
      <c r="BS54" s="398"/>
      <c r="BT54" s="398"/>
      <c r="BU54" s="398"/>
      <c r="BV54" s="398"/>
      <c r="BW54" s="398"/>
      <c r="BX54" s="398"/>
      <c r="BY54" s="398"/>
      <c r="BZ54" s="398"/>
      <c r="CA54" s="398"/>
      <c r="CB54" s="348" t="e">
        <f>IF($D$54&lt;&gt;$C$54*2,"* NO ALTERE LAS FÓRMULAS, el Total de Visitas equivale a 2 visitas por gestante. ","")</f>
        <v>#VALUE!</v>
      </c>
      <c r="CC54" s="354"/>
      <c r="CD54" s="354"/>
      <c r="CE54" s="354"/>
      <c r="CF54" s="354"/>
      <c r="CG54" s="354"/>
      <c r="CH54" s="354"/>
      <c r="CI54" s="354"/>
      <c r="CJ54" s="354"/>
      <c r="CK54" s="358" t="e">
        <f>IF($D$54&lt;&gt;$C$54*2,1,0)</f>
        <v>#VALUE!</v>
      </c>
      <c r="CL54" s="354"/>
      <c r="CM54" s="354"/>
      <c r="CN54" s="354"/>
      <c r="CO54" s="354"/>
      <c r="CP54" s="354"/>
      <c r="CQ54" s="354"/>
      <c r="CR54" s="354"/>
      <c r="CS54" s="354"/>
    </row>
    <row r="55" spans="1:97" ht="20.25" customHeight="1" x14ac:dyDescent="0.2">
      <c r="A55" s="1628" t="s">
        <v>929</v>
      </c>
      <c r="B55" s="66" t="s">
        <v>43</v>
      </c>
      <c r="C55" s="542" t="s">
        <v>1550</v>
      </c>
      <c r="D55" s="543" t="s">
        <v>1551</v>
      </c>
      <c r="E55" s="343" t="e">
        <f t="shared" si="29"/>
        <v>#VALUE!</v>
      </c>
      <c r="F55" s="345"/>
      <c r="BS55" s="398"/>
      <c r="BT55" s="398"/>
      <c r="BU55" s="398"/>
      <c r="BV55" s="398"/>
      <c r="BW55" s="398"/>
      <c r="BX55" s="398"/>
      <c r="BY55" s="398"/>
      <c r="BZ55" s="398"/>
      <c r="CA55" s="398"/>
      <c r="CB55" s="348" t="e">
        <f>IF($D$55&lt;&gt;$C$55*3,"* NO ALTERE LAS FÓRMULAS, el Total de Visitas equivale a 3 visitas por gestante. ","")</f>
        <v>#VALUE!</v>
      </c>
      <c r="CC55" s="354"/>
      <c r="CD55" s="354"/>
      <c r="CE55" s="354"/>
      <c r="CF55" s="354"/>
      <c r="CG55" s="354"/>
      <c r="CH55" s="354"/>
      <c r="CI55" s="354"/>
      <c r="CJ55" s="354"/>
      <c r="CK55" s="358" t="e">
        <f>IF($D$55&lt;&gt;$C$55*3,1,0)</f>
        <v>#VALUE!</v>
      </c>
      <c r="CL55" s="354"/>
      <c r="CM55" s="354"/>
      <c r="CN55" s="354"/>
      <c r="CO55" s="354"/>
      <c r="CP55" s="354"/>
      <c r="CQ55" s="354"/>
      <c r="CR55" s="354"/>
      <c r="CS55" s="354"/>
    </row>
    <row r="56" spans="1:97" ht="20.25" customHeight="1" x14ac:dyDescent="0.2">
      <c r="A56" s="1628" t="s">
        <v>930</v>
      </c>
      <c r="B56" s="69" t="s">
        <v>876</v>
      </c>
      <c r="C56" s="544" t="s">
        <v>1550</v>
      </c>
      <c r="D56" s="544" t="s">
        <v>1551</v>
      </c>
      <c r="E56" s="343" t="str">
        <f t="shared" si="29"/>
        <v/>
      </c>
      <c r="F56" s="345"/>
      <c r="BK56" s="398"/>
      <c r="BL56" s="398"/>
      <c r="BM56" s="398"/>
      <c r="BN56" s="398"/>
      <c r="BO56" s="398"/>
      <c r="BP56" s="398"/>
      <c r="BQ56" s="398"/>
      <c r="BR56" s="398"/>
      <c r="BS56" s="398"/>
      <c r="BT56" s="398"/>
      <c r="BU56" s="398"/>
      <c r="BV56" s="398"/>
      <c r="BW56" s="398"/>
      <c r="BX56" s="398"/>
      <c r="BY56" s="398"/>
      <c r="BZ56" s="398"/>
      <c r="CA56" s="398"/>
      <c r="CB56" s="354"/>
      <c r="CC56" s="354"/>
      <c r="CD56" s="354"/>
      <c r="CE56" s="354"/>
      <c r="CF56" s="354"/>
      <c r="CG56" s="354"/>
      <c r="CH56" s="354"/>
      <c r="CI56" s="354"/>
      <c r="CJ56" s="354"/>
      <c r="CK56" s="354"/>
      <c r="CL56" s="354"/>
      <c r="CM56" s="354"/>
      <c r="CN56" s="354"/>
      <c r="CO56" s="354"/>
      <c r="CP56" s="354"/>
      <c r="CQ56" s="354"/>
      <c r="CR56" s="354"/>
      <c r="CS56" s="354"/>
    </row>
    <row r="57" spans="1:97" ht="15.75" customHeight="1" x14ac:dyDescent="0.2">
      <c r="A57" s="1629"/>
      <c r="B57" s="67" t="s">
        <v>13</v>
      </c>
      <c r="C57" s="545">
        <f>SUM(C53:C56)</f>
        <v>0</v>
      </c>
      <c r="D57" s="545">
        <f>SUM(D53:D56)</f>
        <v>0</v>
      </c>
      <c r="E57" s="65"/>
      <c r="F57" s="345"/>
      <c r="BK57" s="398"/>
      <c r="BL57" s="398"/>
      <c r="BM57" s="398"/>
      <c r="BN57" s="398"/>
      <c r="BO57" s="398"/>
      <c r="BP57" s="398"/>
      <c r="BQ57" s="398"/>
      <c r="BR57" s="398"/>
      <c r="BS57" s="398"/>
      <c r="BT57" s="398"/>
      <c r="BU57" s="398"/>
      <c r="BV57" s="398"/>
      <c r="BW57" s="398"/>
      <c r="BX57" s="398"/>
      <c r="BY57" s="398"/>
      <c r="BZ57" s="398"/>
      <c r="CA57" s="398"/>
      <c r="CB57" s="354"/>
      <c r="CC57" s="354"/>
      <c r="CD57" s="354"/>
      <c r="CE57" s="354"/>
      <c r="CF57" s="354"/>
      <c r="CG57" s="354"/>
      <c r="CH57" s="354"/>
      <c r="CI57" s="354"/>
      <c r="CJ57" s="354"/>
      <c r="CK57" s="354"/>
      <c r="CL57" s="354"/>
      <c r="CM57" s="354"/>
      <c r="CN57" s="354"/>
      <c r="CO57" s="354"/>
      <c r="CP57" s="354"/>
      <c r="CQ57" s="354"/>
      <c r="CR57" s="354"/>
      <c r="CS57" s="354"/>
    </row>
    <row r="58" spans="1:97" ht="21" customHeight="1" x14ac:dyDescent="0.3">
      <c r="B58" s="1854" t="s">
        <v>501</v>
      </c>
      <c r="C58" s="1853"/>
      <c r="D58" s="1853"/>
      <c r="E58" s="1853"/>
      <c r="F58" s="1853"/>
      <c r="G58" s="1853"/>
      <c r="H58" s="1853"/>
      <c r="I58" s="1853"/>
      <c r="J58" s="1853"/>
      <c r="K58" s="1853"/>
      <c r="L58" s="1853"/>
      <c r="M58" s="1853"/>
      <c r="BK58" s="398"/>
      <c r="BL58" s="398"/>
      <c r="BM58" s="398"/>
      <c r="BN58" s="398"/>
      <c r="BO58" s="398"/>
      <c r="BP58" s="398"/>
      <c r="BQ58" s="398"/>
      <c r="BR58" s="398"/>
      <c r="BS58" s="398"/>
      <c r="BT58" s="398"/>
      <c r="BU58" s="398"/>
      <c r="BV58" s="398"/>
      <c r="BW58" s="398"/>
      <c r="BX58" s="398"/>
      <c r="BY58" s="398"/>
      <c r="BZ58" s="398"/>
      <c r="CA58" s="398"/>
      <c r="CB58" s="354"/>
      <c r="CC58" s="354"/>
      <c r="CD58" s="354"/>
      <c r="CE58" s="354"/>
      <c r="CF58" s="354"/>
      <c r="CG58" s="354"/>
      <c r="CH58" s="354"/>
      <c r="CI58" s="354"/>
      <c r="CJ58" s="354"/>
      <c r="CK58" s="354"/>
      <c r="CL58" s="354"/>
      <c r="CM58" s="354"/>
      <c r="CN58" s="354"/>
      <c r="CO58" s="354"/>
      <c r="CP58" s="354"/>
      <c r="CQ58" s="354"/>
      <c r="CR58" s="354"/>
      <c r="CS58" s="354"/>
    </row>
    <row r="59" spans="1:97" ht="23.25" customHeight="1" x14ac:dyDescent="0.2">
      <c r="B59" s="1827" t="s">
        <v>44</v>
      </c>
      <c r="C59" s="1829" t="s">
        <v>45</v>
      </c>
      <c r="D59" s="1829" t="s">
        <v>13</v>
      </c>
      <c r="E59" s="1832" t="s">
        <v>46</v>
      </c>
      <c r="F59" s="1833"/>
      <c r="G59" s="1833"/>
      <c r="H59" s="1833"/>
      <c r="I59" s="1833"/>
      <c r="J59" s="1833"/>
      <c r="K59" s="1833"/>
      <c r="L59" s="1833"/>
      <c r="M59" s="1834"/>
      <c r="BK59" s="398"/>
      <c r="BL59" s="398"/>
      <c r="BM59" s="398"/>
      <c r="BN59" s="398"/>
      <c r="BO59" s="398"/>
      <c r="BP59" s="398"/>
      <c r="BQ59" s="398"/>
      <c r="BR59" s="398"/>
      <c r="BS59" s="398"/>
      <c r="BT59" s="398"/>
      <c r="BU59" s="398"/>
      <c r="BV59" s="398"/>
      <c r="BW59" s="398"/>
      <c r="BX59" s="398"/>
      <c r="BY59" s="398"/>
      <c r="BZ59" s="398"/>
      <c r="CA59" s="398"/>
      <c r="CB59" s="354"/>
      <c r="CC59" s="354"/>
      <c r="CD59" s="354"/>
      <c r="CE59" s="354"/>
      <c r="CF59" s="354"/>
      <c r="CG59" s="354"/>
      <c r="CH59" s="354"/>
      <c r="CI59" s="354"/>
      <c r="CJ59" s="354"/>
      <c r="CK59" s="354"/>
      <c r="CL59" s="354"/>
      <c r="CM59" s="354"/>
      <c r="CN59" s="354"/>
      <c r="CO59" s="354"/>
      <c r="CP59" s="354"/>
      <c r="CQ59" s="354"/>
      <c r="CR59" s="354"/>
      <c r="CS59" s="354"/>
    </row>
    <row r="60" spans="1:97" ht="22.5" customHeight="1" x14ac:dyDescent="0.2">
      <c r="B60" s="1828"/>
      <c r="C60" s="1830"/>
      <c r="D60" s="1830"/>
      <c r="E60" s="79" t="s">
        <v>47</v>
      </c>
      <c r="F60" s="80" t="s">
        <v>17</v>
      </c>
      <c r="G60" s="80" t="s">
        <v>18</v>
      </c>
      <c r="H60" s="60" t="s">
        <v>19</v>
      </c>
      <c r="I60" s="60" t="s">
        <v>20</v>
      </c>
      <c r="J60" s="60" t="s">
        <v>21</v>
      </c>
      <c r="K60" s="60" t="s">
        <v>22</v>
      </c>
      <c r="L60" s="60" t="s">
        <v>23</v>
      </c>
      <c r="M60" s="1035" t="s">
        <v>24</v>
      </c>
      <c r="N60" s="55"/>
      <c r="BK60" s="398"/>
      <c r="BL60" s="398"/>
      <c r="BM60" s="398"/>
      <c r="BN60" s="398"/>
      <c r="BO60" s="398"/>
      <c r="BP60" s="398"/>
      <c r="BQ60" s="398"/>
      <c r="BR60" s="398"/>
      <c r="BS60" s="398"/>
      <c r="BT60" s="398"/>
      <c r="BU60" s="398"/>
      <c r="BV60" s="398"/>
      <c r="BW60" s="398"/>
      <c r="BX60" s="398"/>
      <c r="BY60" s="398"/>
      <c r="BZ60" s="398"/>
      <c r="CA60" s="398"/>
      <c r="CB60" s="354"/>
      <c r="CC60" s="354"/>
      <c r="CD60" s="354"/>
      <c r="CE60" s="354"/>
      <c r="CF60" s="354"/>
      <c r="CG60" s="354"/>
      <c r="CH60" s="354"/>
      <c r="CI60" s="354"/>
      <c r="CJ60" s="354"/>
      <c r="CK60" s="354"/>
      <c r="CL60" s="354"/>
      <c r="CM60" s="354"/>
      <c r="CN60" s="354"/>
      <c r="CO60" s="354"/>
      <c r="CP60" s="354"/>
      <c r="CQ60" s="354"/>
      <c r="CR60" s="354"/>
      <c r="CS60" s="354"/>
    </row>
    <row r="61" spans="1:97" ht="18.75" customHeight="1" x14ac:dyDescent="0.2">
      <c r="A61" s="1628" t="s">
        <v>931</v>
      </c>
      <c r="B61" s="1829" t="s">
        <v>48</v>
      </c>
      <c r="C61" s="70" t="s">
        <v>49</v>
      </c>
      <c r="D61" s="546" t="s">
        <v>1550</v>
      </c>
      <c r="E61" s="497" t="s">
        <v>1551</v>
      </c>
      <c r="F61" s="499" t="s">
        <v>1552</v>
      </c>
      <c r="G61" s="499" t="s">
        <v>1553</v>
      </c>
      <c r="H61" s="499" t="s">
        <v>1554</v>
      </c>
      <c r="I61" s="499" t="s">
        <v>1555</v>
      </c>
      <c r="J61" s="499" t="s">
        <v>1556</v>
      </c>
      <c r="K61" s="499" t="s">
        <v>1557</v>
      </c>
      <c r="L61" s="499" t="s">
        <v>1558</v>
      </c>
      <c r="M61" s="501" t="s">
        <v>1559</v>
      </c>
      <c r="N61" s="343"/>
      <c r="BK61" s="398"/>
      <c r="BL61" s="398"/>
      <c r="BM61" s="398"/>
      <c r="BN61" s="398"/>
      <c r="BO61" s="398"/>
      <c r="BP61" s="398"/>
      <c r="BQ61" s="398"/>
      <c r="BR61" s="398"/>
      <c r="BS61" s="398"/>
      <c r="BT61" s="398"/>
      <c r="BU61" s="398"/>
      <c r="BV61" s="398"/>
      <c r="BW61" s="398"/>
      <c r="BX61" s="398"/>
      <c r="BY61" s="398"/>
      <c r="BZ61" s="398"/>
      <c r="CA61" s="398"/>
      <c r="CB61" s="354"/>
      <c r="CC61" s="354"/>
      <c r="CD61" s="354"/>
      <c r="CE61" s="354"/>
      <c r="CF61" s="354"/>
      <c r="CG61" s="354"/>
      <c r="CH61" s="354"/>
      <c r="CI61" s="354"/>
      <c r="CJ61" s="354"/>
      <c r="CK61" s="354"/>
      <c r="CL61" s="354"/>
      <c r="CM61" s="354"/>
      <c r="CN61" s="354"/>
      <c r="CO61" s="354"/>
      <c r="CP61" s="354"/>
      <c r="CQ61" s="354"/>
      <c r="CR61" s="354"/>
      <c r="CS61" s="354"/>
    </row>
    <row r="62" spans="1:97" ht="18.75" customHeight="1" x14ac:dyDescent="0.2">
      <c r="A62" s="1628" t="s">
        <v>932</v>
      </c>
      <c r="B62" s="1831"/>
      <c r="C62" s="71" t="s">
        <v>50</v>
      </c>
      <c r="D62" s="547" t="s">
        <v>1550</v>
      </c>
      <c r="E62" s="568" t="s">
        <v>1551</v>
      </c>
      <c r="F62" s="514" t="s">
        <v>1552</v>
      </c>
      <c r="G62" s="514" t="s">
        <v>1553</v>
      </c>
      <c r="H62" s="514" t="s">
        <v>1554</v>
      </c>
      <c r="I62" s="514" t="s">
        <v>1555</v>
      </c>
      <c r="J62" s="514" t="s">
        <v>1556</v>
      </c>
      <c r="K62" s="514" t="s">
        <v>1557</v>
      </c>
      <c r="L62" s="514" t="s">
        <v>1558</v>
      </c>
      <c r="M62" s="516" t="s">
        <v>1559</v>
      </c>
      <c r="N62" s="343"/>
      <c r="BK62" s="398"/>
      <c r="BL62" s="398"/>
      <c r="BM62" s="398"/>
      <c r="BN62" s="398"/>
      <c r="BO62" s="398"/>
      <c r="BP62" s="398"/>
      <c r="BQ62" s="398"/>
      <c r="BR62" s="398"/>
      <c r="CB62" s="354"/>
      <c r="CC62" s="354"/>
      <c r="CD62" s="354"/>
      <c r="CE62" s="354"/>
      <c r="CF62" s="354"/>
      <c r="CG62" s="354"/>
      <c r="CH62" s="354"/>
      <c r="CI62" s="354"/>
      <c r="CJ62" s="354"/>
      <c r="CK62" s="354"/>
      <c r="CL62" s="354"/>
      <c r="CM62" s="354"/>
      <c r="CN62" s="354"/>
      <c r="CO62" s="354"/>
      <c r="CP62" s="354"/>
      <c r="CQ62" s="354"/>
      <c r="CR62" s="354"/>
      <c r="CS62" s="354"/>
    </row>
    <row r="63" spans="1:97" ht="18.75" customHeight="1" x14ac:dyDescent="0.2">
      <c r="A63" s="1628" t="s">
        <v>933</v>
      </c>
      <c r="B63" s="1831"/>
      <c r="C63" s="71" t="s">
        <v>51</v>
      </c>
      <c r="D63" s="547" t="s">
        <v>1550</v>
      </c>
      <c r="E63" s="568" t="s">
        <v>1551</v>
      </c>
      <c r="F63" s="514" t="s">
        <v>1552</v>
      </c>
      <c r="G63" s="514" t="s">
        <v>1553</v>
      </c>
      <c r="H63" s="514" t="s">
        <v>1554</v>
      </c>
      <c r="I63" s="514" t="s">
        <v>1555</v>
      </c>
      <c r="J63" s="514" t="s">
        <v>1556</v>
      </c>
      <c r="K63" s="514" t="s">
        <v>1557</v>
      </c>
      <c r="L63" s="514" t="s">
        <v>1558</v>
      </c>
      <c r="M63" s="516" t="s">
        <v>1559</v>
      </c>
      <c r="N63" s="343"/>
      <c r="BK63" s="398"/>
      <c r="BL63" s="398"/>
      <c r="BM63" s="398"/>
      <c r="BN63" s="398"/>
      <c r="BO63" s="398"/>
      <c r="BP63" s="398"/>
      <c r="BQ63" s="398"/>
      <c r="BR63" s="398"/>
      <c r="CB63" s="354"/>
      <c r="CC63" s="354"/>
      <c r="CD63" s="354"/>
      <c r="CE63" s="354"/>
      <c r="CF63" s="354"/>
      <c r="CG63" s="354"/>
      <c r="CH63" s="354"/>
      <c r="CI63" s="354"/>
      <c r="CJ63" s="354"/>
      <c r="CK63" s="354"/>
      <c r="CL63" s="354"/>
      <c r="CM63" s="354"/>
      <c r="CN63" s="354"/>
      <c r="CO63" s="354"/>
      <c r="CP63" s="354"/>
      <c r="CQ63" s="354"/>
      <c r="CR63" s="354"/>
      <c r="CS63" s="354"/>
    </row>
    <row r="64" spans="1:97" ht="18.75" customHeight="1" x14ac:dyDescent="0.2">
      <c r="A64" s="1628" t="s">
        <v>934</v>
      </c>
      <c r="B64" s="1831"/>
      <c r="C64" s="72" t="s">
        <v>52</v>
      </c>
      <c r="D64" s="548" t="s">
        <v>1550</v>
      </c>
      <c r="E64" s="651" t="s">
        <v>1551</v>
      </c>
      <c r="F64" s="518" t="s">
        <v>1552</v>
      </c>
      <c r="G64" s="518" t="s">
        <v>1553</v>
      </c>
      <c r="H64" s="518" t="s">
        <v>1554</v>
      </c>
      <c r="I64" s="518" t="s">
        <v>1555</v>
      </c>
      <c r="J64" s="518" t="s">
        <v>1556</v>
      </c>
      <c r="K64" s="518" t="s">
        <v>1557</v>
      </c>
      <c r="L64" s="518" t="s">
        <v>1558</v>
      </c>
      <c r="M64" s="519" t="s">
        <v>1559</v>
      </c>
      <c r="N64" s="343"/>
      <c r="CB64" s="354"/>
      <c r="CC64" s="354"/>
      <c r="CD64" s="354"/>
      <c r="CE64" s="354"/>
      <c r="CF64" s="354"/>
      <c r="CG64" s="354"/>
      <c r="CH64" s="354"/>
      <c r="CI64" s="354"/>
      <c r="CJ64" s="354"/>
      <c r="CK64" s="354"/>
      <c r="CL64" s="354"/>
      <c r="CM64" s="354"/>
      <c r="CN64" s="354"/>
      <c r="CO64" s="354"/>
      <c r="CP64" s="354"/>
      <c r="CQ64" s="354"/>
      <c r="CR64" s="354"/>
      <c r="CS64" s="354"/>
    </row>
    <row r="65" spans="1:97" ht="18.75" customHeight="1" x14ac:dyDescent="0.2">
      <c r="A65" s="1633"/>
      <c r="B65" s="1830"/>
      <c r="C65" s="67" t="s">
        <v>13</v>
      </c>
      <c r="D65" s="545">
        <f>SUM(E65:M65)</f>
        <v>0</v>
      </c>
      <c r="E65" s="1031">
        <f>SUM(E61:E64)</f>
        <v>0</v>
      </c>
      <c r="F65" s="1032">
        <f t="shared" ref="F65:M65" si="30">SUM(F61:F64)</f>
        <v>0</v>
      </c>
      <c r="G65" s="1032">
        <f t="shared" si="30"/>
        <v>0</v>
      </c>
      <c r="H65" s="1032">
        <f t="shared" si="30"/>
        <v>0</v>
      </c>
      <c r="I65" s="1032">
        <f t="shared" si="30"/>
        <v>0</v>
      </c>
      <c r="J65" s="1032">
        <f t="shared" si="30"/>
        <v>0</v>
      </c>
      <c r="K65" s="1032">
        <f t="shared" si="30"/>
        <v>0</v>
      </c>
      <c r="L65" s="1032">
        <f t="shared" si="30"/>
        <v>0</v>
      </c>
      <c r="M65" s="1029">
        <f t="shared" si="30"/>
        <v>0</v>
      </c>
      <c r="N65" s="343" t="str">
        <f xml:space="preserve"> CB65 &amp; CC65 &amp; CD65 &amp; CE65 &amp; CF65 &amp; CG65 &amp; CH65 &amp;CI65&amp;CJ65</f>
        <v xml:space="preserve">* Las Gestantes Menores de 15 años, según Estado Nutricional debe ser igual al Total de gestantes en Control de esa edad en Sección B. * Las gestantes 15-19 años, según Estado Nutricional debe ser igual al Total de gestantes en Control de esa edad en Sección B. * Las gestantes20-24 años, según Estado Nutricional debe ser igual al Total de gestantes en Control de esa edad en Sección B. * Las gestantes 25-29 años, según Estado Nutricional debe ser igual al Total de gestantes en Control de esa edad en Sección B. * Las gestantes30-34 años, según Estado Nutricional debe ser igual al Total de gestantes en Control de esa edad en Sección B. * Las gestantes 35-39 años, según Estado Nutricional debe ser igual al Total de gestantes en Control de esa edad en Sección B. * Las gestantes 40-44 años, según Estado Nutricional debe ser igual al Total de gestantes en Control de esa edad en Sección B. * Las gestantes 45-49 años, según Estado Nutricional debe ser igual al Total de gestantes en Control de esa edad en Sección B. * Las gestantes 50-54 años, según Estado Nutricional debe ser igual al Total de gestantes en Control de esa edad en Sección B. </v>
      </c>
      <c r="CB65" s="348" t="str">
        <f>IF($C$40&lt;&gt;$E65,"* Las Gestantes Menores de 15 años, según Estado Nutricional debe ser igual al Total de gestantes en Control de esa edad en Sección B. ","")</f>
        <v xml:space="preserve">* Las Gestantes Menores de 15 años, según Estado Nutricional debe ser igual al Total de gestantes en Control de esa edad en Sección B. </v>
      </c>
      <c r="CC65" s="348" t="str">
        <f>IF($C$41&lt;&gt;$F65,"* Las gestantes 15-19 años, según Estado Nutricional debe ser igual al Total de gestantes en Control de esa edad en Sección B. ","")</f>
        <v xml:space="preserve">* Las gestantes 15-19 años, según Estado Nutricional debe ser igual al Total de gestantes en Control de esa edad en Sección B. </v>
      </c>
      <c r="CD65" s="348" t="str">
        <f>IF($C$42&lt;&gt;$G65,"* Las gestantes20-24 años, según Estado Nutricional debe ser igual al Total de gestantes en Control de esa edad en Sección B. ","")</f>
        <v xml:space="preserve">* Las gestantes20-24 años, según Estado Nutricional debe ser igual al Total de gestantes en Control de esa edad en Sección B. </v>
      </c>
      <c r="CE65" s="348" t="str">
        <f>IF($C$43&lt;&gt;$H65,"* Las gestantes 25-29 años, según Estado Nutricional debe ser igual al Total de gestantes en Control de esa edad en Sección B. ","")</f>
        <v xml:space="preserve">* Las gestantes 25-29 años, según Estado Nutricional debe ser igual al Total de gestantes en Control de esa edad en Sección B. </v>
      </c>
      <c r="CF65" s="348" t="str">
        <f>IF($C$44&lt;&gt;$I65,"* Las gestantes30-34 años, según Estado Nutricional debe ser igual al Total de gestantes en Control de esa edad en Sección B. ","")</f>
        <v xml:space="preserve">* Las gestantes30-34 años, según Estado Nutricional debe ser igual al Total de gestantes en Control de esa edad en Sección B. </v>
      </c>
      <c r="CG65" s="348" t="str">
        <f>IF($C$45&lt;&gt;$J65,"* Las gestantes 35-39 años, según Estado Nutricional debe ser igual al Total de gestantes en Control de esa edad en Sección B. ","")</f>
        <v xml:space="preserve">* Las gestantes 35-39 años, según Estado Nutricional debe ser igual al Total de gestantes en Control de esa edad en Sección B. </v>
      </c>
      <c r="CH65" s="348" t="str">
        <f>IF($C$46&lt;&gt;$K65,"* Las gestantes 40-44 años, según Estado Nutricional debe ser igual al Total de gestantes en Control de esa edad en Sección B. ","")</f>
        <v xml:space="preserve">* Las gestantes 40-44 años, según Estado Nutricional debe ser igual al Total de gestantes en Control de esa edad en Sección B. </v>
      </c>
      <c r="CI65" s="348" t="str">
        <f>IF($C$47&lt;&gt;$L65,"* Las gestantes 45-49 años, según Estado Nutricional debe ser igual al Total de gestantes en Control de esa edad en Sección B. ","")</f>
        <v xml:space="preserve">* Las gestantes 45-49 años, según Estado Nutricional debe ser igual al Total de gestantes en Control de esa edad en Sección B. </v>
      </c>
      <c r="CJ65" s="348" t="str">
        <f>IF($C$48&lt;&gt;$M65,"* Las gestantes 50-54 años, según Estado Nutricional debe ser igual al Total de gestantes en Control de esa edad en Sección B. ","")</f>
        <v xml:space="preserve">* Las gestantes 50-54 años, según Estado Nutricional debe ser igual al Total de gestantes en Control de esa edad en Sección B. </v>
      </c>
      <c r="CK65" s="358">
        <f>IF($C$40&lt;&gt;$E65,1,0)</f>
        <v>1</v>
      </c>
      <c r="CL65" s="358">
        <f>IF($C$41&lt;&gt;$F65,1,0)</f>
        <v>1</v>
      </c>
      <c r="CM65" s="358">
        <f>IF($C$42&lt;&gt;$G65,1,0)</f>
        <v>1</v>
      </c>
      <c r="CN65" s="358">
        <f>IF($C$43&lt;&gt;$H65,1,0)</f>
        <v>1</v>
      </c>
      <c r="CO65" s="358">
        <f>IF($C$44&lt;&gt;$I65,1,0)</f>
        <v>1</v>
      </c>
      <c r="CP65" s="358">
        <f>IF($C$45&lt;&gt;$J65,1,0)</f>
        <v>1</v>
      </c>
      <c r="CQ65" s="358">
        <f>IF($C$46&lt;&gt;$K65,1,0)</f>
        <v>1</v>
      </c>
      <c r="CR65" s="358">
        <f>IF($C$47&lt;&gt;$L65,1,0)</f>
        <v>1</v>
      </c>
      <c r="CS65" s="358">
        <f>IF($C$48&lt;&gt;$M65,1,0)</f>
        <v>1</v>
      </c>
    </row>
    <row r="66" spans="1:97" ht="18.75" customHeight="1" x14ac:dyDescent="0.2">
      <c r="A66" s="1628" t="s">
        <v>935</v>
      </c>
      <c r="B66" s="1829" t="s">
        <v>53</v>
      </c>
      <c r="C66" s="70" t="s">
        <v>49</v>
      </c>
      <c r="D66" s="546" t="s">
        <v>1550</v>
      </c>
      <c r="E66" s="497" t="s">
        <v>1551</v>
      </c>
      <c r="F66" s="499" t="s">
        <v>1552</v>
      </c>
      <c r="G66" s="499" t="s">
        <v>1553</v>
      </c>
      <c r="H66" s="499" t="s">
        <v>1554</v>
      </c>
      <c r="I66" s="499" t="s">
        <v>1555</v>
      </c>
      <c r="J66" s="499" t="s">
        <v>1556</v>
      </c>
      <c r="K66" s="499" t="s">
        <v>1557</v>
      </c>
      <c r="L66" s="499" t="s">
        <v>1558</v>
      </c>
      <c r="M66" s="501" t="s">
        <v>1559</v>
      </c>
      <c r="N66" s="343"/>
      <c r="CB66" s="354"/>
      <c r="CC66" s="354"/>
      <c r="CD66" s="354"/>
      <c r="CE66" s="354"/>
      <c r="CF66" s="354"/>
      <c r="CG66" s="354"/>
      <c r="CH66" s="354"/>
      <c r="CI66" s="354"/>
      <c r="CJ66" s="354"/>
      <c r="CK66" s="354"/>
      <c r="CL66" s="354"/>
      <c r="CM66" s="354"/>
      <c r="CN66" s="354"/>
      <c r="CO66" s="354"/>
      <c r="CP66" s="354"/>
      <c r="CQ66" s="354"/>
      <c r="CR66" s="354"/>
      <c r="CS66" s="354"/>
    </row>
    <row r="67" spans="1:97" ht="18.75" customHeight="1" x14ac:dyDescent="0.2">
      <c r="A67" s="1628" t="s">
        <v>936</v>
      </c>
      <c r="B67" s="1831"/>
      <c r="C67" s="71" t="s">
        <v>50</v>
      </c>
      <c r="D67" s="547" t="s">
        <v>1550</v>
      </c>
      <c r="E67" s="568" t="s">
        <v>1551</v>
      </c>
      <c r="F67" s="514" t="s">
        <v>1552</v>
      </c>
      <c r="G67" s="514" t="s">
        <v>1553</v>
      </c>
      <c r="H67" s="514" t="s">
        <v>1554</v>
      </c>
      <c r="I67" s="514" t="s">
        <v>1555</v>
      </c>
      <c r="J67" s="514" t="s">
        <v>1556</v>
      </c>
      <c r="K67" s="514" t="s">
        <v>1557</v>
      </c>
      <c r="L67" s="514" t="s">
        <v>1558</v>
      </c>
      <c r="M67" s="516" t="s">
        <v>1559</v>
      </c>
      <c r="N67" s="343"/>
      <c r="CB67" s="354"/>
      <c r="CC67" s="354"/>
      <c r="CD67" s="354"/>
      <c r="CE67" s="354"/>
      <c r="CF67" s="354"/>
      <c r="CG67" s="354"/>
      <c r="CH67" s="354"/>
      <c r="CI67" s="354"/>
      <c r="CJ67" s="354"/>
      <c r="CK67" s="354"/>
      <c r="CL67" s="354"/>
      <c r="CM67" s="354"/>
      <c r="CN67" s="354"/>
      <c r="CO67" s="354"/>
      <c r="CP67" s="354"/>
      <c r="CQ67" s="354"/>
      <c r="CR67" s="354"/>
      <c r="CS67" s="354"/>
    </row>
    <row r="68" spans="1:97" ht="18.75" customHeight="1" x14ac:dyDescent="0.2">
      <c r="A68" s="1628" t="s">
        <v>937</v>
      </c>
      <c r="B68" s="1831"/>
      <c r="C68" s="71" t="s">
        <v>51</v>
      </c>
      <c r="D68" s="547" t="s">
        <v>1550</v>
      </c>
      <c r="E68" s="568" t="s">
        <v>1551</v>
      </c>
      <c r="F68" s="514" t="s">
        <v>1552</v>
      </c>
      <c r="G68" s="514" t="s">
        <v>1553</v>
      </c>
      <c r="H68" s="514" t="s">
        <v>1554</v>
      </c>
      <c r="I68" s="514" t="s">
        <v>1555</v>
      </c>
      <c r="J68" s="514" t="s">
        <v>1556</v>
      </c>
      <c r="K68" s="514" t="s">
        <v>1557</v>
      </c>
      <c r="L68" s="514" t="s">
        <v>1558</v>
      </c>
      <c r="M68" s="516" t="s">
        <v>1559</v>
      </c>
      <c r="N68" s="343"/>
      <c r="CB68" s="354"/>
      <c r="CC68" s="354"/>
      <c r="CD68" s="354"/>
      <c r="CE68" s="354"/>
      <c r="CF68" s="354"/>
      <c r="CG68" s="354"/>
      <c r="CH68" s="354"/>
      <c r="CI68" s="354"/>
      <c r="CJ68" s="354"/>
      <c r="CK68" s="354"/>
      <c r="CL68" s="354"/>
      <c r="CM68" s="354"/>
      <c r="CN68" s="354"/>
      <c r="CO68" s="354"/>
      <c r="CP68" s="354"/>
      <c r="CQ68" s="354"/>
      <c r="CR68" s="354"/>
      <c r="CS68" s="354"/>
    </row>
    <row r="69" spans="1:97" ht="18.75" customHeight="1" x14ac:dyDescent="0.2">
      <c r="A69" s="1628" t="s">
        <v>938</v>
      </c>
      <c r="B69" s="1831"/>
      <c r="C69" s="72" t="s">
        <v>52</v>
      </c>
      <c r="D69" s="548" t="s">
        <v>1550</v>
      </c>
      <c r="E69" s="527" t="s">
        <v>1551</v>
      </c>
      <c r="F69" s="505" t="s">
        <v>1552</v>
      </c>
      <c r="G69" s="505" t="s">
        <v>1553</v>
      </c>
      <c r="H69" s="505" t="s">
        <v>1554</v>
      </c>
      <c r="I69" s="505" t="s">
        <v>1555</v>
      </c>
      <c r="J69" s="505" t="s">
        <v>1556</v>
      </c>
      <c r="K69" s="505" t="s">
        <v>1557</v>
      </c>
      <c r="L69" s="505" t="s">
        <v>1558</v>
      </c>
      <c r="M69" s="520" t="s">
        <v>1559</v>
      </c>
      <c r="N69" s="343"/>
      <c r="CB69" s="354"/>
      <c r="CC69" s="354"/>
      <c r="CD69" s="354"/>
      <c r="CE69" s="354"/>
      <c r="CF69" s="354"/>
      <c r="CG69" s="354"/>
      <c r="CH69" s="354"/>
      <c r="CI69" s="354"/>
      <c r="CJ69" s="354"/>
      <c r="CK69" s="354"/>
      <c r="CL69" s="354"/>
      <c r="CM69" s="354"/>
      <c r="CN69" s="354"/>
      <c r="CO69" s="354"/>
      <c r="CP69" s="354"/>
      <c r="CQ69" s="354"/>
      <c r="CR69" s="354"/>
      <c r="CS69" s="354"/>
    </row>
    <row r="70" spans="1:97" ht="21.75" customHeight="1" x14ac:dyDescent="0.2">
      <c r="A70" s="1629"/>
      <c r="B70" s="1830"/>
      <c r="C70" s="67" t="s">
        <v>13</v>
      </c>
      <c r="D70" s="550">
        <f>SUM(E70:M70)</f>
        <v>0</v>
      </c>
      <c r="E70" s="1033">
        <f>SUM(E66:E69)</f>
        <v>0</v>
      </c>
      <c r="F70" s="1034">
        <f>SUM(F66:F69)</f>
        <v>0</v>
      </c>
      <c r="G70" s="1034">
        <f t="shared" ref="G70:M70" si="31">SUM(G66:G69)</f>
        <v>0</v>
      </c>
      <c r="H70" s="1034">
        <f>SUM(H66:H69)</f>
        <v>0</v>
      </c>
      <c r="I70" s="1034">
        <f t="shared" si="31"/>
        <v>0</v>
      </c>
      <c r="J70" s="1034">
        <f t="shared" si="31"/>
        <v>0</v>
      </c>
      <c r="K70" s="1034">
        <f>SUM(K66:K69)</f>
        <v>0</v>
      </c>
      <c r="L70" s="1034">
        <f t="shared" si="31"/>
        <v>0</v>
      </c>
      <c r="M70" s="1030">
        <f t="shared" si="31"/>
        <v>0</v>
      </c>
      <c r="N70" s="343"/>
      <c r="CB70" s="354"/>
      <c r="CC70" s="354"/>
      <c r="CD70" s="354"/>
      <c r="CE70" s="354"/>
      <c r="CF70" s="354"/>
      <c r="CG70" s="354"/>
      <c r="CH70" s="354"/>
      <c r="CI70" s="354"/>
      <c r="CJ70" s="354"/>
      <c r="CK70" s="354"/>
      <c r="CL70" s="354"/>
      <c r="CM70" s="354"/>
      <c r="CN70" s="354"/>
      <c r="CO70" s="354"/>
      <c r="CP70" s="354"/>
      <c r="CQ70" s="354"/>
      <c r="CR70" s="354"/>
      <c r="CS70" s="354"/>
    </row>
    <row r="71" spans="1:97" ht="24.75" customHeight="1" x14ac:dyDescent="0.3">
      <c r="B71" s="412" t="s">
        <v>54</v>
      </c>
      <c r="C71" s="410"/>
      <c r="D71" s="410"/>
      <c r="E71" s="410"/>
      <c r="F71" s="410"/>
      <c r="G71" s="410"/>
      <c r="H71" s="410"/>
      <c r="I71" s="410"/>
      <c r="J71" s="410"/>
      <c r="K71" s="410"/>
      <c r="L71" s="410"/>
      <c r="M71" s="410"/>
      <c r="CB71" s="354"/>
      <c r="CC71" s="354"/>
      <c r="CD71" s="354"/>
      <c r="CE71" s="354"/>
      <c r="CF71" s="354"/>
      <c r="CG71" s="354"/>
      <c r="CH71" s="354"/>
      <c r="CI71" s="354"/>
      <c r="CJ71" s="354"/>
      <c r="CK71" s="354"/>
      <c r="CL71" s="354"/>
      <c r="CM71" s="354"/>
      <c r="CN71" s="354"/>
      <c r="CO71" s="354"/>
      <c r="CP71" s="354"/>
      <c r="CQ71" s="354"/>
      <c r="CR71" s="354"/>
      <c r="CS71" s="354"/>
    </row>
    <row r="72" spans="1:97" ht="24" customHeight="1" x14ac:dyDescent="0.2">
      <c r="B72" s="328" t="s">
        <v>55</v>
      </c>
      <c r="C72" s="325" t="s">
        <v>13</v>
      </c>
      <c r="D72" s="346"/>
      <c r="E72" s="58"/>
      <c r="F72" s="58"/>
      <c r="G72" s="58"/>
      <c r="H72" s="57"/>
      <c r="I72" s="57"/>
      <c r="CB72" s="354"/>
      <c r="CC72" s="354"/>
      <c r="CD72" s="354"/>
      <c r="CE72" s="354"/>
      <c r="CF72" s="354"/>
      <c r="CG72" s="354"/>
      <c r="CH72" s="354"/>
      <c r="CI72" s="354"/>
      <c r="CJ72" s="354"/>
      <c r="CK72" s="354"/>
      <c r="CL72" s="354"/>
      <c r="CM72" s="354"/>
      <c r="CN72" s="354"/>
      <c r="CO72" s="354"/>
      <c r="CP72" s="354"/>
      <c r="CQ72" s="354"/>
      <c r="CR72" s="354"/>
      <c r="CS72" s="354"/>
    </row>
    <row r="73" spans="1:97" ht="24.75" customHeight="1" x14ac:dyDescent="0.2">
      <c r="A73" s="1628" t="s">
        <v>939</v>
      </c>
      <c r="B73" s="73" t="s">
        <v>56</v>
      </c>
      <c r="C73" s="541" t="s">
        <v>1550</v>
      </c>
      <c r="D73" s="343"/>
      <c r="E73" s="57"/>
      <c r="F73" s="57"/>
      <c r="G73" s="57"/>
      <c r="H73" s="57"/>
      <c r="I73" s="57"/>
      <c r="CB73" s="348" t="str">
        <f>IF($C$73&lt;=$D$64,"","* Gestantes malnutricion no debe ser mayor que Gestantes en Control Bajo Peso (Seccion D). ")</f>
        <v/>
      </c>
      <c r="CC73" s="348"/>
      <c r="CD73" s="348"/>
      <c r="CE73" s="348"/>
      <c r="CF73" s="348"/>
      <c r="CG73" s="348"/>
      <c r="CH73" s="348"/>
      <c r="CI73" s="348"/>
      <c r="CJ73" s="348"/>
      <c r="CK73" s="358">
        <f>IF($C$73&lt;=$D$64,0,1)</f>
        <v>0</v>
      </c>
      <c r="CL73" s="354"/>
      <c r="CM73" s="354"/>
      <c r="CN73" s="354"/>
      <c r="CO73" s="354"/>
      <c r="CP73" s="354"/>
      <c r="CQ73" s="354"/>
      <c r="CR73" s="354"/>
      <c r="CS73" s="354"/>
    </row>
    <row r="74" spans="1:97" ht="24.75" customHeight="1" x14ac:dyDescent="0.2">
      <c r="A74" s="1628" t="s">
        <v>940</v>
      </c>
      <c r="B74" s="74" t="s">
        <v>57</v>
      </c>
      <c r="C74" s="542" t="s">
        <v>1550</v>
      </c>
      <c r="D74" s="343"/>
      <c r="E74" s="57"/>
      <c r="F74" s="57"/>
      <c r="G74" s="57"/>
      <c r="H74" s="57"/>
      <c r="I74" s="57"/>
      <c r="CB74" s="348" t="str">
        <f>IF($C$74&lt;=$D$61,"","* Gestantes malnutricion  por exceso - Obesa no debe ser mayor que Gestantes en Control Obesa (Seccion D). ")</f>
        <v/>
      </c>
      <c r="CC74" s="348"/>
      <c r="CD74" s="348"/>
      <c r="CE74" s="348"/>
      <c r="CF74" s="348"/>
      <c r="CG74" s="348"/>
      <c r="CH74" s="348"/>
      <c r="CI74" s="348"/>
      <c r="CJ74" s="348"/>
      <c r="CK74" s="358">
        <f>IF($C$74&lt;=$D$61,0,1)</f>
        <v>0</v>
      </c>
      <c r="CL74" s="354"/>
      <c r="CM74" s="354"/>
      <c r="CN74" s="354"/>
      <c r="CO74" s="354"/>
      <c r="CP74" s="354"/>
      <c r="CQ74" s="354"/>
      <c r="CR74" s="354"/>
      <c r="CS74" s="354"/>
    </row>
    <row r="75" spans="1:97" ht="24.75" customHeight="1" x14ac:dyDescent="0.2">
      <c r="A75" s="1628" t="s">
        <v>941</v>
      </c>
      <c r="B75" s="74" t="s">
        <v>58</v>
      </c>
      <c r="C75" s="542" t="s">
        <v>1550</v>
      </c>
      <c r="D75" s="343"/>
      <c r="E75" s="57"/>
      <c r="F75" s="57"/>
      <c r="G75" s="57"/>
      <c r="H75" s="57"/>
      <c r="I75" s="57"/>
      <c r="CB75" s="348" t="str">
        <f>IF($C$75&lt;=$D$62,"","* Gestantes malnutricion por exceso - Sobrepeso no debe ser mayor que Gestantes en Control Sobrepeso (Seccion D). ")</f>
        <v/>
      </c>
      <c r="CC75" s="348"/>
      <c r="CD75" s="348"/>
      <c r="CE75" s="348"/>
      <c r="CF75" s="348"/>
      <c r="CG75" s="348"/>
      <c r="CH75" s="348"/>
      <c r="CI75" s="348"/>
      <c r="CJ75" s="348"/>
      <c r="CK75" s="358">
        <f>IF($C$75&lt;=$D$62,0,1)</f>
        <v>0</v>
      </c>
      <c r="CL75" s="354"/>
      <c r="CM75" s="354"/>
      <c r="CN75" s="354"/>
      <c r="CO75" s="354"/>
      <c r="CP75" s="354"/>
      <c r="CQ75" s="354"/>
      <c r="CR75" s="354"/>
      <c r="CS75" s="354"/>
    </row>
    <row r="76" spans="1:97" ht="24.75" customHeight="1" x14ac:dyDescent="0.2">
      <c r="A76" s="1628" t="s">
        <v>942</v>
      </c>
      <c r="B76" s="74" t="s">
        <v>59</v>
      </c>
      <c r="C76" s="542" t="s">
        <v>1550</v>
      </c>
      <c r="D76" s="343"/>
      <c r="E76" s="57"/>
      <c r="F76" s="57"/>
      <c r="G76" s="57"/>
      <c r="H76" s="57"/>
      <c r="I76" s="57"/>
      <c r="CB76" s="354"/>
      <c r="CC76" s="354"/>
      <c r="CD76" s="354"/>
      <c r="CE76" s="354"/>
      <c r="CF76" s="354"/>
      <c r="CG76" s="354"/>
      <c r="CH76" s="354"/>
      <c r="CI76" s="354"/>
      <c r="CJ76" s="354"/>
      <c r="CK76" s="354"/>
      <c r="CL76" s="354"/>
      <c r="CM76" s="354"/>
      <c r="CN76" s="354"/>
      <c r="CO76" s="354"/>
      <c r="CP76" s="354"/>
      <c r="CQ76" s="354"/>
      <c r="CR76" s="354"/>
      <c r="CS76" s="354"/>
    </row>
    <row r="77" spans="1:97" ht="24.75" customHeight="1" x14ac:dyDescent="0.2">
      <c r="A77" s="1628" t="s">
        <v>943</v>
      </c>
      <c r="B77" s="75" t="s">
        <v>60</v>
      </c>
      <c r="C77" s="544" t="s">
        <v>1550</v>
      </c>
      <c r="D77" s="343"/>
      <c r="E77" s="57"/>
      <c r="F77" s="57"/>
      <c r="G77" s="57"/>
      <c r="H77" s="57"/>
      <c r="I77" s="57"/>
      <c r="CB77" s="354"/>
      <c r="CC77" s="354"/>
      <c r="CD77" s="354"/>
      <c r="CE77" s="354"/>
      <c r="CF77" s="354"/>
      <c r="CG77" s="354"/>
      <c r="CH77" s="354"/>
      <c r="CI77" s="354"/>
      <c r="CJ77" s="354"/>
      <c r="CK77" s="354"/>
      <c r="CL77" s="354"/>
      <c r="CM77" s="354"/>
      <c r="CN77" s="354"/>
      <c r="CO77" s="354"/>
      <c r="CP77" s="354"/>
      <c r="CQ77" s="354"/>
      <c r="CR77" s="354"/>
      <c r="CS77" s="354"/>
    </row>
    <row r="78" spans="1:97" ht="25.5" customHeight="1" x14ac:dyDescent="0.3">
      <c r="A78" s="1634"/>
      <c r="B78" s="1824" t="s">
        <v>61</v>
      </c>
      <c r="C78" s="1825"/>
      <c r="D78" s="1825"/>
      <c r="E78" s="1825"/>
      <c r="F78" s="1825"/>
      <c r="G78" s="57"/>
      <c r="H78" s="57"/>
      <c r="I78" s="57"/>
      <c r="CB78" s="354"/>
      <c r="CC78" s="354"/>
      <c r="CD78" s="354"/>
      <c r="CE78" s="354"/>
      <c r="CF78" s="354"/>
      <c r="CG78" s="354"/>
      <c r="CH78" s="354"/>
      <c r="CI78" s="354"/>
      <c r="CJ78" s="354"/>
      <c r="CK78" s="354"/>
      <c r="CL78" s="354"/>
      <c r="CM78" s="354"/>
      <c r="CN78" s="354"/>
      <c r="CO78" s="354"/>
      <c r="CP78" s="354"/>
      <c r="CQ78" s="354"/>
      <c r="CR78" s="354"/>
      <c r="CS78" s="354"/>
    </row>
    <row r="79" spans="1:97" ht="33.75" customHeight="1" x14ac:dyDescent="0.2">
      <c r="A79" s="1635"/>
      <c r="B79" s="325" t="s">
        <v>62</v>
      </c>
      <c r="C79" s="325" t="s">
        <v>63</v>
      </c>
      <c r="D79" s="58"/>
      <c r="E79" s="76"/>
      <c r="F79" s="58"/>
      <c r="G79" s="58"/>
      <c r="H79" s="57"/>
      <c r="I79" s="57"/>
      <c r="CB79" s="354"/>
      <c r="CC79" s="354"/>
      <c r="CD79" s="354"/>
      <c r="CE79" s="354"/>
      <c r="CF79" s="354"/>
      <c r="CG79" s="354"/>
      <c r="CH79" s="354"/>
      <c r="CI79" s="354"/>
      <c r="CJ79" s="354"/>
      <c r="CK79" s="354"/>
      <c r="CL79" s="354"/>
      <c r="CM79" s="354"/>
      <c r="CN79" s="354"/>
      <c r="CO79" s="354"/>
      <c r="CP79" s="354"/>
      <c r="CQ79" s="354"/>
      <c r="CR79" s="354"/>
      <c r="CS79" s="354"/>
    </row>
    <row r="80" spans="1:97" ht="21" customHeight="1" x14ac:dyDescent="0.2">
      <c r="A80" s="1628" t="s">
        <v>944</v>
      </c>
      <c r="B80" s="77" t="s">
        <v>64</v>
      </c>
      <c r="C80" s="551" t="s">
        <v>1550</v>
      </c>
      <c r="D80" s="343"/>
      <c r="E80" s="57"/>
      <c r="F80" s="57"/>
      <c r="G80" s="57"/>
      <c r="H80" s="57"/>
      <c r="I80" s="57"/>
      <c r="CB80" s="354"/>
      <c r="CC80" s="354"/>
      <c r="CD80" s="354"/>
      <c r="CE80" s="354"/>
      <c r="CF80" s="354"/>
      <c r="CG80" s="354"/>
      <c r="CH80" s="354"/>
      <c r="CI80" s="354"/>
      <c r="CJ80" s="354"/>
      <c r="CK80" s="354"/>
      <c r="CL80" s="354"/>
      <c r="CM80" s="354"/>
      <c r="CN80" s="354"/>
      <c r="CO80" s="354"/>
      <c r="CP80" s="354"/>
      <c r="CQ80" s="354"/>
      <c r="CR80" s="354"/>
      <c r="CS80" s="354"/>
    </row>
    <row r="81" spans="1:97" ht="24.75" customHeight="1" x14ac:dyDescent="0.2">
      <c r="A81" s="1628" t="s">
        <v>945</v>
      </c>
      <c r="B81" s="295" t="s">
        <v>65</v>
      </c>
      <c r="C81" s="512" t="s">
        <v>1550</v>
      </c>
      <c r="D81" s="343"/>
      <c r="E81" s="57"/>
      <c r="F81" s="57"/>
      <c r="G81" s="57"/>
      <c r="H81" s="57"/>
      <c r="I81" s="57"/>
      <c r="CB81" s="348" t="str">
        <f>IF($C81&gt;$C80,"* El Nº de mujeres con pauta aplicada MRS* no debe ser mayor a la población de mujeres en control de climaterio. ","")</f>
        <v/>
      </c>
      <c r="CC81" s="354"/>
      <c r="CD81" s="354"/>
      <c r="CE81" s="354"/>
      <c r="CF81" s="354"/>
      <c r="CG81" s="354"/>
      <c r="CH81" s="354"/>
      <c r="CI81" s="354"/>
      <c r="CJ81" s="354"/>
      <c r="CK81" s="358">
        <f>IF($C81&gt;$C80,1,0)</f>
        <v>0</v>
      </c>
      <c r="CL81" s="354"/>
      <c r="CM81" s="354"/>
      <c r="CN81" s="354"/>
      <c r="CO81" s="354"/>
      <c r="CP81" s="354"/>
      <c r="CQ81" s="354"/>
      <c r="CR81" s="354"/>
      <c r="CS81" s="354"/>
    </row>
    <row r="82" spans="1:97" ht="22.5" customHeight="1" x14ac:dyDescent="0.2">
      <c r="A82" s="1628" t="s">
        <v>946</v>
      </c>
      <c r="B82" s="296" t="s">
        <v>620</v>
      </c>
      <c r="C82" s="524" t="s">
        <v>1550</v>
      </c>
      <c r="D82" s="343"/>
      <c r="E82" s="57"/>
      <c r="F82" s="57"/>
      <c r="G82" s="57"/>
      <c r="H82" s="57"/>
      <c r="I82" s="57"/>
      <c r="CB82" s="348" t="str">
        <f>IF($C82&gt;$C81,"* El Nº de Mujeres con MRS elevado* no debe ser mayor al Nº de Mujeres con pauta aplicada MRS*. ","")</f>
        <v/>
      </c>
      <c r="CC82" s="354"/>
      <c r="CD82" s="354"/>
      <c r="CE82" s="354"/>
      <c r="CF82" s="354"/>
      <c r="CG82" s="354"/>
      <c r="CH82" s="354"/>
      <c r="CI82" s="354"/>
      <c r="CJ82" s="354"/>
      <c r="CK82" s="358">
        <f>IF($C82&gt;$C81,1,0)</f>
        <v>0</v>
      </c>
      <c r="CL82" s="354"/>
      <c r="CM82" s="354"/>
      <c r="CN82" s="354"/>
      <c r="CO82" s="354"/>
      <c r="CP82" s="354"/>
      <c r="CQ82" s="354"/>
      <c r="CR82" s="354"/>
      <c r="CS82" s="354"/>
    </row>
    <row r="83" spans="1:97" ht="32.25" customHeight="1" x14ac:dyDescent="0.2">
      <c r="A83" s="1628" t="s">
        <v>947</v>
      </c>
      <c r="B83" s="296" t="s">
        <v>801</v>
      </c>
      <c r="C83" s="516" t="s">
        <v>1550</v>
      </c>
      <c r="D83" s="343"/>
      <c r="E83" s="57"/>
      <c r="F83" s="57"/>
      <c r="G83" s="57"/>
      <c r="H83" s="57"/>
      <c r="I83" s="57"/>
      <c r="CB83" s="348" t="str">
        <f>IF($C83&gt;$C82,"* El Nº de Mujeres con aplicación de terapia hormonal de la menopausia según MRS* no debe ser mayor que el numero de Mujeres con MRS elevado*. ","")</f>
        <v/>
      </c>
      <c r="CC83" s="354"/>
      <c r="CD83" s="354"/>
      <c r="CE83" s="354"/>
      <c r="CF83" s="354"/>
      <c r="CG83" s="354"/>
      <c r="CH83" s="354"/>
      <c r="CI83" s="354"/>
      <c r="CJ83" s="354"/>
      <c r="CK83" s="358">
        <f>IF($C83&gt;$C82,1,0)</f>
        <v>0</v>
      </c>
      <c r="CL83" s="354"/>
      <c r="CM83" s="354"/>
      <c r="CN83" s="354"/>
      <c r="CO83" s="354"/>
      <c r="CP83" s="354"/>
      <c r="CQ83" s="354"/>
      <c r="CR83" s="354"/>
      <c r="CS83" s="354"/>
    </row>
    <row r="84" spans="1:97" ht="21.75" customHeight="1" x14ac:dyDescent="0.2">
      <c r="A84" s="1630" t="s">
        <v>948</v>
      </c>
      <c r="B84" s="1370" t="s">
        <v>720</v>
      </c>
      <c r="C84" s="508" t="s">
        <v>1550</v>
      </c>
      <c r="D84" s="343"/>
      <c r="E84" s="57"/>
      <c r="F84" s="57"/>
      <c r="G84" s="57"/>
      <c r="H84" s="57"/>
      <c r="I84" s="57"/>
      <c r="CB84" s="354"/>
      <c r="CC84" s="354"/>
      <c r="CD84" s="354"/>
      <c r="CE84" s="354"/>
      <c r="CF84" s="354"/>
      <c r="CG84" s="354"/>
      <c r="CH84" s="354"/>
      <c r="CI84" s="354"/>
      <c r="CJ84" s="354"/>
      <c r="CK84" s="354"/>
      <c r="CL84" s="354"/>
      <c r="CM84" s="354"/>
      <c r="CN84" s="354"/>
      <c r="CO84" s="354"/>
      <c r="CP84" s="354"/>
      <c r="CQ84" s="354"/>
      <c r="CR84" s="354"/>
      <c r="CS84" s="354"/>
    </row>
    <row r="85" spans="1:97" ht="24.75" customHeight="1" x14ac:dyDescent="0.2">
      <c r="B85" s="1826" t="s">
        <v>66</v>
      </c>
      <c r="C85" s="1826"/>
      <c r="D85" s="78"/>
      <c r="E85" s="57"/>
      <c r="F85" s="57"/>
      <c r="G85" s="57"/>
      <c r="H85" s="57"/>
      <c r="I85" s="57"/>
      <c r="CB85" s="354"/>
      <c r="CC85" s="354"/>
      <c r="CD85" s="354"/>
      <c r="CE85" s="354"/>
      <c r="CF85" s="354"/>
      <c r="CG85" s="354"/>
      <c r="CH85" s="354"/>
      <c r="CI85" s="354"/>
      <c r="CJ85" s="354"/>
      <c r="CK85" s="354"/>
      <c r="CL85" s="354"/>
      <c r="CM85" s="354"/>
      <c r="CN85" s="354"/>
      <c r="CO85" s="354"/>
      <c r="CP85" s="354"/>
      <c r="CQ85" s="354"/>
      <c r="CR85" s="354"/>
      <c r="CS85" s="354"/>
    </row>
    <row r="86" spans="1:97" ht="17.25" customHeight="1" x14ac:dyDescent="0.3">
      <c r="B86" s="1187" t="s">
        <v>470</v>
      </c>
      <c r="C86" s="413"/>
      <c r="D86" s="404"/>
      <c r="E86" s="404"/>
      <c r="F86" s="404"/>
      <c r="G86" s="404"/>
      <c r="H86" s="404"/>
      <c r="I86" s="404"/>
      <c r="J86" s="404"/>
      <c r="K86" s="404"/>
      <c r="L86" s="409"/>
      <c r="M86" s="409"/>
      <c r="N86" s="409"/>
      <c r="O86" s="409"/>
      <c r="CB86" s="354"/>
      <c r="CC86" s="354"/>
      <c r="CD86" s="354"/>
      <c r="CE86" s="354"/>
      <c r="CF86" s="354"/>
      <c r="CG86" s="354"/>
      <c r="CH86" s="354"/>
      <c r="CI86" s="354"/>
      <c r="CJ86" s="354"/>
      <c r="CK86" s="354"/>
      <c r="CL86" s="354"/>
      <c r="CM86" s="354"/>
      <c r="CN86" s="354"/>
      <c r="CO86" s="354"/>
      <c r="CP86" s="354"/>
      <c r="CQ86" s="354"/>
      <c r="CR86" s="354"/>
      <c r="CS86" s="354"/>
    </row>
    <row r="87" spans="1:97" ht="24.75" customHeight="1" x14ac:dyDescent="0.2">
      <c r="B87" s="1895" t="s">
        <v>12</v>
      </c>
      <c r="C87" s="1896"/>
      <c r="D87" s="1899" t="s">
        <v>13</v>
      </c>
      <c r="E87" s="1843" t="s">
        <v>14</v>
      </c>
      <c r="F87" s="1844"/>
      <c r="G87" s="1844"/>
      <c r="H87" s="1844"/>
      <c r="I87" s="1845"/>
      <c r="J87" s="1901" t="s">
        <v>15</v>
      </c>
      <c r="K87" s="1848" t="s">
        <v>804</v>
      </c>
      <c r="CB87" s="354"/>
      <c r="CC87" s="354"/>
      <c r="CD87" s="354"/>
      <c r="CE87" s="354"/>
      <c r="CF87" s="354"/>
      <c r="CG87" s="354"/>
      <c r="CH87" s="354"/>
      <c r="CI87" s="354"/>
      <c r="CJ87" s="354"/>
      <c r="CK87" s="354"/>
      <c r="CL87" s="354"/>
      <c r="CM87" s="354"/>
      <c r="CN87" s="354"/>
      <c r="CO87" s="354"/>
      <c r="CP87" s="354"/>
      <c r="CQ87" s="354"/>
      <c r="CR87" s="354"/>
      <c r="CS87" s="354"/>
    </row>
    <row r="88" spans="1:97" ht="24.75" customHeight="1" x14ac:dyDescent="0.2">
      <c r="B88" s="1897"/>
      <c r="C88" s="1898"/>
      <c r="D88" s="1900"/>
      <c r="E88" s="300" t="s">
        <v>477</v>
      </c>
      <c r="F88" s="301" t="s">
        <v>23</v>
      </c>
      <c r="G88" s="301" t="s">
        <v>24</v>
      </c>
      <c r="H88" s="302" t="s">
        <v>478</v>
      </c>
      <c r="I88" s="302" t="s">
        <v>209</v>
      </c>
      <c r="J88" s="1902"/>
      <c r="K88" s="1849"/>
      <c r="CB88" s="354"/>
      <c r="CC88" s="354"/>
      <c r="CD88" s="354"/>
      <c r="CE88" s="354"/>
      <c r="CF88" s="354"/>
      <c r="CG88" s="354"/>
      <c r="CH88" s="354"/>
      <c r="CI88" s="354"/>
      <c r="CJ88" s="354"/>
      <c r="CK88" s="354"/>
      <c r="CL88" s="354"/>
      <c r="CM88" s="354"/>
      <c r="CN88" s="354"/>
      <c r="CO88" s="354"/>
      <c r="CP88" s="354"/>
      <c r="CQ88" s="354"/>
      <c r="CR88" s="354"/>
      <c r="CS88" s="354"/>
    </row>
    <row r="89" spans="1:97" ht="18" customHeight="1" x14ac:dyDescent="0.2">
      <c r="A89" s="1628" t="s">
        <v>949</v>
      </c>
      <c r="B89" s="1880" t="s">
        <v>471</v>
      </c>
      <c r="C89" s="1881"/>
      <c r="D89" s="552" t="s">
        <v>1550</v>
      </c>
      <c r="E89" s="553" t="s">
        <v>1551</v>
      </c>
      <c r="F89" s="554" t="s">
        <v>1552</v>
      </c>
      <c r="G89" s="554" t="s">
        <v>1553</v>
      </c>
      <c r="H89" s="554" t="s">
        <v>1554</v>
      </c>
      <c r="I89" s="554" t="s">
        <v>1555</v>
      </c>
      <c r="J89" s="1026" t="s">
        <v>1556</v>
      </c>
      <c r="K89" s="555" t="s">
        <v>1557</v>
      </c>
      <c r="L89" s="343" t="str">
        <f>($CB89&amp;$CC89&amp;$CD89&amp;$CE89&amp;$CF89&amp;$CG89&amp;$CH89&amp;$CI89&amp;$CJ89)</f>
        <v xml:space="preserve">* La celda 'Pueblos Originarios' debe ser menor o igual al Total en control. * La celda 'Población Migrantes' debe ser menor o igual al Total en control. </v>
      </c>
      <c r="CB89" s="348" t="str">
        <f>IF($J89&gt;$D89,"* La celda 'Pueblos Originarios' debe ser menor o igual al Total en control. ","")</f>
        <v xml:space="preserve">* La celda 'Pueblos Originarios' debe ser menor o igual al Total en control. </v>
      </c>
      <c r="CC89" s="348" t="str">
        <f>IF($K89&gt;$D89,"* La celda 'Población Migrantes' debe ser menor o igual al Total en control. ","")</f>
        <v xml:space="preserve">* La celda 'Población Migrantes' debe ser menor o igual al Total en control. </v>
      </c>
      <c r="CD89" s="348" t="str">
        <f>IF(AND($D89&lt;&gt;0,$J89=""),"* No olvide escribir en la celda de 'Pueblos Originarios' (Digite CERO si no tiene). ","")</f>
        <v/>
      </c>
      <c r="CE89" s="348" t="str">
        <f>IF(AND($D89&lt;&gt;0,$K89=""),"* No olvide escribir en la celda de 'Población Migrantes' (Digite CERO si no tiene). ","")</f>
        <v/>
      </c>
      <c r="CF89" s="354"/>
      <c r="CG89" s="354"/>
      <c r="CH89" s="354"/>
      <c r="CI89" s="354"/>
      <c r="CJ89" s="354"/>
      <c r="CK89" s="358">
        <f t="shared" ref="CK89:CK95" si="32">IF($J89&gt;$D89,1,0)</f>
        <v>1</v>
      </c>
      <c r="CL89" s="358">
        <f t="shared" ref="CL89:CL95" si="33">IF($K89&gt;$D89,1,0)</f>
        <v>1</v>
      </c>
      <c r="CM89" s="358">
        <f t="shared" ref="CM89:CM95" si="34">IF(AND($D89&lt;&gt;0,$J89=""),1,0)</f>
        <v>0</v>
      </c>
      <c r="CN89" s="358">
        <f t="shared" ref="CN89:CN95" si="35">IF(AND($D89&lt;&gt;0,$K89=""),1,0)</f>
        <v>0</v>
      </c>
      <c r="CO89" s="354"/>
      <c r="CP89" s="354"/>
      <c r="CQ89" s="354"/>
      <c r="CR89" s="354"/>
      <c r="CS89" s="354"/>
    </row>
    <row r="90" spans="1:97" ht="18" customHeight="1" x14ac:dyDescent="0.2">
      <c r="A90" s="1628" t="s">
        <v>950</v>
      </c>
      <c r="B90" s="303" t="s">
        <v>472</v>
      </c>
      <c r="C90" s="304"/>
      <c r="D90" s="556" t="s">
        <v>1550</v>
      </c>
      <c r="E90" s="557" t="s">
        <v>1551</v>
      </c>
      <c r="F90" s="557" t="s">
        <v>1552</v>
      </c>
      <c r="G90" s="558" t="s">
        <v>1553</v>
      </c>
      <c r="H90" s="558" t="s">
        <v>1554</v>
      </c>
      <c r="I90" s="558" t="s">
        <v>1555</v>
      </c>
      <c r="J90" s="1027" t="s">
        <v>1556</v>
      </c>
      <c r="K90" s="559" t="s">
        <v>1557</v>
      </c>
      <c r="L90" s="343" t="str">
        <f t="shared" ref="L90:L95" si="36">($CB90&amp;$CC90&amp;$CD90&amp;$CE90&amp;$CF90&amp;$CG90&amp;$CH90&amp;$CI90&amp;$CJ90)</f>
        <v xml:space="preserve">* La celda 'Pueblos Originarios' debe ser menor o igual al Total en control. * La celda 'Población Migrantes' debe ser menor o igual al Total en control. </v>
      </c>
      <c r="CB90" s="348" t="str">
        <f t="shared" ref="CB90:CB94" si="37">IF($J90&gt;$D90,"* La celda 'Pueblos Originarios' debe ser menor o igual al Total en control. ","")</f>
        <v xml:space="preserve">* La celda 'Pueblos Originarios' debe ser menor o igual al Total en control. </v>
      </c>
      <c r="CC90" s="348" t="str">
        <f t="shared" ref="CC90:CC94" si="38">IF($K90&gt;$D90,"* La celda 'Población Migrantes' debe ser menor o igual al Total en control. ","")</f>
        <v xml:space="preserve">* La celda 'Población Migrantes' debe ser menor o igual al Total en control. </v>
      </c>
      <c r="CD90" s="348" t="str">
        <f t="shared" ref="CD90:CD94" si="39">IF(AND($D90&lt;&gt;0,$J90=""),"* No olvide escribir en la celda de 'Pueblos Originarios' (Digite CERO si no tiene). ","")</f>
        <v/>
      </c>
      <c r="CE90" s="348" t="str">
        <f t="shared" ref="CE90:CE93" si="40">IF(AND($D90&lt;&gt;0,$K90=""),"* No olvide escribir en la celda de 'Población Migrantes' (Digite CERO si no tiene). ","")</f>
        <v/>
      </c>
      <c r="CF90" s="354"/>
      <c r="CG90" s="354"/>
      <c r="CH90" s="354"/>
      <c r="CI90" s="354"/>
      <c r="CJ90" s="354"/>
      <c r="CK90" s="358">
        <f t="shared" si="32"/>
        <v>1</v>
      </c>
      <c r="CL90" s="358">
        <f t="shared" si="33"/>
        <v>1</v>
      </c>
      <c r="CM90" s="358">
        <f t="shared" si="34"/>
        <v>0</v>
      </c>
      <c r="CN90" s="358">
        <f t="shared" si="35"/>
        <v>0</v>
      </c>
      <c r="CO90" s="354"/>
      <c r="CP90" s="354"/>
      <c r="CQ90" s="354"/>
      <c r="CR90" s="354"/>
      <c r="CS90" s="354"/>
    </row>
    <row r="91" spans="1:97" ht="18" customHeight="1" x14ac:dyDescent="0.2">
      <c r="A91" s="1628" t="s">
        <v>951</v>
      </c>
      <c r="B91" s="1893" t="s">
        <v>473</v>
      </c>
      <c r="C91" s="1894"/>
      <c r="D91" s="560" t="s">
        <v>1550</v>
      </c>
      <c r="E91" s="561" t="s">
        <v>1551</v>
      </c>
      <c r="F91" s="561" t="s">
        <v>1552</v>
      </c>
      <c r="G91" s="561" t="s">
        <v>1553</v>
      </c>
      <c r="H91" s="561" t="s">
        <v>1554</v>
      </c>
      <c r="I91" s="561" t="s">
        <v>1555</v>
      </c>
      <c r="J91" s="1028" t="s">
        <v>1556</v>
      </c>
      <c r="K91" s="562" t="s">
        <v>1557</v>
      </c>
      <c r="L91" s="343" t="str">
        <f t="shared" si="36"/>
        <v xml:space="preserve">* La celda 'Pueblos Originarios' debe ser menor o igual al Total en control. * La celda 'Población Migrantes' debe ser menor o igual al Total en control. </v>
      </c>
      <c r="CB91" s="348" t="str">
        <f t="shared" si="37"/>
        <v xml:space="preserve">* La celda 'Pueblos Originarios' debe ser menor o igual al Total en control. </v>
      </c>
      <c r="CC91" s="348" t="str">
        <f t="shared" si="38"/>
        <v xml:space="preserve">* La celda 'Población Migrantes' debe ser menor o igual al Total en control. </v>
      </c>
      <c r="CD91" s="348" t="str">
        <f t="shared" si="39"/>
        <v/>
      </c>
      <c r="CE91" s="348" t="str">
        <f t="shared" si="40"/>
        <v/>
      </c>
      <c r="CF91" s="354"/>
      <c r="CG91" s="354"/>
      <c r="CH91" s="354"/>
      <c r="CI91" s="354"/>
      <c r="CJ91" s="354"/>
      <c r="CK91" s="358">
        <f t="shared" si="32"/>
        <v>1</v>
      </c>
      <c r="CL91" s="358">
        <f t="shared" si="33"/>
        <v>1</v>
      </c>
      <c r="CM91" s="358">
        <f t="shared" si="34"/>
        <v>0</v>
      </c>
      <c r="CN91" s="358">
        <f t="shared" si="35"/>
        <v>0</v>
      </c>
      <c r="CO91" s="354"/>
      <c r="CP91" s="354"/>
      <c r="CQ91" s="354"/>
      <c r="CR91" s="354"/>
      <c r="CS91" s="354"/>
    </row>
    <row r="92" spans="1:97" ht="18" customHeight="1" x14ac:dyDescent="0.2">
      <c r="A92" s="1628" t="s">
        <v>952</v>
      </c>
      <c r="B92" s="1837" t="s">
        <v>474</v>
      </c>
      <c r="C92" s="1838"/>
      <c r="D92" s="556" t="s">
        <v>1550</v>
      </c>
      <c r="E92" s="557" t="s">
        <v>1551</v>
      </c>
      <c r="F92" s="557" t="s">
        <v>1552</v>
      </c>
      <c r="G92" s="557" t="s">
        <v>1553</v>
      </c>
      <c r="H92" s="557" t="s">
        <v>1554</v>
      </c>
      <c r="I92" s="557" t="s">
        <v>1555</v>
      </c>
      <c r="J92" s="1027" t="s">
        <v>1556</v>
      </c>
      <c r="K92" s="559" t="s">
        <v>1557</v>
      </c>
      <c r="L92" s="343" t="str">
        <f t="shared" si="36"/>
        <v xml:space="preserve">* La celda 'Pueblos Originarios' debe ser menor o igual al Total en control. * La celda 'Población Migrantes' debe ser menor o igual al Total en control. </v>
      </c>
      <c r="CB92" s="348" t="str">
        <f t="shared" si="37"/>
        <v xml:space="preserve">* La celda 'Pueblos Originarios' debe ser menor o igual al Total en control. </v>
      </c>
      <c r="CC92" s="348" t="str">
        <f t="shared" si="38"/>
        <v xml:space="preserve">* La celda 'Población Migrantes' debe ser menor o igual al Total en control. </v>
      </c>
      <c r="CD92" s="348" t="str">
        <f t="shared" si="39"/>
        <v/>
      </c>
      <c r="CE92" s="348" t="str">
        <f t="shared" si="40"/>
        <v/>
      </c>
      <c r="CF92" s="354"/>
      <c r="CG92" s="354"/>
      <c r="CH92" s="354"/>
      <c r="CI92" s="354"/>
      <c r="CJ92" s="354"/>
      <c r="CK92" s="358">
        <f t="shared" si="32"/>
        <v>1</v>
      </c>
      <c r="CL92" s="358">
        <f t="shared" si="33"/>
        <v>1</v>
      </c>
      <c r="CM92" s="358">
        <f t="shared" si="34"/>
        <v>0</v>
      </c>
      <c r="CN92" s="358">
        <f t="shared" si="35"/>
        <v>0</v>
      </c>
      <c r="CO92" s="354"/>
      <c r="CP92" s="354"/>
      <c r="CQ92" s="354"/>
      <c r="CR92" s="354"/>
      <c r="CS92" s="354"/>
    </row>
    <row r="93" spans="1:97" ht="18" customHeight="1" x14ac:dyDescent="0.2">
      <c r="A93" s="1628" t="s">
        <v>953</v>
      </c>
      <c r="B93" s="1837" t="s">
        <v>475</v>
      </c>
      <c r="C93" s="1838"/>
      <c r="D93" s="556" t="s">
        <v>1550</v>
      </c>
      <c r="E93" s="557" t="s">
        <v>1551</v>
      </c>
      <c r="F93" s="557" t="s">
        <v>1552</v>
      </c>
      <c r="G93" s="557" t="s">
        <v>1553</v>
      </c>
      <c r="H93" s="557" t="s">
        <v>1554</v>
      </c>
      <c r="I93" s="557" t="s">
        <v>1555</v>
      </c>
      <c r="J93" s="1027" t="s">
        <v>1556</v>
      </c>
      <c r="K93" s="559" t="s">
        <v>1557</v>
      </c>
      <c r="L93" s="343" t="str">
        <f t="shared" si="36"/>
        <v xml:space="preserve">* La celda 'Pueblos Originarios' debe ser menor o igual al Total en control. * La celda 'Población Migrantes' debe ser menor o igual al Total en control. </v>
      </c>
      <c r="CB93" s="348" t="str">
        <f t="shared" si="37"/>
        <v xml:space="preserve">* La celda 'Pueblos Originarios' debe ser menor o igual al Total en control. </v>
      </c>
      <c r="CC93" s="348" t="str">
        <f t="shared" si="38"/>
        <v xml:space="preserve">* La celda 'Población Migrantes' debe ser menor o igual al Total en control. </v>
      </c>
      <c r="CD93" s="348" t="str">
        <f t="shared" si="39"/>
        <v/>
      </c>
      <c r="CE93" s="348" t="str">
        <f t="shared" si="40"/>
        <v/>
      </c>
      <c r="CF93" s="354"/>
      <c r="CG93" s="354"/>
      <c r="CH93" s="354"/>
      <c r="CI93" s="354"/>
      <c r="CJ93" s="354"/>
      <c r="CK93" s="358">
        <f t="shared" si="32"/>
        <v>1</v>
      </c>
      <c r="CL93" s="358">
        <f t="shared" si="33"/>
        <v>1</v>
      </c>
      <c r="CM93" s="358">
        <f>IF(AND($D93&lt;&gt;0,$J93=""),1,0)</f>
        <v>0</v>
      </c>
      <c r="CN93" s="358">
        <f t="shared" si="35"/>
        <v>0</v>
      </c>
      <c r="CO93" s="354"/>
      <c r="CP93" s="354"/>
      <c r="CQ93" s="354"/>
      <c r="CR93" s="354"/>
      <c r="CS93" s="354"/>
    </row>
    <row r="94" spans="1:97" ht="18" customHeight="1" x14ac:dyDescent="0.2">
      <c r="A94" s="1628" t="s">
        <v>954</v>
      </c>
      <c r="B94" s="1837" t="s">
        <v>476</v>
      </c>
      <c r="C94" s="1838"/>
      <c r="D94" s="556" t="s">
        <v>1550</v>
      </c>
      <c r="E94" s="557" t="s">
        <v>1551</v>
      </c>
      <c r="F94" s="557" t="s">
        <v>1552</v>
      </c>
      <c r="G94" s="557" t="s">
        <v>1553</v>
      </c>
      <c r="H94" s="557" t="s">
        <v>1554</v>
      </c>
      <c r="I94" s="557" t="s">
        <v>1555</v>
      </c>
      <c r="J94" s="1027" t="s">
        <v>1556</v>
      </c>
      <c r="K94" s="559" t="s">
        <v>1557</v>
      </c>
      <c r="L94" s="343" t="str">
        <f t="shared" si="36"/>
        <v xml:space="preserve">* La celda 'Pueblos Originarios' debe ser menor o igual al Total en control. * La celda 'Población Migrantes' debe ser menor o igual al Total en control. </v>
      </c>
      <c r="CB94" s="348" t="str">
        <f t="shared" si="37"/>
        <v xml:space="preserve">* La celda 'Pueblos Originarios' debe ser menor o igual al Total en control. </v>
      </c>
      <c r="CC94" s="348" t="str">
        <f t="shared" si="38"/>
        <v xml:space="preserve">* La celda 'Población Migrantes' debe ser menor o igual al Total en control. </v>
      </c>
      <c r="CD94" s="348" t="str">
        <f t="shared" si="39"/>
        <v/>
      </c>
      <c r="CE94" s="348" t="str">
        <f>IF(AND($D94&lt;&gt;0,$K94=""),"* No olvide escribir en la celda de 'Población Migrantes' (Digite CERO si no tiene). ","")</f>
        <v/>
      </c>
      <c r="CF94" s="354"/>
      <c r="CG94" s="354"/>
      <c r="CH94" s="354"/>
      <c r="CI94" s="354"/>
      <c r="CJ94" s="354"/>
      <c r="CK94" s="358">
        <f t="shared" si="32"/>
        <v>1</v>
      </c>
      <c r="CL94" s="358">
        <f t="shared" si="33"/>
        <v>1</v>
      </c>
      <c r="CM94" s="358">
        <f t="shared" si="34"/>
        <v>0</v>
      </c>
      <c r="CN94" s="358">
        <f t="shared" si="35"/>
        <v>0</v>
      </c>
      <c r="CO94" s="354"/>
      <c r="CP94" s="354"/>
      <c r="CQ94" s="354"/>
      <c r="CR94" s="354"/>
      <c r="CS94" s="354"/>
    </row>
    <row r="95" spans="1:97" ht="18" customHeight="1" x14ac:dyDescent="0.2">
      <c r="A95" s="1628" t="s">
        <v>955</v>
      </c>
      <c r="B95" s="1835" t="s">
        <v>721</v>
      </c>
      <c r="C95" s="1836"/>
      <c r="D95" s="563" t="s">
        <v>1550</v>
      </c>
      <c r="E95" s="1184" t="s">
        <v>1551</v>
      </c>
      <c r="F95" s="1184" t="s">
        <v>1552</v>
      </c>
      <c r="G95" s="1184" t="s">
        <v>1553</v>
      </c>
      <c r="H95" s="1184" t="s">
        <v>1554</v>
      </c>
      <c r="I95" s="1184" t="s">
        <v>1555</v>
      </c>
      <c r="J95" s="1185" t="s">
        <v>1556</v>
      </c>
      <c r="K95" s="1186" t="s">
        <v>1557</v>
      </c>
      <c r="L95" s="343" t="str">
        <f t="shared" si="36"/>
        <v xml:space="preserve">* La celda 'Pueblos Originarios' debe ser menor o igual al Total en control. * La celda 'Población Migrantes' debe ser menor o igual al Total en control. </v>
      </c>
      <c r="CB95" s="348" t="str">
        <f>IF($J95&gt;$D95,"* La celda 'Pueblos Originarios' debe ser menor o igual al Total en control. ","")</f>
        <v xml:space="preserve">* La celda 'Pueblos Originarios' debe ser menor o igual al Total en control. </v>
      </c>
      <c r="CC95" s="348" t="str">
        <f>IF($K95&gt;$D95,"* La celda 'Población Migrantes' debe ser menor o igual al Total en control. ","")</f>
        <v xml:space="preserve">* La celda 'Población Migrantes' debe ser menor o igual al Total en control. </v>
      </c>
      <c r="CD95" s="348" t="str">
        <f>IF(AND($D95&lt;&gt;0,$J95=""),"* No olvide escribir en la celda de 'Pueblos Originarios' (Digite CERO si no tiene). ","")</f>
        <v/>
      </c>
      <c r="CE95" s="348" t="str">
        <f>IF(AND($D95&lt;&gt;0,$K95=""),"* No olvide escribir en la celda de 'Población Migrantes' (Digite CERO si no tiene). ","")</f>
        <v/>
      </c>
      <c r="CF95" s="354"/>
      <c r="CG95" s="354"/>
      <c r="CH95" s="354"/>
      <c r="CI95" s="354"/>
      <c r="CJ95" s="354"/>
      <c r="CK95" s="358">
        <f t="shared" si="32"/>
        <v>1</v>
      </c>
      <c r="CL95" s="358">
        <f t="shared" si="33"/>
        <v>1</v>
      </c>
      <c r="CM95" s="358">
        <f t="shared" si="34"/>
        <v>0</v>
      </c>
      <c r="CN95" s="358">
        <f t="shared" si="35"/>
        <v>0</v>
      </c>
      <c r="CO95" s="354"/>
      <c r="CP95" s="354"/>
      <c r="CQ95" s="354"/>
      <c r="CR95" s="354"/>
      <c r="CS95" s="354"/>
    </row>
    <row r="96" spans="1:97" ht="27" customHeight="1" x14ac:dyDescent="0.3">
      <c r="B96" s="411" t="s">
        <v>502</v>
      </c>
      <c r="C96" s="409"/>
      <c r="D96" s="409"/>
      <c r="E96" s="409"/>
      <c r="F96" s="409"/>
      <c r="G96" s="409"/>
      <c r="H96" s="409"/>
      <c r="I96" s="409"/>
    </row>
    <row r="97" spans="1:89" ht="25.5" customHeight="1" x14ac:dyDescent="0.2">
      <c r="B97" s="1829" t="s">
        <v>62</v>
      </c>
      <c r="C97" s="1903" t="s">
        <v>343</v>
      </c>
      <c r="D97" s="1834"/>
      <c r="E97" s="1904" t="s">
        <v>836</v>
      </c>
      <c r="F97" s="1906" t="s">
        <v>837</v>
      </c>
      <c r="G97" s="58"/>
      <c r="H97" s="58"/>
      <c r="I97" s="57"/>
      <c r="J97" s="57"/>
      <c r="X97" s="291"/>
      <c r="Y97" s="307"/>
      <c r="BJ97" s="291"/>
    </row>
    <row r="98" spans="1:89" ht="23.25" customHeight="1" x14ac:dyDescent="0.2">
      <c r="B98" s="1830"/>
      <c r="C98" s="79" t="s">
        <v>802</v>
      </c>
      <c r="D98" s="1371" t="s">
        <v>803</v>
      </c>
      <c r="E98" s="1905"/>
      <c r="F98" s="1907"/>
      <c r="G98" s="58"/>
      <c r="H98" s="58"/>
      <c r="I98" s="57"/>
      <c r="J98" s="57"/>
      <c r="X98" s="291"/>
      <c r="Y98" s="307"/>
      <c r="BJ98" s="291"/>
    </row>
    <row r="99" spans="1:89" ht="17.25" customHeight="1" x14ac:dyDescent="0.2">
      <c r="A99" s="1628" t="s">
        <v>956</v>
      </c>
      <c r="B99" s="81" t="s">
        <v>532</v>
      </c>
      <c r="C99" s="497" t="s">
        <v>1550</v>
      </c>
      <c r="D99" s="501" t="s">
        <v>1551</v>
      </c>
      <c r="E99" s="498" t="s">
        <v>1552</v>
      </c>
      <c r="F99" s="567" t="s">
        <v>1553</v>
      </c>
      <c r="G99" s="343"/>
      <c r="H99" s="57"/>
      <c r="I99" s="57"/>
      <c r="J99" s="57"/>
      <c r="X99" s="291"/>
      <c r="Y99" s="307"/>
      <c r="BJ99" s="291"/>
    </row>
    <row r="100" spans="1:89" ht="17.25" customHeight="1" x14ac:dyDescent="0.2">
      <c r="A100" s="1628" t="s">
        <v>957</v>
      </c>
      <c r="B100" s="82" t="s">
        <v>330</v>
      </c>
      <c r="C100" s="568" t="s">
        <v>1550</v>
      </c>
      <c r="D100" s="516" t="s">
        <v>1551</v>
      </c>
      <c r="E100" s="513" t="s">
        <v>1552</v>
      </c>
      <c r="F100" s="569" t="s">
        <v>1553</v>
      </c>
      <c r="G100" s="343"/>
      <c r="H100" s="57"/>
      <c r="I100" s="57"/>
      <c r="J100" s="57"/>
      <c r="X100" s="291"/>
      <c r="Y100" s="307"/>
      <c r="BJ100" s="291"/>
    </row>
    <row r="101" spans="1:89" ht="17.25" customHeight="1" x14ac:dyDescent="0.2">
      <c r="A101" s="1628" t="s">
        <v>958</v>
      </c>
      <c r="B101" s="82" t="s">
        <v>316</v>
      </c>
      <c r="C101" s="568" t="s">
        <v>1550</v>
      </c>
      <c r="D101" s="516" t="s">
        <v>1551</v>
      </c>
      <c r="E101" s="513" t="s">
        <v>1552</v>
      </c>
      <c r="F101" s="569" t="s">
        <v>1553</v>
      </c>
      <c r="G101" s="343"/>
      <c r="H101" s="57"/>
      <c r="I101" s="57"/>
      <c r="J101" s="57"/>
      <c r="X101" s="291"/>
      <c r="Y101" s="307"/>
      <c r="BJ101" s="291"/>
    </row>
    <row r="102" spans="1:89" ht="17.25" customHeight="1" x14ac:dyDescent="0.2">
      <c r="A102" s="1628" t="s">
        <v>959</v>
      </c>
      <c r="B102" s="82" t="s">
        <v>331</v>
      </c>
      <c r="C102" s="568" t="s">
        <v>1550</v>
      </c>
      <c r="D102" s="516" t="s">
        <v>1551</v>
      </c>
      <c r="E102" s="513" t="s">
        <v>1552</v>
      </c>
      <c r="F102" s="569" t="s">
        <v>1553</v>
      </c>
      <c r="G102" s="343"/>
      <c r="H102" s="57"/>
      <c r="I102" s="57"/>
      <c r="J102" s="57"/>
      <c r="X102" s="291"/>
      <c r="Y102" s="307"/>
      <c r="BJ102" s="291"/>
    </row>
    <row r="103" spans="1:89" ht="17.25" customHeight="1" x14ac:dyDescent="0.2">
      <c r="A103" s="1628" t="s">
        <v>960</v>
      </c>
      <c r="B103" s="82" t="s">
        <v>332</v>
      </c>
      <c r="C103" s="568" t="s">
        <v>1550</v>
      </c>
      <c r="D103" s="516" t="s">
        <v>1551</v>
      </c>
      <c r="E103" s="513" t="s">
        <v>1552</v>
      </c>
      <c r="F103" s="569" t="s">
        <v>1553</v>
      </c>
      <c r="G103" s="343"/>
      <c r="H103" s="57"/>
      <c r="I103" s="57"/>
      <c r="J103" s="57"/>
      <c r="X103" s="291"/>
      <c r="Y103" s="307"/>
      <c r="BJ103" s="291"/>
    </row>
    <row r="104" spans="1:89" ht="17.25" customHeight="1" x14ac:dyDescent="0.2">
      <c r="A104" s="1628" t="s">
        <v>961</v>
      </c>
      <c r="B104" s="82" t="s">
        <v>333</v>
      </c>
      <c r="C104" s="568" t="s">
        <v>1550</v>
      </c>
      <c r="D104" s="516" t="s">
        <v>1551</v>
      </c>
      <c r="E104" s="513" t="s">
        <v>1552</v>
      </c>
      <c r="F104" s="569" t="s">
        <v>1553</v>
      </c>
      <c r="G104" s="343"/>
      <c r="H104" s="57"/>
      <c r="I104" s="57"/>
      <c r="J104" s="57"/>
      <c r="X104" s="291"/>
      <c r="Y104" s="307"/>
      <c r="BJ104" s="291"/>
    </row>
    <row r="105" spans="1:89" s="57" customFormat="1" ht="17.25" customHeight="1" x14ac:dyDescent="0.2">
      <c r="A105" s="1628" t="s">
        <v>962</v>
      </c>
      <c r="B105" s="82" t="s">
        <v>334</v>
      </c>
      <c r="C105" s="568" t="s">
        <v>1550</v>
      </c>
      <c r="D105" s="516" t="s">
        <v>1551</v>
      </c>
      <c r="E105" s="513" t="s">
        <v>1552</v>
      </c>
      <c r="F105" s="569" t="s">
        <v>1553</v>
      </c>
      <c r="G105" s="343"/>
      <c r="K105" s="175"/>
      <c r="L105" s="175"/>
      <c r="M105" s="175"/>
      <c r="N105" s="175"/>
      <c r="O105" s="175"/>
      <c r="P105" s="175"/>
      <c r="U105" s="1507"/>
      <c r="X105" s="309"/>
      <c r="Y105" s="307"/>
      <c r="Z105" s="307"/>
      <c r="AA105" s="307"/>
      <c r="AB105" s="307"/>
      <c r="AC105" s="307"/>
      <c r="AD105" s="307"/>
      <c r="AE105" s="307"/>
      <c r="AF105" s="307"/>
      <c r="AG105" s="307"/>
      <c r="AH105" s="307"/>
      <c r="AI105" s="307"/>
      <c r="AJ105" s="307"/>
      <c r="AK105" s="307"/>
      <c r="AL105" s="307"/>
      <c r="AM105" s="307"/>
      <c r="AN105" s="307"/>
      <c r="AO105" s="307"/>
      <c r="AP105" s="307"/>
      <c r="AQ105" s="307"/>
      <c r="AR105" s="307"/>
      <c r="AS105" s="307"/>
      <c r="AT105" s="307"/>
      <c r="AU105" s="307"/>
      <c r="AV105" s="307"/>
      <c r="AW105" s="307"/>
      <c r="AX105" s="307"/>
      <c r="AY105" s="307"/>
      <c r="AZ105" s="307"/>
      <c r="BA105" s="307"/>
      <c r="BB105" s="307"/>
      <c r="BC105" s="307"/>
      <c r="BD105" s="307"/>
      <c r="BE105" s="307"/>
      <c r="BF105" s="307"/>
      <c r="BG105" s="307"/>
      <c r="BH105" s="307"/>
      <c r="BI105" s="307"/>
      <c r="BJ105" s="291"/>
      <c r="BK105" s="291"/>
      <c r="BL105" s="291"/>
      <c r="BM105" s="291"/>
      <c r="BN105" s="291"/>
      <c r="BO105" s="291"/>
      <c r="BP105" s="291"/>
      <c r="BQ105" s="309"/>
      <c r="BR105" s="309"/>
      <c r="BS105" s="309"/>
      <c r="BT105" s="309"/>
      <c r="BU105" s="309"/>
      <c r="BV105" s="309"/>
      <c r="BW105" s="309"/>
      <c r="BX105" s="309"/>
      <c r="BY105" s="309"/>
      <c r="BZ105" s="309"/>
      <c r="CB105" s="175"/>
      <c r="CK105" s="175"/>
    </row>
    <row r="106" spans="1:89" s="57" customFormat="1" ht="17.25" customHeight="1" x14ac:dyDescent="0.2">
      <c r="A106" s="1628" t="s">
        <v>963</v>
      </c>
      <c r="B106" s="82" t="s">
        <v>335</v>
      </c>
      <c r="C106" s="568" t="s">
        <v>1550</v>
      </c>
      <c r="D106" s="516" t="s">
        <v>1551</v>
      </c>
      <c r="E106" s="513" t="s">
        <v>1552</v>
      </c>
      <c r="F106" s="569" t="s">
        <v>1553</v>
      </c>
      <c r="G106" s="343"/>
      <c r="K106" s="175"/>
      <c r="L106" s="175"/>
      <c r="M106" s="175"/>
      <c r="N106" s="175"/>
      <c r="O106" s="175"/>
      <c r="P106" s="175"/>
      <c r="U106" s="1507"/>
      <c r="X106" s="309"/>
      <c r="Y106" s="307"/>
      <c r="Z106" s="307"/>
      <c r="AA106" s="307"/>
      <c r="AB106" s="307"/>
      <c r="AC106" s="307"/>
      <c r="AD106" s="307"/>
      <c r="AE106" s="307"/>
      <c r="AF106" s="307"/>
      <c r="AG106" s="307"/>
      <c r="AH106" s="307"/>
      <c r="AI106" s="307"/>
      <c r="AJ106" s="307"/>
      <c r="AK106" s="307"/>
      <c r="AL106" s="307"/>
      <c r="AM106" s="307"/>
      <c r="AN106" s="307"/>
      <c r="AO106" s="307"/>
      <c r="AP106" s="307"/>
      <c r="AQ106" s="307"/>
      <c r="AR106" s="307"/>
      <c r="AS106" s="307"/>
      <c r="AT106" s="307"/>
      <c r="AU106" s="307"/>
      <c r="AV106" s="307"/>
      <c r="AW106" s="307"/>
      <c r="AX106" s="307"/>
      <c r="AY106" s="307"/>
      <c r="AZ106" s="307"/>
      <c r="BA106" s="307"/>
      <c r="BB106" s="307"/>
      <c r="BC106" s="307"/>
      <c r="BD106" s="307"/>
      <c r="BE106" s="307"/>
      <c r="BF106" s="307"/>
      <c r="BG106" s="307"/>
      <c r="BH106" s="307"/>
      <c r="BI106" s="307"/>
      <c r="BJ106" s="291"/>
      <c r="BK106" s="291"/>
      <c r="BL106" s="291"/>
      <c r="BM106" s="291"/>
      <c r="BN106" s="291"/>
      <c r="BO106" s="291"/>
      <c r="BP106" s="291"/>
      <c r="BQ106" s="309"/>
      <c r="BR106" s="309"/>
      <c r="BS106" s="309"/>
      <c r="BT106" s="309"/>
      <c r="BU106" s="309"/>
      <c r="BV106" s="309"/>
      <c r="BW106" s="309"/>
      <c r="BX106" s="309"/>
      <c r="BY106" s="309"/>
      <c r="BZ106" s="309"/>
      <c r="CB106" s="175"/>
      <c r="CK106" s="175"/>
    </row>
    <row r="107" spans="1:89" s="57" customFormat="1" ht="21.75" customHeight="1" x14ac:dyDescent="0.2">
      <c r="A107" s="1628" t="s">
        <v>964</v>
      </c>
      <c r="B107" s="83" t="s">
        <v>336</v>
      </c>
      <c r="C107" s="527" t="s">
        <v>1550</v>
      </c>
      <c r="D107" s="520" t="s">
        <v>1551</v>
      </c>
      <c r="E107" s="504" t="s">
        <v>1552</v>
      </c>
      <c r="F107" s="570" t="s">
        <v>1553</v>
      </c>
      <c r="G107" s="343"/>
      <c r="K107" s="175"/>
      <c r="L107" s="175"/>
      <c r="M107" s="175"/>
      <c r="N107" s="175"/>
      <c r="O107" s="175"/>
      <c r="P107" s="175"/>
      <c r="U107" s="1507"/>
      <c r="X107" s="309"/>
      <c r="Y107" s="307"/>
      <c r="Z107" s="307"/>
      <c r="AA107" s="307"/>
      <c r="AB107" s="307"/>
      <c r="AC107" s="307"/>
      <c r="AD107" s="307"/>
      <c r="AE107" s="307"/>
      <c r="AF107" s="307"/>
      <c r="AG107" s="307"/>
      <c r="AH107" s="307"/>
      <c r="AI107" s="307"/>
      <c r="AJ107" s="307"/>
      <c r="AK107" s="307"/>
      <c r="AL107" s="307"/>
      <c r="AM107" s="307"/>
      <c r="AN107" s="307"/>
      <c r="AO107" s="307"/>
      <c r="AP107" s="307"/>
      <c r="AQ107" s="307"/>
      <c r="AR107" s="307"/>
      <c r="AS107" s="307"/>
      <c r="AT107" s="307"/>
      <c r="AU107" s="307"/>
      <c r="AV107" s="307"/>
      <c r="AW107" s="307"/>
      <c r="AX107" s="307"/>
      <c r="AY107" s="307"/>
      <c r="AZ107" s="307"/>
      <c r="BA107" s="307"/>
      <c r="BB107" s="307"/>
      <c r="BC107" s="307"/>
      <c r="BD107" s="307"/>
      <c r="BE107" s="307"/>
      <c r="BF107" s="307"/>
      <c r="BG107" s="307"/>
      <c r="BH107" s="307"/>
      <c r="BI107" s="307"/>
      <c r="BJ107" s="309"/>
      <c r="BK107" s="309"/>
      <c r="BL107" s="309"/>
      <c r="BM107" s="309"/>
      <c r="BN107" s="309"/>
      <c r="BO107" s="309"/>
      <c r="BP107" s="309"/>
      <c r="BQ107" s="309"/>
      <c r="BR107" s="309"/>
      <c r="BS107" s="309"/>
      <c r="BT107" s="309"/>
      <c r="BU107" s="309"/>
      <c r="BV107" s="309"/>
      <c r="BW107" s="309"/>
      <c r="BX107" s="309"/>
      <c r="BY107" s="309"/>
      <c r="BZ107" s="309"/>
      <c r="CB107" s="175"/>
      <c r="CK107" s="175"/>
    </row>
    <row r="108" spans="1:89" s="57" customFormat="1" ht="21.75" customHeight="1" x14ac:dyDescent="0.2">
      <c r="A108" s="1636"/>
      <c r="B108" s="277" t="s">
        <v>13</v>
      </c>
      <c r="C108" s="1031">
        <f>SUM(C99:C107)</f>
        <v>0</v>
      </c>
      <c r="D108" s="915">
        <f>SUM(D99:D107)</f>
        <v>0</v>
      </c>
      <c r="E108" s="565">
        <f>SUM(E99:E107)</f>
        <v>0</v>
      </c>
      <c r="F108" s="1223">
        <f>SUM(F99:F107)</f>
        <v>0</v>
      </c>
      <c r="K108" s="175"/>
      <c r="L108" s="175"/>
      <c r="M108" s="175"/>
      <c r="N108" s="175"/>
      <c r="O108" s="175"/>
      <c r="P108" s="175"/>
      <c r="U108" s="1507"/>
      <c r="X108" s="309"/>
      <c r="Y108" s="307"/>
      <c r="Z108" s="307"/>
      <c r="AA108" s="307"/>
      <c r="AB108" s="307"/>
      <c r="AC108" s="307"/>
      <c r="AD108" s="307"/>
      <c r="AE108" s="307"/>
      <c r="AF108" s="307"/>
      <c r="AG108" s="307"/>
      <c r="AH108" s="307"/>
      <c r="AI108" s="307"/>
      <c r="AJ108" s="307"/>
      <c r="AK108" s="307"/>
      <c r="AL108" s="307"/>
      <c r="AM108" s="307"/>
      <c r="AN108" s="307"/>
      <c r="AO108" s="307"/>
      <c r="AP108" s="307"/>
      <c r="AQ108" s="307"/>
      <c r="AR108" s="307"/>
      <c r="AS108" s="307"/>
      <c r="AT108" s="307"/>
      <c r="AU108" s="307"/>
      <c r="AV108" s="307"/>
      <c r="AW108" s="307"/>
      <c r="AX108" s="307"/>
      <c r="AY108" s="307"/>
      <c r="AZ108" s="307"/>
      <c r="BA108" s="307"/>
      <c r="BB108" s="307"/>
      <c r="BC108" s="307"/>
      <c r="BD108" s="307"/>
      <c r="BE108" s="307"/>
      <c r="BF108" s="307"/>
      <c r="BG108" s="307"/>
      <c r="BH108" s="307"/>
      <c r="BI108" s="307"/>
      <c r="BJ108" s="309"/>
      <c r="BK108" s="309"/>
      <c r="BL108" s="309"/>
      <c r="BM108" s="309"/>
      <c r="BN108" s="309"/>
      <c r="BO108" s="309"/>
      <c r="BP108" s="309"/>
      <c r="BQ108" s="309"/>
      <c r="BR108" s="309"/>
      <c r="BS108" s="309"/>
      <c r="BT108" s="309"/>
      <c r="BU108" s="309"/>
      <c r="BV108" s="309"/>
      <c r="BW108" s="309"/>
      <c r="BX108" s="309"/>
      <c r="BY108" s="309"/>
      <c r="BZ108" s="309"/>
    </row>
    <row r="109" spans="1:89" ht="25.5" customHeight="1" x14ac:dyDescent="0.3">
      <c r="B109" s="412" t="s">
        <v>609</v>
      </c>
      <c r="C109" s="976"/>
      <c r="D109" s="976"/>
      <c r="E109" s="976"/>
      <c r="F109" s="977"/>
      <c r="G109" s="977"/>
      <c r="H109" s="977"/>
      <c r="I109" s="960"/>
      <c r="J109" s="960"/>
      <c r="K109" s="960"/>
      <c r="L109" s="960"/>
      <c r="M109" s="960"/>
    </row>
    <row r="110" spans="1:89" ht="21.75" customHeight="1" x14ac:dyDescent="0.2">
      <c r="B110" s="1829" t="s">
        <v>44</v>
      </c>
      <c r="C110" s="1829" t="s">
        <v>45</v>
      </c>
      <c r="D110" s="1829" t="s">
        <v>13</v>
      </c>
      <c r="E110" s="1839" t="s">
        <v>46</v>
      </c>
      <c r="F110" s="1839"/>
      <c r="G110" s="1839"/>
      <c r="H110" s="1839"/>
      <c r="I110" s="1839"/>
      <c r="J110" s="1839"/>
      <c r="K110" s="1839"/>
      <c r="L110" s="1839"/>
      <c r="M110" s="1839"/>
    </row>
    <row r="111" spans="1:89" ht="27" customHeight="1" x14ac:dyDescent="0.2">
      <c r="B111" s="1830"/>
      <c r="C111" s="1830"/>
      <c r="D111" s="1830"/>
      <c r="E111" s="978" t="s">
        <v>47</v>
      </c>
      <c r="F111" s="80" t="s">
        <v>17</v>
      </c>
      <c r="G111" s="80" t="s">
        <v>18</v>
      </c>
      <c r="H111" s="80" t="s">
        <v>19</v>
      </c>
      <c r="I111" s="80" t="s">
        <v>20</v>
      </c>
      <c r="J111" s="80" t="s">
        <v>21</v>
      </c>
      <c r="K111" s="80" t="s">
        <v>22</v>
      </c>
      <c r="L111" s="80" t="s">
        <v>23</v>
      </c>
      <c r="M111" s="979" t="s">
        <v>24</v>
      </c>
    </row>
    <row r="112" spans="1:89" ht="17.25" customHeight="1" x14ac:dyDescent="0.2">
      <c r="A112" s="1628" t="s">
        <v>965</v>
      </c>
      <c r="B112" s="1840" t="s">
        <v>590</v>
      </c>
      <c r="C112" s="980" t="s">
        <v>49</v>
      </c>
      <c r="D112" s="981" t="s">
        <v>1550</v>
      </c>
      <c r="E112" s="999" t="s">
        <v>1551</v>
      </c>
      <c r="F112" s="1000" t="s">
        <v>1552</v>
      </c>
      <c r="G112" s="1000" t="s">
        <v>1553</v>
      </c>
      <c r="H112" s="1000" t="s">
        <v>1554</v>
      </c>
      <c r="I112" s="1000" t="s">
        <v>1555</v>
      </c>
      <c r="J112" s="1000" t="s">
        <v>1556</v>
      </c>
      <c r="K112" s="1000" t="s">
        <v>1557</v>
      </c>
      <c r="L112" s="1000" t="s">
        <v>1558</v>
      </c>
      <c r="M112" s="1001" t="s">
        <v>1559</v>
      </c>
      <c r="N112" s="1508"/>
      <c r="P112" s="57"/>
      <c r="Q112" s="57"/>
    </row>
    <row r="113" spans="1:63" ht="18" customHeight="1" x14ac:dyDescent="0.2">
      <c r="A113" s="1628" t="s">
        <v>966</v>
      </c>
      <c r="B113" s="1841"/>
      <c r="C113" s="982" t="s">
        <v>50</v>
      </c>
      <c r="D113" s="983" t="s">
        <v>1550</v>
      </c>
      <c r="E113" s="1002" t="s">
        <v>1551</v>
      </c>
      <c r="F113" s="1003" t="s">
        <v>1552</v>
      </c>
      <c r="G113" s="1003" t="s">
        <v>1553</v>
      </c>
      <c r="H113" s="1003" t="s">
        <v>1554</v>
      </c>
      <c r="I113" s="1003" t="s">
        <v>1555</v>
      </c>
      <c r="J113" s="1003" t="s">
        <v>1556</v>
      </c>
      <c r="K113" s="1003" t="s">
        <v>1557</v>
      </c>
      <c r="L113" s="1003" t="s">
        <v>1558</v>
      </c>
      <c r="M113" s="1004" t="s">
        <v>1559</v>
      </c>
      <c r="N113" s="1508"/>
      <c r="P113" s="57"/>
      <c r="Q113" s="57"/>
    </row>
    <row r="114" spans="1:63" ht="16.5" customHeight="1" x14ac:dyDescent="0.2">
      <c r="A114" s="1628" t="s">
        <v>967</v>
      </c>
      <c r="B114" s="1841"/>
      <c r="C114" s="982" t="s">
        <v>51</v>
      </c>
      <c r="D114" s="983" t="s">
        <v>1550</v>
      </c>
      <c r="E114" s="1002" t="s">
        <v>1551</v>
      </c>
      <c r="F114" s="1003" t="s">
        <v>1552</v>
      </c>
      <c r="G114" s="1003" t="s">
        <v>1553</v>
      </c>
      <c r="H114" s="1003" t="s">
        <v>1554</v>
      </c>
      <c r="I114" s="1003" t="s">
        <v>1555</v>
      </c>
      <c r="J114" s="1003" t="s">
        <v>1556</v>
      </c>
      <c r="K114" s="1003" t="s">
        <v>1557</v>
      </c>
      <c r="L114" s="1003" t="s">
        <v>1558</v>
      </c>
      <c r="M114" s="1004" t="s">
        <v>1559</v>
      </c>
      <c r="N114" s="1508"/>
      <c r="O114" s="57"/>
      <c r="P114" s="57"/>
      <c r="Q114" s="57"/>
    </row>
    <row r="115" spans="1:63" ht="16.5" customHeight="1" x14ac:dyDescent="0.2">
      <c r="A115" s="1628" t="s">
        <v>968</v>
      </c>
      <c r="B115" s="1841"/>
      <c r="C115" s="984" t="s">
        <v>52</v>
      </c>
      <c r="D115" s="985" t="s">
        <v>1550</v>
      </c>
      <c r="E115" s="1005" t="s">
        <v>1551</v>
      </c>
      <c r="F115" s="1006" t="s">
        <v>1552</v>
      </c>
      <c r="G115" s="1006" t="s">
        <v>1553</v>
      </c>
      <c r="H115" s="1006" t="s">
        <v>1554</v>
      </c>
      <c r="I115" s="1006" t="s">
        <v>1555</v>
      </c>
      <c r="J115" s="1006" t="s">
        <v>1556</v>
      </c>
      <c r="K115" s="1006" t="s">
        <v>1557</v>
      </c>
      <c r="L115" s="1006" t="s">
        <v>1558</v>
      </c>
      <c r="M115" s="1007" t="s">
        <v>1559</v>
      </c>
      <c r="N115" s="1508"/>
      <c r="O115" s="57"/>
      <c r="P115" s="57"/>
      <c r="Q115" s="57"/>
    </row>
    <row r="116" spans="1:63" ht="19.5" customHeight="1" x14ac:dyDescent="0.2">
      <c r="A116" s="1629"/>
      <c r="B116" s="1842"/>
      <c r="C116" s="986" t="s">
        <v>13</v>
      </c>
      <c r="D116" s="987">
        <f>SUM(E116:M116)</f>
        <v>0</v>
      </c>
      <c r="E116" s="988">
        <f>SUM(E112:E115)</f>
        <v>0</v>
      </c>
      <c r="F116" s="989">
        <f t="shared" ref="F116:M116" si="41">SUM(F112:F115)</f>
        <v>0</v>
      </c>
      <c r="G116" s="989">
        <f t="shared" si="41"/>
        <v>0</v>
      </c>
      <c r="H116" s="989">
        <f t="shared" si="41"/>
        <v>0</v>
      </c>
      <c r="I116" s="989">
        <f t="shared" si="41"/>
        <v>0</v>
      </c>
      <c r="J116" s="989">
        <f t="shared" si="41"/>
        <v>0</v>
      </c>
      <c r="K116" s="989">
        <f t="shared" si="41"/>
        <v>0</v>
      </c>
      <c r="L116" s="989">
        <f t="shared" si="41"/>
        <v>0</v>
      </c>
      <c r="M116" s="990">
        <f t="shared" si="41"/>
        <v>0</v>
      </c>
      <c r="O116" s="57"/>
      <c r="P116" s="57"/>
      <c r="Q116" s="57"/>
    </row>
    <row r="117" spans="1:63" ht="24" customHeight="1" x14ac:dyDescent="0.2">
      <c r="B117" s="1372" t="s">
        <v>858</v>
      </c>
      <c r="C117" s="1373"/>
      <c r="D117" s="1373"/>
      <c r="E117" s="1373"/>
      <c r="F117" s="1373"/>
      <c r="G117" s="1250"/>
      <c r="H117" s="1250"/>
      <c r="I117" s="1250"/>
      <c r="J117" s="1250"/>
      <c r="K117" s="1250"/>
      <c r="L117" s="1250"/>
      <c r="M117" s="1250"/>
      <c r="O117" s="57"/>
      <c r="P117" s="57"/>
      <c r="Q117" s="57"/>
    </row>
    <row r="118" spans="1:63" ht="67.2" customHeight="1" x14ac:dyDescent="0.2">
      <c r="B118" s="1379" t="s">
        <v>62</v>
      </c>
      <c r="C118" s="1379" t="s">
        <v>832</v>
      </c>
      <c r="D118" s="1375" t="s">
        <v>862</v>
      </c>
      <c r="E118" s="1374" t="s">
        <v>859</v>
      </c>
      <c r="F118" s="1375" t="s">
        <v>877</v>
      </c>
      <c r="G118" s="1379" t="s">
        <v>860</v>
      </c>
      <c r="H118" s="1379" t="s">
        <v>863</v>
      </c>
      <c r="I118" s="1250"/>
      <c r="J118" s="1250"/>
      <c r="K118" s="1250"/>
      <c r="L118" s="1250"/>
      <c r="M118" s="1250"/>
      <c r="N118" s="1250"/>
      <c r="P118" s="57"/>
      <c r="Q118" s="57"/>
      <c r="R118" s="57"/>
      <c r="Y118" s="175"/>
      <c r="Z118" s="291"/>
      <c r="BK118" s="307"/>
    </row>
    <row r="119" spans="1:63" ht="19.5" customHeight="1" x14ac:dyDescent="0.2">
      <c r="A119" s="1628" t="s">
        <v>969</v>
      </c>
      <c r="B119" s="1213" t="s">
        <v>532</v>
      </c>
      <c r="C119" s="1478" t="s">
        <v>1550</v>
      </c>
      <c r="D119" s="1479" t="s">
        <v>1551</v>
      </c>
      <c r="E119" s="1480" t="s">
        <v>1552</v>
      </c>
      <c r="F119" s="1479" t="s">
        <v>1553</v>
      </c>
      <c r="G119" s="1478" t="s">
        <v>1554</v>
      </c>
      <c r="H119" s="1478" t="s">
        <v>1555</v>
      </c>
      <c r="I119" s="1509"/>
      <c r="J119" s="1250"/>
      <c r="K119" s="1250"/>
      <c r="L119" s="1250"/>
      <c r="M119" s="1250"/>
      <c r="N119" s="1250"/>
      <c r="P119" s="57"/>
      <c r="Q119" s="57"/>
      <c r="R119" s="57"/>
      <c r="Y119" s="175"/>
      <c r="Z119" s="291"/>
      <c r="BK119" s="307"/>
    </row>
    <row r="120" spans="1:63" ht="19.5" customHeight="1" x14ac:dyDescent="0.2">
      <c r="A120" s="1628" t="s">
        <v>970</v>
      </c>
      <c r="B120" s="1376" t="s">
        <v>330</v>
      </c>
      <c r="C120" s="1481" t="s">
        <v>1550</v>
      </c>
      <c r="D120" s="1482" t="s">
        <v>1551</v>
      </c>
      <c r="E120" s="1483" t="s">
        <v>1552</v>
      </c>
      <c r="F120" s="1482" t="s">
        <v>1553</v>
      </c>
      <c r="G120" s="1481" t="s">
        <v>1554</v>
      </c>
      <c r="H120" s="1481" t="s">
        <v>1555</v>
      </c>
      <c r="I120" s="1509"/>
      <c r="J120" s="1250"/>
      <c r="K120" s="1250"/>
      <c r="L120" s="1250"/>
      <c r="M120" s="1250"/>
      <c r="N120" s="1250"/>
      <c r="P120" s="57"/>
      <c r="Q120" s="57"/>
      <c r="R120" s="57"/>
      <c r="Y120" s="175"/>
      <c r="Z120" s="291"/>
      <c r="BK120" s="307"/>
    </row>
    <row r="121" spans="1:63" ht="19.5" customHeight="1" x14ac:dyDescent="0.2">
      <c r="A121" s="1628" t="s">
        <v>971</v>
      </c>
      <c r="B121" s="1376" t="s">
        <v>316</v>
      </c>
      <c r="C121" s="1481" t="s">
        <v>1550</v>
      </c>
      <c r="D121" s="1482" t="s">
        <v>1551</v>
      </c>
      <c r="E121" s="1483" t="s">
        <v>1552</v>
      </c>
      <c r="F121" s="1482" t="s">
        <v>1553</v>
      </c>
      <c r="G121" s="1481" t="s">
        <v>1554</v>
      </c>
      <c r="H121" s="1481" t="s">
        <v>1555</v>
      </c>
      <c r="I121" s="1509"/>
      <c r="J121" s="1250"/>
      <c r="K121" s="1250"/>
      <c r="L121" s="1250"/>
      <c r="M121" s="1250"/>
      <c r="N121" s="1250"/>
      <c r="P121" s="57"/>
      <c r="Q121" s="57"/>
      <c r="R121" s="57"/>
      <c r="Y121" s="175"/>
      <c r="Z121" s="291"/>
      <c r="BK121" s="307"/>
    </row>
    <row r="122" spans="1:63" ht="19.5" customHeight="1" x14ac:dyDescent="0.2">
      <c r="A122" s="1628" t="s">
        <v>972</v>
      </c>
      <c r="B122" s="1376" t="s">
        <v>331</v>
      </c>
      <c r="C122" s="1481" t="s">
        <v>1550</v>
      </c>
      <c r="D122" s="1482" t="s">
        <v>1551</v>
      </c>
      <c r="E122" s="1483" t="s">
        <v>1552</v>
      </c>
      <c r="F122" s="1482" t="s">
        <v>1553</v>
      </c>
      <c r="G122" s="1481" t="s">
        <v>1554</v>
      </c>
      <c r="H122" s="1481" t="s">
        <v>1555</v>
      </c>
      <c r="I122" s="1509"/>
      <c r="J122" s="1250"/>
      <c r="K122" s="1250"/>
      <c r="L122" s="1250"/>
      <c r="M122" s="1250"/>
      <c r="N122" s="1250"/>
      <c r="P122" s="57"/>
      <c r="Q122" s="57"/>
      <c r="R122" s="57"/>
      <c r="Y122" s="175"/>
      <c r="Z122" s="291"/>
      <c r="BK122" s="307"/>
    </row>
    <row r="123" spans="1:63" ht="19.5" customHeight="1" x14ac:dyDescent="0.2">
      <c r="A123" s="1628" t="s">
        <v>973</v>
      </c>
      <c r="B123" s="1376" t="s">
        <v>332</v>
      </c>
      <c r="C123" s="1481" t="s">
        <v>1550</v>
      </c>
      <c r="D123" s="1482" t="s">
        <v>1551</v>
      </c>
      <c r="E123" s="1483" t="s">
        <v>1552</v>
      </c>
      <c r="F123" s="1482" t="s">
        <v>1553</v>
      </c>
      <c r="G123" s="1481" t="s">
        <v>1554</v>
      </c>
      <c r="H123" s="1481" t="s">
        <v>1555</v>
      </c>
      <c r="I123" s="1509"/>
      <c r="J123" s="1250"/>
      <c r="K123" s="1250"/>
      <c r="L123" s="1250"/>
      <c r="M123" s="1250"/>
      <c r="N123" s="1250"/>
      <c r="P123" s="57"/>
      <c r="Q123" s="57"/>
      <c r="R123" s="57"/>
      <c r="Y123" s="175"/>
      <c r="Z123" s="291"/>
      <c r="BK123" s="307"/>
    </row>
    <row r="124" spans="1:63" ht="19.5" customHeight="1" x14ac:dyDescent="0.2">
      <c r="A124" s="1628" t="s">
        <v>974</v>
      </c>
      <c r="B124" s="1376" t="s">
        <v>333</v>
      </c>
      <c r="C124" s="1481" t="s">
        <v>1550</v>
      </c>
      <c r="D124" s="1482" t="s">
        <v>1551</v>
      </c>
      <c r="E124" s="1483" t="s">
        <v>1552</v>
      </c>
      <c r="F124" s="1482" t="s">
        <v>1553</v>
      </c>
      <c r="G124" s="1481" t="s">
        <v>1554</v>
      </c>
      <c r="H124" s="1481" t="s">
        <v>1555</v>
      </c>
      <c r="I124" s="1509"/>
      <c r="J124" s="1250"/>
      <c r="K124" s="1250"/>
      <c r="L124" s="1250"/>
      <c r="M124" s="1250"/>
      <c r="N124" s="1250"/>
      <c r="P124" s="57"/>
      <c r="Q124" s="57"/>
      <c r="R124" s="57"/>
      <c r="Y124" s="175"/>
      <c r="Z124" s="291"/>
      <c r="BK124" s="307"/>
    </row>
    <row r="125" spans="1:63" ht="19.5" customHeight="1" x14ac:dyDescent="0.2">
      <c r="A125" s="1628" t="s">
        <v>975</v>
      </c>
      <c r="B125" s="1376" t="s">
        <v>334</v>
      </c>
      <c r="C125" s="1481" t="s">
        <v>1550</v>
      </c>
      <c r="D125" s="1482" t="s">
        <v>1551</v>
      </c>
      <c r="E125" s="1483" t="s">
        <v>1552</v>
      </c>
      <c r="F125" s="1482" t="s">
        <v>1553</v>
      </c>
      <c r="G125" s="1481" t="s">
        <v>1554</v>
      </c>
      <c r="H125" s="1481" t="s">
        <v>1555</v>
      </c>
      <c r="I125" s="1509"/>
      <c r="J125" s="1250"/>
      <c r="K125" s="1250"/>
      <c r="L125" s="1250"/>
      <c r="M125" s="1250"/>
      <c r="N125" s="1250"/>
      <c r="P125" s="57"/>
      <c r="Q125" s="57"/>
      <c r="R125" s="57"/>
      <c r="Y125" s="175"/>
      <c r="Z125" s="291"/>
      <c r="BK125" s="307"/>
    </row>
    <row r="126" spans="1:63" ht="19.5" customHeight="1" x14ac:dyDescent="0.2">
      <c r="A126" s="1628" t="s">
        <v>976</v>
      </c>
      <c r="B126" s="1376" t="s">
        <v>335</v>
      </c>
      <c r="C126" s="1481" t="s">
        <v>1550</v>
      </c>
      <c r="D126" s="1482" t="s">
        <v>1551</v>
      </c>
      <c r="E126" s="1483" t="s">
        <v>1552</v>
      </c>
      <c r="F126" s="1482" t="s">
        <v>1553</v>
      </c>
      <c r="G126" s="1481" t="s">
        <v>1554</v>
      </c>
      <c r="H126" s="1481" t="s">
        <v>1555</v>
      </c>
      <c r="I126" s="1509"/>
      <c r="J126" s="1250"/>
      <c r="K126" s="1250"/>
      <c r="L126" s="1250"/>
      <c r="M126" s="1250"/>
      <c r="N126" s="1250"/>
      <c r="P126" s="57"/>
      <c r="Q126" s="57"/>
      <c r="R126" s="57"/>
      <c r="Y126" s="175"/>
      <c r="Z126" s="291"/>
      <c r="BK126" s="307"/>
    </row>
    <row r="127" spans="1:63" ht="19.5" customHeight="1" x14ac:dyDescent="0.2">
      <c r="A127" s="1628" t="s">
        <v>977</v>
      </c>
      <c r="B127" s="1365" t="s">
        <v>336</v>
      </c>
      <c r="C127" s="1484" t="s">
        <v>1550</v>
      </c>
      <c r="D127" s="1485" t="s">
        <v>1551</v>
      </c>
      <c r="E127" s="1486" t="s">
        <v>1552</v>
      </c>
      <c r="F127" s="1485" t="s">
        <v>1553</v>
      </c>
      <c r="G127" s="1484" t="s">
        <v>1554</v>
      </c>
      <c r="H127" s="1484" t="s">
        <v>1555</v>
      </c>
      <c r="I127" s="1509"/>
      <c r="J127" s="1250"/>
      <c r="K127" s="1250"/>
      <c r="L127" s="1250"/>
      <c r="M127" s="1250"/>
      <c r="N127" s="1250"/>
      <c r="P127" s="57"/>
      <c r="Q127" s="57"/>
      <c r="R127" s="57"/>
      <c r="Y127" s="175"/>
      <c r="Z127" s="291"/>
      <c r="BK127" s="307"/>
    </row>
    <row r="128" spans="1:63" ht="19.5" customHeight="1" x14ac:dyDescent="0.2">
      <c r="A128" s="1629"/>
      <c r="B128" s="1379" t="s">
        <v>13</v>
      </c>
      <c r="C128" s="1380">
        <f t="shared" ref="C128:H128" si="42">SUM(C119:C127)</f>
        <v>0</v>
      </c>
      <c r="D128" s="1377">
        <f t="shared" si="42"/>
        <v>0</v>
      </c>
      <c r="E128" s="1383">
        <f t="shared" si="42"/>
        <v>0</v>
      </c>
      <c r="F128" s="1382">
        <f t="shared" si="42"/>
        <v>0</v>
      </c>
      <c r="G128" s="1380">
        <f t="shared" si="42"/>
        <v>0</v>
      </c>
      <c r="H128" s="1380">
        <f t="shared" si="42"/>
        <v>0</v>
      </c>
      <c r="I128" s="1509"/>
      <c r="J128" s="1250"/>
      <c r="K128" s="1250"/>
      <c r="L128" s="1250"/>
      <c r="M128" s="1250"/>
      <c r="N128" s="1250"/>
      <c r="P128" s="57"/>
      <c r="Q128" s="57"/>
      <c r="R128" s="57"/>
      <c r="Y128" s="175"/>
      <c r="Z128" s="291"/>
      <c r="BK128" s="307"/>
    </row>
    <row r="129" spans="1:63" ht="21" customHeight="1" x14ac:dyDescent="0.2">
      <c r="A129" s="1628" t="s">
        <v>978</v>
      </c>
      <c r="B129" s="1379" t="s">
        <v>861</v>
      </c>
      <c r="C129" s="1381" t="s">
        <v>1550</v>
      </c>
      <c r="D129" s="1487" t="s">
        <v>1551</v>
      </c>
      <c r="E129" s="1488" t="s">
        <v>1552</v>
      </c>
      <c r="F129" s="1378" t="s">
        <v>1553</v>
      </c>
      <c r="G129" s="1489" t="s">
        <v>1554</v>
      </c>
      <c r="H129" s="1489" t="s">
        <v>1555</v>
      </c>
      <c r="I129" s="1509"/>
      <c r="J129" s="1250"/>
      <c r="K129" s="1250"/>
      <c r="L129" s="1250"/>
      <c r="M129" s="1250"/>
      <c r="N129" s="1250"/>
      <c r="P129" s="57"/>
      <c r="Q129" s="57"/>
      <c r="R129" s="57"/>
      <c r="Y129" s="175"/>
      <c r="Z129" s="291"/>
      <c r="BK129" s="307"/>
    </row>
    <row r="130" spans="1:63" ht="24" customHeight="1" x14ac:dyDescent="0.3">
      <c r="B130" s="414" t="s">
        <v>67</v>
      </c>
      <c r="C130" s="57"/>
      <c r="D130" s="57"/>
      <c r="E130" s="57"/>
      <c r="F130" s="57"/>
      <c r="G130" s="57"/>
      <c r="H130" s="57"/>
      <c r="I130" s="57"/>
      <c r="O130" s="57"/>
      <c r="P130" s="57"/>
      <c r="Q130" s="57"/>
    </row>
    <row r="131" spans="1:63" ht="24" customHeight="1" x14ac:dyDescent="0.3">
      <c r="B131" s="1824" t="s">
        <v>833</v>
      </c>
      <c r="C131" s="1825"/>
      <c r="D131" s="1825"/>
      <c r="E131" s="1825"/>
      <c r="F131" s="1825"/>
      <c r="G131" s="1825"/>
      <c r="H131" s="1825"/>
      <c r="I131" s="1825"/>
      <c r="O131" s="57"/>
      <c r="P131" s="57"/>
      <c r="Q131" s="57"/>
    </row>
    <row r="132" spans="1:63" ht="24" customHeight="1" x14ac:dyDescent="0.2">
      <c r="B132" s="325" t="s">
        <v>68</v>
      </c>
      <c r="C132" s="325" t="s">
        <v>13</v>
      </c>
      <c r="D132" s="1510"/>
      <c r="E132" s="85"/>
      <c r="F132" s="57"/>
      <c r="G132" s="57"/>
      <c r="H132" s="57"/>
      <c r="I132" s="86"/>
      <c r="O132" s="57"/>
      <c r="P132" s="57"/>
      <c r="Q132" s="57"/>
    </row>
    <row r="133" spans="1:63" ht="24" customHeight="1" x14ac:dyDescent="0.2">
      <c r="A133" s="1628" t="s">
        <v>979</v>
      </c>
      <c r="B133" s="87" t="s">
        <v>69</v>
      </c>
      <c r="C133" s="541" t="s">
        <v>1550</v>
      </c>
      <c r="D133" s="343"/>
      <c r="E133" s="347"/>
      <c r="F133" s="57"/>
      <c r="G133" s="57"/>
      <c r="H133" s="57"/>
      <c r="O133" s="57"/>
    </row>
    <row r="134" spans="1:63" ht="36" customHeight="1" x14ac:dyDescent="0.2">
      <c r="A134" s="1628" t="s">
        <v>980</v>
      </c>
      <c r="B134" s="88" t="s">
        <v>70</v>
      </c>
      <c r="C134" s="542" t="s">
        <v>1550</v>
      </c>
      <c r="D134" s="343"/>
      <c r="F134" s="402"/>
      <c r="G134" s="57"/>
      <c r="H134" s="57"/>
      <c r="O134" s="57"/>
    </row>
    <row r="135" spans="1:63" ht="36" customHeight="1" x14ac:dyDescent="0.2">
      <c r="A135" s="1628" t="s">
        <v>981</v>
      </c>
      <c r="B135" s="89" t="s">
        <v>71</v>
      </c>
      <c r="C135" s="542" t="s">
        <v>1550</v>
      </c>
      <c r="D135" s="343"/>
      <c r="E135" s="347"/>
      <c r="F135" s="57"/>
      <c r="G135" s="57"/>
      <c r="H135" s="57"/>
    </row>
    <row r="136" spans="1:63" ht="27.75" customHeight="1" x14ac:dyDescent="0.2">
      <c r="A136" s="1628" t="s">
        <v>982</v>
      </c>
      <c r="B136" s="88" t="s">
        <v>812</v>
      </c>
      <c r="C136" s="542" t="s">
        <v>1550</v>
      </c>
      <c r="D136" s="343"/>
      <c r="E136" s="347"/>
      <c r="F136" s="57"/>
      <c r="G136" s="57"/>
      <c r="H136" s="57"/>
    </row>
    <row r="137" spans="1:63" ht="24" customHeight="1" x14ac:dyDescent="0.2">
      <c r="A137" s="1628" t="s">
        <v>983</v>
      </c>
      <c r="B137" s="88" t="s">
        <v>865</v>
      </c>
      <c r="C137" s="542" t="s">
        <v>1550</v>
      </c>
      <c r="D137" s="343"/>
      <c r="E137" s="57"/>
      <c r="F137" s="57"/>
    </row>
    <row r="138" spans="1:63" ht="24" customHeight="1" x14ac:dyDescent="0.2">
      <c r="A138" s="1628" t="s">
        <v>984</v>
      </c>
      <c r="B138" s="88" t="s">
        <v>72</v>
      </c>
      <c r="C138" s="542" t="s">
        <v>1550</v>
      </c>
      <c r="D138" s="343"/>
      <c r="E138" s="347"/>
      <c r="F138" s="57"/>
      <c r="G138" s="57"/>
      <c r="H138" s="57"/>
    </row>
    <row r="139" spans="1:63" ht="22.95" customHeight="1" x14ac:dyDescent="0.2">
      <c r="A139" s="1628" t="s">
        <v>985</v>
      </c>
      <c r="B139" s="88" t="s">
        <v>344</v>
      </c>
      <c r="C139" s="542" t="s">
        <v>1550</v>
      </c>
      <c r="D139" s="343"/>
      <c r="E139" s="347"/>
      <c r="F139" s="57"/>
      <c r="G139" s="57"/>
      <c r="H139" s="57"/>
    </row>
    <row r="140" spans="1:63" ht="22.95" customHeight="1" x14ac:dyDescent="0.2">
      <c r="A140" s="1628" t="s">
        <v>986</v>
      </c>
      <c r="B140" s="88" t="s">
        <v>345</v>
      </c>
      <c r="C140" s="542" t="s">
        <v>1550</v>
      </c>
      <c r="D140" s="343"/>
      <c r="E140" s="347"/>
      <c r="F140" s="57"/>
      <c r="G140" s="57"/>
      <c r="H140" s="57"/>
    </row>
    <row r="141" spans="1:63" ht="22.95" customHeight="1" x14ac:dyDescent="0.2">
      <c r="A141" s="1628" t="s">
        <v>987</v>
      </c>
      <c r="B141" s="88" t="s">
        <v>73</v>
      </c>
      <c r="C141" s="542" t="s">
        <v>1550</v>
      </c>
      <c r="D141" s="343"/>
      <c r="E141" s="347"/>
      <c r="F141" s="57"/>
      <c r="G141" s="57"/>
      <c r="H141" s="57"/>
    </row>
    <row r="142" spans="1:63" ht="22.95" customHeight="1" x14ac:dyDescent="0.2">
      <c r="A142" s="1628" t="s">
        <v>988</v>
      </c>
      <c r="B142" s="88" t="s">
        <v>74</v>
      </c>
      <c r="C142" s="542" t="s">
        <v>1550</v>
      </c>
      <c r="D142" s="343"/>
      <c r="E142" s="347"/>
      <c r="F142" s="57"/>
      <c r="G142" s="57"/>
      <c r="H142" s="57"/>
    </row>
    <row r="143" spans="1:63" ht="19.5" customHeight="1" x14ac:dyDescent="0.2">
      <c r="A143" s="1628" t="s">
        <v>989</v>
      </c>
      <c r="B143" s="88" t="s">
        <v>347</v>
      </c>
      <c r="C143" s="542" t="s">
        <v>1550</v>
      </c>
      <c r="D143" s="343"/>
      <c r="E143" s="347"/>
      <c r="F143" s="57"/>
      <c r="G143" s="57"/>
      <c r="H143" s="57"/>
    </row>
    <row r="144" spans="1:63" ht="22.5" customHeight="1" x14ac:dyDescent="0.2">
      <c r="A144" s="1628" t="s">
        <v>990</v>
      </c>
      <c r="B144" s="88" t="s">
        <v>348</v>
      </c>
      <c r="C144" s="542" t="s">
        <v>1550</v>
      </c>
      <c r="D144" s="343"/>
      <c r="E144" s="347"/>
      <c r="F144" s="57"/>
      <c r="G144" s="57"/>
      <c r="H144" s="57"/>
    </row>
    <row r="145" spans="1:88" ht="23.25" customHeight="1" x14ac:dyDescent="0.2">
      <c r="A145" s="1628" t="s">
        <v>991</v>
      </c>
      <c r="B145" s="88" t="s">
        <v>349</v>
      </c>
      <c r="C145" s="542" t="s">
        <v>1550</v>
      </c>
      <c r="D145" s="343"/>
      <c r="E145" s="347"/>
      <c r="F145" s="57"/>
      <c r="G145" s="57"/>
      <c r="H145" s="57"/>
    </row>
    <row r="146" spans="1:88" ht="22.5" customHeight="1" x14ac:dyDescent="0.2">
      <c r="A146" s="1628" t="s">
        <v>992</v>
      </c>
      <c r="B146" s="88" t="s">
        <v>350</v>
      </c>
      <c r="C146" s="542" t="s">
        <v>1550</v>
      </c>
      <c r="D146" s="343"/>
      <c r="E146" s="347"/>
      <c r="F146" s="57"/>
      <c r="G146" s="57"/>
      <c r="H146" s="57"/>
    </row>
    <row r="147" spans="1:88" ht="26.25" customHeight="1" x14ac:dyDescent="0.2">
      <c r="A147" s="1628" t="s">
        <v>993</v>
      </c>
      <c r="B147" s="88" t="s">
        <v>351</v>
      </c>
      <c r="C147" s="542" t="s">
        <v>1550</v>
      </c>
      <c r="D147" s="343"/>
      <c r="E147" s="347"/>
      <c r="F147" s="57"/>
      <c r="G147" s="57"/>
      <c r="H147" s="57"/>
    </row>
    <row r="148" spans="1:88" ht="26.25" customHeight="1" x14ac:dyDescent="0.2">
      <c r="A148" s="1628" t="s">
        <v>994</v>
      </c>
      <c r="B148" s="88" t="s">
        <v>352</v>
      </c>
      <c r="C148" s="542" t="s">
        <v>1550</v>
      </c>
      <c r="D148" s="343"/>
      <c r="E148" s="347"/>
      <c r="F148" s="57"/>
      <c r="G148" s="57"/>
      <c r="H148" s="57"/>
    </row>
    <row r="149" spans="1:88" ht="27" customHeight="1" x14ac:dyDescent="0.2">
      <c r="A149" s="1628" t="s">
        <v>995</v>
      </c>
      <c r="B149" s="88" t="s">
        <v>353</v>
      </c>
      <c r="C149" s="542" t="s">
        <v>1550</v>
      </c>
      <c r="D149" s="343"/>
      <c r="E149" s="347"/>
      <c r="F149" s="57"/>
      <c r="G149" s="57"/>
      <c r="H149" s="57"/>
    </row>
    <row r="150" spans="1:88" ht="29.25" customHeight="1" x14ac:dyDescent="0.2">
      <c r="A150" s="1628" t="s">
        <v>996</v>
      </c>
      <c r="B150" s="90" t="s">
        <v>75</v>
      </c>
      <c r="C150" s="549" t="s">
        <v>1550</v>
      </c>
      <c r="D150" s="343"/>
      <c r="E150" s="347"/>
      <c r="F150" s="57"/>
      <c r="G150" s="57"/>
      <c r="H150" s="57"/>
      <c r="I150" s="57"/>
    </row>
    <row r="151" spans="1:88" ht="21" customHeight="1" x14ac:dyDescent="0.2">
      <c r="A151" s="1629"/>
      <c r="B151" s="90" t="s">
        <v>13</v>
      </c>
      <c r="C151" s="545">
        <f>SUM(C133:C150)</f>
        <v>0</v>
      </c>
      <c r="D151" s="1511"/>
    </row>
    <row r="152" spans="1:88" ht="15.75" customHeight="1" x14ac:dyDescent="0.2"/>
    <row r="154" spans="1:88" s="343" customFormat="1" ht="10.5" customHeight="1" x14ac:dyDescent="0.2">
      <c r="B154" s="175"/>
      <c r="C154" s="175"/>
      <c r="D154" s="175"/>
      <c r="E154" s="175"/>
      <c r="F154" s="175"/>
      <c r="G154" s="175"/>
      <c r="H154" s="175"/>
      <c r="I154" s="175"/>
      <c r="J154" s="175"/>
      <c r="K154" s="175"/>
      <c r="L154" s="175"/>
      <c r="M154" s="175"/>
      <c r="N154" s="175"/>
      <c r="O154" s="175"/>
      <c r="P154" s="175"/>
      <c r="Q154" s="175"/>
      <c r="R154" s="175"/>
      <c r="S154" s="175"/>
      <c r="T154" s="175"/>
      <c r="V154" s="175"/>
      <c r="W154" s="175"/>
      <c r="X154" s="175"/>
      <c r="Y154" s="291"/>
      <c r="Z154" s="307"/>
      <c r="AA154" s="307"/>
      <c r="AB154" s="307"/>
      <c r="AC154" s="307"/>
      <c r="AD154" s="307"/>
      <c r="AE154" s="307"/>
      <c r="AF154" s="307"/>
      <c r="AG154" s="307"/>
      <c r="AH154" s="307"/>
      <c r="AI154" s="307"/>
      <c r="AJ154" s="307"/>
      <c r="AK154" s="307"/>
      <c r="AL154" s="307"/>
      <c r="AM154" s="307"/>
      <c r="AN154" s="307"/>
      <c r="AO154" s="307"/>
      <c r="AP154" s="307"/>
      <c r="AQ154" s="307"/>
      <c r="AR154" s="307"/>
      <c r="AS154" s="307"/>
      <c r="AT154" s="307"/>
      <c r="AU154" s="307"/>
      <c r="AV154" s="307"/>
      <c r="AW154" s="307"/>
      <c r="AX154" s="307"/>
      <c r="AY154" s="307"/>
      <c r="AZ154" s="307"/>
      <c r="BA154" s="307"/>
      <c r="BB154" s="307"/>
      <c r="BC154" s="307"/>
      <c r="BD154" s="307"/>
      <c r="BE154" s="307"/>
      <c r="BF154" s="307"/>
      <c r="BG154" s="307"/>
      <c r="BH154" s="307"/>
      <c r="BI154" s="307"/>
      <c r="BJ154" s="307"/>
      <c r="BK154" s="291"/>
      <c r="BL154" s="291"/>
      <c r="BM154" s="291"/>
      <c r="BN154" s="291"/>
      <c r="BO154" s="291"/>
      <c r="BP154" s="291"/>
      <c r="BQ154" s="291"/>
      <c r="BR154" s="291"/>
      <c r="BS154" s="291"/>
      <c r="BT154" s="291"/>
      <c r="BU154" s="291"/>
      <c r="BV154" s="291"/>
      <c r="BW154" s="291"/>
      <c r="BX154" s="291"/>
      <c r="BY154" s="291"/>
      <c r="BZ154" s="291"/>
      <c r="CA154" s="291"/>
      <c r="CB154" s="175"/>
      <c r="CC154" s="175"/>
      <c r="CD154" s="175"/>
      <c r="CE154" s="175"/>
      <c r="CF154" s="175"/>
      <c r="CG154" s="175"/>
      <c r="CH154" s="175"/>
      <c r="CI154" s="175"/>
      <c r="CJ154" s="175"/>
    </row>
    <row r="155" spans="1:88" s="343" customFormat="1" ht="9" customHeight="1" x14ac:dyDescent="0.2">
      <c r="B155" s="175"/>
      <c r="C155" s="175"/>
      <c r="D155" s="175"/>
      <c r="E155" s="175"/>
      <c r="F155" s="175"/>
      <c r="G155" s="175"/>
      <c r="H155" s="175"/>
      <c r="I155" s="175"/>
      <c r="J155" s="175"/>
      <c r="K155" s="175"/>
      <c r="L155" s="175"/>
      <c r="M155" s="175"/>
      <c r="N155" s="175"/>
      <c r="O155" s="175"/>
      <c r="P155" s="175"/>
      <c r="Q155" s="175"/>
      <c r="R155" s="175"/>
      <c r="S155" s="175"/>
      <c r="T155" s="175"/>
      <c r="V155" s="175"/>
      <c r="W155" s="175"/>
      <c r="X155" s="175"/>
      <c r="Y155" s="291"/>
      <c r="Z155" s="307"/>
      <c r="AA155" s="307"/>
      <c r="AB155" s="307"/>
      <c r="AC155" s="307"/>
      <c r="AD155" s="307"/>
      <c r="AE155" s="307"/>
      <c r="AF155" s="307"/>
      <c r="AG155" s="307"/>
      <c r="AH155" s="307"/>
      <c r="AI155" s="307"/>
      <c r="AJ155" s="307"/>
      <c r="AK155" s="307"/>
      <c r="AL155" s="307"/>
      <c r="AM155" s="307"/>
      <c r="AN155" s="307"/>
      <c r="AO155" s="307"/>
      <c r="AP155" s="307"/>
      <c r="AQ155" s="307"/>
      <c r="AR155" s="307"/>
      <c r="AS155" s="307"/>
      <c r="AT155" s="307"/>
      <c r="AU155" s="307"/>
      <c r="AV155" s="307"/>
      <c r="AW155" s="307"/>
      <c r="AX155" s="307"/>
      <c r="AY155" s="307"/>
      <c r="AZ155" s="307"/>
      <c r="BA155" s="307"/>
      <c r="BB155" s="307"/>
      <c r="BC155" s="307"/>
      <c r="BD155" s="307"/>
      <c r="BE155" s="307"/>
      <c r="BF155" s="307"/>
      <c r="BG155" s="307"/>
      <c r="BH155" s="307"/>
      <c r="BI155" s="307"/>
      <c r="BJ155" s="307"/>
      <c r="BK155" s="291"/>
      <c r="BL155" s="291"/>
      <c r="BM155" s="291"/>
      <c r="BN155" s="291"/>
      <c r="BO155" s="291"/>
      <c r="BP155" s="291"/>
      <c r="BQ155" s="291"/>
      <c r="BR155" s="291"/>
      <c r="BS155" s="291"/>
      <c r="BT155" s="291"/>
      <c r="BU155" s="291"/>
      <c r="BV155" s="291"/>
      <c r="BW155" s="291"/>
      <c r="BX155" s="291"/>
      <c r="BY155" s="291"/>
      <c r="BZ155" s="291"/>
      <c r="CA155" s="291"/>
      <c r="CB155" s="175"/>
      <c r="CC155" s="175"/>
      <c r="CD155" s="175"/>
      <c r="CE155" s="175"/>
      <c r="CF155" s="175"/>
      <c r="CG155" s="175"/>
      <c r="CH155" s="175"/>
      <c r="CI155" s="175"/>
      <c r="CJ155" s="175"/>
    </row>
    <row r="157" spans="1:88" x14ac:dyDescent="0.2">
      <c r="BK157" s="351"/>
      <c r="BL157" s="351"/>
      <c r="BM157" s="351"/>
      <c r="BN157" s="351"/>
      <c r="BO157" s="351"/>
      <c r="BP157" s="351"/>
      <c r="BQ157" s="351"/>
    </row>
    <row r="162" spans="2:13" ht="13.5" customHeight="1" x14ac:dyDescent="0.2"/>
    <row r="163" spans="2:13" hidden="1" x14ac:dyDescent="0.2">
      <c r="B163" s="1454">
        <f>SUM(D11:D36,C49:G49,C57:D57,D61:D70,C73:C77,C80:C84,D89:D95,C108:F108,D112:D116,C128:H129,C133:C151)</f>
        <v>0</v>
      </c>
      <c r="C163" s="938" t="s">
        <v>317</v>
      </c>
      <c r="D163" s="349"/>
      <c r="E163" s="349"/>
      <c r="F163" s="349"/>
      <c r="G163" s="349"/>
      <c r="H163" s="349"/>
      <c r="I163" s="349"/>
      <c r="J163" s="349"/>
      <c r="K163" s="349"/>
      <c r="L163" s="349"/>
      <c r="M163" s="349"/>
    </row>
    <row r="164" spans="2:13" hidden="1" x14ac:dyDescent="0.2">
      <c r="B164" s="1454" t="e">
        <f>SUM(CK11:CS95)</f>
        <v>#VALUE!</v>
      </c>
      <c r="C164" s="938" t="s">
        <v>318</v>
      </c>
      <c r="D164" s="349"/>
      <c r="E164" s="349"/>
      <c r="F164" s="349"/>
      <c r="G164" s="349"/>
      <c r="H164" s="349"/>
      <c r="I164" s="349"/>
      <c r="J164" s="349"/>
      <c r="K164" s="349"/>
      <c r="L164" s="349"/>
      <c r="M164" s="349"/>
    </row>
  </sheetData>
  <mergeCells count="61">
    <mergeCell ref="J87:J88"/>
    <mergeCell ref="C110:C111"/>
    <mergeCell ref="C97:D97"/>
    <mergeCell ref="B97:B98"/>
    <mergeCell ref="E97:E98"/>
    <mergeCell ref="F97:F98"/>
    <mergeCell ref="D51:D52"/>
    <mergeCell ref="D38:D39"/>
    <mergeCell ref="B91:C91"/>
    <mergeCell ref="B92:C92"/>
    <mergeCell ref="B89:C89"/>
    <mergeCell ref="B87:C88"/>
    <mergeCell ref="D87:D88"/>
    <mergeCell ref="C51:C52"/>
    <mergeCell ref="T9:T10"/>
    <mergeCell ref="B20:B21"/>
    <mergeCell ref="B24:C24"/>
    <mergeCell ref="B30:C30"/>
    <mergeCell ref="B25:C25"/>
    <mergeCell ref="B22:B23"/>
    <mergeCell ref="S9:S10"/>
    <mergeCell ref="D9:D10"/>
    <mergeCell ref="R9:R10"/>
    <mergeCell ref="B11:C11"/>
    <mergeCell ref="E9:Q9"/>
    <mergeCell ref="B13:B19"/>
    <mergeCell ref="B26:B27"/>
    <mergeCell ref="B28:B29"/>
    <mergeCell ref="B9:C10"/>
    <mergeCell ref="B31:C31"/>
    <mergeCell ref="K87:K88"/>
    <mergeCell ref="D6:Q6"/>
    <mergeCell ref="B78:F78"/>
    <mergeCell ref="B37:G37"/>
    <mergeCell ref="B58:M58"/>
    <mergeCell ref="G38:G39"/>
    <mergeCell ref="B51:B52"/>
    <mergeCell ref="B7:H7"/>
    <mergeCell ref="F38:F39"/>
    <mergeCell ref="E38:E39"/>
    <mergeCell ref="B38:B39"/>
    <mergeCell ref="C38:C39"/>
    <mergeCell ref="B32:B33"/>
    <mergeCell ref="B34:B35"/>
    <mergeCell ref="B36:C36"/>
    <mergeCell ref="B131:I131"/>
    <mergeCell ref="B85:C85"/>
    <mergeCell ref="B59:B60"/>
    <mergeCell ref="C59:C60"/>
    <mergeCell ref="D59:D60"/>
    <mergeCell ref="B61:B65"/>
    <mergeCell ref="B66:B70"/>
    <mergeCell ref="E59:M59"/>
    <mergeCell ref="B95:C95"/>
    <mergeCell ref="B110:B111"/>
    <mergeCell ref="D110:D111"/>
    <mergeCell ref="B93:C93"/>
    <mergeCell ref="B94:C94"/>
    <mergeCell ref="E110:M110"/>
    <mergeCell ref="B112:B116"/>
    <mergeCell ref="E87:I87"/>
  </mergeCells>
  <phoneticPr fontId="26" type="noConversion"/>
  <dataValidations count="3">
    <dataValidation allowBlank="1" showInputMessage="1" showErrorMessage="1" errorTitle="Error de ingreso" error="Debe ingresar sólo números enteros positivos." sqref="C110:C111 E111:G111 F1:Q8 C1:C18 B1:B13 C151:C1048576 B28 C20:C29 B20:B26 B99:B108 G97:BZ108 E97:F97 E96:K96 R1:T10 N37:T64 E1:E10 C108:F108 D1:D29 F10:Q10 B30:B97 C30:D39 D57:D96 E37:G39 C49:C52 D49:D55 U1:XFD64 H37:M60 E65:AA65 C57:C72 C78:C79 AK65:XFD65 E70:K88 C85:C98 B130:B1048576 C130:C132 CB97:XFD108 D130:XFD1048576 E49:G60 L70:M96 O118:XFD129 N109:XFD117 N66:XFD96" xr:uid="{00000000-0002-0000-0100-000000000000}"/>
    <dataValidation type="whole" operator="greaterThanOrEqual" allowBlank="1" showInputMessage="1" showErrorMessage="1" errorTitle="Error de ingreso" error="Debe ingresar sólo números enteros positivos." sqref="E11:T36" xr:uid="{00000000-0002-0000-0100-000001000000}">
      <formula1>0</formula1>
    </dataValidation>
    <dataValidation type="whole" operator="greaterThanOrEqual" allowBlank="1" showInputMessage="1" showErrorMessage="1" sqref="C40:G48 C53:C56 D56 E61:M64 E66:M69 C73:C77 C80:C84 E89:K95 C99:F107 E112:M115 C119:H127 D129:E129 G129:H129 C133:C150" xr:uid="{00000000-0002-0000-0100-000002000000}">
      <formula1>0</formula1>
    </dataValidation>
  </dataValidations>
  <printOptions gridLines="1"/>
  <pageMargins left="0.23622047244094491" right="0.23622047244094491" top="0.74803149606299213" bottom="0.74803149606299213" header="0.31496062992125984" footer="0.31496062992125984"/>
  <pageSetup scale="65" fitToHeight="0" orientation="landscape" r:id="rId1"/>
  <rowBreaks count="1" manualBreakCount="1">
    <brk id="57" min="1" max="13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EB238"/>
  <sheetViews>
    <sheetView showGridLines="0" zoomScaleNormal="100" workbookViewId="0">
      <selection activeCell="A2" sqref="A2"/>
    </sheetView>
  </sheetViews>
  <sheetFormatPr baseColWidth="10" defaultColWidth="11.44140625" defaultRowHeight="14.4" x14ac:dyDescent="0.3"/>
  <cols>
    <col min="1" max="1" width="16.109375" style="175" customWidth="1"/>
    <col min="2" max="2" width="28.33203125" style="178" customWidth="1"/>
    <col min="3" max="3" width="39.88671875" style="178" customWidth="1"/>
    <col min="4" max="4" width="11.88671875" style="178" customWidth="1"/>
    <col min="5" max="5" width="10.6640625" style="178" customWidth="1"/>
    <col min="6" max="6" width="8.6640625" style="178" customWidth="1"/>
    <col min="7" max="7" width="10.109375" style="178" customWidth="1"/>
    <col min="8" max="8" width="9.109375" style="178" customWidth="1"/>
    <col min="9" max="9" width="10.109375" style="178" customWidth="1"/>
    <col min="10" max="10" width="10.88671875" style="178" customWidth="1"/>
    <col min="11" max="11" width="10.44140625" style="178" customWidth="1"/>
    <col min="12" max="12" width="11" style="178" customWidth="1"/>
    <col min="13" max="13" width="10.44140625" style="178" customWidth="1"/>
    <col min="14" max="14" width="10.109375" style="178" customWidth="1"/>
    <col min="15" max="40" width="8.6640625" style="178" customWidth="1"/>
    <col min="41" max="41" width="8.44140625" style="178" customWidth="1"/>
    <col min="42" max="42" width="8.88671875" style="178" customWidth="1"/>
    <col min="43" max="44" width="9" style="178" customWidth="1"/>
    <col min="45" max="47" width="10.33203125" style="178" customWidth="1"/>
    <col min="48" max="49" width="10.44140625" style="178" customWidth="1"/>
    <col min="50" max="70" width="11.44140625" style="960" customWidth="1"/>
    <col min="71" max="74" width="10.44140625" style="175" customWidth="1"/>
    <col min="75" max="79" width="11.44140625" style="175" customWidth="1"/>
    <col min="80" max="90" width="10.44140625" style="175" hidden="1" customWidth="1"/>
    <col min="91" max="106" width="11.44140625" style="55" hidden="1" customWidth="1"/>
    <col min="107" max="116" width="10.44140625" style="175" hidden="1" customWidth="1"/>
    <col min="117" max="127" width="11.44140625" style="175" hidden="1" customWidth="1"/>
    <col min="128" max="141" width="11.44140625" style="175" customWidth="1"/>
    <col min="142" max="16384" width="11.44140625" style="175"/>
  </cols>
  <sheetData>
    <row r="1" spans="1:132" s="55" customFormat="1" ht="13.5" customHeight="1" x14ac:dyDescent="0.2">
      <c r="B1" s="54" t="s">
        <v>0</v>
      </c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  <c r="AE1" s="54"/>
      <c r="AF1" s="54"/>
      <c r="AG1" s="54"/>
      <c r="AH1" s="54"/>
      <c r="AI1" s="54"/>
      <c r="AJ1" s="54"/>
      <c r="AK1" s="54"/>
      <c r="AL1" s="54"/>
      <c r="AM1" s="54"/>
      <c r="AN1" s="54"/>
      <c r="AO1" s="54"/>
      <c r="AP1" s="54"/>
      <c r="AQ1" s="54"/>
      <c r="AR1" s="54"/>
      <c r="AS1" s="54"/>
      <c r="AT1" s="54"/>
      <c r="AU1" s="54"/>
      <c r="AV1" s="54"/>
      <c r="AW1" s="54"/>
      <c r="BS1" s="175"/>
      <c r="DC1" s="175"/>
      <c r="DD1" s="175"/>
      <c r="DE1" s="175"/>
      <c r="DF1" s="175"/>
      <c r="DG1" s="175"/>
      <c r="DH1" s="175"/>
      <c r="DI1" s="175"/>
      <c r="DJ1" s="175"/>
      <c r="DK1" s="175"/>
      <c r="DL1" s="175"/>
      <c r="DM1" s="175"/>
      <c r="DN1" s="175"/>
      <c r="DO1" s="175"/>
      <c r="DP1" s="175"/>
      <c r="DQ1" s="175"/>
      <c r="DR1" s="175"/>
      <c r="DS1" s="175"/>
      <c r="DT1" s="175"/>
      <c r="DU1" s="175"/>
      <c r="DV1" s="175"/>
      <c r="DW1" s="175"/>
      <c r="DX1" s="175"/>
      <c r="DY1" s="175"/>
      <c r="DZ1" s="175"/>
      <c r="EA1" s="175"/>
      <c r="EB1" s="175"/>
    </row>
    <row r="2" spans="1:132" s="55" customFormat="1" ht="13.5" customHeight="1" x14ac:dyDescent="0.2">
      <c r="B2" s="54" t="str">
        <f>CONCATENATE("COMUNA: ",NOMBRE!$B$2," - ","( ",NOMBRE!$C$2,NOMBRE!$D$2,NOMBRE!$E$2,NOMBRE!$F$2,NOMBRE!$G$2," )")</f>
        <v>COMUNA:  - (  )</v>
      </c>
      <c r="C2" s="54"/>
      <c r="D2" s="54"/>
      <c r="E2" s="56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  <c r="X2" s="54"/>
      <c r="Y2" s="54"/>
      <c r="Z2" s="54"/>
      <c r="AA2" s="54"/>
      <c r="AB2" s="54"/>
      <c r="AC2" s="54"/>
      <c r="AD2" s="54"/>
      <c r="AE2" s="54"/>
      <c r="AF2" s="54"/>
      <c r="AG2" s="54"/>
      <c r="AH2" s="54"/>
      <c r="AI2" s="54"/>
      <c r="AJ2" s="54"/>
      <c r="AK2" s="54"/>
      <c r="AL2" s="54"/>
      <c r="AM2" s="54"/>
      <c r="AN2" s="54"/>
      <c r="AO2" s="54"/>
      <c r="AP2" s="54"/>
      <c r="AQ2" s="54"/>
      <c r="AR2" s="54"/>
      <c r="AS2" s="54"/>
      <c r="AT2" s="54"/>
      <c r="AU2" s="54"/>
      <c r="AV2" s="54"/>
      <c r="AW2" s="54"/>
      <c r="BS2" s="175"/>
      <c r="DC2" s="175"/>
      <c r="DD2" s="175"/>
      <c r="DE2" s="175"/>
      <c r="DF2" s="175"/>
      <c r="DG2" s="175"/>
      <c r="DH2" s="175"/>
      <c r="DI2" s="175"/>
      <c r="DJ2" s="175"/>
      <c r="DK2" s="175"/>
      <c r="DL2" s="175"/>
      <c r="DM2" s="175"/>
      <c r="DN2" s="175"/>
      <c r="DO2" s="175"/>
      <c r="DP2" s="175"/>
      <c r="DQ2" s="175"/>
      <c r="DR2" s="175"/>
      <c r="DS2" s="175"/>
      <c r="DT2" s="175"/>
      <c r="DU2" s="175"/>
      <c r="DV2" s="175"/>
      <c r="DW2" s="175"/>
      <c r="DX2" s="175"/>
      <c r="DY2" s="175"/>
      <c r="DZ2" s="175"/>
      <c r="EA2" s="175"/>
      <c r="EB2" s="175"/>
    </row>
    <row r="3" spans="1:132" s="55" customFormat="1" ht="13.5" customHeight="1" x14ac:dyDescent="0.2">
      <c r="B3" s="54" t="str">
        <f>CONCATENATE("ESTABLECIMIENTO/ESTRATEGIA: ",NOMBRE!$B$3," - ","( ",NOMBRE!$C$3,NOMBRE!$D$3,NOMBRE!$E$3,NOMBRE!$F$3,NOMBRE!$G$3,NOMBRE!$H$3," )")</f>
        <v>ESTABLECIMIENTO/ESTRATEGIA:  - (  )</v>
      </c>
      <c r="C3" s="54"/>
      <c r="D3" s="54"/>
      <c r="E3" s="54"/>
      <c r="F3" s="54"/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  <c r="AA3" s="54"/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BS3" s="175"/>
      <c r="DC3" s="175"/>
      <c r="DD3" s="175"/>
      <c r="DE3" s="175"/>
      <c r="DF3" s="175"/>
      <c r="DG3" s="175"/>
      <c r="DH3" s="175"/>
      <c r="DI3" s="175"/>
      <c r="DJ3" s="175"/>
      <c r="DK3" s="175"/>
      <c r="DL3" s="175"/>
      <c r="DM3" s="175"/>
      <c r="DN3" s="175"/>
      <c r="DO3" s="175"/>
      <c r="DP3" s="175"/>
      <c r="DQ3" s="175"/>
      <c r="DR3" s="175"/>
      <c r="DS3" s="175"/>
      <c r="DT3" s="175"/>
      <c r="DU3" s="175"/>
      <c r="DV3" s="175"/>
      <c r="DW3" s="175"/>
      <c r="DX3" s="175"/>
      <c r="DY3" s="175"/>
      <c r="DZ3" s="175"/>
      <c r="EA3" s="175"/>
      <c r="EB3" s="175"/>
    </row>
    <row r="4" spans="1:132" s="55" customFormat="1" ht="13.5" customHeight="1" x14ac:dyDescent="0.2">
      <c r="B4" s="54" t="str">
        <f>CONCATENATE("MES: ",NOMBRE!$B$6," - ","( ",NOMBRE!$C$6,NOMBRE!$D$6," )")</f>
        <v>MES:  - (  )</v>
      </c>
      <c r="C4" s="54"/>
      <c r="D4" s="54"/>
      <c r="E4" s="54"/>
      <c r="F4" s="54"/>
      <c r="G4" s="54"/>
      <c r="H4" s="54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  <c r="W4" s="54"/>
      <c r="X4" s="54"/>
      <c r="Y4" s="54"/>
      <c r="Z4" s="54"/>
      <c r="AA4" s="54"/>
      <c r="AB4" s="54"/>
      <c r="AC4" s="54"/>
      <c r="AD4" s="54"/>
      <c r="AE4" s="54"/>
      <c r="AF4" s="54"/>
      <c r="AG4" s="54"/>
      <c r="AH4" s="54"/>
      <c r="AI4" s="54"/>
      <c r="AJ4" s="54"/>
      <c r="AK4" s="54"/>
      <c r="AL4" s="54"/>
      <c r="AM4" s="54"/>
      <c r="AN4" s="54"/>
      <c r="AO4" s="54"/>
      <c r="AP4" s="54"/>
      <c r="AQ4" s="54"/>
      <c r="AR4" s="54"/>
      <c r="AS4" s="54"/>
      <c r="AT4" s="54"/>
      <c r="AU4" s="54"/>
      <c r="AV4" s="54"/>
      <c r="AW4" s="54"/>
      <c r="BS4" s="175"/>
      <c r="DC4" s="175"/>
      <c r="DD4" s="175"/>
      <c r="DE4" s="175"/>
      <c r="DF4" s="175"/>
      <c r="DG4" s="175"/>
      <c r="DH4" s="175"/>
      <c r="DI4" s="175"/>
      <c r="DJ4" s="175"/>
      <c r="DK4" s="175"/>
      <c r="DL4" s="175"/>
      <c r="DM4" s="175"/>
      <c r="DN4" s="175"/>
      <c r="DO4" s="175"/>
      <c r="DP4" s="175"/>
      <c r="DQ4" s="175"/>
      <c r="DR4" s="175"/>
      <c r="DS4" s="175"/>
      <c r="DT4" s="175"/>
      <c r="DU4" s="175"/>
      <c r="DV4" s="175"/>
      <c r="DW4" s="175"/>
      <c r="DX4" s="175"/>
      <c r="DY4" s="175"/>
      <c r="DZ4" s="175"/>
      <c r="EA4" s="175"/>
      <c r="EB4" s="175"/>
    </row>
    <row r="5" spans="1:132" s="55" customFormat="1" ht="13.5" customHeight="1" x14ac:dyDescent="0.2">
      <c r="B5" s="54" t="str">
        <f>CONCATENATE("AÑO: ",NOMBRE!$B$7)</f>
        <v>AÑO: 2023</v>
      </c>
      <c r="C5" s="54"/>
      <c r="D5" s="54"/>
      <c r="E5" s="54"/>
      <c r="F5" s="54"/>
      <c r="G5" s="54"/>
      <c r="H5" s="54"/>
      <c r="I5" s="54"/>
      <c r="J5" s="54"/>
      <c r="K5" s="54"/>
      <c r="L5" s="54"/>
      <c r="M5" s="54"/>
      <c r="N5" s="54"/>
      <c r="O5" s="54"/>
      <c r="P5" s="54"/>
      <c r="Q5" s="54"/>
      <c r="R5" s="54"/>
      <c r="S5" s="54"/>
      <c r="T5" s="54"/>
      <c r="U5" s="54"/>
      <c r="V5" s="54"/>
      <c r="W5" s="54"/>
      <c r="X5" s="54"/>
      <c r="Y5" s="54"/>
      <c r="Z5" s="54"/>
      <c r="AA5" s="54"/>
      <c r="AB5" s="54"/>
      <c r="AC5" s="54"/>
      <c r="AD5" s="54"/>
      <c r="AE5" s="54"/>
      <c r="AF5" s="54"/>
      <c r="AG5" s="54"/>
      <c r="AH5" s="54"/>
      <c r="AI5" s="54"/>
      <c r="AJ5" s="54"/>
      <c r="AK5" s="54"/>
      <c r="AL5" s="54"/>
      <c r="AM5" s="54"/>
      <c r="AN5" s="54"/>
      <c r="AO5" s="54"/>
      <c r="AP5" s="54"/>
      <c r="AQ5" s="54"/>
      <c r="AR5" s="54"/>
      <c r="AS5" s="54"/>
      <c r="AT5" s="54"/>
      <c r="AU5" s="54"/>
      <c r="AV5" s="54"/>
      <c r="AW5" s="54"/>
      <c r="BS5" s="175"/>
      <c r="DC5" s="175"/>
      <c r="DD5" s="175"/>
      <c r="DE5" s="175"/>
      <c r="DF5" s="175"/>
      <c r="DG5" s="175"/>
      <c r="DH5" s="175"/>
      <c r="DI5" s="175"/>
      <c r="DJ5" s="175"/>
      <c r="DK5" s="175"/>
      <c r="DL5" s="175"/>
      <c r="DM5" s="175"/>
      <c r="DN5" s="175"/>
      <c r="DO5" s="175"/>
      <c r="DP5" s="175"/>
      <c r="DQ5" s="175"/>
      <c r="DR5" s="175"/>
      <c r="DS5" s="175"/>
      <c r="DT5" s="175"/>
      <c r="DU5" s="175"/>
      <c r="DV5" s="175"/>
      <c r="DW5" s="175"/>
      <c r="DX5" s="175"/>
      <c r="DY5" s="175"/>
      <c r="DZ5" s="175"/>
      <c r="EA5" s="175"/>
      <c r="EB5" s="175"/>
    </row>
    <row r="6" spans="1:132" ht="21.9" customHeight="1" x14ac:dyDescent="0.3">
      <c r="B6" s="1972" t="s">
        <v>619</v>
      </c>
      <c r="C6" s="1972"/>
      <c r="D6" s="1972"/>
      <c r="E6" s="1972"/>
      <c r="F6" s="1972"/>
      <c r="G6" s="1972"/>
      <c r="H6" s="1972"/>
      <c r="I6" s="1972"/>
      <c r="J6" s="1972"/>
      <c r="K6" s="1972"/>
      <c r="L6" s="1972"/>
      <c r="M6" s="1972"/>
      <c r="N6" s="1972"/>
      <c r="O6" s="1972"/>
      <c r="P6" s="1972"/>
      <c r="Q6" s="1972"/>
      <c r="R6" s="1972"/>
      <c r="S6" s="1972"/>
      <c r="T6" s="1972"/>
      <c r="U6" s="1972"/>
      <c r="V6" s="1972"/>
      <c r="W6" s="1972"/>
      <c r="X6" s="1972"/>
      <c r="Y6" s="1972"/>
      <c r="Z6" s="415"/>
      <c r="AA6" s="415"/>
      <c r="AB6" s="415"/>
      <c r="AC6" s="415"/>
      <c r="AD6" s="415"/>
      <c r="AE6" s="415"/>
      <c r="AF6" s="415"/>
      <c r="AG6" s="415"/>
      <c r="AH6" s="415"/>
      <c r="AI6" s="415"/>
      <c r="AJ6" s="415"/>
      <c r="AK6" s="415"/>
      <c r="AL6" s="415"/>
      <c r="AM6" s="415"/>
      <c r="AN6" s="415"/>
      <c r="AO6" s="415"/>
      <c r="AP6" s="415"/>
      <c r="AQ6" s="415"/>
      <c r="AR6" s="415"/>
      <c r="AS6" s="415"/>
      <c r="AT6" s="415"/>
      <c r="AU6" s="415"/>
      <c r="AV6" s="415"/>
      <c r="AW6" s="415"/>
      <c r="CB6" s="1617"/>
    </row>
    <row r="7" spans="1:132" ht="43.5" customHeight="1" x14ac:dyDescent="0.3">
      <c r="B7" s="427" t="s">
        <v>848</v>
      </c>
      <c r="C7" s="427"/>
      <c r="D7" s="416"/>
      <c r="E7" s="416"/>
      <c r="F7" s="416"/>
      <c r="G7" s="416"/>
      <c r="H7" s="416"/>
      <c r="I7" s="416"/>
      <c r="J7" s="416"/>
      <c r="K7" s="416"/>
      <c r="L7" s="416"/>
      <c r="M7" s="416"/>
      <c r="N7" s="416"/>
      <c r="O7" s="416"/>
      <c r="P7" s="416"/>
      <c r="Q7" s="416"/>
      <c r="R7" s="416"/>
      <c r="S7" s="291"/>
      <c r="T7" s="291"/>
      <c r="U7" s="291"/>
      <c r="V7" s="291"/>
      <c r="W7" s="291"/>
      <c r="X7" s="291"/>
      <c r="Y7" s="291"/>
      <c r="Z7" s="291"/>
      <c r="AA7" s="291"/>
      <c r="AB7" s="291"/>
      <c r="AV7" s="417"/>
      <c r="AW7" s="291"/>
    </row>
    <row r="8" spans="1:132" ht="16.5" customHeight="1" x14ac:dyDescent="0.3">
      <c r="B8" s="1950" t="s">
        <v>76</v>
      </c>
      <c r="C8" s="1973"/>
      <c r="D8" s="1978" t="s">
        <v>13</v>
      </c>
      <c r="E8" s="1979"/>
      <c r="F8" s="1980"/>
      <c r="G8" s="1921" t="s">
        <v>867</v>
      </c>
      <c r="H8" s="1922"/>
      <c r="I8" s="1922"/>
      <c r="J8" s="1922"/>
      <c r="K8" s="1922"/>
      <c r="L8" s="1922"/>
      <c r="M8" s="1922"/>
      <c r="N8" s="1922"/>
      <c r="O8" s="1922"/>
      <c r="P8" s="1922"/>
      <c r="Q8" s="1922"/>
      <c r="R8" s="1922"/>
      <c r="S8" s="1922"/>
      <c r="T8" s="1922"/>
      <c r="U8" s="1922"/>
      <c r="V8" s="1922"/>
      <c r="W8" s="1922"/>
      <c r="X8" s="1922"/>
      <c r="Y8" s="1922"/>
      <c r="Z8" s="1922"/>
      <c r="AA8" s="1922"/>
      <c r="AB8" s="1922"/>
      <c r="AC8" s="1922"/>
      <c r="AD8" s="1922"/>
      <c r="AE8" s="1922"/>
      <c r="AF8" s="1922"/>
      <c r="AG8" s="1922"/>
      <c r="AH8" s="1923"/>
      <c r="AI8" s="2062" t="s">
        <v>15</v>
      </c>
      <c r="AJ8" s="1878"/>
      <c r="AK8" s="2063" t="s">
        <v>804</v>
      </c>
      <c r="AL8" s="2053"/>
      <c r="AM8" s="960"/>
      <c r="AN8" s="960"/>
      <c r="AO8" s="960"/>
      <c r="AP8" s="960"/>
      <c r="AQ8" s="960"/>
      <c r="AR8" s="960"/>
      <c r="AS8" s="960"/>
      <c r="AT8" s="960"/>
      <c r="AU8" s="960"/>
      <c r="AV8" s="960"/>
      <c r="AW8" s="960"/>
      <c r="BG8" s="175"/>
      <c r="BH8" s="178"/>
      <c r="BI8" s="175"/>
      <c r="BJ8" s="175"/>
      <c r="BK8" s="175"/>
      <c r="BL8" s="175"/>
      <c r="BM8" s="175"/>
      <c r="BN8" s="175"/>
      <c r="BO8" s="175"/>
      <c r="BS8" s="960"/>
      <c r="BT8" s="960"/>
      <c r="CD8" s="418"/>
      <c r="CE8" s="418"/>
      <c r="CF8" s="418"/>
      <c r="CG8" s="419"/>
      <c r="CH8" s="360"/>
      <c r="CI8" s="360"/>
      <c r="CJ8" s="360"/>
      <c r="CK8" s="354"/>
      <c r="CL8" s="354"/>
      <c r="CM8" s="354"/>
      <c r="CN8" s="354"/>
      <c r="CO8" s="306"/>
      <c r="CP8" s="306"/>
      <c r="CQ8" s="306"/>
      <c r="CR8" s="306"/>
      <c r="CS8" s="306"/>
      <c r="CT8" s="306"/>
      <c r="CU8" s="306"/>
      <c r="CV8" s="306"/>
      <c r="CW8" s="306"/>
      <c r="CX8" s="306"/>
      <c r="CY8" s="306"/>
      <c r="CZ8" s="306"/>
      <c r="DA8" s="306"/>
      <c r="DB8" s="306"/>
      <c r="DC8" s="306"/>
      <c r="DD8" s="306"/>
      <c r="DE8" s="352"/>
      <c r="DF8" s="352"/>
      <c r="DG8" s="352"/>
      <c r="DH8" s="352"/>
      <c r="DI8" s="352"/>
      <c r="DJ8" s="352"/>
      <c r="DK8" s="352"/>
      <c r="DL8" s="352"/>
      <c r="DM8" s="352"/>
      <c r="DN8" s="352"/>
      <c r="DO8" s="352"/>
      <c r="DP8" s="352"/>
      <c r="DQ8" s="352"/>
      <c r="DR8" s="352"/>
      <c r="DS8" s="352"/>
      <c r="DT8" s="352"/>
      <c r="DU8" s="352"/>
      <c r="DV8" s="352"/>
      <c r="DW8" s="352"/>
    </row>
    <row r="9" spans="1:132" ht="24" customHeight="1" x14ac:dyDescent="0.3">
      <c r="B9" s="1974"/>
      <c r="C9" s="1975"/>
      <c r="D9" s="1981"/>
      <c r="E9" s="1982"/>
      <c r="F9" s="1983"/>
      <c r="G9" s="1919" t="s">
        <v>78</v>
      </c>
      <c r="H9" s="1920"/>
      <c r="I9" s="1919" t="s">
        <v>79</v>
      </c>
      <c r="J9" s="1920"/>
      <c r="K9" s="1919" t="s">
        <v>80</v>
      </c>
      <c r="L9" s="1920"/>
      <c r="M9" s="1919" t="s">
        <v>81</v>
      </c>
      <c r="N9" s="1920"/>
      <c r="O9" s="1919" t="s">
        <v>82</v>
      </c>
      <c r="P9" s="1920"/>
      <c r="Q9" s="1919" t="s">
        <v>83</v>
      </c>
      <c r="R9" s="1920"/>
      <c r="S9" s="1919" t="s">
        <v>84</v>
      </c>
      <c r="T9" s="1920"/>
      <c r="U9" s="1919" t="s">
        <v>85</v>
      </c>
      <c r="V9" s="1920"/>
      <c r="W9" s="1919" t="s">
        <v>86</v>
      </c>
      <c r="X9" s="1920"/>
      <c r="Y9" s="1919" t="s">
        <v>87</v>
      </c>
      <c r="Z9" s="1920"/>
      <c r="AA9" s="1919" t="s">
        <v>88</v>
      </c>
      <c r="AB9" s="1920"/>
      <c r="AC9" s="1919" t="s">
        <v>89</v>
      </c>
      <c r="AD9" s="2073"/>
      <c r="AE9" s="1919" t="s">
        <v>90</v>
      </c>
      <c r="AF9" s="1920"/>
      <c r="AG9" s="1919" t="s">
        <v>91</v>
      </c>
      <c r="AH9" s="1920"/>
      <c r="AI9" s="2054"/>
      <c r="AJ9" s="1879"/>
      <c r="AK9" s="2064"/>
      <c r="AL9" s="2055"/>
      <c r="AM9" s="960"/>
      <c r="AN9" s="960"/>
      <c r="AO9" s="960"/>
      <c r="AP9" s="960"/>
      <c r="AQ9" s="960"/>
      <c r="AR9" s="960"/>
      <c r="AS9" s="960"/>
      <c r="AT9" s="960"/>
      <c r="AU9" s="960"/>
      <c r="AV9" s="960"/>
      <c r="AW9" s="960"/>
      <c r="BG9" s="175"/>
      <c r="BH9" s="178"/>
      <c r="BI9" s="175"/>
      <c r="BJ9" s="175"/>
      <c r="BK9" s="175"/>
      <c r="BL9" s="175"/>
      <c r="BM9" s="175"/>
      <c r="BN9" s="175"/>
      <c r="BO9" s="175"/>
      <c r="BS9" s="960"/>
      <c r="BT9" s="960"/>
      <c r="CD9" s="420"/>
      <c r="CE9" s="420"/>
      <c r="CF9" s="420"/>
      <c r="CG9" s="421"/>
      <c r="CH9" s="360"/>
      <c r="CI9" s="360"/>
      <c r="CJ9" s="360"/>
      <c r="CK9" s="354"/>
      <c r="CL9" s="354"/>
      <c r="CM9" s="354"/>
      <c r="CN9" s="354"/>
      <c r="CO9" s="306"/>
      <c r="CP9" s="306"/>
      <c r="CQ9" s="306"/>
      <c r="CR9" s="306"/>
      <c r="CS9" s="306"/>
      <c r="CT9" s="306"/>
      <c r="CU9" s="306"/>
      <c r="CV9" s="306"/>
      <c r="CW9" s="306"/>
      <c r="CX9" s="306"/>
      <c r="CY9" s="306"/>
      <c r="CZ9" s="306"/>
      <c r="DA9" s="306"/>
      <c r="DB9" s="306"/>
      <c r="DC9" s="306"/>
      <c r="DD9" s="306"/>
      <c r="DE9" s="352"/>
      <c r="DF9" s="352"/>
      <c r="DG9" s="352"/>
      <c r="DH9" s="352"/>
      <c r="DI9" s="352"/>
      <c r="DJ9" s="352"/>
      <c r="DK9" s="352"/>
      <c r="DL9" s="352"/>
      <c r="DM9" s="352"/>
      <c r="DN9" s="352"/>
      <c r="DO9" s="352"/>
      <c r="DP9" s="352"/>
      <c r="DQ9" s="352"/>
      <c r="DR9" s="352"/>
      <c r="DS9" s="352"/>
      <c r="DT9" s="352"/>
      <c r="DU9" s="352"/>
      <c r="DV9" s="352"/>
      <c r="DW9" s="352"/>
    </row>
    <row r="10" spans="1:132" ht="30.75" customHeight="1" x14ac:dyDescent="0.3">
      <c r="B10" s="1976"/>
      <c r="C10" s="1977"/>
      <c r="D10" s="91" t="s">
        <v>369</v>
      </c>
      <c r="E10" s="92" t="s">
        <v>31</v>
      </c>
      <c r="F10" s="1225" t="s">
        <v>94</v>
      </c>
      <c r="G10" s="92" t="s">
        <v>31</v>
      </c>
      <c r="H10" s="1225" t="s">
        <v>94</v>
      </c>
      <c r="I10" s="92" t="s">
        <v>31</v>
      </c>
      <c r="J10" s="93" t="s">
        <v>94</v>
      </c>
      <c r="K10" s="92" t="s">
        <v>31</v>
      </c>
      <c r="L10" s="93" t="s">
        <v>94</v>
      </c>
      <c r="M10" s="92" t="s">
        <v>31</v>
      </c>
      <c r="N10" s="93" t="s">
        <v>94</v>
      </c>
      <c r="O10" s="92" t="s">
        <v>31</v>
      </c>
      <c r="P10" s="93" t="s">
        <v>94</v>
      </c>
      <c r="Q10" s="92" t="s">
        <v>31</v>
      </c>
      <c r="R10" s="93" t="s">
        <v>94</v>
      </c>
      <c r="S10" s="92" t="s">
        <v>31</v>
      </c>
      <c r="T10" s="93" t="s">
        <v>94</v>
      </c>
      <c r="U10" s="92" t="s">
        <v>31</v>
      </c>
      <c r="V10" s="93" t="s">
        <v>94</v>
      </c>
      <c r="W10" s="92" t="s">
        <v>31</v>
      </c>
      <c r="X10" s="93" t="s">
        <v>94</v>
      </c>
      <c r="Y10" s="92" t="s">
        <v>31</v>
      </c>
      <c r="Z10" s="93" t="s">
        <v>94</v>
      </c>
      <c r="AA10" s="92" t="s">
        <v>31</v>
      </c>
      <c r="AB10" s="93" t="s">
        <v>94</v>
      </c>
      <c r="AC10" s="92" t="s">
        <v>31</v>
      </c>
      <c r="AD10" s="1399" t="s">
        <v>94</v>
      </c>
      <c r="AE10" s="1524" t="s">
        <v>31</v>
      </c>
      <c r="AF10" s="1431" t="s">
        <v>94</v>
      </c>
      <c r="AG10" s="92" t="s">
        <v>31</v>
      </c>
      <c r="AH10" s="93" t="s">
        <v>94</v>
      </c>
      <c r="AI10" s="350" t="s">
        <v>31</v>
      </c>
      <c r="AJ10" s="361" t="s">
        <v>94</v>
      </c>
      <c r="AK10" s="361" t="s">
        <v>31</v>
      </c>
      <c r="AL10" s="324" t="s">
        <v>94</v>
      </c>
      <c r="AM10" s="960"/>
      <c r="AN10" s="960"/>
      <c r="AO10" s="960"/>
      <c r="AP10" s="960"/>
      <c r="AQ10" s="960"/>
      <c r="AR10" s="960"/>
      <c r="AS10" s="960"/>
      <c r="AT10" s="960"/>
      <c r="AU10" s="960"/>
      <c r="AV10" s="960"/>
      <c r="AW10" s="960"/>
      <c r="BG10" s="175"/>
      <c r="BH10" s="175"/>
      <c r="BI10" s="175"/>
      <c r="BJ10" s="175"/>
      <c r="BK10" s="175"/>
      <c r="BL10" s="175"/>
      <c r="BM10" s="175"/>
      <c r="BN10" s="175"/>
      <c r="BO10" s="175"/>
      <c r="BS10" s="960"/>
      <c r="BT10" s="960"/>
      <c r="CD10" s="421"/>
      <c r="CE10" s="421"/>
      <c r="CF10" s="421"/>
      <c r="CG10" s="421"/>
      <c r="CH10" s="406"/>
      <c r="CI10" s="406"/>
      <c r="CJ10" s="406"/>
      <c r="CK10" s="354"/>
      <c r="CL10" s="354"/>
      <c r="CM10" s="354"/>
      <c r="CN10" s="354"/>
      <c r="CO10" s="306"/>
      <c r="CP10" s="306"/>
      <c r="CQ10" s="306"/>
      <c r="CR10" s="306"/>
      <c r="CS10" s="306"/>
      <c r="CT10" s="306"/>
      <c r="CU10" s="306"/>
      <c r="CV10" s="306"/>
      <c r="CW10" s="306"/>
      <c r="CX10" s="306"/>
      <c r="CY10" s="306"/>
      <c r="CZ10" s="306"/>
      <c r="DA10" s="306"/>
      <c r="DB10" s="306"/>
      <c r="DC10" s="306"/>
      <c r="DD10" s="306"/>
      <c r="DE10" s="352"/>
      <c r="DF10" s="352"/>
      <c r="DG10" s="352"/>
      <c r="DH10" s="352"/>
      <c r="DI10" s="352"/>
      <c r="DJ10" s="352"/>
      <c r="DK10" s="352"/>
      <c r="DL10" s="352"/>
      <c r="DM10" s="352"/>
      <c r="DN10" s="352"/>
      <c r="DO10" s="352"/>
      <c r="DP10" s="352"/>
      <c r="DQ10" s="352"/>
      <c r="DR10" s="352"/>
      <c r="DS10" s="352"/>
      <c r="DT10" s="352"/>
      <c r="DU10" s="352"/>
      <c r="DV10" s="352"/>
      <c r="DW10" s="352"/>
    </row>
    <row r="11" spans="1:132" ht="21.75" customHeight="1" x14ac:dyDescent="0.3">
      <c r="A11" s="1637" t="s">
        <v>997</v>
      </c>
      <c r="B11" s="1968" t="s">
        <v>887</v>
      </c>
      <c r="C11" s="1969"/>
      <c r="D11" s="571" t="s">
        <v>1550</v>
      </c>
      <c r="E11" s="638" t="s">
        <v>1551</v>
      </c>
      <c r="F11" s="648" t="s">
        <v>1552</v>
      </c>
      <c r="G11" s="573" t="s">
        <v>1553</v>
      </c>
      <c r="H11" s="1254" t="s">
        <v>1554</v>
      </c>
      <c r="I11" s="573" t="s">
        <v>1555</v>
      </c>
      <c r="J11" s="574" t="s">
        <v>1556</v>
      </c>
      <c r="K11" s="573" t="s">
        <v>1557</v>
      </c>
      <c r="L11" s="574" t="s">
        <v>1558</v>
      </c>
      <c r="M11" s="573" t="s">
        <v>1559</v>
      </c>
      <c r="N11" s="575" t="s">
        <v>1560</v>
      </c>
      <c r="O11" s="576" t="s">
        <v>1561</v>
      </c>
      <c r="P11" s="577" t="s">
        <v>1562</v>
      </c>
      <c r="Q11" s="576" t="s">
        <v>1563</v>
      </c>
      <c r="R11" s="577" t="s">
        <v>1564</v>
      </c>
      <c r="S11" s="578" t="s">
        <v>1565</v>
      </c>
      <c r="T11" s="574" t="s">
        <v>1566</v>
      </c>
      <c r="U11" s="573" t="s">
        <v>1567</v>
      </c>
      <c r="V11" s="575" t="s">
        <v>1568</v>
      </c>
      <c r="W11" s="576" t="s">
        <v>1569</v>
      </c>
      <c r="X11" s="577" t="s">
        <v>1570</v>
      </c>
      <c r="Y11" s="576" t="s">
        <v>1571</v>
      </c>
      <c r="Z11" s="577" t="s">
        <v>1572</v>
      </c>
      <c r="AA11" s="576" t="s">
        <v>1573</v>
      </c>
      <c r="AB11" s="577" t="s">
        <v>1574</v>
      </c>
      <c r="AC11" s="576" t="s">
        <v>1575</v>
      </c>
      <c r="AD11" s="1238" t="s">
        <v>1576</v>
      </c>
      <c r="AE11" s="1548" t="s">
        <v>1577</v>
      </c>
      <c r="AF11" s="1545" t="s">
        <v>1578</v>
      </c>
      <c r="AG11" s="576" t="s">
        <v>1579</v>
      </c>
      <c r="AH11" s="577" t="s">
        <v>1580</v>
      </c>
      <c r="AI11" s="580" t="s">
        <v>1581</v>
      </c>
      <c r="AJ11" s="1044" t="s">
        <v>1582</v>
      </c>
      <c r="AK11" s="623" t="s">
        <v>1583</v>
      </c>
      <c r="AL11" s="577" t="s">
        <v>1584</v>
      </c>
      <c r="AM11" s="343" t="e">
        <f>($CE11&amp;CF11&amp;CG11&amp;CH11&amp;CI11&amp;CJ11&amp;CK11&amp;CL11&amp;CM11&amp;CN11&amp;CO11&amp;CP11&amp;CQ11&amp;CR11&amp;CS11&amp;CT11&amp;CU11&amp;CV11&amp;CW11&amp;CX11&amp;CY11&amp;CZ11&amp;DA11)</f>
        <v>#VALUE!</v>
      </c>
      <c r="AN11" s="960"/>
      <c r="AO11" s="960"/>
      <c r="AP11" s="960"/>
      <c r="AQ11" s="960"/>
      <c r="AR11" s="960"/>
      <c r="AS11" s="960"/>
      <c r="AT11" s="960"/>
      <c r="AU11" s="960"/>
      <c r="AV11" s="960"/>
      <c r="AW11" s="960"/>
      <c r="BG11" s="175"/>
      <c r="BH11" s="175"/>
      <c r="BI11" s="175"/>
      <c r="BJ11" s="175"/>
      <c r="BK11" s="175"/>
      <c r="BL11" s="175"/>
      <c r="BM11" s="175"/>
      <c r="BN11" s="175"/>
      <c r="BO11" s="175"/>
      <c r="BS11" s="960"/>
      <c r="BT11" s="960"/>
      <c r="CD11" s="422"/>
      <c r="CE11" s="348" t="e">
        <f>IF(I11+J11&lt;&gt;I38+J38,"* El Total de niños (as) en Control de 1 mes debe ser igual al Total de niños (as) según Diagnóstico Nutricional Integrado. ","")</f>
        <v>#VALUE!</v>
      </c>
      <c r="CF11" s="348" t="e">
        <f>IF(K11+L11&lt;&gt;K38+L38,"* El Total de niños (as) en Control de 2 meses debe ser igual al Total de niños (as) según Diagnóstico Nutricional Integrado. ","")</f>
        <v>#VALUE!</v>
      </c>
      <c r="CG11" s="348" t="e">
        <f>IF(M11+N11&lt;&gt;M38+N38,"* El Total de niños (as) en Control de 3 meses debe ser igual al Total de niños (as) según Diagnóstico Nutricional Integrado. ","")</f>
        <v>#VALUE!</v>
      </c>
      <c r="CH11" s="348" t="e">
        <f>IF(O11+P11&lt;&gt;O38+P38,"* El Total de niños (as) en Control de 4 meses debe ser igual al Total de niños (as) según Diagnóstico Nutricional Integrado. ","")</f>
        <v>#VALUE!</v>
      </c>
      <c r="CI11" s="348" t="e">
        <f>IF(Q11+R11&lt;&gt;Q38+R38,"* El Total de niños (as) en Control de 5 meses debe ser igual al Total de niños (as) según Diagnóstico Nutricional Integrado. ","")</f>
        <v>#VALUE!</v>
      </c>
      <c r="CJ11" s="348" t="e">
        <f>IF($S$11+$T$11&lt;&gt;$S$38+$T$38,"* El Total de niños (as) en Control de 6 meses debe ser igual al Total de niños (as) según Diagnóstico Nutricional Integrado. ","")</f>
        <v>#VALUE!</v>
      </c>
      <c r="CK11" s="348" t="e">
        <f>IF($U$11+$V$11&lt;&gt;$U$38+$V$38,"* El Total de niños (as) en Control de 7 a 11 meses debe ser igual al Total de niños (as) según Diagnóstico Nutricional Integrado. ","")</f>
        <v>#VALUE!</v>
      </c>
      <c r="CL11" s="348" t="e">
        <f>IF($W$11+$X$11&lt;&gt;$W$38+$X$38,"* El Total de niños (as) en Control de 12 a 17 meses debe ser igual al Total de niños (as) según Diagnóstico Nutricional Integrado. ","")</f>
        <v>#VALUE!</v>
      </c>
      <c r="CM11" s="1432" t="e">
        <f>IF($Y$11+$Z$11&lt;&gt;$Y$38+$Z$38,"* El Total de niños (as) en Control de 18 a 23 meses debe ser igual al Total de niños (as) según Diagnóstico Nutricional Integrado. ","")</f>
        <v>#VALUE!</v>
      </c>
      <c r="CN11" s="1432" t="e">
        <f>IF($AA$11+$AB$11&lt;&gt;$AA$38+$AB$38,"* El Total de niños (as) en Control de 24 a 35 meses debe ser igual al Total de niños (as) según Diagnóstico Nutricional Integrado. ","")</f>
        <v>#VALUE!</v>
      </c>
      <c r="CO11" s="1432" t="e">
        <f>IF($AC$11+$AD$11&lt;&gt;$AC$38+$AD$38,"* El Total de niños (as) en Control de 36 a 41 meses debe ser igual al Total de niños (as) según Diagnóstico Nutricional Integrado. ","")</f>
        <v>#VALUE!</v>
      </c>
      <c r="CP11" s="1432" t="e">
        <f>IF($AE$11+$AF$11&lt;&gt;$AE$38+$AF$38,"* El Total de niños (as) en Control de 42 a 47 meses debe ser igual al Total de niños (as) según Diagnóstico Nutricional Integrado. ","")</f>
        <v>#VALUE!</v>
      </c>
      <c r="CQ11" s="1432" t="e">
        <f>IF($AG$11+$AH$11&lt;&gt;$AG$38+$AH$38,"* El Total de niños (as) en Control de 48 a 59 meses debe ser igual al Total de niños (as) según Diagnóstico Nutricional Integrado. ","")</f>
        <v>#VALUE!</v>
      </c>
      <c r="CR11" s="1432" t="e">
        <f>IF($D11&gt;=$AI11+$AJ11,"","* El Total de Pueblos Originarios no debe ser mayor al Total de niños (as) en control. ")</f>
        <v>#VALUE!</v>
      </c>
      <c r="CS11" s="1432" t="e">
        <f>IF($D11&gt;=$AK11+$AL11,"","* El Total de Población Migrantes no debe ser mayor al Total de niños (as) en control. ")</f>
        <v>#VALUE!</v>
      </c>
      <c r="CT11" s="1432" t="e">
        <f>IF($AI$11+$AJ$11&lt;&gt;$AI$38+$AJ$38,"* El Total de niños (as) en Control de Pueblos Originarios debe ser igual al Total de niños (as) según Diagnóstico Nutricional Integrado. ","")</f>
        <v>#VALUE!</v>
      </c>
      <c r="CU11" s="1432" t="e">
        <f>IF($AK$11+$AL$11&lt;&gt;$AK$38+$AL$38,"* El Total de niños (as) en Control de Población Migrantes debe ser igual al Total de niños (as) según Diagnóstico Nutricional Integrado. ","")</f>
        <v>#VALUE!</v>
      </c>
      <c r="CV11" s="348" t="str">
        <f>IF(AND(E11&gt;0,OR(AI11=""))," * No olvide digitar la variable Pueblos Originarios Hombres (Digite Cero si no tiene).",IF(AI11&gt;E11," * La variable Pueblos Originarios Hombres no puede ser Mayor al Total.",""))</f>
        <v xml:space="preserve"> * La variable Pueblos Originarios Hombres no puede ser Mayor al Total.</v>
      </c>
      <c r="CW11" s="348" t="str">
        <f>IF(AND(F11&gt;0,OR(AJ11=""))," * No olvide digitar la variable Pueblos Originarios Mujeres (Digite Cero si no tiene).",IF(AJ11&gt;F11," * La variable Pueblos Originarios Mujeres no puede ser Mayor al Total.",""))</f>
        <v xml:space="preserve"> * La variable Pueblos Originarios Mujeres no puede ser Mayor al Total.</v>
      </c>
      <c r="CX11" s="348" t="str">
        <f>IF(AND(E11&gt;0,OR(AK11=""))," * No olvide digitar la variable Migrantes Hombres (Digite Cero si no tiene).",IF(AK11&gt;E11," * La variable Migrantes Hombres no puede ser Mayor al Total.",""))</f>
        <v xml:space="preserve"> * La variable Migrantes Hombres no puede ser Mayor al Total.</v>
      </c>
      <c r="CY11" s="348" t="str">
        <f>IF(AND(F11&gt;0,OR(AL11=""))," * No olvide digitar la variable Migrantes Mujeres (Digite Cero si no tiene).",IF(AL11&gt;F11," * La variable Migrantes Mujeres no puede ser Mayor al Total.",""))</f>
        <v xml:space="preserve"> * La variable Migrantes Mujeres no puede ser Mayor al Total.</v>
      </c>
      <c r="CZ11" s="1432" t="e">
        <f>IF($AI$11+$AJ$11&lt;&gt;$AI$38+$AJ$38,"* El Total de niños (as) en Control de Población Migrantes debe ser igual al Total de niños (as) según Diagnóstico Nutricional Integrado. ","")</f>
        <v>#VALUE!</v>
      </c>
      <c r="DA11" s="1432" t="e">
        <f>IF($AK$11+$AL$11&lt;&gt;$AK$38+$AL$38,"* El Total de niños (as) en Control de Población Migrantes debe ser igual al Total de niños (as) según Diagnóstico Nutricional Integrado. ","")</f>
        <v>#VALUE!</v>
      </c>
      <c r="DB11" s="306"/>
      <c r="DC11" s="306"/>
      <c r="DD11" s="306"/>
      <c r="DE11" s="358" t="e">
        <f>IF($I$11+$J$11&lt;&gt;$I$38+$J$38,1,0)</f>
        <v>#VALUE!</v>
      </c>
      <c r="DF11" s="358" t="e">
        <f>IF($K$11+$L$11&lt;&gt;$K$38+$L$38,1,0)</f>
        <v>#VALUE!</v>
      </c>
      <c r="DG11" s="358" t="e">
        <f>IF($M$11+$N$11&lt;&gt;$M$38+$N$38,1,0)</f>
        <v>#VALUE!</v>
      </c>
      <c r="DH11" s="358" t="e">
        <f>IF($O$11+$P$11&lt;&gt;$O$38+$P$38,1,0)</f>
        <v>#VALUE!</v>
      </c>
      <c r="DI11" s="358" t="e">
        <f>IF($Q$11+$R$11&lt;&gt;$Q$38+$R$38,1,0)</f>
        <v>#VALUE!</v>
      </c>
      <c r="DJ11" s="358" t="e">
        <f>IF($S$11+$T$11&lt;&gt;$S$38+$T$38,1,0)</f>
        <v>#VALUE!</v>
      </c>
      <c r="DK11" s="358" t="e">
        <f>IF($U$11+$V$11&lt;&gt;$U$38+$V$38,1,0)</f>
        <v>#VALUE!</v>
      </c>
      <c r="DL11" s="358" t="e">
        <f>IF($W$11+$X$11&lt;&gt;$W$38+$X$38,1,0)</f>
        <v>#VALUE!</v>
      </c>
      <c r="DM11" s="358" t="e">
        <f>IF($Y$11+$Z$11&lt;&gt;$Y$38+$Z$38,1,0)</f>
        <v>#VALUE!</v>
      </c>
      <c r="DN11" s="358" t="e">
        <f>IF($AA$11+$AB$11&lt;&gt;$AA$38+$AB$38,1,0)</f>
        <v>#VALUE!</v>
      </c>
      <c r="DO11" s="358" t="e">
        <f>IF($AC$11+$AD$11&lt;&gt;$AC$38+$AD$38,1,0)</f>
        <v>#VALUE!</v>
      </c>
      <c r="DP11" s="358" t="e">
        <f>IF($AE$11+$AF$11&lt;&gt;$AE$38+$AF$38,1,0)</f>
        <v>#VALUE!</v>
      </c>
      <c r="DQ11" s="358" t="e">
        <f>IF($AG$11+$AH$11&lt;&gt;$AG$38+$AH$38,1,0)</f>
        <v>#VALUE!</v>
      </c>
      <c r="DR11" s="358">
        <f>IF(AI11&gt;=E11,0,1)</f>
        <v>0</v>
      </c>
      <c r="DS11" s="358">
        <f>IF(AJ11&gt;=F11,0,1)</f>
        <v>0</v>
      </c>
      <c r="DT11" s="358">
        <f>IF(AK11&gt;=E11,0,1)</f>
        <v>0</v>
      </c>
      <c r="DU11" s="358">
        <f>IF(AL11&gt;=F11,0,1)</f>
        <v>0</v>
      </c>
      <c r="DV11" s="358" t="e">
        <f>IF($AI$11+$AJ$11&lt;&gt;$AI$38+$AJ$38,1,0)</f>
        <v>#VALUE!</v>
      </c>
      <c r="DW11" s="358" t="e">
        <f>IF($AK$11+$AL$11&lt;&gt;$AK$38+$AL$38,1,0)</f>
        <v>#VALUE!</v>
      </c>
    </row>
    <row r="12" spans="1:132" ht="21.75" customHeight="1" x14ac:dyDescent="0.3">
      <c r="A12" s="1637" t="s">
        <v>998</v>
      </c>
      <c r="B12" s="1926" t="s">
        <v>96</v>
      </c>
      <c r="C12" s="94" t="s">
        <v>385</v>
      </c>
      <c r="D12" s="581" t="s">
        <v>1550</v>
      </c>
      <c r="E12" s="1256" t="s">
        <v>1551</v>
      </c>
      <c r="F12" s="641" t="s">
        <v>1552</v>
      </c>
      <c r="G12" s="582" t="s">
        <v>1553</v>
      </c>
      <c r="H12" s="1123" t="s">
        <v>1554</v>
      </c>
      <c r="I12" s="582" t="s">
        <v>1555</v>
      </c>
      <c r="J12" s="583" t="s">
        <v>1556</v>
      </c>
      <c r="K12" s="582" t="s">
        <v>1557</v>
      </c>
      <c r="L12" s="583" t="s">
        <v>1558</v>
      </c>
      <c r="M12" s="582" t="s">
        <v>1559</v>
      </c>
      <c r="N12" s="584" t="s">
        <v>1560</v>
      </c>
      <c r="O12" s="582" t="s">
        <v>1561</v>
      </c>
      <c r="P12" s="583" t="s">
        <v>1562</v>
      </c>
      <c r="Q12" s="582" t="s">
        <v>1563</v>
      </c>
      <c r="R12" s="583" t="s">
        <v>1564</v>
      </c>
      <c r="S12" s="585" t="s">
        <v>1565</v>
      </c>
      <c r="T12" s="583" t="s">
        <v>1566</v>
      </c>
      <c r="U12" s="582" t="s">
        <v>1567</v>
      </c>
      <c r="V12" s="584" t="s">
        <v>1568</v>
      </c>
      <c r="W12" s="582" t="s">
        <v>1569</v>
      </c>
      <c r="X12" s="583" t="s">
        <v>1570</v>
      </c>
      <c r="Y12" s="582" t="s">
        <v>1571</v>
      </c>
      <c r="Z12" s="583" t="s">
        <v>1572</v>
      </c>
      <c r="AA12" s="582" t="s">
        <v>1573</v>
      </c>
      <c r="AB12" s="583" t="s">
        <v>1574</v>
      </c>
      <c r="AC12" s="582" t="s">
        <v>1575</v>
      </c>
      <c r="AD12" s="600" t="s">
        <v>1576</v>
      </c>
      <c r="AE12" s="1549" t="s">
        <v>1577</v>
      </c>
      <c r="AF12" s="583" t="s">
        <v>1578</v>
      </c>
      <c r="AG12" s="582" t="s">
        <v>1579</v>
      </c>
      <c r="AH12" s="583" t="s">
        <v>1580</v>
      </c>
      <c r="AI12" s="586" t="s">
        <v>1581</v>
      </c>
      <c r="AJ12" s="653" t="s">
        <v>1582</v>
      </c>
      <c r="AK12" s="585" t="s">
        <v>1583</v>
      </c>
      <c r="AL12" s="583" t="s">
        <v>1584</v>
      </c>
      <c r="AM12" s="343" t="str">
        <f>($CV12&amp;CW12&amp;CX12&amp;CY12)</f>
        <v xml:space="preserve"> * La variable Pueblos Originarios Hombres no puede ser Mayor al Total. * La variable Pueblos Originarios Mujeres no puede ser Mayor al Total. * La variable Migrantes Hombres no puede ser Mayor al Total. * La variable Migrantes Mujeres no puede ser Mayor al Total.</v>
      </c>
      <c r="AN12" s="960"/>
      <c r="AO12" s="960"/>
      <c r="AP12" s="960"/>
      <c r="AQ12" s="960"/>
      <c r="AR12" s="960"/>
      <c r="AS12" s="960"/>
      <c r="AT12" s="960"/>
      <c r="AU12" s="960"/>
      <c r="AV12" s="960"/>
      <c r="AW12" s="960"/>
      <c r="BG12" s="175"/>
      <c r="BH12" s="175"/>
      <c r="BI12" s="175"/>
      <c r="BJ12" s="175"/>
      <c r="BK12" s="175"/>
      <c r="BL12" s="175"/>
      <c r="BM12" s="175"/>
      <c r="BN12" s="175"/>
      <c r="BO12" s="175"/>
      <c r="BS12" s="960"/>
      <c r="BT12" s="960"/>
      <c r="CD12" s="422"/>
      <c r="CE12" s="354"/>
      <c r="CF12" s="354"/>
      <c r="CG12" s="354"/>
      <c r="CH12" s="354"/>
      <c r="CI12" s="354"/>
      <c r="CJ12" s="354"/>
      <c r="CK12" s="354"/>
      <c r="CL12" s="354"/>
      <c r="CM12" s="354"/>
      <c r="CN12" s="354"/>
      <c r="CO12" s="306"/>
      <c r="CP12" s="306"/>
      <c r="CQ12" s="306"/>
      <c r="CR12" s="306"/>
      <c r="CS12" s="306"/>
      <c r="CT12" s="306"/>
      <c r="CU12" s="306"/>
      <c r="CV12" s="348" t="str">
        <f>IF(AND(E12&gt;0,OR(AI12=""))," * No olvide digitar la variable Pueblos Originarios Hombres (Digite Cero si no tiene).",IF(AI12&gt;E12," * La variable Pueblos Originarios Hombres no puede ser Mayor al Total.",""))</f>
        <v xml:space="preserve"> * La variable Pueblos Originarios Hombres no puede ser Mayor al Total.</v>
      </c>
      <c r="CW12" s="348" t="str">
        <f t="shared" ref="CW12:CW13" si="0">IF(AND(F12&gt;0,OR(AJ12=""))," * No olvide digitar la variable Pueblos Originarios Mujeres (Digite Cero si no tiene).",IF(AJ12&gt;F12," * La variable Pueblos Originarios Mujeres no puede ser Mayor al Total.",""))</f>
        <v xml:space="preserve"> * La variable Pueblos Originarios Mujeres no puede ser Mayor al Total.</v>
      </c>
      <c r="CX12" s="348" t="str">
        <f t="shared" ref="CX12:CX13" si="1">IF(AND(E12&gt;0,OR(AK12=""))," * No olvide digitar la variable Migrantes Hombres (Digite Cero si no tiene).",IF(AK12&gt;E12," * La variable Migrantes Hombres no puede ser Mayor al Total.",""))</f>
        <v xml:space="preserve"> * La variable Migrantes Hombres no puede ser Mayor al Total.</v>
      </c>
      <c r="CY12" s="348" t="str">
        <f t="shared" ref="CY12:CY13" si="2">IF(AND(F12&gt;0,OR(AL12=""))," * No olvide digitar la variable Migrantes Mujeres (Digite Cero si no tiene).",IF(AL12&gt;F12," * La variable Migrantes Mujeres no puede ser Mayor al Total.",""))</f>
        <v xml:space="preserve"> * La variable Migrantes Mujeres no puede ser Mayor al Total.</v>
      </c>
      <c r="CZ12" s="306"/>
      <c r="DA12" s="306"/>
      <c r="DB12" s="306"/>
      <c r="DC12" s="306"/>
      <c r="DD12" s="306"/>
      <c r="DE12" s="352"/>
      <c r="DF12" s="352"/>
      <c r="DG12" s="352"/>
      <c r="DH12" s="352"/>
      <c r="DI12" s="352"/>
      <c r="DJ12" s="352"/>
      <c r="DK12" s="352"/>
      <c r="DL12" s="352"/>
      <c r="DM12" s="352"/>
      <c r="DN12" s="352"/>
      <c r="DO12" s="352"/>
      <c r="DP12" s="352"/>
      <c r="DQ12" s="352"/>
      <c r="DR12" s="358">
        <f t="shared" ref="DR12:DR13" si="3">IF($E12&gt;=$AI12,0,1)</f>
        <v>1</v>
      </c>
      <c r="DS12" s="358">
        <f t="shared" ref="DS12:DS13" si="4">IF($F12&gt;=$AJ12,0,1)</f>
        <v>1</v>
      </c>
      <c r="DT12" s="358">
        <f t="shared" ref="DT12:DT13" si="5">IF($E12&gt;=$AK12,0,1)</f>
        <v>1</v>
      </c>
      <c r="DU12" s="358">
        <f t="shared" ref="DU12:DU13" si="6">IF($F12&gt;=$AL12,0,1)</f>
        <v>1</v>
      </c>
      <c r="DV12" s="352"/>
      <c r="DW12" s="352"/>
    </row>
    <row r="13" spans="1:132" ht="21.75" customHeight="1" x14ac:dyDescent="0.3">
      <c r="A13" s="1637" t="s">
        <v>999</v>
      </c>
      <c r="B13" s="1927"/>
      <c r="C13" s="95" t="s">
        <v>386</v>
      </c>
      <c r="D13" s="587" t="s">
        <v>1550</v>
      </c>
      <c r="E13" s="638" t="s">
        <v>1551</v>
      </c>
      <c r="F13" s="648" t="s">
        <v>1552</v>
      </c>
      <c r="G13" s="588" t="s">
        <v>1553</v>
      </c>
      <c r="H13" s="1130" t="s">
        <v>1554</v>
      </c>
      <c r="I13" s="588" t="s">
        <v>1555</v>
      </c>
      <c r="J13" s="589" t="s">
        <v>1556</v>
      </c>
      <c r="K13" s="588" t="s">
        <v>1557</v>
      </c>
      <c r="L13" s="589" t="s">
        <v>1558</v>
      </c>
      <c r="M13" s="588" t="s">
        <v>1559</v>
      </c>
      <c r="N13" s="590" t="s">
        <v>1560</v>
      </c>
      <c r="O13" s="588" t="s">
        <v>1561</v>
      </c>
      <c r="P13" s="589" t="s">
        <v>1562</v>
      </c>
      <c r="Q13" s="588" t="s">
        <v>1563</v>
      </c>
      <c r="R13" s="589" t="s">
        <v>1564</v>
      </c>
      <c r="S13" s="591" t="s">
        <v>1565</v>
      </c>
      <c r="T13" s="589" t="s">
        <v>1566</v>
      </c>
      <c r="U13" s="588" t="s">
        <v>1567</v>
      </c>
      <c r="V13" s="590" t="s">
        <v>1568</v>
      </c>
      <c r="W13" s="588" t="s">
        <v>1569</v>
      </c>
      <c r="X13" s="589" t="s">
        <v>1570</v>
      </c>
      <c r="Y13" s="588" t="s">
        <v>1571</v>
      </c>
      <c r="Z13" s="589" t="s">
        <v>1572</v>
      </c>
      <c r="AA13" s="588" t="s">
        <v>1573</v>
      </c>
      <c r="AB13" s="589" t="s">
        <v>1574</v>
      </c>
      <c r="AC13" s="588" t="s">
        <v>1575</v>
      </c>
      <c r="AD13" s="602" t="s">
        <v>1576</v>
      </c>
      <c r="AE13" s="1550" t="s">
        <v>1577</v>
      </c>
      <c r="AF13" s="589" t="s">
        <v>1578</v>
      </c>
      <c r="AG13" s="588" t="s">
        <v>1579</v>
      </c>
      <c r="AH13" s="589" t="s">
        <v>1580</v>
      </c>
      <c r="AI13" s="592" t="s">
        <v>1581</v>
      </c>
      <c r="AJ13" s="657" t="s">
        <v>1582</v>
      </c>
      <c r="AK13" s="591" t="s">
        <v>1583</v>
      </c>
      <c r="AL13" s="589" t="s">
        <v>1584</v>
      </c>
      <c r="AM13" s="343" t="str">
        <f>($CV13&amp;CW13&amp;CX13&amp;CY13)</f>
        <v xml:space="preserve"> * La variable Pueblos Originarios Hombres no puede ser Mayor al Total. * La variable Pueblos Originarios Mujeres no puede ser Mayor al Total. * La variable Migrantes Hombres no puede ser Mayor al Total. * La variable Migrantes Mujeres no puede ser Mayor al Total.</v>
      </c>
      <c r="AN13" s="960"/>
      <c r="AO13" s="960"/>
      <c r="AP13" s="960"/>
      <c r="AQ13" s="960"/>
      <c r="AR13" s="960"/>
      <c r="AS13" s="960"/>
      <c r="AT13" s="960"/>
      <c r="AU13" s="960"/>
      <c r="AV13" s="960"/>
      <c r="AW13" s="960"/>
      <c r="BG13" s="175"/>
      <c r="BH13" s="175"/>
      <c r="BI13" s="175"/>
      <c r="BJ13" s="175"/>
      <c r="BK13" s="175"/>
      <c r="BL13" s="175"/>
      <c r="BM13" s="175"/>
      <c r="BN13" s="175"/>
      <c r="BO13" s="175"/>
      <c r="BS13" s="960"/>
      <c r="BT13" s="960"/>
      <c r="CD13" s="422"/>
      <c r="CE13" s="354"/>
      <c r="CF13" s="354"/>
      <c r="CG13" s="354"/>
      <c r="CH13" s="354"/>
      <c r="CI13" s="354"/>
      <c r="CJ13" s="354"/>
      <c r="CK13" s="354"/>
      <c r="CL13" s="354"/>
      <c r="CM13" s="354"/>
      <c r="CN13" s="354"/>
      <c r="CO13" s="306"/>
      <c r="CP13" s="306"/>
      <c r="CQ13" s="306"/>
      <c r="CR13" s="306"/>
      <c r="CS13" s="306"/>
      <c r="CT13" s="306"/>
      <c r="CU13" s="306"/>
      <c r="CV13" s="348" t="str">
        <f t="shared" ref="CV13" si="7">IF(AND(E13&gt;0,OR(AI13=""))," * No olvide digitar la variable Pueblos Originarios Hombres (Digite Cero si no tiene).",IF(AI13&gt;E13," * La variable Pueblos Originarios Hombres no puede ser Mayor al Total.",""))</f>
        <v xml:space="preserve"> * La variable Pueblos Originarios Hombres no puede ser Mayor al Total.</v>
      </c>
      <c r="CW13" s="348" t="str">
        <f t="shared" si="0"/>
        <v xml:space="preserve"> * La variable Pueblos Originarios Mujeres no puede ser Mayor al Total.</v>
      </c>
      <c r="CX13" s="348" t="str">
        <f t="shared" si="1"/>
        <v xml:space="preserve"> * La variable Migrantes Hombres no puede ser Mayor al Total.</v>
      </c>
      <c r="CY13" s="348" t="str">
        <f t="shared" si="2"/>
        <v xml:space="preserve"> * La variable Migrantes Mujeres no puede ser Mayor al Total.</v>
      </c>
      <c r="CZ13" s="306"/>
      <c r="DA13" s="306"/>
      <c r="DB13" s="306"/>
      <c r="DC13" s="306"/>
      <c r="DD13" s="306"/>
      <c r="DE13" s="352"/>
      <c r="DF13" s="352"/>
      <c r="DG13" s="352"/>
      <c r="DH13" s="352"/>
      <c r="DI13" s="352"/>
      <c r="DJ13" s="352"/>
      <c r="DK13" s="352"/>
      <c r="DL13" s="352"/>
      <c r="DM13" s="352"/>
      <c r="DN13" s="352"/>
      <c r="DO13" s="352"/>
      <c r="DP13" s="352"/>
      <c r="DQ13" s="352"/>
      <c r="DR13" s="358">
        <f t="shared" si="3"/>
        <v>1</v>
      </c>
      <c r="DS13" s="358">
        <f t="shared" si="4"/>
        <v>1</v>
      </c>
      <c r="DT13" s="358">
        <f t="shared" si="5"/>
        <v>1</v>
      </c>
      <c r="DU13" s="358">
        <f t="shared" si="6"/>
        <v>1</v>
      </c>
      <c r="DV13" s="352"/>
      <c r="DW13" s="352"/>
    </row>
    <row r="14" spans="1:132" ht="21.75" customHeight="1" x14ac:dyDescent="0.3">
      <c r="A14" s="1638"/>
      <c r="B14" s="1927"/>
      <c r="C14" s="97" t="s">
        <v>13</v>
      </c>
      <c r="D14" s="594">
        <f t="shared" ref="D14:D38" si="8">SUM(E14:F14)</f>
        <v>0</v>
      </c>
      <c r="E14" s="638">
        <f t="shared" ref="E14:E29" si="9">+G14+I14+K14+M14+O14+Q14+S14+U14+W14+Y14+AA14+AC14+AE14+AG14</f>
        <v>0</v>
      </c>
      <c r="F14" s="648">
        <f t="shared" ref="F14:F29" si="10">+H14+J14+L14+N14+P14+R14+T14+V14+X14+Z14+AB14+AD14+AF14+AH14</f>
        <v>0</v>
      </c>
      <c r="G14" s="595">
        <f>+SUM(G12:G13)</f>
        <v>0</v>
      </c>
      <c r="H14" s="1037">
        <f>+SUM(H12:H13)</f>
        <v>0</v>
      </c>
      <c r="I14" s="595">
        <f>+SUM(I12:I13)</f>
        <v>0</v>
      </c>
      <c r="J14" s="596">
        <f t="shared" ref="J14:U14" si="11">+SUM(J12:J13)</f>
        <v>0</v>
      </c>
      <c r="K14" s="595">
        <f t="shared" si="11"/>
        <v>0</v>
      </c>
      <c r="L14" s="596">
        <f t="shared" si="11"/>
        <v>0</v>
      </c>
      <c r="M14" s="595">
        <f t="shared" si="11"/>
        <v>0</v>
      </c>
      <c r="N14" s="597">
        <f t="shared" si="11"/>
        <v>0</v>
      </c>
      <c r="O14" s="595">
        <f t="shared" si="11"/>
        <v>0</v>
      </c>
      <c r="P14" s="596">
        <f t="shared" si="11"/>
        <v>0</v>
      </c>
      <c r="Q14" s="595">
        <f t="shared" si="11"/>
        <v>0</v>
      </c>
      <c r="R14" s="596">
        <f t="shared" si="11"/>
        <v>0</v>
      </c>
      <c r="S14" s="598">
        <f t="shared" si="11"/>
        <v>0</v>
      </c>
      <c r="T14" s="596">
        <f t="shared" si="11"/>
        <v>0</v>
      </c>
      <c r="U14" s="595">
        <f t="shared" si="11"/>
        <v>0</v>
      </c>
      <c r="V14" s="597">
        <f>+SUM(V12:V13)</f>
        <v>0</v>
      </c>
      <c r="W14" s="595">
        <f>SUM(W12:W13)</f>
        <v>0</v>
      </c>
      <c r="X14" s="596">
        <f t="shared" ref="X14:AH14" si="12">SUM(X12:X13)</f>
        <v>0</v>
      </c>
      <c r="Y14" s="595">
        <f>SUM(Y12:Y13)</f>
        <v>0</v>
      </c>
      <c r="Z14" s="596">
        <f t="shared" si="12"/>
        <v>0</v>
      </c>
      <c r="AA14" s="595">
        <f t="shared" si="12"/>
        <v>0</v>
      </c>
      <c r="AB14" s="596">
        <f t="shared" si="12"/>
        <v>0</v>
      </c>
      <c r="AC14" s="598">
        <f t="shared" si="12"/>
        <v>0</v>
      </c>
      <c r="AD14" s="597">
        <f t="shared" si="12"/>
        <v>0</v>
      </c>
      <c r="AE14" s="1546">
        <f t="shared" si="12"/>
        <v>0</v>
      </c>
      <c r="AF14" s="1522">
        <f t="shared" si="12"/>
        <v>0</v>
      </c>
      <c r="AG14" s="595">
        <f>SUM(AG12:AG13)</f>
        <v>0</v>
      </c>
      <c r="AH14" s="596">
        <f t="shared" si="12"/>
        <v>0</v>
      </c>
      <c r="AI14" s="599">
        <f>+SUM(AI12:AI13)</f>
        <v>0</v>
      </c>
      <c r="AJ14" s="659">
        <f>+SUM(AJ12:AJ13)</f>
        <v>0</v>
      </c>
      <c r="AK14" s="598">
        <f>+SUM(AK12:AK13)</f>
        <v>0</v>
      </c>
      <c r="AL14" s="596">
        <f>+SUM(AL12:AL13)</f>
        <v>0</v>
      </c>
      <c r="AM14" s="343" t="str">
        <f>($CE14&amp;CF14)</f>
        <v/>
      </c>
      <c r="AN14" s="960"/>
      <c r="AO14" s="960"/>
      <c r="AP14" s="960"/>
      <c r="AQ14" s="960"/>
      <c r="AR14" s="960"/>
      <c r="AS14" s="960"/>
      <c r="AT14" s="960"/>
      <c r="AU14" s="960"/>
      <c r="AV14" s="960"/>
      <c r="AW14" s="960"/>
      <c r="BG14" s="175"/>
      <c r="BH14" s="175"/>
      <c r="BI14" s="175"/>
      <c r="BJ14" s="175"/>
      <c r="BK14" s="175"/>
      <c r="BL14" s="175"/>
      <c r="BM14" s="175"/>
      <c r="BN14" s="175"/>
      <c r="BO14" s="175"/>
      <c r="BS14" s="960"/>
      <c r="BT14" s="960"/>
      <c r="CD14" s="422"/>
      <c r="CE14" s="354"/>
      <c r="CF14" s="354"/>
      <c r="CG14" s="354"/>
      <c r="CH14" s="354"/>
      <c r="CI14" s="354"/>
      <c r="CJ14" s="354"/>
      <c r="CK14" s="354"/>
      <c r="CL14" s="354"/>
      <c r="CM14" s="354"/>
      <c r="CN14" s="354"/>
      <c r="CO14" s="306"/>
      <c r="CP14" s="306"/>
      <c r="CQ14" s="306"/>
      <c r="CR14" s="306"/>
      <c r="CS14" s="306"/>
      <c r="CT14" s="306"/>
      <c r="CU14" s="306"/>
      <c r="CV14" s="306"/>
      <c r="CW14" s="306"/>
      <c r="CX14" s="306"/>
      <c r="CY14" s="306"/>
      <c r="CZ14" s="306"/>
      <c r="DA14" s="306"/>
      <c r="DB14" s="306"/>
      <c r="DC14" s="306"/>
      <c r="DD14" s="306"/>
      <c r="DE14" s="352"/>
      <c r="DF14" s="352"/>
      <c r="DG14" s="352"/>
      <c r="DH14" s="352"/>
      <c r="DI14" s="352"/>
      <c r="DJ14" s="352"/>
      <c r="DK14" s="352"/>
      <c r="DL14" s="352"/>
      <c r="DM14" s="352"/>
      <c r="DN14" s="352"/>
      <c r="DO14" s="352"/>
      <c r="DP14" s="352"/>
      <c r="DQ14" s="352"/>
      <c r="DR14" s="352"/>
      <c r="DS14" s="352"/>
      <c r="DT14" s="352"/>
      <c r="DU14" s="352"/>
      <c r="DV14" s="352"/>
      <c r="DW14" s="352"/>
    </row>
    <row r="15" spans="1:132" ht="21.75" customHeight="1" x14ac:dyDescent="0.3">
      <c r="A15" s="1637" t="s">
        <v>1000</v>
      </c>
      <c r="B15" s="1927"/>
      <c r="C15" s="99" t="s">
        <v>387</v>
      </c>
      <c r="D15" s="581" t="s">
        <v>1550</v>
      </c>
      <c r="E15" s="1256" t="s">
        <v>1551</v>
      </c>
      <c r="F15" s="641" t="s">
        <v>1552</v>
      </c>
      <c r="G15" s="582" t="s">
        <v>1553</v>
      </c>
      <c r="H15" s="1123" t="s">
        <v>1554</v>
      </c>
      <c r="I15" s="582" t="s">
        <v>1555</v>
      </c>
      <c r="J15" s="585" t="s">
        <v>1556</v>
      </c>
      <c r="K15" s="582" t="s">
        <v>1557</v>
      </c>
      <c r="L15" s="585" t="s">
        <v>1558</v>
      </c>
      <c r="M15" s="582" t="s">
        <v>1559</v>
      </c>
      <c r="N15" s="584" t="s">
        <v>1560</v>
      </c>
      <c r="O15" s="582" t="s">
        <v>1561</v>
      </c>
      <c r="P15" s="583" t="s">
        <v>1562</v>
      </c>
      <c r="Q15" s="582" t="s">
        <v>1563</v>
      </c>
      <c r="R15" s="583" t="s">
        <v>1564</v>
      </c>
      <c r="S15" s="585" t="s">
        <v>1565</v>
      </c>
      <c r="T15" s="585" t="s">
        <v>1566</v>
      </c>
      <c r="U15" s="582" t="s">
        <v>1567</v>
      </c>
      <c r="V15" s="600" t="s">
        <v>1568</v>
      </c>
      <c r="W15" s="582" t="s">
        <v>1569</v>
      </c>
      <c r="X15" s="583" t="s">
        <v>1570</v>
      </c>
      <c r="Y15" s="582" t="s">
        <v>1571</v>
      </c>
      <c r="Z15" s="583" t="s">
        <v>1572</v>
      </c>
      <c r="AA15" s="582" t="s">
        <v>1573</v>
      </c>
      <c r="AB15" s="583" t="s">
        <v>1574</v>
      </c>
      <c r="AC15" s="585" t="s">
        <v>1575</v>
      </c>
      <c r="AD15" s="600" t="s">
        <v>1576</v>
      </c>
      <c r="AE15" s="1549" t="s">
        <v>1577</v>
      </c>
      <c r="AF15" s="583" t="s">
        <v>1578</v>
      </c>
      <c r="AG15" s="582" t="s">
        <v>1579</v>
      </c>
      <c r="AH15" s="583" t="s">
        <v>1580</v>
      </c>
      <c r="AI15" s="586" t="s">
        <v>1581</v>
      </c>
      <c r="AJ15" s="653" t="s">
        <v>1582</v>
      </c>
      <c r="AK15" s="585" t="s">
        <v>1583</v>
      </c>
      <c r="AL15" s="583" t="s">
        <v>1584</v>
      </c>
      <c r="AM15" s="343" t="str">
        <f>($CV15&amp;CW15&amp;CX15&amp;CY15)</f>
        <v xml:space="preserve"> * La variable Pueblos Originarios Hombres no puede ser Mayor al Total. * La variable Pueblos Originarios Mujeres no puede ser Mayor al Total. * La variable Migrantes Hombres no puede ser Mayor al Total. * La variable Migrantes Mujeres no puede ser Mayor al Total.</v>
      </c>
      <c r="AN15" s="960"/>
      <c r="AO15" s="960"/>
      <c r="AP15" s="960"/>
      <c r="AQ15" s="960"/>
      <c r="AR15" s="960"/>
      <c r="AS15" s="960"/>
      <c r="AT15" s="960"/>
      <c r="AU15" s="960"/>
      <c r="AV15" s="960"/>
      <c r="AW15" s="960"/>
      <c r="BG15" s="175"/>
      <c r="BH15" s="175"/>
      <c r="BI15" s="175"/>
      <c r="BJ15" s="175"/>
      <c r="BK15" s="175"/>
      <c r="BL15" s="175"/>
      <c r="BM15" s="175"/>
      <c r="BN15" s="175"/>
      <c r="BO15" s="175"/>
      <c r="BS15" s="960"/>
      <c r="BT15" s="960"/>
      <c r="CD15" s="422"/>
      <c r="CE15" s="354"/>
      <c r="CF15" s="354"/>
      <c r="CG15" s="354"/>
      <c r="CH15" s="354"/>
      <c r="CI15" s="354"/>
      <c r="CJ15" s="354"/>
      <c r="CK15" s="354"/>
      <c r="CL15" s="354"/>
      <c r="CM15" s="354"/>
      <c r="CN15" s="354"/>
      <c r="CO15" s="306"/>
      <c r="CP15" s="306"/>
      <c r="CQ15" s="306"/>
      <c r="CR15" s="306"/>
      <c r="CS15" s="306"/>
      <c r="CT15" s="306"/>
      <c r="CU15" s="306"/>
      <c r="CV15" s="348" t="str">
        <f t="shared" ref="CV15:CV16" si="13">IF(AND(E15&gt;0,OR(AI15=""))," * No olvide digitar la variable Pueblos Originarios Hombres (Digite Cero si no tiene).",IF(AI15&gt;E15," * La variable Pueblos Originarios Hombres no puede ser Mayor al Total.",""))</f>
        <v xml:space="preserve"> * La variable Pueblos Originarios Hombres no puede ser Mayor al Total.</v>
      </c>
      <c r="CW15" s="348" t="str">
        <f t="shared" ref="CW15:CW16" si="14">IF(AND(F15&gt;0,OR(AJ15=""))," * No olvide digitar la variable Pueblos Originarios Mujeres (Digite Cero si no tiene).",IF(AJ15&gt;F15," * La variable Pueblos Originarios Mujeres no puede ser Mayor al Total.",""))</f>
        <v xml:space="preserve"> * La variable Pueblos Originarios Mujeres no puede ser Mayor al Total.</v>
      </c>
      <c r="CX15" s="348" t="str">
        <f t="shared" ref="CX15:CX16" si="15">IF(AND(E15&gt;0,OR(AK15=""))," * No olvide digitar la variable Migrantes Hombres (Digite Cero si no tiene).",IF(AK15&gt;E15," * La variable Migrantes Hombres no puede ser Mayor al Total.",""))</f>
        <v xml:space="preserve"> * La variable Migrantes Hombres no puede ser Mayor al Total.</v>
      </c>
      <c r="CY15" s="348" t="str">
        <f t="shared" ref="CY15:CY16" si="16">IF(AND(F15&gt;0,OR(AL15=""))," * No olvide digitar la variable Migrantes Mujeres (Digite Cero si no tiene).",IF(AL15&gt;F15," * La variable Migrantes Mujeres no puede ser Mayor al Total.",""))</f>
        <v xml:space="preserve"> * La variable Migrantes Mujeres no puede ser Mayor al Total.</v>
      </c>
      <c r="CZ15" s="306"/>
      <c r="DA15" s="306"/>
      <c r="DB15" s="306"/>
      <c r="DC15" s="306"/>
      <c r="DD15" s="306"/>
      <c r="DE15" s="352"/>
      <c r="DF15" s="352"/>
      <c r="DG15" s="352"/>
      <c r="DH15" s="352"/>
      <c r="DI15" s="352"/>
      <c r="DJ15" s="352"/>
      <c r="DK15" s="352"/>
      <c r="DL15" s="352"/>
      <c r="DM15" s="352"/>
      <c r="DN15" s="352"/>
      <c r="DO15" s="352"/>
      <c r="DP15" s="352"/>
      <c r="DQ15" s="352"/>
      <c r="DR15" s="358">
        <f t="shared" ref="DR15:DR16" si="17">IF($E15&gt;=$AI15,0,1)</f>
        <v>1</v>
      </c>
      <c r="DS15" s="358">
        <f t="shared" ref="DS15:DS16" si="18">IF($F15&gt;=$AJ15,0,1)</f>
        <v>1</v>
      </c>
      <c r="DT15" s="358">
        <f t="shared" ref="DT15:DT16" si="19">IF($E15&gt;=$AK15,0,1)</f>
        <v>1</v>
      </c>
      <c r="DU15" s="358">
        <f t="shared" ref="DU15:DU16" si="20">IF($F15&gt;=$AL15,0,1)</f>
        <v>1</v>
      </c>
      <c r="DV15" s="352"/>
      <c r="DW15" s="352"/>
    </row>
    <row r="16" spans="1:132" ht="21.75" customHeight="1" x14ac:dyDescent="0.3">
      <c r="A16" s="1637" t="s">
        <v>1001</v>
      </c>
      <c r="B16" s="1927"/>
      <c r="C16" s="95" t="s">
        <v>383</v>
      </c>
      <c r="D16" s="601" t="s">
        <v>1550</v>
      </c>
      <c r="E16" s="638" t="s">
        <v>1551</v>
      </c>
      <c r="F16" s="648" t="s">
        <v>1552</v>
      </c>
      <c r="G16" s="588" t="s">
        <v>1553</v>
      </c>
      <c r="H16" s="1130" t="s">
        <v>1554</v>
      </c>
      <c r="I16" s="588" t="s">
        <v>1555</v>
      </c>
      <c r="J16" s="591" t="s">
        <v>1556</v>
      </c>
      <c r="K16" s="588" t="s">
        <v>1557</v>
      </c>
      <c r="L16" s="591" t="s">
        <v>1558</v>
      </c>
      <c r="M16" s="588" t="s">
        <v>1559</v>
      </c>
      <c r="N16" s="590" t="s">
        <v>1560</v>
      </c>
      <c r="O16" s="588" t="s">
        <v>1561</v>
      </c>
      <c r="P16" s="589" t="s">
        <v>1562</v>
      </c>
      <c r="Q16" s="588" t="s">
        <v>1563</v>
      </c>
      <c r="R16" s="589" t="s">
        <v>1564</v>
      </c>
      <c r="S16" s="591" t="s">
        <v>1565</v>
      </c>
      <c r="T16" s="591" t="s">
        <v>1566</v>
      </c>
      <c r="U16" s="588" t="s">
        <v>1567</v>
      </c>
      <c r="V16" s="602" t="s">
        <v>1568</v>
      </c>
      <c r="W16" s="588" t="s">
        <v>1569</v>
      </c>
      <c r="X16" s="589" t="s">
        <v>1570</v>
      </c>
      <c r="Y16" s="588" t="s">
        <v>1571</v>
      </c>
      <c r="Z16" s="589" t="s">
        <v>1572</v>
      </c>
      <c r="AA16" s="588" t="s">
        <v>1573</v>
      </c>
      <c r="AB16" s="589" t="s">
        <v>1574</v>
      </c>
      <c r="AC16" s="591" t="s">
        <v>1575</v>
      </c>
      <c r="AD16" s="602" t="s">
        <v>1576</v>
      </c>
      <c r="AE16" s="1550" t="s">
        <v>1577</v>
      </c>
      <c r="AF16" s="589" t="s">
        <v>1578</v>
      </c>
      <c r="AG16" s="588" t="s">
        <v>1579</v>
      </c>
      <c r="AH16" s="589" t="s">
        <v>1580</v>
      </c>
      <c r="AI16" s="592" t="s">
        <v>1581</v>
      </c>
      <c r="AJ16" s="657" t="s">
        <v>1582</v>
      </c>
      <c r="AK16" s="591" t="s">
        <v>1583</v>
      </c>
      <c r="AL16" s="589" t="s">
        <v>1584</v>
      </c>
      <c r="AM16" s="343" t="str">
        <f>($CV16&amp;CW16&amp;CX16&amp;CY16)</f>
        <v xml:space="preserve"> * La variable Pueblos Originarios Hombres no puede ser Mayor al Total. * La variable Pueblos Originarios Mujeres no puede ser Mayor al Total. * La variable Migrantes Hombres no puede ser Mayor al Total. * La variable Migrantes Mujeres no puede ser Mayor al Total.</v>
      </c>
      <c r="AN16" s="960"/>
      <c r="AO16" s="960"/>
      <c r="AP16" s="960"/>
      <c r="AQ16" s="960"/>
      <c r="AR16" s="960"/>
      <c r="AS16" s="960"/>
      <c r="AT16" s="960"/>
      <c r="AU16" s="960"/>
      <c r="AV16" s="960"/>
      <c r="AW16" s="960"/>
      <c r="BG16" s="175"/>
      <c r="BH16" s="175"/>
      <c r="BI16" s="175"/>
      <c r="BJ16" s="175"/>
      <c r="BK16" s="175"/>
      <c r="BL16" s="175"/>
      <c r="BM16" s="175"/>
      <c r="BN16" s="175"/>
      <c r="BO16" s="175"/>
      <c r="BS16" s="960"/>
      <c r="BT16" s="960"/>
      <c r="CD16" s="422"/>
      <c r="CE16" s="354"/>
      <c r="CF16" s="354"/>
      <c r="CG16" s="354"/>
      <c r="CH16" s="354"/>
      <c r="CI16" s="354"/>
      <c r="CJ16" s="354"/>
      <c r="CK16" s="354"/>
      <c r="CL16" s="354"/>
      <c r="CM16" s="354"/>
      <c r="CN16" s="354"/>
      <c r="CO16" s="306"/>
      <c r="CP16" s="306"/>
      <c r="CQ16" s="306"/>
      <c r="CR16" s="306"/>
      <c r="CS16" s="306"/>
      <c r="CT16" s="306"/>
      <c r="CU16" s="306"/>
      <c r="CV16" s="348" t="str">
        <f t="shared" si="13"/>
        <v xml:space="preserve"> * La variable Pueblos Originarios Hombres no puede ser Mayor al Total.</v>
      </c>
      <c r="CW16" s="348" t="str">
        <f t="shared" si="14"/>
        <v xml:space="preserve"> * La variable Pueblos Originarios Mujeres no puede ser Mayor al Total.</v>
      </c>
      <c r="CX16" s="348" t="str">
        <f t="shared" si="15"/>
        <v xml:space="preserve"> * La variable Migrantes Hombres no puede ser Mayor al Total.</v>
      </c>
      <c r="CY16" s="348" t="str">
        <f t="shared" si="16"/>
        <v xml:space="preserve"> * La variable Migrantes Mujeres no puede ser Mayor al Total.</v>
      </c>
      <c r="CZ16" s="306"/>
      <c r="DA16" s="306"/>
      <c r="DB16" s="306"/>
      <c r="DC16" s="306"/>
      <c r="DD16" s="306"/>
      <c r="DE16" s="352"/>
      <c r="DF16" s="352"/>
      <c r="DG16" s="352"/>
      <c r="DH16" s="352"/>
      <c r="DI16" s="352"/>
      <c r="DJ16" s="352"/>
      <c r="DK16" s="352"/>
      <c r="DL16" s="352"/>
      <c r="DM16" s="352"/>
      <c r="DN16" s="352"/>
      <c r="DO16" s="352"/>
      <c r="DP16" s="352"/>
      <c r="DQ16" s="352"/>
      <c r="DR16" s="358">
        <f t="shared" si="17"/>
        <v>1</v>
      </c>
      <c r="DS16" s="358">
        <f t="shared" si="18"/>
        <v>1</v>
      </c>
      <c r="DT16" s="358">
        <f t="shared" si="19"/>
        <v>1</v>
      </c>
      <c r="DU16" s="358">
        <f t="shared" si="20"/>
        <v>1</v>
      </c>
      <c r="DV16" s="352"/>
      <c r="DW16" s="352"/>
    </row>
    <row r="17" spans="1:127" ht="21.75" customHeight="1" x14ac:dyDescent="0.3">
      <c r="A17" s="1639"/>
      <c r="B17" s="1928"/>
      <c r="C17" s="97" t="s">
        <v>13</v>
      </c>
      <c r="D17" s="594">
        <f t="shared" si="8"/>
        <v>0</v>
      </c>
      <c r="E17" s="638">
        <f t="shared" si="9"/>
        <v>0</v>
      </c>
      <c r="F17" s="648">
        <f t="shared" si="10"/>
        <v>0</v>
      </c>
      <c r="G17" s="595">
        <f t="shared" ref="G17:H17" si="21">+SUM(G15:G16)</f>
        <v>0</v>
      </c>
      <c r="H17" s="1037">
        <f t="shared" si="21"/>
        <v>0</v>
      </c>
      <c r="I17" s="595">
        <f>SUM(I15:I16)</f>
        <v>0</v>
      </c>
      <c r="J17" s="596">
        <f t="shared" ref="J17:V17" si="22">SUM(J15:J16)</f>
        <v>0</v>
      </c>
      <c r="K17" s="595">
        <f t="shared" si="22"/>
        <v>0</v>
      </c>
      <c r="L17" s="596">
        <f t="shared" si="22"/>
        <v>0</v>
      </c>
      <c r="M17" s="595">
        <f t="shared" si="22"/>
        <v>0</v>
      </c>
      <c r="N17" s="597">
        <f t="shared" si="22"/>
        <v>0</v>
      </c>
      <c r="O17" s="595">
        <f t="shared" si="22"/>
        <v>0</v>
      </c>
      <c r="P17" s="596">
        <f t="shared" si="22"/>
        <v>0</v>
      </c>
      <c r="Q17" s="595">
        <f t="shared" si="22"/>
        <v>0</v>
      </c>
      <c r="R17" s="596">
        <f t="shared" si="22"/>
        <v>0</v>
      </c>
      <c r="S17" s="598">
        <f t="shared" si="22"/>
        <v>0</v>
      </c>
      <c r="T17" s="596">
        <f t="shared" si="22"/>
        <v>0</v>
      </c>
      <c r="U17" s="595">
        <f t="shared" si="22"/>
        <v>0</v>
      </c>
      <c r="V17" s="597">
        <f t="shared" si="22"/>
        <v>0</v>
      </c>
      <c r="W17" s="595">
        <f>SUM(W15:W16)</f>
        <v>0</v>
      </c>
      <c r="X17" s="596">
        <f t="shared" ref="X17:AH17" si="23">SUM(X15:X16)</f>
        <v>0</v>
      </c>
      <c r="Y17" s="595">
        <f t="shared" si="23"/>
        <v>0</v>
      </c>
      <c r="Z17" s="596">
        <f t="shared" si="23"/>
        <v>0</v>
      </c>
      <c r="AA17" s="595">
        <f t="shared" si="23"/>
        <v>0</v>
      </c>
      <c r="AB17" s="596">
        <f t="shared" si="23"/>
        <v>0</v>
      </c>
      <c r="AC17" s="598">
        <f t="shared" si="23"/>
        <v>0</v>
      </c>
      <c r="AD17" s="597">
        <f t="shared" si="23"/>
        <v>0</v>
      </c>
      <c r="AE17" s="1546">
        <f t="shared" si="23"/>
        <v>0</v>
      </c>
      <c r="AF17" s="1522">
        <f t="shared" si="23"/>
        <v>0</v>
      </c>
      <c r="AG17" s="595">
        <f t="shared" si="23"/>
        <v>0</v>
      </c>
      <c r="AH17" s="596">
        <f t="shared" si="23"/>
        <v>0</v>
      </c>
      <c r="AI17" s="599">
        <f>SUM(AI15:AI16)</f>
        <v>0</v>
      </c>
      <c r="AJ17" s="659">
        <f>SUM(AJ15:AJ16)</f>
        <v>0</v>
      </c>
      <c r="AK17" s="598">
        <f>SUM(AK15:AK16)</f>
        <v>0</v>
      </c>
      <c r="AL17" s="596">
        <f>SUM(AL15:AL16)</f>
        <v>0</v>
      </c>
      <c r="AM17" s="343" t="str">
        <f>($CE17&amp;CF17)</f>
        <v/>
      </c>
      <c r="AN17" s="960"/>
      <c r="AO17" s="960"/>
      <c r="AP17" s="960"/>
      <c r="AQ17" s="960"/>
      <c r="AR17" s="960"/>
      <c r="AS17" s="960"/>
      <c r="AT17" s="960"/>
      <c r="AU17" s="960"/>
      <c r="AV17" s="960"/>
      <c r="AW17" s="960"/>
      <c r="BG17" s="175"/>
      <c r="BH17" s="175"/>
      <c r="BI17" s="175"/>
      <c r="BJ17" s="175"/>
      <c r="BK17" s="175"/>
      <c r="BL17" s="175"/>
      <c r="BM17" s="175"/>
      <c r="BN17" s="175"/>
      <c r="BO17" s="175"/>
      <c r="BS17" s="960"/>
      <c r="BT17" s="960"/>
      <c r="CD17" s="422"/>
      <c r="CE17" s="354"/>
      <c r="CF17" s="354"/>
      <c r="CG17" s="354"/>
      <c r="CH17" s="354"/>
      <c r="CI17" s="354"/>
      <c r="CJ17" s="354"/>
      <c r="CK17" s="354"/>
      <c r="CL17" s="354"/>
      <c r="CM17" s="354"/>
      <c r="CN17" s="354"/>
      <c r="CO17" s="306"/>
      <c r="CP17" s="306"/>
      <c r="CQ17" s="306"/>
      <c r="CR17" s="306"/>
      <c r="CS17" s="306"/>
      <c r="CT17" s="306"/>
      <c r="CU17" s="306"/>
      <c r="CV17" s="306"/>
      <c r="CW17" s="306"/>
      <c r="CX17" s="306"/>
      <c r="CY17" s="306"/>
      <c r="CZ17" s="306"/>
      <c r="DA17" s="306"/>
      <c r="DB17" s="306"/>
      <c r="DC17" s="306"/>
      <c r="DD17" s="306"/>
      <c r="DE17" s="352"/>
      <c r="DF17" s="352"/>
      <c r="DG17" s="352"/>
      <c r="DH17" s="352"/>
      <c r="DI17" s="352"/>
      <c r="DJ17" s="352"/>
      <c r="DK17" s="352"/>
      <c r="DL17" s="352"/>
      <c r="DM17" s="352"/>
      <c r="DN17" s="352"/>
      <c r="DO17" s="352"/>
      <c r="DP17" s="352"/>
      <c r="DQ17" s="352"/>
      <c r="DR17" s="352"/>
      <c r="DS17" s="352"/>
      <c r="DT17" s="352"/>
      <c r="DU17" s="352"/>
      <c r="DV17" s="352"/>
      <c r="DW17" s="352"/>
    </row>
    <row r="18" spans="1:127" ht="21.75" customHeight="1" x14ac:dyDescent="0.3">
      <c r="A18" s="1637" t="s">
        <v>1002</v>
      </c>
      <c r="B18" s="1926" t="s">
        <v>97</v>
      </c>
      <c r="C18" s="99" t="s">
        <v>385</v>
      </c>
      <c r="D18" s="603" t="s">
        <v>1550</v>
      </c>
      <c r="E18" s="1256" t="s">
        <v>1551</v>
      </c>
      <c r="F18" s="641" t="s">
        <v>1552</v>
      </c>
      <c r="G18" s="582" t="s">
        <v>1553</v>
      </c>
      <c r="H18" s="1123" t="s">
        <v>1554</v>
      </c>
      <c r="I18" s="582" t="s">
        <v>1555</v>
      </c>
      <c r="J18" s="585" t="s">
        <v>1556</v>
      </c>
      <c r="K18" s="582" t="s">
        <v>1557</v>
      </c>
      <c r="L18" s="585" t="s">
        <v>1558</v>
      </c>
      <c r="M18" s="582" t="s">
        <v>1559</v>
      </c>
      <c r="N18" s="584" t="s">
        <v>1560</v>
      </c>
      <c r="O18" s="582" t="s">
        <v>1561</v>
      </c>
      <c r="P18" s="583" t="s">
        <v>1562</v>
      </c>
      <c r="Q18" s="582" t="s">
        <v>1563</v>
      </c>
      <c r="R18" s="583" t="s">
        <v>1564</v>
      </c>
      <c r="S18" s="585" t="s">
        <v>1565</v>
      </c>
      <c r="T18" s="585" t="s">
        <v>1566</v>
      </c>
      <c r="U18" s="582" t="s">
        <v>1567</v>
      </c>
      <c r="V18" s="600" t="s">
        <v>1568</v>
      </c>
      <c r="W18" s="582" t="s">
        <v>1569</v>
      </c>
      <c r="X18" s="583" t="s">
        <v>1570</v>
      </c>
      <c r="Y18" s="582" t="s">
        <v>1571</v>
      </c>
      <c r="Z18" s="583" t="s">
        <v>1572</v>
      </c>
      <c r="AA18" s="582" t="s">
        <v>1573</v>
      </c>
      <c r="AB18" s="583" t="s">
        <v>1574</v>
      </c>
      <c r="AC18" s="585" t="s">
        <v>1575</v>
      </c>
      <c r="AD18" s="600" t="s">
        <v>1576</v>
      </c>
      <c r="AE18" s="1549" t="s">
        <v>1577</v>
      </c>
      <c r="AF18" s="583" t="s">
        <v>1578</v>
      </c>
      <c r="AG18" s="582" t="s">
        <v>1579</v>
      </c>
      <c r="AH18" s="583" t="s">
        <v>1580</v>
      </c>
      <c r="AI18" s="586" t="s">
        <v>1581</v>
      </c>
      <c r="AJ18" s="653" t="s">
        <v>1582</v>
      </c>
      <c r="AK18" s="585" t="s">
        <v>1583</v>
      </c>
      <c r="AL18" s="583" t="s">
        <v>1584</v>
      </c>
      <c r="AM18" s="343" t="str">
        <f>($CV18&amp;CW18&amp;CX18&amp;CY18)</f>
        <v xml:space="preserve"> * La variable Pueblos Originarios Hombres no puede ser Mayor al Total. * La variable Pueblos Originarios Mujeres no puede ser Mayor al Total. * La variable Migrantes Hombres no puede ser Mayor al Total. * La variable Migrantes Mujeres no puede ser Mayor al Total.</v>
      </c>
      <c r="AN18" s="960"/>
      <c r="AO18" s="960"/>
      <c r="AP18" s="960"/>
      <c r="AQ18" s="960"/>
      <c r="AR18" s="960"/>
      <c r="AS18" s="960"/>
      <c r="AT18" s="960"/>
      <c r="AU18" s="960"/>
      <c r="AV18" s="960"/>
      <c r="AW18" s="960"/>
      <c r="BG18" s="175"/>
      <c r="BH18" s="175"/>
      <c r="BI18" s="175"/>
      <c r="BJ18" s="175"/>
      <c r="BK18" s="175"/>
      <c r="BL18" s="175"/>
      <c r="BM18" s="175"/>
      <c r="BN18" s="175"/>
      <c r="BO18" s="175"/>
      <c r="BS18" s="960"/>
      <c r="BT18" s="960"/>
      <c r="CD18" s="422"/>
      <c r="CE18" s="354"/>
      <c r="CF18" s="354"/>
      <c r="CG18" s="354"/>
      <c r="CH18" s="354"/>
      <c r="CI18" s="354"/>
      <c r="CJ18" s="354"/>
      <c r="CK18" s="354"/>
      <c r="CL18" s="354"/>
      <c r="CM18" s="354"/>
      <c r="CN18" s="354"/>
      <c r="CO18" s="306"/>
      <c r="CP18" s="306"/>
      <c r="CQ18" s="306"/>
      <c r="CR18" s="306"/>
      <c r="CS18" s="306"/>
      <c r="CT18" s="306"/>
      <c r="CU18" s="306"/>
      <c r="CV18" s="348" t="str">
        <f t="shared" ref="CV18:CV19" si="24">IF(AND(E18&gt;0,OR(AI18=""))," * No olvide digitar la variable Pueblos Originarios Hombres (Digite Cero si no tiene).",IF(AI18&gt;E18," * La variable Pueblos Originarios Hombres no puede ser Mayor al Total.",""))</f>
        <v xml:space="preserve"> * La variable Pueblos Originarios Hombres no puede ser Mayor al Total.</v>
      </c>
      <c r="CW18" s="348" t="str">
        <f t="shared" ref="CW18:CW19" si="25">IF(AND(F18&gt;0,OR(AJ18=""))," * No olvide digitar la variable Pueblos Originarios Mujeres (Digite Cero si no tiene).",IF(AJ18&gt;F18," * La variable Pueblos Originarios Mujeres no puede ser Mayor al Total.",""))</f>
        <v xml:space="preserve"> * La variable Pueblos Originarios Mujeres no puede ser Mayor al Total.</v>
      </c>
      <c r="CX18" s="348" t="str">
        <f t="shared" ref="CX18:CX19" si="26">IF(AND(E18&gt;0,OR(AK18=""))," * No olvide digitar la variable Migrantes Hombres (Digite Cero si no tiene).",IF(AK18&gt;E18," * La variable Migrantes Hombres no puede ser Mayor al Total.",""))</f>
        <v xml:space="preserve"> * La variable Migrantes Hombres no puede ser Mayor al Total.</v>
      </c>
      <c r="CY18" s="348" t="str">
        <f t="shared" ref="CY18:CY19" si="27">IF(AND(F18&gt;0,OR(AL18=""))," * No olvide digitar la variable Migrantes Mujeres (Digite Cero si no tiene).",IF(AL18&gt;F18," * La variable Migrantes Mujeres no puede ser Mayor al Total.",""))</f>
        <v xml:space="preserve"> * La variable Migrantes Mujeres no puede ser Mayor al Total.</v>
      </c>
      <c r="CZ18" s="306"/>
      <c r="DA18" s="306"/>
      <c r="DB18" s="306"/>
      <c r="DC18" s="306"/>
      <c r="DD18" s="306"/>
      <c r="DE18" s="352"/>
      <c r="DF18" s="352"/>
      <c r="DG18" s="352"/>
      <c r="DH18" s="352"/>
      <c r="DI18" s="352"/>
      <c r="DJ18" s="352"/>
      <c r="DK18" s="352"/>
      <c r="DL18" s="352"/>
      <c r="DM18" s="352"/>
      <c r="DN18" s="352"/>
      <c r="DO18" s="352"/>
      <c r="DP18" s="352"/>
      <c r="DQ18" s="352"/>
      <c r="DR18" s="358">
        <f t="shared" ref="DR18:DR37" si="28">IF($E18&gt;=$AI18,0,1)</f>
        <v>1</v>
      </c>
      <c r="DS18" s="358">
        <f t="shared" ref="DS18:DS39" si="29">IF($F18&gt;=$AJ18,0,1)</f>
        <v>1</v>
      </c>
      <c r="DT18" s="358">
        <f t="shared" ref="DT18:DT39" si="30">IF($E18&gt;=$AK18,0,1)</f>
        <v>1</v>
      </c>
      <c r="DU18" s="358">
        <f t="shared" ref="DU18:DU39" si="31">IF($F18&gt;=$AL18,0,1)</f>
        <v>1</v>
      </c>
      <c r="DV18" s="352"/>
      <c r="DW18" s="352"/>
    </row>
    <row r="19" spans="1:127" ht="21.75" customHeight="1" x14ac:dyDescent="0.3">
      <c r="A19" s="1637" t="s">
        <v>1003</v>
      </c>
      <c r="B19" s="1927"/>
      <c r="C19" s="95" t="s">
        <v>386</v>
      </c>
      <c r="D19" s="587" t="s">
        <v>1550</v>
      </c>
      <c r="E19" s="638" t="s">
        <v>1551</v>
      </c>
      <c r="F19" s="648" t="s">
        <v>1552</v>
      </c>
      <c r="G19" s="588" t="s">
        <v>1553</v>
      </c>
      <c r="H19" s="1130" t="s">
        <v>1554</v>
      </c>
      <c r="I19" s="588" t="s">
        <v>1555</v>
      </c>
      <c r="J19" s="591" t="s">
        <v>1556</v>
      </c>
      <c r="K19" s="588" t="s">
        <v>1557</v>
      </c>
      <c r="L19" s="591" t="s">
        <v>1558</v>
      </c>
      <c r="M19" s="588" t="s">
        <v>1559</v>
      </c>
      <c r="N19" s="590" t="s">
        <v>1560</v>
      </c>
      <c r="O19" s="588" t="s">
        <v>1561</v>
      </c>
      <c r="P19" s="589" t="s">
        <v>1562</v>
      </c>
      <c r="Q19" s="588" t="s">
        <v>1563</v>
      </c>
      <c r="R19" s="589" t="s">
        <v>1564</v>
      </c>
      <c r="S19" s="591" t="s">
        <v>1565</v>
      </c>
      <c r="T19" s="591" t="s">
        <v>1566</v>
      </c>
      <c r="U19" s="588" t="s">
        <v>1567</v>
      </c>
      <c r="V19" s="602" t="s">
        <v>1568</v>
      </c>
      <c r="W19" s="588" t="s">
        <v>1569</v>
      </c>
      <c r="X19" s="589" t="s">
        <v>1570</v>
      </c>
      <c r="Y19" s="588" t="s">
        <v>1571</v>
      </c>
      <c r="Z19" s="589" t="s">
        <v>1572</v>
      </c>
      <c r="AA19" s="588" t="s">
        <v>1573</v>
      </c>
      <c r="AB19" s="589" t="s">
        <v>1574</v>
      </c>
      <c r="AC19" s="591" t="s">
        <v>1575</v>
      </c>
      <c r="AD19" s="602" t="s">
        <v>1576</v>
      </c>
      <c r="AE19" s="1550" t="s">
        <v>1577</v>
      </c>
      <c r="AF19" s="589" t="s">
        <v>1578</v>
      </c>
      <c r="AG19" s="588" t="s">
        <v>1579</v>
      </c>
      <c r="AH19" s="589" t="s">
        <v>1580</v>
      </c>
      <c r="AI19" s="592" t="s">
        <v>1581</v>
      </c>
      <c r="AJ19" s="657" t="s">
        <v>1582</v>
      </c>
      <c r="AK19" s="591" t="s">
        <v>1583</v>
      </c>
      <c r="AL19" s="589" t="s">
        <v>1584</v>
      </c>
      <c r="AM19" s="343" t="str">
        <f>($CV19&amp;CW19&amp;CX19&amp;CY19)</f>
        <v xml:space="preserve"> * La variable Pueblos Originarios Hombres no puede ser Mayor al Total. * La variable Pueblos Originarios Mujeres no puede ser Mayor al Total. * La variable Migrantes Hombres no puede ser Mayor al Total. * La variable Migrantes Mujeres no puede ser Mayor al Total.</v>
      </c>
      <c r="AN19" s="960"/>
      <c r="AO19" s="960"/>
      <c r="AP19" s="960"/>
      <c r="AQ19" s="960"/>
      <c r="AR19" s="960"/>
      <c r="AS19" s="960"/>
      <c r="AT19" s="960"/>
      <c r="AU19" s="960"/>
      <c r="AV19" s="960"/>
      <c r="AW19" s="960"/>
      <c r="BG19" s="175"/>
      <c r="BH19" s="175"/>
      <c r="BI19" s="175"/>
      <c r="BJ19" s="175"/>
      <c r="BK19" s="175"/>
      <c r="BL19" s="175"/>
      <c r="BM19" s="175"/>
      <c r="BN19" s="175"/>
      <c r="BO19" s="175"/>
      <c r="BS19" s="960"/>
      <c r="BT19" s="960"/>
      <c r="CD19" s="422"/>
      <c r="CE19" s="422"/>
      <c r="CF19" s="422"/>
      <c r="CG19" s="422"/>
      <c r="CH19" s="422"/>
      <c r="CI19" s="422"/>
      <c r="CJ19" s="422"/>
      <c r="CK19" s="422"/>
      <c r="CL19" s="354"/>
      <c r="CM19" s="354"/>
      <c r="CN19" s="354"/>
      <c r="CO19" s="306"/>
      <c r="CP19" s="306"/>
      <c r="CQ19" s="306"/>
      <c r="CR19" s="306"/>
      <c r="CS19" s="306"/>
      <c r="CT19" s="306"/>
      <c r="CU19" s="306"/>
      <c r="CV19" s="348" t="str">
        <f t="shared" si="24"/>
        <v xml:space="preserve"> * La variable Pueblos Originarios Hombres no puede ser Mayor al Total.</v>
      </c>
      <c r="CW19" s="348" t="str">
        <f t="shared" si="25"/>
        <v xml:space="preserve"> * La variable Pueblos Originarios Mujeres no puede ser Mayor al Total.</v>
      </c>
      <c r="CX19" s="348" t="str">
        <f t="shared" si="26"/>
        <v xml:space="preserve"> * La variable Migrantes Hombres no puede ser Mayor al Total.</v>
      </c>
      <c r="CY19" s="348" t="str">
        <f t="shared" si="27"/>
        <v xml:space="preserve"> * La variable Migrantes Mujeres no puede ser Mayor al Total.</v>
      </c>
      <c r="CZ19" s="306"/>
      <c r="DA19" s="306"/>
      <c r="DB19" s="306"/>
      <c r="DC19" s="306"/>
      <c r="DD19" s="306"/>
      <c r="DE19" s="352"/>
      <c r="DF19" s="352"/>
      <c r="DG19" s="352"/>
      <c r="DH19" s="352"/>
      <c r="DI19" s="352"/>
      <c r="DJ19" s="352"/>
      <c r="DK19" s="352"/>
      <c r="DL19" s="352"/>
      <c r="DM19" s="352"/>
      <c r="DN19" s="352"/>
      <c r="DO19" s="352"/>
      <c r="DP19" s="352"/>
      <c r="DQ19" s="352"/>
      <c r="DR19" s="358">
        <f t="shared" si="28"/>
        <v>1</v>
      </c>
      <c r="DS19" s="358">
        <f t="shared" si="29"/>
        <v>1</v>
      </c>
      <c r="DT19" s="358">
        <f t="shared" si="30"/>
        <v>1</v>
      </c>
      <c r="DU19" s="358">
        <f t="shared" si="31"/>
        <v>1</v>
      </c>
      <c r="DV19" s="352"/>
      <c r="DW19" s="352"/>
    </row>
    <row r="20" spans="1:127" ht="21.75" customHeight="1" x14ac:dyDescent="0.3">
      <c r="A20" s="1639"/>
      <c r="B20" s="1927"/>
      <c r="C20" s="97" t="s">
        <v>13</v>
      </c>
      <c r="D20" s="594">
        <f t="shared" si="8"/>
        <v>0</v>
      </c>
      <c r="E20" s="638">
        <f t="shared" si="9"/>
        <v>0</v>
      </c>
      <c r="F20" s="648">
        <f t="shared" si="10"/>
        <v>0</v>
      </c>
      <c r="G20" s="595">
        <f>SUM(G18:G19)</f>
        <v>0</v>
      </c>
      <c r="H20" s="1037">
        <f t="shared" ref="H20" si="32">SUM(H18:H19)</f>
        <v>0</v>
      </c>
      <c r="I20" s="595">
        <f>+SUM(I18:I19)</f>
        <v>0</v>
      </c>
      <c r="J20" s="596">
        <f>+SUM(J18:J19)</f>
        <v>0</v>
      </c>
      <c r="K20" s="595">
        <f t="shared" ref="K20:AL20" si="33">+SUM(K18:K19)</f>
        <v>0</v>
      </c>
      <c r="L20" s="596">
        <f t="shared" si="33"/>
        <v>0</v>
      </c>
      <c r="M20" s="595">
        <f t="shared" si="33"/>
        <v>0</v>
      </c>
      <c r="N20" s="597">
        <f t="shared" si="33"/>
        <v>0</v>
      </c>
      <c r="O20" s="595">
        <f t="shared" si="33"/>
        <v>0</v>
      </c>
      <c r="P20" s="596">
        <f t="shared" si="33"/>
        <v>0</v>
      </c>
      <c r="Q20" s="595">
        <f t="shared" si="33"/>
        <v>0</v>
      </c>
      <c r="R20" s="596">
        <f t="shared" si="33"/>
        <v>0</v>
      </c>
      <c r="S20" s="598">
        <f t="shared" si="33"/>
        <v>0</v>
      </c>
      <c r="T20" s="596">
        <f t="shared" si="33"/>
        <v>0</v>
      </c>
      <c r="U20" s="595">
        <f t="shared" si="33"/>
        <v>0</v>
      </c>
      <c r="V20" s="597">
        <f t="shared" si="33"/>
        <v>0</v>
      </c>
      <c r="W20" s="595">
        <f t="shared" si="33"/>
        <v>0</v>
      </c>
      <c r="X20" s="596">
        <f t="shared" si="33"/>
        <v>0</v>
      </c>
      <c r="Y20" s="595">
        <f t="shared" si="33"/>
        <v>0</v>
      </c>
      <c r="Z20" s="596">
        <f t="shared" si="33"/>
        <v>0</v>
      </c>
      <c r="AA20" s="595">
        <f t="shared" si="33"/>
        <v>0</v>
      </c>
      <c r="AB20" s="596">
        <f t="shared" si="33"/>
        <v>0</v>
      </c>
      <c r="AC20" s="598">
        <f t="shared" si="33"/>
        <v>0</v>
      </c>
      <c r="AD20" s="597">
        <f t="shared" si="33"/>
        <v>0</v>
      </c>
      <c r="AE20" s="1546">
        <f t="shared" si="33"/>
        <v>0</v>
      </c>
      <c r="AF20" s="1522">
        <f t="shared" si="33"/>
        <v>0</v>
      </c>
      <c r="AG20" s="595">
        <f t="shared" si="33"/>
        <v>0</v>
      </c>
      <c r="AH20" s="596">
        <f t="shared" si="33"/>
        <v>0</v>
      </c>
      <c r="AI20" s="599">
        <f t="shared" si="33"/>
        <v>0</v>
      </c>
      <c r="AJ20" s="659">
        <f t="shared" si="33"/>
        <v>0</v>
      </c>
      <c r="AK20" s="598">
        <f t="shared" si="33"/>
        <v>0</v>
      </c>
      <c r="AL20" s="596">
        <f t="shared" si="33"/>
        <v>0</v>
      </c>
      <c r="AM20" s="343" t="str">
        <f>($CE20&amp;CF20)</f>
        <v/>
      </c>
      <c r="AN20" s="960"/>
      <c r="AO20" s="960"/>
      <c r="AP20" s="960"/>
      <c r="AQ20" s="960"/>
      <c r="AR20" s="960"/>
      <c r="AS20" s="960"/>
      <c r="AT20" s="960"/>
      <c r="AU20" s="960"/>
      <c r="AV20" s="960"/>
      <c r="AW20" s="960"/>
      <c r="BG20" s="175"/>
      <c r="BH20" s="175"/>
      <c r="BI20" s="175"/>
      <c r="BJ20" s="175"/>
      <c r="BK20" s="175"/>
      <c r="BL20" s="175"/>
      <c r="BM20" s="175"/>
      <c r="BN20" s="175"/>
      <c r="BO20" s="175"/>
      <c r="BS20" s="960"/>
      <c r="BT20" s="960"/>
      <c r="CD20" s="422"/>
      <c r="CE20" s="354"/>
      <c r="CF20" s="354"/>
      <c r="CG20" s="354"/>
      <c r="CH20" s="354"/>
      <c r="CI20" s="354"/>
      <c r="CJ20" s="354"/>
      <c r="CK20" s="354"/>
      <c r="CL20" s="354"/>
      <c r="CM20" s="354"/>
      <c r="CN20" s="354"/>
      <c r="CO20" s="306"/>
      <c r="CP20" s="306"/>
      <c r="CQ20" s="306"/>
      <c r="CR20" s="306"/>
      <c r="CS20" s="306"/>
      <c r="CT20" s="306"/>
      <c r="CU20" s="306"/>
      <c r="CV20" s="306"/>
      <c r="CW20" s="306"/>
      <c r="CX20" s="306"/>
      <c r="CY20" s="306"/>
      <c r="CZ20" s="306"/>
      <c r="DA20" s="306"/>
      <c r="DB20" s="306"/>
      <c r="DC20" s="306"/>
      <c r="DD20" s="306"/>
      <c r="DE20" s="352"/>
      <c r="DF20" s="352"/>
      <c r="DG20" s="352"/>
      <c r="DH20" s="352"/>
      <c r="DI20" s="352"/>
      <c r="DJ20" s="352"/>
      <c r="DK20" s="352"/>
      <c r="DL20" s="352"/>
      <c r="DM20" s="352"/>
      <c r="DN20" s="352"/>
      <c r="DO20" s="352"/>
      <c r="DP20" s="352"/>
      <c r="DQ20" s="352"/>
      <c r="DR20" s="352"/>
      <c r="DS20" s="352"/>
      <c r="DT20" s="352"/>
      <c r="DU20" s="352"/>
      <c r="DV20" s="352"/>
      <c r="DW20" s="352"/>
    </row>
    <row r="21" spans="1:127" ht="21.75" customHeight="1" x14ac:dyDescent="0.3">
      <c r="A21" s="1637" t="s">
        <v>1004</v>
      </c>
      <c r="B21" s="1927"/>
      <c r="C21" s="99" t="s">
        <v>387</v>
      </c>
      <c r="D21" s="603" t="s">
        <v>1550</v>
      </c>
      <c r="E21" s="1256" t="s">
        <v>1551</v>
      </c>
      <c r="F21" s="641" t="s">
        <v>1552</v>
      </c>
      <c r="G21" s="582" t="s">
        <v>1553</v>
      </c>
      <c r="H21" s="1123" t="s">
        <v>1554</v>
      </c>
      <c r="I21" s="582" t="s">
        <v>1555</v>
      </c>
      <c r="J21" s="585" t="s">
        <v>1556</v>
      </c>
      <c r="K21" s="582" t="s">
        <v>1557</v>
      </c>
      <c r="L21" s="585" t="s">
        <v>1558</v>
      </c>
      <c r="M21" s="582" t="s">
        <v>1559</v>
      </c>
      <c r="N21" s="584" t="s">
        <v>1560</v>
      </c>
      <c r="O21" s="582" t="s">
        <v>1561</v>
      </c>
      <c r="P21" s="583" t="s">
        <v>1562</v>
      </c>
      <c r="Q21" s="582" t="s">
        <v>1563</v>
      </c>
      <c r="R21" s="583" t="s">
        <v>1564</v>
      </c>
      <c r="S21" s="585" t="s">
        <v>1565</v>
      </c>
      <c r="T21" s="585" t="s">
        <v>1566</v>
      </c>
      <c r="U21" s="582" t="s">
        <v>1567</v>
      </c>
      <c r="V21" s="600" t="s">
        <v>1568</v>
      </c>
      <c r="W21" s="582" t="s">
        <v>1569</v>
      </c>
      <c r="X21" s="583" t="s">
        <v>1570</v>
      </c>
      <c r="Y21" s="582" t="s">
        <v>1571</v>
      </c>
      <c r="Z21" s="583" t="s">
        <v>1572</v>
      </c>
      <c r="AA21" s="582" t="s">
        <v>1573</v>
      </c>
      <c r="AB21" s="583" t="s">
        <v>1574</v>
      </c>
      <c r="AC21" s="585" t="s">
        <v>1575</v>
      </c>
      <c r="AD21" s="600" t="s">
        <v>1576</v>
      </c>
      <c r="AE21" s="1549" t="s">
        <v>1577</v>
      </c>
      <c r="AF21" s="583" t="s">
        <v>1578</v>
      </c>
      <c r="AG21" s="582" t="s">
        <v>1579</v>
      </c>
      <c r="AH21" s="583" t="s">
        <v>1580</v>
      </c>
      <c r="AI21" s="586" t="s">
        <v>1581</v>
      </c>
      <c r="AJ21" s="653" t="s">
        <v>1582</v>
      </c>
      <c r="AK21" s="585" t="s">
        <v>1583</v>
      </c>
      <c r="AL21" s="583" t="s">
        <v>1584</v>
      </c>
      <c r="AM21" s="343" t="str">
        <f>($CV21&amp;CW21&amp;CX21&amp;CY21)</f>
        <v xml:space="preserve"> * La variable Pueblos Originarios Hombres no puede ser Mayor al Total. * La variable Pueblos Originarios Mujeres no puede ser Mayor al Total. * La variable Migrantes Hombres no puede ser Mayor al Total. * La variable Migrantes Mujeres no puede ser Mayor al Total.</v>
      </c>
      <c r="AN21" s="960"/>
      <c r="AO21" s="960"/>
      <c r="AP21" s="960"/>
      <c r="AQ21" s="960"/>
      <c r="AR21" s="960"/>
      <c r="AS21" s="960"/>
      <c r="AT21" s="960"/>
      <c r="AU21" s="960"/>
      <c r="AV21" s="960"/>
      <c r="AW21" s="960"/>
      <c r="BG21" s="175"/>
      <c r="BH21" s="175"/>
      <c r="BI21" s="175"/>
      <c r="BJ21" s="175"/>
      <c r="BK21" s="175"/>
      <c r="BL21" s="175"/>
      <c r="BM21" s="175"/>
      <c r="BN21" s="175"/>
      <c r="BO21" s="175"/>
      <c r="BS21" s="960"/>
      <c r="BT21" s="960"/>
      <c r="CD21" s="422"/>
      <c r="CE21" s="354"/>
      <c r="CF21" s="354"/>
      <c r="CG21" s="354"/>
      <c r="CH21" s="354"/>
      <c r="CI21" s="354"/>
      <c r="CJ21" s="354"/>
      <c r="CK21" s="354"/>
      <c r="CL21" s="354"/>
      <c r="CM21" s="354"/>
      <c r="CN21" s="354"/>
      <c r="CO21" s="306"/>
      <c r="CP21" s="306"/>
      <c r="CQ21" s="306"/>
      <c r="CR21" s="306"/>
      <c r="CS21" s="306"/>
      <c r="CT21" s="306"/>
      <c r="CU21" s="306"/>
      <c r="CV21" s="348" t="str">
        <f t="shared" ref="CV21:CV22" si="34">IF(AND(E21&gt;0,OR(AI21=""))," * No olvide digitar la variable Pueblos Originarios Hombres (Digite Cero si no tiene).",IF(AI21&gt;E21," * La variable Pueblos Originarios Hombres no puede ser Mayor al Total.",""))</f>
        <v xml:space="preserve"> * La variable Pueblos Originarios Hombres no puede ser Mayor al Total.</v>
      </c>
      <c r="CW21" s="348" t="str">
        <f t="shared" ref="CW21:CW22" si="35">IF(AND(F21&gt;0,OR(AJ21=""))," * No olvide digitar la variable Pueblos Originarios Mujeres (Digite Cero si no tiene).",IF(AJ21&gt;F21," * La variable Pueblos Originarios Mujeres no puede ser Mayor al Total.",""))</f>
        <v xml:space="preserve"> * La variable Pueblos Originarios Mujeres no puede ser Mayor al Total.</v>
      </c>
      <c r="CX21" s="348" t="str">
        <f t="shared" ref="CX21:CX22" si="36">IF(AND(E21&gt;0,OR(AK21=""))," * No olvide digitar la variable Migrantes Hombres (Digite Cero si no tiene).",IF(AK21&gt;E21," * La variable Migrantes Hombres no puede ser Mayor al Total.",""))</f>
        <v xml:space="preserve"> * La variable Migrantes Hombres no puede ser Mayor al Total.</v>
      </c>
      <c r="CY21" s="348" t="str">
        <f t="shared" ref="CY21:CY22" si="37">IF(AND(F21&gt;0,OR(AL21=""))," * No olvide digitar la variable Migrantes Mujeres (Digite Cero si no tiene).",IF(AL21&gt;F21," * La variable Migrantes Mujeres no puede ser Mayor al Total.",""))</f>
        <v xml:space="preserve"> * La variable Migrantes Mujeres no puede ser Mayor al Total.</v>
      </c>
      <c r="CZ21" s="306"/>
      <c r="DA21" s="306"/>
      <c r="DB21" s="306"/>
      <c r="DC21" s="306"/>
      <c r="DD21" s="306"/>
      <c r="DE21" s="352"/>
      <c r="DF21" s="352"/>
      <c r="DG21" s="352"/>
      <c r="DH21" s="352"/>
      <c r="DI21" s="352"/>
      <c r="DJ21" s="352"/>
      <c r="DK21" s="352"/>
      <c r="DL21" s="352"/>
      <c r="DM21" s="352"/>
      <c r="DN21" s="352"/>
      <c r="DO21" s="352"/>
      <c r="DP21" s="352"/>
      <c r="DQ21" s="352"/>
      <c r="DR21" s="358">
        <f t="shared" si="28"/>
        <v>1</v>
      </c>
      <c r="DS21" s="358">
        <f t="shared" si="29"/>
        <v>1</v>
      </c>
      <c r="DT21" s="358">
        <f t="shared" si="30"/>
        <v>1</v>
      </c>
      <c r="DU21" s="358">
        <f t="shared" si="31"/>
        <v>1</v>
      </c>
      <c r="DV21" s="352"/>
      <c r="DW21" s="352"/>
    </row>
    <row r="22" spans="1:127" ht="21.75" customHeight="1" x14ac:dyDescent="0.3">
      <c r="A22" s="1637" t="s">
        <v>1005</v>
      </c>
      <c r="B22" s="1927"/>
      <c r="C22" s="95" t="s">
        <v>383</v>
      </c>
      <c r="D22" s="587" t="s">
        <v>1550</v>
      </c>
      <c r="E22" s="638" t="s">
        <v>1551</v>
      </c>
      <c r="F22" s="648" t="s">
        <v>1552</v>
      </c>
      <c r="G22" s="588" t="s">
        <v>1553</v>
      </c>
      <c r="H22" s="1130" t="s">
        <v>1554</v>
      </c>
      <c r="I22" s="588" t="s">
        <v>1555</v>
      </c>
      <c r="J22" s="591" t="s">
        <v>1556</v>
      </c>
      <c r="K22" s="588" t="s">
        <v>1557</v>
      </c>
      <c r="L22" s="591" t="s">
        <v>1558</v>
      </c>
      <c r="M22" s="588" t="s">
        <v>1559</v>
      </c>
      <c r="N22" s="590" t="s">
        <v>1560</v>
      </c>
      <c r="O22" s="588" t="s">
        <v>1561</v>
      </c>
      <c r="P22" s="589" t="s">
        <v>1562</v>
      </c>
      <c r="Q22" s="588" t="s">
        <v>1563</v>
      </c>
      <c r="R22" s="589" t="s">
        <v>1564</v>
      </c>
      <c r="S22" s="591" t="s">
        <v>1565</v>
      </c>
      <c r="T22" s="591" t="s">
        <v>1566</v>
      </c>
      <c r="U22" s="588" t="s">
        <v>1567</v>
      </c>
      <c r="V22" s="602" t="s">
        <v>1568</v>
      </c>
      <c r="W22" s="588" t="s">
        <v>1569</v>
      </c>
      <c r="X22" s="589" t="s">
        <v>1570</v>
      </c>
      <c r="Y22" s="588" t="s">
        <v>1571</v>
      </c>
      <c r="Z22" s="589" t="s">
        <v>1572</v>
      </c>
      <c r="AA22" s="588" t="s">
        <v>1573</v>
      </c>
      <c r="AB22" s="589" t="s">
        <v>1574</v>
      </c>
      <c r="AC22" s="591" t="s">
        <v>1575</v>
      </c>
      <c r="AD22" s="602" t="s">
        <v>1576</v>
      </c>
      <c r="AE22" s="1550" t="s">
        <v>1577</v>
      </c>
      <c r="AF22" s="589" t="s">
        <v>1578</v>
      </c>
      <c r="AG22" s="588" t="s">
        <v>1579</v>
      </c>
      <c r="AH22" s="589" t="s">
        <v>1580</v>
      </c>
      <c r="AI22" s="592" t="s">
        <v>1581</v>
      </c>
      <c r="AJ22" s="657" t="s">
        <v>1582</v>
      </c>
      <c r="AK22" s="591" t="s">
        <v>1583</v>
      </c>
      <c r="AL22" s="589" t="s">
        <v>1584</v>
      </c>
      <c r="AM22" s="343" t="str">
        <f>($CV22&amp;CW22&amp;CX22&amp;CY22)</f>
        <v xml:space="preserve"> * La variable Pueblos Originarios Hombres no puede ser Mayor al Total. * La variable Pueblos Originarios Mujeres no puede ser Mayor al Total. * La variable Migrantes Hombres no puede ser Mayor al Total. * La variable Migrantes Mujeres no puede ser Mayor al Total.</v>
      </c>
      <c r="AN22" s="960"/>
      <c r="AO22" s="960"/>
      <c r="AP22" s="960"/>
      <c r="AQ22" s="960"/>
      <c r="AR22" s="960"/>
      <c r="AS22" s="960"/>
      <c r="AT22" s="960"/>
      <c r="AU22" s="960"/>
      <c r="AV22" s="960"/>
      <c r="AW22" s="960"/>
      <c r="BG22" s="175"/>
      <c r="BH22" s="175"/>
      <c r="BI22" s="175"/>
      <c r="BJ22" s="175"/>
      <c r="BK22" s="175"/>
      <c r="BL22" s="175"/>
      <c r="BM22" s="175"/>
      <c r="BN22" s="175"/>
      <c r="BO22" s="175"/>
      <c r="BS22" s="960"/>
      <c r="BT22" s="960"/>
      <c r="CD22" s="422"/>
      <c r="CE22" s="422"/>
      <c r="CF22" s="422"/>
      <c r="CG22" s="422"/>
      <c r="CH22" s="422"/>
      <c r="CI22" s="422"/>
      <c r="CJ22" s="422"/>
      <c r="CK22" s="422"/>
      <c r="CL22" s="354"/>
      <c r="CM22" s="354"/>
      <c r="CN22" s="354"/>
      <c r="CO22" s="306"/>
      <c r="CP22" s="306"/>
      <c r="CQ22" s="306"/>
      <c r="CR22" s="306"/>
      <c r="CS22" s="306"/>
      <c r="CT22" s="306"/>
      <c r="CU22" s="306"/>
      <c r="CV22" s="348" t="str">
        <f t="shared" si="34"/>
        <v xml:space="preserve"> * La variable Pueblos Originarios Hombres no puede ser Mayor al Total.</v>
      </c>
      <c r="CW22" s="348" t="str">
        <f t="shared" si="35"/>
        <v xml:space="preserve"> * La variable Pueblos Originarios Mujeres no puede ser Mayor al Total.</v>
      </c>
      <c r="CX22" s="348" t="str">
        <f t="shared" si="36"/>
        <v xml:space="preserve"> * La variable Migrantes Hombres no puede ser Mayor al Total.</v>
      </c>
      <c r="CY22" s="348" t="str">
        <f t="shared" si="37"/>
        <v xml:space="preserve"> * La variable Migrantes Mujeres no puede ser Mayor al Total.</v>
      </c>
      <c r="CZ22" s="306"/>
      <c r="DA22" s="306"/>
      <c r="DB22" s="306"/>
      <c r="DC22" s="306"/>
      <c r="DD22" s="306"/>
      <c r="DE22" s="352"/>
      <c r="DF22" s="352"/>
      <c r="DG22" s="352"/>
      <c r="DH22" s="352"/>
      <c r="DI22" s="352"/>
      <c r="DJ22" s="352"/>
      <c r="DK22" s="352"/>
      <c r="DL22" s="352"/>
      <c r="DM22" s="352"/>
      <c r="DN22" s="352"/>
      <c r="DO22" s="352"/>
      <c r="DP22" s="352"/>
      <c r="DQ22" s="352"/>
      <c r="DR22" s="358">
        <f t="shared" si="28"/>
        <v>1</v>
      </c>
      <c r="DS22" s="358">
        <f t="shared" si="29"/>
        <v>1</v>
      </c>
      <c r="DT22" s="358">
        <f t="shared" si="30"/>
        <v>1</v>
      </c>
      <c r="DU22" s="358">
        <f t="shared" si="31"/>
        <v>1</v>
      </c>
      <c r="DV22" s="352"/>
      <c r="DW22" s="352"/>
    </row>
    <row r="23" spans="1:127" ht="21.75" customHeight="1" x14ac:dyDescent="0.3">
      <c r="A23" s="1639"/>
      <c r="B23" s="1928"/>
      <c r="C23" s="97" t="s">
        <v>13</v>
      </c>
      <c r="D23" s="594">
        <f t="shared" si="8"/>
        <v>0</v>
      </c>
      <c r="E23" s="638">
        <f t="shared" si="9"/>
        <v>0</v>
      </c>
      <c r="F23" s="648">
        <f t="shared" si="10"/>
        <v>0</v>
      </c>
      <c r="G23" s="595">
        <f t="shared" ref="G23:H23" si="38">SUM(G21:G22)</f>
        <v>0</v>
      </c>
      <c r="H23" s="1037">
        <f t="shared" si="38"/>
        <v>0</v>
      </c>
      <c r="I23" s="595">
        <f>SUM(I21:I22)</f>
        <v>0</v>
      </c>
      <c r="J23" s="596">
        <f>SUM(J21:J22)</f>
        <v>0</v>
      </c>
      <c r="K23" s="595">
        <f t="shared" ref="K23:AK23" si="39">SUM(K21:K22)</f>
        <v>0</v>
      </c>
      <c r="L23" s="596">
        <f t="shared" si="39"/>
        <v>0</v>
      </c>
      <c r="M23" s="595">
        <f t="shared" si="39"/>
        <v>0</v>
      </c>
      <c r="N23" s="597">
        <f t="shared" si="39"/>
        <v>0</v>
      </c>
      <c r="O23" s="595">
        <f t="shared" si="39"/>
        <v>0</v>
      </c>
      <c r="P23" s="596">
        <f t="shared" si="39"/>
        <v>0</v>
      </c>
      <c r="Q23" s="595">
        <f t="shared" si="39"/>
        <v>0</v>
      </c>
      <c r="R23" s="596">
        <f t="shared" si="39"/>
        <v>0</v>
      </c>
      <c r="S23" s="598">
        <f t="shared" si="39"/>
        <v>0</v>
      </c>
      <c r="T23" s="596">
        <f t="shared" si="39"/>
        <v>0</v>
      </c>
      <c r="U23" s="595">
        <f t="shared" si="39"/>
        <v>0</v>
      </c>
      <c r="V23" s="597">
        <f t="shared" si="39"/>
        <v>0</v>
      </c>
      <c r="W23" s="595">
        <f t="shared" si="39"/>
        <v>0</v>
      </c>
      <c r="X23" s="596">
        <f t="shared" si="39"/>
        <v>0</v>
      </c>
      <c r="Y23" s="595">
        <f t="shared" si="39"/>
        <v>0</v>
      </c>
      <c r="Z23" s="596">
        <f t="shared" si="39"/>
        <v>0</v>
      </c>
      <c r="AA23" s="595">
        <f t="shared" si="39"/>
        <v>0</v>
      </c>
      <c r="AB23" s="596">
        <f t="shared" si="39"/>
        <v>0</v>
      </c>
      <c r="AC23" s="595">
        <f t="shared" si="39"/>
        <v>0</v>
      </c>
      <c r="AD23" s="637">
        <f t="shared" si="39"/>
        <v>0</v>
      </c>
      <c r="AE23" s="1546">
        <f t="shared" si="39"/>
        <v>0</v>
      </c>
      <c r="AF23" s="1522">
        <f t="shared" si="39"/>
        <v>0</v>
      </c>
      <c r="AG23" s="595">
        <f t="shared" si="39"/>
        <v>0</v>
      </c>
      <c r="AH23" s="596">
        <f t="shared" si="39"/>
        <v>0</v>
      </c>
      <c r="AI23" s="599">
        <f t="shared" si="39"/>
        <v>0</v>
      </c>
      <c r="AJ23" s="659">
        <f t="shared" si="39"/>
        <v>0</v>
      </c>
      <c r="AK23" s="598">
        <f t="shared" si="39"/>
        <v>0</v>
      </c>
      <c r="AL23" s="596">
        <f>SUM(AL21:AL22)</f>
        <v>0</v>
      </c>
      <c r="AM23" s="343" t="str">
        <f>($CE23&amp;CF23)</f>
        <v/>
      </c>
      <c r="AN23" s="960"/>
      <c r="AO23" s="960"/>
      <c r="AP23" s="960"/>
      <c r="AQ23" s="960"/>
      <c r="AR23" s="960"/>
      <c r="AS23" s="960"/>
      <c r="AT23" s="960"/>
      <c r="AU23" s="960"/>
      <c r="AV23" s="960"/>
      <c r="AW23" s="960"/>
      <c r="BG23" s="175"/>
      <c r="BH23" s="175"/>
      <c r="BI23" s="175"/>
      <c r="BJ23" s="175"/>
      <c r="BK23" s="175"/>
      <c r="BL23" s="175"/>
      <c r="BM23" s="175"/>
      <c r="BN23" s="175"/>
      <c r="BO23" s="175"/>
      <c r="BS23" s="960"/>
      <c r="BT23" s="960"/>
      <c r="CD23" s="422"/>
      <c r="CE23" s="354"/>
      <c r="CF23" s="354"/>
      <c r="CG23" s="354"/>
      <c r="CH23" s="354"/>
      <c r="CI23" s="354"/>
      <c r="CJ23" s="354"/>
      <c r="CK23" s="354"/>
      <c r="CL23" s="354"/>
      <c r="CM23" s="354"/>
      <c r="CN23" s="354"/>
      <c r="CO23" s="306"/>
      <c r="CP23" s="306"/>
      <c r="CQ23" s="306"/>
      <c r="CR23" s="306"/>
      <c r="CS23" s="306"/>
      <c r="CT23" s="306"/>
      <c r="CU23" s="306"/>
      <c r="CV23" s="306"/>
      <c r="CW23" s="306"/>
      <c r="CX23" s="306"/>
      <c r="CY23" s="306"/>
      <c r="CZ23" s="306"/>
      <c r="DA23" s="306"/>
      <c r="DB23" s="306"/>
      <c r="DC23" s="306"/>
      <c r="DD23" s="306"/>
      <c r="DE23" s="352"/>
      <c r="DF23" s="352"/>
      <c r="DG23" s="352"/>
      <c r="DH23" s="352"/>
      <c r="DI23" s="352"/>
      <c r="DJ23" s="352"/>
      <c r="DK23" s="352"/>
      <c r="DL23" s="352"/>
      <c r="DM23" s="352"/>
      <c r="DN23" s="352"/>
      <c r="DO23" s="352"/>
      <c r="DP23" s="352"/>
      <c r="DQ23" s="352"/>
      <c r="DR23" s="352"/>
      <c r="DS23" s="352"/>
      <c r="DT23" s="352"/>
      <c r="DU23" s="352"/>
      <c r="DV23" s="352"/>
      <c r="DW23" s="352"/>
    </row>
    <row r="24" spans="1:127" ht="21.75" customHeight="1" x14ac:dyDescent="0.3">
      <c r="A24" s="1637" t="s">
        <v>1006</v>
      </c>
      <c r="B24" s="1970" t="s">
        <v>98</v>
      </c>
      <c r="C24" s="94" t="s">
        <v>385</v>
      </c>
      <c r="D24" s="605" t="s">
        <v>1550</v>
      </c>
      <c r="E24" s="1256" t="s">
        <v>1551</v>
      </c>
      <c r="F24" s="641" t="s">
        <v>1552</v>
      </c>
      <c r="G24" s="582" t="s">
        <v>1553</v>
      </c>
      <c r="H24" s="1123" t="s">
        <v>1554</v>
      </c>
      <c r="I24" s="582" t="s">
        <v>1555</v>
      </c>
      <c r="J24" s="585" t="s">
        <v>1556</v>
      </c>
      <c r="K24" s="582" t="s">
        <v>1557</v>
      </c>
      <c r="L24" s="585" t="s">
        <v>1558</v>
      </c>
      <c r="M24" s="582" t="s">
        <v>1559</v>
      </c>
      <c r="N24" s="584" t="s">
        <v>1560</v>
      </c>
      <c r="O24" s="582" t="s">
        <v>1561</v>
      </c>
      <c r="P24" s="583" t="s">
        <v>1562</v>
      </c>
      <c r="Q24" s="582" t="s">
        <v>1563</v>
      </c>
      <c r="R24" s="583" t="s">
        <v>1564</v>
      </c>
      <c r="S24" s="585" t="s">
        <v>1565</v>
      </c>
      <c r="T24" s="585" t="s">
        <v>1566</v>
      </c>
      <c r="U24" s="582" t="s">
        <v>1567</v>
      </c>
      <c r="V24" s="600" t="s">
        <v>1568</v>
      </c>
      <c r="W24" s="582" t="s">
        <v>1569</v>
      </c>
      <c r="X24" s="583" t="s">
        <v>1570</v>
      </c>
      <c r="Y24" s="582" t="s">
        <v>1571</v>
      </c>
      <c r="Z24" s="583" t="s">
        <v>1572</v>
      </c>
      <c r="AA24" s="582" t="s">
        <v>1573</v>
      </c>
      <c r="AB24" s="583" t="s">
        <v>1574</v>
      </c>
      <c r="AC24" s="585" t="s">
        <v>1575</v>
      </c>
      <c r="AD24" s="600" t="s">
        <v>1576</v>
      </c>
      <c r="AE24" s="1549" t="s">
        <v>1577</v>
      </c>
      <c r="AF24" s="583" t="s">
        <v>1578</v>
      </c>
      <c r="AG24" s="582" t="s">
        <v>1579</v>
      </c>
      <c r="AH24" s="583" t="s">
        <v>1580</v>
      </c>
      <c r="AI24" s="586" t="s">
        <v>1581</v>
      </c>
      <c r="AJ24" s="653" t="s">
        <v>1582</v>
      </c>
      <c r="AK24" s="585" t="s">
        <v>1583</v>
      </c>
      <c r="AL24" s="583" t="s">
        <v>1584</v>
      </c>
      <c r="AM24" s="343" t="str">
        <f>($CV24&amp;CW24&amp;CX24&amp;CY24)</f>
        <v xml:space="preserve"> * La variable Pueblos Originarios Hombres no puede ser Mayor al Total. * La variable Pueblos Originarios Mujeres no puede ser Mayor al Total. * La variable Migrantes Hombres no puede ser Mayor al Total. * La variable Migrantes Mujeres no puede ser Mayor al Total.</v>
      </c>
      <c r="AN24" s="960"/>
      <c r="AO24" s="960"/>
      <c r="AP24" s="960"/>
      <c r="AQ24" s="960"/>
      <c r="AR24" s="960"/>
      <c r="AS24" s="960"/>
      <c r="AT24" s="960"/>
      <c r="AU24" s="960"/>
      <c r="AV24" s="960"/>
      <c r="AW24" s="960"/>
      <c r="BG24" s="175"/>
      <c r="BH24" s="175"/>
      <c r="BI24" s="175"/>
      <c r="BJ24" s="175"/>
      <c r="BK24" s="175"/>
      <c r="BL24" s="175"/>
      <c r="BM24" s="175"/>
      <c r="BN24" s="175"/>
      <c r="BO24" s="175"/>
      <c r="BS24" s="960"/>
      <c r="BT24" s="960"/>
      <c r="CD24" s="422"/>
      <c r="CE24" s="354"/>
      <c r="CF24" s="354"/>
      <c r="CG24" s="354"/>
      <c r="CH24" s="354"/>
      <c r="CI24" s="354"/>
      <c r="CJ24" s="354"/>
      <c r="CK24" s="354"/>
      <c r="CL24" s="354"/>
      <c r="CM24" s="354"/>
      <c r="CN24" s="354"/>
      <c r="CO24" s="306"/>
      <c r="CP24" s="306"/>
      <c r="CQ24" s="306"/>
      <c r="CR24" s="306"/>
      <c r="CS24" s="306"/>
      <c r="CT24" s="306"/>
      <c r="CU24" s="306"/>
      <c r="CV24" s="348" t="str">
        <f t="shared" ref="CV24:CV25" si="40">IF(AND(E24&gt;0,OR(AI24=""))," * No olvide digitar la variable Pueblos Originarios Hombres (Digite Cero si no tiene).",IF(AI24&gt;E24," * La variable Pueblos Originarios Hombres no puede ser Mayor al Total.",""))</f>
        <v xml:space="preserve"> * La variable Pueblos Originarios Hombres no puede ser Mayor al Total.</v>
      </c>
      <c r="CW24" s="348" t="str">
        <f t="shared" ref="CW24:CW25" si="41">IF(AND(F24&gt;0,OR(AJ24=""))," * No olvide digitar la variable Pueblos Originarios Mujeres (Digite Cero si no tiene).",IF(AJ24&gt;F24," * La variable Pueblos Originarios Mujeres no puede ser Mayor al Total.",""))</f>
        <v xml:space="preserve"> * La variable Pueblos Originarios Mujeres no puede ser Mayor al Total.</v>
      </c>
      <c r="CX24" s="348" t="str">
        <f t="shared" ref="CX24:CX25" si="42">IF(AND(E24&gt;0,OR(AK24=""))," * No olvide digitar la variable Migrantes Hombres (Digite Cero si no tiene).",IF(AK24&gt;E24," * La variable Migrantes Hombres no puede ser Mayor al Total.",""))</f>
        <v xml:space="preserve"> * La variable Migrantes Hombres no puede ser Mayor al Total.</v>
      </c>
      <c r="CY24" s="348" t="str">
        <f t="shared" ref="CY24:CY25" si="43">IF(AND(F24&gt;0,OR(AL24=""))," * No olvide digitar la variable Migrantes Mujeres (Digite Cero si no tiene).",IF(AL24&gt;F24," * La variable Migrantes Mujeres no puede ser Mayor al Total.",""))</f>
        <v xml:space="preserve"> * La variable Migrantes Mujeres no puede ser Mayor al Total.</v>
      </c>
      <c r="CZ24" s="306"/>
      <c r="DA24" s="306"/>
      <c r="DB24" s="306"/>
      <c r="DC24" s="306"/>
      <c r="DD24" s="306"/>
      <c r="DE24" s="352"/>
      <c r="DF24" s="352"/>
      <c r="DG24" s="352"/>
      <c r="DH24" s="352"/>
      <c r="DI24" s="352"/>
      <c r="DJ24" s="352"/>
      <c r="DK24" s="352"/>
      <c r="DL24" s="352"/>
      <c r="DM24" s="352"/>
      <c r="DN24" s="352"/>
      <c r="DO24" s="352"/>
      <c r="DP24" s="352"/>
      <c r="DQ24" s="352"/>
      <c r="DR24" s="358">
        <f t="shared" si="28"/>
        <v>1</v>
      </c>
      <c r="DS24" s="358">
        <f t="shared" si="29"/>
        <v>1</v>
      </c>
      <c r="DT24" s="358">
        <f t="shared" si="30"/>
        <v>1</v>
      </c>
      <c r="DU24" s="358">
        <f t="shared" si="31"/>
        <v>1</v>
      </c>
      <c r="DV24" s="352"/>
      <c r="DW24" s="352"/>
    </row>
    <row r="25" spans="1:127" ht="21.75" customHeight="1" x14ac:dyDescent="0.3">
      <c r="A25" s="1637" t="s">
        <v>1007</v>
      </c>
      <c r="B25" s="1970"/>
      <c r="C25" s="95" t="s">
        <v>386</v>
      </c>
      <c r="D25" s="606" t="s">
        <v>1550</v>
      </c>
      <c r="E25" s="638" t="s">
        <v>1551</v>
      </c>
      <c r="F25" s="648" t="s">
        <v>1552</v>
      </c>
      <c r="G25" s="588" t="s">
        <v>1553</v>
      </c>
      <c r="H25" s="1130" t="s">
        <v>1554</v>
      </c>
      <c r="I25" s="588" t="s">
        <v>1555</v>
      </c>
      <c r="J25" s="591" t="s">
        <v>1556</v>
      </c>
      <c r="K25" s="588" t="s">
        <v>1557</v>
      </c>
      <c r="L25" s="591" t="s">
        <v>1558</v>
      </c>
      <c r="M25" s="588" t="s">
        <v>1559</v>
      </c>
      <c r="N25" s="590" t="s">
        <v>1560</v>
      </c>
      <c r="O25" s="588" t="s">
        <v>1561</v>
      </c>
      <c r="P25" s="589" t="s">
        <v>1562</v>
      </c>
      <c r="Q25" s="588" t="s">
        <v>1563</v>
      </c>
      <c r="R25" s="589" t="s">
        <v>1564</v>
      </c>
      <c r="S25" s="591" t="s">
        <v>1565</v>
      </c>
      <c r="T25" s="591" t="s">
        <v>1566</v>
      </c>
      <c r="U25" s="588" t="s">
        <v>1567</v>
      </c>
      <c r="V25" s="602" t="s">
        <v>1568</v>
      </c>
      <c r="W25" s="588" t="s">
        <v>1569</v>
      </c>
      <c r="X25" s="589" t="s">
        <v>1570</v>
      </c>
      <c r="Y25" s="588" t="s">
        <v>1571</v>
      </c>
      <c r="Z25" s="589" t="s">
        <v>1572</v>
      </c>
      <c r="AA25" s="588" t="s">
        <v>1573</v>
      </c>
      <c r="AB25" s="589" t="s">
        <v>1574</v>
      </c>
      <c r="AC25" s="591" t="s">
        <v>1575</v>
      </c>
      <c r="AD25" s="602" t="s">
        <v>1576</v>
      </c>
      <c r="AE25" s="1550" t="s">
        <v>1577</v>
      </c>
      <c r="AF25" s="589" t="s">
        <v>1578</v>
      </c>
      <c r="AG25" s="588" t="s">
        <v>1579</v>
      </c>
      <c r="AH25" s="589" t="s">
        <v>1580</v>
      </c>
      <c r="AI25" s="592" t="s">
        <v>1581</v>
      </c>
      <c r="AJ25" s="657" t="s">
        <v>1582</v>
      </c>
      <c r="AK25" s="591" t="s">
        <v>1583</v>
      </c>
      <c r="AL25" s="589" t="s">
        <v>1584</v>
      </c>
      <c r="AM25" s="343" t="str">
        <f>($CV25&amp;CW25&amp;CX25&amp;CY25)</f>
        <v xml:space="preserve"> * La variable Pueblos Originarios Hombres no puede ser Mayor al Total. * La variable Pueblos Originarios Mujeres no puede ser Mayor al Total. * La variable Migrantes Hombres no puede ser Mayor al Total. * La variable Migrantes Mujeres no puede ser Mayor al Total.</v>
      </c>
      <c r="AN25" s="960"/>
      <c r="AO25" s="960"/>
      <c r="AP25" s="960"/>
      <c r="AQ25" s="960"/>
      <c r="AR25" s="960"/>
      <c r="AS25" s="960"/>
      <c r="AT25" s="960"/>
      <c r="AU25" s="960"/>
      <c r="AV25" s="960"/>
      <c r="AW25" s="960"/>
      <c r="BG25" s="175"/>
      <c r="BH25" s="175"/>
      <c r="BI25" s="175"/>
      <c r="BJ25" s="175"/>
      <c r="BK25" s="175"/>
      <c r="BL25" s="175"/>
      <c r="BM25" s="175"/>
      <c r="BN25" s="175"/>
      <c r="BO25" s="175"/>
      <c r="BS25" s="960"/>
      <c r="BT25" s="960"/>
      <c r="CD25" s="422"/>
      <c r="CE25" s="354"/>
      <c r="CF25" s="354"/>
      <c r="CG25" s="354"/>
      <c r="CH25" s="354"/>
      <c r="CI25" s="354"/>
      <c r="CJ25" s="354"/>
      <c r="CK25" s="354"/>
      <c r="CL25" s="354"/>
      <c r="CM25" s="354"/>
      <c r="CN25" s="354"/>
      <c r="CO25" s="306"/>
      <c r="CP25" s="306"/>
      <c r="CQ25" s="306"/>
      <c r="CR25" s="306"/>
      <c r="CS25" s="306"/>
      <c r="CT25" s="306"/>
      <c r="CU25" s="306"/>
      <c r="CV25" s="348" t="str">
        <f t="shared" si="40"/>
        <v xml:space="preserve"> * La variable Pueblos Originarios Hombres no puede ser Mayor al Total.</v>
      </c>
      <c r="CW25" s="348" t="str">
        <f t="shared" si="41"/>
        <v xml:space="preserve"> * La variable Pueblos Originarios Mujeres no puede ser Mayor al Total.</v>
      </c>
      <c r="CX25" s="348" t="str">
        <f t="shared" si="42"/>
        <v xml:space="preserve"> * La variable Migrantes Hombres no puede ser Mayor al Total.</v>
      </c>
      <c r="CY25" s="348" t="str">
        <f t="shared" si="43"/>
        <v xml:space="preserve"> * La variable Migrantes Mujeres no puede ser Mayor al Total.</v>
      </c>
      <c r="CZ25" s="306"/>
      <c r="DA25" s="306"/>
      <c r="DB25" s="306"/>
      <c r="DC25" s="306"/>
      <c r="DD25" s="306"/>
      <c r="DE25" s="352"/>
      <c r="DF25" s="352"/>
      <c r="DG25" s="352"/>
      <c r="DH25" s="352"/>
      <c r="DI25" s="352"/>
      <c r="DJ25" s="352"/>
      <c r="DK25" s="352"/>
      <c r="DL25" s="352"/>
      <c r="DM25" s="352"/>
      <c r="DN25" s="352"/>
      <c r="DO25" s="352"/>
      <c r="DP25" s="352"/>
      <c r="DQ25" s="352"/>
      <c r="DR25" s="358">
        <f t="shared" si="28"/>
        <v>1</v>
      </c>
      <c r="DS25" s="358">
        <f t="shared" si="29"/>
        <v>1</v>
      </c>
      <c r="DT25" s="358">
        <f t="shared" si="30"/>
        <v>1</v>
      </c>
      <c r="DU25" s="358">
        <f t="shared" si="31"/>
        <v>1</v>
      </c>
      <c r="DV25" s="352"/>
      <c r="DW25" s="352"/>
    </row>
    <row r="26" spans="1:127" ht="21.75" customHeight="1" x14ac:dyDescent="0.3">
      <c r="A26" s="1639"/>
      <c r="B26" s="1970"/>
      <c r="C26" s="97" t="s">
        <v>13</v>
      </c>
      <c r="D26" s="607">
        <f t="shared" si="8"/>
        <v>0</v>
      </c>
      <c r="E26" s="638">
        <f t="shared" si="9"/>
        <v>0</v>
      </c>
      <c r="F26" s="648">
        <f t="shared" si="10"/>
        <v>0</v>
      </c>
      <c r="G26" s="595">
        <f t="shared" ref="G26:H26" si="44">SUM(G24:G25)</f>
        <v>0</v>
      </c>
      <c r="H26" s="1037">
        <f t="shared" si="44"/>
        <v>0</v>
      </c>
      <c r="I26" s="608">
        <f>SUM(I24:I25)</f>
        <v>0</v>
      </c>
      <c r="J26" s="609">
        <f t="shared" ref="J26:AL26" si="45">SUM(J24:J25)</f>
        <v>0</v>
      </c>
      <c r="K26" s="608">
        <f t="shared" si="45"/>
        <v>0</v>
      </c>
      <c r="L26" s="609">
        <f t="shared" si="45"/>
        <v>0</v>
      </c>
      <c r="M26" s="608">
        <f t="shared" si="45"/>
        <v>0</v>
      </c>
      <c r="N26" s="610">
        <f t="shared" si="45"/>
        <v>0</v>
      </c>
      <c r="O26" s="608">
        <f t="shared" si="45"/>
        <v>0</v>
      </c>
      <c r="P26" s="611">
        <f t="shared" si="45"/>
        <v>0</v>
      </c>
      <c r="Q26" s="608">
        <f t="shared" si="45"/>
        <v>0</v>
      </c>
      <c r="R26" s="611">
        <f t="shared" si="45"/>
        <v>0</v>
      </c>
      <c r="S26" s="612">
        <f t="shared" si="45"/>
        <v>0</v>
      </c>
      <c r="T26" s="609">
        <f t="shared" si="45"/>
        <v>0</v>
      </c>
      <c r="U26" s="608">
        <f t="shared" si="45"/>
        <v>0</v>
      </c>
      <c r="V26" s="613">
        <f t="shared" si="45"/>
        <v>0</v>
      </c>
      <c r="W26" s="608">
        <f t="shared" si="45"/>
        <v>0</v>
      </c>
      <c r="X26" s="611">
        <f t="shared" si="45"/>
        <v>0</v>
      </c>
      <c r="Y26" s="608">
        <f t="shared" si="45"/>
        <v>0</v>
      </c>
      <c r="Z26" s="611">
        <f t="shared" si="45"/>
        <v>0</v>
      </c>
      <c r="AA26" s="608">
        <f t="shared" si="45"/>
        <v>0</v>
      </c>
      <c r="AB26" s="611">
        <f t="shared" si="45"/>
        <v>0</v>
      </c>
      <c r="AC26" s="612">
        <f t="shared" si="45"/>
        <v>0</v>
      </c>
      <c r="AD26" s="613">
        <f t="shared" si="45"/>
        <v>0</v>
      </c>
      <c r="AE26" s="1547">
        <f t="shared" si="45"/>
        <v>0</v>
      </c>
      <c r="AF26" s="1554">
        <f t="shared" si="45"/>
        <v>0</v>
      </c>
      <c r="AG26" s="608">
        <f t="shared" si="45"/>
        <v>0</v>
      </c>
      <c r="AH26" s="611">
        <f t="shared" si="45"/>
        <v>0</v>
      </c>
      <c r="AI26" s="614">
        <f t="shared" si="45"/>
        <v>0</v>
      </c>
      <c r="AJ26" s="1040">
        <f t="shared" si="45"/>
        <v>0</v>
      </c>
      <c r="AK26" s="612">
        <f t="shared" si="45"/>
        <v>0</v>
      </c>
      <c r="AL26" s="611">
        <f t="shared" si="45"/>
        <v>0</v>
      </c>
      <c r="AM26" s="343" t="str">
        <f>($CE26&amp;CF26)</f>
        <v/>
      </c>
      <c r="AN26" s="960"/>
      <c r="AO26" s="960"/>
      <c r="AP26" s="960"/>
      <c r="AQ26" s="960"/>
      <c r="AR26" s="960"/>
      <c r="AS26" s="960"/>
      <c r="AT26" s="960"/>
      <c r="AU26" s="960"/>
      <c r="AV26" s="960"/>
      <c r="AW26" s="960"/>
      <c r="BG26" s="175"/>
      <c r="BH26" s="175"/>
      <c r="BI26" s="175"/>
      <c r="BJ26" s="175"/>
      <c r="BK26" s="175"/>
      <c r="BL26" s="175"/>
      <c r="BM26" s="175"/>
      <c r="BN26" s="175"/>
      <c r="BO26" s="175"/>
      <c r="BS26" s="960"/>
      <c r="BT26" s="960"/>
      <c r="CD26" s="422"/>
      <c r="CE26" s="354"/>
      <c r="CF26" s="354"/>
      <c r="CG26" s="354"/>
      <c r="CH26" s="354"/>
      <c r="CI26" s="354"/>
      <c r="CJ26" s="354"/>
      <c r="CK26" s="354"/>
      <c r="CL26" s="354"/>
      <c r="CM26" s="354"/>
      <c r="CN26" s="354"/>
      <c r="CO26" s="306"/>
      <c r="CP26" s="306"/>
      <c r="CQ26" s="306"/>
      <c r="CR26" s="306"/>
      <c r="CS26" s="306"/>
      <c r="CT26" s="306"/>
      <c r="CU26" s="306"/>
      <c r="CV26" s="306"/>
      <c r="CW26" s="306"/>
      <c r="CX26" s="306"/>
      <c r="CY26" s="306"/>
      <c r="CZ26" s="306"/>
      <c r="DA26" s="306"/>
      <c r="DB26" s="306"/>
      <c r="DC26" s="306"/>
      <c r="DD26" s="306"/>
      <c r="DE26" s="352"/>
      <c r="DF26" s="352"/>
      <c r="DG26" s="352"/>
      <c r="DH26" s="352"/>
      <c r="DI26" s="352"/>
      <c r="DJ26" s="352"/>
      <c r="DK26" s="352"/>
      <c r="DL26" s="352"/>
      <c r="DM26" s="352"/>
      <c r="DN26" s="352"/>
      <c r="DO26" s="352"/>
      <c r="DP26" s="352"/>
      <c r="DQ26" s="352"/>
      <c r="DR26" s="352"/>
      <c r="DS26" s="352"/>
      <c r="DT26" s="352"/>
      <c r="DU26" s="352"/>
      <c r="DV26" s="352"/>
      <c r="DW26" s="352"/>
    </row>
    <row r="27" spans="1:127" ht="21.75" customHeight="1" x14ac:dyDescent="0.3">
      <c r="A27" s="1637" t="s">
        <v>1008</v>
      </c>
      <c r="B27" s="1970"/>
      <c r="C27" s="99" t="s">
        <v>387</v>
      </c>
      <c r="D27" s="605" t="s">
        <v>1550</v>
      </c>
      <c r="E27" s="1256" t="s">
        <v>1551</v>
      </c>
      <c r="F27" s="641" t="s">
        <v>1552</v>
      </c>
      <c r="G27" s="582" t="s">
        <v>1553</v>
      </c>
      <c r="H27" s="1123" t="s">
        <v>1554</v>
      </c>
      <c r="I27" s="615" t="s">
        <v>1555</v>
      </c>
      <c r="J27" s="616" t="s">
        <v>1556</v>
      </c>
      <c r="K27" s="615" t="s">
        <v>1557</v>
      </c>
      <c r="L27" s="616" t="s">
        <v>1558</v>
      </c>
      <c r="M27" s="615" t="s">
        <v>1559</v>
      </c>
      <c r="N27" s="617" t="s">
        <v>1560</v>
      </c>
      <c r="O27" s="615" t="s">
        <v>1561</v>
      </c>
      <c r="P27" s="618" t="s">
        <v>1562</v>
      </c>
      <c r="Q27" s="582" t="s">
        <v>1563</v>
      </c>
      <c r="R27" s="583" t="s">
        <v>1564</v>
      </c>
      <c r="S27" s="616" t="s">
        <v>1565</v>
      </c>
      <c r="T27" s="616" t="s">
        <v>1566</v>
      </c>
      <c r="U27" s="615" t="s">
        <v>1567</v>
      </c>
      <c r="V27" s="619" t="s">
        <v>1568</v>
      </c>
      <c r="W27" s="615" t="s">
        <v>1569</v>
      </c>
      <c r="X27" s="618" t="s">
        <v>1570</v>
      </c>
      <c r="Y27" s="615" t="s">
        <v>1571</v>
      </c>
      <c r="Z27" s="618" t="s">
        <v>1572</v>
      </c>
      <c r="AA27" s="615" t="s">
        <v>1573</v>
      </c>
      <c r="AB27" s="618" t="s">
        <v>1574</v>
      </c>
      <c r="AC27" s="616" t="s">
        <v>1575</v>
      </c>
      <c r="AD27" s="619" t="s">
        <v>1576</v>
      </c>
      <c r="AE27" s="1551" t="s">
        <v>1577</v>
      </c>
      <c r="AF27" s="618" t="s">
        <v>1578</v>
      </c>
      <c r="AG27" s="615" t="s">
        <v>1579</v>
      </c>
      <c r="AH27" s="618" t="s">
        <v>1580</v>
      </c>
      <c r="AI27" s="620" t="s">
        <v>1581</v>
      </c>
      <c r="AJ27" s="1036" t="s">
        <v>1582</v>
      </c>
      <c r="AK27" s="616" t="s">
        <v>1583</v>
      </c>
      <c r="AL27" s="618" t="s">
        <v>1584</v>
      </c>
      <c r="AM27" s="343" t="str">
        <f>($CV27&amp;CW27&amp;CX27&amp;CY27)</f>
        <v xml:space="preserve"> * La variable Pueblos Originarios Hombres no puede ser Mayor al Total. * La variable Pueblos Originarios Mujeres no puede ser Mayor al Total. * La variable Migrantes Hombres no puede ser Mayor al Total. * La variable Migrantes Mujeres no puede ser Mayor al Total.</v>
      </c>
      <c r="AN27" s="960"/>
      <c r="AO27" s="960"/>
      <c r="AP27" s="960"/>
      <c r="AQ27" s="960"/>
      <c r="AR27" s="960"/>
      <c r="AS27" s="960"/>
      <c r="AT27" s="960"/>
      <c r="AU27" s="960"/>
      <c r="AV27" s="960"/>
      <c r="AW27" s="960"/>
      <c r="BG27" s="175"/>
      <c r="BH27" s="175"/>
      <c r="BI27" s="175"/>
      <c r="BJ27" s="175"/>
      <c r="BK27" s="175"/>
      <c r="BL27" s="175"/>
      <c r="BM27" s="175"/>
      <c r="BN27" s="175"/>
      <c r="BO27" s="175"/>
      <c r="BS27" s="960"/>
      <c r="BT27" s="960"/>
      <c r="CD27" s="422"/>
      <c r="CE27" s="354"/>
      <c r="CF27" s="354"/>
      <c r="CG27" s="354"/>
      <c r="CH27" s="354"/>
      <c r="CI27" s="354"/>
      <c r="CJ27" s="354"/>
      <c r="CK27" s="354"/>
      <c r="CL27" s="354"/>
      <c r="CM27" s="354"/>
      <c r="CN27" s="354"/>
      <c r="CO27" s="306"/>
      <c r="CP27" s="306"/>
      <c r="CQ27" s="306"/>
      <c r="CR27" s="306"/>
      <c r="CS27" s="306"/>
      <c r="CT27" s="306"/>
      <c r="CU27" s="306"/>
      <c r="CV27" s="348" t="str">
        <f t="shared" ref="CV27:CV28" si="46">IF(AND(E27&gt;0,OR(AI27=""))," * No olvide digitar la variable Pueblos Originarios Hombres (Digite Cero si no tiene).",IF(AI27&gt;E27," * La variable Pueblos Originarios Hombres no puede ser Mayor al Total.",""))</f>
        <v xml:space="preserve"> * La variable Pueblos Originarios Hombres no puede ser Mayor al Total.</v>
      </c>
      <c r="CW27" s="348" t="str">
        <f t="shared" ref="CW27:CW28" si="47">IF(AND(F27&gt;0,OR(AJ27=""))," * No olvide digitar la variable Pueblos Originarios Mujeres (Digite Cero si no tiene).",IF(AJ27&gt;F27," * La variable Pueblos Originarios Mujeres no puede ser Mayor al Total.",""))</f>
        <v xml:space="preserve"> * La variable Pueblos Originarios Mujeres no puede ser Mayor al Total.</v>
      </c>
      <c r="CX27" s="348" t="str">
        <f t="shared" ref="CX27:CX28" si="48">IF(AND(E27&gt;0,OR(AK27=""))," * No olvide digitar la variable Migrantes Hombres (Digite Cero si no tiene).",IF(AK27&gt;E27," * La variable Migrantes Hombres no puede ser Mayor al Total.",""))</f>
        <v xml:space="preserve"> * La variable Migrantes Hombres no puede ser Mayor al Total.</v>
      </c>
      <c r="CY27" s="348" t="str">
        <f t="shared" ref="CY27:CY28" si="49">IF(AND(F27&gt;0,OR(AL27=""))," * No olvide digitar la variable Migrantes Mujeres (Digite Cero si no tiene).",IF(AL27&gt;F27," * La variable Migrantes Mujeres no puede ser Mayor al Total.",""))</f>
        <v xml:space="preserve"> * La variable Migrantes Mujeres no puede ser Mayor al Total.</v>
      </c>
      <c r="CZ27" s="306"/>
      <c r="DA27" s="306"/>
      <c r="DB27" s="306"/>
      <c r="DC27" s="306"/>
      <c r="DD27" s="306"/>
      <c r="DE27" s="352"/>
      <c r="DF27" s="352"/>
      <c r="DG27" s="352"/>
      <c r="DH27" s="352"/>
      <c r="DI27" s="352"/>
      <c r="DJ27" s="352"/>
      <c r="DK27" s="352"/>
      <c r="DL27" s="352"/>
      <c r="DM27" s="352"/>
      <c r="DN27" s="352"/>
      <c r="DO27" s="352"/>
      <c r="DP27" s="352"/>
      <c r="DQ27" s="352"/>
      <c r="DR27" s="358">
        <f t="shared" si="28"/>
        <v>1</v>
      </c>
      <c r="DS27" s="358">
        <f t="shared" si="29"/>
        <v>1</v>
      </c>
      <c r="DT27" s="358">
        <f t="shared" si="30"/>
        <v>1</v>
      </c>
      <c r="DU27" s="358">
        <f t="shared" si="31"/>
        <v>1</v>
      </c>
      <c r="DV27" s="352"/>
      <c r="DW27" s="352"/>
    </row>
    <row r="28" spans="1:127" ht="21.75" customHeight="1" x14ac:dyDescent="0.3">
      <c r="A28" s="1637" t="s">
        <v>1009</v>
      </c>
      <c r="B28" s="1970"/>
      <c r="C28" s="95" t="s">
        <v>383</v>
      </c>
      <c r="D28" s="606" t="s">
        <v>1550</v>
      </c>
      <c r="E28" s="638" t="s">
        <v>1551</v>
      </c>
      <c r="F28" s="648" t="s">
        <v>1552</v>
      </c>
      <c r="G28" s="588" t="s">
        <v>1553</v>
      </c>
      <c r="H28" s="1130" t="s">
        <v>1554</v>
      </c>
      <c r="I28" s="588" t="s">
        <v>1555</v>
      </c>
      <c r="J28" s="591" t="s">
        <v>1556</v>
      </c>
      <c r="K28" s="588" t="s">
        <v>1557</v>
      </c>
      <c r="L28" s="591" t="s">
        <v>1558</v>
      </c>
      <c r="M28" s="588" t="s">
        <v>1559</v>
      </c>
      <c r="N28" s="590" t="s">
        <v>1560</v>
      </c>
      <c r="O28" s="588" t="s">
        <v>1561</v>
      </c>
      <c r="P28" s="589" t="s">
        <v>1562</v>
      </c>
      <c r="Q28" s="588" t="s">
        <v>1563</v>
      </c>
      <c r="R28" s="589" t="s">
        <v>1564</v>
      </c>
      <c r="S28" s="591" t="s">
        <v>1565</v>
      </c>
      <c r="T28" s="591" t="s">
        <v>1566</v>
      </c>
      <c r="U28" s="588" t="s">
        <v>1567</v>
      </c>
      <c r="V28" s="602" t="s">
        <v>1568</v>
      </c>
      <c r="W28" s="588" t="s">
        <v>1569</v>
      </c>
      <c r="X28" s="589" t="s">
        <v>1570</v>
      </c>
      <c r="Y28" s="588" t="s">
        <v>1571</v>
      </c>
      <c r="Z28" s="589" t="s">
        <v>1572</v>
      </c>
      <c r="AA28" s="588" t="s">
        <v>1573</v>
      </c>
      <c r="AB28" s="589" t="s">
        <v>1574</v>
      </c>
      <c r="AC28" s="591" t="s">
        <v>1575</v>
      </c>
      <c r="AD28" s="602" t="s">
        <v>1576</v>
      </c>
      <c r="AE28" s="1550" t="s">
        <v>1577</v>
      </c>
      <c r="AF28" s="589" t="s">
        <v>1578</v>
      </c>
      <c r="AG28" s="588" t="s">
        <v>1579</v>
      </c>
      <c r="AH28" s="589" t="s">
        <v>1580</v>
      </c>
      <c r="AI28" s="592" t="s">
        <v>1581</v>
      </c>
      <c r="AJ28" s="657" t="s">
        <v>1582</v>
      </c>
      <c r="AK28" s="591" t="s">
        <v>1583</v>
      </c>
      <c r="AL28" s="589" t="s">
        <v>1584</v>
      </c>
      <c r="AM28" s="343" t="str">
        <f>($CV28&amp;CW28&amp;CX28&amp;CY28)</f>
        <v xml:space="preserve"> * La variable Pueblos Originarios Hombres no puede ser Mayor al Total. * La variable Pueblos Originarios Mujeres no puede ser Mayor al Total. * La variable Migrantes Hombres no puede ser Mayor al Total. * La variable Migrantes Mujeres no puede ser Mayor al Total.</v>
      </c>
      <c r="AN28" s="960"/>
      <c r="AO28" s="960"/>
      <c r="AP28" s="960"/>
      <c r="AQ28" s="960"/>
      <c r="AR28" s="960"/>
      <c r="AS28" s="960"/>
      <c r="AT28" s="960"/>
      <c r="AU28" s="960"/>
      <c r="AV28" s="960"/>
      <c r="AW28" s="960"/>
      <c r="BG28" s="175"/>
      <c r="BH28" s="175"/>
      <c r="BI28" s="175"/>
      <c r="BJ28" s="175"/>
      <c r="BK28" s="175"/>
      <c r="BL28" s="175"/>
      <c r="BM28" s="175"/>
      <c r="BN28" s="175"/>
      <c r="BO28" s="175"/>
      <c r="BS28" s="960"/>
      <c r="BT28" s="960"/>
      <c r="CD28" s="422"/>
      <c r="CE28" s="354"/>
      <c r="CF28" s="354"/>
      <c r="CG28" s="354"/>
      <c r="CH28" s="354"/>
      <c r="CI28" s="354"/>
      <c r="CJ28" s="354"/>
      <c r="CK28" s="354"/>
      <c r="CL28" s="354"/>
      <c r="CM28" s="354"/>
      <c r="CN28" s="354"/>
      <c r="CO28" s="306"/>
      <c r="CP28" s="306"/>
      <c r="CQ28" s="306"/>
      <c r="CR28" s="306"/>
      <c r="CS28" s="306"/>
      <c r="CT28" s="306"/>
      <c r="CU28" s="306"/>
      <c r="CV28" s="348" t="str">
        <f t="shared" si="46"/>
        <v xml:space="preserve"> * La variable Pueblos Originarios Hombres no puede ser Mayor al Total.</v>
      </c>
      <c r="CW28" s="348" t="str">
        <f t="shared" si="47"/>
        <v xml:space="preserve"> * La variable Pueblos Originarios Mujeres no puede ser Mayor al Total.</v>
      </c>
      <c r="CX28" s="348" t="str">
        <f t="shared" si="48"/>
        <v xml:space="preserve"> * La variable Migrantes Hombres no puede ser Mayor al Total.</v>
      </c>
      <c r="CY28" s="348" t="str">
        <f t="shared" si="49"/>
        <v xml:space="preserve"> * La variable Migrantes Mujeres no puede ser Mayor al Total.</v>
      </c>
      <c r="CZ28" s="306"/>
      <c r="DA28" s="306"/>
      <c r="DB28" s="306"/>
      <c r="DC28" s="306"/>
      <c r="DD28" s="306"/>
      <c r="DE28" s="352"/>
      <c r="DF28" s="352"/>
      <c r="DG28" s="352"/>
      <c r="DH28" s="352"/>
      <c r="DI28" s="352"/>
      <c r="DJ28" s="352"/>
      <c r="DK28" s="352"/>
      <c r="DL28" s="352"/>
      <c r="DM28" s="352"/>
      <c r="DN28" s="352"/>
      <c r="DO28" s="352"/>
      <c r="DP28" s="352"/>
      <c r="DQ28" s="352"/>
      <c r="DR28" s="358">
        <f t="shared" si="28"/>
        <v>1</v>
      </c>
      <c r="DS28" s="358">
        <f t="shared" si="29"/>
        <v>1</v>
      </c>
      <c r="DT28" s="358">
        <f t="shared" si="30"/>
        <v>1</v>
      </c>
      <c r="DU28" s="358">
        <f t="shared" si="31"/>
        <v>1</v>
      </c>
      <c r="DV28" s="352"/>
      <c r="DW28" s="352"/>
    </row>
    <row r="29" spans="1:127" ht="21.75" customHeight="1" x14ac:dyDescent="0.3">
      <c r="A29" s="1639"/>
      <c r="B29" s="1970"/>
      <c r="C29" s="97" t="s">
        <v>13</v>
      </c>
      <c r="D29" s="607">
        <f>SUM(E29:F29)</f>
        <v>0</v>
      </c>
      <c r="E29" s="638">
        <f t="shared" si="9"/>
        <v>0</v>
      </c>
      <c r="F29" s="648">
        <f t="shared" si="10"/>
        <v>0</v>
      </c>
      <c r="G29" s="595">
        <f>SUM(G27:G28)</f>
        <v>0</v>
      </c>
      <c r="H29" s="1037">
        <f t="shared" ref="H29" si="50">SUM(H27:H28)</f>
        <v>0</v>
      </c>
      <c r="I29" s="608">
        <f>SUM(I27:I28)</f>
        <v>0</v>
      </c>
      <c r="J29" s="609">
        <f t="shared" ref="J29:AL29" si="51">SUM(J27:J28)</f>
        <v>0</v>
      </c>
      <c r="K29" s="608">
        <f t="shared" si="51"/>
        <v>0</v>
      </c>
      <c r="L29" s="609">
        <f t="shared" si="51"/>
        <v>0</v>
      </c>
      <c r="M29" s="608">
        <f t="shared" si="51"/>
        <v>0</v>
      </c>
      <c r="N29" s="610">
        <f t="shared" si="51"/>
        <v>0</v>
      </c>
      <c r="O29" s="608">
        <f t="shared" si="51"/>
        <v>0</v>
      </c>
      <c r="P29" s="611">
        <f t="shared" si="51"/>
        <v>0</v>
      </c>
      <c r="Q29" s="608">
        <f t="shared" si="51"/>
        <v>0</v>
      </c>
      <c r="R29" s="611">
        <f t="shared" si="51"/>
        <v>0</v>
      </c>
      <c r="S29" s="612">
        <f t="shared" si="51"/>
        <v>0</v>
      </c>
      <c r="T29" s="609">
        <f t="shared" si="51"/>
        <v>0</v>
      </c>
      <c r="U29" s="608">
        <f t="shared" si="51"/>
        <v>0</v>
      </c>
      <c r="V29" s="613">
        <f t="shared" si="51"/>
        <v>0</v>
      </c>
      <c r="W29" s="608">
        <f t="shared" si="51"/>
        <v>0</v>
      </c>
      <c r="X29" s="611">
        <f t="shared" si="51"/>
        <v>0</v>
      </c>
      <c r="Y29" s="608">
        <f t="shared" si="51"/>
        <v>0</v>
      </c>
      <c r="Z29" s="611">
        <f t="shared" si="51"/>
        <v>0</v>
      </c>
      <c r="AA29" s="608">
        <f t="shared" si="51"/>
        <v>0</v>
      </c>
      <c r="AB29" s="611">
        <f t="shared" si="51"/>
        <v>0</v>
      </c>
      <c r="AC29" s="612">
        <f t="shared" si="51"/>
        <v>0</v>
      </c>
      <c r="AD29" s="613">
        <f t="shared" si="51"/>
        <v>0</v>
      </c>
      <c r="AE29" s="1547">
        <f t="shared" si="51"/>
        <v>0</v>
      </c>
      <c r="AF29" s="1554">
        <f t="shared" si="51"/>
        <v>0</v>
      </c>
      <c r="AG29" s="608">
        <f t="shared" si="51"/>
        <v>0</v>
      </c>
      <c r="AH29" s="611">
        <f t="shared" si="51"/>
        <v>0</v>
      </c>
      <c r="AI29" s="614">
        <f t="shared" si="51"/>
        <v>0</v>
      </c>
      <c r="AJ29" s="1040">
        <f t="shared" si="51"/>
        <v>0</v>
      </c>
      <c r="AK29" s="612">
        <f t="shared" si="51"/>
        <v>0</v>
      </c>
      <c r="AL29" s="611">
        <f t="shared" si="51"/>
        <v>0</v>
      </c>
      <c r="AM29" s="343" t="str">
        <f>($CE29&amp;CF29)</f>
        <v/>
      </c>
      <c r="AN29" s="960"/>
      <c r="AO29" s="960"/>
      <c r="AP29" s="960"/>
      <c r="AQ29" s="960"/>
      <c r="AR29" s="960"/>
      <c r="AS29" s="960"/>
      <c r="AT29" s="960"/>
      <c r="AU29" s="960"/>
      <c r="AV29" s="960"/>
      <c r="AW29" s="960"/>
      <c r="BG29" s="175"/>
      <c r="BH29" s="175"/>
      <c r="BI29" s="175"/>
      <c r="BJ29" s="175"/>
      <c r="BK29" s="175"/>
      <c r="BL29" s="175"/>
      <c r="BM29" s="175"/>
      <c r="BN29" s="175"/>
      <c r="BO29" s="175"/>
      <c r="BS29" s="960"/>
      <c r="BT29" s="960"/>
      <c r="CD29" s="422"/>
      <c r="CE29" s="354"/>
      <c r="CF29" s="354"/>
      <c r="CG29" s="354"/>
      <c r="CH29" s="354"/>
      <c r="CI29" s="354"/>
      <c r="CJ29" s="354"/>
      <c r="CK29" s="354"/>
      <c r="CL29" s="354"/>
      <c r="CM29" s="354"/>
      <c r="CN29" s="354"/>
      <c r="CO29" s="306"/>
      <c r="CP29" s="306"/>
      <c r="CQ29" s="306"/>
      <c r="CR29" s="306"/>
      <c r="CS29" s="306"/>
      <c r="CT29" s="306"/>
      <c r="CU29" s="306"/>
      <c r="CV29" s="306"/>
      <c r="CW29" s="306"/>
      <c r="CX29" s="306"/>
      <c r="CY29" s="306"/>
      <c r="CZ29" s="306"/>
      <c r="DA29" s="306"/>
      <c r="DB29" s="306"/>
      <c r="DC29" s="306"/>
      <c r="DD29" s="306"/>
      <c r="DE29" s="352"/>
      <c r="DF29" s="352"/>
      <c r="DG29" s="352"/>
      <c r="DH29" s="352"/>
      <c r="DI29" s="352"/>
      <c r="DJ29" s="352"/>
      <c r="DK29" s="352"/>
      <c r="DL29" s="352"/>
      <c r="DM29" s="352"/>
      <c r="DN29" s="352"/>
      <c r="DO29" s="352"/>
      <c r="DP29" s="352"/>
      <c r="DQ29" s="352"/>
      <c r="DR29" s="352"/>
      <c r="DS29" s="352"/>
      <c r="DT29" s="352"/>
      <c r="DU29" s="352"/>
      <c r="DV29" s="352"/>
      <c r="DW29" s="352"/>
    </row>
    <row r="30" spans="1:127" ht="21.75" customHeight="1" x14ac:dyDescent="0.3">
      <c r="A30" s="1637" t="s">
        <v>1010</v>
      </c>
      <c r="B30" s="1971"/>
      <c r="C30" s="100" t="s">
        <v>384</v>
      </c>
      <c r="D30" s="622" t="s">
        <v>1550</v>
      </c>
      <c r="E30" s="638" t="s">
        <v>1551</v>
      </c>
      <c r="F30" s="648" t="s">
        <v>1552</v>
      </c>
      <c r="G30" s="576" t="s">
        <v>1553</v>
      </c>
      <c r="H30" s="1255" t="s">
        <v>1554</v>
      </c>
      <c r="I30" s="576" t="s">
        <v>1555</v>
      </c>
      <c r="J30" s="577" t="s">
        <v>1556</v>
      </c>
      <c r="K30" s="576" t="s">
        <v>1557</v>
      </c>
      <c r="L30" s="577" t="s">
        <v>1558</v>
      </c>
      <c r="M30" s="576" t="s">
        <v>1559</v>
      </c>
      <c r="N30" s="579" t="s">
        <v>1560</v>
      </c>
      <c r="O30" s="576" t="s">
        <v>1561</v>
      </c>
      <c r="P30" s="577" t="s">
        <v>1562</v>
      </c>
      <c r="Q30" s="576" t="s">
        <v>1563</v>
      </c>
      <c r="R30" s="577" t="s">
        <v>1564</v>
      </c>
      <c r="S30" s="623" t="s">
        <v>1565</v>
      </c>
      <c r="T30" s="577" t="s">
        <v>1566</v>
      </c>
      <c r="U30" s="576" t="s">
        <v>1567</v>
      </c>
      <c r="V30" s="579" t="s">
        <v>1568</v>
      </c>
      <c r="W30" s="576" t="s">
        <v>1569</v>
      </c>
      <c r="X30" s="577" t="s">
        <v>1570</v>
      </c>
      <c r="Y30" s="573" t="s">
        <v>1571</v>
      </c>
      <c r="Z30" s="574" t="s">
        <v>1572</v>
      </c>
      <c r="AA30" s="573" t="s">
        <v>1573</v>
      </c>
      <c r="AB30" s="574" t="s">
        <v>1574</v>
      </c>
      <c r="AC30" s="576" t="s">
        <v>1575</v>
      </c>
      <c r="AD30" s="1238" t="s">
        <v>1576</v>
      </c>
      <c r="AE30" s="1552" t="s">
        <v>1577</v>
      </c>
      <c r="AF30" s="574" t="s">
        <v>1578</v>
      </c>
      <c r="AG30" s="573" t="s">
        <v>1579</v>
      </c>
      <c r="AH30" s="574" t="s">
        <v>1580</v>
      </c>
      <c r="AI30" s="624" t="s">
        <v>1581</v>
      </c>
      <c r="AJ30" s="1045" t="s">
        <v>1582</v>
      </c>
      <c r="AK30" s="578" t="s">
        <v>1583</v>
      </c>
      <c r="AL30" s="574" t="s">
        <v>1584</v>
      </c>
      <c r="AM30" s="343" t="str">
        <f t="shared" ref="AM30:AM35" si="52">($CV30&amp;CW30&amp;CX30&amp;CY30)</f>
        <v xml:space="preserve"> * La variable Pueblos Originarios Hombres no puede ser Mayor al Total. * La variable Pueblos Originarios Mujeres no puede ser Mayor al Total. * La variable Migrantes Hombres no puede ser Mayor al Total. * La variable Migrantes Mujeres no puede ser Mayor al Total.</v>
      </c>
      <c r="AN30" s="960"/>
      <c r="AO30" s="960"/>
      <c r="AP30" s="960"/>
      <c r="AQ30" s="960"/>
      <c r="AR30" s="960"/>
      <c r="AS30" s="960"/>
      <c r="AT30" s="960"/>
      <c r="AU30" s="960"/>
      <c r="AV30" s="960"/>
      <c r="AW30" s="960"/>
      <c r="BG30" s="175"/>
      <c r="BH30" s="175"/>
      <c r="BI30" s="175"/>
      <c r="BJ30" s="175"/>
      <c r="BK30" s="175"/>
      <c r="BL30" s="175"/>
      <c r="BM30" s="175"/>
      <c r="BN30" s="175"/>
      <c r="BO30" s="175"/>
      <c r="BS30" s="960"/>
      <c r="BT30" s="960"/>
      <c r="CD30" s="422"/>
      <c r="CE30" s="354"/>
      <c r="CF30" s="354"/>
      <c r="CG30" s="354"/>
      <c r="CH30" s="354"/>
      <c r="CI30" s="354"/>
      <c r="CJ30" s="354"/>
      <c r="CK30" s="354"/>
      <c r="CL30" s="354"/>
      <c r="CM30" s="354"/>
      <c r="CN30" s="354"/>
      <c r="CO30" s="306"/>
      <c r="CP30" s="306"/>
      <c r="CQ30" s="306"/>
      <c r="CR30" s="306"/>
      <c r="CS30" s="306"/>
      <c r="CT30" s="306"/>
      <c r="CU30" s="306"/>
      <c r="CV30" s="348" t="str">
        <f t="shared" ref="CV30:CV35" si="53">IF(AND(E30&gt;0,OR(AI30=""))," * No olvide digitar la variable Pueblos Originarios Hombres (Digite Cero si no tiene).",IF(AI30&gt;E30," * La variable Pueblos Originarios Hombres no puede ser Mayor al Total.",""))</f>
        <v xml:space="preserve"> * La variable Pueblos Originarios Hombres no puede ser Mayor al Total.</v>
      </c>
      <c r="CW30" s="348" t="str">
        <f t="shared" ref="CW30:CW35" si="54">IF(AND(F30&gt;0,OR(AJ30=""))," * No olvide digitar la variable Pueblos Originarios Mujeres (Digite Cero si no tiene).",IF(AJ30&gt;F30," * La variable Pueblos Originarios Mujeres no puede ser Mayor al Total.",""))</f>
        <v xml:space="preserve"> * La variable Pueblos Originarios Mujeres no puede ser Mayor al Total.</v>
      </c>
      <c r="CX30" s="348" t="str">
        <f t="shared" ref="CX30:CX35" si="55">IF(AND(E30&gt;0,OR(AK30=""))," * No olvide digitar la variable Migrantes Hombres (Digite Cero si no tiene).",IF(AK30&gt;E30," * La variable Migrantes Hombres no puede ser Mayor al Total.",""))</f>
        <v xml:space="preserve"> * La variable Migrantes Hombres no puede ser Mayor al Total.</v>
      </c>
      <c r="CY30" s="348" t="str">
        <f t="shared" ref="CY30:CY35" si="56">IF(AND(F30&gt;0,OR(AL30=""))," * No olvide digitar la variable Migrantes Mujeres (Digite Cero si no tiene).",IF(AL30&gt;F30," * La variable Migrantes Mujeres no puede ser Mayor al Total.",""))</f>
        <v xml:space="preserve"> * La variable Migrantes Mujeres no puede ser Mayor al Total.</v>
      </c>
      <c r="CZ30" s="306"/>
      <c r="DA30" s="306"/>
      <c r="DB30" s="306"/>
      <c r="DC30" s="306"/>
      <c r="DD30" s="306"/>
      <c r="DE30" s="352"/>
      <c r="DF30" s="352"/>
      <c r="DG30" s="352"/>
      <c r="DH30" s="352"/>
      <c r="DI30" s="352"/>
      <c r="DJ30" s="352"/>
      <c r="DK30" s="352"/>
      <c r="DL30" s="352"/>
      <c r="DM30" s="352"/>
      <c r="DN30" s="352"/>
      <c r="DO30" s="352"/>
      <c r="DP30" s="352"/>
      <c r="DQ30" s="352"/>
      <c r="DR30" s="358">
        <f t="shared" si="28"/>
        <v>1</v>
      </c>
      <c r="DS30" s="358">
        <f t="shared" si="29"/>
        <v>1</v>
      </c>
      <c r="DT30" s="358">
        <f t="shared" si="30"/>
        <v>1</v>
      </c>
      <c r="DU30" s="358">
        <f t="shared" si="31"/>
        <v>1</v>
      </c>
      <c r="DV30" s="352"/>
      <c r="DW30" s="352"/>
    </row>
    <row r="31" spans="1:127" ht="21.75" customHeight="1" x14ac:dyDescent="0.3">
      <c r="A31" s="1637" t="s">
        <v>1011</v>
      </c>
      <c r="B31" s="1951" t="s">
        <v>99</v>
      </c>
      <c r="C31" s="99" t="s">
        <v>392</v>
      </c>
      <c r="D31" s="625" t="s">
        <v>1550</v>
      </c>
      <c r="E31" s="1256" t="s">
        <v>1551</v>
      </c>
      <c r="F31" s="641" t="s">
        <v>1552</v>
      </c>
      <c r="G31" s="1490" t="s">
        <v>1553</v>
      </c>
      <c r="H31" s="1491" t="s">
        <v>1554</v>
      </c>
      <c r="I31" s="582" t="s">
        <v>1555</v>
      </c>
      <c r="J31" s="583" t="s">
        <v>1556</v>
      </c>
      <c r="K31" s="582" t="s">
        <v>1557</v>
      </c>
      <c r="L31" s="583" t="s">
        <v>1558</v>
      </c>
      <c r="M31" s="582" t="s">
        <v>1559</v>
      </c>
      <c r="N31" s="584" t="s">
        <v>1560</v>
      </c>
      <c r="O31" s="582" t="s">
        <v>1561</v>
      </c>
      <c r="P31" s="583" t="s">
        <v>1562</v>
      </c>
      <c r="Q31" s="582" t="s">
        <v>1563</v>
      </c>
      <c r="R31" s="583" t="s">
        <v>1564</v>
      </c>
      <c r="S31" s="585" t="s">
        <v>1565</v>
      </c>
      <c r="T31" s="583" t="s">
        <v>1566</v>
      </c>
      <c r="U31" s="582" t="s">
        <v>1567</v>
      </c>
      <c r="V31" s="584" t="s">
        <v>1568</v>
      </c>
      <c r="W31" s="582" t="s">
        <v>1569</v>
      </c>
      <c r="X31" s="583" t="s">
        <v>1570</v>
      </c>
      <c r="Y31" s="582" t="s">
        <v>1571</v>
      </c>
      <c r="Z31" s="583" t="s">
        <v>1572</v>
      </c>
      <c r="AA31" s="582" t="s">
        <v>1573</v>
      </c>
      <c r="AB31" s="583" t="s">
        <v>1574</v>
      </c>
      <c r="AC31" s="585" t="s">
        <v>1575</v>
      </c>
      <c r="AD31" s="584" t="s">
        <v>1576</v>
      </c>
      <c r="AE31" s="1549" t="s">
        <v>1577</v>
      </c>
      <c r="AF31" s="583" t="s">
        <v>1578</v>
      </c>
      <c r="AG31" s="582" t="s">
        <v>1579</v>
      </c>
      <c r="AH31" s="583" t="s">
        <v>1580</v>
      </c>
      <c r="AI31" s="586" t="s">
        <v>1581</v>
      </c>
      <c r="AJ31" s="653" t="s">
        <v>1582</v>
      </c>
      <c r="AK31" s="585" t="s">
        <v>1583</v>
      </c>
      <c r="AL31" s="583" t="s">
        <v>1584</v>
      </c>
      <c r="AM31" s="343" t="str">
        <f t="shared" si="52"/>
        <v xml:space="preserve"> * La variable Pueblos Originarios Hombres no puede ser Mayor al Total. * La variable Pueblos Originarios Mujeres no puede ser Mayor al Total. * La variable Migrantes Hombres no puede ser Mayor al Total. * La variable Migrantes Mujeres no puede ser Mayor al Total.</v>
      </c>
      <c r="AN31" s="960"/>
      <c r="AO31" s="960"/>
      <c r="AP31" s="960"/>
      <c r="AQ31" s="960"/>
      <c r="AR31" s="960"/>
      <c r="AS31" s="960"/>
      <c r="AT31" s="960"/>
      <c r="AU31" s="960"/>
      <c r="AV31" s="960"/>
      <c r="AW31" s="960"/>
      <c r="BG31" s="175"/>
      <c r="BH31" s="175"/>
      <c r="BI31" s="175"/>
      <c r="BJ31" s="175"/>
      <c r="BK31" s="175"/>
      <c r="BL31" s="175"/>
      <c r="BM31" s="175"/>
      <c r="BN31" s="175"/>
      <c r="BO31" s="175"/>
      <c r="BS31" s="960"/>
      <c r="BT31" s="960"/>
      <c r="CD31" s="422"/>
      <c r="CE31" s="354"/>
      <c r="CF31" s="354"/>
      <c r="CG31" s="354"/>
      <c r="CH31" s="354"/>
      <c r="CI31" s="354"/>
      <c r="CJ31" s="354"/>
      <c r="CK31" s="354"/>
      <c r="CL31" s="354"/>
      <c r="CM31" s="354"/>
      <c r="CN31" s="354"/>
      <c r="CO31" s="306"/>
      <c r="CP31" s="306"/>
      <c r="CQ31" s="306"/>
      <c r="CR31" s="306"/>
      <c r="CS31" s="306"/>
      <c r="CT31" s="306"/>
      <c r="CU31" s="306"/>
      <c r="CV31" s="348" t="str">
        <f t="shared" si="53"/>
        <v xml:space="preserve"> * La variable Pueblos Originarios Hombres no puede ser Mayor al Total.</v>
      </c>
      <c r="CW31" s="348" t="str">
        <f t="shared" si="54"/>
        <v xml:space="preserve"> * La variable Pueblos Originarios Mujeres no puede ser Mayor al Total.</v>
      </c>
      <c r="CX31" s="348" t="str">
        <f t="shared" si="55"/>
        <v xml:space="preserve"> * La variable Migrantes Hombres no puede ser Mayor al Total.</v>
      </c>
      <c r="CY31" s="348" t="str">
        <f t="shared" si="56"/>
        <v xml:space="preserve"> * La variable Migrantes Mujeres no puede ser Mayor al Total.</v>
      </c>
      <c r="CZ31" s="306"/>
      <c r="DA31" s="306"/>
      <c r="DB31" s="306"/>
      <c r="DC31" s="306"/>
      <c r="DD31" s="306"/>
      <c r="DE31" s="352"/>
      <c r="DF31" s="352"/>
      <c r="DG31" s="352"/>
      <c r="DH31" s="352"/>
      <c r="DI31" s="352"/>
      <c r="DJ31" s="352"/>
      <c r="DK31" s="352"/>
      <c r="DL31" s="352"/>
      <c r="DM31" s="352"/>
      <c r="DN31" s="352"/>
      <c r="DO31" s="352"/>
      <c r="DP31" s="352"/>
      <c r="DQ31" s="352"/>
      <c r="DR31" s="358">
        <f t="shared" si="28"/>
        <v>1</v>
      </c>
      <c r="DS31" s="358">
        <f t="shared" si="29"/>
        <v>1</v>
      </c>
      <c r="DT31" s="358">
        <f t="shared" si="30"/>
        <v>1</v>
      </c>
      <c r="DU31" s="358">
        <f t="shared" si="31"/>
        <v>1</v>
      </c>
      <c r="DV31" s="352"/>
      <c r="DW31" s="352"/>
    </row>
    <row r="32" spans="1:127" ht="21.75" customHeight="1" x14ac:dyDescent="0.3">
      <c r="A32" s="1637" t="s">
        <v>1012</v>
      </c>
      <c r="B32" s="2051"/>
      <c r="C32" s="94" t="s">
        <v>100</v>
      </c>
      <c r="D32" s="626" t="s">
        <v>1550</v>
      </c>
      <c r="E32" s="1257" t="s">
        <v>1551</v>
      </c>
      <c r="F32" s="643" t="s">
        <v>1552</v>
      </c>
      <c r="G32" s="1492" t="s">
        <v>1553</v>
      </c>
      <c r="H32" s="1493" t="s">
        <v>1554</v>
      </c>
      <c r="I32" s="628" t="s">
        <v>1555</v>
      </c>
      <c r="J32" s="629" t="s">
        <v>1556</v>
      </c>
      <c r="K32" s="628" t="s">
        <v>1557</v>
      </c>
      <c r="L32" s="629" t="s">
        <v>1558</v>
      </c>
      <c r="M32" s="628" t="s">
        <v>1559</v>
      </c>
      <c r="N32" s="630" t="s">
        <v>1560</v>
      </c>
      <c r="O32" s="628" t="s">
        <v>1561</v>
      </c>
      <c r="P32" s="629" t="s">
        <v>1562</v>
      </c>
      <c r="Q32" s="628" t="s">
        <v>1563</v>
      </c>
      <c r="R32" s="629" t="s">
        <v>1564</v>
      </c>
      <c r="S32" s="631" t="s">
        <v>1565</v>
      </c>
      <c r="T32" s="629" t="s">
        <v>1566</v>
      </c>
      <c r="U32" s="628" t="s">
        <v>1567</v>
      </c>
      <c r="V32" s="630" t="s">
        <v>1568</v>
      </c>
      <c r="W32" s="628" t="s">
        <v>1569</v>
      </c>
      <c r="X32" s="629" t="s">
        <v>1570</v>
      </c>
      <c r="Y32" s="628" t="s">
        <v>1571</v>
      </c>
      <c r="Z32" s="629" t="s">
        <v>1572</v>
      </c>
      <c r="AA32" s="628" t="s">
        <v>1573</v>
      </c>
      <c r="AB32" s="629" t="s">
        <v>1574</v>
      </c>
      <c r="AC32" s="631" t="s">
        <v>1575</v>
      </c>
      <c r="AD32" s="630" t="s">
        <v>1576</v>
      </c>
      <c r="AE32" s="1553" t="s">
        <v>1577</v>
      </c>
      <c r="AF32" s="629" t="s">
        <v>1578</v>
      </c>
      <c r="AG32" s="628" t="s">
        <v>1579</v>
      </c>
      <c r="AH32" s="629" t="s">
        <v>1580</v>
      </c>
      <c r="AI32" s="632" t="s">
        <v>1581</v>
      </c>
      <c r="AJ32" s="654" t="s">
        <v>1582</v>
      </c>
      <c r="AK32" s="631" t="s">
        <v>1583</v>
      </c>
      <c r="AL32" s="629" t="s">
        <v>1584</v>
      </c>
      <c r="AM32" s="343" t="str">
        <f t="shared" si="52"/>
        <v xml:space="preserve"> * La variable Pueblos Originarios Hombres no puede ser Mayor al Total. * La variable Pueblos Originarios Mujeres no puede ser Mayor al Total. * La variable Migrantes Hombres no puede ser Mayor al Total. * La variable Migrantes Mujeres no puede ser Mayor al Total.</v>
      </c>
      <c r="AN32" s="960"/>
      <c r="AO32" s="960"/>
      <c r="AP32" s="960"/>
      <c r="AQ32" s="960"/>
      <c r="AR32" s="960"/>
      <c r="AS32" s="960"/>
      <c r="AT32" s="960"/>
      <c r="AU32" s="960"/>
      <c r="AV32" s="960"/>
      <c r="AW32" s="960"/>
      <c r="BG32" s="175"/>
      <c r="BH32" s="175"/>
      <c r="BI32" s="175"/>
      <c r="BJ32" s="175"/>
      <c r="BK32" s="175"/>
      <c r="BL32" s="175"/>
      <c r="BM32" s="175"/>
      <c r="BN32" s="175"/>
      <c r="BO32" s="175"/>
      <c r="BS32" s="960"/>
      <c r="BT32" s="960"/>
      <c r="CD32" s="422"/>
      <c r="CE32" s="354"/>
      <c r="CF32" s="354"/>
      <c r="CG32" s="354"/>
      <c r="CH32" s="354"/>
      <c r="CI32" s="354"/>
      <c r="CJ32" s="354"/>
      <c r="CK32" s="354"/>
      <c r="CL32" s="354"/>
      <c r="CM32" s="354"/>
      <c r="CN32" s="354"/>
      <c r="CO32" s="306"/>
      <c r="CP32" s="306"/>
      <c r="CQ32" s="306"/>
      <c r="CR32" s="306"/>
      <c r="CS32" s="306"/>
      <c r="CT32" s="306"/>
      <c r="CU32" s="306"/>
      <c r="CV32" s="348" t="str">
        <f t="shared" si="53"/>
        <v xml:space="preserve"> * La variable Pueblos Originarios Hombres no puede ser Mayor al Total.</v>
      </c>
      <c r="CW32" s="348" t="str">
        <f t="shared" si="54"/>
        <v xml:space="preserve"> * La variable Pueblos Originarios Mujeres no puede ser Mayor al Total.</v>
      </c>
      <c r="CX32" s="348" t="str">
        <f t="shared" si="55"/>
        <v xml:space="preserve"> * La variable Migrantes Hombres no puede ser Mayor al Total.</v>
      </c>
      <c r="CY32" s="348" t="str">
        <f t="shared" si="56"/>
        <v xml:space="preserve"> * La variable Migrantes Mujeres no puede ser Mayor al Total.</v>
      </c>
      <c r="CZ32" s="306"/>
      <c r="DA32" s="306"/>
      <c r="DB32" s="306"/>
      <c r="DC32" s="306"/>
      <c r="DD32" s="306"/>
      <c r="DE32" s="352"/>
      <c r="DF32" s="352"/>
      <c r="DG32" s="352"/>
      <c r="DH32" s="352"/>
      <c r="DI32" s="352"/>
      <c r="DJ32" s="352"/>
      <c r="DK32" s="352"/>
      <c r="DL32" s="352"/>
      <c r="DM32" s="352"/>
      <c r="DN32" s="352"/>
      <c r="DO32" s="352"/>
      <c r="DP32" s="352"/>
      <c r="DQ32" s="352"/>
      <c r="DR32" s="358">
        <f>IF($E32&gt;=$AI32,0,1)</f>
        <v>1</v>
      </c>
      <c r="DS32" s="358">
        <f t="shared" si="29"/>
        <v>1</v>
      </c>
      <c r="DT32" s="358">
        <f t="shared" si="30"/>
        <v>1</v>
      </c>
      <c r="DU32" s="358">
        <f t="shared" si="31"/>
        <v>1</v>
      </c>
      <c r="DV32" s="352"/>
      <c r="DW32" s="352"/>
    </row>
    <row r="33" spans="1:127" ht="21.75" customHeight="1" x14ac:dyDescent="0.3">
      <c r="A33" s="1637" t="s">
        <v>1013</v>
      </c>
      <c r="B33" s="2051"/>
      <c r="C33" s="94" t="s">
        <v>371</v>
      </c>
      <c r="D33" s="626" t="s">
        <v>1550</v>
      </c>
      <c r="E33" s="1257" t="s">
        <v>1551</v>
      </c>
      <c r="F33" s="643" t="s">
        <v>1552</v>
      </c>
      <c r="G33" s="1492" t="s">
        <v>1553</v>
      </c>
      <c r="H33" s="1493" t="s">
        <v>1554</v>
      </c>
      <c r="I33" s="628" t="s">
        <v>1555</v>
      </c>
      <c r="J33" s="629" t="s">
        <v>1556</v>
      </c>
      <c r="K33" s="628" t="s">
        <v>1557</v>
      </c>
      <c r="L33" s="629" t="s">
        <v>1558</v>
      </c>
      <c r="M33" s="628" t="s">
        <v>1559</v>
      </c>
      <c r="N33" s="630" t="s">
        <v>1560</v>
      </c>
      <c r="O33" s="628" t="s">
        <v>1561</v>
      </c>
      <c r="P33" s="629" t="s">
        <v>1562</v>
      </c>
      <c r="Q33" s="628" t="s">
        <v>1563</v>
      </c>
      <c r="R33" s="629" t="s">
        <v>1564</v>
      </c>
      <c r="S33" s="631" t="s">
        <v>1565</v>
      </c>
      <c r="T33" s="629" t="s">
        <v>1566</v>
      </c>
      <c r="U33" s="628" t="s">
        <v>1567</v>
      </c>
      <c r="V33" s="630" t="s">
        <v>1568</v>
      </c>
      <c r="W33" s="628" t="s">
        <v>1569</v>
      </c>
      <c r="X33" s="629" t="s">
        <v>1570</v>
      </c>
      <c r="Y33" s="628" t="s">
        <v>1571</v>
      </c>
      <c r="Z33" s="629" t="s">
        <v>1572</v>
      </c>
      <c r="AA33" s="628" t="s">
        <v>1573</v>
      </c>
      <c r="AB33" s="629" t="s">
        <v>1574</v>
      </c>
      <c r="AC33" s="631" t="s">
        <v>1575</v>
      </c>
      <c r="AD33" s="630" t="s">
        <v>1576</v>
      </c>
      <c r="AE33" s="1553" t="s">
        <v>1577</v>
      </c>
      <c r="AF33" s="629" t="s">
        <v>1578</v>
      </c>
      <c r="AG33" s="628" t="s">
        <v>1579</v>
      </c>
      <c r="AH33" s="629" t="s">
        <v>1580</v>
      </c>
      <c r="AI33" s="632" t="s">
        <v>1581</v>
      </c>
      <c r="AJ33" s="654" t="s">
        <v>1582</v>
      </c>
      <c r="AK33" s="631" t="s">
        <v>1583</v>
      </c>
      <c r="AL33" s="629" t="s">
        <v>1584</v>
      </c>
      <c r="AM33" s="343" t="str">
        <f t="shared" si="52"/>
        <v xml:space="preserve"> * La variable Pueblos Originarios Hombres no puede ser Mayor al Total. * La variable Pueblos Originarios Mujeres no puede ser Mayor al Total. * La variable Migrantes Hombres no puede ser Mayor al Total. * La variable Migrantes Mujeres no puede ser Mayor al Total.</v>
      </c>
      <c r="AN33" s="960"/>
      <c r="AO33" s="960"/>
      <c r="AP33" s="960"/>
      <c r="AQ33" s="960"/>
      <c r="AR33" s="960"/>
      <c r="AS33" s="960"/>
      <c r="AT33" s="960"/>
      <c r="AU33" s="960"/>
      <c r="AV33" s="960"/>
      <c r="AW33" s="960"/>
      <c r="BG33" s="175"/>
      <c r="BH33" s="175"/>
      <c r="BI33" s="175"/>
      <c r="BJ33" s="175"/>
      <c r="BK33" s="175"/>
      <c r="BL33" s="175"/>
      <c r="BM33" s="175"/>
      <c r="BN33" s="175"/>
      <c r="BO33" s="175"/>
      <c r="BS33" s="960"/>
      <c r="BT33" s="960"/>
      <c r="CD33" s="422"/>
      <c r="CE33" s="354"/>
      <c r="CF33" s="354"/>
      <c r="CG33" s="354"/>
      <c r="CH33" s="354"/>
      <c r="CI33" s="354"/>
      <c r="CJ33" s="354"/>
      <c r="CK33" s="354"/>
      <c r="CL33" s="354"/>
      <c r="CM33" s="354"/>
      <c r="CN33" s="354"/>
      <c r="CO33" s="306"/>
      <c r="CP33" s="306"/>
      <c r="CQ33" s="306"/>
      <c r="CR33" s="306"/>
      <c r="CS33" s="306"/>
      <c r="CT33" s="306"/>
      <c r="CU33" s="306"/>
      <c r="CV33" s="348" t="str">
        <f t="shared" si="53"/>
        <v xml:space="preserve"> * La variable Pueblos Originarios Hombres no puede ser Mayor al Total.</v>
      </c>
      <c r="CW33" s="348" t="str">
        <f t="shared" si="54"/>
        <v xml:space="preserve"> * La variable Pueblos Originarios Mujeres no puede ser Mayor al Total.</v>
      </c>
      <c r="CX33" s="348" t="str">
        <f t="shared" si="55"/>
        <v xml:space="preserve"> * La variable Migrantes Hombres no puede ser Mayor al Total.</v>
      </c>
      <c r="CY33" s="348" t="str">
        <f t="shared" si="56"/>
        <v xml:space="preserve"> * La variable Migrantes Mujeres no puede ser Mayor al Total.</v>
      </c>
      <c r="CZ33" s="306"/>
      <c r="DA33" s="306"/>
      <c r="DB33" s="306"/>
      <c r="DC33" s="306"/>
      <c r="DD33" s="306"/>
      <c r="DE33" s="352"/>
      <c r="DF33" s="352"/>
      <c r="DG33" s="352"/>
      <c r="DH33" s="352"/>
      <c r="DI33" s="352"/>
      <c r="DJ33" s="352"/>
      <c r="DK33" s="352"/>
      <c r="DL33" s="352"/>
      <c r="DM33" s="352"/>
      <c r="DN33" s="352"/>
      <c r="DO33" s="352"/>
      <c r="DP33" s="352"/>
      <c r="DQ33" s="352"/>
      <c r="DR33" s="358">
        <f t="shared" si="28"/>
        <v>1</v>
      </c>
      <c r="DS33" s="358">
        <f t="shared" si="29"/>
        <v>1</v>
      </c>
      <c r="DT33" s="358">
        <f t="shared" si="30"/>
        <v>1</v>
      </c>
      <c r="DU33" s="358">
        <f t="shared" si="31"/>
        <v>1</v>
      </c>
      <c r="DV33" s="352"/>
      <c r="DW33" s="352"/>
    </row>
    <row r="34" spans="1:127" ht="21.75" customHeight="1" x14ac:dyDescent="0.3">
      <c r="A34" s="1637" t="s">
        <v>1014</v>
      </c>
      <c r="B34" s="2051"/>
      <c r="C34" s="94" t="s">
        <v>101</v>
      </c>
      <c r="D34" s="626" t="s">
        <v>1550</v>
      </c>
      <c r="E34" s="1257" t="s">
        <v>1551</v>
      </c>
      <c r="F34" s="643" t="s">
        <v>1552</v>
      </c>
      <c r="G34" s="1492" t="s">
        <v>1553</v>
      </c>
      <c r="H34" s="1493" t="s">
        <v>1554</v>
      </c>
      <c r="I34" s="628" t="s">
        <v>1555</v>
      </c>
      <c r="J34" s="629" t="s">
        <v>1556</v>
      </c>
      <c r="K34" s="628" t="s">
        <v>1557</v>
      </c>
      <c r="L34" s="629" t="s">
        <v>1558</v>
      </c>
      <c r="M34" s="628" t="s">
        <v>1559</v>
      </c>
      <c r="N34" s="630" t="s">
        <v>1560</v>
      </c>
      <c r="O34" s="628" t="s">
        <v>1561</v>
      </c>
      <c r="P34" s="629" t="s">
        <v>1562</v>
      </c>
      <c r="Q34" s="628" t="s">
        <v>1563</v>
      </c>
      <c r="R34" s="629" t="s">
        <v>1564</v>
      </c>
      <c r="S34" s="631" t="s">
        <v>1565</v>
      </c>
      <c r="T34" s="629" t="s">
        <v>1566</v>
      </c>
      <c r="U34" s="628" t="s">
        <v>1567</v>
      </c>
      <c r="V34" s="630" t="s">
        <v>1568</v>
      </c>
      <c r="W34" s="628" t="s">
        <v>1569</v>
      </c>
      <c r="X34" s="629" t="s">
        <v>1570</v>
      </c>
      <c r="Y34" s="628" t="s">
        <v>1571</v>
      </c>
      <c r="Z34" s="629" t="s">
        <v>1572</v>
      </c>
      <c r="AA34" s="628" t="s">
        <v>1573</v>
      </c>
      <c r="AB34" s="629" t="s">
        <v>1574</v>
      </c>
      <c r="AC34" s="631" t="s">
        <v>1575</v>
      </c>
      <c r="AD34" s="630" t="s">
        <v>1576</v>
      </c>
      <c r="AE34" s="1553" t="s">
        <v>1577</v>
      </c>
      <c r="AF34" s="629" t="s">
        <v>1578</v>
      </c>
      <c r="AG34" s="628" t="s">
        <v>1579</v>
      </c>
      <c r="AH34" s="629" t="s">
        <v>1580</v>
      </c>
      <c r="AI34" s="632" t="s">
        <v>1581</v>
      </c>
      <c r="AJ34" s="654" t="s">
        <v>1582</v>
      </c>
      <c r="AK34" s="631" t="s">
        <v>1583</v>
      </c>
      <c r="AL34" s="629" t="s">
        <v>1584</v>
      </c>
      <c r="AM34" s="343" t="str">
        <f t="shared" si="52"/>
        <v xml:space="preserve"> * La variable Pueblos Originarios Hombres no puede ser Mayor al Total. * La variable Pueblos Originarios Mujeres no puede ser Mayor al Total. * La variable Migrantes Hombres no puede ser Mayor al Total. * La variable Migrantes Mujeres no puede ser Mayor al Total.</v>
      </c>
      <c r="AN34" s="960"/>
      <c r="AO34" s="960"/>
      <c r="AP34" s="960"/>
      <c r="AQ34" s="960"/>
      <c r="AR34" s="960"/>
      <c r="AS34" s="960"/>
      <c r="AT34" s="960"/>
      <c r="AU34" s="960"/>
      <c r="AV34" s="960"/>
      <c r="AW34" s="960"/>
      <c r="BG34" s="175"/>
      <c r="BH34" s="175"/>
      <c r="BI34" s="175"/>
      <c r="BJ34" s="175"/>
      <c r="BK34" s="175"/>
      <c r="BL34" s="175"/>
      <c r="BM34" s="175"/>
      <c r="BN34" s="175"/>
      <c r="BO34" s="175"/>
      <c r="BS34" s="960"/>
      <c r="BT34" s="960"/>
      <c r="CD34" s="422"/>
      <c r="CE34" s="354"/>
      <c r="CF34" s="354"/>
      <c r="CG34" s="354"/>
      <c r="CH34" s="354"/>
      <c r="CI34" s="354"/>
      <c r="CJ34" s="354"/>
      <c r="CK34" s="354"/>
      <c r="CL34" s="354"/>
      <c r="CM34" s="354"/>
      <c r="CN34" s="354"/>
      <c r="CO34" s="306"/>
      <c r="CP34" s="306"/>
      <c r="CQ34" s="306"/>
      <c r="CR34" s="306"/>
      <c r="CS34" s="306"/>
      <c r="CT34" s="306"/>
      <c r="CU34" s="306"/>
      <c r="CV34" s="348" t="str">
        <f t="shared" si="53"/>
        <v xml:space="preserve"> * La variable Pueblos Originarios Hombres no puede ser Mayor al Total.</v>
      </c>
      <c r="CW34" s="348" t="str">
        <f t="shared" si="54"/>
        <v xml:space="preserve"> * La variable Pueblos Originarios Mujeres no puede ser Mayor al Total.</v>
      </c>
      <c r="CX34" s="348" t="str">
        <f t="shared" si="55"/>
        <v xml:space="preserve"> * La variable Migrantes Hombres no puede ser Mayor al Total.</v>
      </c>
      <c r="CY34" s="348" t="str">
        <f t="shared" si="56"/>
        <v xml:space="preserve"> * La variable Migrantes Mujeres no puede ser Mayor al Total.</v>
      </c>
      <c r="CZ34" s="306"/>
      <c r="DA34" s="306"/>
      <c r="DB34" s="306"/>
      <c r="DC34" s="306"/>
      <c r="DD34" s="306"/>
      <c r="DE34" s="352"/>
      <c r="DF34" s="352"/>
      <c r="DG34" s="352"/>
      <c r="DH34" s="352"/>
      <c r="DI34" s="352"/>
      <c r="DJ34" s="352"/>
      <c r="DK34" s="352"/>
      <c r="DL34" s="352"/>
      <c r="DM34" s="352"/>
      <c r="DN34" s="352"/>
      <c r="DO34" s="352"/>
      <c r="DP34" s="352"/>
      <c r="DQ34" s="352"/>
      <c r="DR34" s="358">
        <f t="shared" si="28"/>
        <v>1</v>
      </c>
      <c r="DS34" s="358">
        <f t="shared" si="29"/>
        <v>1</v>
      </c>
      <c r="DT34" s="358">
        <f t="shared" si="30"/>
        <v>1</v>
      </c>
      <c r="DU34" s="358">
        <f t="shared" si="31"/>
        <v>1</v>
      </c>
      <c r="DV34" s="352"/>
      <c r="DW34" s="352"/>
    </row>
    <row r="35" spans="1:127" ht="21.75" customHeight="1" x14ac:dyDescent="0.3">
      <c r="A35" s="1637" t="s">
        <v>1015</v>
      </c>
      <c r="B35" s="2051"/>
      <c r="C35" s="95" t="s">
        <v>51</v>
      </c>
      <c r="D35" s="998" t="s">
        <v>1550</v>
      </c>
      <c r="E35" s="1258" t="s">
        <v>1551</v>
      </c>
      <c r="F35" s="647" t="s">
        <v>1552</v>
      </c>
      <c r="G35" s="1492" t="s">
        <v>1553</v>
      </c>
      <c r="H35" s="1493" t="s">
        <v>1554</v>
      </c>
      <c r="I35" s="615" t="s">
        <v>1555</v>
      </c>
      <c r="J35" s="618" t="s">
        <v>1556</v>
      </c>
      <c r="K35" s="615" t="s">
        <v>1557</v>
      </c>
      <c r="L35" s="618" t="s">
        <v>1558</v>
      </c>
      <c r="M35" s="573" t="s">
        <v>1559</v>
      </c>
      <c r="N35" s="1238" t="s">
        <v>1560</v>
      </c>
      <c r="O35" s="573" t="s">
        <v>1561</v>
      </c>
      <c r="P35" s="574" t="s">
        <v>1562</v>
      </c>
      <c r="Q35" s="573" t="s">
        <v>1563</v>
      </c>
      <c r="R35" s="574" t="s">
        <v>1564</v>
      </c>
      <c r="S35" s="616" t="s">
        <v>1565</v>
      </c>
      <c r="T35" s="618" t="s">
        <v>1566</v>
      </c>
      <c r="U35" s="615" t="s">
        <v>1567</v>
      </c>
      <c r="V35" s="617" t="s">
        <v>1568</v>
      </c>
      <c r="W35" s="573" t="s">
        <v>1569</v>
      </c>
      <c r="X35" s="574" t="s">
        <v>1570</v>
      </c>
      <c r="Y35" s="573" t="s">
        <v>1571</v>
      </c>
      <c r="Z35" s="574" t="s">
        <v>1572</v>
      </c>
      <c r="AA35" s="573" t="s">
        <v>1573</v>
      </c>
      <c r="AB35" s="574" t="s">
        <v>1574</v>
      </c>
      <c r="AC35" s="616" t="s">
        <v>1575</v>
      </c>
      <c r="AD35" s="617" t="s">
        <v>1576</v>
      </c>
      <c r="AE35" s="1552" t="s">
        <v>1577</v>
      </c>
      <c r="AF35" s="574" t="s">
        <v>1578</v>
      </c>
      <c r="AG35" s="573" t="s">
        <v>1579</v>
      </c>
      <c r="AH35" s="574" t="s">
        <v>1580</v>
      </c>
      <c r="AI35" s="624" t="s">
        <v>1581</v>
      </c>
      <c r="AJ35" s="1045" t="s">
        <v>1582</v>
      </c>
      <c r="AK35" s="1043" t="s">
        <v>1583</v>
      </c>
      <c r="AL35" s="635" t="s">
        <v>1584</v>
      </c>
      <c r="AM35" s="343" t="str">
        <f t="shared" si="52"/>
        <v xml:space="preserve"> * La variable Pueblos Originarios Hombres no puede ser Mayor al Total. * La variable Pueblos Originarios Mujeres no puede ser Mayor al Total. * La variable Migrantes Hombres no puede ser Mayor al Total. * La variable Migrantes Mujeres no puede ser Mayor al Total.</v>
      </c>
      <c r="AN35" s="960"/>
      <c r="AO35" s="960"/>
      <c r="AP35" s="960"/>
      <c r="AQ35" s="960"/>
      <c r="AR35" s="960"/>
      <c r="AS35" s="960"/>
      <c r="AT35" s="960"/>
      <c r="AU35" s="960"/>
      <c r="AV35" s="960"/>
      <c r="AW35" s="960"/>
      <c r="BG35" s="175"/>
      <c r="BH35" s="175"/>
      <c r="BI35" s="175"/>
      <c r="BJ35" s="175"/>
      <c r="BK35" s="175"/>
      <c r="BL35" s="175"/>
      <c r="BM35" s="175"/>
      <c r="BN35" s="175"/>
      <c r="BO35" s="175"/>
      <c r="BS35" s="960"/>
      <c r="BT35" s="960"/>
      <c r="CD35" s="422"/>
      <c r="CE35" s="354"/>
      <c r="CF35" s="354"/>
      <c r="CG35" s="354"/>
      <c r="CH35" s="354"/>
      <c r="CI35" s="354"/>
      <c r="CJ35" s="354"/>
      <c r="CK35" s="354"/>
      <c r="CL35" s="354"/>
      <c r="CM35" s="354"/>
      <c r="CN35" s="354"/>
      <c r="CO35" s="306"/>
      <c r="CP35" s="306"/>
      <c r="CQ35" s="306"/>
      <c r="CR35" s="306"/>
      <c r="CS35" s="306"/>
      <c r="CT35" s="306"/>
      <c r="CU35" s="306"/>
      <c r="CV35" s="348" t="str">
        <f t="shared" si="53"/>
        <v xml:space="preserve"> * La variable Pueblos Originarios Hombres no puede ser Mayor al Total.</v>
      </c>
      <c r="CW35" s="348" t="str">
        <f t="shared" si="54"/>
        <v xml:space="preserve"> * La variable Pueblos Originarios Mujeres no puede ser Mayor al Total.</v>
      </c>
      <c r="CX35" s="348" t="str">
        <f t="shared" si="55"/>
        <v xml:space="preserve"> * La variable Migrantes Hombres no puede ser Mayor al Total.</v>
      </c>
      <c r="CY35" s="348" t="str">
        <f t="shared" si="56"/>
        <v xml:space="preserve"> * La variable Migrantes Mujeres no puede ser Mayor al Total.</v>
      </c>
      <c r="CZ35" s="306"/>
      <c r="DA35" s="306"/>
      <c r="DB35" s="306"/>
      <c r="DC35" s="306"/>
      <c r="DD35" s="306"/>
      <c r="DE35" s="352"/>
      <c r="DF35" s="352"/>
      <c r="DG35" s="352"/>
      <c r="DH35" s="352"/>
      <c r="DI35" s="352"/>
      <c r="DJ35" s="352"/>
      <c r="DK35" s="352"/>
      <c r="DL35" s="352"/>
      <c r="DM35" s="352"/>
      <c r="DN35" s="352"/>
      <c r="DO35" s="352"/>
      <c r="DP35" s="352"/>
      <c r="DQ35" s="352"/>
      <c r="DR35" s="358">
        <f t="shared" si="28"/>
        <v>1</v>
      </c>
      <c r="DS35" s="358">
        <f t="shared" si="29"/>
        <v>1</v>
      </c>
      <c r="DT35" s="358">
        <f t="shared" si="30"/>
        <v>1</v>
      </c>
      <c r="DU35" s="358">
        <f t="shared" si="31"/>
        <v>1</v>
      </c>
      <c r="DV35" s="352"/>
      <c r="DW35" s="352"/>
    </row>
    <row r="36" spans="1:127" ht="21.75" customHeight="1" x14ac:dyDescent="0.3">
      <c r="A36" s="1638"/>
      <c r="B36" s="2051"/>
      <c r="C36" s="97" t="s">
        <v>102</v>
      </c>
      <c r="D36" s="636">
        <f>SUM(E36:F36)</f>
        <v>0</v>
      </c>
      <c r="E36" s="1256">
        <f t="shared" ref="E36:E38" si="57">+I36+K36+M36+O36+Q36+S36+U36+W36+Y36+AA36+AC36+AE36+AG36</f>
        <v>0</v>
      </c>
      <c r="F36" s="641">
        <f t="shared" ref="F36:F38" si="58">+J36+L36+N36+P36+R36+T36+V36+X36+Z36+AB36+AD36+AF36+AH36</f>
        <v>0</v>
      </c>
      <c r="G36" s="1492"/>
      <c r="H36" s="1493"/>
      <c r="I36" s="608">
        <f t="shared" ref="I36:AL36" si="59">SUM(I31:I35)</f>
        <v>0</v>
      </c>
      <c r="J36" s="609">
        <f t="shared" si="59"/>
        <v>0</v>
      </c>
      <c r="K36" s="608">
        <f t="shared" si="59"/>
        <v>0</v>
      </c>
      <c r="L36" s="609">
        <f t="shared" si="59"/>
        <v>0</v>
      </c>
      <c r="M36" s="608">
        <f t="shared" si="59"/>
        <v>0</v>
      </c>
      <c r="N36" s="611">
        <f t="shared" si="59"/>
        <v>0</v>
      </c>
      <c r="O36" s="612">
        <f t="shared" si="59"/>
        <v>0</v>
      </c>
      <c r="P36" s="611">
        <f t="shared" si="59"/>
        <v>0</v>
      </c>
      <c r="Q36" s="612">
        <f t="shared" si="59"/>
        <v>0</v>
      </c>
      <c r="R36" s="609">
        <f t="shared" si="59"/>
        <v>0</v>
      </c>
      <c r="S36" s="608">
        <f t="shared" si="59"/>
        <v>0</v>
      </c>
      <c r="T36" s="609">
        <f t="shared" si="59"/>
        <v>0</v>
      </c>
      <c r="U36" s="608">
        <f t="shared" si="59"/>
        <v>0</v>
      </c>
      <c r="V36" s="609">
        <f t="shared" si="59"/>
        <v>0</v>
      </c>
      <c r="W36" s="608">
        <f t="shared" si="59"/>
        <v>0</v>
      </c>
      <c r="X36" s="611">
        <f t="shared" si="59"/>
        <v>0</v>
      </c>
      <c r="Y36" s="612">
        <f t="shared" si="59"/>
        <v>0</v>
      </c>
      <c r="Z36" s="611">
        <f t="shared" si="59"/>
        <v>0</v>
      </c>
      <c r="AA36" s="612">
        <f t="shared" si="59"/>
        <v>0</v>
      </c>
      <c r="AB36" s="609">
        <f t="shared" si="59"/>
        <v>0</v>
      </c>
      <c r="AC36" s="608">
        <f t="shared" si="59"/>
        <v>0</v>
      </c>
      <c r="AD36" s="613">
        <f t="shared" si="59"/>
        <v>0</v>
      </c>
      <c r="AE36" s="1547">
        <f t="shared" si="59"/>
        <v>0</v>
      </c>
      <c r="AF36" s="1554">
        <f t="shared" si="59"/>
        <v>0</v>
      </c>
      <c r="AG36" s="608">
        <f t="shared" si="59"/>
        <v>0</v>
      </c>
      <c r="AH36" s="609">
        <f t="shared" si="59"/>
        <v>0</v>
      </c>
      <c r="AI36" s="614">
        <f t="shared" si="59"/>
        <v>0</v>
      </c>
      <c r="AJ36" s="612">
        <f t="shared" si="59"/>
        <v>0</v>
      </c>
      <c r="AK36" s="612">
        <f t="shared" si="59"/>
        <v>0</v>
      </c>
      <c r="AL36" s="611">
        <f t="shared" si="59"/>
        <v>0</v>
      </c>
      <c r="AM36" s="343" t="str">
        <f>($CE36&amp;CF36)</f>
        <v/>
      </c>
      <c r="AN36" s="960"/>
      <c r="AO36" s="960"/>
      <c r="AP36" s="960"/>
      <c r="AQ36" s="960"/>
      <c r="AR36" s="960"/>
      <c r="AS36" s="960"/>
      <c r="AT36" s="960"/>
      <c r="AU36" s="960"/>
      <c r="AV36" s="960"/>
      <c r="AW36" s="960"/>
      <c r="BG36" s="175"/>
      <c r="BH36" s="175"/>
      <c r="BI36" s="175"/>
      <c r="BJ36" s="175"/>
      <c r="BK36" s="175"/>
      <c r="BL36" s="175"/>
      <c r="BM36" s="175"/>
      <c r="BN36" s="175"/>
      <c r="BO36" s="175"/>
      <c r="BS36" s="960"/>
      <c r="BT36" s="960"/>
      <c r="CD36" s="422"/>
      <c r="CE36" s="354"/>
      <c r="CF36" s="354"/>
      <c r="CG36" s="354"/>
      <c r="CH36" s="354"/>
      <c r="CI36" s="354"/>
      <c r="CJ36" s="354"/>
      <c r="CK36" s="354"/>
      <c r="CL36" s="354"/>
      <c r="CM36" s="354"/>
      <c r="CN36" s="354"/>
      <c r="CO36" s="306"/>
      <c r="CP36" s="306"/>
      <c r="CQ36" s="306"/>
      <c r="CR36" s="306"/>
      <c r="CS36" s="306"/>
      <c r="CT36" s="306"/>
      <c r="CU36" s="306"/>
      <c r="CV36" s="306"/>
      <c r="CW36" s="306"/>
      <c r="CX36" s="306"/>
      <c r="CY36" s="306"/>
      <c r="CZ36" s="306"/>
      <c r="DA36" s="306"/>
      <c r="DB36" s="306"/>
      <c r="DC36" s="306"/>
      <c r="DD36" s="306"/>
      <c r="DE36" s="352"/>
      <c r="DF36" s="352"/>
      <c r="DG36" s="352"/>
      <c r="DH36" s="352"/>
      <c r="DI36" s="352"/>
      <c r="DJ36" s="352"/>
      <c r="DK36" s="352"/>
      <c r="DL36" s="352"/>
      <c r="DM36" s="352"/>
      <c r="DN36" s="352"/>
      <c r="DO36" s="352"/>
      <c r="DP36" s="352"/>
      <c r="DQ36" s="352"/>
      <c r="DR36" s="352"/>
      <c r="DS36" s="352"/>
      <c r="DT36" s="352"/>
      <c r="DU36" s="352"/>
      <c r="DV36" s="352"/>
      <c r="DW36" s="352"/>
    </row>
    <row r="37" spans="1:127" ht="27.75" customHeight="1" x14ac:dyDescent="0.3">
      <c r="A37" s="1637" t="s">
        <v>1016</v>
      </c>
      <c r="B37" s="2051"/>
      <c r="C37" s="1239" t="s">
        <v>103</v>
      </c>
      <c r="D37" s="636" t="s">
        <v>1550</v>
      </c>
      <c r="E37" s="1256" t="s">
        <v>1551</v>
      </c>
      <c r="F37" s="641" t="s">
        <v>1552</v>
      </c>
      <c r="G37" s="1492" t="s">
        <v>1553</v>
      </c>
      <c r="H37" s="1493" t="s">
        <v>1554</v>
      </c>
      <c r="I37" s="615" t="s">
        <v>1555</v>
      </c>
      <c r="J37" s="618" t="s">
        <v>1556</v>
      </c>
      <c r="K37" s="615" t="s">
        <v>1557</v>
      </c>
      <c r="L37" s="618" t="s">
        <v>1558</v>
      </c>
      <c r="M37" s="576" t="s">
        <v>1559</v>
      </c>
      <c r="N37" s="618" t="s">
        <v>1560</v>
      </c>
      <c r="O37" s="623" t="s">
        <v>1561</v>
      </c>
      <c r="P37" s="618" t="s">
        <v>1562</v>
      </c>
      <c r="Q37" s="623" t="s">
        <v>1563</v>
      </c>
      <c r="R37" s="585" t="s">
        <v>1564</v>
      </c>
      <c r="S37" s="615" t="s">
        <v>1565</v>
      </c>
      <c r="T37" s="618" t="s">
        <v>1566</v>
      </c>
      <c r="U37" s="615" t="s">
        <v>1567</v>
      </c>
      <c r="V37" s="618" t="s">
        <v>1568</v>
      </c>
      <c r="W37" s="576" t="s">
        <v>1569</v>
      </c>
      <c r="X37" s="618" t="s">
        <v>1570</v>
      </c>
      <c r="Y37" s="623" t="s">
        <v>1571</v>
      </c>
      <c r="Z37" s="618" t="s">
        <v>1572</v>
      </c>
      <c r="AA37" s="623" t="s">
        <v>1573</v>
      </c>
      <c r="AB37" s="585" t="s">
        <v>1574</v>
      </c>
      <c r="AC37" s="615" t="s">
        <v>1575</v>
      </c>
      <c r="AD37" s="617" t="s">
        <v>1576</v>
      </c>
      <c r="AE37" s="1548" t="s">
        <v>1577</v>
      </c>
      <c r="AF37" s="583" t="s">
        <v>1578</v>
      </c>
      <c r="AG37" s="615" t="s">
        <v>1579</v>
      </c>
      <c r="AH37" s="618" t="s">
        <v>1580</v>
      </c>
      <c r="AI37" s="634" t="s">
        <v>1581</v>
      </c>
      <c r="AJ37" s="1043" t="s">
        <v>1582</v>
      </c>
      <c r="AK37" s="1043" t="s">
        <v>1583</v>
      </c>
      <c r="AL37" s="635" t="s">
        <v>1584</v>
      </c>
      <c r="AM37" s="343" t="str">
        <f>($CV37&amp;CW37&amp;CX37&amp;CY37)</f>
        <v xml:space="preserve"> * La variable Pueblos Originarios Hombres no puede ser Mayor al Total. * La variable Pueblos Originarios Mujeres no puede ser Mayor al Total. * La variable Migrantes Hombres no puede ser Mayor al Total. * La variable Migrantes Mujeres no puede ser Mayor al Total.</v>
      </c>
      <c r="AN37" s="960"/>
      <c r="AO37" s="960"/>
      <c r="AP37" s="960"/>
      <c r="AQ37" s="960"/>
      <c r="AR37" s="960"/>
      <c r="AS37" s="960"/>
      <c r="AT37" s="960"/>
      <c r="AV37" s="960"/>
      <c r="AW37" s="960"/>
      <c r="BG37" s="175"/>
      <c r="BH37" s="175"/>
      <c r="BI37" s="175"/>
      <c r="BJ37" s="175"/>
      <c r="BK37" s="175"/>
      <c r="BL37" s="175"/>
      <c r="BM37" s="175"/>
      <c r="BN37" s="175"/>
      <c r="BO37" s="175"/>
      <c r="BS37" s="960"/>
      <c r="BT37" s="960"/>
      <c r="CD37" s="422"/>
      <c r="CE37" s="354"/>
      <c r="CF37" s="354"/>
      <c r="CG37" s="354"/>
      <c r="CH37" s="354"/>
      <c r="CI37" s="354"/>
      <c r="CJ37" s="354"/>
      <c r="CK37" s="354"/>
      <c r="CL37" s="354"/>
      <c r="CM37" s="354"/>
      <c r="CN37" s="354"/>
      <c r="CO37" s="306"/>
      <c r="CP37" s="306"/>
      <c r="CQ37" s="306"/>
      <c r="CR37" s="306"/>
      <c r="CS37" s="306"/>
      <c r="CT37" s="306"/>
      <c r="CU37" s="306"/>
      <c r="CV37" s="348" t="str">
        <f t="shared" ref="CV37" si="60">IF(AND(E37&gt;0,OR(AI37=""))," * No olvide digitar la variable Pueblos Originarios Hombres (Digite Cero si no tiene).",IF(AI37&gt;E37," * La variable Pueblos Originarios Hombres no puede ser Mayor al Total.",""))</f>
        <v xml:space="preserve"> * La variable Pueblos Originarios Hombres no puede ser Mayor al Total.</v>
      </c>
      <c r="CW37" s="348" t="str">
        <f t="shared" ref="CW37" si="61">IF(AND(F37&gt;0,OR(AJ37=""))," * No olvide digitar la variable Pueblos Originarios Mujeres (Digite Cero si no tiene).",IF(AJ37&gt;F37," * La variable Pueblos Originarios Mujeres no puede ser Mayor al Total.",""))</f>
        <v xml:space="preserve"> * La variable Pueblos Originarios Mujeres no puede ser Mayor al Total.</v>
      </c>
      <c r="CX37" s="348" t="str">
        <f t="shared" ref="CX37" si="62">IF(AND(E37&gt;0,OR(AK37=""))," * No olvide digitar la variable Migrantes Hombres (Digite Cero si no tiene).",IF(AK37&gt;E37," * La variable Migrantes Hombres no puede ser Mayor al Total.",""))</f>
        <v xml:space="preserve"> * La variable Migrantes Hombres no puede ser Mayor al Total.</v>
      </c>
      <c r="CY37" s="348" t="str">
        <f t="shared" ref="CY37" si="63">IF(AND(F37&gt;0,OR(AL37=""))," * No olvide digitar la variable Migrantes Mujeres (Digite Cero si no tiene).",IF(AL37&gt;F37," * La variable Migrantes Mujeres no puede ser Mayor al Total.",""))</f>
        <v xml:space="preserve"> * La variable Migrantes Mujeres no puede ser Mayor al Total.</v>
      </c>
      <c r="CZ37" s="306"/>
      <c r="DA37" s="306"/>
      <c r="DB37" s="306"/>
      <c r="DC37" s="306"/>
      <c r="DD37" s="306"/>
      <c r="DE37" s="352"/>
      <c r="DF37" s="352"/>
      <c r="DG37" s="352"/>
      <c r="DH37" s="352"/>
      <c r="DI37" s="352"/>
      <c r="DJ37" s="352"/>
      <c r="DK37" s="352"/>
      <c r="DL37" s="352"/>
      <c r="DM37" s="352"/>
      <c r="DN37" s="352"/>
      <c r="DO37" s="352"/>
      <c r="DP37" s="352"/>
      <c r="DQ37" s="352"/>
      <c r="DR37" s="358">
        <f t="shared" si="28"/>
        <v>1</v>
      </c>
      <c r="DS37" s="358">
        <f>IF($F37&gt;=$AJ37,0,1)</f>
        <v>1</v>
      </c>
      <c r="DT37" s="358">
        <f t="shared" si="30"/>
        <v>1</v>
      </c>
      <c r="DU37" s="358">
        <f t="shared" si="31"/>
        <v>1</v>
      </c>
      <c r="DV37" s="352"/>
      <c r="DW37" s="352"/>
    </row>
    <row r="38" spans="1:127" ht="27.6" customHeight="1" x14ac:dyDescent="0.3">
      <c r="A38" s="1640"/>
      <c r="B38" s="1953"/>
      <c r="C38" s="1317" t="s">
        <v>13</v>
      </c>
      <c r="D38" s="1235" t="e">
        <f t="shared" si="8"/>
        <v>#VALUE!</v>
      </c>
      <c r="E38" s="649" t="e">
        <f t="shared" si="57"/>
        <v>#VALUE!</v>
      </c>
      <c r="F38" s="604" t="e">
        <f t="shared" si="58"/>
        <v>#VALUE!</v>
      </c>
      <c r="G38" s="1492"/>
      <c r="H38" s="1493"/>
      <c r="I38" s="608" t="e">
        <f t="shared" ref="I38:AL38" si="64">SUM(I31:I35)+I37</f>
        <v>#VALUE!</v>
      </c>
      <c r="J38" s="611" t="e">
        <f t="shared" si="64"/>
        <v>#VALUE!</v>
      </c>
      <c r="K38" s="608" t="e">
        <f t="shared" si="64"/>
        <v>#VALUE!</v>
      </c>
      <c r="L38" s="611" t="e">
        <f t="shared" si="64"/>
        <v>#VALUE!</v>
      </c>
      <c r="M38" s="608" t="e">
        <f t="shared" si="64"/>
        <v>#VALUE!</v>
      </c>
      <c r="N38" s="611" t="e">
        <f t="shared" si="64"/>
        <v>#VALUE!</v>
      </c>
      <c r="O38" s="598" t="e">
        <f t="shared" si="64"/>
        <v>#VALUE!</v>
      </c>
      <c r="P38" s="596" t="e">
        <f t="shared" si="64"/>
        <v>#VALUE!</v>
      </c>
      <c r="Q38" s="598" t="e">
        <f t="shared" si="64"/>
        <v>#VALUE!</v>
      </c>
      <c r="R38" s="604" t="e">
        <f t="shared" si="64"/>
        <v>#VALUE!</v>
      </c>
      <c r="S38" s="595" t="e">
        <f t="shared" si="64"/>
        <v>#VALUE!</v>
      </c>
      <c r="T38" s="604" t="e">
        <f t="shared" si="64"/>
        <v>#VALUE!</v>
      </c>
      <c r="U38" s="595" t="e">
        <f t="shared" si="64"/>
        <v>#VALUE!</v>
      </c>
      <c r="V38" s="604" t="e">
        <f t="shared" si="64"/>
        <v>#VALUE!</v>
      </c>
      <c r="W38" s="595" t="e">
        <f t="shared" si="64"/>
        <v>#VALUE!</v>
      </c>
      <c r="X38" s="596" t="e">
        <f t="shared" si="64"/>
        <v>#VALUE!</v>
      </c>
      <c r="Y38" s="598" t="e">
        <f t="shared" si="64"/>
        <v>#VALUE!</v>
      </c>
      <c r="Z38" s="596" t="e">
        <f t="shared" si="64"/>
        <v>#VALUE!</v>
      </c>
      <c r="AA38" s="598" t="e">
        <f t="shared" si="64"/>
        <v>#VALUE!</v>
      </c>
      <c r="AB38" s="604" t="e">
        <f t="shared" si="64"/>
        <v>#VALUE!</v>
      </c>
      <c r="AC38" s="595" t="e">
        <f t="shared" si="64"/>
        <v>#VALUE!</v>
      </c>
      <c r="AD38" s="637" t="e">
        <f t="shared" si="64"/>
        <v>#VALUE!</v>
      </c>
      <c r="AE38" s="1546" t="e">
        <f t="shared" si="64"/>
        <v>#VALUE!</v>
      </c>
      <c r="AF38" s="1522" t="e">
        <f t="shared" si="64"/>
        <v>#VALUE!</v>
      </c>
      <c r="AG38" s="595" t="e">
        <f t="shared" si="64"/>
        <v>#VALUE!</v>
      </c>
      <c r="AH38" s="604" t="e">
        <f t="shared" si="64"/>
        <v>#VALUE!</v>
      </c>
      <c r="AI38" s="599" t="e">
        <f t="shared" si="64"/>
        <v>#VALUE!</v>
      </c>
      <c r="AJ38" s="598" t="e">
        <f t="shared" si="64"/>
        <v>#VALUE!</v>
      </c>
      <c r="AK38" s="598" t="e">
        <f t="shared" si="64"/>
        <v>#VALUE!</v>
      </c>
      <c r="AL38" s="596" t="e">
        <f t="shared" si="64"/>
        <v>#VALUE!</v>
      </c>
      <c r="AM38" s="343" t="str">
        <f>($CE38&amp;CF38)</f>
        <v/>
      </c>
      <c r="AN38" s="960"/>
      <c r="AO38" s="960"/>
      <c r="AP38" s="960"/>
      <c r="AQ38" s="960"/>
      <c r="AR38" s="960"/>
      <c r="AS38" s="960"/>
      <c r="AT38" s="960"/>
      <c r="AU38" s="960"/>
      <c r="AV38" s="960"/>
      <c r="AW38" s="960"/>
      <c r="BG38" s="175"/>
      <c r="BH38" s="175"/>
      <c r="BI38" s="175"/>
      <c r="BJ38" s="175"/>
      <c r="BK38" s="175"/>
      <c r="BL38" s="175"/>
      <c r="BM38" s="175"/>
      <c r="BN38" s="175"/>
      <c r="BO38" s="175"/>
      <c r="BS38" s="960"/>
      <c r="BT38" s="960"/>
      <c r="CD38" s="422"/>
      <c r="CE38" s="354"/>
      <c r="CF38" s="354"/>
      <c r="CG38" s="354"/>
      <c r="CH38" s="354"/>
      <c r="CI38" s="354"/>
      <c r="CJ38" s="354"/>
      <c r="CK38" s="354"/>
      <c r="CL38" s="354"/>
      <c r="CM38" s="354"/>
      <c r="CN38" s="354"/>
      <c r="CO38" s="306"/>
      <c r="CP38" s="306"/>
      <c r="CQ38" s="306"/>
      <c r="CR38" s="306"/>
      <c r="CS38" s="306"/>
      <c r="CT38" s="306"/>
      <c r="CU38" s="306"/>
      <c r="CV38" s="306"/>
      <c r="CW38" s="306"/>
      <c r="CX38" s="306"/>
      <c r="CY38" s="306"/>
      <c r="CZ38" s="306"/>
      <c r="DA38" s="306"/>
      <c r="DB38" s="306"/>
      <c r="DC38" s="306"/>
      <c r="DD38" s="306"/>
      <c r="DE38" s="352"/>
      <c r="DF38" s="352"/>
      <c r="DG38" s="352"/>
      <c r="DH38" s="352"/>
      <c r="DI38" s="352"/>
      <c r="DJ38" s="352"/>
      <c r="DK38" s="352"/>
      <c r="DL38" s="352"/>
      <c r="DM38" s="352"/>
      <c r="DN38" s="352"/>
      <c r="DO38" s="352"/>
      <c r="DP38" s="352"/>
      <c r="DQ38" s="352"/>
      <c r="DR38" s="352"/>
      <c r="DS38" s="352"/>
      <c r="DT38" s="352"/>
      <c r="DU38" s="352"/>
      <c r="DV38" s="352"/>
      <c r="DW38" s="352"/>
    </row>
    <row r="39" spans="1:127" ht="21.75" customHeight="1" x14ac:dyDescent="0.3">
      <c r="A39" s="1637" t="s">
        <v>1017</v>
      </c>
      <c r="B39" s="1924" t="s">
        <v>805</v>
      </c>
      <c r="C39" s="1925"/>
      <c r="D39" s="622" t="s">
        <v>1550</v>
      </c>
      <c r="E39" s="638" t="s">
        <v>1551</v>
      </c>
      <c r="F39" s="648" t="s">
        <v>1552</v>
      </c>
      <c r="G39" s="576" t="s">
        <v>1553</v>
      </c>
      <c r="H39" s="1255" t="s">
        <v>1554</v>
      </c>
      <c r="I39" s="576" t="s">
        <v>1555</v>
      </c>
      <c r="J39" s="577" t="s">
        <v>1556</v>
      </c>
      <c r="K39" s="576" t="s">
        <v>1557</v>
      </c>
      <c r="L39" s="577" t="s">
        <v>1558</v>
      </c>
      <c r="M39" s="576" t="s">
        <v>1559</v>
      </c>
      <c r="N39" s="577" t="s">
        <v>1560</v>
      </c>
      <c r="O39" s="623" t="s">
        <v>1561</v>
      </c>
      <c r="P39" s="577" t="s">
        <v>1562</v>
      </c>
      <c r="Q39" s="623" t="s">
        <v>1563</v>
      </c>
      <c r="R39" s="623" t="s">
        <v>1564</v>
      </c>
      <c r="S39" s="576" t="s">
        <v>1565</v>
      </c>
      <c r="T39" s="577" t="s">
        <v>1566</v>
      </c>
      <c r="U39" s="576" t="s">
        <v>1567</v>
      </c>
      <c r="V39" s="577" t="s">
        <v>1568</v>
      </c>
      <c r="W39" s="576" t="s">
        <v>1569</v>
      </c>
      <c r="X39" s="577" t="s">
        <v>1570</v>
      </c>
      <c r="Y39" s="623" t="s">
        <v>1571</v>
      </c>
      <c r="Z39" s="577" t="s">
        <v>1572</v>
      </c>
      <c r="AA39" s="623" t="s">
        <v>1573</v>
      </c>
      <c r="AB39" s="623" t="s">
        <v>1574</v>
      </c>
      <c r="AC39" s="576" t="s">
        <v>1575</v>
      </c>
      <c r="AD39" s="579" t="s">
        <v>1576</v>
      </c>
      <c r="AE39" s="1548" t="s">
        <v>1577</v>
      </c>
      <c r="AF39" s="1545" t="s">
        <v>1578</v>
      </c>
      <c r="AG39" s="576" t="s">
        <v>1579</v>
      </c>
      <c r="AH39" s="577" t="s">
        <v>1580</v>
      </c>
      <c r="AI39" s="580" t="s">
        <v>1581</v>
      </c>
      <c r="AJ39" s="623" t="s">
        <v>1582</v>
      </c>
      <c r="AK39" s="623" t="s">
        <v>1583</v>
      </c>
      <c r="AL39" s="577" t="s">
        <v>1584</v>
      </c>
      <c r="AM39" s="343" t="str">
        <f>($CV39&amp;CW39&amp;CX39&amp;CY39)</f>
        <v xml:space="preserve"> * La variable Pueblos Originarios Hombres no puede ser Mayor al Total. * La variable Pueblos Originarios Mujeres no puede ser Mayor al Total. * La variable Migrantes Hombres no puede ser Mayor al Total. * La variable Migrantes Mujeres no puede ser Mayor al Total.</v>
      </c>
      <c r="AN39" s="960"/>
      <c r="AO39" s="960"/>
      <c r="AP39" s="960"/>
      <c r="AQ39" s="960"/>
      <c r="AR39" s="960"/>
      <c r="AS39" s="960"/>
      <c r="AT39" s="960"/>
      <c r="AU39" s="960"/>
      <c r="AV39" s="960"/>
      <c r="AW39" s="960"/>
      <c r="BG39" s="175"/>
      <c r="BH39" s="175"/>
      <c r="BI39" s="175"/>
      <c r="BJ39" s="175"/>
      <c r="BK39" s="175"/>
      <c r="BL39" s="175"/>
      <c r="BM39" s="175"/>
      <c r="BN39" s="175"/>
      <c r="BO39" s="175"/>
      <c r="BS39" s="960"/>
      <c r="BT39" s="960"/>
      <c r="CD39" s="422"/>
      <c r="CE39" s="354"/>
      <c r="CF39" s="354"/>
      <c r="CG39" s="354"/>
      <c r="CH39" s="354"/>
      <c r="CI39" s="354"/>
      <c r="CJ39" s="354"/>
      <c r="CK39" s="354"/>
      <c r="CL39" s="354"/>
      <c r="CM39" s="354"/>
      <c r="CN39" s="354"/>
      <c r="CO39" s="306"/>
      <c r="CP39" s="306"/>
      <c r="CQ39" s="306"/>
      <c r="CR39" s="306"/>
      <c r="CS39" s="306"/>
      <c r="CT39" s="306"/>
      <c r="CU39" s="306"/>
      <c r="CV39" s="348" t="str">
        <f t="shared" ref="CV39" si="65">IF(AND(E39&gt;0,OR(AI39=""))," * No olvide digitar la variable Pueblos Originarios Hombres (Digite Cero si no tiene).",IF(AI39&gt;E39," * La variable Pueblos Originarios Hombres no puede ser Mayor al Total.",""))</f>
        <v xml:space="preserve"> * La variable Pueblos Originarios Hombres no puede ser Mayor al Total.</v>
      </c>
      <c r="CW39" s="348" t="str">
        <f t="shared" ref="CW39" si="66">IF(AND(F39&gt;0,OR(AJ39=""))," * No olvide digitar la variable Pueblos Originarios Mujeres (Digite Cero si no tiene).",IF(AJ39&gt;F39," * La variable Pueblos Originarios Mujeres no puede ser Mayor al Total.",""))</f>
        <v xml:space="preserve"> * La variable Pueblos Originarios Mujeres no puede ser Mayor al Total.</v>
      </c>
      <c r="CX39" s="348" t="str">
        <f>IF(AND(E39&gt;0,OR(AK39=""))," * No olvide digitar la variable Migrantes Hombres (Digite Cero si no tiene).",IF(AK39&gt;E39," * La variable Migrantes Hombres no puede ser Mayor al Total.",""))</f>
        <v xml:space="preserve"> * La variable Migrantes Hombres no puede ser Mayor al Total.</v>
      </c>
      <c r="CY39" s="348" t="str">
        <f t="shared" ref="CY39" si="67">IF(AND(F39&gt;0,OR(AL39=""))," * No olvide digitar la variable Migrantes Mujeres (Digite Cero si no tiene).",IF(AL39&gt;F39," * La variable Migrantes Mujeres no puede ser Mayor al Total.",""))</f>
        <v xml:space="preserve"> * La variable Migrantes Mujeres no puede ser Mayor al Total.</v>
      </c>
      <c r="CZ39" s="306"/>
      <c r="DA39" s="306"/>
      <c r="DB39" s="306"/>
      <c r="DC39" s="306"/>
      <c r="DD39" s="306"/>
      <c r="DE39" s="352"/>
      <c r="DF39" s="352"/>
      <c r="DG39" s="352"/>
      <c r="DH39" s="352"/>
      <c r="DI39" s="352"/>
      <c r="DJ39" s="352"/>
      <c r="DK39" s="352"/>
      <c r="DL39" s="352"/>
      <c r="DM39" s="352"/>
      <c r="DN39" s="352"/>
      <c r="DO39" s="352"/>
      <c r="DP39" s="352"/>
      <c r="DQ39" s="352"/>
      <c r="DR39" s="358">
        <f>IF($E39&gt;=$AI39,0,1)</f>
        <v>1</v>
      </c>
      <c r="DS39" s="358">
        <f t="shared" si="29"/>
        <v>1</v>
      </c>
      <c r="DT39" s="358">
        <f t="shared" si="30"/>
        <v>1</v>
      </c>
      <c r="DU39" s="358">
        <f t="shared" si="31"/>
        <v>1</v>
      </c>
      <c r="DV39" s="352"/>
      <c r="DW39" s="352"/>
    </row>
    <row r="40" spans="1:127" ht="30" customHeight="1" x14ac:dyDescent="0.3">
      <c r="B40" s="1966" t="s">
        <v>849</v>
      </c>
      <c r="C40" s="1966"/>
      <c r="D40" s="1966"/>
      <c r="E40" s="1966"/>
      <c r="F40" s="1966"/>
      <c r="G40" s="1966"/>
      <c r="H40" s="1966"/>
      <c r="I40" s="1966"/>
      <c r="J40" s="1966"/>
      <c r="K40" s="1966"/>
      <c r="L40" s="1966"/>
      <c r="M40" s="1967"/>
      <c r="N40" s="1967"/>
      <c r="O40" s="425"/>
      <c r="P40" s="425"/>
      <c r="Q40" s="425"/>
      <c r="R40" s="425"/>
      <c r="S40" s="1591"/>
      <c r="T40" s="1591"/>
      <c r="U40" s="1591"/>
      <c r="V40" s="1591"/>
      <c r="W40" s="1591"/>
      <c r="X40" s="1591"/>
      <c r="Y40" s="1591"/>
      <c r="Z40" s="1591"/>
      <c r="AA40" s="1591"/>
      <c r="AB40" s="1591"/>
      <c r="AC40" s="1591"/>
      <c r="AD40" s="1591"/>
      <c r="AE40" s="1591"/>
      <c r="AF40" s="1591"/>
      <c r="AG40" s="1591"/>
      <c r="AH40" s="1591"/>
      <c r="AI40" s="1591"/>
      <c r="AJ40" s="1591"/>
      <c r="AK40" s="1591"/>
      <c r="AL40" s="1591"/>
      <c r="AM40" s="1591"/>
      <c r="AN40" s="1591"/>
      <c r="AO40" s="1591"/>
      <c r="AP40" s="1591"/>
      <c r="AQ40" s="1591"/>
      <c r="AR40" s="1591"/>
      <c r="AS40" s="1591"/>
      <c r="AT40" s="1591"/>
      <c r="AU40" s="1591"/>
      <c r="AV40" s="1591"/>
      <c r="AW40" s="1591"/>
      <c r="AX40" s="175"/>
      <c r="AY40" s="175"/>
      <c r="AZ40" s="175"/>
      <c r="BA40" s="175"/>
      <c r="BB40" s="175"/>
      <c r="BC40" s="175"/>
      <c r="BD40" s="175"/>
      <c r="BE40" s="175"/>
      <c r="BF40" s="175"/>
      <c r="BG40" s="175"/>
      <c r="BH40" s="175"/>
      <c r="BI40" s="175"/>
      <c r="BJ40" s="175"/>
      <c r="BK40" s="175"/>
      <c r="BL40" s="175"/>
      <c r="BM40" s="175"/>
      <c r="BN40" s="175"/>
      <c r="BO40" s="175"/>
      <c r="BP40" s="175"/>
      <c r="BQ40" s="175"/>
      <c r="BR40" s="175"/>
      <c r="CB40" s="1591"/>
    </row>
    <row r="41" spans="1:127" ht="27.75" customHeight="1" x14ac:dyDescent="0.3">
      <c r="B41" s="1950" t="s">
        <v>76</v>
      </c>
      <c r="C41" s="1973"/>
      <c r="D41" s="1998" t="s">
        <v>13</v>
      </c>
      <c r="E41" s="1998"/>
      <c r="F41" s="1999"/>
      <c r="G41" s="1992" t="s">
        <v>77</v>
      </c>
      <c r="H41" s="1993"/>
      <c r="I41" s="1993"/>
      <c r="J41" s="1993"/>
      <c r="K41" s="1993"/>
      <c r="L41" s="1993"/>
      <c r="M41" s="1993"/>
      <c r="N41" s="1993"/>
      <c r="O41" s="1993"/>
      <c r="P41" s="1993"/>
      <c r="Q41" s="1993"/>
      <c r="R41" s="1993"/>
      <c r="S41" s="1993"/>
      <c r="T41" s="1994"/>
      <c r="U41" s="57"/>
      <c r="V41" s="175"/>
      <c r="W41" s="175"/>
      <c r="X41" s="175"/>
      <c r="Y41" s="175"/>
      <c r="Z41" s="175"/>
      <c r="AA41" s="175"/>
      <c r="AB41" s="175"/>
      <c r="AC41" s="175"/>
      <c r="AD41" s="175"/>
      <c r="AE41" s="175"/>
      <c r="AF41" s="175"/>
      <c r="AG41" s="175"/>
      <c r="AH41" s="175"/>
      <c r="AI41" s="175"/>
      <c r="AJ41" s="175"/>
      <c r="AK41" s="175"/>
      <c r="AL41" s="175"/>
      <c r="AM41" s="175"/>
      <c r="AN41" s="175"/>
      <c r="AO41" s="175"/>
      <c r="AP41" s="175"/>
      <c r="AQ41" s="175"/>
      <c r="AR41" s="175"/>
      <c r="AS41" s="175"/>
      <c r="AT41" s="175"/>
      <c r="AU41" s="175"/>
      <c r="AV41" s="175"/>
      <c r="AW41" s="175"/>
      <c r="AX41" s="175"/>
      <c r="AY41" s="175"/>
      <c r="AZ41" s="175"/>
      <c r="BA41" s="175"/>
      <c r="BB41" s="175"/>
      <c r="BC41" s="175"/>
      <c r="BS41" s="960"/>
      <c r="BT41" s="960"/>
      <c r="BU41" s="960"/>
      <c r="BV41" s="960"/>
      <c r="BW41" s="960"/>
      <c r="BX41" s="960"/>
    </row>
    <row r="42" spans="1:127" ht="24" customHeight="1" x14ac:dyDescent="0.3">
      <c r="B42" s="1974"/>
      <c r="C42" s="1975"/>
      <c r="D42" s="1982"/>
      <c r="E42" s="1982"/>
      <c r="F42" s="1983"/>
      <c r="G42" s="1940" t="s">
        <v>92</v>
      </c>
      <c r="H42" s="1920"/>
      <c r="I42" s="1940" t="s">
        <v>680</v>
      </c>
      <c r="J42" s="1920"/>
      <c r="K42" s="1940" t="s">
        <v>681</v>
      </c>
      <c r="L42" s="1920"/>
      <c r="M42" s="1940" t="s">
        <v>682</v>
      </c>
      <c r="N42" s="1920"/>
      <c r="O42" s="1940" t="s">
        <v>683</v>
      </c>
      <c r="P42" s="1920"/>
      <c r="Q42" s="1990" t="s">
        <v>15</v>
      </c>
      <c r="R42" s="1991"/>
      <c r="S42" s="1988" t="s">
        <v>804</v>
      </c>
      <c r="T42" s="1989"/>
      <c r="U42" s="57"/>
      <c r="V42" s="175"/>
      <c r="W42" s="175"/>
      <c r="X42" s="175"/>
      <c r="Y42" s="175"/>
      <c r="Z42" s="175"/>
      <c r="AA42" s="175"/>
      <c r="AB42" s="175"/>
      <c r="AC42" s="175"/>
      <c r="AD42" s="175"/>
      <c r="AE42" s="175"/>
      <c r="AF42" s="175"/>
      <c r="AG42" s="175"/>
      <c r="AH42" s="175"/>
      <c r="AI42" s="175"/>
      <c r="AJ42" s="175"/>
      <c r="AK42" s="175"/>
      <c r="AL42" s="175"/>
      <c r="AM42" s="175"/>
      <c r="AN42" s="175"/>
      <c r="AO42" s="175"/>
      <c r="AP42" s="175"/>
      <c r="AQ42" s="175"/>
      <c r="AR42" s="175"/>
      <c r="AS42" s="175"/>
      <c r="AT42" s="175"/>
      <c r="AU42" s="175"/>
      <c r="AV42" s="175"/>
      <c r="AW42" s="175"/>
      <c r="AX42" s="175"/>
      <c r="AY42" s="175"/>
      <c r="AZ42" s="175"/>
      <c r="BA42" s="175"/>
      <c r="BB42" s="175"/>
      <c r="BC42" s="175"/>
      <c r="BS42" s="960"/>
      <c r="BT42" s="960"/>
      <c r="BU42" s="960"/>
      <c r="BV42" s="960"/>
      <c r="BW42" s="960"/>
      <c r="BX42" s="960"/>
    </row>
    <row r="43" spans="1:127" ht="32.25" customHeight="1" x14ac:dyDescent="0.3">
      <c r="B43" s="1976"/>
      <c r="C43" s="1977"/>
      <c r="D43" s="1589" t="s">
        <v>369</v>
      </c>
      <c r="E43" s="92" t="s">
        <v>31</v>
      </c>
      <c r="F43" s="1587" t="s">
        <v>94</v>
      </c>
      <c r="G43" s="1592" t="s">
        <v>31</v>
      </c>
      <c r="H43" s="1593" t="s">
        <v>94</v>
      </c>
      <c r="I43" s="1592" t="s">
        <v>31</v>
      </c>
      <c r="J43" s="93" t="s">
        <v>94</v>
      </c>
      <c r="K43" s="957" t="s">
        <v>31</v>
      </c>
      <c r="L43" s="93" t="s">
        <v>94</v>
      </c>
      <c r="M43" s="957" t="s">
        <v>31</v>
      </c>
      <c r="N43" s="93" t="s">
        <v>94</v>
      </c>
      <c r="O43" s="957" t="s">
        <v>31</v>
      </c>
      <c r="P43" s="1594" t="s">
        <v>94</v>
      </c>
      <c r="Q43" s="1595" t="s">
        <v>31</v>
      </c>
      <c r="R43" s="1596" t="s">
        <v>94</v>
      </c>
      <c r="S43" s="1038" t="s">
        <v>31</v>
      </c>
      <c r="T43" s="1587" t="s">
        <v>94</v>
      </c>
      <c r="U43" s="57"/>
      <c r="V43" s="175"/>
      <c r="W43" s="175"/>
      <c r="X43" s="175"/>
      <c r="Y43" s="175"/>
      <c r="Z43" s="175"/>
      <c r="AA43" s="175"/>
      <c r="AB43" s="175"/>
      <c r="AC43" s="175"/>
      <c r="AD43" s="175"/>
      <c r="AE43" s="175"/>
      <c r="AF43" s="175"/>
      <c r="AG43" s="175"/>
      <c r="AH43" s="175"/>
      <c r="AI43" s="175"/>
      <c r="AJ43" s="175"/>
      <c r="AK43" s="175"/>
      <c r="AL43" s="175"/>
      <c r="AM43" s="175"/>
      <c r="AN43" s="175"/>
      <c r="AO43" s="175"/>
      <c r="AP43" s="175"/>
      <c r="AQ43" s="175"/>
      <c r="AR43" s="175"/>
      <c r="AS43" s="175"/>
      <c r="AT43" s="175"/>
      <c r="AU43" s="175"/>
      <c r="AV43" s="175"/>
      <c r="AW43" s="175"/>
      <c r="AX43" s="175"/>
      <c r="AY43" s="175"/>
      <c r="AZ43" s="175"/>
      <c r="BA43" s="175"/>
      <c r="BB43" s="175"/>
      <c r="BC43" s="175"/>
      <c r="BS43" s="960"/>
      <c r="BT43" s="960"/>
      <c r="BU43" s="960"/>
      <c r="BV43" s="960"/>
      <c r="BW43" s="960"/>
      <c r="BX43" s="960"/>
    </row>
    <row r="44" spans="1:127" ht="23.25" customHeight="1" x14ac:dyDescent="0.3">
      <c r="A44" s="1641" t="s">
        <v>1018</v>
      </c>
      <c r="B44" s="1995" t="s">
        <v>95</v>
      </c>
      <c r="C44" s="1996"/>
      <c r="D44" s="639" t="s">
        <v>1550</v>
      </c>
      <c r="E44" s="638" t="s">
        <v>1551</v>
      </c>
      <c r="F44" s="571" t="s">
        <v>1552</v>
      </c>
      <c r="G44" s="582" t="s">
        <v>1553</v>
      </c>
      <c r="H44" s="583" t="s">
        <v>1554</v>
      </c>
      <c r="I44" s="582" t="s">
        <v>1555</v>
      </c>
      <c r="J44" s="583" t="s">
        <v>1556</v>
      </c>
      <c r="K44" s="585" t="s">
        <v>1557</v>
      </c>
      <c r="L44" s="583" t="s">
        <v>1558</v>
      </c>
      <c r="M44" s="585" t="s">
        <v>1559</v>
      </c>
      <c r="N44" s="583" t="s">
        <v>1560</v>
      </c>
      <c r="O44" s="585" t="s">
        <v>1561</v>
      </c>
      <c r="P44" s="584" t="s">
        <v>1562</v>
      </c>
      <c r="Q44" s="586" t="s">
        <v>1563</v>
      </c>
      <c r="R44" s="653" t="s">
        <v>1564</v>
      </c>
      <c r="S44" s="585" t="s">
        <v>1565</v>
      </c>
      <c r="T44" s="583" t="s">
        <v>1566</v>
      </c>
      <c r="U44" s="1512" t="e">
        <f>CC44 &amp; CD44 &amp; CE44 &amp; CF44 &amp; CG44 &amp; CH44 &amp; CI44&amp; CJ44 &amp; CK44</f>
        <v>#VALUE!</v>
      </c>
      <c r="V44" s="291"/>
      <c r="W44" s="291"/>
      <c r="X44" s="291"/>
      <c r="Y44" s="291"/>
      <c r="Z44" s="291"/>
      <c r="AA44" s="291"/>
      <c r="AB44" s="291"/>
      <c r="AC44" s="291"/>
      <c r="AD44" s="291"/>
      <c r="AE44" s="291"/>
      <c r="AF44" s="291"/>
      <c r="AG44" s="291"/>
      <c r="AH44" s="291"/>
      <c r="AI44" s="291"/>
      <c r="AJ44" s="291"/>
      <c r="AK44" s="291"/>
      <c r="AL44" s="291"/>
      <c r="AM44" s="291"/>
      <c r="AN44" s="291"/>
      <c r="AO44" s="291"/>
      <c r="AP44" s="291"/>
      <c r="AQ44" s="291"/>
      <c r="AR44" s="291"/>
      <c r="AS44" s="291"/>
      <c r="AT44" s="291"/>
      <c r="AU44" s="291"/>
      <c r="AV44" s="291"/>
      <c r="AW44" s="291"/>
      <c r="AX44" s="291"/>
      <c r="AY44" s="291"/>
      <c r="AZ44" s="291"/>
      <c r="BA44" s="291"/>
      <c r="BB44" s="291"/>
      <c r="BC44" s="291"/>
      <c r="BS44" s="960"/>
      <c r="BT44" s="960"/>
      <c r="BU44" s="960"/>
      <c r="BV44" s="960"/>
      <c r="BW44" s="960"/>
      <c r="BX44" s="960"/>
      <c r="BZ44" s="291"/>
      <c r="CA44" s="291"/>
      <c r="CB44" s="354"/>
      <c r="CC44" s="348" t="e">
        <f>IF(G44+H44&lt;&gt;G72+H72,"* El Total de niños en control de 60 a 71 meses no debe ser distinto al total del Diagnóstico Nutricional Integrado. ","")</f>
        <v>#VALUE!</v>
      </c>
      <c r="CD44" s="348" t="e">
        <f>IF(I44+J44&lt;&gt;I72+J72,"* El Total de niñas en control de 6 a 6 años 11 meses no debe ser distinto al total del Diagnóstico Nutricional Integrado. ","")</f>
        <v>#VALUE!</v>
      </c>
      <c r="CE44" s="348" t="e">
        <f>IF(K44+L44&lt;&gt;K72+L72,"* El Total de niños en control de 7 a 7 años 11 meses no debe ser distinto al total del Diagnóstico Nutricional Integrado. ","")</f>
        <v>#VALUE!</v>
      </c>
      <c r="CF44" s="348" t="e">
        <f>IF(M44+N44&lt;&gt;M72+N72,"* El Total de niñas en control de 8 a 8 años 11 meses no debe ser distinto al total del Diagnóstico Nutricional Integrado. ","")</f>
        <v>#VALUE!</v>
      </c>
      <c r="CG44" s="348" t="e">
        <f>IF(O44+P44&lt;&gt;O72+P72,"* El Total de niñas en control de 9 a 9 años 11 meses no debe ser distinto al total del Diagnóstico Nutricional Integrado. ","")</f>
        <v>#VALUE!</v>
      </c>
      <c r="CH44" s="348" t="str">
        <f>IF(AND(E44&gt;0,OR(Q44=""))," * No olvide digitar la variable Pueblos Originarios Hombres (Digite Cero si no tiene).",IF(Q44&gt;E44," * La variable Pueblos Originarios Hombres no puede ser Mayor al Total.",""))</f>
        <v xml:space="preserve"> * La variable Pueblos Originarios Hombres no puede ser Mayor al Total.</v>
      </c>
      <c r="CI44" s="348" t="str">
        <f>IF(AND(F44&gt;0,OR(R44=""))," * No olvide digitar la variable Pueblos Originarios Mujeres (Digite Cero si no tiene).",IF(R44&gt;F44," * La variable Pueblos Originarios Mujeres no puede ser Mayor al Total.",""))</f>
        <v xml:space="preserve"> * La variable Pueblos Originarios Mujeres no puede ser Mayor al Total.</v>
      </c>
      <c r="CJ44" s="348" t="str">
        <f>IF(AND(E44&gt;0,OR(S44=""))," * No olvide digitar la variable Migrantes Hombres (Digite Cero si no tiene).",IF(S44&gt;E44," * La variable Migrantes Hombres no puede ser Mayor al Total.",""))</f>
        <v xml:space="preserve"> * La variable Migrantes Hombres no puede ser Mayor al Total.</v>
      </c>
      <c r="CK44" s="348" t="str">
        <f>IF(AND(F44&gt;0,OR(T44=""))," * No olvide digitar la variable Migrantes Mujeres (Digite Cero si no tiene).",IF(T44&gt;F44," * La variable Migrantes Mujeres no puede ser Mayor al Total.",""))</f>
        <v xml:space="preserve"> * La variable Migrantes Mujeres no puede ser Mayor al Total.</v>
      </c>
      <c r="CL44" s="1432" t="e">
        <f>IF($Q$44+$R$44&lt;&gt;$Q$72+$R$72,"* El Total de niños (as) en Control de Población Migrantes debe ser igual al Total de niños (as) según Diagnóstico Nutricional Integrado. ","")</f>
        <v>#VALUE!</v>
      </c>
      <c r="CM44" s="1432" t="e">
        <f>IF($S$44+$T$44&lt;&gt;$S$72+$T$72,"* El Total de niños (as) en Control de Población Migrantes debe ser igual al Total de niños (as) según Diagnóstico Nutricional Integrado. ","")</f>
        <v>#VALUE!</v>
      </c>
      <c r="CN44" s="306"/>
      <c r="CO44" s="306"/>
      <c r="CP44" s="306"/>
      <c r="CQ44" s="306"/>
      <c r="CR44" s="306"/>
      <c r="CS44" s="306"/>
      <c r="CT44" s="306"/>
      <c r="CU44" s="306"/>
      <c r="CV44" s="306"/>
      <c r="CW44" s="306"/>
      <c r="CX44" s="306"/>
      <c r="CY44" s="306"/>
      <c r="CZ44" s="306"/>
      <c r="DA44" s="306"/>
      <c r="DB44" s="306"/>
      <c r="DC44" s="306"/>
      <c r="DD44" s="306"/>
      <c r="DE44" s="358" t="e">
        <f>IF(G44+H44&lt;&gt;G72+H72,1,0)</f>
        <v>#VALUE!</v>
      </c>
      <c r="DF44" s="358" t="e">
        <f>IF(I44+J44&lt;&gt;I72+J72,1,0)</f>
        <v>#VALUE!</v>
      </c>
      <c r="DG44" s="358" t="e">
        <f>IF(K44+L44&lt;&gt;K72+L72,1,0)</f>
        <v>#VALUE!</v>
      </c>
      <c r="DH44" s="358" t="e">
        <f>IF(M44+N44&lt;&gt;M72+N72,1,0)</f>
        <v>#VALUE!</v>
      </c>
      <c r="DI44" s="358" t="e">
        <f>IF(O44+P44&lt;&gt;O72+P72,1,0)</f>
        <v>#VALUE!</v>
      </c>
      <c r="DJ44" s="358">
        <f>IF(AND(E44&gt;0,OR(Q44="")),1,IF(Q44&gt;E44,1,0))</f>
        <v>1</v>
      </c>
      <c r="DK44" s="358">
        <f>IF(AND(F44&gt;0,OR(R44="")),1,IF(R44&gt;F44,1,0))</f>
        <v>1</v>
      </c>
      <c r="DL44" s="358">
        <f>IF(AND(E44&gt;0,OR(S44="")),1,IF(S44&gt;E44,1,0))</f>
        <v>1</v>
      </c>
      <c r="DM44" s="358">
        <f>IF(AND(F44&gt;0,OR(T44="")),1,IF(T44&gt;F44,1,0))</f>
        <v>1</v>
      </c>
      <c r="DN44" s="1612" t="e">
        <f>IF($Q$44+$R$44&lt;&gt;$Q$72+$R$72,1,0)</f>
        <v>#VALUE!</v>
      </c>
      <c r="DO44" s="1612" t="e">
        <f>IF($S$44+$T$44&lt;&gt;$S$72+$T$72,1,0)</f>
        <v>#VALUE!</v>
      </c>
      <c r="DP44" s="352"/>
      <c r="DQ44" s="352"/>
      <c r="DR44" s="352"/>
      <c r="DS44" s="352"/>
      <c r="DT44" s="352"/>
      <c r="DU44" s="352"/>
      <c r="DV44" s="352"/>
      <c r="DW44" s="352"/>
    </row>
    <row r="45" spans="1:127" ht="23.25" customHeight="1" x14ac:dyDescent="0.3">
      <c r="A45" s="1641" t="s">
        <v>1019</v>
      </c>
      <c r="B45" s="1997" t="s">
        <v>378</v>
      </c>
      <c r="C45" s="101" t="s">
        <v>379</v>
      </c>
      <c r="D45" s="605" t="s">
        <v>1550</v>
      </c>
      <c r="E45" s="640" t="s">
        <v>1551</v>
      </c>
      <c r="F45" s="641" t="s">
        <v>1552</v>
      </c>
      <c r="G45" s="582" t="s">
        <v>1553</v>
      </c>
      <c r="H45" s="583" t="s">
        <v>1554</v>
      </c>
      <c r="I45" s="582" t="s">
        <v>1555</v>
      </c>
      <c r="J45" s="583" t="s">
        <v>1556</v>
      </c>
      <c r="K45" s="585" t="s">
        <v>1557</v>
      </c>
      <c r="L45" s="583" t="s">
        <v>1558</v>
      </c>
      <c r="M45" s="585" t="s">
        <v>1559</v>
      </c>
      <c r="N45" s="583" t="s">
        <v>1560</v>
      </c>
      <c r="O45" s="585" t="s">
        <v>1561</v>
      </c>
      <c r="P45" s="584" t="s">
        <v>1562</v>
      </c>
      <c r="Q45" s="586" t="s">
        <v>1563</v>
      </c>
      <c r="R45" s="653" t="s">
        <v>1564</v>
      </c>
      <c r="S45" s="585" t="s">
        <v>1565</v>
      </c>
      <c r="T45" s="583" t="s">
        <v>1566</v>
      </c>
      <c r="U45" s="1512" t="str">
        <f t="shared" ref="U45:U73" si="68">CC45 &amp; CD45 &amp; CE45 &amp; CF45 &amp; CG45 &amp; CH45 &amp; CI45&amp; CJ45 &amp; CK45</f>
        <v xml:space="preserve"> * La variable Pueblos Originarios Hombres no puede ser Mayor al Total. * La variable Pueblos Originarios Mujeres no puede ser Mayor al Total. * La variable Migrantes Hombres no puede ser Mayor al Total. * La variable Migrantes Mujeres no puede ser Mayor al Total.</v>
      </c>
      <c r="V45" s="291"/>
      <c r="W45" s="291"/>
      <c r="X45" s="291"/>
      <c r="Y45" s="291"/>
      <c r="Z45" s="291"/>
      <c r="AA45" s="291"/>
      <c r="AB45" s="291"/>
      <c r="AC45" s="291"/>
      <c r="AD45" s="291"/>
      <c r="AE45" s="291"/>
      <c r="AF45" s="291"/>
      <c r="AG45" s="291"/>
      <c r="AH45" s="291"/>
      <c r="AI45" s="291"/>
      <c r="AJ45" s="291"/>
      <c r="AK45" s="291"/>
      <c r="AL45" s="291"/>
      <c r="AM45" s="291"/>
      <c r="AN45" s="291"/>
      <c r="AO45" s="291"/>
      <c r="AP45" s="291"/>
      <c r="AQ45" s="291"/>
      <c r="AR45" s="291"/>
      <c r="AS45" s="291"/>
      <c r="AT45" s="291"/>
      <c r="AU45" s="291"/>
      <c r="AV45" s="291"/>
      <c r="AW45" s="291"/>
      <c r="AX45" s="291"/>
      <c r="AY45" s="291"/>
      <c r="AZ45" s="291"/>
      <c r="BA45" s="291"/>
      <c r="BB45" s="291"/>
      <c r="BC45" s="291"/>
      <c r="BS45" s="960"/>
      <c r="BT45" s="960"/>
      <c r="BU45" s="960"/>
      <c r="BV45" s="960"/>
      <c r="BW45" s="960"/>
      <c r="BX45" s="960"/>
      <c r="BZ45" s="291"/>
      <c r="CA45" s="291"/>
      <c r="CB45" s="354"/>
      <c r="CC45" s="354"/>
      <c r="CD45" s="354"/>
      <c r="CE45" s="354"/>
      <c r="CF45" s="354"/>
      <c r="CG45" s="354"/>
      <c r="CH45" s="348" t="str">
        <f t="shared" ref="CH45:CH47" si="69">IF(AND(E45&gt;0,OR(Q45=""))," * No olvide digitar la variable Pueblos Originarios Hombres (Digite Cero si no tiene).",IF(Q45&gt;E45," * La variable Pueblos Originarios Hombres no puede ser Mayor al Total.",""))</f>
        <v xml:space="preserve"> * La variable Pueblos Originarios Hombres no puede ser Mayor al Total.</v>
      </c>
      <c r="CI45" s="348" t="str">
        <f t="shared" ref="CI45:CI47" si="70">IF(AND(F45&gt;0,OR(R45=""))," * No olvide digitar la variable Pueblos Originarios Mujeres (Digite Cero si no tiene).",IF(R45&gt;F45," * La variable Pueblos Originarios Mujeres no puede ser Mayor al Total.",""))</f>
        <v xml:space="preserve"> * La variable Pueblos Originarios Mujeres no puede ser Mayor al Total.</v>
      </c>
      <c r="CJ45" s="348" t="str">
        <f t="shared" ref="CJ45:CJ47" si="71">IF(AND(E45&gt;0,OR(S45=""))," * No olvide digitar la variable Migrantes Hombres (Digite Cero si no tiene).",IF(S45&gt;E45," * La variable Migrantes Hombres no puede ser Mayor al Total.",""))</f>
        <v xml:space="preserve"> * La variable Migrantes Hombres no puede ser Mayor al Total.</v>
      </c>
      <c r="CK45" s="348" t="str">
        <f t="shared" ref="CK45:CK47" si="72">IF(AND(F45&gt;0,OR(T45=""))," * No olvide digitar la variable Migrantes Mujeres (Digite Cero si no tiene).",IF(T45&gt;F45," * La variable Migrantes Mujeres no puede ser Mayor al Total.",""))</f>
        <v xml:space="preserve"> * La variable Migrantes Mujeres no puede ser Mayor al Total.</v>
      </c>
      <c r="CL45" s="354"/>
      <c r="CM45" s="354"/>
      <c r="CN45" s="354"/>
      <c r="CO45" s="354"/>
      <c r="CP45" s="354"/>
      <c r="CQ45" s="354"/>
      <c r="CR45" s="354"/>
      <c r="CS45" s="354"/>
      <c r="CT45" s="354"/>
      <c r="CU45" s="354"/>
      <c r="CV45" s="354"/>
      <c r="CW45" s="354"/>
      <c r="CX45" s="354"/>
      <c r="CY45" s="354"/>
      <c r="CZ45" s="354"/>
      <c r="DA45" s="354"/>
      <c r="DB45" s="354"/>
      <c r="DC45" s="354"/>
      <c r="DD45" s="354"/>
      <c r="DE45" s="352"/>
      <c r="DF45" s="352"/>
      <c r="DG45" s="352"/>
      <c r="DH45" s="352"/>
      <c r="DI45" s="352"/>
      <c r="DJ45" s="358">
        <f t="shared" ref="DJ45:DJ47" si="73">IF(AND(E45&gt;0,OR(Q45="")),1,IF(Q45&gt;E45,1,0))</f>
        <v>1</v>
      </c>
      <c r="DK45" s="358">
        <f t="shared" ref="DK45:DK47" si="74">IF(AND(F45&gt;0,OR(R45="")),1,IF(R45&gt;F45,1,0))</f>
        <v>1</v>
      </c>
      <c r="DL45" s="358">
        <f t="shared" ref="DL45:DL47" si="75">IF(AND(E45&gt;0,OR(S45="")),1,IF(S45&gt;E45,1,0))</f>
        <v>1</v>
      </c>
      <c r="DM45" s="358">
        <f t="shared" ref="DM45:DM47" si="76">IF(AND(F45&gt;0,OR(T45="")),1,IF(T45&gt;F45,1,0))</f>
        <v>1</v>
      </c>
      <c r="DN45" s="352"/>
      <c r="DO45" s="352"/>
      <c r="DP45" s="352"/>
      <c r="DQ45" s="352"/>
      <c r="DR45" s="352"/>
      <c r="DS45" s="352"/>
      <c r="DT45" s="352"/>
      <c r="DU45" s="352"/>
      <c r="DV45" s="352"/>
      <c r="DW45" s="352"/>
    </row>
    <row r="46" spans="1:127" ht="23.25" customHeight="1" x14ac:dyDescent="0.3">
      <c r="A46" s="1641" t="s">
        <v>1020</v>
      </c>
      <c r="B46" s="1938"/>
      <c r="C46" s="102" t="s">
        <v>380</v>
      </c>
      <c r="D46" s="626" t="s">
        <v>1550</v>
      </c>
      <c r="E46" s="642" t="s">
        <v>1551</v>
      </c>
      <c r="F46" s="643" t="s">
        <v>1552</v>
      </c>
      <c r="G46" s="628" t="s">
        <v>1553</v>
      </c>
      <c r="H46" s="629" t="s">
        <v>1554</v>
      </c>
      <c r="I46" s="628" t="s">
        <v>1555</v>
      </c>
      <c r="J46" s="629" t="s">
        <v>1556</v>
      </c>
      <c r="K46" s="631" t="s">
        <v>1557</v>
      </c>
      <c r="L46" s="629" t="s">
        <v>1558</v>
      </c>
      <c r="M46" s="631" t="s">
        <v>1559</v>
      </c>
      <c r="N46" s="629" t="s">
        <v>1560</v>
      </c>
      <c r="O46" s="631" t="s">
        <v>1561</v>
      </c>
      <c r="P46" s="630" t="s">
        <v>1562</v>
      </c>
      <c r="Q46" s="632" t="s">
        <v>1563</v>
      </c>
      <c r="R46" s="654" t="s">
        <v>1564</v>
      </c>
      <c r="S46" s="631" t="s">
        <v>1565</v>
      </c>
      <c r="T46" s="629" t="s">
        <v>1566</v>
      </c>
      <c r="U46" s="1512" t="str">
        <f t="shared" si="68"/>
        <v xml:space="preserve"> * La variable Pueblos Originarios Hombres no puede ser Mayor al Total. * La variable Pueblos Originarios Mujeres no puede ser Mayor al Total. * La variable Migrantes Hombres no puede ser Mayor al Total. * La variable Migrantes Mujeres no puede ser Mayor al Total.</v>
      </c>
      <c r="V46" s="291"/>
      <c r="W46" s="291"/>
      <c r="X46" s="291"/>
      <c r="Y46" s="291"/>
      <c r="Z46" s="291"/>
      <c r="AA46" s="291"/>
      <c r="AB46" s="291"/>
      <c r="AC46" s="291"/>
      <c r="AD46" s="291"/>
      <c r="AE46" s="291"/>
      <c r="AF46" s="291"/>
      <c r="AG46" s="291"/>
      <c r="AH46" s="291"/>
      <c r="AI46" s="291"/>
      <c r="AJ46" s="291"/>
      <c r="AK46" s="291"/>
      <c r="AL46" s="291"/>
      <c r="AM46" s="291"/>
      <c r="AN46" s="291"/>
      <c r="AO46" s="291"/>
      <c r="AP46" s="291"/>
      <c r="AQ46" s="291"/>
      <c r="AR46" s="291"/>
      <c r="AS46" s="291"/>
      <c r="AT46" s="291"/>
      <c r="AU46" s="291"/>
      <c r="AV46" s="291"/>
      <c r="AW46" s="291"/>
      <c r="AX46" s="291"/>
      <c r="AY46" s="291"/>
      <c r="AZ46" s="291"/>
      <c r="BA46" s="291"/>
      <c r="BB46" s="291"/>
      <c r="BC46" s="291"/>
      <c r="BS46" s="960"/>
      <c r="BT46" s="960"/>
      <c r="BU46" s="960"/>
      <c r="BV46" s="960"/>
      <c r="BW46" s="960"/>
      <c r="BX46" s="960"/>
      <c r="BZ46" s="291"/>
      <c r="CA46" s="291"/>
      <c r="CB46" s="354"/>
      <c r="CC46" s="354"/>
      <c r="CD46" s="354"/>
      <c r="CE46" s="354"/>
      <c r="CF46" s="354"/>
      <c r="CG46" s="354"/>
      <c r="CH46" s="348" t="str">
        <f t="shared" si="69"/>
        <v xml:space="preserve"> * La variable Pueblos Originarios Hombres no puede ser Mayor al Total.</v>
      </c>
      <c r="CI46" s="348" t="str">
        <f t="shared" si="70"/>
        <v xml:space="preserve"> * La variable Pueblos Originarios Mujeres no puede ser Mayor al Total.</v>
      </c>
      <c r="CJ46" s="348" t="str">
        <f t="shared" si="71"/>
        <v xml:space="preserve"> * La variable Migrantes Hombres no puede ser Mayor al Total.</v>
      </c>
      <c r="CK46" s="348" t="str">
        <f t="shared" si="72"/>
        <v xml:space="preserve"> * La variable Migrantes Mujeres no puede ser Mayor al Total.</v>
      </c>
      <c r="CL46" s="354"/>
      <c r="CM46" s="354"/>
      <c r="CN46" s="354"/>
      <c r="CO46" s="354"/>
      <c r="CP46" s="354"/>
      <c r="CQ46" s="354"/>
      <c r="CR46" s="354"/>
      <c r="CS46" s="354"/>
      <c r="CT46" s="354"/>
      <c r="CU46" s="354"/>
      <c r="CV46" s="354"/>
      <c r="CW46" s="354"/>
      <c r="CX46" s="354"/>
      <c r="CY46" s="354"/>
      <c r="CZ46" s="354"/>
      <c r="DA46" s="354"/>
      <c r="DB46" s="354"/>
      <c r="DC46" s="354"/>
      <c r="DD46" s="354"/>
      <c r="DE46" s="352"/>
      <c r="DF46" s="352"/>
      <c r="DG46" s="352"/>
      <c r="DH46" s="352"/>
      <c r="DI46" s="352"/>
      <c r="DJ46" s="358">
        <f t="shared" si="73"/>
        <v>1</v>
      </c>
      <c r="DK46" s="358">
        <f t="shared" si="74"/>
        <v>1</v>
      </c>
      <c r="DL46" s="358">
        <f t="shared" si="75"/>
        <v>1</v>
      </c>
      <c r="DM46" s="358">
        <f t="shared" si="76"/>
        <v>1</v>
      </c>
      <c r="DN46" s="352"/>
      <c r="DO46" s="352"/>
      <c r="DP46" s="352"/>
      <c r="DQ46" s="352"/>
      <c r="DR46" s="352"/>
      <c r="DS46" s="352"/>
      <c r="DT46" s="352"/>
      <c r="DU46" s="352"/>
      <c r="DV46" s="352"/>
      <c r="DW46" s="352"/>
    </row>
    <row r="47" spans="1:127" ht="23.25" customHeight="1" x14ac:dyDescent="0.3">
      <c r="A47" s="1641" t="s">
        <v>1021</v>
      </c>
      <c r="B47" s="1938"/>
      <c r="C47" s="103" t="s">
        <v>381</v>
      </c>
      <c r="D47" s="633" t="s">
        <v>1550</v>
      </c>
      <c r="E47" s="644" t="s">
        <v>1551</v>
      </c>
      <c r="F47" s="645" t="s">
        <v>1552</v>
      </c>
      <c r="G47" s="588" t="s">
        <v>1553</v>
      </c>
      <c r="H47" s="589" t="s">
        <v>1554</v>
      </c>
      <c r="I47" s="588" t="s">
        <v>1555</v>
      </c>
      <c r="J47" s="589" t="s">
        <v>1556</v>
      </c>
      <c r="K47" s="591" t="s">
        <v>1557</v>
      </c>
      <c r="L47" s="589" t="s">
        <v>1558</v>
      </c>
      <c r="M47" s="591" t="s">
        <v>1559</v>
      </c>
      <c r="N47" s="589" t="s">
        <v>1560</v>
      </c>
      <c r="O47" s="591" t="s">
        <v>1561</v>
      </c>
      <c r="P47" s="590" t="s">
        <v>1562</v>
      </c>
      <c r="Q47" s="592" t="s">
        <v>1563</v>
      </c>
      <c r="R47" s="657" t="s">
        <v>1564</v>
      </c>
      <c r="S47" s="591" t="s">
        <v>1565</v>
      </c>
      <c r="T47" s="589" t="s">
        <v>1566</v>
      </c>
      <c r="U47" s="1512" t="str">
        <f t="shared" si="68"/>
        <v xml:space="preserve"> * La variable Pueblos Originarios Hombres no puede ser Mayor al Total. * La variable Pueblos Originarios Mujeres no puede ser Mayor al Total. * La variable Migrantes Hombres no puede ser Mayor al Total. * La variable Migrantes Mujeres no puede ser Mayor al Total.</v>
      </c>
      <c r="V47" s="291"/>
      <c r="W47" s="291"/>
      <c r="X47" s="291"/>
      <c r="Y47" s="291"/>
      <c r="Z47" s="291"/>
      <c r="AA47" s="291"/>
      <c r="AB47" s="291"/>
      <c r="AC47" s="291"/>
      <c r="AD47" s="291"/>
      <c r="AE47" s="291"/>
      <c r="AF47" s="291"/>
      <c r="AG47" s="291"/>
      <c r="AH47" s="291"/>
      <c r="AI47" s="291"/>
      <c r="AJ47" s="291"/>
      <c r="AK47" s="291"/>
      <c r="AL47" s="291"/>
      <c r="AM47" s="291"/>
      <c r="AN47" s="291"/>
      <c r="AO47" s="291"/>
      <c r="AP47" s="291"/>
      <c r="AQ47" s="291"/>
      <c r="AR47" s="291"/>
      <c r="AS47" s="291"/>
      <c r="AT47" s="291"/>
      <c r="AU47" s="291"/>
      <c r="AV47" s="291"/>
      <c r="AW47" s="291"/>
      <c r="AX47" s="291"/>
      <c r="AY47" s="291"/>
      <c r="AZ47" s="291"/>
      <c r="BA47" s="291"/>
      <c r="BB47" s="291"/>
      <c r="BC47" s="291"/>
      <c r="BS47" s="960"/>
      <c r="BT47" s="960"/>
      <c r="BU47" s="960"/>
      <c r="BV47" s="960"/>
      <c r="BW47" s="960"/>
      <c r="BX47" s="960"/>
      <c r="BZ47" s="291"/>
      <c r="CA47" s="291"/>
      <c r="CB47" s="354"/>
      <c r="CC47" s="354"/>
      <c r="CD47" s="354"/>
      <c r="CE47" s="354"/>
      <c r="CF47" s="354"/>
      <c r="CG47" s="354"/>
      <c r="CH47" s="348" t="str">
        <f t="shared" si="69"/>
        <v xml:space="preserve"> * La variable Pueblos Originarios Hombres no puede ser Mayor al Total.</v>
      </c>
      <c r="CI47" s="348" t="str">
        <f t="shared" si="70"/>
        <v xml:space="preserve"> * La variable Pueblos Originarios Mujeres no puede ser Mayor al Total.</v>
      </c>
      <c r="CJ47" s="348" t="str">
        <f t="shared" si="71"/>
        <v xml:space="preserve"> * La variable Migrantes Hombres no puede ser Mayor al Total.</v>
      </c>
      <c r="CK47" s="348" t="str">
        <f t="shared" si="72"/>
        <v xml:space="preserve"> * La variable Migrantes Mujeres no puede ser Mayor al Total.</v>
      </c>
      <c r="CL47" s="354"/>
      <c r="CM47" s="354"/>
      <c r="CN47" s="354"/>
      <c r="CO47" s="354"/>
      <c r="CP47" s="354"/>
      <c r="CQ47" s="354"/>
      <c r="CR47" s="354"/>
      <c r="CS47" s="354"/>
      <c r="CT47" s="354"/>
      <c r="CU47" s="354"/>
      <c r="CV47" s="354"/>
      <c r="CW47" s="354"/>
      <c r="CX47" s="354"/>
      <c r="CY47" s="354"/>
      <c r="CZ47" s="354"/>
      <c r="DA47" s="354"/>
      <c r="DB47" s="354"/>
      <c r="DC47" s="354"/>
      <c r="DD47" s="354"/>
      <c r="DE47" s="352"/>
      <c r="DF47" s="352"/>
      <c r="DG47" s="352"/>
      <c r="DH47" s="352"/>
      <c r="DI47" s="352"/>
      <c r="DJ47" s="358">
        <f t="shared" si="73"/>
        <v>1</v>
      </c>
      <c r="DK47" s="358">
        <f t="shared" si="74"/>
        <v>1</v>
      </c>
      <c r="DL47" s="358">
        <f t="shared" si="75"/>
        <v>1</v>
      </c>
      <c r="DM47" s="358">
        <f t="shared" si="76"/>
        <v>1</v>
      </c>
      <c r="DN47" s="352"/>
      <c r="DO47" s="352"/>
      <c r="DP47" s="352"/>
      <c r="DQ47" s="352"/>
      <c r="DR47" s="352"/>
      <c r="DS47" s="352"/>
      <c r="DT47" s="352"/>
      <c r="DU47" s="352"/>
      <c r="DV47" s="352"/>
      <c r="DW47" s="352"/>
    </row>
    <row r="48" spans="1:127" ht="23.25" customHeight="1" x14ac:dyDescent="0.3">
      <c r="A48" s="1642"/>
      <c r="B48" s="1938"/>
      <c r="C48" s="98" t="s">
        <v>13</v>
      </c>
      <c r="D48" s="607">
        <f t="shared" ref="D48:D58" si="77">+E48+F48</f>
        <v>0</v>
      </c>
      <c r="E48" s="595">
        <f>+G48+I48+K48+M48+O48</f>
        <v>0</v>
      </c>
      <c r="F48" s="604">
        <f>+H48+J48+L48+N48+P48</f>
        <v>0</v>
      </c>
      <c r="G48" s="595">
        <f>SUM(G45:G47)</f>
        <v>0</v>
      </c>
      <c r="H48" s="604">
        <f t="shared" ref="H48:P48" si="78">SUM(H45:H47)</f>
        <v>0</v>
      </c>
      <c r="I48" s="595">
        <f t="shared" si="78"/>
        <v>0</v>
      </c>
      <c r="J48" s="596">
        <f t="shared" si="78"/>
        <v>0</v>
      </c>
      <c r="K48" s="1037">
        <f t="shared" si="78"/>
        <v>0</v>
      </c>
      <c r="L48" s="596">
        <f t="shared" si="78"/>
        <v>0</v>
      </c>
      <c r="M48" s="1037">
        <f t="shared" si="78"/>
        <v>0</v>
      </c>
      <c r="N48" s="596">
        <f t="shared" si="78"/>
        <v>0</v>
      </c>
      <c r="O48" s="1037">
        <f t="shared" si="78"/>
        <v>0</v>
      </c>
      <c r="P48" s="637">
        <f t="shared" si="78"/>
        <v>0</v>
      </c>
      <c r="Q48" s="599">
        <f t="shared" ref="Q48:T48" si="79">SUM(Q45:Q47)</f>
        <v>0</v>
      </c>
      <c r="R48" s="1037">
        <f t="shared" si="79"/>
        <v>0</v>
      </c>
      <c r="S48" s="1037">
        <f t="shared" si="79"/>
        <v>0</v>
      </c>
      <c r="T48" s="604">
        <f t="shared" si="79"/>
        <v>0</v>
      </c>
      <c r="U48" s="1512"/>
      <c r="V48" s="960"/>
      <c r="W48" s="960"/>
      <c r="X48" s="960"/>
      <c r="Y48" s="960"/>
      <c r="Z48" s="960"/>
      <c r="AA48" s="960"/>
      <c r="AB48" s="960"/>
      <c r="AC48" s="960"/>
      <c r="AD48" s="960"/>
      <c r="AE48" s="960"/>
      <c r="AF48" s="960"/>
      <c r="AG48" s="960"/>
      <c r="AH48" s="960"/>
      <c r="AI48" s="960"/>
      <c r="AJ48" s="291"/>
      <c r="AK48" s="291"/>
      <c r="AL48" s="291"/>
      <c r="AM48" s="291"/>
      <c r="AN48" s="291"/>
      <c r="AO48" s="291"/>
      <c r="AP48" s="291"/>
      <c r="AQ48" s="291"/>
      <c r="AR48" s="291"/>
      <c r="AS48" s="291"/>
      <c r="AT48" s="291"/>
      <c r="AU48" s="291"/>
      <c r="AV48" s="291"/>
      <c r="AW48" s="291"/>
      <c r="AX48" s="291"/>
      <c r="AY48" s="291"/>
      <c r="AZ48" s="291"/>
      <c r="BA48" s="291"/>
      <c r="BB48" s="291"/>
      <c r="BC48" s="291"/>
      <c r="BS48" s="960"/>
      <c r="BT48" s="960"/>
      <c r="BU48" s="960"/>
      <c r="BV48" s="960"/>
      <c r="BW48" s="960"/>
      <c r="BX48" s="960"/>
      <c r="BZ48" s="291"/>
      <c r="CA48" s="291"/>
      <c r="CB48" s="354"/>
      <c r="CC48" s="354"/>
      <c r="CD48" s="354"/>
      <c r="CE48" s="354"/>
      <c r="CF48" s="354"/>
      <c r="CG48" s="354"/>
      <c r="CH48" s="354"/>
      <c r="CI48" s="354"/>
      <c r="CJ48" s="354"/>
      <c r="CK48" s="354"/>
      <c r="CL48" s="354"/>
      <c r="CM48" s="354"/>
      <c r="CN48" s="354"/>
      <c r="CO48" s="354"/>
      <c r="CP48" s="354"/>
      <c r="CQ48" s="354"/>
      <c r="CR48" s="354"/>
      <c r="CS48" s="354"/>
      <c r="CT48" s="354"/>
      <c r="CU48" s="354"/>
      <c r="CV48" s="354"/>
      <c r="CW48" s="354"/>
      <c r="CX48" s="354"/>
      <c r="CY48" s="354"/>
      <c r="CZ48" s="354"/>
      <c r="DA48" s="354"/>
      <c r="DB48" s="354"/>
      <c r="DC48" s="354"/>
      <c r="DD48" s="354"/>
      <c r="DE48" s="352"/>
      <c r="DF48" s="352"/>
      <c r="DG48" s="352"/>
      <c r="DH48" s="352"/>
      <c r="DI48" s="352"/>
      <c r="DJ48" s="352"/>
      <c r="DK48" s="352"/>
      <c r="DL48" s="352"/>
      <c r="DM48" s="352"/>
      <c r="DN48" s="352"/>
      <c r="DO48" s="352"/>
      <c r="DP48" s="352"/>
      <c r="DQ48" s="352"/>
      <c r="DR48" s="352"/>
      <c r="DS48" s="352"/>
      <c r="DT48" s="352"/>
      <c r="DU48" s="352"/>
      <c r="DV48" s="352"/>
      <c r="DW48" s="352"/>
    </row>
    <row r="49" spans="1:127" ht="23.25" customHeight="1" x14ac:dyDescent="0.3">
      <c r="A49" s="1641" t="s">
        <v>1022</v>
      </c>
      <c r="B49" s="1938"/>
      <c r="C49" s="104" t="s">
        <v>382</v>
      </c>
      <c r="D49" s="625" t="s">
        <v>1550</v>
      </c>
      <c r="E49" s="646" t="s">
        <v>1551</v>
      </c>
      <c r="F49" s="647" t="s">
        <v>1552</v>
      </c>
      <c r="G49" s="582" t="s">
        <v>1553</v>
      </c>
      <c r="H49" s="583" t="s">
        <v>1554</v>
      </c>
      <c r="I49" s="582" t="s">
        <v>1555</v>
      </c>
      <c r="J49" s="583" t="s">
        <v>1556</v>
      </c>
      <c r="K49" s="585" t="s">
        <v>1557</v>
      </c>
      <c r="L49" s="583" t="s">
        <v>1558</v>
      </c>
      <c r="M49" s="585" t="s">
        <v>1559</v>
      </c>
      <c r="N49" s="583" t="s">
        <v>1560</v>
      </c>
      <c r="O49" s="585" t="s">
        <v>1561</v>
      </c>
      <c r="P49" s="584" t="s">
        <v>1562</v>
      </c>
      <c r="Q49" s="586" t="s">
        <v>1563</v>
      </c>
      <c r="R49" s="653" t="s">
        <v>1564</v>
      </c>
      <c r="S49" s="585" t="s">
        <v>1565</v>
      </c>
      <c r="T49" s="583" t="s">
        <v>1566</v>
      </c>
      <c r="U49" s="1512" t="str">
        <f t="shared" si="68"/>
        <v xml:space="preserve"> * La variable Pueblos Originarios Hombres no puede ser Mayor al Total. * La variable Pueblos Originarios Mujeres no puede ser Mayor al Total. * La variable Migrantes Hombres no puede ser Mayor al Total. * La variable Migrantes Mujeres no puede ser Mayor al Total.</v>
      </c>
      <c r="V49" s="291"/>
      <c r="W49" s="291"/>
      <c r="X49" s="291"/>
      <c r="Y49" s="291"/>
      <c r="Z49" s="291"/>
      <c r="AA49" s="291"/>
      <c r="AB49" s="291"/>
      <c r="AC49" s="291"/>
      <c r="AD49" s="291"/>
      <c r="AE49" s="291"/>
      <c r="AF49" s="291"/>
      <c r="AG49" s="291"/>
      <c r="AH49" s="291"/>
      <c r="AI49" s="291"/>
      <c r="AJ49" s="291"/>
      <c r="AK49" s="291"/>
      <c r="AL49" s="291"/>
      <c r="AM49" s="291"/>
      <c r="AN49" s="291"/>
      <c r="AO49" s="291"/>
      <c r="AP49" s="291"/>
      <c r="AQ49" s="291"/>
      <c r="AR49" s="291"/>
      <c r="AS49" s="291"/>
      <c r="AT49" s="291"/>
      <c r="AU49" s="291"/>
      <c r="AV49" s="291"/>
      <c r="AW49" s="291"/>
      <c r="AX49" s="291"/>
      <c r="AY49" s="291"/>
      <c r="AZ49" s="291"/>
      <c r="BA49" s="291"/>
      <c r="BB49" s="291"/>
      <c r="BC49" s="291"/>
      <c r="BS49" s="960"/>
      <c r="BT49" s="960"/>
      <c r="BU49" s="960"/>
      <c r="BV49" s="960"/>
      <c r="BW49" s="960"/>
      <c r="BX49" s="960"/>
      <c r="BZ49" s="291"/>
      <c r="CA49" s="291"/>
      <c r="CB49" s="354"/>
      <c r="CC49" s="354"/>
      <c r="CD49" s="354"/>
      <c r="CE49" s="354"/>
      <c r="CF49" s="354"/>
      <c r="CG49" s="354"/>
      <c r="CH49" s="348" t="str">
        <f t="shared" ref="CH49:CH50" si="80">IF(AND(E49&gt;0,OR(Q49=""))," * No olvide digitar la variable Pueblos Originarios Hombres (Digite Cero si no tiene).",IF(Q49&gt;E49," * La variable Pueblos Originarios Hombres no puede ser Mayor al Total.",""))</f>
        <v xml:space="preserve"> * La variable Pueblos Originarios Hombres no puede ser Mayor al Total.</v>
      </c>
      <c r="CI49" s="348" t="str">
        <f t="shared" ref="CI49:CI50" si="81">IF(AND(F49&gt;0,OR(R49=""))," * No olvide digitar la variable Pueblos Originarios Mujeres (Digite Cero si no tiene).",IF(R49&gt;F49," * La variable Pueblos Originarios Mujeres no puede ser Mayor al Total.",""))</f>
        <v xml:space="preserve"> * La variable Pueblos Originarios Mujeres no puede ser Mayor al Total.</v>
      </c>
      <c r="CJ49" s="348" t="str">
        <f t="shared" ref="CJ49:CJ50" si="82">IF(AND(E49&gt;0,OR(S49=""))," * No olvide digitar la variable Migrantes Hombres (Digite Cero si no tiene).",IF(S49&gt;E49," * La variable Migrantes Hombres no puede ser Mayor al Total.",""))</f>
        <v xml:space="preserve"> * La variable Migrantes Hombres no puede ser Mayor al Total.</v>
      </c>
      <c r="CK49" s="348" t="str">
        <f t="shared" ref="CK49:CK50" si="83">IF(AND(F49&gt;0,OR(T49=""))," * No olvide digitar la variable Migrantes Mujeres (Digite Cero si no tiene).",IF(T49&gt;F49," * La variable Migrantes Mujeres no puede ser Mayor al Total.",""))</f>
        <v xml:space="preserve"> * La variable Migrantes Mujeres no puede ser Mayor al Total.</v>
      </c>
      <c r="CL49" s="354"/>
      <c r="CM49" s="354"/>
      <c r="CN49" s="354"/>
      <c r="CO49" s="354"/>
      <c r="CP49" s="354"/>
      <c r="CQ49" s="354"/>
      <c r="CR49" s="354"/>
      <c r="CS49" s="354"/>
      <c r="CT49" s="354"/>
      <c r="CU49" s="354"/>
      <c r="CV49" s="354"/>
      <c r="CW49" s="354"/>
      <c r="CX49" s="354"/>
      <c r="CY49" s="354"/>
      <c r="CZ49" s="354"/>
      <c r="DA49" s="354"/>
      <c r="DB49" s="354"/>
      <c r="DC49" s="354"/>
      <c r="DD49" s="354"/>
      <c r="DE49" s="352"/>
      <c r="DF49" s="352"/>
      <c r="DG49" s="352"/>
      <c r="DH49" s="352"/>
      <c r="DI49" s="352"/>
      <c r="DJ49" s="358">
        <f t="shared" ref="DJ49:DJ50" si="84">IF(AND(E49&gt;0,OR(Q49="")),1,IF(Q49&gt;E49,1,0))</f>
        <v>1</v>
      </c>
      <c r="DK49" s="358">
        <f t="shared" ref="DK49:DK50" si="85">IF(AND(F49&gt;0,OR(R49="")),1,IF(R49&gt;F49,1,0))</f>
        <v>1</v>
      </c>
      <c r="DL49" s="358">
        <f t="shared" ref="DL49:DL50" si="86">IF(AND(E49&gt;0,OR(S49="")),1,IF(S49&gt;E49,1,0))</f>
        <v>1</v>
      </c>
      <c r="DM49" s="358">
        <f t="shared" ref="DM49:DM50" si="87">IF(AND(F49&gt;0,OR(T49="")),1,IF(T49&gt;F49,1,0))</f>
        <v>1</v>
      </c>
      <c r="DN49" s="352"/>
      <c r="DO49" s="352"/>
      <c r="DP49" s="352"/>
      <c r="DQ49" s="352"/>
      <c r="DR49" s="352"/>
      <c r="DS49" s="352"/>
      <c r="DT49" s="352"/>
      <c r="DU49" s="352"/>
      <c r="DV49" s="352"/>
      <c r="DW49" s="352"/>
    </row>
    <row r="50" spans="1:127" ht="23.25" customHeight="1" x14ac:dyDescent="0.3">
      <c r="A50" s="1641" t="s">
        <v>1023</v>
      </c>
      <c r="B50" s="1938"/>
      <c r="C50" s="103" t="s">
        <v>383</v>
      </c>
      <c r="D50" s="633" t="s">
        <v>1550</v>
      </c>
      <c r="E50" s="644" t="s">
        <v>1551</v>
      </c>
      <c r="F50" s="645" t="s">
        <v>1552</v>
      </c>
      <c r="G50" s="588" t="s">
        <v>1553</v>
      </c>
      <c r="H50" s="589" t="s">
        <v>1554</v>
      </c>
      <c r="I50" s="588" t="s">
        <v>1555</v>
      </c>
      <c r="J50" s="589" t="s">
        <v>1556</v>
      </c>
      <c r="K50" s="591" t="s">
        <v>1557</v>
      </c>
      <c r="L50" s="589" t="s">
        <v>1558</v>
      </c>
      <c r="M50" s="591" t="s">
        <v>1559</v>
      </c>
      <c r="N50" s="589" t="s">
        <v>1560</v>
      </c>
      <c r="O50" s="591" t="s">
        <v>1561</v>
      </c>
      <c r="P50" s="590" t="s">
        <v>1562</v>
      </c>
      <c r="Q50" s="592" t="s">
        <v>1563</v>
      </c>
      <c r="R50" s="657" t="s">
        <v>1564</v>
      </c>
      <c r="S50" s="591" t="s">
        <v>1565</v>
      </c>
      <c r="T50" s="589" t="s">
        <v>1566</v>
      </c>
      <c r="U50" s="1512" t="str">
        <f t="shared" si="68"/>
        <v xml:space="preserve"> * La variable Pueblos Originarios Hombres no puede ser Mayor al Total. * La variable Pueblos Originarios Mujeres no puede ser Mayor al Total. * La variable Migrantes Hombres no puede ser Mayor al Total. * La variable Migrantes Mujeres no puede ser Mayor al Total.</v>
      </c>
      <c r="V50" s="291"/>
      <c r="W50" s="291"/>
      <c r="X50" s="291"/>
      <c r="Y50" s="291"/>
      <c r="Z50" s="291"/>
      <c r="AA50" s="291"/>
      <c r="AB50" s="291"/>
      <c r="AC50" s="291"/>
      <c r="AD50" s="291"/>
      <c r="AE50" s="291"/>
      <c r="AF50" s="291"/>
      <c r="AG50" s="291"/>
      <c r="AH50" s="291"/>
      <c r="AI50" s="291"/>
      <c r="AJ50" s="291"/>
      <c r="AK50" s="291"/>
      <c r="AL50" s="291"/>
      <c r="AM50" s="291"/>
      <c r="AN50" s="291"/>
      <c r="AO50" s="291"/>
      <c r="AP50" s="291"/>
      <c r="AQ50" s="291"/>
      <c r="AR50" s="291"/>
      <c r="AS50" s="291"/>
      <c r="AT50" s="291"/>
      <c r="AU50" s="291"/>
      <c r="AV50" s="291"/>
      <c r="AW50" s="291"/>
      <c r="AX50" s="291"/>
      <c r="AY50" s="291"/>
      <c r="AZ50" s="291"/>
      <c r="BA50" s="291"/>
      <c r="BB50" s="291"/>
      <c r="BC50" s="291"/>
      <c r="BS50" s="960"/>
      <c r="BT50" s="960"/>
      <c r="BU50" s="960"/>
      <c r="BV50" s="960"/>
      <c r="BW50" s="960"/>
      <c r="BX50" s="960"/>
      <c r="BZ50" s="291"/>
      <c r="CA50" s="291"/>
      <c r="CB50" s="354"/>
      <c r="CC50" s="354"/>
      <c r="CD50" s="354"/>
      <c r="CE50" s="354"/>
      <c r="CF50" s="354"/>
      <c r="CG50" s="354"/>
      <c r="CH50" s="348" t="str">
        <f t="shared" si="80"/>
        <v xml:space="preserve"> * La variable Pueblos Originarios Hombres no puede ser Mayor al Total.</v>
      </c>
      <c r="CI50" s="348" t="str">
        <f t="shared" si="81"/>
        <v xml:space="preserve"> * La variable Pueblos Originarios Mujeres no puede ser Mayor al Total.</v>
      </c>
      <c r="CJ50" s="348" t="str">
        <f t="shared" si="82"/>
        <v xml:space="preserve"> * La variable Migrantes Hombres no puede ser Mayor al Total.</v>
      </c>
      <c r="CK50" s="348" t="str">
        <f t="shared" si="83"/>
        <v xml:space="preserve"> * La variable Migrantes Mujeres no puede ser Mayor al Total.</v>
      </c>
      <c r="CL50" s="354"/>
      <c r="CM50" s="354"/>
      <c r="CN50" s="354"/>
      <c r="CO50" s="354"/>
      <c r="CP50" s="354"/>
      <c r="CQ50" s="354"/>
      <c r="CR50" s="354"/>
      <c r="CS50" s="354"/>
      <c r="CT50" s="354"/>
      <c r="CU50" s="354"/>
      <c r="CV50" s="354"/>
      <c r="CW50" s="354"/>
      <c r="CX50" s="354"/>
      <c r="CY50" s="354"/>
      <c r="CZ50" s="354"/>
      <c r="DA50" s="354"/>
      <c r="DB50" s="354"/>
      <c r="DC50" s="354"/>
      <c r="DD50" s="354"/>
      <c r="DE50" s="352"/>
      <c r="DF50" s="352"/>
      <c r="DG50" s="352"/>
      <c r="DH50" s="352"/>
      <c r="DI50" s="352"/>
      <c r="DJ50" s="358">
        <f t="shared" si="84"/>
        <v>1</v>
      </c>
      <c r="DK50" s="358">
        <f t="shared" si="85"/>
        <v>1</v>
      </c>
      <c r="DL50" s="358">
        <f t="shared" si="86"/>
        <v>1</v>
      </c>
      <c r="DM50" s="358">
        <f t="shared" si="87"/>
        <v>1</v>
      </c>
      <c r="DN50" s="352"/>
      <c r="DO50" s="352"/>
      <c r="DP50" s="352"/>
      <c r="DQ50" s="352"/>
      <c r="DR50" s="352"/>
      <c r="DS50" s="352"/>
      <c r="DT50" s="352"/>
      <c r="DU50" s="352"/>
      <c r="DV50" s="352"/>
      <c r="DW50" s="352"/>
    </row>
    <row r="51" spans="1:127" ht="23.25" customHeight="1" x14ac:dyDescent="0.3">
      <c r="A51" s="1639"/>
      <c r="B51" s="1938"/>
      <c r="C51" s="98" t="s">
        <v>13</v>
      </c>
      <c r="D51" s="607">
        <f t="shared" si="77"/>
        <v>0</v>
      </c>
      <c r="E51" s="595">
        <f>+G51+I51+K51+M51+O51</f>
        <v>0</v>
      </c>
      <c r="F51" s="604">
        <f>+H51+J51+L51+N51+P51</f>
        <v>0</v>
      </c>
      <c r="G51" s="608">
        <f>SUM(G49:G50)</f>
        <v>0</v>
      </c>
      <c r="H51" s="611">
        <f t="shared" ref="H51:P51" si="88">SUM(H49:H50)</f>
        <v>0</v>
      </c>
      <c r="I51" s="608">
        <f t="shared" si="88"/>
        <v>0</v>
      </c>
      <c r="J51" s="611">
        <f t="shared" si="88"/>
        <v>0</v>
      </c>
      <c r="K51" s="1039">
        <f t="shared" si="88"/>
        <v>0</v>
      </c>
      <c r="L51" s="611">
        <f t="shared" si="88"/>
        <v>0</v>
      </c>
      <c r="M51" s="1039">
        <f t="shared" si="88"/>
        <v>0</v>
      </c>
      <c r="N51" s="611">
        <f t="shared" si="88"/>
        <v>0</v>
      </c>
      <c r="O51" s="1039">
        <f t="shared" si="88"/>
        <v>0</v>
      </c>
      <c r="P51" s="610">
        <f t="shared" si="88"/>
        <v>0</v>
      </c>
      <c r="Q51" s="614">
        <f t="shared" ref="Q51:T51" si="89">SUM(Q49:Q50)</f>
        <v>0</v>
      </c>
      <c r="R51" s="1040">
        <f t="shared" si="89"/>
        <v>0</v>
      </c>
      <c r="S51" s="1039">
        <f t="shared" si="89"/>
        <v>0</v>
      </c>
      <c r="T51" s="611">
        <f t="shared" si="89"/>
        <v>0</v>
      </c>
      <c r="U51" s="1512"/>
      <c r="V51" s="960"/>
      <c r="W51" s="960"/>
      <c r="X51" s="960"/>
      <c r="Y51" s="960"/>
      <c r="Z51" s="960"/>
      <c r="AA51" s="960"/>
      <c r="AB51" s="960"/>
      <c r="AC51" s="960"/>
      <c r="AD51" s="960"/>
      <c r="AE51" s="960"/>
      <c r="AF51" s="960"/>
      <c r="AG51" s="960"/>
      <c r="AH51" s="960"/>
      <c r="AI51" s="960"/>
      <c r="AJ51" s="291"/>
      <c r="AK51" s="291"/>
      <c r="AL51" s="291"/>
      <c r="AM51" s="291"/>
      <c r="AN51" s="291"/>
      <c r="AO51" s="291"/>
      <c r="AP51" s="291"/>
      <c r="AQ51" s="291"/>
      <c r="AR51" s="291"/>
      <c r="AS51" s="291"/>
      <c r="AT51" s="291"/>
      <c r="AU51" s="291"/>
      <c r="AV51" s="291"/>
      <c r="AW51" s="291"/>
      <c r="AX51" s="291"/>
      <c r="AY51" s="291"/>
      <c r="AZ51" s="291"/>
      <c r="BA51" s="291"/>
      <c r="BB51" s="291"/>
      <c r="BC51" s="291"/>
      <c r="BS51" s="960"/>
      <c r="BT51" s="960"/>
      <c r="BU51" s="960"/>
      <c r="BV51" s="960"/>
      <c r="BW51" s="960"/>
      <c r="BX51" s="960"/>
      <c r="BZ51" s="291"/>
      <c r="CA51" s="291"/>
      <c r="CB51" s="354"/>
      <c r="CC51" s="354"/>
      <c r="CD51" s="354"/>
      <c r="CE51" s="354"/>
      <c r="CF51" s="354"/>
      <c r="CG51" s="354"/>
      <c r="CH51" s="354"/>
      <c r="CI51" s="354"/>
      <c r="CJ51" s="354"/>
      <c r="CK51" s="354"/>
      <c r="CL51" s="354"/>
      <c r="CM51" s="354"/>
      <c r="CN51" s="354"/>
      <c r="CO51" s="354"/>
      <c r="CP51" s="354"/>
      <c r="CQ51" s="354"/>
      <c r="CR51" s="354"/>
      <c r="CS51" s="354"/>
      <c r="CT51" s="354"/>
      <c r="CU51" s="354"/>
      <c r="CV51" s="354"/>
      <c r="CW51" s="354"/>
      <c r="CX51" s="354"/>
      <c r="CY51" s="354"/>
      <c r="CZ51" s="354"/>
      <c r="DA51" s="354"/>
      <c r="DB51" s="354"/>
      <c r="DC51" s="354"/>
      <c r="DD51" s="354"/>
      <c r="DE51" s="352"/>
      <c r="DF51" s="352"/>
      <c r="DG51" s="352"/>
      <c r="DH51" s="352"/>
      <c r="DI51" s="352"/>
      <c r="DJ51" s="352"/>
      <c r="DK51" s="352"/>
      <c r="DL51" s="352"/>
      <c r="DM51" s="352"/>
      <c r="DN51" s="352"/>
      <c r="DO51" s="352"/>
      <c r="DP51" s="352"/>
      <c r="DQ51" s="352"/>
      <c r="DR51" s="352"/>
      <c r="DS51" s="352"/>
      <c r="DT51" s="352"/>
      <c r="DU51" s="352"/>
      <c r="DV51" s="352"/>
      <c r="DW51" s="352"/>
    </row>
    <row r="52" spans="1:127" ht="23.25" customHeight="1" x14ac:dyDescent="0.3">
      <c r="A52" s="1637" t="s">
        <v>1024</v>
      </c>
      <c r="B52" s="1939"/>
      <c r="C52" s="98" t="s">
        <v>384</v>
      </c>
      <c r="D52" s="607" t="s">
        <v>1550</v>
      </c>
      <c r="E52" s="595" t="s">
        <v>1551</v>
      </c>
      <c r="F52" s="604" t="s">
        <v>1552</v>
      </c>
      <c r="G52" s="576" t="s">
        <v>1553</v>
      </c>
      <c r="H52" s="577" t="s">
        <v>1554</v>
      </c>
      <c r="I52" s="576" t="s">
        <v>1555</v>
      </c>
      <c r="J52" s="577" t="s">
        <v>1556</v>
      </c>
      <c r="K52" s="1042" t="s">
        <v>1557</v>
      </c>
      <c r="L52" s="577" t="s">
        <v>1558</v>
      </c>
      <c r="M52" s="1042" t="s">
        <v>1559</v>
      </c>
      <c r="N52" s="577" t="s">
        <v>1560</v>
      </c>
      <c r="O52" s="1042" t="s">
        <v>1561</v>
      </c>
      <c r="P52" s="1096" t="s">
        <v>1562</v>
      </c>
      <c r="Q52" s="1042" t="s">
        <v>1563</v>
      </c>
      <c r="R52" s="1044" t="s">
        <v>1564</v>
      </c>
      <c r="S52" s="1042" t="s">
        <v>1565</v>
      </c>
      <c r="T52" s="577" t="s">
        <v>1566</v>
      </c>
      <c r="U52" s="1512" t="str">
        <f t="shared" si="68"/>
        <v xml:space="preserve"> * La variable Pueblos Originarios Hombres no puede ser Mayor al Total. * La variable Pueblos Originarios Mujeres no puede ser Mayor al Total. * La variable Migrantes Hombres no puede ser Mayor al Total. * La variable Migrantes Mujeres no puede ser Mayor al Total.</v>
      </c>
      <c r="V52" s="291"/>
      <c r="W52" s="291"/>
      <c r="X52" s="291"/>
      <c r="Y52" s="291"/>
      <c r="Z52" s="291"/>
      <c r="AA52" s="291"/>
      <c r="AB52" s="291"/>
      <c r="AC52" s="291"/>
      <c r="AD52" s="291"/>
      <c r="AE52" s="291"/>
      <c r="AF52" s="291"/>
      <c r="AG52" s="291"/>
      <c r="AH52" s="291"/>
      <c r="AI52" s="291"/>
      <c r="AJ52" s="291"/>
      <c r="AK52" s="291"/>
      <c r="AL52" s="291"/>
      <c r="AM52" s="291"/>
      <c r="AN52" s="291"/>
      <c r="AO52" s="291"/>
      <c r="AP52" s="291"/>
      <c r="AQ52" s="291"/>
      <c r="AR52" s="291"/>
      <c r="AS52" s="291"/>
      <c r="AT52" s="291"/>
      <c r="AU52" s="291"/>
      <c r="AV52" s="291"/>
      <c r="AW52" s="291"/>
      <c r="AX52" s="291"/>
      <c r="AY52" s="291"/>
      <c r="AZ52" s="291"/>
      <c r="BA52" s="291"/>
      <c r="BB52" s="291"/>
      <c r="BC52" s="291"/>
      <c r="BS52" s="960"/>
      <c r="BT52" s="960"/>
      <c r="BU52" s="960"/>
      <c r="BV52" s="960"/>
      <c r="BW52" s="960"/>
      <c r="BX52" s="960"/>
      <c r="BZ52" s="291"/>
      <c r="CA52" s="291"/>
      <c r="CB52" s="354"/>
      <c r="CC52" s="354"/>
      <c r="CD52" s="354"/>
      <c r="CE52" s="354"/>
      <c r="CF52" s="354"/>
      <c r="CG52" s="354"/>
      <c r="CH52" s="348" t="str">
        <f>IF(AND(E52&gt;0,OR(Q52=""))," * No olvide digitar la variable Pueblos Originarios Hombres (Digite Cero si no tiene).",IF(Q52&gt;E52," * La variable Pueblos Originarios Hombres no puede ser Mayor al Total.",""))</f>
        <v xml:space="preserve"> * La variable Pueblos Originarios Hombres no puede ser Mayor al Total.</v>
      </c>
      <c r="CI52" s="348" t="str">
        <f>IF(AND(F52&gt;0,OR(R52=""))," * No olvide digitar la variable Pueblos Originarios Mujeres (Digite Cero si no tiene).",IF(R52&gt;F52," * La variable Pueblos Originarios Mujeres no puede ser Mayor al Total.",""))</f>
        <v xml:space="preserve"> * La variable Pueblos Originarios Mujeres no puede ser Mayor al Total.</v>
      </c>
      <c r="CJ52" s="348" t="str">
        <f>IF(AND(E52&gt;0,OR(S52=""))," * No olvide digitar la variable Migrantes Hombres (Digite Cero si no tiene).",IF(S52&gt;E52," * La variable Migrantes Hombres no puede ser Mayor al Total.",""))</f>
        <v xml:space="preserve"> * La variable Migrantes Hombres no puede ser Mayor al Total.</v>
      </c>
      <c r="CK52" s="348" t="str">
        <f>IF(AND(F52&gt;0,OR(T52=""))," * No olvide digitar la variable Migrantes Mujeres (Digite Cero si no tiene).",IF(T52&gt;F52," * La variable Migrantes Mujeres no puede ser Mayor al Total.",""))</f>
        <v xml:space="preserve"> * La variable Migrantes Mujeres no puede ser Mayor al Total.</v>
      </c>
      <c r="CL52" s="354"/>
      <c r="CM52" s="354"/>
      <c r="CN52" s="354"/>
      <c r="CO52" s="354"/>
      <c r="CP52" s="354"/>
      <c r="CQ52" s="354"/>
      <c r="CR52" s="354"/>
      <c r="CS52" s="354"/>
      <c r="CT52" s="354"/>
      <c r="CU52" s="354"/>
      <c r="CV52" s="354"/>
      <c r="CW52" s="354"/>
      <c r="CX52" s="354"/>
      <c r="CY52" s="354"/>
      <c r="CZ52" s="354"/>
      <c r="DA52" s="354"/>
      <c r="DB52" s="354"/>
      <c r="DC52" s="354"/>
      <c r="DD52" s="354"/>
      <c r="DE52" s="352"/>
      <c r="DF52" s="352"/>
      <c r="DG52" s="352"/>
      <c r="DH52" s="352"/>
      <c r="DI52" s="352"/>
      <c r="DJ52" s="358">
        <f t="shared" ref="DJ52:DJ54" si="90">IF(AND(E52&gt;0,OR(Q52="")),1,IF(Q52&gt;E52,1,0))</f>
        <v>1</v>
      </c>
      <c r="DK52" s="358">
        <f t="shared" ref="DK52:DK54" si="91">IF(AND(F52&gt;0,OR(R52="")),1,IF(R52&gt;F52,1,0))</f>
        <v>1</v>
      </c>
      <c r="DL52" s="358">
        <f t="shared" ref="DL52:DL54" si="92">IF(AND(E52&gt;0,OR(S52="")),1,IF(S52&gt;E52,1,0))</f>
        <v>1</v>
      </c>
      <c r="DM52" s="358">
        <f t="shared" ref="DM52:DM54" si="93">IF(AND(F52&gt;0,OR(T52="")),1,IF(T52&gt;F52,1,0))</f>
        <v>1</v>
      </c>
      <c r="DN52" s="352"/>
      <c r="DO52" s="352"/>
      <c r="DP52" s="352"/>
      <c r="DQ52" s="352"/>
      <c r="DR52" s="352"/>
      <c r="DS52" s="352"/>
      <c r="DT52" s="352"/>
      <c r="DU52" s="352"/>
      <c r="DV52" s="352"/>
      <c r="DW52" s="352"/>
    </row>
    <row r="53" spans="1:127" ht="23.25" customHeight="1" x14ac:dyDescent="0.3">
      <c r="A53" s="1637" t="s">
        <v>1025</v>
      </c>
      <c r="B53" s="1984" t="s">
        <v>98</v>
      </c>
      <c r="C53" s="1081" t="s">
        <v>385</v>
      </c>
      <c r="D53" s="1082" t="s">
        <v>1550</v>
      </c>
      <c r="E53" s="1083" t="s">
        <v>1551</v>
      </c>
      <c r="F53" s="1084" t="s">
        <v>1552</v>
      </c>
      <c r="G53" s="615" t="s">
        <v>1553</v>
      </c>
      <c r="H53" s="616" t="s">
        <v>1554</v>
      </c>
      <c r="I53" s="615" t="s">
        <v>1555</v>
      </c>
      <c r="J53" s="618" t="s">
        <v>1556</v>
      </c>
      <c r="K53" s="616" t="s">
        <v>1557</v>
      </c>
      <c r="L53" s="618" t="s">
        <v>1558</v>
      </c>
      <c r="M53" s="616" t="s">
        <v>1559</v>
      </c>
      <c r="N53" s="618" t="s">
        <v>1560</v>
      </c>
      <c r="O53" s="616" t="s">
        <v>1561</v>
      </c>
      <c r="P53" s="621" t="s">
        <v>1562</v>
      </c>
      <c r="Q53" s="620" t="s">
        <v>1563</v>
      </c>
      <c r="R53" s="1036" t="s">
        <v>1564</v>
      </c>
      <c r="S53" s="1036" t="s">
        <v>1565</v>
      </c>
      <c r="T53" s="618" t="s">
        <v>1566</v>
      </c>
      <c r="U53" s="1512" t="str">
        <f t="shared" si="68"/>
        <v xml:space="preserve"> * La variable Pueblos Originarios Hombres no puede ser Mayor al Total. * La variable Pueblos Originarios Mujeres no puede ser Mayor al Total. * La variable Migrantes Hombres no puede ser Mayor al Total. * La variable Migrantes Mujeres no puede ser Mayor al Total.</v>
      </c>
      <c r="V53" s="291"/>
      <c r="W53" s="291"/>
      <c r="X53" s="291"/>
      <c r="Y53" s="291"/>
      <c r="Z53" s="291"/>
      <c r="AA53" s="291"/>
      <c r="AB53" s="291"/>
      <c r="AC53" s="291"/>
      <c r="AD53" s="291"/>
      <c r="AE53" s="291"/>
      <c r="AF53" s="291"/>
      <c r="AG53" s="291"/>
      <c r="AH53" s="291"/>
      <c r="AI53" s="291"/>
      <c r="AJ53" s="291"/>
      <c r="AK53" s="291"/>
      <c r="AL53" s="291"/>
      <c r="AM53" s="291"/>
      <c r="AN53" s="291"/>
      <c r="AO53" s="291"/>
      <c r="AP53" s="291"/>
      <c r="AQ53" s="291"/>
      <c r="AR53" s="291"/>
      <c r="AS53" s="291"/>
      <c r="AT53" s="291"/>
      <c r="AU53" s="291"/>
      <c r="AV53" s="291"/>
      <c r="AW53" s="291"/>
      <c r="AX53" s="291"/>
      <c r="AY53" s="291"/>
      <c r="AZ53" s="291"/>
      <c r="BA53" s="291"/>
      <c r="BB53" s="291"/>
      <c r="BC53" s="291"/>
      <c r="BS53" s="960"/>
      <c r="BT53" s="960"/>
      <c r="BU53" s="960"/>
      <c r="BV53" s="960"/>
      <c r="BW53" s="960"/>
      <c r="BX53" s="960"/>
      <c r="BZ53" s="291"/>
      <c r="CA53" s="291"/>
      <c r="CB53" s="354"/>
      <c r="CC53" s="354"/>
      <c r="CD53" s="354"/>
      <c r="CE53" s="354"/>
      <c r="CF53" s="354"/>
      <c r="CG53" s="354"/>
      <c r="CH53" s="348" t="str">
        <f>IF(AND(E53&gt;0,OR(Q53=""))," * No olvide digitar la variable Pueblos Originarios Hombres (Digite Cero si no tiene).",IF(Q53&gt;E53," * La variable Pueblos Originarios Hombres no puede ser Mayor al Total.",""))</f>
        <v xml:space="preserve"> * La variable Pueblos Originarios Hombres no puede ser Mayor al Total.</v>
      </c>
      <c r="CI53" s="348" t="str">
        <f>IF(AND(F53&gt;0,OR(R53=""))," * No olvide digitar la variable Pueblos Originarios Mujeres (Digite Cero si no tiene).",IF(R53&gt;F53," * La variable Pueblos Originarios Mujeres no puede ser Mayor al Total.",""))</f>
        <v xml:space="preserve"> * La variable Pueblos Originarios Mujeres no puede ser Mayor al Total.</v>
      </c>
      <c r="CJ53" s="348" t="str">
        <f>IF(AND(E53&gt;0,OR(S53=""))," * No olvide digitar la variable Migrantes Hombres (Digite Cero si no tiene).",IF(S53&gt;E53," * La variable Migrantes Hombres no puede ser Mayor al Total.",""))</f>
        <v xml:space="preserve"> * La variable Migrantes Hombres no puede ser Mayor al Total.</v>
      </c>
      <c r="CK53" s="348" t="str">
        <f>IF(AND(F53&gt;0,OR(T53=""))," * No olvide digitar la variable Migrantes Mujeres (Digite Cero si no tiene).",IF(T53&gt;F53," * La variable Migrantes Mujeres no puede ser Mayor al Total.",""))</f>
        <v xml:space="preserve"> * La variable Migrantes Mujeres no puede ser Mayor al Total.</v>
      </c>
      <c r="CL53" s="354"/>
      <c r="CM53" s="354"/>
      <c r="CN53" s="354"/>
      <c r="CO53" s="354"/>
      <c r="CP53" s="354"/>
      <c r="CQ53" s="354"/>
      <c r="CR53" s="354"/>
      <c r="CS53" s="354"/>
      <c r="CT53" s="354"/>
      <c r="CU53" s="354"/>
      <c r="CV53" s="354"/>
      <c r="CW53" s="354"/>
      <c r="CX53" s="354"/>
      <c r="CY53" s="354"/>
      <c r="CZ53" s="354"/>
      <c r="DA53" s="354"/>
      <c r="DB53" s="354"/>
      <c r="DC53" s="354"/>
      <c r="DD53" s="354"/>
      <c r="DE53" s="352"/>
      <c r="DF53" s="352"/>
      <c r="DG53" s="352"/>
      <c r="DH53" s="352"/>
      <c r="DI53" s="352"/>
      <c r="DJ53" s="358">
        <f t="shared" si="90"/>
        <v>1</v>
      </c>
      <c r="DK53" s="358">
        <f t="shared" si="91"/>
        <v>1</v>
      </c>
      <c r="DL53" s="358">
        <f t="shared" si="92"/>
        <v>1</v>
      </c>
      <c r="DM53" s="358">
        <f t="shared" si="93"/>
        <v>1</v>
      </c>
      <c r="DN53" s="352"/>
      <c r="DO53" s="352"/>
      <c r="DP53" s="352"/>
      <c r="DQ53" s="352"/>
      <c r="DR53" s="352"/>
      <c r="DS53" s="352"/>
      <c r="DT53" s="352"/>
      <c r="DU53" s="352"/>
      <c r="DV53" s="352"/>
      <c r="DW53" s="352"/>
    </row>
    <row r="54" spans="1:127" ht="23.25" customHeight="1" x14ac:dyDescent="0.3">
      <c r="A54" s="1637" t="s">
        <v>1026</v>
      </c>
      <c r="B54" s="1985"/>
      <c r="C54" s="1085" t="s">
        <v>386</v>
      </c>
      <c r="D54" s="1086" t="s">
        <v>1550</v>
      </c>
      <c r="E54" s="1087" t="s">
        <v>1551</v>
      </c>
      <c r="F54" s="1088" t="s">
        <v>1552</v>
      </c>
      <c r="G54" s="588" t="s">
        <v>1553</v>
      </c>
      <c r="H54" s="591" t="s">
        <v>1554</v>
      </c>
      <c r="I54" s="588" t="s">
        <v>1555</v>
      </c>
      <c r="J54" s="589" t="s">
        <v>1556</v>
      </c>
      <c r="K54" s="591" t="s">
        <v>1557</v>
      </c>
      <c r="L54" s="589" t="s">
        <v>1558</v>
      </c>
      <c r="M54" s="591" t="s">
        <v>1559</v>
      </c>
      <c r="N54" s="589" t="s">
        <v>1560</v>
      </c>
      <c r="O54" s="591" t="s">
        <v>1561</v>
      </c>
      <c r="P54" s="593" t="s">
        <v>1562</v>
      </c>
      <c r="Q54" s="592" t="s">
        <v>1563</v>
      </c>
      <c r="R54" s="657" t="s">
        <v>1564</v>
      </c>
      <c r="S54" s="657" t="s">
        <v>1565</v>
      </c>
      <c r="T54" s="589" t="s">
        <v>1566</v>
      </c>
      <c r="U54" s="1512" t="str">
        <f t="shared" si="68"/>
        <v xml:space="preserve"> * La variable Pueblos Originarios Hombres no puede ser Mayor al Total. * La variable Pueblos Originarios Mujeres no puede ser Mayor al Total. * La variable Migrantes Hombres no puede ser Mayor al Total. * La variable Migrantes Mujeres no puede ser Mayor al Total.</v>
      </c>
      <c r="V54" s="291"/>
      <c r="W54" s="291"/>
      <c r="X54" s="291"/>
      <c r="Y54" s="291"/>
      <c r="Z54" s="291"/>
      <c r="AA54" s="291"/>
      <c r="AB54" s="291"/>
      <c r="AC54" s="291"/>
      <c r="AD54" s="291"/>
      <c r="AE54" s="291"/>
      <c r="AF54" s="291"/>
      <c r="AG54" s="291"/>
      <c r="AH54" s="291"/>
      <c r="AI54" s="291"/>
      <c r="AJ54" s="291"/>
      <c r="AK54" s="291"/>
      <c r="AL54" s="291"/>
      <c r="AM54" s="291"/>
      <c r="AN54" s="291"/>
      <c r="AO54" s="291"/>
      <c r="AP54" s="291"/>
      <c r="AQ54" s="291"/>
      <c r="AR54" s="291"/>
      <c r="AS54" s="291"/>
      <c r="AT54" s="291"/>
      <c r="AU54" s="291"/>
      <c r="AV54" s="291"/>
      <c r="AW54" s="291"/>
      <c r="AX54" s="291"/>
      <c r="AY54" s="291"/>
      <c r="AZ54" s="291"/>
      <c r="BA54" s="291"/>
      <c r="BB54" s="291"/>
      <c r="BC54" s="291"/>
      <c r="BS54" s="960"/>
      <c r="BT54" s="960"/>
      <c r="BU54" s="960"/>
      <c r="BV54" s="960"/>
      <c r="BW54" s="960"/>
      <c r="BX54" s="960"/>
      <c r="BZ54" s="291"/>
      <c r="CA54" s="291"/>
      <c r="CB54" s="354"/>
      <c r="CC54" s="354"/>
      <c r="CD54" s="354"/>
      <c r="CE54" s="354"/>
      <c r="CF54" s="354"/>
      <c r="CG54" s="354"/>
      <c r="CH54" s="348" t="str">
        <f>IF(AND(E54&gt;0,OR(Q54=""))," * No olvide digitar la variable Pueblos Originarios Hombres (Digite Cero si no tiene).",IF(Q54&gt;E54," * La variable Pueblos Originarios Hombres no puede ser Mayor al Total.",""))</f>
        <v xml:space="preserve"> * La variable Pueblos Originarios Hombres no puede ser Mayor al Total.</v>
      </c>
      <c r="CI54" s="348" t="str">
        <f>IF(AND(F54&gt;0,OR(R54=""))," * No olvide digitar la variable Pueblos Originarios Mujeres (Digite Cero si no tiene).",IF(R54&gt;F54," * La variable Pueblos Originarios Mujeres no puede ser Mayor al Total.",""))</f>
        <v xml:space="preserve"> * La variable Pueblos Originarios Mujeres no puede ser Mayor al Total.</v>
      </c>
      <c r="CJ54" s="348" t="str">
        <f>IF(AND(E54&gt;0,OR(S54=""))," * No olvide digitar la variable Migrantes Hombres (Digite Cero si no tiene).",IF(S54&gt;E54," * La variable Migrantes Hombres no puede ser Mayor al Total.",""))</f>
        <v xml:space="preserve"> * La variable Migrantes Hombres no puede ser Mayor al Total.</v>
      </c>
      <c r="CK54" s="348" t="str">
        <f>IF(AND(F54&gt;0,OR(T54=""))," * No olvide digitar la variable Migrantes Mujeres (Digite Cero si no tiene).",IF(T54&gt;F54," * La variable Migrantes Mujeres no puede ser Mayor al Total.",""))</f>
        <v xml:space="preserve"> * La variable Migrantes Mujeres no puede ser Mayor al Total.</v>
      </c>
      <c r="CL54" s="354"/>
      <c r="CM54" s="354"/>
      <c r="CN54" s="354"/>
      <c r="CO54" s="354"/>
      <c r="CP54" s="354"/>
      <c r="CQ54" s="354"/>
      <c r="CR54" s="354"/>
      <c r="CS54" s="354"/>
      <c r="CT54" s="354"/>
      <c r="CU54" s="354"/>
      <c r="CV54" s="354"/>
      <c r="CW54" s="354"/>
      <c r="CX54" s="354"/>
      <c r="CY54" s="354"/>
      <c r="CZ54" s="354"/>
      <c r="DA54" s="354"/>
      <c r="DB54" s="354"/>
      <c r="DC54" s="354"/>
      <c r="DD54" s="354"/>
      <c r="DE54" s="352"/>
      <c r="DF54" s="352"/>
      <c r="DG54" s="352"/>
      <c r="DH54" s="352"/>
      <c r="DI54" s="352"/>
      <c r="DJ54" s="358">
        <f t="shared" si="90"/>
        <v>1</v>
      </c>
      <c r="DK54" s="358">
        <f t="shared" si="91"/>
        <v>1</v>
      </c>
      <c r="DL54" s="358">
        <f t="shared" si="92"/>
        <v>1</v>
      </c>
      <c r="DM54" s="358">
        <f t="shared" si="93"/>
        <v>1</v>
      </c>
      <c r="DN54" s="352"/>
      <c r="DO54" s="352"/>
      <c r="DP54" s="352"/>
      <c r="DQ54" s="352"/>
      <c r="DR54" s="352"/>
      <c r="DS54" s="352"/>
      <c r="DT54" s="352"/>
      <c r="DU54" s="352"/>
      <c r="DV54" s="352"/>
      <c r="DW54" s="352"/>
    </row>
    <row r="55" spans="1:127" ht="23.25" customHeight="1" x14ac:dyDescent="0.3">
      <c r="A55" s="1639"/>
      <c r="B55" s="1985"/>
      <c r="C55" s="1089" t="s">
        <v>13</v>
      </c>
      <c r="D55" s="1090">
        <f t="shared" si="77"/>
        <v>0</v>
      </c>
      <c r="E55" s="608">
        <f>+G55+I55+K55+M55+O55</f>
        <v>0</v>
      </c>
      <c r="F55" s="609">
        <f>+H55+J55+L55+N55+P55</f>
        <v>0</v>
      </c>
      <c r="G55" s="608">
        <f>SUM(G53:G54)</f>
        <v>0</v>
      </c>
      <c r="H55" s="1039">
        <f t="shared" ref="H55:T55" si="94">SUM(H53:H54)</f>
        <v>0</v>
      </c>
      <c r="I55" s="608">
        <f t="shared" ref="I55:J55" si="95">SUM(I53:I54)</f>
        <v>0</v>
      </c>
      <c r="J55" s="611">
        <f t="shared" si="95"/>
        <v>0</v>
      </c>
      <c r="K55" s="1039">
        <f t="shared" ref="K55:L55" si="96">SUM(K53:K54)</f>
        <v>0</v>
      </c>
      <c r="L55" s="611">
        <f t="shared" si="96"/>
        <v>0</v>
      </c>
      <c r="M55" s="1039">
        <f t="shared" ref="M55:N55" si="97">SUM(M53:M54)</f>
        <v>0</v>
      </c>
      <c r="N55" s="611">
        <f t="shared" si="97"/>
        <v>0</v>
      </c>
      <c r="O55" s="1039">
        <f t="shared" si="94"/>
        <v>0</v>
      </c>
      <c r="P55" s="1500">
        <f t="shared" si="94"/>
        <v>0</v>
      </c>
      <c r="Q55" s="614">
        <f t="shared" si="94"/>
        <v>0</v>
      </c>
      <c r="R55" s="1040">
        <f t="shared" si="94"/>
        <v>0</v>
      </c>
      <c r="S55" s="1040">
        <f t="shared" si="94"/>
        <v>0</v>
      </c>
      <c r="T55" s="611">
        <f t="shared" si="94"/>
        <v>0</v>
      </c>
      <c r="U55" s="1512"/>
      <c r="V55" s="960"/>
      <c r="W55" s="960"/>
      <c r="X55" s="960"/>
      <c r="Y55" s="960"/>
      <c r="Z55" s="960"/>
      <c r="AA55" s="960"/>
      <c r="AB55" s="960"/>
      <c r="AC55" s="960"/>
      <c r="AD55" s="960"/>
      <c r="AE55" s="960"/>
      <c r="AF55" s="960"/>
      <c r="AG55" s="960"/>
      <c r="AH55" s="960"/>
      <c r="AI55" s="960"/>
      <c r="AJ55" s="291"/>
      <c r="AK55" s="291"/>
      <c r="AL55" s="291"/>
      <c r="AM55" s="291"/>
      <c r="AN55" s="291"/>
      <c r="AO55" s="291"/>
      <c r="AP55" s="291"/>
      <c r="AQ55" s="291"/>
      <c r="AR55" s="291"/>
      <c r="AS55" s="291"/>
      <c r="AT55" s="291"/>
      <c r="AU55" s="291"/>
      <c r="AV55" s="291"/>
      <c r="AW55" s="291"/>
      <c r="AX55" s="291"/>
      <c r="AY55" s="291"/>
      <c r="AZ55" s="291"/>
      <c r="BA55" s="291"/>
      <c r="BB55" s="291"/>
      <c r="BC55" s="291"/>
      <c r="BS55" s="960"/>
      <c r="BT55" s="960"/>
      <c r="BU55" s="960"/>
      <c r="BV55" s="960"/>
      <c r="BW55" s="960"/>
      <c r="BX55" s="960"/>
      <c r="BZ55" s="291"/>
      <c r="CA55" s="291"/>
      <c r="CB55" s="354"/>
      <c r="CC55" s="354"/>
      <c r="CD55" s="354"/>
      <c r="CE55" s="354"/>
      <c r="CF55" s="354"/>
      <c r="CG55" s="354"/>
      <c r="CH55" s="354"/>
      <c r="CI55" s="354"/>
      <c r="CJ55" s="354"/>
      <c r="CK55" s="354"/>
      <c r="CL55" s="354"/>
      <c r="CM55" s="354"/>
      <c r="CN55" s="354"/>
      <c r="CO55" s="354"/>
      <c r="CP55" s="354"/>
      <c r="CQ55" s="354"/>
      <c r="CR55" s="354"/>
      <c r="CS55" s="354"/>
      <c r="CT55" s="354"/>
      <c r="CU55" s="354"/>
      <c r="CV55" s="354"/>
      <c r="CW55" s="354"/>
      <c r="CX55" s="354"/>
      <c r="CY55" s="354"/>
      <c r="CZ55" s="354"/>
      <c r="DA55" s="354"/>
      <c r="DB55" s="354"/>
      <c r="DC55" s="354"/>
      <c r="DD55" s="354"/>
      <c r="DE55" s="352"/>
      <c r="DF55" s="352"/>
      <c r="DG55" s="352"/>
      <c r="DH55" s="352"/>
      <c r="DI55" s="352"/>
      <c r="DJ55" s="352"/>
      <c r="DK55" s="352"/>
      <c r="DL55" s="352"/>
      <c r="DM55" s="352"/>
      <c r="DN55" s="352"/>
      <c r="DO55" s="352"/>
      <c r="DP55" s="352"/>
      <c r="DQ55" s="352"/>
      <c r="DR55" s="352"/>
      <c r="DS55" s="352"/>
      <c r="DT55" s="352"/>
      <c r="DU55" s="352"/>
      <c r="DV55" s="352"/>
      <c r="DW55" s="352"/>
    </row>
    <row r="56" spans="1:127" ht="23.25" customHeight="1" x14ac:dyDescent="0.3">
      <c r="A56" s="1637" t="s">
        <v>1027</v>
      </c>
      <c r="B56" s="1985"/>
      <c r="C56" s="1091" t="s">
        <v>387</v>
      </c>
      <c r="D56" s="1082" t="s">
        <v>1550</v>
      </c>
      <c r="E56" s="1083" t="s">
        <v>1551</v>
      </c>
      <c r="F56" s="1084" t="s">
        <v>1552</v>
      </c>
      <c r="G56" s="615" t="s">
        <v>1553</v>
      </c>
      <c r="H56" s="616" t="s">
        <v>1554</v>
      </c>
      <c r="I56" s="615" t="s">
        <v>1555</v>
      </c>
      <c r="J56" s="618" t="s">
        <v>1556</v>
      </c>
      <c r="K56" s="616" t="s">
        <v>1557</v>
      </c>
      <c r="L56" s="618" t="s">
        <v>1558</v>
      </c>
      <c r="M56" s="616" t="s">
        <v>1559</v>
      </c>
      <c r="N56" s="618" t="s">
        <v>1560</v>
      </c>
      <c r="O56" s="616" t="s">
        <v>1561</v>
      </c>
      <c r="P56" s="621" t="s">
        <v>1562</v>
      </c>
      <c r="Q56" s="620" t="s">
        <v>1563</v>
      </c>
      <c r="R56" s="1036" t="s">
        <v>1564</v>
      </c>
      <c r="S56" s="1036" t="s">
        <v>1565</v>
      </c>
      <c r="T56" s="618" t="s">
        <v>1566</v>
      </c>
      <c r="U56" s="1512" t="str">
        <f t="shared" si="68"/>
        <v xml:space="preserve"> * La variable Pueblos Originarios Hombres no puede ser Mayor al Total. * La variable Pueblos Originarios Mujeres no puede ser Mayor al Total. * La variable Migrantes Hombres no puede ser Mayor al Total. * La variable Migrantes Mujeres no puede ser Mayor al Total.</v>
      </c>
      <c r="V56" s="291"/>
      <c r="W56" s="291"/>
      <c r="X56" s="291"/>
      <c r="Y56" s="291"/>
      <c r="Z56" s="291"/>
      <c r="AA56" s="291"/>
      <c r="AB56" s="291"/>
      <c r="AC56" s="291"/>
      <c r="AD56" s="291"/>
      <c r="AE56" s="291"/>
      <c r="AF56" s="291"/>
      <c r="AG56" s="291"/>
      <c r="AH56" s="291"/>
      <c r="AI56" s="291"/>
      <c r="AJ56" s="291"/>
      <c r="AK56" s="291"/>
      <c r="AL56" s="291"/>
      <c r="AM56" s="291"/>
      <c r="AN56" s="291"/>
      <c r="AO56" s="291"/>
      <c r="AP56" s="291"/>
      <c r="AQ56" s="291"/>
      <c r="AR56" s="291"/>
      <c r="AS56" s="291"/>
      <c r="AT56" s="291"/>
      <c r="AU56" s="291"/>
      <c r="AV56" s="291"/>
      <c r="AW56" s="291"/>
      <c r="AX56" s="291"/>
      <c r="AY56" s="291"/>
      <c r="AZ56" s="291"/>
      <c r="BA56" s="291"/>
      <c r="BB56" s="291"/>
      <c r="BC56" s="291"/>
      <c r="BS56" s="960"/>
      <c r="BT56" s="960"/>
      <c r="BU56" s="960"/>
      <c r="BV56" s="960"/>
      <c r="BW56" s="960"/>
      <c r="BX56" s="960"/>
      <c r="BZ56" s="291"/>
      <c r="CA56" s="291"/>
      <c r="CB56" s="354"/>
      <c r="CC56" s="354"/>
      <c r="CD56" s="354"/>
      <c r="CE56" s="354"/>
      <c r="CF56" s="354"/>
      <c r="CG56" s="354"/>
      <c r="CH56" s="348" t="str">
        <f t="shared" ref="CH56:CH57" si="98">IF(AND(E56&gt;0,OR(Q56=""))," * No olvide digitar la variable Pueblos Originarios Hombres (Digite Cero si no tiene).",IF(Q56&gt;E56," * La variable Pueblos Originarios Hombres no puede ser Mayor al Total.",""))</f>
        <v xml:space="preserve"> * La variable Pueblos Originarios Hombres no puede ser Mayor al Total.</v>
      </c>
      <c r="CI56" s="348" t="str">
        <f t="shared" ref="CI56:CI57" si="99">IF(AND(F56&gt;0,OR(R56=""))," * No olvide digitar la variable Pueblos Originarios Mujeres (Digite Cero si no tiene).",IF(R56&gt;F56," * La variable Pueblos Originarios Mujeres no puede ser Mayor al Total.",""))</f>
        <v xml:space="preserve"> * La variable Pueblos Originarios Mujeres no puede ser Mayor al Total.</v>
      </c>
      <c r="CJ56" s="348" t="str">
        <f t="shared" ref="CJ56:CJ57" si="100">IF(AND(E56&gt;0,OR(S56=""))," * No olvide digitar la variable Migrantes Hombres (Digite Cero si no tiene).",IF(S56&gt;E56," * La variable Migrantes Hombres no puede ser Mayor al Total.",""))</f>
        <v xml:space="preserve"> * La variable Migrantes Hombres no puede ser Mayor al Total.</v>
      </c>
      <c r="CK56" s="348" t="str">
        <f t="shared" ref="CK56:CK57" si="101">IF(AND(F56&gt;0,OR(T56=""))," * No olvide digitar la variable Migrantes Mujeres (Digite Cero si no tiene).",IF(T56&gt;F56," * La variable Migrantes Mujeres no puede ser Mayor al Total.",""))</f>
        <v xml:space="preserve"> * La variable Migrantes Mujeres no puede ser Mayor al Total.</v>
      </c>
      <c r="CL56" s="354"/>
      <c r="CM56" s="354"/>
      <c r="CN56" s="354"/>
      <c r="CO56" s="354"/>
      <c r="CP56" s="354"/>
      <c r="CQ56" s="354"/>
      <c r="CR56" s="354"/>
      <c r="CS56" s="354"/>
      <c r="CT56" s="354"/>
      <c r="CU56" s="354"/>
      <c r="CV56" s="354"/>
      <c r="CW56" s="354"/>
      <c r="CX56" s="354"/>
      <c r="CY56" s="354"/>
      <c r="CZ56" s="354"/>
      <c r="DA56" s="354"/>
      <c r="DB56" s="354"/>
      <c r="DC56" s="354"/>
      <c r="DD56" s="354"/>
      <c r="DE56" s="352"/>
      <c r="DF56" s="352"/>
      <c r="DG56" s="352"/>
      <c r="DH56" s="352"/>
      <c r="DI56" s="352"/>
      <c r="DJ56" s="358">
        <f t="shared" ref="DJ56:DJ57" si="102">IF(AND(E56&gt;0,OR(Q56="")),1,IF(Q56&gt;E56,1,0))</f>
        <v>1</v>
      </c>
      <c r="DK56" s="358">
        <f t="shared" ref="DK56:DK57" si="103">IF(AND(F56&gt;0,OR(R56="")),1,IF(R56&gt;F56,1,0))</f>
        <v>1</v>
      </c>
      <c r="DL56" s="358">
        <f t="shared" ref="DL56:DL57" si="104">IF(AND(E56&gt;0,OR(S56="")),1,IF(S56&gt;E56,1,0))</f>
        <v>1</v>
      </c>
      <c r="DM56" s="358">
        <f t="shared" ref="DM56:DM57" si="105">IF(AND(F56&gt;0,OR(T56="")),1,IF(T56&gt;F56,1,0))</f>
        <v>1</v>
      </c>
      <c r="DN56" s="352"/>
      <c r="DO56" s="352"/>
      <c r="DP56" s="352"/>
      <c r="DQ56" s="352"/>
      <c r="DR56" s="352"/>
      <c r="DS56" s="352"/>
      <c r="DT56" s="352"/>
      <c r="DU56" s="352"/>
      <c r="DV56" s="352"/>
      <c r="DW56" s="352"/>
    </row>
    <row r="57" spans="1:127" ht="23.25" customHeight="1" x14ac:dyDescent="0.3">
      <c r="A57" s="1637" t="s">
        <v>1028</v>
      </c>
      <c r="B57" s="1985"/>
      <c r="C57" s="1085" t="s">
        <v>383</v>
      </c>
      <c r="D57" s="1086" t="s">
        <v>1550</v>
      </c>
      <c r="E57" s="1087" t="s">
        <v>1551</v>
      </c>
      <c r="F57" s="1088" t="s">
        <v>1552</v>
      </c>
      <c r="G57" s="588" t="s">
        <v>1553</v>
      </c>
      <c r="H57" s="591" t="s">
        <v>1554</v>
      </c>
      <c r="I57" s="588" t="s">
        <v>1555</v>
      </c>
      <c r="J57" s="589" t="s">
        <v>1556</v>
      </c>
      <c r="K57" s="591" t="s">
        <v>1557</v>
      </c>
      <c r="L57" s="589" t="s">
        <v>1558</v>
      </c>
      <c r="M57" s="591" t="s">
        <v>1559</v>
      </c>
      <c r="N57" s="589" t="s">
        <v>1560</v>
      </c>
      <c r="O57" s="591" t="s">
        <v>1561</v>
      </c>
      <c r="P57" s="593" t="s">
        <v>1562</v>
      </c>
      <c r="Q57" s="592" t="s">
        <v>1563</v>
      </c>
      <c r="R57" s="657" t="s">
        <v>1564</v>
      </c>
      <c r="S57" s="657" t="s">
        <v>1565</v>
      </c>
      <c r="T57" s="589" t="s">
        <v>1566</v>
      </c>
      <c r="U57" s="1512" t="str">
        <f t="shared" si="68"/>
        <v xml:space="preserve"> * La variable Pueblos Originarios Hombres no puede ser Mayor al Total. * La variable Pueblos Originarios Mujeres no puede ser Mayor al Total. * La variable Migrantes Hombres no puede ser Mayor al Total. * La variable Migrantes Mujeres no puede ser Mayor al Total.</v>
      </c>
      <c r="V57" s="291"/>
      <c r="W57" s="291"/>
      <c r="X57" s="291"/>
      <c r="Y57" s="291"/>
      <c r="Z57" s="291"/>
      <c r="AA57" s="291"/>
      <c r="AB57" s="291"/>
      <c r="AC57" s="291"/>
      <c r="AD57" s="291"/>
      <c r="AE57" s="291"/>
      <c r="AF57" s="291"/>
      <c r="AG57" s="291"/>
      <c r="AH57" s="291"/>
      <c r="AI57" s="291"/>
      <c r="AJ57" s="291"/>
      <c r="AK57" s="291"/>
      <c r="AL57" s="291"/>
      <c r="AM57" s="291"/>
      <c r="AN57" s="291"/>
      <c r="AO57" s="291"/>
      <c r="AP57" s="291"/>
      <c r="AQ57" s="291"/>
      <c r="AR57" s="291"/>
      <c r="AS57" s="291"/>
      <c r="AT57" s="291"/>
      <c r="AU57" s="291"/>
      <c r="AV57" s="291"/>
      <c r="AW57" s="291"/>
      <c r="AX57" s="291"/>
      <c r="AY57" s="291"/>
      <c r="AZ57" s="291"/>
      <c r="BA57" s="291"/>
      <c r="BB57" s="291"/>
      <c r="BC57" s="291"/>
      <c r="BS57" s="960"/>
      <c r="BT57" s="960"/>
      <c r="BU57" s="960"/>
      <c r="BV57" s="960"/>
      <c r="BW57" s="960"/>
      <c r="BX57" s="960"/>
      <c r="BZ57" s="291"/>
      <c r="CA57" s="291"/>
      <c r="CB57" s="354"/>
      <c r="CC57" s="354"/>
      <c r="CD57" s="354"/>
      <c r="CE57" s="354"/>
      <c r="CF57" s="354"/>
      <c r="CG57" s="354"/>
      <c r="CH57" s="348" t="str">
        <f t="shared" si="98"/>
        <v xml:space="preserve"> * La variable Pueblos Originarios Hombres no puede ser Mayor al Total.</v>
      </c>
      <c r="CI57" s="348" t="str">
        <f t="shared" si="99"/>
        <v xml:space="preserve"> * La variable Pueblos Originarios Mujeres no puede ser Mayor al Total.</v>
      </c>
      <c r="CJ57" s="348" t="str">
        <f t="shared" si="100"/>
        <v xml:space="preserve"> * La variable Migrantes Hombres no puede ser Mayor al Total.</v>
      </c>
      <c r="CK57" s="348" t="str">
        <f t="shared" si="101"/>
        <v xml:space="preserve"> * La variable Migrantes Mujeres no puede ser Mayor al Total.</v>
      </c>
      <c r="CL57" s="354"/>
      <c r="CM57" s="354"/>
      <c r="CN57" s="354"/>
      <c r="CO57" s="354"/>
      <c r="CP57" s="354"/>
      <c r="CQ57" s="354"/>
      <c r="CR57" s="354"/>
      <c r="CS57" s="354"/>
      <c r="CT57" s="354"/>
      <c r="CU57" s="354"/>
      <c r="CV57" s="354"/>
      <c r="CW57" s="354"/>
      <c r="CX57" s="354"/>
      <c r="CY57" s="354"/>
      <c r="CZ57" s="354"/>
      <c r="DA57" s="354"/>
      <c r="DB57" s="354"/>
      <c r="DC57" s="354"/>
      <c r="DD57" s="354"/>
      <c r="DE57" s="352"/>
      <c r="DF57" s="352"/>
      <c r="DG57" s="352"/>
      <c r="DH57" s="352"/>
      <c r="DI57" s="352"/>
      <c r="DJ57" s="358">
        <f t="shared" si="102"/>
        <v>1</v>
      </c>
      <c r="DK57" s="358">
        <f t="shared" si="103"/>
        <v>1</v>
      </c>
      <c r="DL57" s="358">
        <f t="shared" si="104"/>
        <v>1</v>
      </c>
      <c r="DM57" s="358">
        <f t="shared" si="105"/>
        <v>1</v>
      </c>
      <c r="DN57" s="352"/>
      <c r="DO57" s="352"/>
      <c r="DP57" s="352"/>
      <c r="DQ57" s="352"/>
      <c r="DR57" s="352"/>
      <c r="DS57" s="352"/>
      <c r="DT57" s="352"/>
      <c r="DU57" s="352"/>
      <c r="DV57" s="352"/>
      <c r="DW57" s="352"/>
    </row>
    <row r="58" spans="1:127" ht="23.25" customHeight="1" x14ac:dyDescent="0.3">
      <c r="A58" s="1639"/>
      <c r="B58" s="1985"/>
      <c r="C58" s="1089" t="s">
        <v>13</v>
      </c>
      <c r="D58" s="1090">
        <f t="shared" si="77"/>
        <v>0</v>
      </c>
      <c r="E58" s="608">
        <f>+G58+I58+K58+M58+O58</f>
        <v>0</v>
      </c>
      <c r="F58" s="609">
        <f>+H58+J58+L58+N58+P58</f>
        <v>0</v>
      </c>
      <c r="G58" s="608">
        <f>SUM(G56:G57)</f>
        <v>0</v>
      </c>
      <c r="H58" s="1039">
        <f t="shared" ref="H58:T58" si="106">SUM(H56:H57)</f>
        <v>0</v>
      </c>
      <c r="I58" s="608">
        <f t="shared" ref="I58:J58" si="107">SUM(I56:I57)</f>
        <v>0</v>
      </c>
      <c r="J58" s="611">
        <f t="shared" si="107"/>
        <v>0</v>
      </c>
      <c r="K58" s="1039">
        <f t="shared" ref="K58:L58" si="108">SUM(K56:K57)</f>
        <v>0</v>
      </c>
      <c r="L58" s="611">
        <f t="shared" si="108"/>
        <v>0</v>
      </c>
      <c r="M58" s="1039">
        <f t="shared" ref="M58:N58" si="109">SUM(M56:M57)</f>
        <v>0</v>
      </c>
      <c r="N58" s="611">
        <f t="shared" si="109"/>
        <v>0</v>
      </c>
      <c r="O58" s="1039">
        <f t="shared" si="106"/>
        <v>0</v>
      </c>
      <c r="P58" s="1500">
        <f t="shared" si="106"/>
        <v>0</v>
      </c>
      <c r="Q58" s="614">
        <f>SUM(Q56:Q57)</f>
        <v>0</v>
      </c>
      <c r="R58" s="1040">
        <f t="shared" si="106"/>
        <v>0</v>
      </c>
      <c r="S58" s="1040">
        <f t="shared" si="106"/>
        <v>0</v>
      </c>
      <c r="T58" s="611">
        <f t="shared" si="106"/>
        <v>0</v>
      </c>
      <c r="U58" s="1512"/>
      <c r="V58" s="960"/>
      <c r="W58" s="960"/>
      <c r="X58" s="960"/>
      <c r="Y58" s="960"/>
      <c r="Z58" s="960"/>
      <c r="AA58" s="960"/>
      <c r="AB58" s="960"/>
      <c r="AC58" s="960"/>
      <c r="AD58" s="960"/>
      <c r="AE58" s="960"/>
      <c r="AF58" s="960"/>
      <c r="AG58" s="960"/>
      <c r="AH58" s="960"/>
      <c r="AI58" s="960"/>
      <c r="AJ58" s="291"/>
      <c r="AK58" s="291"/>
      <c r="AL58" s="291"/>
      <c r="AM58" s="291"/>
      <c r="AN58" s="291"/>
      <c r="AO58" s="291"/>
      <c r="AP58" s="291"/>
      <c r="AQ58" s="291"/>
      <c r="AR58" s="291"/>
      <c r="AS58" s="291"/>
      <c r="AT58" s="291"/>
      <c r="AU58" s="291"/>
      <c r="AV58" s="291"/>
      <c r="AW58" s="291"/>
      <c r="AX58" s="291"/>
      <c r="AY58" s="291"/>
      <c r="AZ58" s="291"/>
      <c r="BA58" s="291"/>
      <c r="BB58" s="291"/>
      <c r="BC58" s="291"/>
      <c r="BS58" s="960"/>
      <c r="BT58" s="960"/>
      <c r="BU58" s="960"/>
      <c r="BV58" s="960"/>
      <c r="BW58" s="960"/>
      <c r="BX58" s="960"/>
      <c r="BZ58" s="291"/>
      <c r="CA58" s="291"/>
      <c r="CB58" s="354"/>
      <c r="CC58" s="354"/>
      <c r="CD58" s="354"/>
      <c r="CE58" s="354"/>
      <c r="CF58" s="354"/>
      <c r="CG58" s="354"/>
      <c r="CH58" s="354"/>
      <c r="CI58" s="354"/>
      <c r="CJ58" s="354"/>
      <c r="CK58" s="354"/>
      <c r="CL58" s="354"/>
      <c r="CM58" s="354"/>
      <c r="CN58" s="354"/>
      <c r="CO58" s="354"/>
      <c r="CP58" s="354"/>
      <c r="CQ58" s="354"/>
      <c r="CR58" s="354"/>
      <c r="CS58" s="354"/>
      <c r="CT58" s="354"/>
      <c r="CU58" s="354"/>
      <c r="CV58" s="354"/>
      <c r="CW58" s="354"/>
      <c r="CX58" s="354"/>
      <c r="CY58" s="354"/>
      <c r="CZ58" s="354"/>
      <c r="DA58" s="354"/>
      <c r="DB58" s="354"/>
      <c r="DC58" s="354"/>
      <c r="DD58" s="354"/>
      <c r="DE58" s="352"/>
      <c r="DF58" s="352"/>
      <c r="DG58" s="352"/>
      <c r="DH58" s="352"/>
      <c r="DI58" s="352"/>
      <c r="DJ58" s="352"/>
      <c r="DK58" s="352"/>
      <c r="DL58" s="352"/>
      <c r="DM58" s="352"/>
      <c r="DN58" s="352"/>
      <c r="DO58" s="352"/>
      <c r="DP58" s="352"/>
      <c r="DQ58" s="352"/>
      <c r="DR58" s="352"/>
      <c r="DS58" s="352"/>
      <c r="DT58" s="352"/>
      <c r="DU58" s="352"/>
      <c r="DV58" s="352"/>
      <c r="DW58" s="352"/>
    </row>
    <row r="59" spans="1:127" ht="23.25" customHeight="1" x14ac:dyDescent="0.3">
      <c r="A59" s="1637" t="s">
        <v>1029</v>
      </c>
      <c r="B59" s="1986"/>
      <c r="C59" s="1092" t="s">
        <v>384</v>
      </c>
      <c r="D59" s="1093" t="s">
        <v>1550</v>
      </c>
      <c r="E59" s="1094" t="s">
        <v>1551</v>
      </c>
      <c r="F59" s="1095" t="s">
        <v>1552</v>
      </c>
      <c r="G59" s="573" t="s">
        <v>1553</v>
      </c>
      <c r="H59" s="616" t="s">
        <v>1554</v>
      </c>
      <c r="I59" s="573" t="s">
        <v>1555</v>
      </c>
      <c r="J59" s="574" t="s">
        <v>1556</v>
      </c>
      <c r="K59" s="578" t="s">
        <v>1557</v>
      </c>
      <c r="L59" s="574" t="s">
        <v>1558</v>
      </c>
      <c r="M59" s="578" t="s">
        <v>1559</v>
      </c>
      <c r="N59" s="574" t="s">
        <v>1560</v>
      </c>
      <c r="O59" s="578" t="s">
        <v>1561</v>
      </c>
      <c r="P59" s="1097" t="s">
        <v>1562</v>
      </c>
      <c r="Q59" s="624" t="s">
        <v>1563</v>
      </c>
      <c r="R59" s="1045" t="s">
        <v>1564</v>
      </c>
      <c r="S59" s="1045" t="s">
        <v>1565</v>
      </c>
      <c r="T59" s="574" t="s">
        <v>1566</v>
      </c>
      <c r="U59" s="1512" t="str">
        <f t="shared" si="68"/>
        <v xml:space="preserve"> * La variable Pueblos Originarios Hombres no puede ser Mayor al Total. * La variable Pueblos Originarios Mujeres no puede ser Mayor al Total. * La variable Migrantes Hombres no puede ser Mayor al Total. * La variable Migrantes Mujeres no puede ser Mayor al Total.</v>
      </c>
      <c r="V59" s="291"/>
      <c r="W59" s="291"/>
      <c r="X59" s="291"/>
      <c r="Y59" s="291"/>
      <c r="Z59" s="291"/>
      <c r="AA59" s="291"/>
      <c r="AB59" s="291"/>
      <c r="AC59" s="291"/>
      <c r="AD59" s="291"/>
      <c r="AE59" s="291"/>
      <c r="AF59" s="291"/>
      <c r="AG59" s="291"/>
      <c r="AH59" s="291"/>
      <c r="AI59" s="291"/>
      <c r="AJ59" s="291"/>
      <c r="AK59" s="291"/>
      <c r="AL59" s="291"/>
      <c r="AM59" s="291"/>
      <c r="AN59" s="291"/>
      <c r="AO59" s="291"/>
      <c r="AP59" s="291"/>
      <c r="AQ59" s="291"/>
      <c r="AR59" s="291"/>
      <c r="AS59" s="291"/>
      <c r="AT59" s="291"/>
      <c r="AU59" s="291"/>
      <c r="AV59" s="291"/>
      <c r="AW59" s="291"/>
      <c r="AX59" s="291"/>
      <c r="AY59" s="291"/>
      <c r="AZ59" s="291"/>
      <c r="BA59" s="291"/>
      <c r="BB59" s="291"/>
      <c r="BC59" s="291"/>
      <c r="BS59" s="960"/>
      <c r="BT59" s="960"/>
      <c r="BU59" s="960"/>
      <c r="BV59" s="960"/>
      <c r="BW59" s="960"/>
      <c r="BX59" s="960"/>
      <c r="BZ59" s="291"/>
      <c r="CA59" s="291"/>
      <c r="CB59" s="354"/>
      <c r="CC59" s="354"/>
      <c r="CD59" s="354"/>
      <c r="CE59" s="354"/>
      <c r="CF59" s="354"/>
      <c r="CG59" s="354"/>
      <c r="CH59" s="348" t="str">
        <f t="shared" ref="CH59:CH62" si="110">IF(AND(E59&gt;0,OR(Q59=""))," * No olvide digitar la variable Pueblos Originarios Hombres (Digite Cero si no tiene).",IF(Q59&gt;E59," * La variable Pueblos Originarios Hombres no puede ser Mayor al Total.",""))</f>
        <v xml:space="preserve"> * La variable Pueblos Originarios Hombres no puede ser Mayor al Total.</v>
      </c>
      <c r="CI59" s="348" t="str">
        <f t="shared" ref="CI59:CI62" si="111">IF(AND(F59&gt;0,OR(R59=""))," * No olvide digitar la variable Pueblos Originarios Mujeres (Digite Cero si no tiene).",IF(R59&gt;F59," * La variable Pueblos Originarios Mujeres no puede ser Mayor al Total.",""))</f>
        <v xml:space="preserve"> * La variable Pueblos Originarios Mujeres no puede ser Mayor al Total.</v>
      </c>
      <c r="CJ59" s="348" t="str">
        <f t="shared" ref="CJ59:CJ62" si="112">IF(AND(E59&gt;0,OR(S59=""))," * No olvide digitar la variable Migrantes Hombres (Digite Cero si no tiene).",IF(S59&gt;E59," * La variable Migrantes Hombres no puede ser Mayor al Total.",""))</f>
        <v xml:space="preserve"> * La variable Migrantes Hombres no puede ser Mayor al Total.</v>
      </c>
      <c r="CK59" s="348" t="str">
        <f t="shared" ref="CK59:CK62" si="113">IF(AND(F59&gt;0,OR(T59=""))," * No olvide digitar la variable Migrantes Mujeres (Digite Cero si no tiene).",IF(T59&gt;F59," * La variable Migrantes Mujeres no puede ser Mayor al Total.",""))</f>
        <v xml:space="preserve"> * La variable Migrantes Mujeres no puede ser Mayor al Total.</v>
      </c>
      <c r="CL59" s="354"/>
      <c r="CM59" s="354"/>
      <c r="CN59" s="354"/>
      <c r="CO59" s="354"/>
      <c r="CP59" s="354"/>
      <c r="CQ59" s="354"/>
      <c r="CR59" s="354"/>
      <c r="CS59" s="354"/>
      <c r="CT59" s="354"/>
      <c r="CU59" s="354"/>
      <c r="CV59" s="354"/>
      <c r="CW59" s="354"/>
      <c r="CX59" s="354"/>
      <c r="CY59" s="354"/>
      <c r="CZ59" s="354"/>
      <c r="DA59" s="354"/>
      <c r="DB59" s="354"/>
      <c r="DC59" s="354"/>
      <c r="DD59" s="354"/>
      <c r="DE59" s="352"/>
      <c r="DF59" s="352"/>
      <c r="DG59" s="352"/>
      <c r="DH59" s="352"/>
      <c r="DI59" s="352"/>
      <c r="DJ59" s="358">
        <f t="shared" ref="DJ59:DJ62" si="114">IF(AND(E59&gt;0,OR(Q59="")),1,IF(Q59&gt;E59,1,0))</f>
        <v>1</v>
      </c>
      <c r="DK59" s="358">
        <f t="shared" ref="DK59:DK62" si="115">IF(AND(F59&gt;0,OR(R59="")),1,IF(R59&gt;F59,1,0))</f>
        <v>1</v>
      </c>
      <c r="DL59" s="358">
        <f t="shared" ref="DL59:DL62" si="116">IF(AND(E59&gt;0,OR(S59="")),1,IF(S59&gt;E59,1,0))</f>
        <v>1</v>
      </c>
      <c r="DM59" s="358">
        <f t="shared" ref="DM59:DM62" si="117">IF(AND(F59&gt;0,OR(T59="")),1,IF(T59&gt;F59,1,0))</f>
        <v>1</v>
      </c>
      <c r="DN59" s="352"/>
      <c r="DO59" s="352"/>
      <c r="DP59" s="352"/>
      <c r="DQ59" s="352"/>
      <c r="DR59" s="352"/>
      <c r="DS59" s="352"/>
      <c r="DT59" s="352"/>
      <c r="DU59" s="352"/>
      <c r="DV59" s="352"/>
      <c r="DW59" s="352"/>
    </row>
    <row r="60" spans="1:127" ht="23.25" customHeight="1" x14ac:dyDescent="0.3">
      <c r="A60" s="1637" t="s">
        <v>1030</v>
      </c>
      <c r="B60" s="1987" t="s">
        <v>388</v>
      </c>
      <c r="C60" s="99" t="s">
        <v>389</v>
      </c>
      <c r="D60" s="625" t="s">
        <v>1550</v>
      </c>
      <c r="E60" s="646" t="s">
        <v>1551</v>
      </c>
      <c r="F60" s="647" t="s">
        <v>1552</v>
      </c>
      <c r="G60" s="582" t="s">
        <v>1553</v>
      </c>
      <c r="H60" s="583" t="s">
        <v>1554</v>
      </c>
      <c r="I60" s="582" t="s">
        <v>1555</v>
      </c>
      <c r="J60" s="583" t="s">
        <v>1556</v>
      </c>
      <c r="K60" s="585" t="s">
        <v>1557</v>
      </c>
      <c r="L60" s="583" t="s">
        <v>1558</v>
      </c>
      <c r="M60" s="585" t="s">
        <v>1559</v>
      </c>
      <c r="N60" s="583" t="s">
        <v>1560</v>
      </c>
      <c r="O60" s="585" t="s">
        <v>1561</v>
      </c>
      <c r="P60" s="584" t="s">
        <v>1562</v>
      </c>
      <c r="Q60" s="586" t="s">
        <v>1563</v>
      </c>
      <c r="R60" s="653" t="s">
        <v>1564</v>
      </c>
      <c r="S60" s="585" t="s">
        <v>1565</v>
      </c>
      <c r="T60" s="583" t="s">
        <v>1566</v>
      </c>
      <c r="U60" s="1512" t="str">
        <f t="shared" si="68"/>
        <v xml:space="preserve"> * La variable Pueblos Originarios Hombres no puede ser Mayor al Total. * La variable Pueblos Originarios Mujeres no puede ser Mayor al Total. * La variable Migrantes Hombres no puede ser Mayor al Total. * La variable Migrantes Mujeres no puede ser Mayor al Total.</v>
      </c>
      <c r="V60" s="291"/>
      <c r="W60" s="291"/>
      <c r="X60" s="291"/>
      <c r="Y60" s="291"/>
      <c r="Z60" s="291"/>
      <c r="AA60" s="291"/>
      <c r="AB60" s="291"/>
      <c r="AC60" s="291"/>
      <c r="AD60" s="291"/>
      <c r="AE60" s="291"/>
      <c r="AF60" s="291"/>
      <c r="AG60" s="291"/>
      <c r="AH60" s="291"/>
      <c r="AI60" s="291"/>
      <c r="AJ60" s="291"/>
      <c r="AK60" s="291"/>
      <c r="AL60" s="291"/>
      <c r="AM60" s="291"/>
      <c r="AN60" s="291"/>
      <c r="AO60" s="291"/>
      <c r="AP60" s="291"/>
      <c r="AQ60" s="291"/>
      <c r="AR60" s="291"/>
      <c r="AS60" s="291"/>
      <c r="AT60" s="291"/>
      <c r="AU60" s="291"/>
      <c r="AV60" s="291"/>
      <c r="AW60" s="291"/>
      <c r="AX60" s="291"/>
      <c r="AY60" s="291"/>
      <c r="AZ60" s="291"/>
      <c r="BA60" s="291"/>
      <c r="BB60" s="291"/>
      <c r="BC60" s="291"/>
      <c r="BS60" s="960"/>
      <c r="BT60" s="960"/>
      <c r="BU60" s="960"/>
      <c r="BV60" s="960"/>
      <c r="BW60" s="960"/>
      <c r="BX60" s="960"/>
      <c r="BZ60" s="291"/>
      <c r="CA60" s="291"/>
      <c r="CB60" s="354"/>
      <c r="CC60" s="354"/>
      <c r="CD60" s="354"/>
      <c r="CE60" s="354"/>
      <c r="CF60" s="354"/>
      <c r="CG60" s="354"/>
      <c r="CH60" s="348" t="str">
        <f t="shared" si="110"/>
        <v xml:space="preserve"> * La variable Pueblos Originarios Hombres no puede ser Mayor al Total.</v>
      </c>
      <c r="CI60" s="348" t="str">
        <f t="shared" si="111"/>
        <v xml:space="preserve"> * La variable Pueblos Originarios Mujeres no puede ser Mayor al Total.</v>
      </c>
      <c r="CJ60" s="348" t="str">
        <f t="shared" si="112"/>
        <v xml:space="preserve"> * La variable Migrantes Hombres no puede ser Mayor al Total.</v>
      </c>
      <c r="CK60" s="348" t="str">
        <f t="shared" si="113"/>
        <v xml:space="preserve"> * La variable Migrantes Mujeres no puede ser Mayor al Total.</v>
      </c>
      <c r="CL60" s="354"/>
      <c r="CM60" s="354"/>
      <c r="CN60" s="354"/>
      <c r="CO60" s="354"/>
      <c r="CP60" s="354"/>
      <c r="CQ60" s="354"/>
      <c r="CR60" s="354"/>
      <c r="CS60" s="354"/>
      <c r="CT60" s="354"/>
      <c r="CU60" s="354"/>
      <c r="CV60" s="354"/>
      <c r="CW60" s="354"/>
      <c r="CX60" s="354"/>
      <c r="CY60" s="354"/>
      <c r="CZ60" s="354"/>
      <c r="DA60" s="354"/>
      <c r="DB60" s="354"/>
      <c r="DC60" s="354"/>
      <c r="DD60" s="354"/>
      <c r="DE60" s="352"/>
      <c r="DF60" s="352"/>
      <c r="DG60" s="352"/>
      <c r="DH60" s="352"/>
      <c r="DI60" s="352"/>
      <c r="DJ60" s="358">
        <f t="shared" si="114"/>
        <v>1</v>
      </c>
      <c r="DK60" s="358">
        <f t="shared" si="115"/>
        <v>1</v>
      </c>
      <c r="DL60" s="358">
        <f t="shared" si="116"/>
        <v>1</v>
      </c>
      <c r="DM60" s="358">
        <f t="shared" si="117"/>
        <v>1</v>
      </c>
      <c r="DN60" s="352"/>
      <c r="DO60" s="352"/>
      <c r="DP60" s="352"/>
      <c r="DQ60" s="352"/>
      <c r="DR60" s="352"/>
      <c r="DS60" s="352"/>
      <c r="DT60" s="352"/>
      <c r="DU60" s="352"/>
      <c r="DV60" s="352"/>
      <c r="DW60" s="352"/>
    </row>
    <row r="61" spans="1:127" ht="23.25" customHeight="1" x14ac:dyDescent="0.3">
      <c r="A61" s="1637" t="s">
        <v>1031</v>
      </c>
      <c r="B61" s="1970"/>
      <c r="C61" s="94" t="s">
        <v>390</v>
      </c>
      <c r="D61" s="626" t="s">
        <v>1550</v>
      </c>
      <c r="E61" s="642" t="s">
        <v>1551</v>
      </c>
      <c r="F61" s="643" t="s">
        <v>1552</v>
      </c>
      <c r="G61" s="628" t="s">
        <v>1553</v>
      </c>
      <c r="H61" s="629" t="s">
        <v>1554</v>
      </c>
      <c r="I61" s="628" t="s">
        <v>1555</v>
      </c>
      <c r="J61" s="629" t="s">
        <v>1556</v>
      </c>
      <c r="K61" s="631" t="s">
        <v>1557</v>
      </c>
      <c r="L61" s="629" t="s">
        <v>1558</v>
      </c>
      <c r="M61" s="631" t="s">
        <v>1559</v>
      </c>
      <c r="N61" s="629" t="s">
        <v>1560</v>
      </c>
      <c r="O61" s="631" t="s">
        <v>1561</v>
      </c>
      <c r="P61" s="630" t="s">
        <v>1562</v>
      </c>
      <c r="Q61" s="632" t="s">
        <v>1563</v>
      </c>
      <c r="R61" s="654" t="s">
        <v>1564</v>
      </c>
      <c r="S61" s="631" t="s">
        <v>1565</v>
      </c>
      <c r="T61" s="629" t="s">
        <v>1566</v>
      </c>
      <c r="U61" s="1512" t="str">
        <f t="shared" si="68"/>
        <v xml:space="preserve"> * La variable Pueblos Originarios Hombres no puede ser Mayor al Total. * La variable Pueblos Originarios Mujeres no puede ser Mayor al Total. * La variable Migrantes Hombres no puede ser Mayor al Total. * La variable Migrantes Mujeres no puede ser Mayor al Total.</v>
      </c>
      <c r="V61" s="291"/>
      <c r="W61" s="291"/>
      <c r="X61" s="291"/>
      <c r="Y61" s="291"/>
      <c r="Z61" s="291"/>
      <c r="AA61" s="291"/>
      <c r="AB61" s="291"/>
      <c r="AC61" s="291"/>
      <c r="AD61" s="291"/>
      <c r="AE61" s="291"/>
      <c r="AF61" s="291"/>
      <c r="AG61" s="291"/>
      <c r="AH61" s="291"/>
      <c r="AI61" s="291"/>
      <c r="AJ61" s="291"/>
      <c r="AK61" s="291"/>
      <c r="AL61" s="291"/>
      <c r="AM61" s="291"/>
      <c r="AN61" s="291"/>
      <c r="AO61" s="291"/>
      <c r="AP61" s="291"/>
      <c r="AQ61" s="291"/>
      <c r="AR61" s="291"/>
      <c r="AS61" s="291"/>
      <c r="AT61" s="291"/>
      <c r="AU61" s="291"/>
      <c r="AV61" s="291"/>
      <c r="AW61" s="291"/>
      <c r="AX61" s="291"/>
      <c r="AY61" s="291"/>
      <c r="AZ61" s="291"/>
      <c r="BA61" s="291"/>
      <c r="BB61" s="291"/>
      <c r="BC61" s="291"/>
      <c r="BS61" s="960"/>
      <c r="BT61" s="960"/>
      <c r="BU61" s="960"/>
      <c r="BV61" s="960"/>
      <c r="BW61" s="960"/>
      <c r="BX61" s="960"/>
      <c r="BZ61" s="291"/>
      <c r="CA61" s="291"/>
      <c r="CB61" s="354"/>
      <c r="CC61" s="354"/>
      <c r="CD61" s="354"/>
      <c r="CE61" s="354"/>
      <c r="CF61" s="354"/>
      <c r="CG61" s="354"/>
      <c r="CH61" s="348" t="str">
        <f t="shared" si="110"/>
        <v xml:space="preserve"> * La variable Pueblos Originarios Hombres no puede ser Mayor al Total.</v>
      </c>
      <c r="CI61" s="348" t="str">
        <f t="shared" si="111"/>
        <v xml:space="preserve"> * La variable Pueblos Originarios Mujeres no puede ser Mayor al Total.</v>
      </c>
      <c r="CJ61" s="348" t="str">
        <f t="shared" si="112"/>
        <v xml:space="preserve"> * La variable Migrantes Hombres no puede ser Mayor al Total.</v>
      </c>
      <c r="CK61" s="348" t="str">
        <f t="shared" si="113"/>
        <v xml:space="preserve"> * La variable Migrantes Mujeres no puede ser Mayor al Total.</v>
      </c>
      <c r="CL61" s="354"/>
      <c r="CM61" s="354"/>
      <c r="CN61" s="354"/>
      <c r="CO61" s="354"/>
      <c r="CP61" s="354"/>
      <c r="CQ61" s="354"/>
      <c r="CR61" s="354"/>
      <c r="CS61" s="354"/>
      <c r="CT61" s="354"/>
      <c r="CU61" s="354"/>
      <c r="CV61" s="354"/>
      <c r="CW61" s="354"/>
      <c r="CX61" s="354"/>
      <c r="CY61" s="354"/>
      <c r="CZ61" s="354"/>
      <c r="DA61" s="354"/>
      <c r="DB61" s="354"/>
      <c r="DC61" s="354"/>
      <c r="DD61" s="354"/>
      <c r="DE61" s="352"/>
      <c r="DF61" s="352"/>
      <c r="DG61" s="352"/>
      <c r="DH61" s="352"/>
      <c r="DI61" s="352"/>
      <c r="DJ61" s="358">
        <f t="shared" si="114"/>
        <v>1</v>
      </c>
      <c r="DK61" s="358">
        <f t="shared" si="115"/>
        <v>1</v>
      </c>
      <c r="DL61" s="358">
        <f t="shared" si="116"/>
        <v>1</v>
      </c>
      <c r="DM61" s="358">
        <f t="shared" si="117"/>
        <v>1</v>
      </c>
      <c r="DN61" s="352"/>
      <c r="DO61" s="352"/>
      <c r="DP61" s="352"/>
      <c r="DQ61" s="352"/>
      <c r="DR61" s="352"/>
      <c r="DS61" s="352"/>
      <c r="DT61" s="352"/>
      <c r="DU61" s="352"/>
      <c r="DV61" s="352"/>
      <c r="DW61" s="352"/>
    </row>
    <row r="62" spans="1:127" ht="23.25" customHeight="1" x14ac:dyDescent="0.3">
      <c r="A62" s="1637" t="s">
        <v>1032</v>
      </c>
      <c r="B62" s="1970"/>
      <c r="C62" s="95" t="s">
        <v>391</v>
      </c>
      <c r="D62" s="633" t="s">
        <v>1550</v>
      </c>
      <c r="E62" s="644" t="s">
        <v>1551</v>
      </c>
      <c r="F62" s="645" t="s">
        <v>1552</v>
      </c>
      <c r="G62" s="588" t="s">
        <v>1553</v>
      </c>
      <c r="H62" s="589" t="s">
        <v>1554</v>
      </c>
      <c r="I62" s="588" t="s">
        <v>1555</v>
      </c>
      <c r="J62" s="589" t="s">
        <v>1556</v>
      </c>
      <c r="K62" s="591" t="s">
        <v>1557</v>
      </c>
      <c r="L62" s="589" t="s">
        <v>1558</v>
      </c>
      <c r="M62" s="591" t="s">
        <v>1559</v>
      </c>
      <c r="N62" s="589" t="s">
        <v>1560</v>
      </c>
      <c r="O62" s="591" t="s">
        <v>1561</v>
      </c>
      <c r="P62" s="590" t="s">
        <v>1562</v>
      </c>
      <c r="Q62" s="592" t="s">
        <v>1563</v>
      </c>
      <c r="R62" s="657" t="s">
        <v>1564</v>
      </c>
      <c r="S62" s="591" t="s">
        <v>1565</v>
      </c>
      <c r="T62" s="589" t="s">
        <v>1566</v>
      </c>
      <c r="U62" s="1512" t="str">
        <f t="shared" si="68"/>
        <v xml:space="preserve"> * La variable Pueblos Originarios Hombres no puede ser Mayor al Total. * La variable Pueblos Originarios Mujeres no puede ser Mayor al Total. * La variable Migrantes Hombres no puede ser Mayor al Total. * La variable Migrantes Mujeres no puede ser Mayor al Total.</v>
      </c>
      <c r="V62" s="291"/>
      <c r="W62" s="291"/>
      <c r="X62" s="291"/>
      <c r="Y62" s="291"/>
      <c r="Z62" s="291"/>
      <c r="AA62" s="291"/>
      <c r="AB62" s="291"/>
      <c r="AC62" s="291"/>
      <c r="AD62" s="291"/>
      <c r="AE62" s="291"/>
      <c r="AF62" s="291"/>
      <c r="AG62" s="291"/>
      <c r="AH62" s="291"/>
      <c r="AI62" s="291"/>
      <c r="AJ62" s="291"/>
      <c r="AK62" s="291"/>
      <c r="AL62" s="291"/>
      <c r="AM62" s="291"/>
      <c r="AN62" s="291"/>
      <c r="AO62" s="291"/>
      <c r="AP62" s="291"/>
      <c r="AQ62" s="291"/>
      <c r="AR62" s="291"/>
      <c r="AS62" s="291"/>
      <c r="AT62" s="291"/>
      <c r="AU62" s="291"/>
      <c r="AV62" s="291"/>
      <c r="AW62" s="291"/>
      <c r="AX62" s="291"/>
      <c r="AY62" s="291"/>
      <c r="AZ62" s="291"/>
      <c r="BA62" s="291"/>
      <c r="BB62" s="291"/>
      <c r="BC62" s="291"/>
      <c r="BS62" s="960"/>
      <c r="BT62" s="960"/>
      <c r="BU62" s="960"/>
      <c r="BV62" s="960"/>
      <c r="BW62" s="960"/>
      <c r="BX62" s="960"/>
      <c r="BZ62" s="291"/>
      <c r="CA62" s="291"/>
      <c r="CB62" s="354"/>
      <c r="CC62" s="354"/>
      <c r="CD62" s="354"/>
      <c r="CE62" s="354"/>
      <c r="CF62" s="354"/>
      <c r="CG62" s="354"/>
      <c r="CH62" s="348" t="str">
        <f t="shared" si="110"/>
        <v xml:space="preserve"> * La variable Pueblos Originarios Hombres no puede ser Mayor al Total.</v>
      </c>
      <c r="CI62" s="348" t="str">
        <f t="shared" si="111"/>
        <v xml:space="preserve"> * La variable Pueblos Originarios Mujeres no puede ser Mayor al Total.</v>
      </c>
      <c r="CJ62" s="348" t="str">
        <f t="shared" si="112"/>
        <v xml:space="preserve"> * La variable Migrantes Hombres no puede ser Mayor al Total.</v>
      </c>
      <c r="CK62" s="348" t="str">
        <f t="shared" si="113"/>
        <v xml:space="preserve"> * La variable Migrantes Mujeres no puede ser Mayor al Total.</v>
      </c>
      <c r="CL62" s="354"/>
      <c r="CM62" s="354"/>
      <c r="CN62" s="354"/>
      <c r="CO62" s="354"/>
      <c r="CP62" s="354"/>
      <c r="CQ62" s="354"/>
      <c r="CR62" s="354"/>
      <c r="CS62" s="354"/>
      <c r="CT62" s="354"/>
      <c r="CU62" s="354"/>
      <c r="CV62" s="354"/>
      <c r="CW62" s="354"/>
      <c r="CX62" s="354"/>
      <c r="CY62" s="354"/>
      <c r="CZ62" s="354"/>
      <c r="DA62" s="354"/>
      <c r="DB62" s="354"/>
      <c r="DC62" s="354"/>
      <c r="DD62" s="354"/>
      <c r="DE62" s="352"/>
      <c r="DF62" s="352"/>
      <c r="DG62" s="352"/>
      <c r="DH62" s="352"/>
      <c r="DI62" s="352"/>
      <c r="DJ62" s="358">
        <f t="shared" si="114"/>
        <v>1</v>
      </c>
      <c r="DK62" s="358">
        <f t="shared" si="115"/>
        <v>1</v>
      </c>
      <c r="DL62" s="358">
        <f t="shared" si="116"/>
        <v>1</v>
      </c>
      <c r="DM62" s="358">
        <f t="shared" si="117"/>
        <v>1</v>
      </c>
      <c r="DN62" s="352"/>
      <c r="DO62" s="352"/>
      <c r="DP62" s="352"/>
      <c r="DQ62" s="352"/>
      <c r="DR62" s="352"/>
      <c r="DS62" s="352"/>
      <c r="DT62" s="352"/>
      <c r="DU62" s="352"/>
      <c r="DV62" s="352"/>
      <c r="DW62" s="352"/>
    </row>
    <row r="63" spans="1:127" ht="23.25" customHeight="1" x14ac:dyDescent="0.3">
      <c r="A63" s="1639"/>
      <c r="B63" s="1971"/>
      <c r="C63" s="97" t="s">
        <v>13</v>
      </c>
      <c r="D63" s="607">
        <f>+E63+F63</f>
        <v>0</v>
      </c>
      <c r="E63" s="595">
        <f>+G63+I63+K63+M63+O63</f>
        <v>0</v>
      </c>
      <c r="F63" s="604">
        <f>+H63+J63+L63+N63+P63</f>
        <v>0</v>
      </c>
      <c r="G63" s="608">
        <f>SUM(G60:G62)</f>
        <v>0</v>
      </c>
      <c r="H63" s="611">
        <f t="shared" ref="H63:S63" si="118">SUM(H60:H62)</f>
        <v>0</v>
      </c>
      <c r="I63" s="608">
        <f t="shared" ref="I63:J63" si="119">SUM(I60:I62)</f>
        <v>0</v>
      </c>
      <c r="J63" s="611">
        <f t="shared" si="119"/>
        <v>0</v>
      </c>
      <c r="K63" s="1039">
        <f t="shared" ref="K63:L63" si="120">SUM(K60:K62)</f>
        <v>0</v>
      </c>
      <c r="L63" s="611">
        <f t="shared" si="120"/>
        <v>0</v>
      </c>
      <c r="M63" s="1039">
        <f t="shared" ref="M63:N63" si="121">SUM(M60:M62)</f>
        <v>0</v>
      </c>
      <c r="N63" s="611">
        <f t="shared" si="121"/>
        <v>0</v>
      </c>
      <c r="O63" s="1039">
        <f t="shared" si="118"/>
        <v>0</v>
      </c>
      <c r="P63" s="610">
        <f t="shared" si="118"/>
        <v>0</v>
      </c>
      <c r="Q63" s="614">
        <f>SUM(Q60:Q62)</f>
        <v>0</v>
      </c>
      <c r="R63" s="1040">
        <f t="shared" si="118"/>
        <v>0</v>
      </c>
      <c r="S63" s="1039">
        <f t="shared" si="118"/>
        <v>0</v>
      </c>
      <c r="T63" s="611">
        <f>SUM(T60:T62)</f>
        <v>0</v>
      </c>
      <c r="U63" s="1512"/>
      <c r="V63" s="291"/>
      <c r="W63" s="960"/>
      <c r="X63" s="960"/>
      <c r="Y63" s="960"/>
      <c r="Z63" s="960"/>
      <c r="AA63" s="960"/>
      <c r="AB63" s="960"/>
      <c r="AC63" s="960"/>
      <c r="AD63" s="960"/>
      <c r="AE63" s="960"/>
      <c r="AF63" s="960"/>
      <c r="AG63" s="960"/>
      <c r="AH63" s="960"/>
      <c r="AI63" s="960"/>
      <c r="AJ63" s="960"/>
      <c r="AK63" s="291"/>
      <c r="AL63" s="291"/>
      <c r="AM63" s="291"/>
      <c r="AN63" s="291"/>
      <c r="AO63" s="291"/>
      <c r="AP63" s="291"/>
      <c r="AQ63" s="291"/>
      <c r="AR63" s="291"/>
      <c r="AS63" s="291"/>
      <c r="AT63" s="291"/>
      <c r="AU63" s="291"/>
      <c r="AV63" s="291"/>
      <c r="AW63" s="291"/>
      <c r="AX63" s="291"/>
      <c r="AY63" s="291"/>
      <c r="AZ63" s="291"/>
      <c r="BA63" s="291"/>
      <c r="BB63" s="291"/>
      <c r="BC63" s="291"/>
      <c r="BS63" s="960"/>
      <c r="BT63" s="960"/>
      <c r="BU63" s="960"/>
      <c r="BV63" s="960"/>
      <c r="BW63" s="960"/>
      <c r="BX63" s="960"/>
      <c r="BZ63" s="291"/>
      <c r="CA63" s="291"/>
      <c r="CB63" s="354"/>
      <c r="CC63" s="354"/>
      <c r="CD63" s="354"/>
      <c r="CE63" s="354"/>
      <c r="CF63" s="354"/>
      <c r="CG63" s="354"/>
      <c r="CH63" s="354"/>
      <c r="CI63" s="354"/>
      <c r="CJ63" s="354"/>
      <c r="CK63" s="354"/>
      <c r="CL63" s="354"/>
      <c r="CM63" s="354"/>
      <c r="CN63" s="354"/>
      <c r="CO63" s="354"/>
      <c r="CP63" s="354"/>
      <c r="CQ63" s="354"/>
      <c r="CR63" s="354"/>
      <c r="CS63" s="354"/>
      <c r="CT63" s="354"/>
      <c r="CU63" s="354"/>
      <c r="CV63" s="354"/>
      <c r="CW63" s="354"/>
      <c r="CX63" s="354"/>
      <c r="CY63" s="354"/>
      <c r="CZ63" s="354"/>
      <c r="DA63" s="354"/>
      <c r="DB63" s="354"/>
      <c r="DC63" s="354"/>
      <c r="DD63" s="354"/>
      <c r="DE63" s="352"/>
      <c r="DF63" s="352"/>
      <c r="DG63" s="352"/>
      <c r="DH63" s="352"/>
      <c r="DI63" s="352"/>
      <c r="DJ63" s="352"/>
      <c r="DK63" s="352"/>
      <c r="DL63" s="352"/>
      <c r="DM63" s="352"/>
      <c r="DN63" s="352"/>
      <c r="DO63" s="352"/>
      <c r="DP63" s="352"/>
      <c r="DQ63" s="352"/>
      <c r="DR63" s="352"/>
      <c r="DS63" s="352"/>
      <c r="DT63" s="352"/>
      <c r="DU63" s="352"/>
      <c r="DV63" s="352"/>
      <c r="DW63" s="352"/>
    </row>
    <row r="64" spans="1:127" ht="22.5" customHeight="1" x14ac:dyDescent="0.3">
      <c r="A64" s="1637" t="s">
        <v>1033</v>
      </c>
      <c r="B64" s="1926" t="s">
        <v>99</v>
      </c>
      <c r="C64" s="99" t="s">
        <v>392</v>
      </c>
      <c r="D64" s="625" t="s">
        <v>1550</v>
      </c>
      <c r="E64" s="646" t="s">
        <v>1551</v>
      </c>
      <c r="F64" s="647" t="s">
        <v>1552</v>
      </c>
      <c r="G64" s="582" t="s">
        <v>1553</v>
      </c>
      <c r="H64" s="583" t="s">
        <v>1554</v>
      </c>
      <c r="I64" s="582" t="s">
        <v>1555</v>
      </c>
      <c r="J64" s="583" t="s">
        <v>1556</v>
      </c>
      <c r="K64" s="585" t="s">
        <v>1557</v>
      </c>
      <c r="L64" s="583" t="s">
        <v>1558</v>
      </c>
      <c r="M64" s="585" t="s">
        <v>1559</v>
      </c>
      <c r="N64" s="583" t="s">
        <v>1560</v>
      </c>
      <c r="O64" s="585" t="s">
        <v>1561</v>
      </c>
      <c r="P64" s="584" t="s">
        <v>1562</v>
      </c>
      <c r="Q64" s="586" t="s">
        <v>1563</v>
      </c>
      <c r="R64" s="653" t="s">
        <v>1564</v>
      </c>
      <c r="S64" s="585" t="s">
        <v>1565</v>
      </c>
      <c r="T64" s="583" t="s">
        <v>1566</v>
      </c>
      <c r="U64" s="1512" t="str">
        <f t="shared" si="68"/>
        <v xml:space="preserve"> * La variable Pueblos Originarios Hombres no puede ser Mayor al Total. * La variable Pueblos Originarios Mujeres no puede ser Mayor al Total. * La variable Migrantes Hombres no puede ser Mayor al Total. * La variable Migrantes Mujeres no puede ser Mayor al Total.</v>
      </c>
      <c r="V64" s="291"/>
      <c r="W64" s="291"/>
      <c r="X64" s="291"/>
      <c r="Y64" s="291"/>
      <c r="Z64" s="291"/>
      <c r="AA64" s="291"/>
      <c r="AB64" s="291"/>
      <c r="AC64" s="291"/>
      <c r="AD64" s="291"/>
      <c r="AE64" s="291"/>
      <c r="AF64" s="291"/>
      <c r="AG64" s="291"/>
      <c r="AH64" s="291"/>
      <c r="AI64" s="291"/>
      <c r="AJ64" s="291"/>
      <c r="AK64" s="291"/>
      <c r="AL64" s="291"/>
      <c r="AM64" s="291"/>
      <c r="AN64" s="291"/>
      <c r="AO64" s="291"/>
      <c r="AP64" s="291"/>
      <c r="AQ64" s="291"/>
      <c r="AR64" s="291"/>
      <c r="AS64" s="291"/>
      <c r="AT64" s="291"/>
      <c r="AU64" s="291"/>
      <c r="AV64" s="291"/>
      <c r="AW64" s="291"/>
      <c r="AX64" s="291"/>
      <c r="AY64" s="291"/>
      <c r="AZ64" s="291"/>
      <c r="BA64" s="291"/>
      <c r="BB64" s="291"/>
      <c r="BC64" s="291"/>
      <c r="BS64" s="960"/>
      <c r="BT64" s="960"/>
      <c r="BU64" s="960"/>
      <c r="BV64" s="960"/>
      <c r="BW64" s="960"/>
      <c r="BX64" s="960"/>
      <c r="BZ64" s="291"/>
      <c r="CA64" s="291"/>
      <c r="CB64" s="354"/>
      <c r="CC64" s="354"/>
      <c r="CD64" s="354"/>
      <c r="CE64" s="354"/>
      <c r="CF64" s="354"/>
      <c r="CG64" s="354"/>
      <c r="CH64" s="348" t="str">
        <f t="shared" ref="CH64:CH69" si="122">IF(AND(E64&gt;0,OR(Q64=""))," * No olvide digitar la variable Pueblos Originarios Hombres (Digite Cero si no tiene).",IF(Q64&gt;E64," * La variable Pueblos Originarios Hombres no puede ser Mayor al Total.",""))</f>
        <v xml:space="preserve"> * La variable Pueblos Originarios Hombres no puede ser Mayor al Total.</v>
      </c>
      <c r="CI64" s="348" t="str">
        <f t="shared" ref="CI64:CI69" si="123">IF(AND(F64&gt;0,OR(R64=""))," * No olvide digitar la variable Pueblos Originarios Mujeres (Digite Cero si no tiene).",IF(R64&gt;F64," * La variable Pueblos Originarios Mujeres no puede ser Mayor al Total.",""))</f>
        <v xml:space="preserve"> * La variable Pueblos Originarios Mujeres no puede ser Mayor al Total.</v>
      </c>
      <c r="CJ64" s="348" t="str">
        <f t="shared" ref="CJ64:CJ69" si="124">IF(AND(E64&gt;0,OR(S64=""))," * No olvide digitar la variable Migrantes Hombres (Digite Cero si no tiene).",IF(S64&gt;E64," * La variable Migrantes Hombres no puede ser Mayor al Total.",""))</f>
        <v xml:space="preserve"> * La variable Migrantes Hombres no puede ser Mayor al Total.</v>
      </c>
      <c r="CK64" s="348" t="str">
        <f t="shared" ref="CK64:CK69" si="125">IF(AND(F64&gt;0,OR(T64=""))," * No olvide digitar la variable Migrantes Mujeres (Digite Cero si no tiene).",IF(T64&gt;F64," * La variable Migrantes Mujeres no puede ser Mayor al Total.",""))</f>
        <v xml:space="preserve"> * La variable Migrantes Mujeres no puede ser Mayor al Total.</v>
      </c>
      <c r="CL64" s="354"/>
      <c r="CM64" s="354"/>
      <c r="CN64" s="354"/>
      <c r="CO64" s="354"/>
      <c r="CP64" s="354"/>
      <c r="CQ64" s="354"/>
      <c r="CR64" s="354"/>
      <c r="CS64" s="354"/>
      <c r="CT64" s="354"/>
      <c r="CU64" s="354"/>
      <c r="CV64" s="354"/>
      <c r="CW64" s="354"/>
      <c r="CX64" s="354"/>
      <c r="CY64" s="354"/>
      <c r="CZ64" s="354"/>
      <c r="DA64" s="354"/>
      <c r="DB64" s="354"/>
      <c r="DC64" s="354"/>
      <c r="DD64" s="354"/>
      <c r="DE64" s="352"/>
      <c r="DF64" s="352"/>
      <c r="DG64" s="352"/>
      <c r="DH64" s="352"/>
      <c r="DI64" s="352"/>
      <c r="DJ64" s="358">
        <f t="shared" ref="DJ64:DJ69" si="126">IF(AND(E64&gt;0,OR(Q64="")),1,IF(Q64&gt;E64,1,0))</f>
        <v>1</v>
      </c>
      <c r="DK64" s="358">
        <f t="shared" ref="DK64:DK69" si="127">IF(AND(F64&gt;0,OR(R64="")),1,IF(R64&gt;F64,1,0))</f>
        <v>1</v>
      </c>
      <c r="DL64" s="358">
        <f t="shared" ref="DL64:DL69" si="128">IF(AND(E64&gt;0,OR(S64="")),1,IF(S64&gt;E64,1,0))</f>
        <v>1</v>
      </c>
      <c r="DM64" s="358">
        <f t="shared" ref="DM64:DM69" si="129">IF(AND(F64&gt;0,OR(T64="")),1,IF(T64&gt;F64,1,0))</f>
        <v>1</v>
      </c>
      <c r="DN64" s="352"/>
      <c r="DO64" s="352"/>
      <c r="DP64" s="352"/>
      <c r="DQ64" s="352"/>
      <c r="DR64" s="352"/>
      <c r="DS64" s="352"/>
      <c r="DT64" s="352"/>
      <c r="DU64" s="352"/>
      <c r="DV64" s="352"/>
      <c r="DW64" s="352"/>
    </row>
    <row r="65" spans="1:127" ht="22.5" customHeight="1" x14ac:dyDescent="0.3">
      <c r="A65" s="1637" t="s">
        <v>1034</v>
      </c>
      <c r="B65" s="1927"/>
      <c r="C65" s="94" t="s">
        <v>100</v>
      </c>
      <c r="D65" s="626" t="s">
        <v>1550</v>
      </c>
      <c r="E65" s="642" t="s">
        <v>1551</v>
      </c>
      <c r="F65" s="643" t="s">
        <v>1552</v>
      </c>
      <c r="G65" s="628" t="s">
        <v>1553</v>
      </c>
      <c r="H65" s="629" t="s">
        <v>1554</v>
      </c>
      <c r="I65" s="628" t="s">
        <v>1555</v>
      </c>
      <c r="J65" s="629" t="s">
        <v>1556</v>
      </c>
      <c r="K65" s="631" t="s">
        <v>1557</v>
      </c>
      <c r="L65" s="629" t="s">
        <v>1558</v>
      </c>
      <c r="M65" s="631" t="s">
        <v>1559</v>
      </c>
      <c r="N65" s="629" t="s">
        <v>1560</v>
      </c>
      <c r="O65" s="631" t="s">
        <v>1561</v>
      </c>
      <c r="P65" s="630" t="s">
        <v>1562</v>
      </c>
      <c r="Q65" s="632" t="s">
        <v>1563</v>
      </c>
      <c r="R65" s="654" t="s">
        <v>1564</v>
      </c>
      <c r="S65" s="631" t="s">
        <v>1565</v>
      </c>
      <c r="T65" s="629" t="s">
        <v>1566</v>
      </c>
      <c r="U65" s="1512" t="str">
        <f t="shared" si="68"/>
        <v xml:space="preserve"> * La variable Pueblos Originarios Hombres no puede ser Mayor al Total. * La variable Pueblos Originarios Mujeres no puede ser Mayor al Total. * La variable Migrantes Hombres no puede ser Mayor al Total. * La variable Migrantes Mujeres no puede ser Mayor al Total.</v>
      </c>
      <c r="V65" s="291"/>
      <c r="W65" s="291"/>
      <c r="X65" s="291"/>
      <c r="Y65" s="291"/>
      <c r="Z65" s="291"/>
      <c r="AA65" s="291"/>
      <c r="AB65" s="291"/>
      <c r="AC65" s="291"/>
      <c r="AD65" s="291"/>
      <c r="AE65" s="291"/>
      <c r="AF65" s="291"/>
      <c r="AG65" s="291"/>
      <c r="AH65" s="291"/>
      <c r="AI65" s="291"/>
      <c r="AJ65" s="291"/>
      <c r="AK65" s="291"/>
      <c r="AL65" s="291"/>
      <c r="AM65" s="291"/>
      <c r="AN65" s="291"/>
      <c r="AO65" s="291"/>
      <c r="AP65" s="291"/>
      <c r="AQ65" s="291"/>
      <c r="AR65" s="291"/>
      <c r="AS65" s="291"/>
      <c r="AT65" s="291"/>
      <c r="AU65" s="291"/>
      <c r="AV65" s="291"/>
      <c r="AW65" s="291"/>
      <c r="AX65" s="291"/>
      <c r="AY65" s="291"/>
      <c r="AZ65" s="291"/>
      <c r="BA65" s="291"/>
      <c r="BB65" s="291"/>
      <c r="BC65" s="291"/>
      <c r="BS65" s="960"/>
      <c r="BT65" s="960"/>
      <c r="BU65" s="960"/>
      <c r="BV65" s="960"/>
      <c r="BW65" s="960"/>
      <c r="BX65" s="960"/>
      <c r="BZ65" s="291"/>
      <c r="CA65" s="291"/>
      <c r="CB65" s="354"/>
      <c r="CC65" s="354"/>
      <c r="CD65" s="354"/>
      <c r="CE65" s="354"/>
      <c r="CF65" s="354"/>
      <c r="CG65" s="354"/>
      <c r="CH65" s="348" t="str">
        <f t="shared" si="122"/>
        <v xml:space="preserve"> * La variable Pueblos Originarios Hombres no puede ser Mayor al Total.</v>
      </c>
      <c r="CI65" s="348" t="str">
        <f t="shared" si="123"/>
        <v xml:space="preserve"> * La variable Pueblos Originarios Mujeres no puede ser Mayor al Total.</v>
      </c>
      <c r="CJ65" s="348" t="str">
        <f t="shared" si="124"/>
        <v xml:space="preserve"> * La variable Migrantes Hombres no puede ser Mayor al Total.</v>
      </c>
      <c r="CK65" s="348" t="str">
        <f t="shared" si="125"/>
        <v xml:space="preserve"> * La variable Migrantes Mujeres no puede ser Mayor al Total.</v>
      </c>
      <c r="CL65" s="354"/>
      <c r="CM65" s="354"/>
      <c r="CN65" s="354"/>
      <c r="CO65" s="354"/>
      <c r="CP65" s="354"/>
      <c r="CQ65" s="354"/>
      <c r="CR65" s="354"/>
      <c r="CS65" s="354"/>
      <c r="CT65" s="354"/>
      <c r="CU65" s="354"/>
      <c r="CV65" s="354"/>
      <c r="CW65" s="354"/>
      <c r="CX65" s="354"/>
      <c r="CY65" s="354"/>
      <c r="CZ65" s="354"/>
      <c r="DA65" s="354"/>
      <c r="DB65" s="354"/>
      <c r="DC65" s="354"/>
      <c r="DD65" s="354"/>
      <c r="DE65" s="352"/>
      <c r="DF65" s="352"/>
      <c r="DG65" s="352"/>
      <c r="DH65" s="352"/>
      <c r="DI65" s="352"/>
      <c r="DJ65" s="358">
        <f t="shared" si="126"/>
        <v>1</v>
      </c>
      <c r="DK65" s="358">
        <f t="shared" si="127"/>
        <v>1</v>
      </c>
      <c r="DL65" s="358">
        <f t="shared" si="128"/>
        <v>1</v>
      </c>
      <c r="DM65" s="358">
        <f t="shared" si="129"/>
        <v>1</v>
      </c>
      <c r="DN65" s="352"/>
      <c r="DO65" s="352"/>
      <c r="DP65" s="352"/>
      <c r="DQ65" s="352"/>
      <c r="DR65" s="352"/>
      <c r="DS65" s="352"/>
      <c r="DT65" s="352"/>
      <c r="DU65" s="352"/>
      <c r="DV65" s="352"/>
      <c r="DW65" s="352"/>
    </row>
    <row r="66" spans="1:127" ht="22.5" customHeight="1" x14ac:dyDescent="0.3">
      <c r="A66" s="1637" t="s">
        <v>1035</v>
      </c>
      <c r="B66" s="1927"/>
      <c r="C66" s="94" t="s">
        <v>371</v>
      </c>
      <c r="D66" s="626" t="s">
        <v>1550</v>
      </c>
      <c r="E66" s="642" t="s">
        <v>1551</v>
      </c>
      <c r="F66" s="643" t="s">
        <v>1552</v>
      </c>
      <c r="G66" s="628" t="s">
        <v>1553</v>
      </c>
      <c r="H66" s="629" t="s">
        <v>1554</v>
      </c>
      <c r="I66" s="628" t="s">
        <v>1555</v>
      </c>
      <c r="J66" s="629" t="s">
        <v>1556</v>
      </c>
      <c r="K66" s="631" t="s">
        <v>1557</v>
      </c>
      <c r="L66" s="629" t="s">
        <v>1558</v>
      </c>
      <c r="M66" s="631" t="s">
        <v>1559</v>
      </c>
      <c r="N66" s="629" t="s">
        <v>1560</v>
      </c>
      <c r="O66" s="631" t="s">
        <v>1561</v>
      </c>
      <c r="P66" s="630" t="s">
        <v>1562</v>
      </c>
      <c r="Q66" s="632" t="s">
        <v>1563</v>
      </c>
      <c r="R66" s="654" t="s">
        <v>1564</v>
      </c>
      <c r="S66" s="631" t="s">
        <v>1565</v>
      </c>
      <c r="T66" s="629" t="s">
        <v>1566</v>
      </c>
      <c r="U66" s="1512" t="str">
        <f t="shared" si="68"/>
        <v xml:space="preserve"> * La variable Pueblos Originarios Hombres no puede ser Mayor al Total. * La variable Pueblos Originarios Mujeres no puede ser Mayor al Total. * La variable Migrantes Hombres no puede ser Mayor al Total. * La variable Migrantes Mujeres no puede ser Mayor al Total.</v>
      </c>
      <c r="V66" s="291"/>
      <c r="W66" s="291"/>
      <c r="X66" s="291"/>
      <c r="Y66" s="291"/>
      <c r="Z66" s="291"/>
      <c r="AA66" s="291"/>
      <c r="AB66" s="291"/>
      <c r="AC66" s="291"/>
      <c r="AD66" s="291"/>
      <c r="AE66" s="291"/>
      <c r="AF66" s="291"/>
      <c r="AG66" s="291"/>
      <c r="AH66" s="291"/>
      <c r="AI66" s="291"/>
      <c r="AJ66" s="291"/>
      <c r="AK66" s="291"/>
      <c r="AL66" s="291"/>
      <c r="AM66" s="291"/>
      <c r="AN66" s="291"/>
      <c r="AO66" s="291"/>
      <c r="AP66" s="291"/>
      <c r="AQ66" s="291"/>
      <c r="AR66" s="291"/>
      <c r="AS66" s="291"/>
      <c r="AT66" s="291"/>
      <c r="AU66" s="291"/>
      <c r="AV66" s="291"/>
      <c r="AW66" s="291"/>
      <c r="AX66" s="291"/>
      <c r="AY66" s="291"/>
      <c r="AZ66" s="291"/>
      <c r="BA66" s="291"/>
      <c r="BB66" s="291"/>
      <c r="BC66" s="291"/>
      <c r="BS66" s="960"/>
      <c r="BT66" s="960"/>
      <c r="BU66" s="960"/>
      <c r="BV66" s="960"/>
      <c r="BW66" s="960"/>
      <c r="BX66" s="960"/>
      <c r="BZ66" s="291"/>
      <c r="CA66" s="291"/>
      <c r="CB66" s="354"/>
      <c r="CC66" s="354"/>
      <c r="CD66" s="354"/>
      <c r="CE66" s="354"/>
      <c r="CF66" s="354"/>
      <c r="CG66" s="354"/>
      <c r="CH66" s="348" t="str">
        <f t="shared" si="122"/>
        <v xml:space="preserve"> * La variable Pueblos Originarios Hombres no puede ser Mayor al Total.</v>
      </c>
      <c r="CI66" s="348" t="str">
        <f t="shared" si="123"/>
        <v xml:space="preserve"> * La variable Pueblos Originarios Mujeres no puede ser Mayor al Total.</v>
      </c>
      <c r="CJ66" s="348" t="str">
        <f t="shared" si="124"/>
        <v xml:space="preserve"> * La variable Migrantes Hombres no puede ser Mayor al Total.</v>
      </c>
      <c r="CK66" s="348" t="str">
        <f t="shared" si="125"/>
        <v xml:space="preserve"> * La variable Migrantes Mujeres no puede ser Mayor al Total.</v>
      </c>
      <c r="CL66" s="354"/>
      <c r="CM66" s="354"/>
      <c r="CN66" s="354"/>
      <c r="CO66" s="354"/>
      <c r="CP66" s="354"/>
      <c r="CQ66" s="354"/>
      <c r="CR66" s="354"/>
      <c r="CS66" s="354"/>
      <c r="CT66" s="354"/>
      <c r="CU66" s="354"/>
      <c r="CV66" s="354"/>
      <c r="CW66" s="354"/>
      <c r="CX66" s="354"/>
      <c r="CY66" s="354"/>
      <c r="CZ66" s="354"/>
      <c r="DA66" s="354"/>
      <c r="DB66" s="354"/>
      <c r="DC66" s="354"/>
      <c r="DD66" s="354"/>
      <c r="DE66" s="352"/>
      <c r="DF66" s="352"/>
      <c r="DG66" s="352"/>
      <c r="DH66" s="352"/>
      <c r="DI66" s="352"/>
      <c r="DJ66" s="358">
        <f t="shared" si="126"/>
        <v>1</v>
      </c>
      <c r="DK66" s="358">
        <f t="shared" si="127"/>
        <v>1</v>
      </c>
      <c r="DL66" s="358">
        <f t="shared" si="128"/>
        <v>1</v>
      </c>
      <c r="DM66" s="358">
        <f t="shared" si="129"/>
        <v>1</v>
      </c>
      <c r="DN66" s="352"/>
      <c r="DO66" s="352"/>
      <c r="DP66" s="352"/>
      <c r="DQ66" s="352"/>
      <c r="DR66" s="352"/>
      <c r="DS66" s="352"/>
      <c r="DT66" s="352"/>
      <c r="DU66" s="352"/>
      <c r="DV66" s="352"/>
      <c r="DW66" s="352"/>
    </row>
    <row r="67" spans="1:127" ht="22.5" customHeight="1" x14ac:dyDescent="0.3">
      <c r="A67" s="1637" t="s">
        <v>1036</v>
      </c>
      <c r="B67" s="1927"/>
      <c r="C67" s="94" t="s">
        <v>101</v>
      </c>
      <c r="D67" s="626" t="s">
        <v>1550</v>
      </c>
      <c r="E67" s="642" t="s">
        <v>1551</v>
      </c>
      <c r="F67" s="643" t="s">
        <v>1552</v>
      </c>
      <c r="G67" s="628" t="s">
        <v>1553</v>
      </c>
      <c r="H67" s="629" t="s">
        <v>1554</v>
      </c>
      <c r="I67" s="628" t="s">
        <v>1555</v>
      </c>
      <c r="J67" s="629" t="s">
        <v>1556</v>
      </c>
      <c r="K67" s="631" t="s">
        <v>1557</v>
      </c>
      <c r="L67" s="629" t="s">
        <v>1558</v>
      </c>
      <c r="M67" s="631" t="s">
        <v>1559</v>
      </c>
      <c r="N67" s="629" t="s">
        <v>1560</v>
      </c>
      <c r="O67" s="631" t="s">
        <v>1561</v>
      </c>
      <c r="P67" s="630" t="s">
        <v>1562</v>
      </c>
      <c r="Q67" s="632" t="s">
        <v>1563</v>
      </c>
      <c r="R67" s="654" t="s">
        <v>1564</v>
      </c>
      <c r="S67" s="631" t="s">
        <v>1565</v>
      </c>
      <c r="T67" s="629" t="s">
        <v>1566</v>
      </c>
      <c r="U67" s="1512" t="str">
        <f t="shared" si="68"/>
        <v xml:space="preserve"> * La variable Pueblos Originarios Hombres no puede ser Mayor al Total. * La variable Pueblos Originarios Mujeres no puede ser Mayor al Total. * La variable Migrantes Hombres no puede ser Mayor al Total. * La variable Migrantes Mujeres no puede ser Mayor al Total.</v>
      </c>
      <c r="V67" s="291"/>
      <c r="W67" s="291"/>
      <c r="X67" s="291"/>
      <c r="Y67" s="291"/>
      <c r="Z67" s="291"/>
      <c r="AA67" s="291"/>
      <c r="AB67" s="291"/>
      <c r="AC67" s="291"/>
      <c r="AD67" s="291"/>
      <c r="AE67" s="291"/>
      <c r="AF67" s="291"/>
      <c r="AG67" s="291"/>
      <c r="AH67" s="291"/>
      <c r="AI67" s="291"/>
      <c r="AJ67" s="291"/>
      <c r="AK67" s="291"/>
      <c r="AL67" s="291"/>
      <c r="AM67" s="291"/>
      <c r="AN67" s="291"/>
      <c r="AO67" s="291"/>
      <c r="AP67" s="291"/>
      <c r="AQ67" s="291"/>
      <c r="AR67" s="291"/>
      <c r="AS67" s="291"/>
      <c r="AT67" s="291"/>
      <c r="AU67" s="291"/>
      <c r="AV67" s="291"/>
      <c r="AW67" s="291"/>
      <c r="AX67" s="291"/>
      <c r="AY67" s="291"/>
      <c r="AZ67" s="291"/>
      <c r="BA67" s="291"/>
      <c r="BB67" s="291"/>
      <c r="BC67" s="291"/>
      <c r="BS67" s="960"/>
      <c r="BT67" s="960"/>
      <c r="BU67" s="960"/>
      <c r="BV67" s="960"/>
      <c r="BW67" s="960"/>
      <c r="BX67" s="960"/>
      <c r="BZ67" s="291"/>
      <c r="CA67" s="291"/>
      <c r="CB67" s="354"/>
      <c r="CC67" s="354"/>
      <c r="CD67" s="354"/>
      <c r="CE67" s="354"/>
      <c r="CF67" s="354"/>
      <c r="CG67" s="354"/>
      <c r="CH67" s="348" t="str">
        <f t="shared" si="122"/>
        <v xml:space="preserve"> * La variable Pueblos Originarios Hombres no puede ser Mayor al Total.</v>
      </c>
      <c r="CI67" s="348" t="str">
        <f t="shared" si="123"/>
        <v xml:space="preserve"> * La variable Pueblos Originarios Mujeres no puede ser Mayor al Total.</v>
      </c>
      <c r="CJ67" s="348" t="str">
        <f t="shared" si="124"/>
        <v xml:space="preserve"> * La variable Migrantes Hombres no puede ser Mayor al Total.</v>
      </c>
      <c r="CK67" s="348" t="str">
        <f t="shared" si="125"/>
        <v xml:space="preserve"> * La variable Migrantes Mujeres no puede ser Mayor al Total.</v>
      </c>
      <c r="CL67" s="354"/>
      <c r="CM67" s="354"/>
      <c r="CN67" s="354"/>
      <c r="CO67" s="354"/>
      <c r="CP67" s="354"/>
      <c r="CQ67" s="354"/>
      <c r="CR67" s="354"/>
      <c r="CS67" s="354"/>
      <c r="CT67" s="354"/>
      <c r="CU67" s="354"/>
      <c r="CV67" s="354"/>
      <c r="CW67" s="354"/>
      <c r="CX67" s="354"/>
      <c r="CY67" s="354"/>
      <c r="CZ67" s="354"/>
      <c r="DA67" s="354"/>
      <c r="DB67" s="354"/>
      <c r="DC67" s="354"/>
      <c r="DD67" s="354"/>
      <c r="DE67" s="352"/>
      <c r="DF67" s="352"/>
      <c r="DG67" s="352"/>
      <c r="DH67" s="352"/>
      <c r="DI67" s="352"/>
      <c r="DJ67" s="358">
        <f t="shared" si="126"/>
        <v>1</v>
      </c>
      <c r="DK67" s="358">
        <f t="shared" si="127"/>
        <v>1</v>
      </c>
      <c r="DL67" s="358">
        <f t="shared" si="128"/>
        <v>1</v>
      </c>
      <c r="DM67" s="358">
        <f t="shared" si="129"/>
        <v>1</v>
      </c>
      <c r="DN67" s="352"/>
      <c r="DO67" s="352"/>
      <c r="DP67" s="352"/>
      <c r="DQ67" s="352"/>
      <c r="DR67" s="352"/>
      <c r="DS67" s="352"/>
      <c r="DT67" s="352"/>
      <c r="DU67" s="352"/>
      <c r="DV67" s="352"/>
      <c r="DW67" s="352"/>
    </row>
    <row r="68" spans="1:127" ht="22.5" customHeight="1" x14ac:dyDescent="0.3">
      <c r="A68" s="1637" t="s">
        <v>1037</v>
      </c>
      <c r="B68" s="1927"/>
      <c r="C68" s="94" t="s">
        <v>393</v>
      </c>
      <c r="D68" s="626" t="s">
        <v>1550</v>
      </c>
      <c r="E68" s="642" t="s">
        <v>1551</v>
      </c>
      <c r="F68" s="643" t="s">
        <v>1552</v>
      </c>
      <c r="G68" s="628" t="s">
        <v>1553</v>
      </c>
      <c r="H68" s="629" t="s">
        <v>1554</v>
      </c>
      <c r="I68" s="628" t="s">
        <v>1555</v>
      </c>
      <c r="J68" s="629" t="s">
        <v>1556</v>
      </c>
      <c r="K68" s="631" t="s">
        <v>1557</v>
      </c>
      <c r="L68" s="629" t="s">
        <v>1558</v>
      </c>
      <c r="M68" s="631" t="s">
        <v>1559</v>
      </c>
      <c r="N68" s="629" t="s">
        <v>1560</v>
      </c>
      <c r="O68" s="631" t="s">
        <v>1561</v>
      </c>
      <c r="P68" s="630" t="s">
        <v>1562</v>
      </c>
      <c r="Q68" s="632" t="s">
        <v>1563</v>
      </c>
      <c r="R68" s="654" t="s">
        <v>1564</v>
      </c>
      <c r="S68" s="631" t="s">
        <v>1565</v>
      </c>
      <c r="T68" s="629" t="s">
        <v>1566</v>
      </c>
      <c r="U68" s="1512" t="str">
        <f t="shared" si="68"/>
        <v xml:space="preserve"> * La variable Pueblos Originarios Hombres no puede ser Mayor al Total. * La variable Pueblos Originarios Mujeres no puede ser Mayor al Total. * La variable Migrantes Hombres no puede ser Mayor al Total. * La variable Migrantes Mujeres no puede ser Mayor al Total.</v>
      </c>
      <c r="V68" s="291"/>
      <c r="W68" s="291"/>
      <c r="X68" s="291"/>
      <c r="Y68" s="291"/>
      <c r="Z68" s="291"/>
      <c r="AA68" s="291"/>
      <c r="AB68" s="291"/>
      <c r="AC68" s="291"/>
      <c r="AD68" s="291"/>
      <c r="AE68" s="291"/>
      <c r="AF68" s="291"/>
      <c r="AG68" s="291"/>
      <c r="AH68" s="291"/>
      <c r="AI68" s="291"/>
      <c r="AJ68" s="291"/>
      <c r="AK68" s="291"/>
      <c r="AL68" s="291"/>
      <c r="AM68" s="291"/>
      <c r="AN68" s="291"/>
      <c r="AO68" s="291"/>
      <c r="AP68" s="291"/>
      <c r="AQ68" s="291"/>
      <c r="AR68" s="291"/>
      <c r="AS68" s="291"/>
      <c r="AT68" s="291"/>
      <c r="AU68" s="291"/>
      <c r="AV68" s="291"/>
      <c r="AW68" s="291"/>
      <c r="AX68" s="291"/>
      <c r="AY68" s="291"/>
      <c r="AZ68" s="291"/>
      <c r="BA68" s="291"/>
      <c r="BB68" s="291"/>
      <c r="BC68" s="291"/>
      <c r="BS68" s="960"/>
      <c r="BT68" s="960"/>
      <c r="BU68" s="960"/>
      <c r="BV68" s="960"/>
      <c r="BW68" s="960"/>
      <c r="BX68" s="960"/>
      <c r="BZ68" s="291"/>
      <c r="CA68" s="291"/>
      <c r="CB68" s="354"/>
      <c r="CC68" s="354"/>
      <c r="CD68" s="354"/>
      <c r="CE68" s="354"/>
      <c r="CF68" s="354"/>
      <c r="CG68" s="354"/>
      <c r="CH68" s="348" t="str">
        <f t="shared" si="122"/>
        <v xml:space="preserve"> * La variable Pueblos Originarios Hombres no puede ser Mayor al Total.</v>
      </c>
      <c r="CI68" s="348" t="str">
        <f t="shared" si="123"/>
        <v xml:space="preserve"> * La variable Pueblos Originarios Mujeres no puede ser Mayor al Total.</v>
      </c>
      <c r="CJ68" s="348" t="str">
        <f t="shared" si="124"/>
        <v xml:space="preserve"> * La variable Migrantes Hombres no puede ser Mayor al Total.</v>
      </c>
      <c r="CK68" s="348" t="str">
        <f t="shared" si="125"/>
        <v xml:space="preserve"> * La variable Migrantes Mujeres no puede ser Mayor al Total.</v>
      </c>
      <c r="CL68" s="354"/>
      <c r="CM68" s="354"/>
      <c r="CN68" s="354"/>
      <c r="CO68" s="354"/>
      <c r="CP68" s="354"/>
      <c r="CQ68" s="354"/>
      <c r="CR68" s="354"/>
      <c r="CS68" s="354"/>
      <c r="CT68" s="354"/>
      <c r="CU68" s="354"/>
      <c r="CV68" s="354"/>
      <c r="CW68" s="354"/>
      <c r="CX68" s="354"/>
      <c r="CY68" s="354"/>
      <c r="CZ68" s="354"/>
      <c r="DA68" s="354"/>
      <c r="DB68" s="354"/>
      <c r="DC68" s="354"/>
      <c r="DD68" s="354"/>
      <c r="DE68" s="352"/>
      <c r="DF68" s="352"/>
      <c r="DG68" s="352"/>
      <c r="DH68" s="352"/>
      <c r="DI68" s="352"/>
      <c r="DJ68" s="358">
        <f t="shared" si="126"/>
        <v>1</v>
      </c>
      <c r="DK68" s="358">
        <f t="shared" si="127"/>
        <v>1</v>
      </c>
      <c r="DL68" s="358">
        <f t="shared" si="128"/>
        <v>1</v>
      </c>
      <c r="DM68" s="358">
        <f t="shared" si="129"/>
        <v>1</v>
      </c>
      <c r="DN68" s="352"/>
      <c r="DO68" s="352"/>
      <c r="DP68" s="352"/>
      <c r="DQ68" s="352"/>
      <c r="DR68" s="352"/>
      <c r="DS68" s="352"/>
      <c r="DT68" s="352"/>
      <c r="DU68" s="352"/>
      <c r="DV68" s="352"/>
      <c r="DW68" s="352"/>
    </row>
    <row r="69" spans="1:127" ht="22.5" customHeight="1" x14ac:dyDescent="0.3">
      <c r="A69" s="1637" t="s">
        <v>1038</v>
      </c>
      <c r="B69" s="1927"/>
      <c r="C69" s="95" t="s">
        <v>51</v>
      </c>
      <c r="D69" s="633" t="s">
        <v>1550</v>
      </c>
      <c r="E69" s="644" t="s">
        <v>1551</v>
      </c>
      <c r="F69" s="645" t="s">
        <v>1552</v>
      </c>
      <c r="G69" s="588" t="s">
        <v>1553</v>
      </c>
      <c r="H69" s="589" t="s">
        <v>1554</v>
      </c>
      <c r="I69" s="588" t="s">
        <v>1555</v>
      </c>
      <c r="J69" s="589" t="s">
        <v>1556</v>
      </c>
      <c r="K69" s="591" t="s">
        <v>1557</v>
      </c>
      <c r="L69" s="589" t="s">
        <v>1558</v>
      </c>
      <c r="M69" s="591" t="s">
        <v>1559</v>
      </c>
      <c r="N69" s="589" t="s">
        <v>1560</v>
      </c>
      <c r="O69" s="591" t="s">
        <v>1561</v>
      </c>
      <c r="P69" s="590" t="s">
        <v>1562</v>
      </c>
      <c r="Q69" s="592" t="s">
        <v>1563</v>
      </c>
      <c r="R69" s="657" t="s">
        <v>1564</v>
      </c>
      <c r="S69" s="591" t="s">
        <v>1565</v>
      </c>
      <c r="T69" s="589" t="s">
        <v>1566</v>
      </c>
      <c r="U69" s="1512" t="str">
        <f t="shared" si="68"/>
        <v xml:space="preserve"> * La variable Pueblos Originarios Hombres no puede ser Mayor al Total. * La variable Pueblos Originarios Mujeres no puede ser Mayor al Total. * La variable Migrantes Hombres no puede ser Mayor al Total. * La variable Migrantes Mujeres no puede ser Mayor al Total.</v>
      </c>
      <c r="V69" s="291"/>
      <c r="W69" s="291"/>
      <c r="X69" s="291"/>
      <c r="Y69" s="291"/>
      <c r="Z69" s="291"/>
      <c r="AA69" s="291"/>
      <c r="AB69" s="291"/>
      <c r="AC69" s="291"/>
      <c r="AD69" s="291"/>
      <c r="AE69" s="291"/>
      <c r="AF69" s="291"/>
      <c r="AG69" s="291"/>
      <c r="AH69" s="291"/>
      <c r="AI69" s="291"/>
      <c r="AJ69" s="291"/>
      <c r="AK69" s="291"/>
      <c r="AL69" s="291"/>
      <c r="AM69" s="291"/>
      <c r="AN69" s="291"/>
      <c r="AO69" s="291"/>
      <c r="AP69" s="291"/>
      <c r="AQ69" s="291"/>
      <c r="AR69" s="291"/>
      <c r="AS69" s="291"/>
      <c r="AT69" s="291"/>
      <c r="AU69" s="291"/>
      <c r="AV69" s="291"/>
      <c r="AW69" s="291"/>
      <c r="AX69" s="291"/>
      <c r="AY69" s="291"/>
      <c r="AZ69" s="291"/>
      <c r="BA69" s="291"/>
      <c r="BB69" s="291"/>
      <c r="BC69" s="291"/>
      <c r="BS69" s="960"/>
      <c r="BT69" s="960"/>
      <c r="BU69" s="960"/>
      <c r="BV69" s="960"/>
      <c r="BW69" s="960"/>
      <c r="BX69" s="960"/>
      <c r="BZ69" s="291"/>
      <c r="CA69" s="291"/>
      <c r="CB69" s="354"/>
      <c r="CC69" s="354"/>
      <c r="CD69" s="354"/>
      <c r="CE69" s="354"/>
      <c r="CF69" s="354"/>
      <c r="CG69" s="354"/>
      <c r="CH69" s="348" t="str">
        <f t="shared" si="122"/>
        <v xml:space="preserve"> * La variable Pueblos Originarios Hombres no puede ser Mayor al Total.</v>
      </c>
      <c r="CI69" s="348" t="str">
        <f t="shared" si="123"/>
        <v xml:space="preserve"> * La variable Pueblos Originarios Mujeres no puede ser Mayor al Total.</v>
      </c>
      <c r="CJ69" s="348" t="str">
        <f t="shared" si="124"/>
        <v xml:space="preserve"> * La variable Migrantes Hombres no puede ser Mayor al Total.</v>
      </c>
      <c r="CK69" s="348" t="str">
        <f t="shared" si="125"/>
        <v xml:space="preserve"> * La variable Migrantes Mujeres no puede ser Mayor al Total.</v>
      </c>
      <c r="CL69" s="354"/>
      <c r="CM69" s="354"/>
      <c r="CN69" s="354"/>
      <c r="CO69" s="354"/>
      <c r="CP69" s="354"/>
      <c r="CQ69" s="354"/>
      <c r="CR69" s="354"/>
      <c r="CS69" s="354"/>
      <c r="CT69" s="354"/>
      <c r="CU69" s="354"/>
      <c r="CV69" s="354"/>
      <c r="CW69" s="354"/>
      <c r="CX69" s="354"/>
      <c r="CY69" s="354"/>
      <c r="CZ69" s="354"/>
      <c r="DA69" s="354"/>
      <c r="DB69" s="354"/>
      <c r="DC69" s="354"/>
      <c r="DD69" s="354"/>
      <c r="DE69" s="352"/>
      <c r="DF69" s="352"/>
      <c r="DG69" s="352"/>
      <c r="DH69" s="352"/>
      <c r="DI69" s="352"/>
      <c r="DJ69" s="358">
        <f t="shared" si="126"/>
        <v>1</v>
      </c>
      <c r="DK69" s="358">
        <f t="shared" si="127"/>
        <v>1</v>
      </c>
      <c r="DL69" s="358">
        <f t="shared" si="128"/>
        <v>1</v>
      </c>
      <c r="DM69" s="358">
        <f t="shared" si="129"/>
        <v>1</v>
      </c>
      <c r="DN69" s="352"/>
      <c r="DO69" s="352"/>
      <c r="DP69" s="352"/>
      <c r="DQ69" s="352"/>
      <c r="DR69" s="352"/>
      <c r="DS69" s="352"/>
      <c r="DT69" s="352"/>
      <c r="DU69" s="352"/>
      <c r="DV69" s="352"/>
      <c r="DW69" s="352"/>
    </row>
    <row r="70" spans="1:127" ht="22.5" customHeight="1" x14ac:dyDescent="0.3">
      <c r="A70" s="1639"/>
      <c r="B70" s="1927"/>
      <c r="C70" s="97" t="s">
        <v>102</v>
      </c>
      <c r="D70" s="636">
        <f>+E70+F70</f>
        <v>0</v>
      </c>
      <c r="E70" s="649">
        <f>+G70+I70+K70+M70+O70</f>
        <v>0</v>
      </c>
      <c r="F70" s="604">
        <f>+H70+J70+L70+N70+P70</f>
        <v>0</v>
      </c>
      <c r="G70" s="608">
        <f>SUM(G64:G69)</f>
        <v>0</v>
      </c>
      <c r="H70" s="611">
        <f t="shared" ref="H70:T70" si="130">SUM(H64:H69)</f>
        <v>0</v>
      </c>
      <c r="I70" s="608">
        <f t="shared" ref="I70:J70" si="131">SUM(I64:I69)</f>
        <v>0</v>
      </c>
      <c r="J70" s="611">
        <f t="shared" si="131"/>
        <v>0</v>
      </c>
      <c r="K70" s="1039">
        <f t="shared" ref="K70:L70" si="132">SUM(K64:K69)</f>
        <v>0</v>
      </c>
      <c r="L70" s="611">
        <f t="shared" si="132"/>
        <v>0</v>
      </c>
      <c r="M70" s="1039">
        <f t="shared" ref="M70:N70" si="133">SUM(M64:M69)</f>
        <v>0</v>
      </c>
      <c r="N70" s="611">
        <f t="shared" si="133"/>
        <v>0</v>
      </c>
      <c r="O70" s="1039">
        <f t="shared" si="130"/>
        <v>0</v>
      </c>
      <c r="P70" s="610">
        <f t="shared" si="130"/>
        <v>0</v>
      </c>
      <c r="Q70" s="614">
        <f t="shared" si="130"/>
        <v>0</v>
      </c>
      <c r="R70" s="1040">
        <f t="shared" si="130"/>
        <v>0</v>
      </c>
      <c r="S70" s="1039">
        <f t="shared" si="130"/>
        <v>0</v>
      </c>
      <c r="T70" s="611">
        <f t="shared" si="130"/>
        <v>0</v>
      </c>
      <c r="U70" s="1512"/>
      <c r="V70" s="291"/>
      <c r="W70" s="960"/>
      <c r="X70" s="960"/>
      <c r="Y70" s="960"/>
      <c r="Z70" s="960"/>
      <c r="AA70" s="960"/>
      <c r="AB70" s="960"/>
      <c r="AC70" s="960"/>
      <c r="AD70" s="960"/>
      <c r="AE70" s="960"/>
      <c r="AF70" s="960"/>
      <c r="AG70" s="960"/>
      <c r="AH70" s="960"/>
      <c r="AI70" s="960"/>
      <c r="AJ70" s="960"/>
      <c r="AK70" s="291"/>
      <c r="AL70" s="291"/>
      <c r="AM70" s="291"/>
      <c r="AN70" s="291"/>
      <c r="AO70" s="291"/>
      <c r="AP70" s="291"/>
      <c r="AQ70" s="291"/>
      <c r="AR70" s="291"/>
      <c r="AS70" s="291"/>
      <c r="AT70" s="291"/>
      <c r="AU70" s="291"/>
      <c r="AV70" s="291"/>
      <c r="AW70" s="291"/>
      <c r="AX70" s="291"/>
      <c r="AY70" s="291"/>
      <c r="AZ70" s="291"/>
      <c r="BA70" s="291"/>
      <c r="BB70" s="291"/>
      <c r="BC70" s="291"/>
      <c r="BS70" s="960"/>
      <c r="BT70" s="960"/>
      <c r="BU70" s="960"/>
      <c r="BV70" s="960"/>
      <c r="BW70" s="960"/>
      <c r="BX70" s="960"/>
      <c r="BZ70" s="291"/>
      <c r="CA70" s="291"/>
      <c r="CB70" s="354"/>
      <c r="CC70" s="354"/>
      <c r="CD70" s="354"/>
      <c r="CE70" s="354"/>
      <c r="CF70" s="354"/>
      <c r="CG70" s="354"/>
      <c r="CH70" s="354"/>
      <c r="CI70" s="354"/>
      <c r="CJ70" s="354"/>
      <c r="CK70" s="354"/>
      <c r="CL70" s="354"/>
      <c r="CM70" s="354"/>
      <c r="CN70" s="354"/>
      <c r="CO70" s="354"/>
      <c r="CP70" s="354"/>
      <c r="CQ70" s="354"/>
      <c r="CR70" s="354"/>
      <c r="CS70" s="354"/>
      <c r="CT70" s="354"/>
      <c r="CU70" s="354"/>
      <c r="CV70" s="354"/>
      <c r="CW70" s="354"/>
      <c r="CX70" s="354"/>
      <c r="CY70" s="354"/>
      <c r="CZ70" s="354"/>
      <c r="DA70" s="354"/>
      <c r="DB70" s="354"/>
      <c r="DC70" s="354"/>
      <c r="DD70" s="354"/>
      <c r="DE70" s="352"/>
      <c r="DF70" s="352"/>
      <c r="DG70" s="352"/>
      <c r="DH70" s="352"/>
      <c r="DI70" s="352"/>
      <c r="DJ70" s="352"/>
      <c r="DK70" s="352"/>
      <c r="DL70" s="352"/>
      <c r="DM70" s="352"/>
      <c r="DN70" s="352"/>
      <c r="DO70" s="352"/>
      <c r="DP70" s="352"/>
      <c r="DQ70" s="352"/>
      <c r="DR70" s="352"/>
      <c r="DS70" s="352"/>
      <c r="DT70" s="352"/>
      <c r="DU70" s="352"/>
      <c r="DV70" s="352"/>
      <c r="DW70" s="352"/>
    </row>
    <row r="71" spans="1:127" ht="22.5" customHeight="1" x14ac:dyDescent="0.3">
      <c r="A71" s="1637" t="s">
        <v>1039</v>
      </c>
      <c r="B71" s="1927"/>
      <c r="C71" s="1188" t="s">
        <v>103</v>
      </c>
      <c r="D71" s="1189" t="s">
        <v>1550</v>
      </c>
      <c r="E71" s="649" t="s">
        <v>1551</v>
      </c>
      <c r="F71" s="1112" t="s">
        <v>1552</v>
      </c>
      <c r="G71" s="576" t="s">
        <v>1553</v>
      </c>
      <c r="H71" s="577" t="s">
        <v>1554</v>
      </c>
      <c r="I71" s="576" t="s">
        <v>1555</v>
      </c>
      <c r="J71" s="577" t="s">
        <v>1556</v>
      </c>
      <c r="K71" s="1042" t="s">
        <v>1557</v>
      </c>
      <c r="L71" s="577" t="s">
        <v>1558</v>
      </c>
      <c r="M71" s="1042" t="s">
        <v>1559</v>
      </c>
      <c r="N71" s="577" t="s">
        <v>1560</v>
      </c>
      <c r="O71" s="1042" t="s">
        <v>1561</v>
      </c>
      <c r="P71" s="579" t="s">
        <v>1562</v>
      </c>
      <c r="Q71" s="580" t="s">
        <v>1563</v>
      </c>
      <c r="R71" s="1044" t="s">
        <v>1564</v>
      </c>
      <c r="S71" s="1042" t="s">
        <v>1565</v>
      </c>
      <c r="T71" s="577" t="s">
        <v>1566</v>
      </c>
      <c r="U71" s="1512" t="str">
        <f t="shared" si="68"/>
        <v xml:space="preserve"> * La variable Pueblos Originarios Hombres no puede ser Mayor al Total. * La variable Pueblos Originarios Mujeres no puede ser Mayor al Total. * La variable Migrantes Hombres no puede ser Mayor al Total. * La variable Migrantes Mujeres no puede ser Mayor al Total.</v>
      </c>
      <c r="V71" s="291"/>
      <c r="W71" s="291"/>
      <c r="X71" s="291"/>
      <c r="Y71" s="291"/>
      <c r="Z71" s="291"/>
      <c r="AA71" s="291"/>
      <c r="AB71" s="291"/>
      <c r="AC71" s="291"/>
      <c r="AD71" s="291"/>
      <c r="AE71" s="291"/>
      <c r="AF71" s="291"/>
      <c r="AG71" s="291"/>
      <c r="AH71" s="291"/>
      <c r="AI71" s="291"/>
      <c r="AJ71" s="291"/>
      <c r="AK71" s="291"/>
      <c r="AL71" s="291"/>
      <c r="AM71" s="291"/>
      <c r="AN71" s="291"/>
      <c r="AO71" s="291"/>
      <c r="AP71" s="291"/>
      <c r="AQ71" s="291"/>
      <c r="AR71" s="291"/>
      <c r="AS71" s="291"/>
      <c r="AT71" s="291"/>
      <c r="AU71" s="291"/>
      <c r="AV71" s="291"/>
      <c r="AW71" s="291"/>
      <c r="AX71" s="291"/>
      <c r="AY71" s="291"/>
      <c r="AZ71" s="291"/>
      <c r="BA71" s="291"/>
      <c r="BB71" s="291"/>
      <c r="BC71" s="291"/>
      <c r="BS71" s="960"/>
      <c r="BT71" s="960"/>
      <c r="BU71" s="960"/>
      <c r="BV71" s="960"/>
      <c r="BW71" s="960"/>
      <c r="BX71" s="960"/>
      <c r="BZ71" s="291"/>
      <c r="CA71" s="291"/>
      <c r="CB71" s="354"/>
      <c r="CC71" s="354"/>
      <c r="CD71" s="354"/>
      <c r="CE71" s="354"/>
      <c r="CF71" s="354"/>
      <c r="CG71" s="354"/>
      <c r="CH71" s="348" t="str">
        <f>IF(AND(E71&gt;0,OR(Q71=""))," * No olvide digitar la variable Pueblos Originarios Hombres (Digite Cero si no tiene).",IF(Q71&gt;E71," * La variable Pueblos Originarios Hombres no puede ser Mayor al Total.",""))</f>
        <v xml:space="preserve"> * La variable Pueblos Originarios Hombres no puede ser Mayor al Total.</v>
      </c>
      <c r="CI71" s="348" t="str">
        <f>IF(AND(F71&gt;0,OR(R71=""))," * No olvide digitar la variable Pueblos Originarios Mujeres (Digite Cero si no tiene).",IF(R71&gt;F71," * La variable Pueblos Originarios Mujeres no puede ser Mayor al Total.",""))</f>
        <v xml:space="preserve"> * La variable Pueblos Originarios Mujeres no puede ser Mayor al Total.</v>
      </c>
      <c r="CJ71" s="348" t="str">
        <f>IF(AND(E71&gt;0,OR(S71=""))," * No olvide digitar la variable Migrantes Hombres (Digite Cero si no tiene).",IF(S71&gt;E71," * La variable Migrantes Hombres no puede ser Mayor al Total.",""))</f>
        <v xml:space="preserve"> * La variable Migrantes Hombres no puede ser Mayor al Total.</v>
      </c>
      <c r="CK71" s="348" t="str">
        <f>IF(AND(F71&gt;0,OR(T71=""))," * No olvide digitar la variable Migrantes Mujeres (Digite Cero si no tiene).",IF(T71&gt;F71," * La variable Migrantes Mujeres no puede ser Mayor al Total.",""))</f>
        <v xml:space="preserve"> * La variable Migrantes Mujeres no puede ser Mayor al Total.</v>
      </c>
      <c r="CL71" s="354"/>
      <c r="CM71" s="354"/>
      <c r="CN71" s="354"/>
      <c r="CO71" s="354"/>
      <c r="CP71" s="354"/>
      <c r="CQ71" s="354"/>
      <c r="CR71" s="354"/>
      <c r="CS71" s="354"/>
      <c r="CT71" s="354"/>
      <c r="CU71" s="354"/>
      <c r="CV71" s="354"/>
      <c r="CW71" s="354"/>
      <c r="CX71" s="354"/>
      <c r="CY71" s="354"/>
      <c r="CZ71" s="354"/>
      <c r="DA71" s="354"/>
      <c r="DB71" s="354"/>
      <c r="DC71" s="354"/>
      <c r="DD71" s="354"/>
      <c r="DE71" s="352"/>
      <c r="DF71" s="352"/>
      <c r="DG71" s="352"/>
      <c r="DH71" s="352"/>
      <c r="DI71" s="352"/>
      <c r="DJ71" s="358">
        <f>IF(AND(E71&gt;0,OR(Q71="")),1,IF(Q71&gt;E71,1,0))</f>
        <v>1</v>
      </c>
      <c r="DK71" s="358">
        <f>IF(AND(F71&gt;0,OR(R71="")),1,IF(R71&gt;F71,1,0))</f>
        <v>1</v>
      </c>
      <c r="DL71" s="358">
        <f>IF(AND(E71&gt;0,OR(S71="")),1,IF(S71&gt;E71,1,0))</f>
        <v>1</v>
      </c>
      <c r="DM71" s="358">
        <f>IF(AND(F71&gt;0,OR(T71="")),1,IF(T71&gt;F71,1,0))</f>
        <v>1</v>
      </c>
      <c r="DN71" s="352"/>
      <c r="DO71" s="352"/>
      <c r="DP71" s="352"/>
      <c r="DQ71" s="352"/>
      <c r="DR71" s="352"/>
      <c r="DS71" s="352"/>
      <c r="DT71" s="352"/>
      <c r="DU71" s="352"/>
      <c r="DV71" s="352"/>
      <c r="DW71" s="352"/>
    </row>
    <row r="72" spans="1:127" ht="22.5" customHeight="1" x14ac:dyDescent="0.3">
      <c r="A72" s="1638"/>
      <c r="B72" s="1928"/>
      <c r="C72" s="97" t="s">
        <v>104</v>
      </c>
      <c r="D72" s="607" t="e">
        <f>SUM(E72:F72)</f>
        <v>#VALUE!</v>
      </c>
      <c r="E72" s="595" t="e">
        <f t="shared" ref="E72:T72" si="134">SUM(E64:E69)+E71</f>
        <v>#VALUE!</v>
      </c>
      <c r="F72" s="604" t="e">
        <f t="shared" si="134"/>
        <v>#VALUE!</v>
      </c>
      <c r="G72" s="608" t="e">
        <f t="shared" si="134"/>
        <v>#VALUE!</v>
      </c>
      <c r="H72" s="611" t="e">
        <f t="shared" si="134"/>
        <v>#VALUE!</v>
      </c>
      <c r="I72" s="608" t="e">
        <f t="shared" si="134"/>
        <v>#VALUE!</v>
      </c>
      <c r="J72" s="611" t="e">
        <f t="shared" si="134"/>
        <v>#VALUE!</v>
      </c>
      <c r="K72" s="1039" t="e">
        <f t="shared" si="134"/>
        <v>#VALUE!</v>
      </c>
      <c r="L72" s="611" t="e">
        <f t="shared" si="134"/>
        <v>#VALUE!</v>
      </c>
      <c r="M72" s="1039" t="e">
        <f t="shared" si="134"/>
        <v>#VALUE!</v>
      </c>
      <c r="N72" s="611" t="e">
        <f t="shared" si="134"/>
        <v>#VALUE!</v>
      </c>
      <c r="O72" s="1039" t="e">
        <f t="shared" si="134"/>
        <v>#VALUE!</v>
      </c>
      <c r="P72" s="610" t="e">
        <f t="shared" si="134"/>
        <v>#VALUE!</v>
      </c>
      <c r="Q72" s="614" t="e">
        <f>SUM(Q64:Q69)+Q71</f>
        <v>#VALUE!</v>
      </c>
      <c r="R72" s="1040" t="e">
        <f t="shared" si="134"/>
        <v>#VALUE!</v>
      </c>
      <c r="S72" s="1039" t="e">
        <f t="shared" si="134"/>
        <v>#VALUE!</v>
      </c>
      <c r="T72" s="611" t="e">
        <f t="shared" si="134"/>
        <v>#VALUE!</v>
      </c>
      <c r="U72" s="1512"/>
      <c r="V72" s="291"/>
      <c r="W72" s="960"/>
      <c r="X72" s="960"/>
      <c r="Y72" s="960"/>
      <c r="Z72" s="960"/>
      <c r="AA72" s="960"/>
      <c r="AB72" s="960"/>
      <c r="AC72" s="960"/>
      <c r="AD72" s="960"/>
      <c r="AE72" s="960"/>
      <c r="AF72" s="960"/>
      <c r="AG72" s="960"/>
      <c r="AH72" s="960"/>
      <c r="AI72" s="960"/>
      <c r="AJ72" s="960"/>
      <c r="AK72" s="291"/>
      <c r="AL72" s="291"/>
      <c r="AM72" s="291"/>
      <c r="AN72" s="291"/>
      <c r="AO72" s="291"/>
      <c r="AP72" s="291"/>
      <c r="AQ72" s="291"/>
      <c r="AR72" s="291"/>
      <c r="AS72" s="291"/>
      <c r="AT72" s="291"/>
      <c r="AU72" s="291"/>
      <c r="AV72" s="291"/>
      <c r="AW72" s="291"/>
      <c r="AX72" s="291"/>
      <c r="AY72" s="291"/>
      <c r="AZ72" s="291"/>
      <c r="BA72" s="291"/>
      <c r="BB72" s="291"/>
      <c r="BC72" s="291"/>
      <c r="BS72" s="960"/>
      <c r="BT72" s="960"/>
      <c r="BU72" s="960"/>
      <c r="BV72" s="960"/>
      <c r="BW72" s="960"/>
      <c r="BX72" s="960"/>
      <c r="BZ72" s="291"/>
      <c r="CA72" s="291"/>
      <c r="CB72" s="354"/>
      <c r="CC72" s="354"/>
      <c r="CD72" s="354"/>
      <c r="CE72" s="354"/>
      <c r="CF72" s="354"/>
      <c r="CG72" s="354"/>
      <c r="CH72" s="354"/>
      <c r="CI72" s="354"/>
      <c r="CJ72" s="354"/>
      <c r="CK72" s="354"/>
      <c r="CL72" s="354"/>
      <c r="CM72" s="354"/>
      <c r="CN72" s="354"/>
      <c r="CO72" s="354"/>
      <c r="CP72" s="354"/>
      <c r="CQ72" s="354"/>
      <c r="CR72" s="354"/>
      <c r="CS72" s="354"/>
      <c r="CT72" s="354"/>
      <c r="CU72" s="354"/>
      <c r="CV72" s="354"/>
      <c r="CW72" s="354"/>
      <c r="CX72" s="354"/>
      <c r="CY72" s="354"/>
      <c r="CZ72" s="354"/>
      <c r="DA72" s="354"/>
      <c r="DB72" s="354"/>
      <c r="DC72" s="354"/>
      <c r="DD72" s="354"/>
      <c r="DE72" s="352"/>
      <c r="DF72" s="352"/>
      <c r="DG72" s="352"/>
      <c r="DH72" s="352"/>
      <c r="DI72" s="352"/>
      <c r="DJ72" s="352"/>
      <c r="DK72" s="352"/>
      <c r="DL72" s="352"/>
      <c r="DM72" s="352"/>
      <c r="DN72" s="352"/>
      <c r="DO72" s="352"/>
      <c r="DP72" s="352"/>
      <c r="DQ72" s="352"/>
      <c r="DR72" s="352"/>
      <c r="DS72" s="352"/>
      <c r="DT72" s="352"/>
      <c r="DU72" s="352"/>
      <c r="DV72" s="352"/>
      <c r="DW72" s="352"/>
    </row>
    <row r="73" spans="1:127" ht="31.2" customHeight="1" x14ac:dyDescent="0.3">
      <c r="A73" s="1637" t="s">
        <v>1040</v>
      </c>
      <c r="B73" s="1924" t="s">
        <v>805</v>
      </c>
      <c r="C73" s="1925"/>
      <c r="D73" s="1235" t="s">
        <v>1550</v>
      </c>
      <c r="E73" s="649" t="s">
        <v>1551</v>
      </c>
      <c r="F73" s="604" t="s">
        <v>1552</v>
      </c>
      <c r="G73" s="576" t="s">
        <v>1553</v>
      </c>
      <c r="H73" s="577" t="s">
        <v>1554</v>
      </c>
      <c r="I73" s="576" t="s">
        <v>1555</v>
      </c>
      <c r="J73" s="577" t="s">
        <v>1556</v>
      </c>
      <c r="K73" s="623" t="s">
        <v>1557</v>
      </c>
      <c r="L73" s="577" t="s">
        <v>1558</v>
      </c>
      <c r="M73" s="623" t="s">
        <v>1559</v>
      </c>
      <c r="N73" s="577" t="s">
        <v>1560</v>
      </c>
      <c r="O73" s="623" t="s">
        <v>1561</v>
      </c>
      <c r="P73" s="579" t="s">
        <v>1562</v>
      </c>
      <c r="Q73" s="580" t="s">
        <v>1563</v>
      </c>
      <c r="R73" s="1044" t="s">
        <v>1564</v>
      </c>
      <c r="S73" s="623" t="s">
        <v>1565</v>
      </c>
      <c r="T73" s="577" t="s">
        <v>1566</v>
      </c>
      <c r="U73" s="1512" t="str">
        <f t="shared" si="68"/>
        <v xml:space="preserve"> * La variable Pueblos Originarios Hombres no puede ser Mayor al Total. * La variable Pueblos Originarios Mujeres no puede ser Mayor al Total. * La variable Migrantes Hombres no puede ser Mayor al Total. * La variable Migrantes Mujeres no puede ser Mayor al Total.</v>
      </c>
      <c r="V73" s="291"/>
      <c r="W73" s="291"/>
      <c r="X73" s="291"/>
      <c r="Y73" s="291"/>
      <c r="Z73" s="291"/>
      <c r="AA73" s="291"/>
      <c r="AB73" s="291"/>
      <c r="AC73" s="291"/>
      <c r="AD73" s="291"/>
      <c r="AE73" s="291"/>
      <c r="AF73" s="291"/>
      <c r="AG73" s="291"/>
      <c r="AH73" s="291"/>
      <c r="AI73" s="291"/>
      <c r="AJ73" s="291"/>
      <c r="AK73" s="291"/>
      <c r="AL73" s="291"/>
      <c r="AM73" s="291"/>
      <c r="AN73" s="291"/>
      <c r="AO73" s="291"/>
      <c r="AP73" s="291"/>
      <c r="AQ73" s="291"/>
      <c r="AR73" s="291"/>
      <c r="AS73" s="291"/>
      <c r="AT73" s="291"/>
      <c r="AU73" s="291"/>
      <c r="AV73" s="291"/>
      <c r="AW73" s="291"/>
      <c r="AX73" s="291"/>
      <c r="AY73" s="291"/>
      <c r="AZ73" s="291"/>
      <c r="BA73" s="291"/>
      <c r="BB73" s="291"/>
      <c r="BC73" s="291"/>
      <c r="BS73" s="960"/>
      <c r="BT73" s="960"/>
      <c r="BU73" s="960"/>
      <c r="BV73" s="960"/>
      <c r="BW73" s="960"/>
      <c r="BX73" s="960"/>
      <c r="BZ73" s="291"/>
      <c r="CA73" s="291"/>
      <c r="CB73" s="354"/>
      <c r="CC73" s="354"/>
      <c r="CD73" s="354"/>
      <c r="CE73" s="354"/>
      <c r="CF73" s="354"/>
      <c r="CG73" s="354"/>
      <c r="CH73" s="348" t="str">
        <f>IF(AND(E73&gt;0,OR(Q73=""))," * No olvide digitar la variable Pueblos Originarios Hombres (Digite Cero si no tiene).",IF(Q73&gt;E73," * La variable Pueblos Originarios Hombres no puede ser Mayor al Total.",""))</f>
        <v xml:space="preserve"> * La variable Pueblos Originarios Hombres no puede ser Mayor al Total.</v>
      </c>
      <c r="CI73" s="348" t="str">
        <f>IF(AND(F73&gt;0,OR(R73=""))," * No olvide digitar la variable Pueblos Originarios Mujeres (Digite Cero si no tiene).",IF(R73&gt;F73," * La variable Pueblos Originarios Mujeres no puede ser Mayor al Total.",""))</f>
        <v xml:space="preserve"> * La variable Pueblos Originarios Mujeres no puede ser Mayor al Total.</v>
      </c>
      <c r="CJ73" s="348" t="str">
        <f>IF(AND(E73&gt;0,OR(S73=""))," * No olvide digitar la variable Migrantes Hombres (Digite Cero si no tiene).",IF(S73&gt;E73," * La variable Migrantes Hombres no puede ser Mayor al Total.",""))</f>
        <v xml:space="preserve"> * La variable Migrantes Hombres no puede ser Mayor al Total.</v>
      </c>
      <c r="CK73" s="348" t="str">
        <f>IF(AND(F73&gt;0,OR(T73=""))," * No olvide digitar la variable Migrantes Mujeres (Digite Cero si no tiene).",IF(T73&gt;F73," * La variable Migrantes Mujeres no puede ser Mayor al Total.",""))</f>
        <v xml:space="preserve"> * La variable Migrantes Mujeres no puede ser Mayor al Total.</v>
      </c>
      <c r="CL73" s="354"/>
      <c r="CM73" s="354"/>
      <c r="CN73" s="354"/>
      <c r="CO73" s="354"/>
      <c r="CP73" s="354"/>
      <c r="CQ73" s="354"/>
      <c r="CR73" s="354"/>
      <c r="CS73" s="354"/>
      <c r="CT73" s="354"/>
      <c r="CU73" s="354"/>
      <c r="CV73" s="354"/>
      <c r="CW73" s="354"/>
      <c r="CX73" s="354"/>
      <c r="CY73" s="354"/>
      <c r="CZ73" s="354"/>
      <c r="DA73" s="354"/>
      <c r="DB73" s="354"/>
      <c r="DC73" s="354"/>
      <c r="DD73" s="354"/>
      <c r="DE73" s="352"/>
      <c r="DF73" s="352"/>
      <c r="DG73" s="352"/>
      <c r="DH73" s="352"/>
      <c r="DI73" s="352"/>
      <c r="DJ73" s="358">
        <f>IF(AND(E73&gt;0,OR(Q73="")),1,IF(Q73&gt;E73,1,0))</f>
        <v>1</v>
      </c>
      <c r="DK73" s="358">
        <f>IF(AND(F73&gt;0,OR(R73="")),1,IF(R73&gt;F73,1,0))</f>
        <v>1</v>
      </c>
      <c r="DL73" s="358">
        <f>IF(AND(E73&gt;0,OR(S73="")),1,IF(S73&gt;E73,1,0))</f>
        <v>1</v>
      </c>
      <c r="DM73" s="358">
        <f>IF(AND(F73&gt;0,OR(T73="")),1,IF(T73&gt;F73,1,0))</f>
        <v>1</v>
      </c>
      <c r="DN73" s="352"/>
      <c r="DO73" s="352"/>
      <c r="DP73" s="352"/>
      <c r="DQ73" s="352"/>
      <c r="DR73" s="352"/>
      <c r="DS73" s="352"/>
      <c r="DT73" s="352"/>
      <c r="DU73" s="352"/>
      <c r="DV73" s="352"/>
      <c r="DW73" s="352"/>
    </row>
    <row r="74" spans="1:127" ht="15.75" customHeight="1" x14ac:dyDescent="0.3">
      <c r="B74" s="2008" t="s">
        <v>396</v>
      </c>
      <c r="C74" s="2008"/>
      <c r="D74" s="2008"/>
      <c r="E74" s="2008"/>
      <c r="F74" s="2008"/>
      <c r="G74" s="2008"/>
      <c r="H74" s="2008"/>
      <c r="I74" s="2008"/>
      <c r="J74" s="2008"/>
      <c r="K74" s="2008"/>
      <c r="L74" s="2008"/>
      <c r="M74" s="2008"/>
      <c r="N74" s="2008"/>
      <c r="O74" s="2008"/>
      <c r="P74" s="2008"/>
      <c r="Q74" s="2008"/>
      <c r="R74" s="2008"/>
      <c r="S74" s="2008"/>
      <c r="T74" s="2008"/>
      <c r="U74" s="2008"/>
      <c r="V74" s="1591"/>
      <c r="W74" s="1591"/>
      <c r="X74" s="1591"/>
      <c r="Y74" s="1591"/>
      <c r="Z74" s="1591"/>
      <c r="AA74" s="1591"/>
      <c r="AB74" s="1591"/>
      <c r="AC74" s="1591"/>
      <c r="AD74" s="1591"/>
      <c r="AE74" s="1591"/>
      <c r="AF74" s="1591"/>
      <c r="AG74" s="1591"/>
      <c r="AH74" s="1591"/>
      <c r="AI74" s="1591"/>
      <c r="AJ74" s="1591"/>
      <c r="AK74" s="1591"/>
      <c r="AL74" s="1591"/>
      <c r="AM74" s="1591"/>
      <c r="AN74" s="1591"/>
      <c r="AO74" s="1591"/>
      <c r="AP74" s="1591"/>
      <c r="AQ74" s="1591"/>
      <c r="AR74" s="1591"/>
      <c r="AS74" s="1591"/>
      <c r="AT74" s="1591"/>
      <c r="AU74" s="1591"/>
      <c r="AV74" s="1591"/>
      <c r="AW74" s="1591"/>
      <c r="CB74" s="1591"/>
    </row>
    <row r="75" spans="1:127" ht="24" customHeight="1" x14ac:dyDescent="0.3">
      <c r="B75" s="430" t="s">
        <v>359</v>
      </c>
      <c r="C75" s="426"/>
      <c r="D75" s="426"/>
      <c r="E75" s="426"/>
      <c r="F75" s="426"/>
      <c r="G75" s="55"/>
      <c r="H75" s="57"/>
      <c r="I75" s="175"/>
      <c r="J75" s="175"/>
      <c r="K75" s="175"/>
      <c r="L75" s="425"/>
      <c r="M75" s="425"/>
      <c r="N75" s="425"/>
      <c r="O75" s="425"/>
      <c r="P75" s="175"/>
      <c r="Q75" s="175"/>
      <c r="R75" s="175"/>
      <c r="S75" s="175"/>
      <c r="T75" s="175"/>
      <c r="U75" s="175"/>
      <c r="V75" s="175"/>
      <c r="W75" s="175"/>
      <c r="X75" s="175"/>
      <c r="Y75" s="175"/>
      <c r="Z75" s="175"/>
      <c r="AA75" s="175"/>
      <c r="AB75" s="175"/>
      <c r="AC75" s="175"/>
      <c r="AD75" s="175"/>
      <c r="AE75" s="175"/>
      <c r="AF75" s="175"/>
      <c r="AG75" s="175"/>
      <c r="AH75" s="175"/>
      <c r="AI75" s="175"/>
      <c r="AJ75" s="175"/>
      <c r="AK75" s="175"/>
      <c r="AL75" s="175"/>
      <c r="AM75" s="175"/>
      <c r="AN75" s="175"/>
      <c r="AO75" s="175"/>
      <c r="AP75" s="175"/>
      <c r="AQ75" s="175"/>
      <c r="AR75" s="175"/>
      <c r="AS75" s="175"/>
      <c r="AT75" s="175"/>
      <c r="AU75" s="175"/>
      <c r="AV75" s="175"/>
      <c r="AW75" s="175"/>
    </row>
    <row r="76" spans="1:127" ht="50.4" customHeight="1" x14ac:dyDescent="0.3">
      <c r="B76" s="1832" t="s">
        <v>105</v>
      </c>
      <c r="C76" s="1834"/>
      <c r="D76" s="1588" t="s">
        <v>13</v>
      </c>
      <c r="E76" s="59" t="s">
        <v>31</v>
      </c>
      <c r="F76" s="215" t="s">
        <v>94</v>
      </c>
      <c r="G76" s="1597" t="s">
        <v>15</v>
      </c>
      <c r="H76" s="213" t="s">
        <v>685</v>
      </c>
      <c r="I76" s="175"/>
      <c r="J76" s="175"/>
      <c r="K76" s="1598"/>
      <c r="L76" s="1598"/>
      <c r="M76" s="1598"/>
      <c r="N76" s="1599"/>
      <c r="O76" s="1599"/>
      <c r="P76" s="175"/>
      <c r="Q76" s="175"/>
      <c r="R76" s="175"/>
      <c r="S76" s="175"/>
      <c r="T76" s="175"/>
      <c r="U76" s="175"/>
      <c r="V76" s="175"/>
      <c r="W76" s="175"/>
      <c r="X76" s="175"/>
      <c r="Y76" s="175"/>
      <c r="Z76" s="175"/>
      <c r="AA76" s="175"/>
      <c r="AB76" s="175"/>
      <c r="AC76" s="175"/>
      <c r="AD76" s="175"/>
      <c r="AE76" s="175"/>
      <c r="AF76" s="175"/>
      <c r="AG76" s="175"/>
      <c r="AH76" s="175"/>
      <c r="AI76" s="175"/>
      <c r="AJ76" s="175"/>
      <c r="AK76" s="175"/>
      <c r="AL76" s="175"/>
      <c r="AM76" s="175"/>
      <c r="AN76" s="175"/>
      <c r="AO76" s="175"/>
      <c r="AP76" s="175"/>
      <c r="AQ76" s="175"/>
      <c r="AR76" s="175"/>
      <c r="AS76" s="175"/>
      <c r="AT76" s="175"/>
      <c r="AU76" s="175"/>
      <c r="AV76" s="175"/>
      <c r="AW76" s="960"/>
      <c r="BR76" s="175"/>
    </row>
    <row r="77" spans="1:127" ht="15.75" customHeight="1" x14ac:dyDescent="0.3">
      <c r="A77" s="1637" t="s">
        <v>1041</v>
      </c>
      <c r="B77" s="2011" t="s">
        <v>51</v>
      </c>
      <c r="C77" s="108" t="s">
        <v>108</v>
      </c>
      <c r="D77" s="496" t="s">
        <v>1550</v>
      </c>
      <c r="E77" s="568" t="s">
        <v>1551</v>
      </c>
      <c r="F77" s="1190" t="s">
        <v>1552</v>
      </c>
      <c r="G77" s="513" t="s">
        <v>1553</v>
      </c>
      <c r="H77" s="569" t="s">
        <v>1554</v>
      </c>
      <c r="I77" s="351" t="str">
        <f>CG77&amp;CH77&amp;CI77&amp;CJ77&amp;CK77&amp;CL77</f>
        <v xml:space="preserve"> * La variable Pueblos Originarios no puede ser Mayor al Total. * La variable Migrantes no puede ser Mayor al Total.</v>
      </c>
      <c r="J77" s="960"/>
      <c r="K77" s="960"/>
      <c r="L77" s="960"/>
      <c r="M77" s="960"/>
      <c r="N77" s="960"/>
      <c r="O77" s="960"/>
      <c r="P77" s="960"/>
      <c r="Q77" s="960"/>
      <c r="R77" s="960"/>
      <c r="S77" s="960"/>
      <c r="T77" s="960"/>
      <c r="V77" s="960"/>
      <c r="W77" s="960"/>
      <c r="X77" s="291"/>
      <c r="Y77" s="291"/>
      <c r="AW77" s="960"/>
      <c r="BR77" s="175"/>
      <c r="BS77" s="291"/>
      <c r="BT77" s="291"/>
      <c r="BU77" s="291"/>
      <c r="CB77" s="354"/>
      <c r="CC77" s="354"/>
      <c r="CD77" s="354"/>
      <c r="CE77" s="354"/>
      <c r="CF77" s="354"/>
      <c r="CG77" s="348" t="str">
        <f>IF(SUM(G11,I11,K11,M11,O11,Q11,S11,U11)&lt;SUM(E77,E84,E91,E98),"* La suma de Población Hombre Menor de 12 meses según resultado de Evaluación no puede ser mayor que la Población Hombres bajo control de la sección A. ","")</f>
        <v/>
      </c>
      <c r="CH77" s="348" t="str">
        <f>IF(SUM(H11,J11,L11,N11,P11,R11,T11,V11)&lt;SUM(F77,F84,F91,F98),"* La suma de Población Mujeres Menor de 12 meses según resultado de Evaluación no puede ser mayor que la Población Mujeres bajo control de la sección A. ","")</f>
        <v/>
      </c>
      <c r="CI77" s="348" t="str">
        <f>IF(AND(D77&gt;0,OR(G77=""))," * No olvide digitar la variable Pueblos Originarios (Digite Cero si no tiene).",IF(G77&gt;D77," * La variable Pueblos Originarios no puede ser Mayor al Total.",""))</f>
        <v xml:space="preserve"> * La variable Pueblos Originarios no puede ser Mayor al Total.</v>
      </c>
      <c r="CJ77" s="348" t="str">
        <f>IF(AND(D77&gt;0,OR(H77=""))," * No olvide digitar la variable Migrantes (Digite Cero si no tiene).",IF(H77&gt;D77," * La variable Migrantes no puede ser Mayor al Total.",""))</f>
        <v xml:space="preserve"> * La variable Migrantes no puede ser Mayor al Total.</v>
      </c>
      <c r="CK77" s="348"/>
      <c r="CL77" s="348"/>
      <c r="CM77" s="306"/>
      <c r="CN77" s="306"/>
      <c r="CO77" s="306"/>
      <c r="CP77" s="306"/>
      <c r="CQ77" s="306"/>
      <c r="CR77" s="306"/>
      <c r="CS77" s="306"/>
      <c r="CT77" s="306"/>
      <c r="CU77" s="306"/>
      <c r="CV77" s="306"/>
      <c r="CW77" s="306"/>
      <c r="CX77" s="306"/>
      <c r="CY77" s="306"/>
      <c r="CZ77" s="306"/>
      <c r="DA77" s="306"/>
      <c r="DB77" s="306"/>
      <c r="DC77" s="354"/>
      <c r="DD77" s="354"/>
      <c r="DE77" s="358">
        <f>IF(SUM(G11,I11,K11,M11,O11,Q11,S11,U11)&lt;SUM(E77,E84,E91,E98),1,0)</f>
        <v>0</v>
      </c>
      <c r="DF77" s="358">
        <f>IF(SUM(H11,J11,L11,N11,P11,R11,T11,V11)&lt;SUM(F77,F84,F91,F98),1,0)</f>
        <v>0</v>
      </c>
      <c r="DG77" s="358">
        <f>IF(G77&gt;$D77,1,0)</f>
        <v>1</v>
      </c>
      <c r="DH77" s="358">
        <f>IF(H77&gt;$D77,1,0)</f>
        <v>1</v>
      </c>
      <c r="DI77" s="358">
        <f>IF(AND($D77&lt;&gt;0,G77=""),1,0)</f>
        <v>0</v>
      </c>
      <c r="DJ77" s="358">
        <f>IF(AND($D77&lt;&gt;0,H77=""),1,0)</f>
        <v>0</v>
      </c>
      <c r="DK77" s="352"/>
      <c r="DL77" s="352"/>
      <c r="DM77" s="352"/>
      <c r="DN77" s="352"/>
      <c r="DO77" s="352"/>
      <c r="DP77" s="352"/>
      <c r="DQ77" s="352"/>
      <c r="DR77" s="352"/>
      <c r="DS77" s="352"/>
      <c r="DT77" s="352"/>
      <c r="DU77" s="352"/>
      <c r="DV77" s="352"/>
      <c r="DW77" s="352"/>
    </row>
    <row r="78" spans="1:127" ht="15.75" customHeight="1" x14ac:dyDescent="0.3">
      <c r="A78" s="1637" t="s">
        <v>1042</v>
      </c>
      <c r="B78" s="2012"/>
      <c r="C78" s="110" t="s">
        <v>86</v>
      </c>
      <c r="D78" s="543" t="s">
        <v>1550</v>
      </c>
      <c r="E78" s="568" t="s">
        <v>1551</v>
      </c>
      <c r="F78" s="1190" t="s">
        <v>1552</v>
      </c>
      <c r="G78" s="513" t="s">
        <v>1553</v>
      </c>
      <c r="H78" s="569" t="s">
        <v>1554</v>
      </c>
      <c r="I78" s="351" t="str">
        <f t="shared" ref="I78:I104" si="135">CG78&amp;CH78&amp;CI78&amp;CJ78&amp;CK78&amp;CL78</f>
        <v xml:space="preserve"> * La variable Pueblos Originarios no puede ser Mayor al Total. * La variable Migrantes no puede ser Mayor al Total.</v>
      </c>
      <c r="K78" s="353"/>
      <c r="L78" s="353"/>
      <c r="M78" s="353"/>
      <c r="N78" s="353"/>
      <c r="O78" s="353"/>
      <c r="AW78" s="960"/>
      <c r="BR78" s="175"/>
      <c r="BS78" s="291"/>
      <c r="BT78" s="291"/>
      <c r="BU78" s="291"/>
      <c r="CB78" s="354"/>
      <c r="CC78" s="354"/>
      <c r="CD78" s="354"/>
      <c r="CE78" s="354"/>
      <c r="CF78" s="354"/>
      <c r="CG78" s="348" t="str">
        <f>IF(SUM(W11)&lt;SUM(E78,E85,E92,E99),"* La suma de Población Hombre de 12 a 17 meses según resultado de Evaluación no puede ser mayor que la Población Hombres bajo control de la sección A. ","")</f>
        <v/>
      </c>
      <c r="CH78" s="348" t="str">
        <f>IF(SUM(X11)&lt;SUM(F78,F85,F92,F99),"* La suma de Población Mujer 12 a 17 meses según resultado de Evaluación no puede ser mayor que la Población Mujer bajo control de la sección A. ","")</f>
        <v/>
      </c>
      <c r="CI78" s="348" t="str">
        <f t="shared" ref="CI78:CI104" si="136">IF(AND(D78&gt;0,OR(G78=""))," * No olvide digitar la variable Pueblos Originarios (Digite Cero si no tiene).",IF(G78&gt;D78," * La variable Pueblos Originarios no puede ser Mayor al Total.",""))</f>
        <v xml:space="preserve"> * La variable Pueblos Originarios no puede ser Mayor al Total.</v>
      </c>
      <c r="CJ78" s="348" t="str">
        <f t="shared" ref="CJ78:CJ104" si="137">IF(AND(D78&gt;0,OR(H78=""))," * No olvide digitar la variable Migrantes (Digite Cero si no tiene).",IF(H78&gt;D78," * La variable Migrantes no puede ser Mayor al Total.",""))</f>
        <v xml:space="preserve"> * La variable Migrantes no puede ser Mayor al Total.</v>
      </c>
      <c r="CK78" s="348"/>
      <c r="CL78" s="348"/>
      <c r="CM78" s="306"/>
      <c r="CN78" s="306"/>
      <c r="CO78" s="306"/>
      <c r="CP78" s="306"/>
      <c r="CQ78" s="306"/>
      <c r="CR78" s="306"/>
      <c r="CS78" s="306"/>
      <c r="CT78" s="306"/>
      <c r="CU78" s="306"/>
      <c r="CV78" s="306"/>
      <c r="CW78" s="306"/>
      <c r="CX78" s="306"/>
      <c r="CY78" s="306"/>
      <c r="CZ78" s="306"/>
      <c r="DA78" s="306"/>
      <c r="DB78" s="306"/>
      <c r="DC78" s="354"/>
      <c r="DD78" s="354"/>
      <c r="DE78" s="358">
        <f>IF(W$11&lt;SUM(E78,E85,E92,E99),1,0)</f>
        <v>0</v>
      </c>
      <c r="DF78" s="358">
        <f>IF(X$11&lt;SUM(F78,F85,F92,F99),1,0)</f>
        <v>0</v>
      </c>
      <c r="DG78" s="358">
        <f t="shared" ref="DG78:DG104" si="138">IF(G78&gt;$D78,1,0)</f>
        <v>1</v>
      </c>
      <c r="DH78" s="358">
        <f t="shared" ref="DH78:DH104" si="139">IF(H78&gt;$D78,1,0)</f>
        <v>1</v>
      </c>
      <c r="DI78" s="358">
        <f t="shared" ref="DI78:DI104" si="140">IF(AND($D78&lt;&gt;0,G78=""),1,0)</f>
        <v>0</v>
      </c>
      <c r="DJ78" s="358">
        <f t="shared" ref="DJ78:DJ104" si="141">IF(AND($D78&lt;&gt;0,H78=""),1,0)</f>
        <v>0</v>
      </c>
      <c r="DK78" s="352"/>
      <c r="DL78" s="352"/>
      <c r="DM78" s="352"/>
      <c r="DN78" s="352"/>
      <c r="DO78" s="352"/>
      <c r="DP78" s="352"/>
      <c r="DQ78" s="352"/>
      <c r="DR78" s="352"/>
      <c r="DS78" s="352"/>
      <c r="DT78" s="352"/>
      <c r="DU78" s="352"/>
      <c r="DV78" s="352"/>
      <c r="DW78" s="352"/>
    </row>
    <row r="79" spans="1:127" ht="15.75" customHeight="1" x14ac:dyDescent="0.3">
      <c r="A79" s="1637" t="s">
        <v>1043</v>
      </c>
      <c r="B79" s="2013"/>
      <c r="C79" s="110" t="s">
        <v>87</v>
      </c>
      <c r="D79" s="543" t="s">
        <v>1550</v>
      </c>
      <c r="E79" s="568" t="s">
        <v>1551</v>
      </c>
      <c r="F79" s="1190" t="s">
        <v>1552</v>
      </c>
      <c r="G79" s="513" t="s">
        <v>1553</v>
      </c>
      <c r="H79" s="569" t="s">
        <v>1554</v>
      </c>
      <c r="I79" s="351" t="str">
        <f t="shared" si="135"/>
        <v xml:space="preserve"> * La variable Pueblos Originarios no puede ser Mayor al Total. * La variable Migrantes no puede ser Mayor al Total.</v>
      </c>
      <c r="K79" s="353"/>
      <c r="L79" s="353"/>
      <c r="M79" s="353"/>
      <c r="N79" s="353"/>
      <c r="O79" s="353"/>
      <c r="AW79" s="960"/>
      <c r="BR79" s="175"/>
      <c r="BS79" s="291"/>
      <c r="BT79" s="291"/>
      <c r="BU79" s="291"/>
      <c r="CB79" s="354"/>
      <c r="CC79" s="354"/>
      <c r="CD79" s="354"/>
      <c r="CE79" s="354"/>
      <c r="CF79" s="354"/>
      <c r="CG79" s="348" t="str">
        <f>IF(SUM(Y11)&lt;SUM(E79,E86,E93,E100),"* La suma de Población Hombre 18 a 23 meses según resultado de Evaluación no puede ser mayor que la Población Hombres bajo control de la sección A. ","")</f>
        <v/>
      </c>
      <c r="CH79" s="348" t="str">
        <f>IF(SUM(Z11)&lt;SUM(F79,F86,F93,F100),"* La suma de Población Mujer de 18 a 23 meses según resultado de Evaluación no puede ser mayor que la Población Mujer bajo control de la sección A. ","")</f>
        <v/>
      </c>
      <c r="CI79" s="348" t="str">
        <f t="shared" si="136"/>
        <v xml:space="preserve"> * La variable Pueblos Originarios no puede ser Mayor al Total.</v>
      </c>
      <c r="CJ79" s="348" t="str">
        <f t="shared" si="137"/>
        <v xml:space="preserve"> * La variable Migrantes no puede ser Mayor al Total.</v>
      </c>
      <c r="CK79" s="348"/>
      <c r="CL79" s="348"/>
      <c r="CM79" s="306"/>
      <c r="CN79" s="306"/>
      <c r="CO79" s="306"/>
      <c r="CP79" s="306"/>
      <c r="CQ79" s="306"/>
      <c r="CR79" s="306"/>
      <c r="CS79" s="306"/>
      <c r="CT79" s="306"/>
      <c r="CU79" s="306"/>
      <c r="CV79" s="306"/>
      <c r="CW79" s="306"/>
      <c r="CX79" s="306"/>
      <c r="CY79" s="306"/>
      <c r="CZ79" s="306"/>
      <c r="DA79" s="306"/>
      <c r="DB79" s="306"/>
      <c r="DC79" s="354"/>
      <c r="DD79" s="354"/>
      <c r="DE79" s="358">
        <f>IF(Y$11&lt;SUM(E79,E86,E93,E100),1,0)</f>
        <v>0</v>
      </c>
      <c r="DF79" s="358">
        <f>IF(Z$11&lt;SUM(F79,F86,F93,F100),1,0)</f>
        <v>0</v>
      </c>
      <c r="DG79" s="358">
        <f t="shared" si="138"/>
        <v>1</v>
      </c>
      <c r="DH79" s="358">
        <f t="shared" si="139"/>
        <v>1</v>
      </c>
      <c r="DI79" s="358">
        <f t="shared" si="140"/>
        <v>0</v>
      </c>
      <c r="DJ79" s="358">
        <f t="shared" si="141"/>
        <v>0</v>
      </c>
      <c r="DK79" s="352"/>
      <c r="DL79" s="352"/>
      <c r="DM79" s="352"/>
      <c r="DN79" s="352"/>
      <c r="DO79" s="352"/>
      <c r="DP79" s="352"/>
      <c r="DQ79" s="352"/>
      <c r="DR79" s="352"/>
      <c r="DS79" s="352"/>
      <c r="DT79" s="352"/>
      <c r="DU79" s="352"/>
      <c r="DV79" s="352"/>
      <c r="DW79" s="352"/>
    </row>
    <row r="80" spans="1:127" ht="15.75" customHeight="1" x14ac:dyDescent="0.3">
      <c r="A80" s="1637" t="s">
        <v>1044</v>
      </c>
      <c r="B80" s="2013"/>
      <c r="C80" s="110" t="s">
        <v>88</v>
      </c>
      <c r="D80" s="543" t="s">
        <v>1550</v>
      </c>
      <c r="E80" s="568" t="s">
        <v>1551</v>
      </c>
      <c r="F80" s="1190" t="s">
        <v>1552</v>
      </c>
      <c r="G80" s="513" t="s">
        <v>1553</v>
      </c>
      <c r="H80" s="569" t="s">
        <v>1554</v>
      </c>
      <c r="I80" s="351" t="str">
        <f t="shared" si="135"/>
        <v xml:space="preserve"> * La variable Pueblos Originarios no puede ser Mayor al Total. * La variable Migrantes no puede ser Mayor al Total.</v>
      </c>
      <c r="K80" s="353"/>
      <c r="L80" s="353"/>
      <c r="M80" s="353"/>
      <c r="N80" s="353"/>
      <c r="O80" s="353"/>
      <c r="AW80" s="960"/>
      <c r="BR80" s="175"/>
      <c r="BS80" s="291"/>
      <c r="BT80" s="291"/>
      <c r="BU80" s="291"/>
      <c r="CB80" s="354"/>
      <c r="CC80" s="354"/>
      <c r="CD80" s="354"/>
      <c r="CE80" s="354"/>
      <c r="CF80" s="354"/>
      <c r="CG80" s="348" t="str">
        <f>IF(SUM(AA11)&lt;SUM(E80,E87,E94,E101),"* La suma de Población Hombre 24 a 35 meses según resultado de Evaluación no puede ser mayor que la Población Hombres bajo control de la sección A. ","")</f>
        <v/>
      </c>
      <c r="CH80" s="348" t="str">
        <f>IF(SUM(AB11)&lt;SUM(F80,F87,F94,F101),"* La suma de Población Hombre 24 a 35 meses según resultado de Evaluación no puede ser mayor que la Población Hombres bajo control de la sección A. ","")</f>
        <v/>
      </c>
      <c r="CI80" s="348" t="str">
        <f t="shared" si="136"/>
        <v xml:space="preserve"> * La variable Pueblos Originarios no puede ser Mayor al Total.</v>
      </c>
      <c r="CJ80" s="348" t="str">
        <f t="shared" si="137"/>
        <v xml:space="preserve"> * La variable Migrantes no puede ser Mayor al Total.</v>
      </c>
      <c r="CK80" s="348"/>
      <c r="CL80" s="348"/>
      <c r="CM80" s="306"/>
      <c r="CN80" s="306"/>
      <c r="CO80" s="306"/>
      <c r="CP80" s="306"/>
      <c r="CQ80" s="306"/>
      <c r="CR80" s="306"/>
      <c r="CS80" s="306"/>
      <c r="CT80" s="306"/>
      <c r="CU80" s="306"/>
      <c r="CV80" s="306"/>
      <c r="CW80" s="306"/>
      <c r="CX80" s="306"/>
      <c r="CY80" s="306"/>
      <c r="CZ80" s="306"/>
      <c r="DA80" s="306"/>
      <c r="DB80" s="306"/>
      <c r="DC80" s="354"/>
      <c r="DD80" s="354"/>
      <c r="DE80" s="358">
        <f>IF(AA$11&lt;SUM(E80,E87,E94,E101),1,0)</f>
        <v>0</v>
      </c>
      <c r="DF80" s="358">
        <f>IF(AB$11&lt;SUM(F80,F87,F94,F101),1,0)</f>
        <v>0</v>
      </c>
      <c r="DG80" s="358">
        <f t="shared" si="138"/>
        <v>1</v>
      </c>
      <c r="DH80" s="358">
        <f t="shared" si="139"/>
        <v>1</v>
      </c>
      <c r="DI80" s="358">
        <f t="shared" si="140"/>
        <v>0</v>
      </c>
      <c r="DJ80" s="358">
        <f t="shared" si="141"/>
        <v>0</v>
      </c>
      <c r="DK80" s="352"/>
      <c r="DL80" s="352"/>
      <c r="DM80" s="352"/>
      <c r="DN80" s="352"/>
      <c r="DO80" s="352"/>
      <c r="DP80" s="352"/>
      <c r="DQ80" s="352"/>
      <c r="DR80" s="352"/>
      <c r="DS80" s="352"/>
      <c r="DT80" s="352"/>
      <c r="DU80" s="352"/>
      <c r="DV80" s="352"/>
      <c r="DW80" s="352"/>
    </row>
    <row r="81" spans="1:127" ht="15.75" customHeight="1" x14ac:dyDescent="0.3">
      <c r="A81" s="1645" t="s">
        <v>1081</v>
      </c>
      <c r="B81" s="2013"/>
      <c r="C81" s="1318" t="s">
        <v>89</v>
      </c>
      <c r="D81" s="526" t="s">
        <v>1550</v>
      </c>
      <c r="E81" s="651" t="s">
        <v>1551</v>
      </c>
      <c r="F81" s="1191" t="s">
        <v>1552</v>
      </c>
      <c r="G81" s="517" t="s">
        <v>1553</v>
      </c>
      <c r="H81" s="652" t="s">
        <v>1554</v>
      </c>
      <c r="I81" s="351" t="str">
        <f t="shared" si="135"/>
        <v xml:space="preserve"> * La variable Pueblos Originarios no puede ser Mayor al Total. * La variable Migrantes no puede ser Mayor al Total.</v>
      </c>
      <c r="K81" s="353"/>
      <c r="L81" s="353"/>
      <c r="M81" s="353"/>
      <c r="N81" s="353"/>
      <c r="O81" s="353"/>
      <c r="AW81" s="960"/>
      <c r="BR81" s="175"/>
      <c r="BS81" s="291"/>
      <c r="BT81" s="291"/>
      <c r="BU81" s="291"/>
      <c r="CB81" s="354"/>
      <c r="CC81" s="354"/>
      <c r="CD81" s="354"/>
      <c r="CE81" s="354"/>
      <c r="CF81" s="354"/>
      <c r="CG81" s="348" t="str">
        <f>IF(SUM(AC11)&lt;SUM(E81,E88,E95,E102),"* La suma de Población Hombre 36 a 41 meses según resultado de Evaluación no puede ser mayor que la Población Hombres bajo control de la sección A. ","")</f>
        <v/>
      </c>
      <c r="CH81" s="348" t="str">
        <f>IF(SUM(AD11)&lt;SUM(F81,F88,F95,F102),"* La suma de Población Hombre 36 a 41 meses según resultado de Evaluación no puede ser mayor que la Población Hombres bajo control de la sección A. ","")</f>
        <v/>
      </c>
      <c r="CI81" s="348" t="str">
        <f t="shared" si="136"/>
        <v xml:space="preserve"> * La variable Pueblos Originarios no puede ser Mayor al Total.</v>
      </c>
      <c r="CJ81" s="348" t="str">
        <f t="shared" si="137"/>
        <v xml:space="preserve"> * La variable Migrantes no puede ser Mayor al Total.</v>
      </c>
      <c r="CK81" s="348"/>
      <c r="CL81" s="348"/>
      <c r="CM81" s="306"/>
      <c r="CN81" s="306"/>
      <c r="CO81" s="306"/>
      <c r="CP81" s="306"/>
      <c r="CQ81" s="306"/>
      <c r="CR81" s="306"/>
      <c r="CS81" s="306"/>
      <c r="CT81" s="306"/>
      <c r="CU81" s="306"/>
      <c r="CV81" s="306"/>
      <c r="CW81" s="306"/>
      <c r="CX81" s="306"/>
      <c r="CY81" s="306"/>
      <c r="CZ81" s="306"/>
      <c r="DA81" s="306"/>
      <c r="DB81" s="306"/>
      <c r="DC81" s="354"/>
      <c r="DD81" s="354"/>
      <c r="DE81" s="358">
        <f>IF(AC$11&lt;SUM(E81,E88,E95,E102),1,0)</f>
        <v>0</v>
      </c>
      <c r="DF81" s="358">
        <f>IF(AD$11&lt;SUM(F81,F88,F95,F102),1,0)</f>
        <v>0</v>
      </c>
      <c r="DG81" s="358">
        <f t="shared" si="138"/>
        <v>1</v>
      </c>
      <c r="DH81" s="358">
        <f t="shared" si="139"/>
        <v>1</v>
      </c>
      <c r="DI81" s="358">
        <f t="shared" si="140"/>
        <v>0</v>
      </c>
      <c r="DJ81" s="358">
        <f t="shared" si="141"/>
        <v>0</v>
      </c>
      <c r="DK81" s="352"/>
      <c r="DL81" s="352"/>
      <c r="DM81" s="352"/>
      <c r="DN81" s="352"/>
      <c r="DO81" s="352"/>
      <c r="DP81" s="352"/>
      <c r="DQ81" s="352"/>
      <c r="DR81" s="352"/>
      <c r="DS81" s="352"/>
      <c r="DT81" s="352"/>
      <c r="DU81" s="352"/>
      <c r="DV81" s="352"/>
      <c r="DW81" s="352"/>
    </row>
    <row r="82" spans="1:127" ht="15.75" customHeight="1" x14ac:dyDescent="0.3">
      <c r="A82" s="1645" t="s">
        <v>1129</v>
      </c>
      <c r="B82" s="2013"/>
      <c r="C82" s="1318" t="s">
        <v>90</v>
      </c>
      <c r="D82" s="526" t="s">
        <v>1550</v>
      </c>
      <c r="E82" s="651" t="s">
        <v>1551</v>
      </c>
      <c r="F82" s="1191" t="s">
        <v>1552</v>
      </c>
      <c r="G82" s="517" t="s">
        <v>1553</v>
      </c>
      <c r="H82" s="652" t="s">
        <v>1554</v>
      </c>
      <c r="I82" s="351" t="str">
        <f>CG82&amp;CH82&amp;CI82&amp;CJ82&amp;CK82&amp;CL82</f>
        <v xml:space="preserve"> * La variable Pueblos Originarios no puede ser Mayor al Total. * La variable Migrantes no puede ser Mayor al Total.</v>
      </c>
      <c r="K82" s="353"/>
      <c r="L82" s="353"/>
      <c r="M82" s="353"/>
      <c r="N82" s="353"/>
      <c r="O82" s="353"/>
      <c r="AW82" s="960"/>
      <c r="BR82" s="175"/>
      <c r="BS82" s="291"/>
      <c r="BT82" s="291"/>
      <c r="BU82" s="291"/>
      <c r="CB82" s="354"/>
      <c r="CC82" s="354"/>
      <c r="CD82" s="354"/>
      <c r="CE82" s="354"/>
      <c r="CF82" s="354"/>
      <c r="CG82" s="348" t="str">
        <f>IF(SUM(AE11)&lt;SUM(E82,E89,E96,E103),"* La suma de Población Hombre 42 a 47 meses según resultado de Evaluación no puede ser mayor que la Población Hombres bajo control de la sección A. ","")</f>
        <v/>
      </c>
      <c r="CH82" s="348" t="str">
        <f>IF(SUM(AF11)&lt;SUM(F82,F89,F96,F103),"* La suma de Población Hombre 42 a 47 meses según resultado de Evaluación no puede ser mayor que la Población Hombres bajo control de la sección A. ","")</f>
        <v/>
      </c>
      <c r="CI82" s="348" t="str">
        <f t="shared" si="136"/>
        <v xml:space="preserve"> * La variable Pueblos Originarios no puede ser Mayor al Total.</v>
      </c>
      <c r="CJ82" s="348" t="str">
        <f t="shared" si="137"/>
        <v xml:space="preserve"> * La variable Migrantes no puede ser Mayor al Total.</v>
      </c>
      <c r="CK82" s="348"/>
      <c r="CL82" s="348"/>
      <c r="CM82" s="306"/>
      <c r="CN82" s="306"/>
      <c r="CO82" s="306"/>
      <c r="CP82" s="306"/>
      <c r="CQ82" s="306"/>
      <c r="CR82" s="306"/>
      <c r="CS82" s="306"/>
      <c r="CT82" s="306"/>
      <c r="CU82" s="306"/>
      <c r="CV82" s="306"/>
      <c r="CW82" s="306"/>
      <c r="CX82" s="306"/>
      <c r="CY82" s="306"/>
      <c r="CZ82" s="306"/>
      <c r="DA82" s="306"/>
      <c r="DB82" s="306"/>
      <c r="DC82" s="354"/>
      <c r="DD82" s="354"/>
      <c r="DE82" s="358">
        <f>IF(AE$11&lt;SUM(E82,E89,E96,E103),1,0)</f>
        <v>0</v>
      </c>
      <c r="DF82" s="358">
        <f>IF(AF$11&lt;SUM(F82,F89,F96,F103),1,0)</f>
        <v>0</v>
      </c>
      <c r="DG82" s="358">
        <f t="shared" ref="DG82" si="142">IF(G82&gt;$D82,1,0)</f>
        <v>1</v>
      </c>
      <c r="DH82" s="358">
        <f t="shared" ref="DH82" si="143">IF(H82&gt;$D82,1,0)</f>
        <v>1</v>
      </c>
      <c r="DI82" s="358">
        <f t="shared" ref="DI82" si="144">IF(AND($D82&lt;&gt;0,G82=""),1,0)</f>
        <v>0</v>
      </c>
      <c r="DJ82" s="358">
        <f t="shared" ref="DJ82" si="145">IF(AND($D82&lt;&gt;0,H82=""),1,0)</f>
        <v>0</v>
      </c>
      <c r="DK82" s="352"/>
      <c r="DL82" s="352"/>
      <c r="DM82" s="352"/>
      <c r="DN82" s="352"/>
      <c r="DO82" s="352"/>
      <c r="DP82" s="352"/>
      <c r="DQ82" s="352"/>
      <c r="DR82" s="352"/>
      <c r="DS82" s="352"/>
      <c r="DT82" s="352"/>
      <c r="DU82" s="352"/>
      <c r="DV82" s="352"/>
      <c r="DW82" s="352"/>
    </row>
    <row r="83" spans="1:127" ht="15.75" customHeight="1" x14ac:dyDescent="0.3">
      <c r="A83" s="1637" t="s">
        <v>1046</v>
      </c>
      <c r="B83" s="2014"/>
      <c r="C83" s="111" t="s">
        <v>91</v>
      </c>
      <c r="D83" s="650" t="s">
        <v>1550</v>
      </c>
      <c r="E83" s="527" t="s">
        <v>1551</v>
      </c>
      <c r="F83" s="1192" t="s">
        <v>1552</v>
      </c>
      <c r="G83" s="504" t="s">
        <v>1553</v>
      </c>
      <c r="H83" s="570" t="s">
        <v>1554</v>
      </c>
      <c r="I83" s="351" t="str">
        <f t="shared" si="135"/>
        <v xml:space="preserve"> * La variable Pueblos Originarios no puede ser Mayor al Total. * La variable Migrantes no puede ser Mayor al Total.</v>
      </c>
      <c r="K83" s="353"/>
      <c r="L83" s="353"/>
      <c r="M83" s="353"/>
      <c r="N83" s="353"/>
      <c r="O83" s="353"/>
      <c r="AW83" s="960"/>
      <c r="BR83" s="175"/>
      <c r="BS83" s="291"/>
      <c r="BT83" s="291"/>
      <c r="BU83" s="291"/>
      <c r="CB83" s="354"/>
      <c r="CC83" s="354"/>
      <c r="CD83" s="354"/>
      <c r="CE83" s="354"/>
      <c r="CF83" s="354"/>
      <c r="CG83" s="348" t="str">
        <f>IF(SUM(AG11)&lt;SUM(E83,E90,E97,E104),"* La suma de Población Hombre 48 a 59 meses según resultado de Evaluación no puede ser mayor que la Población Hombres bajo control de la sección A. ","")</f>
        <v/>
      </c>
      <c r="CH83" s="348" t="str">
        <f>IF(SUM(AH11)&lt;SUM(F83,F90,F97,F104),"* La suma de Población Mujeres 48 a 59 meses según resultado de Evaluación no puede ser mayor que la Población Hombres bajo control de la sección A. ","")</f>
        <v/>
      </c>
      <c r="CI83" s="348" t="str">
        <f t="shared" si="136"/>
        <v xml:space="preserve"> * La variable Pueblos Originarios no puede ser Mayor al Total.</v>
      </c>
      <c r="CJ83" s="348" t="str">
        <f t="shared" si="137"/>
        <v xml:space="preserve"> * La variable Migrantes no puede ser Mayor al Total.</v>
      </c>
      <c r="CK83" s="348"/>
      <c r="CL83" s="348"/>
      <c r="CM83" s="306"/>
      <c r="CN83" s="306"/>
      <c r="CO83" s="306"/>
      <c r="CP83" s="306"/>
      <c r="CQ83" s="306"/>
      <c r="CR83" s="306"/>
      <c r="CS83" s="306"/>
      <c r="CT83" s="306"/>
      <c r="CU83" s="306"/>
      <c r="CV83" s="306"/>
      <c r="CW83" s="306"/>
      <c r="CX83" s="306"/>
      <c r="CY83" s="306"/>
      <c r="CZ83" s="306"/>
      <c r="DA83" s="306"/>
      <c r="DB83" s="306"/>
      <c r="DC83" s="354"/>
      <c r="DD83" s="354"/>
      <c r="DE83" s="358">
        <f>IF(AG$11&lt;SUM(E83,E90,E97,E104),1,0)</f>
        <v>0</v>
      </c>
      <c r="DF83" s="358">
        <f>IF(AH$11&lt;SUM(F83,F90,F97,F104),1,0)</f>
        <v>0</v>
      </c>
      <c r="DG83" s="358">
        <f t="shared" si="138"/>
        <v>1</v>
      </c>
      <c r="DH83" s="358">
        <f t="shared" si="139"/>
        <v>1</v>
      </c>
      <c r="DI83" s="358">
        <f t="shared" si="140"/>
        <v>0</v>
      </c>
      <c r="DJ83" s="358">
        <f t="shared" si="141"/>
        <v>0</v>
      </c>
      <c r="DK83" s="352"/>
      <c r="DL83" s="352"/>
      <c r="DM83" s="352"/>
      <c r="DN83" s="352"/>
      <c r="DO83" s="352"/>
      <c r="DP83" s="352"/>
      <c r="DQ83" s="352"/>
      <c r="DR83" s="352"/>
      <c r="DS83" s="352"/>
      <c r="DT83" s="352"/>
      <c r="DU83" s="352"/>
      <c r="DV83" s="352"/>
      <c r="DW83" s="352"/>
    </row>
    <row r="84" spans="1:127" ht="15.75" customHeight="1" x14ac:dyDescent="0.3">
      <c r="A84" s="1637" t="s">
        <v>1047</v>
      </c>
      <c r="B84" s="2011" t="s">
        <v>684</v>
      </c>
      <c r="C84" s="108" t="s">
        <v>108</v>
      </c>
      <c r="D84" s="496" t="s">
        <v>1550</v>
      </c>
      <c r="E84" s="525" t="s">
        <v>1551</v>
      </c>
      <c r="F84" s="1224" t="s">
        <v>1552</v>
      </c>
      <c r="G84" s="510" t="s">
        <v>1553</v>
      </c>
      <c r="H84" s="1102" t="s">
        <v>1554</v>
      </c>
      <c r="I84" s="351" t="str">
        <f t="shared" si="135"/>
        <v xml:space="preserve"> * La variable Pueblos Originarios no puede ser Mayor al Total. * La variable Migrantes no puede ser Mayor al Total.</v>
      </c>
      <c r="K84" s="106"/>
      <c r="L84" s="106"/>
      <c r="M84" s="106"/>
      <c r="N84" s="106"/>
      <c r="O84" s="106"/>
      <c r="AW84" s="960"/>
      <c r="BR84" s="175"/>
      <c r="BS84" s="291"/>
      <c r="BT84" s="291"/>
      <c r="BU84" s="291"/>
      <c r="CB84" s="354"/>
      <c r="CC84" s="354"/>
      <c r="CD84" s="354"/>
      <c r="CE84" s="354"/>
      <c r="CF84" s="354"/>
      <c r="CG84" s="354"/>
      <c r="CH84" s="354"/>
      <c r="CI84" s="348" t="str">
        <f t="shared" si="136"/>
        <v xml:space="preserve"> * La variable Pueblos Originarios no puede ser Mayor al Total.</v>
      </c>
      <c r="CJ84" s="348" t="str">
        <f t="shared" si="137"/>
        <v xml:space="preserve"> * La variable Migrantes no puede ser Mayor al Total.</v>
      </c>
      <c r="CK84" s="348"/>
      <c r="CL84" s="348"/>
      <c r="CM84" s="306"/>
      <c r="CN84" s="306"/>
      <c r="CO84" s="306"/>
      <c r="CP84" s="306"/>
      <c r="CQ84" s="306"/>
      <c r="CR84" s="306"/>
      <c r="CS84" s="306"/>
      <c r="CT84" s="306"/>
      <c r="CU84" s="306"/>
      <c r="CV84" s="306"/>
      <c r="CW84" s="306"/>
      <c r="CX84" s="306"/>
      <c r="CY84" s="306"/>
      <c r="CZ84" s="306"/>
      <c r="DA84" s="306"/>
      <c r="DB84" s="306"/>
      <c r="DC84" s="354"/>
      <c r="DD84" s="354"/>
      <c r="DE84" s="352"/>
      <c r="DF84" s="352"/>
      <c r="DG84" s="358">
        <f t="shared" si="138"/>
        <v>1</v>
      </c>
      <c r="DH84" s="358">
        <f t="shared" si="139"/>
        <v>1</v>
      </c>
      <c r="DI84" s="358">
        <f t="shared" si="140"/>
        <v>0</v>
      </c>
      <c r="DJ84" s="358">
        <f t="shared" si="141"/>
        <v>0</v>
      </c>
      <c r="DK84" s="352"/>
      <c r="DL84" s="352"/>
      <c r="DM84" s="352"/>
      <c r="DN84" s="352"/>
      <c r="DO84" s="352"/>
      <c r="DP84" s="352"/>
      <c r="DQ84" s="352"/>
      <c r="DR84" s="352"/>
      <c r="DS84" s="352"/>
      <c r="DT84" s="352"/>
      <c r="DU84" s="352"/>
      <c r="DV84" s="352"/>
      <c r="DW84" s="352"/>
    </row>
    <row r="85" spans="1:127" ht="15.75" customHeight="1" x14ac:dyDescent="0.3">
      <c r="A85" s="1637" t="s">
        <v>1048</v>
      </c>
      <c r="B85" s="2012"/>
      <c r="C85" s="110" t="s">
        <v>86</v>
      </c>
      <c r="D85" s="543" t="s">
        <v>1550</v>
      </c>
      <c r="E85" s="568" t="s">
        <v>1551</v>
      </c>
      <c r="F85" s="1190" t="s">
        <v>1552</v>
      </c>
      <c r="G85" s="513" t="s">
        <v>1553</v>
      </c>
      <c r="H85" s="569" t="s">
        <v>1554</v>
      </c>
      <c r="I85" s="351" t="str">
        <f t="shared" si="135"/>
        <v xml:space="preserve"> * La variable Pueblos Originarios no puede ser Mayor al Total. * La variable Migrantes no puede ser Mayor al Total.</v>
      </c>
      <c r="K85" s="353"/>
      <c r="L85" s="353"/>
      <c r="M85" s="353"/>
      <c r="N85" s="353"/>
      <c r="O85" s="353"/>
      <c r="AW85" s="960"/>
      <c r="BR85" s="175"/>
      <c r="BS85" s="291"/>
      <c r="BT85" s="291"/>
      <c r="BU85" s="291"/>
      <c r="CB85" s="354"/>
      <c r="CC85" s="354"/>
      <c r="CD85" s="354"/>
      <c r="CE85" s="354"/>
      <c r="CF85" s="354"/>
      <c r="CG85" s="354"/>
      <c r="CH85" s="354"/>
      <c r="CI85" s="348" t="str">
        <f t="shared" si="136"/>
        <v xml:space="preserve"> * La variable Pueblos Originarios no puede ser Mayor al Total.</v>
      </c>
      <c r="CJ85" s="348" t="str">
        <f t="shared" si="137"/>
        <v xml:space="preserve"> * La variable Migrantes no puede ser Mayor al Total.</v>
      </c>
      <c r="CK85" s="348"/>
      <c r="CL85" s="348"/>
      <c r="CM85" s="306"/>
      <c r="CN85" s="306"/>
      <c r="CO85" s="306"/>
      <c r="CP85" s="306"/>
      <c r="CQ85" s="306"/>
      <c r="CR85" s="306"/>
      <c r="CS85" s="306"/>
      <c r="CT85" s="306"/>
      <c r="CU85" s="306"/>
      <c r="CV85" s="306"/>
      <c r="CW85" s="306"/>
      <c r="CX85" s="306"/>
      <c r="CY85" s="306"/>
      <c r="CZ85" s="306"/>
      <c r="DA85" s="306"/>
      <c r="DB85" s="306"/>
      <c r="DC85" s="354"/>
      <c r="DD85" s="354"/>
      <c r="DE85" s="352"/>
      <c r="DF85" s="352"/>
      <c r="DG85" s="358">
        <f t="shared" si="138"/>
        <v>1</v>
      </c>
      <c r="DH85" s="358">
        <f t="shared" si="139"/>
        <v>1</v>
      </c>
      <c r="DI85" s="358">
        <f t="shared" si="140"/>
        <v>0</v>
      </c>
      <c r="DJ85" s="358">
        <f t="shared" si="141"/>
        <v>0</v>
      </c>
      <c r="DK85" s="352"/>
      <c r="DL85" s="352"/>
      <c r="DM85" s="352"/>
      <c r="DN85" s="352"/>
      <c r="DO85" s="352"/>
      <c r="DP85" s="352"/>
      <c r="DQ85" s="352"/>
      <c r="DR85" s="352"/>
      <c r="DS85" s="352"/>
      <c r="DT85" s="352"/>
      <c r="DU85" s="352"/>
      <c r="DV85" s="352"/>
      <c r="DW85" s="352"/>
    </row>
    <row r="86" spans="1:127" ht="15.75" customHeight="1" x14ac:dyDescent="0.3">
      <c r="A86" s="1637" t="s">
        <v>1049</v>
      </c>
      <c r="B86" s="2013"/>
      <c r="C86" s="110" t="s">
        <v>87</v>
      </c>
      <c r="D86" s="543" t="s">
        <v>1550</v>
      </c>
      <c r="E86" s="568" t="s">
        <v>1551</v>
      </c>
      <c r="F86" s="1190" t="s">
        <v>1552</v>
      </c>
      <c r="G86" s="513" t="s">
        <v>1553</v>
      </c>
      <c r="H86" s="569" t="s">
        <v>1554</v>
      </c>
      <c r="I86" s="351" t="str">
        <f t="shared" si="135"/>
        <v xml:space="preserve"> * La variable Pueblos Originarios no puede ser Mayor al Total. * La variable Migrantes no puede ser Mayor al Total.</v>
      </c>
      <c r="K86" s="353"/>
      <c r="L86" s="353"/>
      <c r="M86" s="353"/>
      <c r="N86" s="353"/>
      <c r="O86" s="353"/>
      <c r="AW86" s="960"/>
      <c r="BR86" s="175"/>
      <c r="BS86" s="291"/>
      <c r="BT86" s="291"/>
      <c r="BU86" s="291"/>
      <c r="CB86" s="354"/>
      <c r="CC86" s="354"/>
      <c r="CD86" s="354"/>
      <c r="CE86" s="354"/>
      <c r="CF86" s="354"/>
      <c r="CG86" s="354"/>
      <c r="CH86" s="354"/>
      <c r="CI86" s="348" t="str">
        <f t="shared" si="136"/>
        <v xml:space="preserve"> * La variable Pueblos Originarios no puede ser Mayor al Total.</v>
      </c>
      <c r="CJ86" s="348" t="str">
        <f t="shared" si="137"/>
        <v xml:space="preserve"> * La variable Migrantes no puede ser Mayor al Total.</v>
      </c>
      <c r="CK86" s="348"/>
      <c r="CL86" s="348"/>
      <c r="CM86" s="306"/>
      <c r="CN86" s="306"/>
      <c r="CO86" s="306"/>
      <c r="CP86" s="306"/>
      <c r="CQ86" s="306"/>
      <c r="CR86" s="306"/>
      <c r="CS86" s="306"/>
      <c r="CT86" s="306"/>
      <c r="CU86" s="306"/>
      <c r="CV86" s="306"/>
      <c r="CW86" s="306"/>
      <c r="CX86" s="306"/>
      <c r="CY86" s="306"/>
      <c r="CZ86" s="306"/>
      <c r="DA86" s="306"/>
      <c r="DB86" s="306"/>
      <c r="DC86" s="354"/>
      <c r="DD86" s="354"/>
      <c r="DE86" s="352"/>
      <c r="DF86" s="352"/>
      <c r="DG86" s="358">
        <f t="shared" si="138"/>
        <v>1</v>
      </c>
      <c r="DH86" s="358">
        <f t="shared" si="139"/>
        <v>1</v>
      </c>
      <c r="DI86" s="358">
        <f t="shared" si="140"/>
        <v>0</v>
      </c>
      <c r="DJ86" s="358">
        <f t="shared" si="141"/>
        <v>0</v>
      </c>
      <c r="DK86" s="352"/>
      <c r="DL86" s="352"/>
      <c r="DM86" s="352"/>
      <c r="DN86" s="352"/>
      <c r="DO86" s="352"/>
      <c r="DP86" s="352"/>
      <c r="DQ86" s="352"/>
      <c r="DR86" s="352"/>
      <c r="DS86" s="352"/>
      <c r="DT86" s="352"/>
      <c r="DU86" s="352"/>
      <c r="DV86" s="352"/>
      <c r="DW86" s="352"/>
    </row>
    <row r="87" spans="1:127" ht="15.75" customHeight="1" x14ac:dyDescent="0.3">
      <c r="A87" s="1637" t="s">
        <v>1050</v>
      </c>
      <c r="B87" s="2013"/>
      <c r="C87" s="110" t="s">
        <v>88</v>
      </c>
      <c r="D87" s="543" t="s">
        <v>1550</v>
      </c>
      <c r="E87" s="568" t="s">
        <v>1551</v>
      </c>
      <c r="F87" s="1190" t="s">
        <v>1552</v>
      </c>
      <c r="G87" s="513" t="s">
        <v>1553</v>
      </c>
      <c r="H87" s="569" t="s">
        <v>1554</v>
      </c>
      <c r="I87" s="351" t="str">
        <f t="shared" si="135"/>
        <v xml:space="preserve"> * La variable Pueblos Originarios no puede ser Mayor al Total. * La variable Migrantes no puede ser Mayor al Total.</v>
      </c>
      <c r="K87" s="353"/>
      <c r="L87" s="353"/>
      <c r="M87" s="353"/>
      <c r="N87" s="353"/>
      <c r="O87" s="353"/>
      <c r="AW87" s="960"/>
      <c r="BR87" s="175"/>
      <c r="BS87" s="291"/>
      <c r="BT87" s="291"/>
      <c r="BU87" s="291"/>
      <c r="CB87" s="354"/>
      <c r="CC87" s="354"/>
      <c r="CD87" s="354"/>
      <c r="CE87" s="354"/>
      <c r="CF87" s="354"/>
      <c r="CG87" s="354"/>
      <c r="CH87" s="354"/>
      <c r="CI87" s="348" t="str">
        <f t="shared" si="136"/>
        <v xml:space="preserve"> * La variable Pueblos Originarios no puede ser Mayor al Total.</v>
      </c>
      <c r="CJ87" s="348" t="str">
        <f t="shared" si="137"/>
        <v xml:space="preserve"> * La variable Migrantes no puede ser Mayor al Total.</v>
      </c>
      <c r="CK87" s="348"/>
      <c r="CL87" s="348"/>
      <c r="CM87" s="306"/>
      <c r="CN87" s="306"/>
      <c r="CO87" s="306"/>
      <c r="CP87" s="306"/>
      <c r="CQ87" s="306"/>
      <c r="CR87" s="306"/>
      <c r="CS87" s="306"/>
      <c r="CT87" s="306"/>
      <c r="CU87" s="306"/>
      <c r="CV87" s="306"/>
      <c r="CW87" s="306"/>
      <c r="CX87" s="306"/>
      <c r="CY87" s="306"/>
      <c r="CZ87" s="306"/>
      <c r="DA87" s="306"/>
      <c r="DB87" s="306"/>
      <c r="DC87" s="354"/>
      <c r="DD87" s="354"/>
      <c r="DE87" s="352"/>
      <c r="DF87" s="352"/>
      <c r="DG87" s="358">
        <f t="shared" si="138"/>
        <v>1</v>
      </c>
      <c r="DH87" s="358">
        <f t="shared" si="139"/>
        <v>1</v>
      </c>
      <c r="DI87" s="358">
        <f t="shared" si="140"/>
        <v>0</v>
      </c>
      <c r="DJ87" s="358">
        <f t="shared" si="141"/>
        <v>0</v>
      </c>
      <c r="DK87" s="352"/>
      <c r="DL87" s="352"/>
      <c r="DM87" s="352"/>
      <c r="DN87" s="352"/>
      <c r="DO87" s="352"/>
      <c r="DP87" s="352"/>
      <c r="DQ87" s="352"/>
      <c r="DR87" s="352"/>
      <c r="DS87" s="352"/>
      <c r="DT87" s="352"/>
      <c r="DU87" s="352"/>
      <c r="DV87" s="352"/>
      <c r="DW87" s="352"/>
    </row>
    <row r="88" spans="1:127" ht="15.75" customHeight="1" x14ac:dyDescent="0.3">
      <c r="A88" s="1645" t="s">
        <v>1598</v>
      </c>
      <c r="B88" s="2013"/>
      <c r="C88" s="1318" t="s">
        <v>89</v>
      </c>
      <c r="D88" s="526" t="s">
        <v>1550</v>
      </c>
      <c r="E88" s="651" t="s">
        <v>1551</v>
      </c>
      <c r="F88" s="1191" t="s">
        <v>1552</v>
      </c>
      <c r="G88" s="517" t="s">
        <v>1553</v>
      </c>
      <c r="H88" s="652" t="s">
        <v>1554</v>
      </c>
      <c r="I88" s="351" t="str">
        <f t="shared" si="135"/>
        <v xml:space="preserve"> * La variable Pueblos Originarios no puede ser Mayor al Total. * La variable Migrantes no puede ser Mayor al Total.</v>
      </c>
      <c r="K88" s="353"/>
      <c r="L88" s="353"/>
      <c r="M88" s="353"/>
      <c r="N88" s="353"/>
      <c r="O88" s="353"/>
      <c r="AW88" s="960"/>
      <c r="BR88" s="175"/>
      <c r="BS88" s="291"/>
      <c r="BT88" s="291"/>
      <c r="BU88" s="291"/>
      <c r="CB88" s="354"/>
      <c r="CC88" s="354"/>
      <c r="CD88" s="354"/>
      <c r="CE88" s="354"/>
      <c r="CF88" s="354"/>
      <c r="CG88" s="354"/>
      <c r="CH88" s="354"/>
      <c r="CI88" s="348" t="str">
        <f t="shared" si="136"/>
        <v xml:space="preserve"> * La variable Pueblos Originarios no puede ser Mayor al Total.</v>
      </c>
      <c r="CJ88" s="348" t="str">
        <f t="shared" si="137"/>
        <v xml:space="preserve"> * La variable Migrantes no puede ser Mayor al Total.</v>
      </c>
      <c r="CK88" s="348"/>
      <c r="CL88" s="348"/>
      <c r="CM88" s="306"/>
      <c r="CN88" s="306"/>
      <c r="CO88" s="306"/>
      <c r="CP88" s="306"/>
      <c r="CQ88" s="306"/>
      <c r="CR88" s="306"/>
      <c r="CS88" s="306"/>
      <c r="CT88" s="306"/>
      <c r="CU88" s="306"/>
      <c r="CV88" s="306"/>
      <c r="CW88" s="306"/>
      <c r="CX88" s="306"/>
      <c r="CY88" s="306"/>
      <c r="CZ88" s="306"/>
      <c r="DA88" s="306"/>
      <c r="DB88" s="306"/>
      <c r="DC88" s="354"/>
      <c r="DD88" s="354"/>
      <c r="DE88" s="352"/>
      <c r="DF88" s="352"/>
      <c r="DG88" s="358">
        <f t="shared" si="138"/>
        <v>1</v>
      </c>
      <c r="DH88" s="358">
        <f t="shared" si="139"/>
        <v>1</v>
      </c>
      <c r="DI88" s="358">
        <f t="shared" si="140"/>
        <v>0</v>
      </c>
      <c r="DJ88" s="358">
        <f t="shared" si="141"/>
        <v>0</v>
      </c>
      <c r="DK88" s="352"/>
      <c r="DL88" s="352"/>
      <c r="DM88" s="352"/>
      <c r="DN88" s="352"/>
      <c r="DO88" s="352"/>
      <c r="DP88" s="352"/>
      <c r="DQ88" s="352"/>
      <c r="DR88" s="352"/>
      <c r="DS88" s="352"/>
      <c r="DT88" s="352"/>
      <c r="DU88" s="352"/>
      <c r="DV88" s="352"/>
      <c r="DW88" s="352"/>
    </row>
    <row r="89" spans="1:127" ht="15.75" customHeight="1" x14ac:dyDescent="0.3">
      <c r="A89" s="1645" t="s">
        <v>1599</v>
      </c>
      <c r="B89" s="2013"/>
      <c r="C89" s="1318" t="s">
        <v>90</v>
      </c>
      <c r="D89" s="526" t="s">
        <v>1550</v>
      </c>
      <c r="E89" s="651" t="s">
        <v>1551</v>
      </c>
      <c r="F89" s="1191" t="s">
        <v>1552</v>
      </c>
      <c r="G89" s="517" t="s">
        <v>1553</v>
      </c>
      <c r="H89" s="652" t="s">
        <v>1554</v>
      </c>
      <c r="I89" s="351" t="str">
        <f t="shared" si="135"/>
        <v xml:space="preserve"> * La variable Pueblos Originarios no puede ser Mayor al Total. * La variable Migrantes no puede ser Mayor al Total.</v>
      </c>
      <c r="K89" s="353"/>
      <c r="L89" s="353"/>
      <c r="M89" s="353"/>
      <c r="N89" s="353"/>
      <c r="O89" s="353"/>
      <c r="AW89" s="960"/>
      <c r="BR89" s="175"/>
      <c r="BS89" s="291"/>
      <c r="BT89" s="291"/>
      <c r="BU89" s="291"/>
      <c r="CB89" s="354"/>
      <c r="CC89" s="354"/>
      <c r="CD89" s="354"/>
      <c r="CE89" s="354"/>
      <c r="CF89" s="354"/>
      <c r="CG89" s="354"/>
      <c r="CH89" s="354"/>
      <c r="CI89" s="348" t="str">
        <f t="shared" si="136"/>
        <v xml:space="preserve"> * La variable Pueblos Originarios no puede ser Mayor al Total.</v>
      </c>
      <c r="CJ89" s="348" t="str">
        <f t="shared" si="137"/>
        <v xml:space="preserve"> * La variable Migrantes no puede ser Mayor al Total.</v>
      </c>
      <c r="CK89" s="348"/>
      <c r="CL89" s="348"/>
      <c r="CM89" s="306"/>
      <c r="CN89" s="306"/>
      <c r="CO89" s="306"/>
      <c r="CP89" s="306"/>
      <c r="CQ89" s="306"/>
      <c r="CR89" s="306"/>
      <c r="CS89" s="306"/>
      <c r="CT89" s="306"/>
      <c r="CU89" s="306"/>
      <c r="CV89" s="306"/>
      <c r="CW89" s="306"/>
      <c r="CX89" s="306"/>
      <c r="CY89" s="306"/>
      <c r="CZ89" s="306"/>
      <c r="DA89" s="306"/>
      <c r="DB89" s="306"/>
      <c r="DC89" s="354"/>
      <c r="DD89" s="354"/>
      <c r="DE89" s="352"/>
      <c r="DF89" s="352"/>
      <c r="DG89" s="358">
        <f>IF(G89&gt;$D89,1,0)</f>
        <v>1</v>
      </c>
      <c r="DH89" s="358">
        <f t="shared" ref="DH89" si="146">IF(H89&gt;$D89,1,0)</f>
        <v>1</v>
      </c>
      <c r="DI89" s="358">
        <f t="shared" ref="DI89" si="147">IF(AND($D89&lt;&gt;0,G89=""),1,0)</f>
        <v>0</v>
      </c>
      <c r="DJ89" s="358">
        <f t="shared" ref="DJ89" si="148">IF(AND($D89&lt;&gt;0,H89=""),1,0)</f>
        <v>0</v>
      </c>
      <c r="DK89" s="352"/>
      <c r="DL89" s="352"/>
      <c r="DM89" s="352"/>
      <c r="DN89" s="352"/>
      <c r="DO89" s="352"/>
      <c r="DP89" s="352"/>
      <c r="DQ89" s="352"/>
      <c r="DR89" s="352"/>
      <c r="DS89" s="352"/>
      <c r="DT89" s="352"/>
      <c r="DU89" s="352"/>
      <c r="DV89" s="352"/>
      <c r="DW89" s="352"/>
    </row>
    <row r="90" spans="1:127" ht="15.75" customHeight="1" x14ac:dyDescent="0.3">
      <c r="A90" s="1637" t="s">
        <v>1052</v>
      </c>
      <c r="B90" s="2014"/>
      <c r="C90" s="111" t="s">
        <v>91</v>
      </c>
      <c r="D90" s="650" t="s">
        <v>1550</v>
      </c>
      <c r="E90" s="527" t="s">
        <v>1551</v>
      </c>
      <c r="F90" s="1192" t="s">
        <v>1552</v>
      </c>
      <c r="G90" s="504" t="s">
        <v>1553</v>
      </c>
      <c r="H90" s="570" t="s">
        <v>1554</v>
      </c>
      <c r="I90" s="351" t="str">
        <f t="shared" si="135"/>
        <v xml:space="preserve"> * La variable Pueblos Originarios no puede ser Mayor al Total. * La variable Migrantes no puede ser Mayor al Total.</v>
      </c>
      <c r="K90" s="353"/>
      <c r="L90" s="353"/>
      <c r="M90" s="353"/>
      <c r="N90" s="353"/>
      <c r="O90" s="353"/>
      <c r="AW90" s="960"/>
      <c r="BR90" s="175"/>
      <c r="BS90" s="291"/>
      <c r="BT90" s="291"/>
      <c r="BU90" s="291"/>
      <c r="CB90" s="354"/>
      <c r="CC90" s="354"/>
      <c r="CD90" s="354"/>
      <c r="CE90" s="354"/>
      <c r="CF90" s="354"/>
      <c r="CG90" s="354"/>
      <c r="CH90" s="354"/>
      <c r="CI90" s="348" t="str">
        <f t="shared" si="136"/>
        <v xml:space="preserve"> * La variable Pueblos Originarios no puede ser Mayor al Total.</v>
      </c>
      <c r="CJ90" s="348" t="str">
        <f t="shared" si="137"/>
        <v xml:space="preserve"> * La variable Migrantes no puede ser Mayor al Total.</v>
      </c>
      <c r="CK90" s="348"/>
      <c r="CL90" s="348"/>
      <c r="CM90" s="306"/>
      <c r="CN90" s="306"/>
      <c r="CO90" s="306"/>
      <c r="CP90" s="306"/>
      <c r="CQ90" s="306"/>
      <c r="CR90" s="306"/>
      <c r="CS90" s="306"/>
      <c r="CT90" s="306"/>
      <c r="CU90" s="306"/>
      <c r="CV90" s="306"/>
      <c r="CW90" s="306"/>
      <c r="CX90" s="306"/>
      <c r="CY90" s="306"/>
      <c r="CZ90" s="306"/>
      <c r="DA90" s="306"/>
      <c r="DB90" s="306"/>
      <c r="DC90" s="354"/>
      <c r="DD90" s="354"/>
      <c r="DE90" s="352"/>
      <c r="DF90" s="352"/>
      <c r="DG90" s="358">
        <f t="shared" si="138"/>
        <v>1</v>
      </c>
      <c r="DH90" s="358">
        <f t="shared" si="139"/>
        <v>1</v>
      </c>
      <c r="DI90" s="358">
        <f t="shared" si="140"/>
        <v>0</v>
      </c>
      <c r="DJ90" s="358">
        <f t="shared" si="141"/>
        <v>0</v>
      </c>
      <c r="DK90" s="352"/>
      <c r="DL90" s="352"/>
      <c r="DM90" s="352"/>
      <c r="DN90" s="352"/>
      <c r="DO90" s="352"/>
      <c r="DP90" s="352"/>
      <c r="DQ90" s="352"/>
      <c r="DR90" s="352"/>
      <c r="DS90" s="352"/>
      <c r="DT90" s="352"/>
      <c r="DU90" s="352"/>
      <c r="DV90" s="352"/>
      <c r="DW90" s="352"/>
    </row>
    <row r="91" spans="1:127" ht="15.75" customHeight="1" x14ac:dyDescent="0.3">
      <c r="A91" s="1637" t="s">
        <v>1053</v>
      </c>
      <c r="B91" s="2011" t="s">
        <v>107</v>
      </c>
      <c r="C91" s="108" t="s">
        <v>108</v>
      </c>
      <c r="D91" s="496" t="s">
        <v>1550</v>
      </c>
      <c r="E91" s="525" t="s">
        <v>1551</v>
      </c>
      <c r="F91" s="1224" t="s">
        <v>1552</v>
      </c>
      <c r="G91" s="510" t="s">
        <v>1553</v>
      </c>
      <c r="H91" s="1102" t="s">
        <v>1554</v>
      </c>
      <c r="I91" s="351" t="str">
        <f t="shared" si="135"/>
        <v xml:space="preserve"> * La variable Pueblos Originarios no puede ser Mayor al Total. * La variable Migrantes no puede ser Mayor al Total.</v>
      </c>
      <c r="K91" s="106"/>
      <c r="L91" s="106"/>
      <c r="M91" s="106"/>
      <c r="N91" s="106"/>
      <c r="O91" s="106"/>
      <c r="AW91" s="960"/>
      <c r="BR91" s="175"/>
      <c r="BS91" s="291"/>
      <c r="BT91" s="291"/>
      <c r="BU91" s="291"/>
      <c r="CB91" s="354"/>
      <c r="CC91" s="354"/>
      <c r="CD91" s="354"/>
      <c r="CE91" s="354"/>
      <c r="CF91" s="354"/>
      <c r="CG91" s="354"/>
      <c r="CH91" s="354"/>
      <c r="CI91" s="348" t="str">
        <f t="shared" si="136"/>
        <v xml:space="preserve"> * La variable Pueblos Originarios no puede ser Mayor al Total.</v>
      </c>
      <c r="CJ91" s="348" t="str">
        <f t="shared" si="137"/>
        <v xml:space="preserve"> * La variable Migrantes no puede ser Mayor al Total.</v>
      </c>
      <c r="CK91" s="348"/>
      <c r="CL91" s="348"/>
      <c r="CM91" s="306"/>
      <c r="CN91" s="306"/>
      <c r="CO91" s="306"/>
      <c r="CP91" s="306"/>
      <c r="CQ91" s="306"/>
      <c r="CR91" s="306"/>
      <c r="CS91" s="306"/>
      <c r="CT91" s="306"/>
      <c r="CU91" s="306"/>
      <c r="CV91" s="306"/>
      <c r="CW91" s="306"/>
      <c r="CX91" s="306"/>
      <c r="CY91" s="306"/>
      <c r="CZ91" s="306"/>
      <c r="DA91" s="306"/>
      <c r="DB91" s="306"/>
      <c r="DC91" s="354"/>
      <c r="DD91" s="354"/>
      <c r="DE91" s="352"/>
      <c r="DF91" s="352"/>
      <c r="DG91" s="358">
        <f t="shared" si="138"/>
        <v>1</v>
      </c>
      <c r="DH91" s="358">
        <f t="shared" si="139"/>
        <v>1</v>
      </c>
      <c r="DI91" s="358">
        <f t="shared" si="140"/>
        <v>0</v>
      </c>
      <c r="DJ91" s="358">
        <f t="shared" si="141"/>
        <v>0</v>
      </c>
      <c r="DK91" s="352"/>
      <c r="DL91" s="352"/>
      <c r="DM91" s="352"/>
      <c r="DN91" s="352"/>
      <c r="DO91" s="352"/>
      <c r="DP91" s="352"/>
      <c r="DQ91" s="352"/>
      <c r="DR91" s="352"/>
      <c r="DS91" s="352"/>
      <c r="DT91" s="352"/>
      <c r="DU91" s="352"/>
      <c r="DV91" s="352"/>
      <c r="DW91" s="352"/>
    </row>
    <row r="92" spans="1:127" ht="15.75" customHeight="1" x14ac:dyDescent="0.3">
      <c r="A92" s="1637" t="s">
        <v>1054</v>
      </c>
      <c r="B92" s="2012"/>
      <c r="C92" s="110" t="s">
        <v>86</v>
      </c>
      <c r="D92" s="543" t="s">
        <v>1550</v>
      </c>
      <c r="E92" s="568" t="s">
        <v>1551</v>
      </c>
      <c r="F92" s="1190" t="s">
        <v>1552</v>
      </c>
      <c r="G92" s="513" t="s">
        <v>1553</v>
      </c>
      <c r="H92" s="569" t="s">
        <v>1554</v>
      </c>
      <c r="I92" s="351" t="str">
        <f t="shared" si="135"/>
        <v xml:space="preserve"> * La variable Pueblos Originarios no puede ser Mayor al Total. * La variable Migrantes no puede ser Mayor al Total.</v>
      </c>
      <c r="K92" s="353"/>
      <c r="L92" s="353"/>
      <c r="M92" s="353"/>
      <c r="N92" s="353"/>
      <c r="O92" s="353"/>
      <c r="AW92" s="960"/>
      <c r="BR92" s="175"/>
      <c r="BS92" s="291"/>
      <c r="BT92" s="291"/>
      <c r="BU92" s="291"/>
      <c r="CB92" s="354"/>
      <c r="CC92" s="354"/>
      <c r="CD92" s="354"/>
      <c r="CE92" s="354"/>
      <c r="CF92" s="354"/>
      <c r="CG92" s="354"/>
      <c r="CH92" s="354"/>
      <c r="CI92" s="348" t="str">
        <f t="shared" si="136"/>
        <v xml:space="preserve"> * La variable Pueblos Originarios no puede ser Mayor al Total.</v>
      </c>
      <c r="CJ92" s="348" t="str">
        <f t="shared" si="137"/>
        <v xml:space="preserve"> * La variable Migrantes no puede ser Mayor al Total.</v>
      </c>
      <c r="CK92" s="348"/>
      <c r="CL92" s="348"/>
      <c r="CM92" s="306"/>
      <c r="CN92" s="306"/>
      <c r="CO92" s="306"/>
      <c r="CP92" s="306"/>
      <c r="CQ92" s="306"/>
      <c r="CR92" s="306"/>
      <c r="CS92" s="306"/>
      <c r="CT92" s="306"/>
      <c r="CU92" s="306"/>
      <c r="CV92" s="306"/>
      <c r="CW92" s="306"/>
      <c r="CX92" s="306"/>
      <c r="CY92" s="306"/>
      <c r="CZ92" s="306"/>
      <c r="DA92" s="306"/>
      <c r="DB92" s="306"/>
      <c r="DC92" s="354"/>
      <c r="DD92" s="354"/>
      <c r="DE92" s="352"/>
      <c r="DF92" s="352"/>
      <c r="DG92" s="358">
        <f t="shared" si="138"/>
        <v>1</v>
      </c>
      <c r="DH92" s="358">
        <f t="shared" si="139"/>
        <v>1</v>
      </c>
      <c r="DI92" s="358">
        <f t="shared" si="140"/>
        <v>0</v>
      </c>
      <c r="DJ92" s="358">
        <f t="shared" si="141"/>
        <v>0</v>
      </c>
      <c r="DK92" s="352"/>
      <c r="DL92" s="352"/>
      <c r="DM92" s="352"/>
      <c r="DN92" s="352"/>
      <c r="DO92" s="352"/>
      <c r="DP92" s="352"/>
      <c r="DQ92" s="352"/>
      <c r="DR92" s="352"/>
      <c r="DS92" s="352"/>
      <c r="DT92" s="352"/>
      <c r="DU92" s="352"/>
      <c r="DV92" s="352"/>
      <c r="DW92" s="352"/>
    </row>
    <row r="93" spans="1:127" ht="15.75" customHeight="1" x14ac:dyDescent="0.3">
      <c r="A93" s="1637" t="s">
        <v>1055</v>
      </c>
      <c r="B93" s="2013"/>
      <c r="C93" s="110" t="s">
        <v>87</v>
      </c>
      <c r="D93" s="543" t="s">
        <v>1550</v>
      </c>
      <c r="E93" s="568" t="s">
        <v>1551</v>
      </c>
      <c r="F93" s="1190" t="s">
        <v>1552</v>
      </c>
      <c r="G93" s="513" t="s">
        <v>1553</v>
      </c>
      <c r="H93" s="569" t="s">
        <v>1554</v>
      </c>
      <c r="I93" s="351" t="str">
        <f t="shared" si="135"/>
        <v xml:space="preserve"> * La variable Pueblos Originarios no puede ser Mayor al Total. * La variable Migrantes no puede ser Mayor al Total.</v>
      </c>
      <c r="K93" s="353"/>
      <c r="L93" s="353"/>
      <c r="M93" s="353"/>
      <c r="N93" s="353"/>
      <c r="O93" s="353"/>
      <c r="AW93" s="960"/>
      <c r="BR93" s="175"/>
      <c r="BS93" s="291"/>
      <c r="BT93" s="291"/>
      <c r="BU93" s="291"/>
      <c r="CB93" s="354"/>
      <c r="CC93" s="354"/>
      <c r="CD93" s="354"/>
      <c r="CE93" s="354"/>
      <c r="CF93" s="354"/>
      <c r="CG93" s="354"/>
      <c r="CH93" s="354"/>
      <c r="CI93" s="348" t="str">
        <f t="shared" si="136"/>
        <v xml:space="preserve"> * La variable Pueblos Originarios no puede ser Mayor al Total.</v>
      </c>
      <c r="CJ93" s="348" t="str">
        <f t="shared" si="137"/>
        <v xml:space="preserve"> * La variable Migrantes no puede ser Mayor al Total.</v>
      </c>
      <c r="CK93" s="348"/>
      <c r="CL93" s="348"/>
      <c r="CM93" s="306"/>
      <c r="CN93" s="306"/>
      <c r="CO93" s="306"/>
      <c r="CP93" s="306"/>
      <c r="CQ93" s="306"/>
      <c r="CR93" s="306"/>
      <c r="CS93" s="306"/>
      <c r="CT93" s="306"/>
      <c r="CU93" s="306"/>
      <c r="CV93" s="306"/>
      <c r="CW93" s="306"/>
      <c r="CX93" s="306"/>
      <c r="CY93" s="306"/>
      <c r="CZ93" s="306"/>
      <c r="DA93" s="306"/>
      <c r="DB93" s="306"/>
      <c r="DC93" s="354"/>
      <c r="DD93" s="354"/>
      <c r="DE93" s="352"/>
      <c r="DF93" s="352"/>
      <c r="DG93" s="358">
        <f t="shared" si="138"/>
        <v>1</v>
      </c>
      <c r="DH93" s="358">
        <f t="shared" si="139"/>
        <v>1</v>
      </c>
      <c r="DI93" s="358">
        <f t="shared" si="140"/>
        <v>0</v>
      </c>
      <c r="DJ93" s="358">
        <f t="shared" si="141"/>
        <v>0</v>
      </c>
      <c r="DK93" s="352"/>
      <c r="DL93" s="352"/>
      <c r="DM93" s="352"/>
      <c r="DN93" s="352"/>
      <c r="DO93" s="352"/>
      <c r="DP93" s="352"/>
      <c r="DQ93" s="352"/>
      <c r="DR93" s="352"/>
      <c r="DS93" s="352"/>
      <c r="DT93" s="352"/>
      <c r="DU93" s="352"/>
      <c r="DV93" s="352"/>
      <c r="DW93" s="352"/>
    </row>
    <row r="94" spans="1:127" ht="15.75" customHeight="1" x14ac:dyDescent="0.3">
      <c r="A94" s="1637" t="s">
        <v>1056</v>
      </c>
      <c r="B94" s="2013"/>
      <c r="C94" s="110" t="s">
        <v>88</v>
      </c>
      <c r="D94" s="543" t="s">
        <v>1550</v>
      </c>
      <c r="E94" s="568" t="s">
        <v>1551</v>
      </c>
      <c r="F94" s="1190" t="s">
        <v>1552</v>
      </c>
      <c r="G94" s="513" t="s">
        <v>1553</v>
      </c>
      <c r="H94" s="569" t="s">
        <v>1554</v>
      </c>
      <c r="I94" s="351" t="str">
        <f t="shared" si="135"/>
        <v xml:space="preserve"> * La variable Pueblos Originarios no puede ser Mayor al Total. * La variable Migrantes no puede ser Mayor al Total.</v>
      </c>
      <c r="K94" s="353"/>
      <c r="L94" s="353"/>
      <c r="M94" s="353"/>
      <c r="N94" s="353"/>
      <c r="O94" s="353"/>
      <c r="AW94" s="960"/>
      <c r="BR94" s="175"/>
      <c r="BS94" s="291"/>
      <c r="BT94" s="291"/>
      <c r="BU94" s="291"/>
      <c r="CB94" s="354"/>
      <c r="CC94" s="354"/>
      <c r="CD94" s="354"/>
      <c r="CE94" s="354"/>
      <c r="CF94" s="354"/>
      <c r="CG94" s="354"/>
      <c r="CH94" s="354"/>
      <c r="CI94" s="348" t="str">
        <f t="shared" si="136"/>
        <v xml:space="preserve"> * La variable Pueblos Originarios no puede ser Mayor al Total.</v>
      </c>
      <c r="CJ94" s="348" t="str">
        <f t="shared" si="137"/>
        <v xml:space="preserve"> * La variable Migrantes no puede ser Mayor al Total.</v>
      </c>
      <c r="CK94" s="348"/>
      <c r="CL94" s="348"/>
      <c r="CM94" s="306"/>
      <c r="CN94" s="306"/>
      <c r="CO94" s="306"/>
      <c r="CP94" s="306"/>
      <c r="CQ94" s="306"/>
      <c r="CR94" s="306"/>
      <c r="CS94" s="306"/>
      <c r="CT94" s="306"/>
      <c r="CU94" s="306"/>
      <c r="CV94" s="306"/>
      <c r="CW94" s="306"/>
      <c r="CX94" s="306"/>
      <c r="CY94" s="306"/>
      <c r="CZ94" s="306"/>
      <c r="DA94" s="306"/>
      <c r="DB94" s="306"/>
      <c r="DC94" s="354"/>
      <c r="DD94" s="354"/>
      <c r="DE94" s="352"/>
      <c r="DF94" s="352"/>
      <c r="DG94" s="358">
        <f t="shared" si="138"/>
        <v>1</v>
      </c>
      <c r="DH94" s="358">
        <f t="shared" si="139"/>
        <v>1</v>
      </c>
      <c r="DI94" s="358">
        <f t="shared" si="140"/>
        <v>0</v>
      </c>
      <c r="DJ94" s="358">
        <f t="shared" si="141"/>
        <v>0</v>
      </c>
      <c r="DK94" s="352"/>
      <c r="DL94" s="352"/>
      <c r="DM94" s="352"/>
      <c r="DN94" s="352"/>
      <c r="DO94" s="352"/>
      <c r="DP94" s="352"/>
      <c r="DQ94" s="352"/>
      <c r="DR94" s="352"/>
      <c r="DS94" s="352"/>
      <c r="DT94" s="352"/>
      <c r="DU94" s="352"/>
      <c r="DV94" s="352"/>
      <c r="DW94" s="352"/>
    </row>
    <row r="95" spans="1:127" ht="15.75" customHeight="1" x14ac:dyDescent="0.3">
      <c r="A95" s="1645" t="s">
        <v>1600</v>
      </c>
      <c r="B95" s="2013"/>
      <c r="C95" s="1318" t="s">
        <v>89</v>
      </c>
      <c r="D95" s="543" t="s">
        <v>1550</v>
      </c>
      <c r="E95" s="651" t="s">
        <v>1551</v>
      </c>
      <c r="F95" s="1191" t="s">
        <v>1552</v>
      </c>
      <c r="G95" s="517" t="s">
        <v>1553</v>
      </c>
      <c r="H95" s="652" t="s">
        <v>1554</v>
      </c>
      <c r="I95" s="351" t="str">
        <f t="shared" si="135"/>
        <v xml:space="preserve"> * La variable Pueblos Originarios no puede ser Mayor al Total. * La variable Migrantes no puede ser Mayor al Total.</v>
      </c>
      <c r="K95" s="353"/>
      <c r="L95" s="353"/>
      <c r="M95" s="353"/>
      <c r="N95" s="353"/>
      <c r="O95" s="353"/>
      <c r="AW95" s="960"/>
      <c r="BR95" s="175"/>
      <c r="BS95" s="291"/>
      <c r="BT95" s="291"/>
      <c r="BU95" s="291"/>
      <c r="CB95" s="354"/>
      <c r="CC95" s="354"/>
      <c r="CD95" s="354"/>
      <c r="CE95" s="354"/>
      <c r="CF95" s="354"/>
      <c r="CG95" s="354"/>
      <c r="CH95" s="354"/>
      <c r="CI95" s="348" t="str">
        <f t="shared" si="136"/>
        <v xml:space="preserve"> * La variable Pueblos Originarios no puede ser Mayor al Total.</v>
      </c>
      <c r="CJ95" s="348" t="str">
        <f t="shared" si="137"/>
        <v xml:space="preserve"> * La variable Migrantes no puede ser Mayor al Total.</v>
      </c>
      <c r="CK95" s="348"/>
      <c r="CL95" s="348"/>
      <c r="CM95" s="306"/>
      <c r="CN95" s="306"/>
      <c r="CO95" s="306"/>
      <c r="CP95" s="306"/>
      <c r="CQ95" s="306"/>
      <c r="CR95" s="306"/>
      <c r="CS95" s="306"/>
      <c r="CT95" s="306"/>
      <c r="CU95" s="306"/>
      <c r="CV95" s="306"/>
      <c r="CW95" s="306"/>
      <c r="CX95" s="306"/>
      <c r="CY95" s="306"/>
      <c r="CZ95" s="306"/>
      <c r="DA95" s="306"/>
      <c r="DB95" s="306"/>
      <c r="DC95" s="354"/>
      <c r="DD95" s="354"/>
      <c r="DE95" s="352"/>
      <c r="DF95" s="352"/>
      <c r="DG95" s="358">
        <f t="shared" si="138"/>
        <v>1</v>
      </c>
      <c r="DH95" s="358">
        <f t="shared" si="139"/>
        <v>1</v>
      </c>
      <c r="DI95" s="358">
        <f t="shared" si="140"/>
        <v>0</v>
      </c>
      <c r="DJ95" s="358">
        <f t="shared" si="141"/>
        <v>0</v>
      </c>
      <c r="DK95" s="352"/>
      <c r="DL95" s="352"/>
      <c r="DM95" s="352"/>
      <c r="DN95" s="352"/>
      <c r="DO95" s="352"/>
      <c r="DP95" s="352"/>
      <c r="DQ95" s="352"/>
      <c r="DR95" s="352"/>
      <c r="DS95" s="352"/>
      <c r="DT95" s="352"/>
      <c r="DU95" s="352"/>
      <c r="DV95" s="352"/>
      <c r="DW95" s="352"/>
    </row>
    <row r="96" spans="1:127" ht="15.75" customHeight="1" x14ac:dyDescent="0.3">
      <c r="A96" s="1645" t="s">
        <v>1601</v>
      </c>
      <c r="B96" s="2013"/>
      <c r="C96" s="1318" t="s">
        <v>90</v>
      </c>
      <c r="D96" s="543" t="s">
        <v>1550</v>
      </c>
      <c r="E96" s="651" t="s">
        <v>1551</v>
      </c>
      <c r="F96" s="1191" t="s">
        <v>1552</v>
      </c>
      <c r="G96" s="517" t="s">
        <v>1553</v>
      </c>
      <c r="H96" s="652" t="s">
        <v>1554</v>
      </c>
      <c r="I96" s="351" t="str">
        <f t="shared" si="135"/>
        <v xml:space="preserve"> * La variable Pueblos Originarios no puede ser Mayor al Total. * La variable Migrantes no puede ser Mayor al Total.</v>
      </c>
      <c r="K96" s="353"/>
      <c r="L96" s="353"/>
      <c r="M96" s="353"/>
      <c r="N96" s="353"/>
      <c r="O96" s="353"/>
      <c r="AW96" s="960"/>
      <c r="BR96" s="175"/>
      <c r="BS96" s="291"/>
      <c r="BT96" s="291"/>
      <c r="BU96" s="291"/>
      <c r="CB96" s="354"/>
      <c r="CC96" s="354"/>
      <c r="CD96" s="354"/>
      <c r="CE96" s="354"/>
      <c r="CF96" s="354"/>
      <c r="CG96" s="354"/>
      <c r="CH96" s="354"/>
      <c r="CI96" s="348" t="str">
        <f t="shared" si="136"/>
        <v xml:space="preserve"> * La variable Pueblos Originarios no puede ser Mayor al Total.</v>
      </c>
      <c r="CJ96" s="348" t="str">
        <f t="shared" si="137"/>
        <v xml:space="preserve"> * La variable Migrantes no puede ser Mayor al Total.</v>
      </c>
      <c r="CK96" s="348"/>
      <c r="CL96" s="348"/>
      <c r="CM96" s="306"/>
      <c r="CN96" s="306"/>
      <c r="CO96" s="306"/>
      <c r="CP96" s="306"/>
      <c r="CQ96" s="306"/>
      <c r="CR96" s="306"/>
      <c r="CS96" s="306"/>
      <c r="CT96" s="306"/>
      <c r="CU96" s="306"/>
      <c r="CV96" s="306"/>
      <c r="CW96" s="306"/>
      <c r="CX96" s="306"/>
      <c r="CY96" s="306"/>
      <c r="CZ96" s="306"/>
      <c r="DA96" s="306"/>
      <c r="DB96" s="306"/>
      <c r="DC96" s="354"/>
      <c r="DD96" s="354"/>
      <c r="DE96" s="352"/>
      <c r="DF96" s="352"/>
      <c r="DG96" s="358">
        <f t="shared" ref="DG96" si="149">IF(G96&gt;$D96,1,0)</f>
        <v>1</v>
      </c>
      <c r="DH96" s="358">
        <f t="shared" ref="DH96" si="150">IF(H96&gt;$D96,1,0)</f>
        <v>1</v>
      </c>
      <c r="DI96" s="358">
        <f t="shared" ref="DI96" si="151">IF(AND($D96&lt;&gt;0,G96=""),1,0)</f>
        <v>0</v>
      </c>
      <c r="DJ96" s="358">
        <f t="shared" ref="DJ96" si="152">IF(AND($D96&lt;&gt;0,H96=""),1,0)</f>
        <v>0</v>
      </c>
      <c r="DK96" s="352"/>
      <c r="DL96" s="352"/>
      <c r="DM96" s="352"/>
      <c r="DN96" s="352"/>
      <c r="DO96" s="352"/>
      <c r="DP96" s="352"/>
      <c r="DQ96" s="352"/>
      <c r="DR96" s="352"/>
      <c r="DS96" s="352"/>
      <c r="DT96" s="352"/>
      <c r="DU96" s="352"/>
      <c r="DV96" s="352"/>
      <c r="DW96" s="352"/>
    </row>
    <row r="97" spans="1:127" ht="15.75" customHeight="1" x14ac:dyDescent="0.3">
      <c r="A97" s="1637" t="s">
        <v>1058</v>
      </c>
      <c r="B97" s="2014"/>
      <c r="C97" s="111" t="s">
        <v>91</v>
      </c>
      <c r="D97" s="650" t="s">
        <v>1550</v>
      </c>
      <c r="E97" s="651" t="s">
        <v>1551</v>
      </c>
      <c r="F97" s="1191" t="s">
        <v>1552</v>
      </c>
      <c r="G97" s="517" t="s">
        <v>1553</v>
      </c>
      <c r="H97" s="652" t="s">
        <v>1554</v>
      </c>
      <c r="I97" s="351" t="str">
        <f t="shared" si="135"/>
        <v xml:space="preserve"> * La variable Pueblos Originarios no puede ser Mayor al Total. * La variable Migrantes no puede ser Mayor al Total.</v>
      </c>
      <c r="K97" s="353"/>
      <c r="L97" s="353"/>
      <c r="M97" s="353"/>
      <c r="N97" s="353"/>
      <c r="O97" s="353"/>
      <c r="AW97" s="960"/>
      <c r="BR97" s="175"/>
      <c r="BS97" s="291"/>
      <c r="BT97" s="291"/>
      <c r="BU97" s="291"/>
      <c r="CB97" s="354"/>
      <c r="CC97" s="354"/>
      <c r="CD97" s="354"/>
      <c r="CE97" s="354"/>
      <c r="CF97" s="354"/>
      <c r="CG97" s="354"/>
      <c r="CH97" s="354"/>
      <c r="CI97" s="348" t="str">
        <f t="shared" si="136"/>
        <v xml:space="preserve"> * La variable Pueblos Originarios no puede ser Mayor al Total.</v>
      </c>
      <c r="CJ97" s="348" t="str">
        <f t="shared" si="137"/>
        <v xml:space="preserve"> * La variable Migrantes no puede ser Mayor al Total.</v>
      </c>
      <c r="CK97" s="348"/>
      <c r="CL97" s="348"/>
      <c r="CM97" s="306"/>
      <c r="CN97" s="306"/>
      <c r="CO97" s="306"/>
      <c r="CP97" s="306"/>
      <c r="CQ97" s="306"/>
      <c r="CR97" s="306"/>
      <c r="CS97" s="306"/>
      <c r="CT97" s="306"/>
      <c r="CU97" s="306"/>
      <c r="CV97" s="306"/>
      <c r="CW97" s="306"/>
      <c r="CX97" s="306"/>
      <c r="CY97" s="306"/>
      <c r="CZ97" s="306"/>
      <c r="DA97" s="306"/>
      <c r="DB97" s="306"/>
      <c r="DC97" s="354"/>
      <c r="DD97" s="354"/>
      <c r="DE97" s="352"/>
      <c r="DF97" s="352"/>
      <c r="DG97" s="358">
        <f t="shared" si="138"/>
        <v>1</v>
      </c>
      <c r="DH97" s="358">
        <f t="shared" si="139"/>
        <v>1</v>
      </c>
      <c r="DI97" s="358">
        <f t="shared" si="140"/>
        <v>0</v>
      </c>
      <c r="DJ97" s="358">
        <f t="shared" si="141"/>
        <v>0</v>
      </c>
      <c r="DK97" s="352"/>
      <c r="DL97" s="352"/>
      <c r="DM97" s="352"/>
      <c r="DN97" s="352"/>
      <c r="DO97" s="352"/>
      <c r="DP97" s="352"/>
      <c r="DQ97" s="352"/>
      <c r="DR97" s="352"/>
      <c r="DS97" s="352"/>
      <c r="DT97" s="352"/>
      <c r="DU97" s="352"/>
      <c r="DV97" s="352"/>
      <c r="DW97" s="352"/>
    </row>
    <row r="98" spans="1:127" ht="15.75" customHeight="1" x14ac:dyDescent="0.3">
      <c r="A98" s="1637" t="s">
        <v>1059</v>
      </c>
      <c r="B98" s="2011" t="s">
        <v>109</v>
      </c>
      <c r="C98" s="108" t="s">
        <v>108</v>
      </c>
      <c r="D98" s="496" t="s">
        <v>1550</v>
      </c>
      <c r="E98" s="497" t="s">
        <v>1551</v>
      </c>
      <c r="F98" s="917" t="s">
        <v>1552</v>
      </c>
      <c r="G98" s="498" t="s">
        <v>1553</v>
      </c>
      <c r="H98" s="567" t="s">
        <v>1554</v>
      </c>
      <c r="I98" s="351" t="str">
        <f t="shared" si="135"/>
        <v xml:space="preserve"> * La variable Pueblos Originarios no puede ser Mayor al Total. * La variable Migrantes no puede ser Mayor al Total.</v>
      </c>
      <c r="K98" s="353"/>
      <c r="L98" s="353"/>
      <c r="M98" s="353"/>
      <c r="N98" s="353"/>
      <c r="O98" s="353"/>
      <c r="AW98" s="960"/>
      <c r="BR98" s="175"/>
      <c r="BS98" s="291"/>
      <c r="BT98" s="291"/>
      <c r="BU98" s="291"/>
      <c r="CB98" s="354"/>
      <c r="CC98" s="354"/>
      <c r="CD98" s="354"/>
      <c r="CE98" s="354"/>
      <c r="CF98" s="354"/>
      <c r="CG98" s="354"/>
      <c r="CH98" s="354"/>
      <c r="CI98" s="348" t="str">
        <f t="shared" si="136"/>
        <v xml:space="preserve"> * La variable Pueblos Originarios no puede ser Mayor al Total.</v>
      </c>
      <c r="CJ98" s="348" t="str">
        <f t="shared" si="137"/>
        <v xml:space="preserve"> * La variable Migrantes no puede ser Mayor al Total.</v>
      </c>
      <c r="CK98" s="348"/>
      <c r="CL98" s="348"/>
      <c r="CM98" s="306"/>
      <c r="CN98" s="306"/>
      <c r="CO98" s="306"/>
      <c r="CP98" s="306"/>
      <c r="CQ98" s="306"/>
      <c r="CR98" s="306"/>
      <c r="CS98" s="306"/>
      <c r="CT98" s="306"/>
      <c r="CU98" s="306"/>
      <c r="CV98" s="306"/>
      <c r="CW98" s="306"/>
      <c r="CX98" s="306"/>
      <c r="CY98" s="306"/>
      <c r="CZ98" s="306"/>
      <c r="DA98" s="306"/>
      <c r="DB98" s="306"/>
      <c r="DC98" s="354"/>
      <c r="DD98" s="354"/>
      <c r="DE98" s="352"/>
      <c r="DF98" s="352"/>
      <c r="DG98" s="358">
        <f t="shared" si="138"/>
        <v>1</v>
      </c>
      <c r="DH98" s="358">
        <f t="shared" si="139"/>
        <v>1</v>
      </c>
      <c r="DI98" s="358">
        <f t="shared" si="140"/>
        <v>0</v>
      </c>
      <c r="DJ98" s="358">
        <f t="shared" si="141"/>
        <v>0</v>
      </c>
      <c r="DK98" s="352"/>
      <c r="DL98" s="352"/>
      <c r="DM98" s="352"/>
      <c r="DN98" s="352"/>
      <c r="DO98" s="352"/>
      <c r="DP98" s="352"/>
      <c r="DQ98" s="352"/>
      <c r="DR98" s="352"/>
      <c r="DS98" s="352"/>
      <c r="DT98" s="352"/>
      <c r="DU98" s="352"/>
      <c r="DV98" s="352"/>
      <c r="DW98" s="352"/>
    </row>
    <row r="99" spans="1:127" ht="15.75" customHeight="1" x14ac:dyDescent="0.3">
      <c r="A99" s="1637" t="s">
        <v>1060</v>
      </c>
      <c r="B99" s="2012"/>
      <c r="C99" s="110" t="s">
        <v>86</v>
      </c>
      <c r="D99" s="543" t="s">
        <v>1550</v>
      </c>
      <c r="E99" s="568" t="s">
        <v>1551</v>
      </c>
      <c r="F99" s="1190" t="s">
        <v>1552</v>
      </c>
      <c r="G99" s="513" t="s">
        <v>1553</v>
      </c>
      <c r="H99" s="569" t="s">
        <v>1554</v>
      </c>
      <c r="I99" s="351" t="str">
        <f t="shared" si="135"/>
        <v xml:space="preserve"> * La variable Pueblos Originarios no puede ser Mayor al Total. * La variable Migrantes no puede ser Mayor al Total.</v>
      </c>
      <c r="K99" s="112"/>
      <c r="L99" s="112"/>
      <c r="M99" s="112"/>
      <c r="N99" s="112"/>
      <c r="O99" s="112"/>
      <c r="AW99" s="960"/>
      <c r="BR99" s="175"/>
      <c r="CB99" s="354"/>
      <c r="CC99" s="354"/>
      <c r="CD99" s="354"/>
      <c r="CE99" s="354"/>
      <c r="CF99" s="354"/>
      <c r="CG99" s="354"/>
      <c r="CH99" s="354"/>
      <c r="CI99" s="348" t="str">
        <f t="shared" si="136"/>
        <v xml:space="preserve"> * La variable Pueblos Originarios no puede ser Mayor al Total.</v>
      </c>
      <c r="CJ99" s="348" t="str">
        <f t="shared" si="137"/>
        <v xml:space="preserve"> * La variable Migrantes no puede ser Mayor al Total.</v>
      </c>
      <c r="CK99" s="348"/>
      <c r="CL99" s="348"/>
      <c r="CM99" s="306"/>
      <c r="CN99" s="306"/>
      <c r="CO99" s="306"/>
      <c r="CP99" s="306"/>
      <c r="CQ99" s="306"/>
      <c r="CR99" s="306"/>
      <c r="CS99" s="306"/>
      <c r="CT99" s="306"/>
      <c r="CU99" s="306"/>
      <c r="CV99" s="306"/>
      <c r="CW99" s="306"/>
      <c r="CX99" s="306"/>
      <c r="CY99" s="306"/>
      <c r="CZ99" s="306"/>
      <c r="DA99" s="306"/>
      <c r="DB99" s="306"/>
      <c r="DC99" s="354"/>
      <c r="DD99" s="354"/>
      <c r="DE99" s="352"/>
      <c r="DF99" s="352"/>
      <c r="DG99" s="358">
        <f t="shared" si="138"/>
        <v>1</v>
      </c>
      <c r="DH99" s="358">
        <f t="shared" si="139"/>
        <v>1</v>
      </c>
      <c r="DI99" s="358">
        <f t="shared" si="140"/>
        <v>0</v>
      </c>
      <c r="DJ99" s="358">
        <f t="shared" si="141"/>
        <v>0</v>
      </c>
      <c r="DK99" s="352"/>
      <c r="DL99" s="352"/>
      <c r="DM99" s="352"/>
      <c r="DN99" s="352"/>
      <c r="DO99" s="352"/>
      <c r="DP99" s="352"/>
      <c r="DQ99" s="352"/>
      <c r="DR99" s="352"/>
      <c r="DS99" s="352"/>
      <c r="DT99" s="352"/>
      <c r="DU99" s="352"/>
      <c r="DV99" s="352"/>
      <c r="DW99" s="352"/>
    </row>
    <row r="100" spans="1:127" ht="15.75" customHeight="1" x14ac:dyDescent="0.3">
      <c r="A100" s="1637" t="s">
        <v>1061</v>
      </c>
      <c r="B100" s="2013"/>
      <c r="C100" s="110" t="s">
        <v>87</v>
      </c>
      <c r="D100" s="543" t="s">
        <v>1550</v>
      </c>
      <c r="E100" s="568" t="s">
        <v>1551</v>
      </c>
      <c r="F100" s="1190" t="s">
        <v>1552</v>
      </c>
      <c r="G100" s="513" t="s">
        <v>1553</v>
      </c>
      <c r="H100" s="569" t="s">
        <v>1554</v>
      </c>
      <c r="I100" s="351" t="str">
        <f t="shared" si="135"/>
        <v xml:space="preserve"> * La variable Pueblos Originarios no puede ser Mayor al Total. * La variable Migrantes no puede ser Mayor al Total.</v>
      </c>
      <c r="K100" s="112"/>
      <c r="L100" s="112"/>
      <c r="M100" s="112"/>
      <c r="N100" s="112"/>
      <c r="O100" s="112"/>
      <c r="AW100" s="960"/>
      <c r="BR100" s="175"/>
      <c r="CB100" s="354"/>
      <c r="CC100" s="354"/>
      <c r="CD100" s="354"/>
      <c r="CE100" s="354"/>
      <c r="CF100" s="354"/>
      <c r="CG100" s="354"/>
      <c r="CH100" s="354"/>
      <c r="CI100" s="348" t="str">
        <f t="shared" si="136"/>
        <v xml:space="preserve"> * La variable Pueblos Originarios no puede ser Mayor al Total.</v>
      </c>
      <c r="CJ100" s="348" t="str">
        <f t="shared" si="137"/>
        <v xml:space="preserve"> * La variable Migrantes no puede ser Mayor al Total.</v>
      </c>
      <c r="CK100" s="348"/>
      <c r="CL100" s="348"/>
      <c r="CM100" s="306"/>
      <c r="CN100" s="306"/>
      <c r="CO100" s="306"/>
      <c r="CP100" s="306"/>
      <c r="CQ100" s="306"/>
      <c r="CR100" s="306"/>
      <c r="CS100" s="306"/>
      <c r="CT100" s="306"/>
      <c r="CU100" s="306"/>
      <c r="CV100" s="306"/>
      <c r="CW100" s="306"/>
      <c r="CX100" s="306"/>
      <c r="CY100" s="306"/>
      <c r="CZ100" s="306"/>
      <c r="DA100" s="306"/>
      <c r="DB100" s="306"/>
      <c r="DC100" s="354"/>
      <c r="DD100" s="354"/>
      <c r="DE100" s="352"/>
      <c r="DF100" s="352"/>
      <c r="DG100" s="358">
        <f t="shared" si="138"/>
        <v>1</v>
      </c>
      <c r="DH100" s="358">
        <f t="shared" si="139"/>
        <v>1</v>
      </c>
      <c r="DI100" s="358">
        <f t="shared" si="140"/>
        <v>0</v>
      </c>
      <c r="DJ100" s="358">
        <f t="shared" si="141"/>
        <v>0</v>
      </c>
      <c r="DK100" s="352"/>
      <c r="DL100" s="352"/>
      <c r="DM100" s="352"/>
      <c r="DN100" s="352"/>
      <c r="DO100" s="352"/>
      <c r="DP100" s="352"/>
      <c r="DQ100" s="352"/>
      <c r="DR100" s="352"/>
      <c r="DS100" s="352"/>
      <c r="DT100" s="352"/>
      <c r="DU100" s="352"/>
      <c r="DV100" s="352"/>
      <c r="DW100" s="352"/>
    </row>
    <row r="101" spans="1:127" ht="15.75" customHeight="1" x14ac:dyDescent="0.3">
      <c r="A101" s="1637" t="s">
        <v>1062</v>
      </c>
      <c r="B101" s="2013"/>
      <c r="C101" s="110" t="s">
        <v>88</v>
      </c>
      <c r="D101" s="543" t="s">
        <v>1550</v>
      </c>
      <c r="E101" s="568" t="s">
        <v>1551</v>
      </c>
      <c r="F101" s="1190" t="s">
        <v>1552</v>
      </c>
      <c r="G101" s="513" t="s">
        <v>1553</v>
      </c>
      <c r="H101" s="569" t="s">
        <v>1554</v>
      </c>
      <c r="I101" s="351" t="str">
        <f t="shared" si="135"/>
        <v xml:space="preserve"> * La variable Pueblos Originarios no puede ser Mayor al Total. * La variable Migrantes no puede ser Mayor al Total.</v>
      </c>
      <c r="K101" s="112"/>
      <c r="L101" s="112"/>
      <c r="M101" s="112"/>
      <c r="N101" s="112"/>
      <c r="O101" s="112"/>
      <c r="AW101" s="960"/>
      <c r="BR101" s="175"/>
      <c r="CB101" s="354"/>
      <c r="CC101" s="354"/>
      <c r="CD101" s="354"/>
      <c r="CE101" s="354"/>
      <c r="CF101" s="354"/>
      <c r="CG101" s="354"/>
      <c r="CH101" s="354"/>
      <c r="CI101" s="348" t="str">
        <f t="shared" si="136"/>
        <v xml:space="preserve"> * La variable Pueblos Originarios no puede ser Mayor al Total.</v>
      </c>
      <c r="CJ101" s="348" t="str">
        <f t="shared" si="137"/>
        <v xml:space="preserve"> * La variable Migrantes no puede ser Mayor al Total.</v>
      </c>
      <c r="CK101" s="348"/>
      <c r="CL101" s="348"/>
      <c r="CM101" s="306"/>
      <c r="CN101" s="306"/>
      <c r="CO101" s="306"/>
      <c r="CP101" s="306"/>
      <c r="CQ101" s="306"/>
      <c r="CR101" s="306"/>
      <c r="CS101" s="306"/>
      <c r="CT101" s="306"/>
      <c r="CU101" s="306"/>
      <c r="CV101" s="306"/>
      <c r="CW101" s="306"/>
      <c r="CX101" s="306"/>
      <c r="CY101" s="306"/>
      <c r="CZ101" s="306"/>
      <c r="DA101" s="306"/>
      <c r="DB101" s="306"/>
      <c r="DC101" s="354"/>
      <c r="DD101" s="354"/>
      <c r="DE101" s="352"/>
      <c r="DF101" s="352"/>
      <c r="DG101" s="358">
        <f t="shared" si="138"/>
        <v>1</v>
      </c>
      <c r="DH101" s="358">
        <f t="shared" si="139"/>
        <v>1</v>
      </c>
      <c r="DI101" s="358">
        <f t="shared" si="140"/>
        <v>0</v>
      </c>
      <c r="DJ101" s="358">
        <f t="shared" si="141"/>
        <v>0</v>
      </c>
      <c r="DK101" s="352"/>
      <c r="DL101" s="352"/>
      <c r="DM101" s="352"/>
      <c r="DN101" s="352"/>
      <c r="DO101" s="352"/>
      <c r="DP101" s="352"/>
      <c r="DQ101" s="352"/>
      <c r="DR101" s="352"/>
      <c r="DS101" s="352"/>
      <c r="DT101" s="352"/>
      <c r="DU101" s="352"/>
      <c r="DV101" s="352"/>
      <c r="DW101" s="352"/>
    </row>
    <row r="102" spans="1:127" ht="15.75" customHeight="1" x14ac:dyDescent="0.3">
      <c r="A102" s="1645" t="s">
        <v>1602</v>
      </c>
      <c r="B102" s="2013"/>
      <c r="C102" s="1318" t="s">
        <v>89</v>
      </c>
      <c r="D102" s="526" t="s">
        <v>1550</v>
      </c>
      <c r="E102" s="651" t="s">
        <v>1551</v>
      </c>
      <c r="F102" s="1191" t="s">
        <v>1552</v>
      </c>
      <c r="G102" s="517" t="s">
        <v>1553</v>
      </c>
      <c r="H102" s="652" t="s">
        <v>1554</v>
      </c>
      <c r="I102" s="351" t="str">
        <f t="shared" si="135"/>
        <v xml:space="preserve"> * La variable Pueblos Originarios no puede ser Mayor al Total. * La variable Migrantes no puede ser Mayor al Total.</v>
      </c>
      <c r="K102" s="112"/>
      <c r="L102" s="112"/>
      <c r="M102" s="112"/>
      <c r="N102" s="112"/>
      <c r="O102" s="112"/>
      <c r="AW102" s="960"/>
      <c r="BR102" s="175"/>
      <c r="CB102" s="354"/>
      <c r="CC102" s="354"/>
      <c r="CD102" s="354"/>
      <c r="CE102" s="354"/>
      <c r="CF102" s="354"/>
      <c r="CG102" s="354"/>
      <c r="CH102" s="354"/>
      <c r="CI102" s="348" t="str">
        <f t="shared" si="136"/>
        <v xml:space="preserve"> * La variable Pueblos Originarios no puede ser Mayor al Total.</v>
      </c>
      <c r="CJ102" s="348" t="str">
        <f t="shared" si="137"/>
        <v xml:space="preserve"> * La variable Migrantes no puede ser Mayor al Total.</v>
      </c>
      <c r="CK102" s="348"/>
      <c r="CL102" s="348"/>
      <c r="CM102" s="306"/>
      <c r="CN102" s="306"/>
      <c r="CO102" s="306"/>
      <c r="CP102" s="306"/>
      <c r="CQ102" s="306"/>
      <c r="CR102" s="306"/>
      <c r="CS102" s="306"/>
      <c r="CT102" s="306"/>
      <c r="CU102" s="306"/>
      <c r="CV102" s="306"/>
      <c r="CW102" s="306"/>
      <c r="CX102" s="306"/>
      <c r="CY102" s="306"/>
      <c r="CZ102" s="306"/>
      <c r="DA102" s="306"/>
      <c r="DB102" s="306"/>
      <c r="DC102" s="354"/>
      <c r="DD102" s="354"/>
      <c r="DE102" s="352"/>
      <c r="DF102" s="352"/>
      <c r="DG102" s="358">
        <f t="shared" si="138"/>
        <v>1</v>
      </c>
      <c r="DH102" s="358">
        <f t="shared" si="139"/>
        <v>1</v>
      </c>
      <c r="DI102" s="358">
        <f t="shared" si="140"/>
        <v>0</v>
      </c>
      <c r="DJ102" s="358">
        <f t="shared" si="141"/>
        <v>0</v>
      </c>
      <c r="DK102" s="352"/>
      <c r="DL102" s="352"/>
      <c r="DM102" s="352"/>
      <c r="DN102" s="352"/>
      <c r="DO102" s="352"/>
      <c r="DP102" s="352"/>
      <c r="DQ102" s="352"/>
      <c r="DR102" s="352"/>
      <c r="DS102" s="352"/>
      <c r="DT102" s="352"/>
      <c r="DU102" s="352"/>
      <c r="DV102" s="352"/>
      <c r="DW102" s="352"/>
    </row>
    <row r="103" spans="1:127" ht="15.75" customHeight="1" x14ac:dyDescent="0.3">
      <c r="A103" s="1645" t="s">
        <v>1603</v>
      </c>
      <c r="B103" s="2013"/>
      <c r="C103" s="1318" t="s">
        <v>90</v>
      </c>
      <c r="D103" s="526" t="s">
        <v>1550</v>
      </c>
      <c r="E103" s="651" t="s">
        <v>1551</v>
      </c>
      <c r="F103" s="1191" t="s">
        <v>1552</v>
      </c>
      <c r="G103" s="517" t="s">
        <v>1553</v>
      </c>
      <c r="H103" s="652" t="s">
        <v>1554</v>
      </c>
      <c r="I103" s="351" t="str">
        <f t="shared" si="135"/>
        <v xml:space="preserve"> * La variable Pueblos Originarios no puede ser Mayor al Total. * La variable Migrantes no puede ser Mayor al Total.</v>
      </c>
      <c r="K103" s="112"/>
      <c r="L103" s="112"/>
      <c r="M103" s="112"/>
      <c r="N103" s="112"/>
      <c r="O103" s="112"/>
      <c r="AW103" s="960"/>
      <c r="BR103" s="175"/>
      <c r="CB103" s="354"/>
      <c r="CC103" s="354"/>
      <c r="CD103" s="354"/>
      <c r="CE103" s="354"/>
      <c r="CF103" s="354"/>
      <c r="CG103" s="354"/>
      <c r="CH103" s="354"/>
      <c r="CI103" s="348" t="str">
        <f t="shared" si="136"/>
        <v xml:space="preserve"> * La variable Pueblos Originarios no puede ser Mayor al Total.</v>
      </c>
      <c r="CJ103" s="348" t="str">
        <f t="shared" si="137"/>
        <v xml:space="preserve"> * La variable Migrantes no puede ser Mayor al Total.</v>
      </c>
      <c r="CK103" s="348"/>
      <c r="CL103" s="348"/>
      <c r="CM103" s="306"/>
      <c r="CN103" s="306"/>
      <c r="CO103" s="306"/>
      <c r="CP103" s="306"/>
      <c r="CQ103" s="306"/>
      <c r="CR103" s="306"/>
      <c r="CS103" s="306"/>
      <c r="CT103" s="306"/>
      <c r="CU103" s="306"/>
      <c r="CV103" s="306"/>
      <c r="CW103" s="306"/>
      <c r="CX103" s="306"/>
      <c r="CY103" s="306"/>
      <c r="CZ103" s="306"/>
      <c r="DA103" s="306"/>
      <c r="DB103" s="306"/>
      <c r="DC103" s="354"/>
      <c r="DD103" s="354"/>
      <c r="DE103" s="352"/>
      <c r="DF103" s="352"/>
      <c r="DG103" s="358">
        <f t="shared" ref="DG103" si="153">IF(G103&gt;$D103,1,0)</f>
        <v>1</v>
      </c>
      <c r="DH103" s="358">
        <f t="shared" ref="DH103" si="154">IF(H103&gt;$D103,1,0)</f>
        <v>1</v>
      </c>
      <c r="DI103" s="358">
        <f>IF(AND($D103&lt;&gt;0,G103=""),1,0)</f>
        <v>0</v>
      </c>
      <c r="DJ103" s="358">
        <f t="shared" ref="DJ103" si="155">IF(AND($D103&lt;&gt;0,H103=""),1,0)</f>
        <v>0</v>
      </c>
      <c r="DK103" s="352"/>
      <c r="DL103" s="352"/>
      <c r="DM103" s="352"/>
      <c r="DN103" s="352"/>
      <c r="DO103" s="352"/>
      <c r="DP103" s="352"/>
      <c r="DQ103" s="352"/>
      <c r="DR103" s="352"/>
      <c r="DS103" s="352"/>
      <c r="DT103" s="352"/>
      <c r="DU103" s="352"/>
      <c r="DV103" s="352"/>
      <c r="DW103" s="352"/>
    </row>
    <row r="104" spans="1:127" ht="15.75" customHeight="1" x14ac:dyDescent="0.3">
      <c r="A104" s="1641" t="s">
        <v>1064</v>
      </c>
      <c r="B104" s="2014"/>
      <c r="C104" s="111" t="s">
        <v>91</v>
      </c>
      <c r="D104" s="650" t="s">
        <v>1550</v>
      </c>
      <c r="E104" s="527" t="s">
        <v>1551</v>
      </c>
      <c r="F104" s="1192" t="s">
        <v>1552</v>
      </c>
      <c r="G104" s="504" t="s">
        <v>1553</v>
      </c>
      <c r="H104" s="570" t="s">
        <v>1554</v>
      </c>
      <c r="I104" s="351" t="str">
        <f t="shared" si="135"/>
        <v xml:space="preserve"> * La variable Pueblos Originarios no puede ser Mayor al Total. * La variable Migrantes no puede ser Mayor al Total.</v>
      </c>
      <c r="K104" s="416"/>
      <c r="L104" s="416"/>
      <c r="AW104" s="960"/>
      <c r="BR104" s="175"/>
      <c r="CB104" s="354"/>
      <c r="CC104" s="354"/>
      <c r="CD104" s="354"/>
      <c r="CE104" s="354"/>
      <c r="CF104" s="354"/>
      <c r="CG104" s="354"/>
      <c r="CH104" s="354"/>
      <c r="CI104" s="348" t="str">
        <f t="shared" si="136"/>
        <v xml:space="preserve"> * La variable Pueblos Originarios no puede ser Mayor al Total.</v>
      </c>
      <c r="CJ104" s="348" t="str">
        <f t="shared" si="137"/>
        <v xml:space="preserve"> * La variable Migrantes no puede ser Mayor al Total.</v>
      </c>
      <c r="CK104" s="348"/>
      <c r="CL104" s="348"/>
      <c r="CM104" s="306"/>
      <c r="CN104" s="306"/>
      <c r="CO104" s="306"/>
      <c r="CP104" s="306"/>
      <c r="CQ104" s="306"/>
      <c r="CR104" s="306"/>
      <c r="CS104" s="306"/>
      <c r="CT104" s="306"/>
      <c r="CU104" s="306"/>
      <c r="CV104" s="306"/>
      <c r="CW104" s="306"/>
      <c r="CX104" s="306"/>
      <c r="CY104" s="306"/>
      <c r="CZ104" s="306"/>
      <c r="DA104" s="306"/>
      <c r="DB104" s="306"/>
      <c r="DC104" s="354"/>
      <c r="DD104" s="354"/>
      <c r="DE104" s="352"/>
      <c r="DF104" s="352"/>
      <c r="DG104" s="358">
        <f t="shared" si="138"/>
        <v>1</v>
      </c>
      <c r="DH104" s="358">
        <f t="shared" si="139"/>
        <v>1</v>
      </c>
      <c r="DI104" s="358">
        <f t="shared" si="140"/>
        <v>0</v>
      </c>
      <c r="DJ104" s="358">
        <f t="shared" si="141"/>
        <v>0</v>
      </c>
      <c r="DK104" s="352"/>
      <c r="DL104" s="352"/>
      <c r="DM104" s="352"/>
      <c r="DN104" s="352"/>
      <c r="DO104" s="352"/>
      <c r="DP104" s="352"/>
      <c r="DQ104" s="352"/>
      <c r="DR104" s="352"/>
      <c r="DS104" s="352"/>
      <c r="DT104" s="352"/>
      <c r="DU104" s="352"/>
      <c r="DV104" s="352"/>
      <c r="DW104" s="352"/>
    </row>
    <row r="105" spans="1:127" ht="27" customHeight="1" x14ac:dyDescent="0.3">
      <c r="B105" s="430" t="s">
        <v>588</v>
      </c>
      <c r="C105" s="426"/>
      <c r="D105" s="426"/>
      <c r="E105" s="426"/>
      <c r="F105" s="426"/>
      <c r="G105" s="426"/>
      <c r="H105" s="426"/>
      <c r="I105" s="426"/>
      <c r="J105" s="426"/>
      <c r="K105" s="175"/>
      <c r="L105" s="175"/>
      <c r="M105" s="175"/>
      <c r="N105" s="175"/>
      <c r="O105" s="175"/>
      <c r="P105" s="175"/>
      <c r="Q105" s="175"/>
      <c r="R105" s="175"/>
      <c r="S105" s="175"/>
      <c r="T105" s="175"/>
      <c r="U105" s="175"/>
      <c r="V105" s="175"/>
      <c r="W105" s="175"/>
      <c r="X105" s="175"/>
      <c r="Y105" s="175"/>
      <c r="Z105" s="175"/>
      <c r="AA105" s="175"/>
      <c r="AB105" s="175"/>
      <c r="AC105" s="175"/>
      <c r="AD105" s="175"/>
      <c r="AE105" s="175"/>
      <c r="AF105" s="175"/>
      <c r="AG105" s="175"/>
      <c r="AH105" s="175"/>
      <c r="AI105" s="175"/>
      <c r="AJ105" s="175"/>
      <c r="AK105" s="175"/>
      <c r="AL105" s="175"/>
      <c r="AM105" s="175"/>
      <c r="AN105" s="175"/>
      <c r="AO105" s="175"/>
      <c r="AP105" s="175"/>
      <c r="AQ105" s="175"/>
      <c r="AR105" s="175"/>
      <c r="AS105" s="175"/>
      <c r="AT105" s="175"/>
      <c r="AU105" s="175"/>
      <c r="AV105" s="175"/>
      <c r="AW105" s="175"/>
    </row>
    <row r="106" spans="1:127" ht="12.75" customHeight="1" x14ac:dyDescent="0.3">
      <c r="B106" s="1950" t="s">
        <v>110</v>
      </c>
      <c r="C106" s="1951"/>
      <c r="D106" s="2017" t="s">
        <v>13</v>
      </c>
      <c r="E106" s="1944" t="s">
        <v>321</v>
      </c>
      <c r="F106" s="1942" t="s">
        <v>79</v>
      </c>
      <c r="G106" s="1942" t="s">
        <v>80</v>
      </c>
      <c r="H106" s="1942" t="s">
        <v>81</v>
      </c>
      <c r="I106" s="1942" t="s">
        <v>82</v>
      </c>
      <c r="J106" s="1942" t="s">
        <v>83</v>
      </c>
      <c r="K106" s="2023" t="s">
        <v>84</v>
      </c>
      <c r="L106" s="2021" t="s">
        <v>655</v>
      </c>
      <c r="M106" s="2015" t="s">
        <v>479</v>
      </c>
      <c r="N106" s="2009" t="s">
        <v>15</v>
      </c>
      <c r="O106" s="2010" t="s">
        <v>685</v>
      </c>
      <c r="P106" s="175"/>
      <c r="Q106" s="175"/>
      <c r="R106" s="175"/>
      <c r="S106" s="175"/>
      <c r="T106" s="175"/>
      <c r="U106" s="175"/>
      <c r="V106" s="175"/>
      <c r="W106" s="175"/>
      <c r="X106" s="175"/>
      <c r="Y106" s="175"/>
      <c r="Z106" s="175"/>
      <c r="AA106" s="175"/>
      <c r="AB106" s="175"/>
      <c r="AC106" s="175"/>
      <c r="AD106" s="175"/>
      <c r="AE106" s="175"/>
      <c r="AF106" s="175"/>
      <c r="AG106" s="175"/>
      <c r="AH106" s="175"/>
      <c r="AI106" s="175"/>
      <c r="AJ106" s="175"/>
      <c r="AK106" s="175"/>
      <c r="AL106" s="175"/>
      <c r="AM106" s="175"/>
      <c r="AN106" s="175"/>
      <c r="AO106" s="175"/>
      <c r="AP106" s="175"/>
      <c r="AQ106" s="175"/>
      <c r="AR106" s="175"/>
      <c r="AS106" s="175"/>
      <c r="AT106" s="175"/>
      <c r="AU106" s="175"/>
      <c r="AV106" s="175"/>
      <c r="AW106" s="175"/>
      <c r="AX106" s="175"/>
      <c r="BS106" s="960"/>
    </row>
    <row r="107" spans="1:127" ht="54.75" customHeight="1" x14ac:dyDescent="0.3">
      <c r="B107" s="1952"/>
      <c r="C107" s="1953"/>
      <c r="D107" s="2018"/>
      <c r="E107" s="1945"/>
      <c r="F107" s="1943"/>
      <c r="G107" s="1943"/>
      <c r="H107" s="1943"/>
      <c r="I107" s="1943"/>
      <c r="J107" s="1943"/>
      <c r="K107" s="1863"/>
      <c r="L107" s="2022"/>
      <c r="M107" s="2016"/>
      <c r="N107" s="1953"/>
      <c r="O107" s="1953"/>
      <c r="P107" s="175"/>
      <c r="Q107" s="175"/>
      <c r="R107" s="175"/>
      <c r="S107" s="175"/>
      <c r="T107" s="175"/>
      <c r="U107" s="175"/>
      <c r="V107" s="175"/>
      <c r="W107" s="175"/>
      <c r="X107" s="175"/>
      <c r="Y107" s="175"/>
      <c r="Z107" s="175"/>
      <c r="AA107" s="175"/>
      <c r="AB107" s="175"/>
      <c r="AC107" s="175"/>
      <c r="AD107" s="175"/>
      <c r="AE107" s="175"/>
      <c r="AF107" s="175"/>
      <c r="AG107" s="175"/>
      <c r="AH107" s="175"/>
      <c r="AI107" s="175"/>
      <c r="AJ107" s="175"/>
      <c r="AK107" s="175"/>
      <c r="AL107" s="175"/>
      <c r="AM107" s="175"/>
      <c r="AN107" s="175"/>
      <c r="AO107" s="175"/>
      <c r="AP107" s="175"/>
      <c r="AQ107" s="175"/>
      <c r="AR107" s="175"/>
      <c r="AS107" s="175"/>
      <c r="AT107" s="175"/>
      <c r="AU107" s="175"/>
      <c r="AV107" s="175"/>
      <c r="AW107" s="175"/>
      <c r="AX107" s="175"/>
      <c r="BS107" s="960"/>
    </row>
    <row r="108" spans="1:127" ht="21" customHeight="1" x14ac:dyDescent="0.3">
      <c r="A108" s="1641" t="s">
        <v>1065</v>
      </c>
      <c r="B108" s="2024" t="s">
        <v>111</v>
      </c>
      <c r="C108" s="113" t="s">
        <v>112</v>
      </c>
      <c r="D108" s="581" t="s">
        <v>1550</v>
      </c>
      <c r="E108" s="582" t="s">
        <v>1551</v>
      </c>
      <c r="F108" s="653" t="s">
        <v>1552</v>
      </c>
      <c r="G108" s="653" t="s">
        <v>1553</v>
      </c>
      <c r="H108" s="653" t="s">
        <v>1554</v>
      </c>
      <c r="I108" s="653" t="s">
        <v>1555</v>
      </c>
      <c r="J108" s="653" t="s">
        <v>1556</v>
      </c>
      <c r="K108" s="583" t="s">
        <v>1557</v>
      </c>
      <c r="L108" s="1319" t="s">
        <v>1558</v>
      </c>
      <c r="M108" s="1320" t="s">
        <v>1559</v>
      </c>
      <c r="N108" s="1126" t="s">
        <v>1560</v>
      </c>
      <c r="O108" s="1126" t="s">
        <v>1561</v>
      </c>
      <c r="P108" s="1513" t="str">
        <f>CG108&amp;CI108&amp;CJ108&amp;CK108&amp;CL108</f>
        <v xml:space="preserve"> * El Total de Pueblos Originarios no puede ser mayor que el Total.  * El Total según Población Migrante no puede ser mayor que el Total. </v>
      </c>
      <c r="AX108" s="178"/>
      <c r="BS108" s="960"/>
      <c r="CB108" s="354"/>
      <c r="CC108" s="354"/>
      <c r="CD108" s="354"/>
      <c r="CE108" s="354"/>
      <c r="CF108" s="354"/>
      <c r="CG108" s="354"/>
      <c r="CH108" s="354"/>
      <c r="CI108" s="348" t="str">
        <f>IF(N108&gt;$D108," * El Total de Pueblos Originarios no puede ser mayor que el Total. ","")</f>
        <v xml:space="preserve"> * El Total de Pueblos Originarios no puede ser mayor que el Total. </v>
      </c>
      <c r="CJ108" s="348" t="str">
        <f>IF(O108&gt;$D108," * El Total según Población Migrante no puede ser mayor que el Total. ","")</f>
        <v xml:space="preserve"> * El Total según Población Migrante no puede ser mayor que el Total. </v>
      </c>
      <c r="CK108" s="348" t="str">
        <f>IF(AND($D108&lt;&gt;0,N108=""),"* No olvide ingresar el total según Pueblos Originarios (Digite 0 si no tiene). ","")</f>
        <v/>
      </c>
      <c r="CL108" s="348" t="str">
        <f>IF(AND($D108&lt;&gt;0,O108=""),"* No olvide ingresar el total según Pueblos Originarios (Digite 0 si no tiene). ","")</f>
        <v/>
      </c>
      <c r="CM108" s="306"/>
      <c r="CN108" s="306"/>
      <c r="CO108" s="306"/>
      <c r="CP108" s="306"/>
      <c r="CQ108" s="306"/>
      <c r="CR108" s="306"/>
      <c r="CS108" s="306"/>
      <c r="CT108" s="306"/>
      <c r="CU108" s="306"/>
      <c r="CV108" s="306"/>
      <c r="CW108" s="306"/>
      <c r="CX108" s="306"/>
      <c r="CY108" s="306"/>
      <c r="CZ108" s="306"/>
      <c r="DA108" s="306"/>
      <c r="DB108" s="306"/>
      <c r="DC108" s="354"/>
      <c r="DD108" s="354"/>
      <c r="DE108" s="352"/>
      <c r="DF108" s="352"/>
      <c r="DG108" s="358">
        <f>IF(N108&gt;$D108,1,0)</f>
        <v>1</v>
      </c>
      <c r="DH108" s="358">
        <f>IF(O108&gt;$D108,1,0)</f>
        <v>1</v>
      </c>
      <c r="DI108" s="358">
        <f>IF(AND($D108&lt;&gt;0,O108=""),1,0)</f>
        <v>0</v>
      </c>
      <c r="DJ108" s="358">
        <f>IF(AND($D108&lt;&gt;0,O108=""),1,0)</f>
        <v>0</v>
      </c>
      <c r="DK108" s="352"/>
      <c r="DL108" s="352"/>
      <c r="DM108" s="352"/>
      <c r="DN108" s="352"/>
      <c r="DO108" s="352"/>
      <c r="DP108" s="352"/>
      <c r="DQ108" s="352"/>
      <c r="DR108" s="352"/>
      <c r="DS108" s="352"/>
      <c r="DT108" s="352"/>
      <c r="DU108" s="352"/>
      <c r="DV108" s="352"/>
      <c r="DW108" s="352"/>
    </row>
    <row r="109" spans="1:127" ht="21" customHeight="1" x14ac:dyDescent="0.3">
      <c r="A109" s="1641" t="s">
        <v>1066</v>
      </c>
      <c r="B109" s="2025"/>
      <c r="C109" s="114" t="s">
        <v>113</v>
      </c>
      <c r="D109" s="627" t="s">
        <v>1550</v>
      </c>
      <c r="E109" s="628" t="s">
        <v>1551</v>
      </c>
      <c r="F109" s="654" t="s">
        <v>1552</v>
      </c>
      <c r="G109" s="654" t="s">
        <v>1553</v>
      </c>
      <c r="H109" s="654" t="s">
        <v>1554</v>
      </c>
      <c r="I109" s="654" t="s">
        <v>1555</v>
      </c>
      <c r="J109" s="654" t="s">
        <v>1556</v>
      </c>
      <c r="K109" s="629" t="s">
        <v>1557</v>
      </c>
      <c r="L109" s="1321" t="s">
        <v>1558</v>
      </c>
      <c r="M109" s="655" t="s">
        <v>1559</v>
      </c>
      <c r="N109" s="1126" t="s">
        <v>1560</v>
      </c>
      <c r="O109" s="1126" t="s">
        <v>1561</v>
      </c>
      <c r="P109" s="1513" t="str">
        <f t="shared" ref="P109:P110" si="156">CG109&amp;CI109&amp;CJ109&amp;CK109&amp;CL109</f>
        <v xml:space="preserve">* Total de Niños y Niñas que han recibido VDI no puede ser mayor que el total Score Moderado.  * El Total de Pueblos Originarios no puede ser mayor que el Total.  * El Total según Población Migrante no puede ser mayor que el Total. </v>
      </c>
      <c r="AX109" s="178"/>
      <c r="BS109" s="960"/>
      <c r="BU109" s="291"/>
      <c r="BV109" s="291"/>
      <c r="BW109" s="291"/>
      <c r="CB109" s="354"/>
      <c r="CC109" s="354"/>
      <c r="CD109" s="354"/>
      <c r="CE109" s="354"/>
      <c r="CF109" s="354"/>
      <c r="CG109" s="348" t="str">
        <f>IF($D109&lt;$M109, "* Total de Niños y Niñas que han recibido VDI no puede ser mayor que el total Score Moderado. ","")</f>
        <v xml:space="preserve">* Total de Niños y Niñas que han recibido VDI no puede ser mayor que el total Score Moderado. </v>
      </c>
      <c r="CH109" s="354"/>
      <c r="CI109" s="348" t="str">
        <f t="shared" ref="CI109:CI110" si="157">IF(N109&gt;$D109," * El Total de Pueblos Originarios no puede ser mayor que el Total. ","")</f>
        <v xml:space="preserve"> * El Total de Pueblos Originarios no puede ser mayor que el Total. </v>
      </c>
      <c r="CJ109" s="348" t="str">
        <f t="shared" ref="CJ109:CJ110" si="158">IF(O109&gt;$D109," * El Total según Población Migrante no puede ser mayor que el Total. ","")</f>
        <v xml:space="preserve"> * El Total según Población Migrante no puede ser mayor que el Total. </v>
      </c>
      <c r="CK109" s="348" t="str">
        <f t="shared" ref="CK109:CK110" si="159">IF(AND($D109&lt;&gt;0,N109=""),"* No olvide ingresar el total según Pueblos Originarios (Digite 0 si no tiene). ","")</f>
        <v/>
      </c>
      <c r="CL109" s="348" t="str">
        <f t="shared" ref="CL109:CL110" si="160">IF(AND($D109&lt;&gt;0,O109=""),"* No olvide ingresar el total según Pueblos Originarios (Digite 0 si no tiene). ","")</f>
        <v/>
      </c>
      <c r="CM109" s="306"/>
      <c r="CN109" s="306"/>
      <c r="CO109" s="306"/>
      <c r="CP109" s="306"/>
      <c r="CQ109" s="306"/>
      <c r="CR109" s="306"/>
      <c r="CS109" s="306"/>
      <c r="CT109" s="306"/>
      <c r="CU109" s="306"/>
      <c r="CV109" s="306"/>
      <c r="CW109" s="306"/>
      <c r="CX109" s="306"/>
      <c r="CY109" s="306"/>
      <c r="CZ109" s="306"/>
      <c r="DA109" s="306"/>
      <c r="DB109" s="306"/>
      <c r="DC109" s="354"/>
      <c r="DD109" s="354"/>
      <c r="DE109" s="358">
        <f>IF($D109&lt;$M109, 1,0)</f>
        <v>1</v>
      </c>
      <c r="DF109" s="352"/>
      <c r="DG109" s="358">
        <f t="shared" ref="DG109:DG110" si="161">IF(N109&gt;$D109,1,0)</f>
        <v>1</v>
      </c>
      <c r="DH109" s="358">
        <f t="shared" ref="DH109:DH110" si="162">IF(O109&gt;$D109,1,0)</f>
        <v>1</v>
      </c>
      <c r="DI109" s="358">
        <f t="shared" ref="DI109:DI110" si="163">IF(AND($D109&lt;&gt;0,O109=""),1,0)</f>
        <v>0</v>
      </c>
      <c r="DJ109" s="358">
        <f t="shared" ref="DJ109:DJ110" si="164">IF(AND($D109&lt;&gt;0,O109=""),1,0)</f>
        <v>0</v>
      </c>
      <c r="DK109" s="352"/>
      <c r="DL109" s="352"/>
      <c r="DM109" s="352"/>
      <c r="DN109" s="352"/>
      <c r="DO109" s="352"/>
      <c r="DP109" s="352"/>
      <c r="DQ109" s="352"/>
      <c r="DR109" s="352"/>
      <c r="DS109" s="352"/>
      <c r="DT109" s="352"/>
      <c r="DU109" s="352"/>
      <c r="DV109" s="352"/>
      <c r="DW109" s="352"/>
    </row>
    <row r="110" spans="1:127" ht="21" customHeight="1" x14ac:dyDescent="0.3">
      <c r="A110" s="1641" t="s">
        <v>1067</v>
      </c>
      <c r="B110" s="2025"/>
      <c r="C110" s="115" t="s">
        <v>114</v>
      </c>
      <c r="D110" s="656" t="s">
        <v>1550</v>
      </c>
      <c r="E110" s="588" t="s">
        <v>1551</v>
      </c>
      <c r="F110" s="657" t="s">
        <v>1552</v>
      </c>
      <c r="G110" s="657" t="s">
        <v>1553</v>
      </c>
      <c r="H110" s="657" t="s">
        <v>1554</v>
      </c>
      <c r="I110" s="657" t="s">
        <v>1555</v>
      </c>
      <c r="J110" s="657" t="s">
        <v>1556</v>
      </c>
      <c r="K110" s="589" t="s">
        <v>1557</v>
      </c>
      <c r="L110" s="1322" t="s">
        <v>1558</v>
      </c>
      <c r="M110" s="658" t="s">
        <v>1559</v>
      </c>
      <c r="N110" s="1130" t="s">
        <v>1560</v>
      </c>
      <c r="O110" s="1130" t="s">
        <v>1561</v>
      </c>
      <c r="P110" s="1513" t="str">
        <f t="shared" si="156"/>
        <v xml:space="preserve">* Total de Niños y Niñas que han recibido VDI no puede ser mayor que el total Score Grave.  * El Total de Pueblos Originarios no puede ser mayor que el Total.  * El Total según Población Migrante no puede ser mayor que el Total. </v>
      </c>
      <c r="AX110" s="178"/>
      <c r="BS110" s="960"/>
      <c r="BU110" s="291"/>
      <c r="BV110" s="291"/>
      <c r="BW110" s="291"/>
      <c r="CB110" s="354"/>
      <c r="CC110" s="354"/>
      <c r="CD110" s="354"/>
      <c r="CE110" s="354"/>
      <c r="CF110" s="354"/>
      <c r="CG110" s="348" t="str">
        <f>IF($D110&lt;$M110, "* Total de Niños y Niñas que han recibido VDI no puede ser mayor que el total Score Grave. ","")</f>
        <v xml:space="preserve">* Total de Niños y Niñas que han recibido VDI no puede ser mayor que el total Score Grave. </v>
      </c>
      <c r="CH110" s="354"/>
      <c r="CI110" s="348" t="str">
        <f t="shared" si="157"/>
        <v xml:space="preserve"> * El Total de Pueblos Originarios no puede ser mayor que el Total. </v>
      </c>
      <c r="CJ110" s="348" t="str">
        <f t="shared" si="158"/>
        <v xml:space="preserve"> * El Total según Población Migrante no puede ser mayor que el Total. </v>
      </c>
      <c r="CK110" s="348" t="str">
        <f t="shared" si="159"/>
        <v/>
      </c>
      <c r="CL110" s="348" t="str">
        <f t="shared" si="160"/>
        <v/>
      </c>
      <c r="CM110" s="306"/>
      <c r="CN110" s="306"/>
      <c r="CO110" s="306"/>
      <c r="CP110" s="306"/>
      <c r="CQ110" s="306"/>
      <c r="CR110" s="306"/>
      <c r="CS110" s="306"/>
      <c r="CT110" s="306"/>
      <c r="CU110" s="306"/>
      <c r="CV110" s="306"/>
      <c r="CW110" s="306"/>
      <c r="CX110" s="306"/>
      <c r="CY110" s="306"/>
      <c r="CZ110" s="306"/>
      <c r="DA110" s="306"/>
      <c r="DB110" s="306"/>
      <c r="DC110" s="354"/>
      <c r="DD110" s="354"/>
      <c r="DE110" s="358">
        <f>IF($D110&lt;$M110,1,0)</f>
        <v>1</v>
      </c>
      <c r="DF110" s="352"/>
      <c r="DG110" s="358">
        <f t="shared" si="161"/>
        <v>1</v>
      </c>
      <c r="DH110" s="358">
        <f t="shared" si="162"/>
        <v>1</v>
      </c>
      <c r="DI110" s="358">
        <f t="shared" si="163"/>
        <v>0</v>
      </c>
      <c r="DJ110" s="358">
        <f t="shared" si="164"/>
        <v>0</v>
      </c>
      <c r="DK110" s="352"/>
      <c r="DL110" s="352"/>
      <c r="DM110" s="352"/>
      <c r="DN110" s="352"/>
      <c r="DO110" s="352"/>
      <c r="DP110" s="352"/>
      <c r="DQ110" s="352"/>
      <c r="DR110" s="352"/>
      <c r="DS110" s="352"/>
      <c r="DT110" s="352"/>
      <c r="DU110" s="352"/>
      <c r="DV110" s="352"/>
      <c r="DW110" s="352"/>
    </row>
    <row r="111" spans="1:127" ht="21" customHeight="1" x14ac:dyDescent="0.3">
      <c r="A111" s="1629"/>
      <c r="B111" s="2026"/>
      <c r="C111" s="116" t="s">
        <v>13</v>
      </c>
      <c r="D111" s="572">
        <f>SUM(E111:L111)</f>
        <v>0</v>
      </c>
      <c r="E111" s="595">
        <f t="shared" ref="E111:L111" si="165">SUM(E108:E110)</f>
        <v>0</v>
      </c>
      <c r="F111" s="659">
        <f t="shared" si="165"/>
        <v>0</v>
      </c>
      <c r="G111" s="659">
        <f t="shared" si="165"/>
        <v>0</v>
      </c>
      <c r="H111" s="659">
        <f t="shared" si="165"/>
        <v>0</v>
      </c>
      <c r="I111" s="659">
        <f t="shared" si="165"/>
        <v>0</v>
      </c>
      <c r="J111" s="659">
        <f t="shared" si="165"/>
        <v>0</v>
      </c>
      <c r="K111" s="596">
        <f t="shared" ref="K111" si="166">SUM(K108:K110)</f>
        <v>0</v>
      </c>
      <c r="L111" s="1323">
        <f t="shared" si="165"/>
        <v>0</v>
      </c>
      <c r="M111" s="660">
        <f>SUM(M109:M110)</f>
        <v>0</v>
      </c>
      <c r="N111" s="1210">
        <f>SUM(N108:N110)</f>
        <v>0</v>
      </c>
      <c r="O111" s="1112">
        <f>SUM(O108:O110)</f>
        <v>0</v>
      </c>
      <c r="AX111" s="178"/>
      <c r="BS111" s="960"/>
      <c r="BU111" s="291"/>
      <c r="BV111" s="291"/>
      <c r="BW111" s="291"/>
      <c r="CB111" s="354"/>
      <c r="CC111" s="354"/>
      <c r="CD111" s="354"/>
      <c r="CE111" s="354"/>
      <c r="CF111" s="354"/>
      <c r="CG111" s="354"/>
      <c r="CH111" s="354"/>
      <c r="CI111" s="354"/>
      <c r="CJ111" s="354"/>
      <c r="CK111" s="354"/>
      <c r="CL111" s="354"/>
      <c r="CM111" s="306"/>
      <c r="CN111" s="306"/>
      <c r="CO111" s="306"/>
      <c r="CP111" s="306"/>
      <c r="CQ111" s="306"/>
      <c r="CR111" s="306"/>
      <c r="CS111" s="306"/>
      <c r="CT111" s="306"/>
      <c r="CU111" s="306"/>
      <c r="CV111" s="306"/>
      <c r="CW111" s="306"/>
      <c r="CX111" s="306"/>
      <c r="CY111" s="306"/>
      <c r="CZ111" s="306"/>
      <c r="DA111" s="306"/>
      <c r="DB111" s="306"/>
      <c r="DC111" s="354"/>
      <c r="DD111" s="354"/>
      <c r="DE111" s="352"/>
      <c r="DF111" s="352"/>
      <c r="DG111" s="352"/>
      <c r="DH111" s="352"/>
      <c r="DI111" s="352"/>
      <c r="DJ111" s="352"/>
      <c r="DK111" s="352"/>
      <c r="DL111" s="352"/>
      <c r="DM111" s="352"/>
      <c r="DN111" s="352"/>
      <c r="DO111" s="352"/>
      <c r="DP111" s="352"/>
      <c r="DQ111" s="352"/>
      <c r="DR111" s="352"/>
      <c r="DS111" s="352"/>
      <c r="DT111" s="352"/>
      <c r="DU111" s="352"/>
      <c r="DV111" s="352"/>
      <c r="DW111" s="352"/>
    </row>
    <row r="112" spans="1:127" ht="34.5" customHeight="1" x14ac:dyDescent="0.3">
      <c r="B112" s="429" t="s">
        <v>360</v>
      </c>
      <c r="C112" s="424"/>
      <c r="D112" s="424"/>
      <c r="E112" s="424"/>
      <c r="F112" s="424"/>
      <c r="G112" s="424"/>
      <c r="H112" s="424"/>
      <c r="I112" s="425"/>
      <c r="J112" s="425"/>
      <c r="BT112" s="117"/>
      <c r="BU112" s="117"/>
      <c r="BV112" s="117"/>
      <c r="CB112" s="354"/>
      <c r="CC112" s="354"/>
      <c r="CD112" s="354"/>
      <c r="CE112" s="354"/>
      <c r="CF112" s="354"/>
      <c r="CG112" s="421"/>
      <c r="CH112" s="421"/>
      <c r="CI112" s="421"/>
      <c r="CJ112" s="421"/>
      <c r="CK112" s="421"/>
      <c r="CL112" s="421"/>
      <c r="CM112" s="306"/>
      <c r="CN112" s="306"/>
      <c r="CO112" s="306"/>
      <c r="CP112" s="306"/>
      <c r="CQ112" s="306"/>
      <c r="CR112" s="306"/>
      <c r="CS112" s="306"/>
      <c r="CT112" s="306"/>
      <c r="CU112" s="306"/>
      <c r="CV112" s="306"/>
      <c r="CW112" s="306"/>
      <c r="CX112" s="306"/>
      <c r="CY112" s="306"/>
      <c r="CZ112" s="306"/>
      <c r="DA112" s="306"/>
      <c r="DB112" s="306"/>
      <c r="DC112" s="421"/>
      <c r="DD112" s="421"/>
      <c r="DE112" s="352"/>
      <c r="DF112" s="352"/>
      <c r="DG112" s="352"/>
      <c r="DH112" s="352"/>
      <c r="DI112" s="352"/>
      <c r="DJ112" s="352"/>
      <c r="DK112" s="352"/>
      <c r="DL112" s="352"/>
      <c r="DM112" s="352"/>
      <c r="DN112" s="352"/>
      <c r="DO112" s="352"/>
      <c r="DP112" s="352"/>
      <c r="DQ112" s="352"/>
      <c r="DR112" s="352"/>
      <c r="DS112" s="352"/>
      <c r="DT112" s="352"/>
      <c r="DU112" s="352"/>
      <c r="DV112" s="352"/>
      <c r="DW112" s="352"/>
    </row>
    <row r="113" spans="1:127" ht="14.25" customHeight="1" x14ac:dyDescent="0.3">
      <c r="B113" s="1950" t="s">
        <v>115</v>
      </c>
      <c r="C113" s="1951"/>
      <c r="D113" s="2017" t="s">
        <v>13</v>
      </c>
      <c r="E113" s="118"/>
      <c r="F113" s="106"/>
      <c r="G113" s="106"/>
      <c r="H113" s="107"/>
      <c r="I113" s="107"/>
      <c r="BT113" s="336"/>
      <c r="BU113" s="336"/>
      <c r="BV113" s="336"/>
      <c r="CB113" s="354"/>
      <c r="CC113" s="354"/>
      <c r="CD113" s="354"/>
      <c r="CE113" s="354"/>
      <c r="CF113" s="354"/>
      <c r="CG113" s="317"/>
      <c r="CH113" s="317"/>
      <c r="CI113" s="317"/>
      <c r="CJ113" s="317"/>
      <c r="CK113" s="317"/>
      <c r="CL113" s="317"/>
      <c r="CM113" s="306"/>
      <c r="CN113" s="306"/>
      <c r="CO113" s="306"/>
      <c r="CP113" s="306"/>
      <c r="CQ113" s="306"/>
      <c r="CR113" s="306"/>
      <c r="CS113" s="306"/>
      <c r="CT113" s="306"/>
      <c r="CU113" s="306"/>
      <c r="CV113" s="306"/>
      <c r="CW113" s="306"/>
      <c r="CX113" s="306"/>
      <c r="CY113" s="306"/>
      <c r="CZ113" s="306"/>
      <c r="DA113" s="306"/>
      <c r="DB113" s="306"/>
      <c r="DC113" s="317"/>
      <c r="DD113" s="317"/>
      <c r="DE113" s="352"/>
      <c r="DF113" s="352"/>
      <c r="DG113" s="352"/>
      <c r="DH113" s="352"/>
      <c r="DI113" s="352"/>
      <c r="DJ113" s="352"/>
      <c r="DK113" s="352"/>
      <c r="DL113" s="352"/>
      <c r="DM113" s="352"/>
      <c r="DN113" s="352"/>
      <c r="DO113" s="352"/>
      <c r="DP113" s="352"/>
      <c r="DQ113" s="352"/>
      <c r="DR113" s="352"/>
      <c r="DS113" s="352"/>
      <c r="DT113" s="352"/>
      <c r="DU113" s="352"/>
      <c r="DV113" s="352"/>
      <c r="DW113" s="352"/>
    </row>
    <row r="114" spans="1:127" ht="12.75" customHeight="1" x14ac:dyDescent="0.3">
      <c r="B114" s="1952"/>
      <c r="C114" s="1953"/>
      <c r="D114" s="2018"/>
      <c r="E114" s="106"/>
      <c r="F114" s="106"/>
      <c r="G114" s="106"/>
      <c r="H114" s="106"/>
      <c r="I114" s="106"/>
      <c r="CB114" s="354"/>
      <c r="CC114" s="354"/>
      <c r="CD114" s="354"/>
      <c r="CE114" s="354"/>
      <c r="CF114" s="354"/>
      <c r="CG114" s="354"/>
      <c r="CH114" s="354"/>
      <c r="CI114" s="354"/>
      <c r="CJ114" s="354"/>
      <c r="CK114" s="354"/>
      <c r="CL114" s="354"/>
      <c r="CM114" s="306"/>
      <c r="CN114" s="306"/>
      <c r="CO114" s="306"/>
      <c r="CP114" s="306"/>
      <c r="CQ114" s="306"/>
      <c r="CR114" s="306"/>
      <c r="CS114" s="306"/>
      <c r="CT114" s="306"/>
      <c r="CU114" s="306"/>
      <c r="CV114" s="306"/>
      <c r="CW114" s="306"/>
      <c r="CX114" s="306"/>
      <c r="CY114" s="306"/>
      <c r="CZ114" s="306"/>
      <c r="DA114" s="306"/>
      <c r="DB114" s="306"/>
      <c r="DC114" s="354"/>
      <c r="DD114" s="354"/>
      <c r="DE114" s="352"/>
      <c r="DF114" s="352"/>
      <c r="DG114" s="352"/>
      <c r="DH114" s="352"/>
      <c r="DI114" s="352"/>
      <c r="DJ114" s="352"/>
      <c r="DK114" s="352"/>
      <c r="DL114" s="352"/>
      <c r="DM114" s="352"/>
      <c r="DN114" s="352"/>
      <c r="DO114" s="352"/>
      <c r="DP114" s="352"/>
      <c r="DQ114" s="352"/>
      <c r="DR114" s="352"/>
      <c r="DS114" s="352"/>
      <c r="DT114" s="352"/>
      <c r="DU114" s="352"/>
      <c r="DV114" s="352"/>
      <c r="DW114" s="352"/>
    </row>
    <row r="115" spans="1:127" x14ac:dyDescent="0.3">
      <c r="A115" s="1641" t="s">
        <v>1068</v>
      </c>
      <c r="B115" s="2044" t="s">
        <v>319</v>
      </c>
      <c r="C115" s="2045"/>
      <c r="D115" s="661" t="s">
        <v>1550</v>
      </c>
      <c r="F115" s="353"/>
      <c r="G115" s="353"/>
      <c r="H115" s="353"/>
      <c r="I115" s="353"/>
      <c r="CB115" s="354"/>
      <c r="CC115" s="354"/>
      <c r="CD115" s="354"/>
      <c r="CE115" s="354"/>
      <c r="CF115" s="354"/>
      <c r="CG115" s="354"/>
      <c r="CH115" s="354"/>
      <c r="CI115" s="354"/>
      <c r="CJ115" s="354"/>
      <c r="CK115" s="354"/>
      <c r="CL115" s="354"/>
      <c r="CM115" s="306"/>
      <c r="CN115" s="306"/>
      <c r="CO115" s="306"/>
      <c r="CP115" s="306"/>
      <c r="CQ115" s="306"/>
      <c r="CR115" s="306"/>
      <c r="CS115" s="306"/>
      <c r="CT115" s="306"/>
      <c r="CU115" s="306"/>
      <c r="CV115" s="306"/>
      <c r="CW115" s="306"/>
      <c r="CX115" s="306"/>
      <c r="CY115" s="306"/>
      <c r="CZ115" s="306"/>
      <c r="DA115" s="306"/>
      <c r="DB115" s="306"/>
      <c r="DC115" s="354"/>
      <c r="DD115" s="354"/>
      <c r="DE115" s="352"/>
      <c r="DF115" s="352"/>
      <c r="DG115" s="352"/>
      <c r="DH115" s="352"/>
      <c r="DI115" s="352"/>
      <c r="DJ115" s="352"/>
      <c r="DK115" s="352"/>
      <c r="DL115" s="352"/>
      <c r="DM115" s="352"/>
      <c r="DN115" s="352"/>
      <c r="DO115" s="352"/>
      <c r="DP115" s="352"/>
      <c r="DQ115" s="352"/>
      <c r="DR115" s="352"/>
      <c r="DS115" s="352"/>
      <c r="DT115" s="352"/>
      <c r="DU115" s="352"/>
      <c r="DV115" s="352"/>
      <c r="DW115" s="352"/>
    </row>
    <row r="116" spans="1:127" ht="18" customHeight="1" x14ac:dyDescent="0.3">
      <c r="A116" s="1641" t="s">
        <v>1069</v>
      </c>
      <c r="B116" s="2039" t="s">
        <v>320</v>
      </c>
      <c r="C116" s="2040"/>
      <c r="D116" s="662" t="s">
        <v>1550</v>
      </c>
      <c r="F116" s="353"/>
      <c r="G116" s="353"/>
      <c r="H116" s="353"/>
      <c r="I116" s="353"/>
      <c r="CB116" s="354"/>
      <c r="CC116" s="354"/>
      <c r="CD116" s="354"/>
      <c r="CE116" s="354"/>
      <c r="CF116" s="354"/>
      <c r="CG116" s="354"/>
      <c r="CH116" s="354"/>
      <c r="CI116" s="354"/>
      <c r="CJ116" s="354"/>
      <c r="CK116" s="354"/>
      <c r="CL116" s="354"/>
      <c r="CM116" s="306"/>
      <c r="CN116" s="306"/>
      <c r="CO116" s="306"/>
      <c r="CP116" s="306"/>
      <c r="CQ116" s="306"/>
      <c r="CR116" s="306"/>
      <c r="CS116" s="306"/>
      <c r="CT116" s="306"/>
      <c r="CU116" s="306"/>
      <c r="CV116" s="306"/>
      <c r="CW116" s="306"/>
      <c r="CX116" s="306"/>
      <c r="CY116" s="306"/>
      <c r="CZ116" s="306"/>
      <c r="DA116" s="306"/>
      <c r="DB116" s="306"/>
      <c r="DC116" s="354"/>
      <c r="DD116" s="354"/>
      <c r="DE116" s="352"/>
      <c r="DF116" s="352"/>
      <c r="DG116" s="352"/>
      <c r="DH116" s="352"/>
      <c r="DI116" s="352"/>
      <c r="DJ116" s="352"/>
      <c r="DK116" s="352"/>
      <c r="DL116" s="352"/>
      <c r="DM116" s="352"/>
      <c r="DN116" s="352"/>
      <c r="DO116" s="352"/>
      <c r="DP116" s="352"/>
      <c r="DQ116" s="352"/>
      <c r="DR116" s="352"/>
      <c r="DS116" s="352"/>
      <c r="DT116" s="352"/>
      <c r="DU116" s="352"/>
      <c r="DV116" s="352"/>
      <c r="DW116" s="352"/>
    </row>
    <row r="117" spans="1:127" ht="31.5" customHeight="1" x14ac:dyDescent="0.3">
      <c r="B117" s="1099" t="s">
        <v>361</v>
      </c>
      <c r="C117" s="1100"/>
      <c r="D117" s="1100"/>
      <c r="E117" s="1100"/>
      <c r="F117" s="1100"/>
      <c r="G117" s="1100"/>
      <c r="H117" s="1100"/>
      <c r="I117" s="416"/>
      <c r="K117" s="416"/>
      <c r="CB117" s="354"/>
      <c r="CC117" s="354"/>
      <c r="CD117" s="354"/>
      <c r="CE117" s="354"/>
      <c r="CF117" s="354"/>
      <c r="CG117" s="354"/>
      <c r="CH117" s="354"/>
      <c r="CI117" s="354"/>
      <c r="CJ117" s="354"/>
      <c r="CK117" s="354"/>
      <c r="CL117" s="354"/>
      <c r="CM117" s="306"/>
      <c r="CN117" s="306"/>
      <c r="CO117" s="306"/>
      <c r="CP117" s="306"/>
      <c r="CQ117" s="306"/>
      <c r="CR117" s="306"/>
      <c r="CS117" s="306"/>
      <c r="CT117" s="306"/>
      <c r="CU117" s="306"/>
      <c r="CV117" s="306"/>
      <c r="CW117" s="306"/>
      <c r="CX117" s="306"/>
      <c r="CY117" s="306"/>
      <c r="CZ117" s="306"/>
      <c r="DA117" s="306"/>
      <c r="DB117" s="306"/>
      <c r="DC117" s="354"/>
      <c r="DD117" s="354"/>
      <c r="DE117" s="352"/>
      <c r="DF117" s="352"/>
      <c r="DG117" s="352"/>
      <c r="DH117" s="352"/>
      <c r="DI117" s="352"/>
      <c r="DJ117" s="352"/>
      <c r="DK117" s="352"/>
      <c r="DL117" s="352"/>
      <c r="DM117" s="352"/>
      <c r="DN117" s="352"/>
      <c r="DO117" s="352"/>
      <c r="DP117" s="352"/>
      <c r="DQ117" s="352"/>
      <c r="DR117" s="352"/>
      <c r="DS117" s="352"/>
      <c r="DT117" s="352"/>
      <c r="DU117" s="352"/>
      <c r="DV117" s="352"/>
      <c r="DW117" s="352"/>
    </row>
    <row r="118" spans="1:127" ht="12.75" customHeight="1" x14ac:dyDescent="0.3">
      <c r="B118" s="2035" t="s">
        <v>116</v>
      </c>
      <c r="C118" s="2036"/>
      <c r="D118" s="2033" t="s">
        <v>13</v>
      </c>
      <c r="I118" s="107"/>
      <c r="CB118" s="354"/>
      <c r="CC118" s="354"/>
      <c r="CD118" s="354"/>
      <c r="CE118" s="354"/>
      <c r="CF118" s="354"/>
      <c r="CG118" s="354"/>
      <c r="CH118" s="354"/>
      <c r="CI118" s="354"/>
      <c r="CJ118" s="354"/>
      <c r="CK118" s="354"/>
      <c r="CL118" s="354"/>
      <c r="CM118" s="306"/>
      <c r="CN118" s="306"/>
      <c r="CO118" s="306"/>
      <c r="CP118" s="306"/>
      <c r="CQ118" s="306"/>
      <c r="CR118" s="306"/>
      <c r="CS118" s="306"/>
      <c r="CT118" s="306"/>
      <c r="CU118" s="306"/>
      <c r="CV118" s="306"/>
      <c r="CW118" s="306"/>
      <c r="CX118" s="306"/>
      <c r="CY118" s="306"/>
      <c r="CZ118" s="306"/>
      <c r="DA118" s="306"/>
      <c r="DB118" s="306"/>
      <c r="DC118" s="354"/>
      <c r="DD118" s="354"/>
      <c r="DE118" s="352"/>
      <c r="DF118" s="352"/>
      <c r="DG118" s="352"/>
      <c r="DH118" s="352"/>
      <c r="DI118" s="352"/>
      <c r="DJ118" s="352"/>
      <c r="DK118" s="352"/>
      <c r="DL118" s="352"/>
      <c r="DM118" s="352"/>
      <c r="DN118" s="352"/>
      <c r="DO118" s="352"/>
      <c r="DP118" s="352"/>
      <c r="DQ118" s="352"/>
      <c r="DR118" s="352"/>
      <c r="DS118" s="352"/>
      <c r="DT118" s="352"/>
      <c r="DU118" s="352"/>
      <c r="DV118" s="352"/>
      <c r="DW118" s="352"/>
    </row>
    <row r="119" spans="1:127" ht="12.75" customHeight="1" x14ac:dyDescent="0.3">
      <c r="B119" s="2037"/>
      <c r="C119" s="2038"/>
      <c r="D119" s="2034"/>
      <c r="I119" s="106"/>
      <c r="CB119" s="354"/>
      <c r="CC119" s="354"/>
      <c r="CD119" s="354"/>
      <c r="CE119" s="354"/>
      <c r="CF119" s="354"/>
      <c r="CG119" s="354"/>
      <c r="CH119" s="354"/>
      <c r="CI119" s="354"/>
      <c r="CJ119" s="354"/>
      <c r="CK119" s="354"/>
      <c r="CL119" s="354"/>
      <c r="CM119" s="306"/>
      <c r="CN119" s="306"/>
      <c r="CO119" s="306"/>
      <c r="CP119" s="306"/>
      <c r="CQ119" s="306"/>
      <c r="CR119" s="306"/>
      <c r="CS119" s="306"/>
      <c r="CT119" s="306"/>
      <c r="CU119" s="306"/>
      <c r="CV119" s="306"/>
      <c r="CW119" s="306"/>
      <c r="CX119" s="306"/>
      <c r="CY119" s="306"/>
      <c r="CZ119" s="306"/>
      <c r="DA119" s="306"/>
      <c r="DB119" s="306"/>
      <c r="DC119" s="354"/>
      <c r="DD119" s="354"/>
      <c r="DE119" s="352"/>
      <c r="DF119" s="352"/>
      <c r="DG119" s="352"/>
      <c r="DH119" s="352"/>
      <c r="DI119" s="352"/>
      <c r="DJ119" s="352"/>
      <c r="DK119" s="352"/>
      <c r="DL119" s="352"/>
      <c r="DM119" s="352"/>
      <c r="DN119" s="352"/>
      <c r="DO119" s="352"/>
      <c r="DP119" s="352"/>
      <c r="DQ119" s="352"/>
      <c r="DR119" s="352"/>
      <c r="DS119" s="352"/>
      <c r="DT119" s="352"/>
      <c r="DU119" s="352"/>
      <c r="DV119" s="352"/>
      <c r="DW119" s="352"/>
    </row>
    <row r="120" spans="1:127" ht="24" customHeight="1" x14ac:dyDescent="0.3">
      <c r="A120" s="1641" t="s">
        <v>1070</v>
      </c>
      <c r="B120" s="2029" t="s">
        <v>808</v>
      </c>
      <c r="C120" s="2030"/>
      <c r="D120" s="661" t="s">
        <v>1550</v>
      </c>
      <c r="CB120" s="354"/>
      <c r="CC120" s="354"/>
      <c r="CD120" s="354"/>
      <c r="CE120" s="354"/>
      <c r="CF120" s="354"/>
      <c r="CG120" s="354"/>
      <c r="CH120" s="354"/>
      <c r="CI120" s="354"/>
      <c r="CJ120" s="354"/>
      <c r="CK120" s="354"/>
      <c r="CL120" s="354"/>
      <c r="CM120" s="306"/>
      <c r="CN120" s="306"/>
      <c r="CO120" s="306"/>
      <c r="CP120" s="306"/>
      <c r="CQ120" s="306"/>
      <c r="CR120" s="306"/>
      <c r="CS120" s="306"/>
      <c r="CT120" s="306"/>
      <c r="CU120" s="306"/>
      <c r="CV120" s="306"/>
      <c r="CW120" s="306"/>
      <c r="CX120" s="306"/>
      <c r="CY120" s="306"/>
      <c r="CZ120" s="306"/>
      <c r="DA120" s="306"/>
      <c r="DB120" s="306"/>
      <c r="DC120" s="354"/>
      <c r="DD120" s="354"/>
      <c r="DE120" s="352"/>
      <c r="DF120" s="352"/>
      <c r="DG120" s="352"/>
      <c r="DH120" s="352"/>
      <c r="DI120" s="352"/>
      <c r="DJ120" s="352"/>
      <c r="DK120" s="352"/>
      <c r="DL120" s="352"/>
      <c r="DM120" s="352"/>
      <c r="DN120" s="352"/>
      <c r="DO120" s="352"/>
      <c r="DP120" s="352"/>
      <c r="DQ120" s="352"/>
      <c r="DR120" s="352"/>
      <c r="DS120" s="352"/>
      <c r="DT120" s="352"/>
      <c r="DU120" s="352"/>
      <c r="DV120" s="352"/>
      <c r="DW120" s="352"/>
    </row>
    <row r="121" spans="1:127" ht="24" customHeight="1" x14ac:dyDescent="0.3">
      <c r="A121" s="1641" t="s">
        <v>1071</v>
      </c>
      <c r="B121" s="2048" t="s">
        <v>809</v>
      </c>
      <c r="C121" s="2049"/>
      <c r="D121" s="1098" t="s">
        <v>1550</v>
      </c>
      <c r="CB121" s="354"/>
      <c r="CC121" s="354"/>
      <c r="CD121" s="354"/>
      <c r="CE121" s="354"/>
      <c r="CF121" s="354"/>
      <c r="CG121" s="354"/>
      <c r="CH121" s="354"/>
      <c r="CI121" s="354"/>
      <c r="CJ121" s="354"/>
      <c r="CK121" s="354"/>
      <c r="CL121" s="354"/>
      <c r="CM121" s="306"/>
      <c r="CN121" s="306"/>
      <c r="CO121" s="306"/>
      <c r="CP121" s="306"/>
      <c r="CQ121" s="306"/>
      <c r="CR121" s="306"/>
      <c r="CS121" s="306"/>
      <c r="CT121" s="306"/>
      <c r="CU121" s="306"/>
      <c r="CV121" s="306"/>
      <c r="CW121" s="306"/>
      <c r="CX121" s="306"/>
      <c r="CY121" s="306"/>
      <c r="CZ121" s="306"/>
      <c r="DA121" s="306"/>
      <c r="DB121" s="306"/>
      <c r="DC121" s="354"/>
      <c r="DD121" s="354"/>
      <c r="DE121" s="352"/>
      <c r="DF121" s="352"/>
      <c r="DG121" s="352"/>
      <c r="DH121" s="352"/>
      <c r="DI121" s="352"/>
      <c r="DJ121" s="352"/>
      <c r="DK121" s="352"/>
      <c r="DL121" s="352"/>
      <c r="DM121" s="352"/>
      <c r="DN121" s="352"/>
      <c r="DO121" s="352"/>
      <c r="DP121" s="352"/>
      <c r="DQ121" s="352"/>
      <c r="DR121" s="352"/>
      <c r="DS121" s="352"/>
      <c r="DT121" s="352"/>
      <c r="DU121" s="352"/>
      <c r="DV121" s="352"/>
      <c r="DW121" s="352"/>
    </row>
    <row r="122" spans="1:127" ht="24" customHeight="1" x14ac:dyDescent="0.3">
      <c r="A122" s="1641" t="s">
        <v>1072</v>
      </c>
      <c r="B122" s="2031" t="s">
        <v>806</v>
      </c>
      <c r="C122" s="2032"/>
      <c r="D122" s="1098" t="s">
        <v>1550</v>
      </c>
      <c r="CB122" s="354"/>
      <c r="CC122" s="354"/>
      <c r="CD122" s="354"/>
      <c r="CE122" s="354"/>
      <c r="CF122" s="354"/>
      <c r="CG122" s="354"/>
      <c r="CH122" s="354"/>
      <c r="CI122" s="354"/>
      <c r="CJ122" s="354"/>
      <c r="CK122" s="354"/>
      <c r="CL122" s="354"/>
      <c r="CM122" s="306"/>
      <c r="CN122" s="306"/>
      <c r="CO122" s="306"/>
      <c r="CP122" s="306"/>
      <c r="CQ122" s="306"/>
      <c r="CR122" s="306"/>
      <c r="CS122" s="306"/>
      <c r="CT122" s="306"/>
      <c r="CU122" s="306"/>
      <c r="CV122" s="306"/>
      <c r="CW122" s="306"/>
      <c r="CX122" s="306"/>
      <c r="CY122" s="306"/>
      <c r="CZ122" s="306"/>
      <c r="DA122" s="306"/>
      <c r="DB122" s="306"/>
      <c r="DC122" s="354"/>
      <c r="DD122" s="354"/>
      <c r="DE122" s="352"/>
      <c r="DF122" s="352"/>
      <c r="DG122" s="352"/>
      <c r="DH122" s="352"/>
      <c r="DI122" s="352"/>
      <c r="DJ122" s="352"/>
      <c r="DK122" s="352"/>
      <c r="DL122" s="352"/>
      <c r="DM122" s="352"/>
      <c r="DN122" s="352"/>
      <c r="DO122" s="352"/>
      <c r="DP122" s="352"/>
      <c r="DQ122" s="352"/>
      <c r="DR122" s="352"/>
      <c r="DS122" s="352"/>
      <c r="DT122" s="352"/>
      <c r="DU122" s="352"/>
      <c r="DV122" s="352"/>
      <c r="DW122" s="352"/>
    </row>
    <row r="123" spans="1:127" ht="24" customHeight="1" x14ac:dyDescent="0.3">
      <c r="A123" s="1641" t="s">
        <v>1073</v>
      </c>
      <c r="B123" s="2031" t="s">
        <v>807</v>
      </c>
      <c r="C123" s="2032"/>
      <c r="D123" s="1098" t="s">
        <v>1550</v>
      </c>
      <c r="CB123" s="354"/>
      <c r="CC123" s="354"/>
      <c r="CD123" s="354"/>
      <c r="CE123" s="354"/>
      <c r="CF123" s="354"/>
      <c r="CG123" s="354"/>
      <c r="CH123" s="354"/>
      <c r="CI123" s="354"/>
      <c r="CJ123" s="354"/>
      <c r="CK123" s="354"/>
      <c r="CL123" s="354"/>
      <c r="CM123" s="306"/>
      <c r="CN123" s="306"/>
      <c r="CO123" s="306"/>
      <c r="CP123" s="306"/>
      <c r="CQ123" s="306"/>
      <c r="CR123" s="306"/>
      <c r="CS123" s="306"/>
      <c r="CT123" s="306"/>
      <c r="CU123" s="306"/>
      <c r="CV123" s="306"/>
      <c r="CW123" s="306"/>
      <c r="CX123" s="306"/>
      <c r="CY123" s="306"/>
      <c r="CZ123" s="306"/>
      <c r="DA123" s="306"/>
      <c r="DB123" s="306"/>
      <c r="DC123" s="354"/>
      <c r="DD123" s="354"/>
      <c r="DE123" s="352"/>
      <c r="DF123" s="352"/>
      <c r="DG123" s="352"/>
      <c r="DH123" s="352"/>
      <c r="DI123" s="352"/>
      <c r="DJ123" s="352"/>
      <c r="DK123" s="352"/>
      <c r="DL123" s="352"/>
      <c r="DM123" s="352"/>
      <c r="DN123" s="352"/>
      <c r="DO123" s="352"/>
      <c r="DP123" s="352"/>
      <c r="DQ123" s="352"/>
      <c r="DR123" s="352"/>
      <c r="DS123" s="352"/>
      <c r="DT123" s="352"/>
      <c r="DU123" s="352"/>
      <c r="DV123" s="352"/>
      <c r="DW123" s="352"/>
    </row>
    <row r="124" spans="1:127" ht="24" customHeight="1" x14ac:dyDescent="0.3">
      <c r="A124" s="1641" t="s">
        <v>1074</v>
      </c>
      <c r="B124" s="2031" t="s">
        <v>810</v>
      </c>
      <c r="C124" s="2032"/>
      <c r="D124" s="1240" t="s">
        <v>1550</v>
      </c>
      <c r="CB124" s="354"/>
      <c r="CC124" s="354"/>
      <c r="CD124" s="354"/>
      <c r="CE124" s="354"/>
      <c r="CF124" s="354"/>
      <c r="CG124" s="354"/>
      <c r="CH124" s="354"/>
      <c r="CI124" s="354"/>
      <c r="CJ124" s="354"/>
      <c r="CK124" s="354"/>
      <c r="CL124" s="354"/>
      <c r="CM124" s="306"/>
      <c r="CN124" s="306"/>
      <c r="CO124" s="306"/>
      <c r="CP124" s="306"/>
      <c r="CQ124" s="306"/>
      <c r="CR124" s="306"/>
      <c r="CS124" s="306"/>
      <c r="CT124" s="306"/>
      <c r="CU124" s="306"/>
      <c r="CV124" s="306"/>
      <c r="CW124" s="306"/>
      <c r="CX124" s="306"/>
      <c r="CY124" s="306"/>
      <c r="CZ124" s="306"/>
      <c r="DA124" s="306"/>
      <c r="DB124" s="306"/>
      <c r="DC124" s="354"/>
      <c r="DD124" s="354"/>
      <c r="DE124" s="352"/>
      <c r="DF124" s="352"/>
      <c r="DG124" s="352"/>
      <c r="DH124" s="352"/>
      <c r="DI124" s="352"/>
      <c r="DJ124" s="352"/>
      <c r="DK124" s="352"/>
      <c r="DL124" s="352"/>
      <c r="DM124" s="352"/>
      <c r="DN124" s="352"/>
      <c r="DO124" s="352"/>
      <c r="DP124" s="352"/>
      <c r="DQ124" s="352"/>
      <c r="DR124" s="352"/>
      <c r="DS124" s="352"/>
      <c r="DT124" s="352"/>
      <c r="DU124" s="352"/>
      <c r="DV124" s="352"/>
      <c r="DW124" s="352"/>
    </row>
    <row r="125" spans="1:127" ht="24" customHeight="1" x14ac:dyDescent="0.3">
      <c r="A125" s="1629"/>
      <c r="B125" s="2046" t="s">
        <v>13</v>
      </c>
      <c r="C125" s="2047"/>
      <c r="D125" s="1241">
        <f>SUM(D120:D124)</f>
        <v>0</v>
      </c>
      <c r="CB125" s="354"/>
      <c r="CC125" s="354"/>
      <c r="CD125" s="354"/>
      <c r="CE125" s="354"/>
      <c r="CF125" s="354"/>
      <c r="CG125" s="354"/>
      <c r="CH125" s="354"/>
      <c r="CI125" s="354"/>
      <c r="CJ125" s="354"/>
      <c r="CK125" s="354"/>
      <c r="CL125" s="354"/>
      <c r="CM125" s="306"/>
      <c r="CN125" s="306"/>
      <c r="CO125" s="306"/>
      <c r="CP125" s="306"/>
      <c r="CQ125" s="306"/>
      <c r="CR125" s="306"/>
      <c r="CS125" s="306"/>
      <c r="CT125" s="306"/>
      <c r="CU125" s="306"/>
      <c r="CV125" s="306"/>
      <c r="CW125" s="306"/>
      <c r="CX125" s="306"/>
      <c r="CY125" s="306"/>
      <c r="CZ125" s="306"/>
      <c r="DA125" s="306"/>
      <c r="DB125" s="306"/>
      <c r="DC125" s="354"/>
      <c r="DD125" s="354"/>
      <c r="DE125" s="352"/>
      <c r="DF125" s="352"/>
      <c r="DG125" s="352"/>
      <c r="DH125" s="352"/>
      <c r="DI125" s="352"/>
      <c r="DJ125" s="352"/>
      <c r="DK125" s="352"/>
      <c r="DL125" s="352"/>
      <c r="DM125" s="352"/>
      <c r="DN125" s="352"/>
      <c r="DO125" s="352"/>
      <c r="DP125" s="352"/>
      <c r="DQ125" s="352"/>
      <c r="DR125" s="352"/>
      <c r="DS125" s="352"/>
      <c r="DT125" s="352"/>
      <c r="DU125" s="352"/>
      <c r="DV125" s="352"/>
      <c r="DW125" s="352"/>
    </row>
    <row r="126" spans="1:127" ht="33" customHeight="1" x14ac:dyDescent="0.3">
      <c r="B126" s="428" t="s">
        <v>458</v>
      </c>
      <c r="C126" s="423"/>
      <c r="D126" s="423"/>
      <c r="E126" s="423"/>
      <c r="F126" s="423"/>
      <c r="G126" s="423"/>
      <c r="CB126" s="354"/>
      <c r="CC126" s="354"/>
      <c r="CD126" s="354"/>
      <c r="CE126" s="354"/>
      <c r="CF126" s="354"/>
      <c r="CG126" s="354"/>
      <c r="CH126" s="354"/>
      <c r="CI126" s="354"/>
      <c r="CJ126" s="354"/>
      <c r="CK126" s="354"/>
      <c r="CL126" s="354"/>
      <c r="CM126" s="306"/>
      <c r="CN126" s="306"/>
      <c r="CO126" s="306"/>
      <c r="CP126" s="306"/>
      <c r="CQ126" s="306"/>
      <c r="CR126" s="306"/>
      <c r="CS126" s="306"/>
      <c r="CT126" s="306"/>
      <c r="CU126" s="306"/>
      <c r="CV126" s="306"/>
      <c r="CW126" s="306"/>
      <c r="CX126" s="306"/>
      <c r="CY126" s="306"/>
      <c r="CZ126" s="306"/>
      <c r="DA126" s="306"/>
      <c r="DB126" s="306"/>
      <c r="DC126" s="354"/>
      <c r="DD126" s="354"/>
      <c r="DE126" s="352"/>
      <c r="DF126" s="352"/>
      <c r="DG126" s="352"/>
      <c r="DH126" s="352"/>
      <c r="DI126" s="352"/>
      <c r="DJ126" s="352"/>
      <c r="DK126" s="352"/>
      <c r="DL126" s="352"/>
      <c r="DM126" s="352"/>
      <c r="DN126" s="352"/>
      <c r="DO126" s="352"/>
      <c r="DP126" s="352"/>
      <c r="DQ126" s="352"/>
      <c r="DR126" s="352"/>
      <c r="DS126" s="352"/>
      <c r="DT126" s="352"/>
      <c r="DU126" s="352"/>
      <c r="DV126" s="352"/>
      <c r="DW126" s="352"/>
    </row>
    <row r="127" spans="1:127" ht="21" customHeight="1" x14ac:dyDescent="0.3">
      <c r="B127" s="1950" t="s">
        <v>117</v>
      </c>
      <c r="C127" s="1951"/>
      <c r="D127" s="2041" t="s">
        <v>494</v>
      </c>
      <c r="E127" s="2042"/>
      <c r="F127" s="2010"/>
      <c r="G127" s="1916" t="s">
        <v>118</v>
      </c>
      <c r="H127" s="1935"/>
      <c r="I127" s="1935"/>
      <c r="J127" s="1935"/>
      <c r="K127" s="1935"/>
      <c r="L127" s="1936"/>
      <c r="M127" s="1937" t="s">
        <v>618</v>
      </c>
      <c r="AX127" s="178"/>
      <c r="AY127" s="178"/>
      <c r="AZ127" s="178"/>
      <c r="BA127" s="178"/>
      <c r="BB127" s="178"/>
      <c r="BS127" s="960"/>
      <c r="BT127" s="960"/>
      <c r="BU127" s="960"/>
      <c r="BV127" s="960"/>
      <c r="BW127" s="960"/>
      <c r="CB127" s="354"/>
      <c r="CC127" s="354"/>
      <c r="CD127" s="354"/>
      <c r="CE127" s="354"/>
      <c r="CF127" s="354"/>
      <c r="CG127" s="354"/>
      <c r="CH127" s="354"/>
      <c r="CI127" s="354"/>
      <c r="CJ127" s="354"/>
      <c r="CK127" s="354"/>
      <c r="CL127" s="354"/>
      <c r="CM127" s="306"/>
      <c r="CN127" s="306"/>
      <c r="CO127" s="306"/>
      <c r="CP127" s="306"/>
      <c r="CQ127" s="306"/>
      <c r="CR127" s="306"/>
      <c r="CS127" s="306"/>
      <c r="CT127" s="306"/>
      <c r="CU127" s="306"/>
      <c r="CV127" s="306"/>
      <c r="CW127" s="306"/>
      <c r="CX127" s="306"/>
      <c r="CY127" s="306"/>
      <c r="CZ127" s="306"/>
      <c r="DA127" s="306"/>
      <c r="DB127" s="306"/>
      <c r="DC127" s="354"/>
      <c r="DD127" s="354"/>
      <c r="DE127" s="352"/>
      <c r="DF127" s="352"/>
      <c r="DG127" s="352"/>
      <c r="DH127" s="352"/>
      <c r="DI127" s="352"/>
      <c r="DJ127" s="352"/>
      <c r="DK127" s="352"/>
      <c r="DL127" s="352"/>
      <c r="DM127" s="352"/>
      <c r="DN127" s="352"/>
      <c r="DO127" s="352"/>
      <c r="DP127" s="352"/>
      <c r="DQ127" s="352"/>
      <c r="DR127" s="352"/>
      <c r="DS127" s="352"/>
      <c r="DT127" s="352"/>
      <c r="DU127" s="352"/>
      <c r="DV127" s="352"/>
      <c r="DW127" s="352"/>
    </row>
    <row r="128" spans="1:127" ht="27" customHeight="1" x14ac:dyDescent="0.3">
      <c r="B128" s="2050"/>
      <c r="C128" s="2051"/>
      <c r="D128" s="1952"/>
      <c r="E128" s="2043"/>
      <c r="F128" s="1953"/>
      <c r="G128" s="1940" t="s">
        <v>119</v>
      </c>
      <c r="H128" s="1941"/>
      <c r="I128" s="1931" t="s">
        <v>120</v>
      </c>
      <c r="J128" s="1941"/>
      <c r="K128" s="1931" t="s">
        <v>121</v>
      </c>
      <c r="L128" s="1932"/>
      <c r="M128" s="1938"/>
      <c r="AX128" s="178"/>
      <c r="AY128" s="178"/>
      <c r="AZ128" s="178"/>
      <c r="BA128" s="178"/>
      <c r="BB128" s="178"/>
      <c r="BS128" s="960"/>
      <c r="BT128" s="960"/>
      <c r="BU128" s="960"/>
      <c r="BV128" s="960"/>
      <c r="BW128" s="960"/>
      <c r="CB128" s="354"/>
      <c r="CC128" s="354"/>
      <c r="CD128" s="354"/>
      <c r="CE128" s="354"/>
      <c r="CF128" s="354"/>
      <c r="CG128" s="354"/>
      <c r="CH128" s="354"/>
      <c r="CI128" s="354"/>
      <c r="CJ128" s="354"/>
      <c r="CK128" s="354"/>
      <c r="CL128" s="354"/>
      <c r="CM128" s="306"/>
      <c r="CN128" s="306"/>
      <c r="CO128" s="306"/>
      <c r="CP128" s="306"/>
      <c r="CQ128" s="306"/>
      <c r="CR128" s="306"/>
      <c r="CS128" s="306"/>
      <c r="CT128" s="306"/>
      <c r="CU128" s="306"/>
      <c r="CV128" s="306"/>
      <c r="CW128" s="306"/>
      <c r="CX128" s="306"/>
      <c r="CY128" s="306"/>
      <c r="CZ128" s="306"/>
      <c r="DA128" s="306"/>
      <c r="DB128" s="306"/>
      <c r="DC128" s="354"/>
      <c r="DD128" s="354"/>
      <c r="DE128" s="352"/>
      <c r="DF128" s="352"/>
      <c r="DG128" s="352"/>
      <c r="DH128" s="352"/>
      <c r="DI128" s="352"/>
      <c r="DJ128" s="352"/>
      <c r="DK128" s="352"/>
      <c r="DL128" s="352"/>
      <c r="DM128" s="352"/>
      <c r="DN128" s="352"/>
      <c r="DO128" s="352"/>
      <c r="DP128" s="352"/>
      <c r="DQ128" s="352"/>
      <c r="DR128" s="352"/>
      <c r="DS128" s="352"/>
      <c r="DT128" s="352"/>
      <c r="DU128" s="352"/>
      <c r="DV128" s="352"/>
      <c r="DW128" s="352"/>
    </row>
    <row r="129" spans="1:127" ht="28.5" customHeight="1" x14ac:dyDescent="0.3">
      <c r="B129" s="1952"/>
      <c r="C129" s="1953"/>
      <c r="D129" s="92" t="s">
        <v>494</v>
      </c>
      <c r="E129" s="957" t="s">
        <v>31</v>
      </c>
      <c r="F129" s="1114" t="s">
        <v>94</v>
      </c>
      <c r="G129" s="1038" t="s">
        <v>31</v>
      </c>
      <c r="H129" s="1038" t="s">
        <v>94</v>
      </c>
      <c r="I129" s="1038" t="s">
        <v>31</v>
      </c>
      <c r="J129" s="1038" t="s">
        <v>94</v>
      </c>
      <c r="K129" s="1120" t="s">
        <v>31</v>
      </c>
      <c r="L129" s="1113" t="s">
        <v>94</v>
      </c>
      <c r="M129" s="1939"/>
      <c r="AX129" s="178"/>
      <c r="AY129" s="178"/>
      <c r="AZ129" s="178"/>
      <c r="BA129" s="178"/>
      <c r="BB129" s="178"/>
      <c r="BS129" s="960"/>
      <c r="BT129" s="960"/>
      <c r="BU129" s="960"/>
      <c r="BV129" s="960"/>
      <c r="BW129" s="960"/>
      <c r="CB129" s="354"/>
      <c r="CC129" s="354"/>
      <c r="CD129" s="354"/>
      <c r="CE129" s="354"/>
      <c r="CF129" s="354"/>
      <c r="CG129" s="354"/>
      <c r="CH129" s="354"/>
      <c r="CI129" s="354"/>
      <c r="CJ129" s="354"/>
      <c r="CK129" s="354"/>
      <c r="CL129" s="354"/>
      <c r="CM129" s="306"/>
      <c r="CN129" s="306"/>
      <c r="CO129" s="306"/>
      <c r="CP129" s="306"/>
      <c r="CQ129" s="306"/>
      <c r="CR129" s="306"/>
      <c r="CS129" s="306"/>
      <c r="CT129" s="306"/>
      <c r="CU129" s="306"/>
      <c r="CV129" s="306"/>
      <c r="CW129" s="306"/>
      <c r="CX129" s="306"/>
      <c r="CY129" s="306"/>
      <c r="CZ129" s="306"/>
      <c r="DA129" s="306"/>
      <c r="DB129" s="306"/>
      <c r="DC129" s="354"/>
      <c r="DD129" s="354"/>
      <c r="DE129" s="352"/>
      <c r="DF129" s="352"/>
      <c r="DG129" s="352"/>
      <c r="DH129" s="352"/>
      <c r="DI129" s="352"/>
      <c r="DJ129" s="352"/>
      <c r="DK129" s="352"/>
      <c r="DL129" s="352"/>
      <c r="DM129" s="352"/>
      <c r="DN129" s="352"/>
      <c r="DO129" s="352"/>
      <c r="DP129" s="352"/>
      <c r="DQ129" s="352"/>
      <c r="DR129" s="352"/>
      <c r="DS129" s="352"/>
      <c r="DT129" s="352"/>
      <c r="DU129" s="352"/>
      <c r="DV129" s="352"/>
      <c r="DW129" s="352"/>
    </row>
    <row r="130" spans="1:127" ht="26.25" customHeight="1" x14ac:dyDescent="0.3">
      <c r="A130" s="1641" t="s">
        <v>1075</v>
      </c>
      <c r="B130" s="1948" t="s">
        <v>122</v>
      </c>
      <c r="C130" s="1949"/>
      <c r="D130" s="1121" t="s">
        <v>1550</v>
      </c>
      <c r="E130" s="1122" t="s">
        <v>1551</v>
      </c>
      <c r="F130" s="1501" t="s">
        <v>1552</v>
      </c>
      <c r="G130" s="582" t="s">
        <v>1553</v>
      </c>
      <c r="H130" s="585" t="s">
        <v>1554</v>
      </c>
      <c r="I130" s="585" t="s">
        <v>1555</v>
      </c>
      <c r="J130" s="653" t="s">
        <v>1556</v>
      </c>
      <c r="K130" s="653" t="s">
        <v>1557</v>
      </c>
      <c r="L130" s="1123" t="s">
        <v>1558</v>
      </c>
      <c r="M130" s="1123" t="s">
        <v>1559</v>
      </c>
      <c r="N130" s="1513" t="str">
        <f>CJ130&amp;CK130&amp;CL130</f>
        <v/>
      </c>
      <c r="AX130" s="178"/>
      <c r="AY130" s="178"/>
      <c r="AZ130" s="178"/>
      <c r="BA130" s="178"/>
      <c r="BB130" s="178"/>
      <c r="BS130" s="960"/>
      <c r="BT130" s="960"/>
      <c r="BU130" s="960"/>
      <c r="BV130" s="960"/>
      <c r="BW130" s="960"/>
      <c r="BY130" s="291"/>
      <c r="BZ130" s="291"/>
      <c r="CA130" s="291"/>
      <c r="CB130" s="354"/>
      <c r="CC130" s="354"/>
      <c r="CD130" s="354"/>
      <c r="CE130" s="354"/>
      <c r="CF130" s="354"/>
      <c r="CG130" s="354"/>
      <c r="CH130" s="354"/>
      <c r="CI130" s="354"/>
      <c r="CJ130" s="348" t="str">
        <f>IF(SUM($G130:$H130)&lt;=SUM($AC$11:$AF$11),"","* Niños(as) de 36 a 47 ms clasificados debe ser menor o igual al Total de la población de niños bajo control de en sección A misma edad. ")</f>
        <v/>
      </c>
      <c r="CK130" s="348" t="str">
        <f>IF(SUM($I130:$J130)&lt;=SUM($AG$11:$AH$11,$G$44:$H$44),"","* Niños(as) de 48 a 71 meses clasificados debe ser menor o igual al Total de la población de niños bajo control de en sección A y A1 de la misma edad. ")</f>
        <v/>
      </c>
      <c r="CL130" s="348" t="str">
        <f>IF(SUM($K130:$L130)&lt;=SUM($I$44:$P$44),"","* Niños(as) de 6 a 9 años clasificados debe ser menor o igual al Total de la población de niños bajo control de en sección A1 misma edad ")</f>
        <v/>
      </c>
      <c r="CM130" s="306"/>
      <c r="CN130" s="306"/>
      <c r="CO130" s="306"/>
      <c r="CP130" s="306"/>
      <c r="CQ130" s="306"/>
      <c r="CR130" s="306"/>
      <c r="CS130" s="306"/>
      <c r="CT130" s="306"/>
      <c r="CU130" s="306"/>
      <c r="CV130" s="306"/>
      <c r="CW130" s="306"/>
      <c r="CX130" s="306"/>
      <c r="CY130" s="306"/>
      <c r="CZ130" s="306"/>
      <c r="DA130" s="306"/>
      <c r="DB130" s="306"/>
      <c r="DC130" s="354"/>
      <c r="DD130" s="354"/>
      <c r="DE130" s="358">
        <f>IF(SUM($G130:$H130)&lt;=SUM($AC$11:$AF$11),0,1)</f>
        <v>0</v>
      </c>
      <c r="DF130" s="358">
        <f>IF(SUM($I130:$J130)&lt;=SUM($AG$11:$AH$11,$G$44:$H$44),0,1)</f>
        <v>0</v>
      </c>
      <c r="DG130" s="358">
        <f>IF(SUM($K130:$L130)&lt;=SUM($I$44:$P$44),0,1)</f>
        <v>0</v>
      </c>
      <c r="DH130" s="352"/>
      <c r="DI130" s="352"/>
      <c r="DJ130" s="352"/>
      <c r="DK130" s="352"/>
      <c r="DL130" s="352"/>
      <c r="DM130" s="352"/>
      <c r="DN130" s="352"/>
      <c r="DO130" s="352"/>
      <c r="DP130" s="352"/>
      <c r="DQ130" s="352"/>
      <c r="DR130" s="352"/>
      <c r="DS130" s="352"/>
      <c r="DT130" s="352"/>
      <c r="DU130" s="352"/>
    </row>
    <row r="131" spans="1:127" ht="26.25" customHeight="1" x14ac:dyDescent="0.3">
      <c r="A131" s="1641" t="s">
        <v>1076</v>
      </c>
      <c r="B131" s="2019" t="s">
        <v>573</v>
      </c>
      <c r="C131" s="2020"/>
      <c r="D131" s="1124" t="s">
        <v>1550</v>
      </c>
      <c r="E131" s="1125" t="s">
        <v>1551</v>
      </c>
      <c r="F131" s="1502" t="s">
        <v>1552</v>
      </c>
      <c r="G131" s="628" t="s">
        <v>1553</v>
      </c>
      <c r="H131" s="631" t="s">
        <v>1554</v>
      </c>
      <c r="I131" s="631" t="s">
        <v>1555</v>
      </c>
      <c r="J131" s="654" t="s">
        <v>1556</v>
      </c>
      <c r="K131" s="654" t="s">
        <v>1557</v>
      </c>
      <c r="L131" s="1126" t="s">
        <v>1558</v>
      </c>
      <c r="M131" s="1126" t="s">
        <v>1559</v>
      </c>
      <c r="N131" s="1513" t="str">
        <f t="shared" ref="N131:N133" si="167">CJ131&amp;CK131&amp;CL131</f>
        <v/>
      </c>
      <c r="AX131" s="178"/>
      <c r="AY131" s="178"/>
      <c r="AZ131" s="178"/>
      <c r="BA131" s="178"/>
      <c r="BB131" s="178"/>
      <c r="BS131" s="960"/>
      <c r="BT131" s="960"/>
      <c r="BU131" s="960"/>
      <c r="BV131" s="960"/>
      <c r="BW131" s="960"/>
      <c r="BY131" s="291"/>
      <c r="BZ131" s="291"/>
      <c r="CA131" s="291"/>
      <c r="CB131" s="354"/>
      <c r="CC131" s="354"/>
      <c r="CD131" s="354"/>
      <c r="CE131" s="354"/>
      <c r="CF131" s="354"/>
      <c r="CG131" s="354"/>
      <c r="CH131" s="354"/>
      <c r="CI131" s="354"/>
      <c r="CJ131" s="348" t="str">
        <f t="shared" ref="CJ131:CJ132" si="168">IF(SUM($G131:$H131)&lt;=SUM($AC$11:$AF$11),"","* Niños(as) de 36 a 47 ms clasificados debe ser menor o igual al Total de la población de niños bajo control de en sección A misma edad. ")</f>
        <v/>
      </c>
      <c r="CK131" s="348" t="str">
        <f>IF(SUM($I131:$J131)&lt;=SUM($AG$11:$AH$11,$G$44:$H$44),"","* Niños(as) de 48 a 71 meses clasificados debe ser menor o igual al Total de la población de niños bajo control de en sección A y A1 de la misma edad. ")</f>
        <v/>
      </c>
      <c r="CL131" s="348" t="str">
        <f t="shared" ref="CL131:CL133" si="169">IF(SUM($K131:$L131)&lt;=SUM($I$44:$P$44),"","* Niños(as) de 6 a 9 años clasificados debe ser menor o igual al Total de la población de niños bajo control de en sección A1 misma edad ")</f>
        <v/>
      </c>
      <c r="CM131" s="306"/>
      <c r="CN131" s="306"/>
      <c r="CO131" s="306"/>
      <c r="CP131" s="306"/>
      <c r="CQ131" s="306"/>
      <c r="CR131" s="306"/>
      <c r="CS131" s="306"/>
      <c r="CT131" s="306"/>
      <c r="CU131" s="306"/>
      <c r="CV131" s="306"/>
      <c r="CW131" s="306"/>
      <c r="CX131" s="306"/>
      <c r="CY131" s="306"/>
      <c r="CZ131" s="306"/>
      <c r="DA131" s="306"/>
      <c r="DB131" s="306"/>
      <c r="DC131" s="354"/>
      <c r="DD131" s="354"/>
      <c r="DE131" s="358">
        <f t="shared" ref="DE131:DE133" si="170">IF(SUM($G131:$H131)&lt;=SUM($AC$11:$AF$11),0,1)</f>
        <v>0</v>
      </c>
      <c r="DF131" s="358">
        <f>IF(SUM($I131:$J131)&lt;=SUM($AG$11:$AH$11,$G$44:$H$44),0,1)</f>
        <v>0</v>
      </c>
      <c r="DG131" s="358">
        <f t="shared" ref="DG131:DG133" si="171">IF(SUM($K131:$L131)&lt;=SUM($I$44:$P$44),0,1)</f>
        <v>0</v>
      </c>
      <c r="DH131" s="352"/>
      <c r="DI131" s="352"/>
      <c r="DJ131" s="352"/>
      <c r="DK131" s="352"/>
      <c r="DL131" s="352"/>
      <c r="DM131" s="352"/>
      <c r="DN131" s="352"/>
      <c r="DO131" s="352"/>
      <c r="DP131" s="352"/>
      <c r="DQ131" s="352"/>
      <c r="DR131" s="352"/>
      <c r="DS131" s="352"/>
      <c r="DT131" s="352"/>
      <c r="DU131" s="352"/>
    </row>
    <row r="132" spans="1:127" ht="26.25" customHeight="1" x14ac:dyDescent="0.3">
      <c r="A132" s="1641" t="s">
        <v>1077</v>
      </c>
      <c r="B132" s="2019" t="s">
        <v>611</v>
      </c>
      <c r="C132" s="2020"/>
      <c r="D132" s="1124" t="s">
        <v>1550</v>
      </c>
      <c r="E132" s="1125" t="s">
        <v>1551</v>
      </c>
      <c r="F132" s="1502" t="s">
        <v>1552</v>
      </c>
      <c r="G132" s="628" t="s">
        <v>1553</v>
      </c>
      <c r="H132" s="631" t="s">
        <v>1554</v>
      </c>
      <c r="I132" s="631" t="s">
        <v>1555</v>
      </c>
      <c r="J132" s="654" t="s">
        <v>1556</v>
      </c>
      <c r="K132" s="654" t="s">
        <v>1557</v>
      </c>
      <c r="L132" s="1126" t="s">
        <v>1558</v>
      </c>
      <c r="M132" s="1126" t="s">
        <v>1559</v>
      </c>
      <c r="N132" s="1513" t="str">
        <f t="shared" si="167"/>
        <v/>
      </c>
      <c r="AX132" s="178"/>
      <c r="AY132" s="178"/>
      <c r="AZ132" s="178"/>
      <c r="BA132" s="178"/>
      <c r="BB132" s="178"/>
      <c r="BS132" s="960"/>
      <c r="BT132" s="960"/>
      <c r="BU132" s="960"/>
      <c r="BV132" s="960"/>
      <c r="BW132" s="960"/>
      <c r="BY132" s="291"/>
      <c r="BZ132" s="291"/>
      <c r="CA132" s="291"/>
      <c r="CB132" s="354"/>
      <c r="CC132" s="354"/>
      <c r="CD132" s="354"/>
      <c r="CE132" s="354"/>
      <c r="CF132" s="354"/>
      <c r="CG132" s="354"/>
      <c r="CH132" s="354"/>
      <c r="CI132" s="354"/>
      <c r="CJ132" s="348" t="str">
        <f t="shared" si="168"/>
        <v/>
      </c>
      <c r="CK132" s="348" t="str">
        <f>IF(SUM($I132:$J132)&lt;=SUM($AG$11:$AH$11,$G$44:$H$44),"","* Niños(as) de 48 a 71 meses clasificados debe ser menor o igual al Total de la población de niños bajo control de en sección A y A1 de la misma edad. ")</f>
        <v/>
      </c>
      <c r="CL132" s="348" t="str">
        <f t="shared" si="169"/>
        <v/>
      </c>
      <c r="CM132" s="306"/>
      <c r="CN132" s="306"/>
      <c r="CO132" s="306"/>
      <c r="CP132" s="306"/>
      <c r="CQ132" s="306"/>
      <c r="CR132" s="306"/>
      <c r="CS132" s="306"/>
      <c r="CT132" s="306"/>
      <c r="CU132" s="306"/>
      <c r="CV132" s="306"/>
      <c r="CW132" s="306"/>
      <c r="CX132" s="306"/>
      <c r="CY132" s="306"/>
      <c r="CZ132" s="306"/>
      <c r="DA132" s="306"/>
      <c r="DB132" s="306"/>
      <c r="DC132" s="354"/>
      <c r="DD132" s="354"/>
      <c r="DE132" s="358">
        <f>IF(SUM($G132:$H132)&lt;=SUM($AC$11:$AF$11),0,1)</f>
        <v>0</v>
      </c>
      <c r="DF132" s="358">
        <f>IF(SUM($I132:$J132)&lt;=SUM($AG$11:$AH$11,$G$44:$H$44),0,1)</f>
        <v>0</v>
      </c>
      <c r="DG132" s="358">
        <f t="shared" si="171"/>
        <v>0</v>
      </c>
      <c r="DH132" s="352"/>
      <c r="DI132" s="352"/>
      <c r="DJ132" s="352"/>
      <c r="DK132" s="352"/>
      <c r="DL132" s="352"/>
      <c r="DM132" s="352"/>
      <c r="DN132" s="352"/>
      <c r="DO132" s="352"/>
      <c r="DP132" s="352"/>
      <c r="DQ132" s="352"/>
      <c r="DR132" s="352"/>
      <c r="DS132" s="352"/>
      <c r="DT132" s="352"/>
      <c r="DU132" s="352"/>
    </row>
    <row r="133" spans="1:127" ht="26.25" customHeight="1" x14ac:dyDescent="0.3">
      <c r="A133" s="1641" t="s">
        <v>1078</v>
      </c>
      <c r="B133" s="1908" t="s">
        <v>612</v>
      </c>
      <c r="C133" s="1909"/>
      <c r="D133" s="1127" t="s">
        <v>1550</v>
      </c>
      <c r="E133" s="1128" t="s">
        <v>1551</v>
      </c>
      <c r="F133" s="1503" t="s">
        <v>1552</v>
      </c>
      <c r="G133" s="588" t="s">
        <v>1553</v>
      </c>
      <c r="H133" s="591" t="s">
        <v>1554</v>
      </c>
      <c r="I133" s="591" t="s">
        <v>1555</v>
      </c>
      <c r="J133" s="657" t="s">
        <v>1556</v>
      </c>
      <c r="K133" s="657" t="s">
        <v>1557</v>
      </c>
      <c r="L133" s="1130" t="s">
        <v>1558</v>
      </c>
      <c r="M133" s="1130" t="s">
        <v>1559</v>
      </c>
      <c r="N133" s="1513" t="str">
        <f t="shared" si="167"/>
        <v/>
      </c>
      <c r="AX133" s="178"/>
      <c r="AY133" s="178"/>
      <c r="AZ133" s="178"/>
      <c r="BA133" s="178"/>
      <c r="BB133" s="178"/>
      <c r="BS133" s="960"/>
      <c r="BT133" s="960"/>
      <c r="BU133" s="960"/>
      <c r="BV133" s="960"/>
      <c r="BW133" s="960"/>
      <c r="BY133" s="291"/>
      <c r="BZ133" s="291"/>
      <c r="CA133" s="291"/>
      <c r="CB133" s="354"/>
      <c r="CC133" s="354"/>
      <c r="CD133" s="354"/>
      <c r="CE133" s="354"/>
      <c r="CF133" s="354"/>
      <c r="CG133" s="354"/>
      <c r="CH133" s="354"/>
      <c r="CI133" s="354"/>
      <c r="CJ133" s="348" t="str">
        <f>IF(SUM($G133:$H133)&lt;=SUM($AC$11:$AF$11),"","* Niños(as) de 36 a 47 ms clasificados debe ser menor o igual al Total de la población de niños bajo control de en sección A misma edad. ")</f>
        <v/>
      </c>
      <c r="CK133" s="348" t="str">
        <f>IF(SUM($I133:$J133)&lt;=SUM($AG$11:$AH$11,$G$44:$H$44),"","* Niños(as) de 48 a 71 meses clasificados debe ser menor o igual al Total de la población de niños bajo control de en sección A y A1 de la misma edad. ")</f>
        <v/>
      </c>
      <c r="CL133" s="348" t="str">
        <f t="shared" si="169"/>
        <v/>
      </c>
      <c r="CM133" s="306"/>
      <c r="CN133" s="306"/>
      <c r="CO133" s="306"/>
      <c r="CP133" s="306"/>
      <c r="CQ133" s="306"/>
      <c r="CR133" s="306"/>
      <c r="CS133" s="306"/>
      <c r="CT133" s="306"/>
      <c r="CU133" s="306"/>
      <c r="CV133" s="306"/>
      <c r="CW133" s="306"/>
      <c r="CX133" s="306"/>
      <c r="CY133" s="306"/>
      <c r="CZ133" s="306"/>
      <c r="DA133" s="306"/>
      <c r="DB133" s="306"/>
      <c r="DC133" s="354"/>
      <c r="DD133" s="354"/>
      <c r="DE133" s="358">
        <f t="shared" si="170"/>
        <v>0</v>
      </c>
      <c r="DF133" s="358">
        <f>IF(SUM($I133:$J133)&lt;=SUM($AG$11:$AH$11,$G$44:$H$44),0,1)</f>
        <v>0</v>
      </c>
      <c r="DG133" s="358">
        <f t="shared" si="171"/>
        <v>0</v>
      </c>
      <c r="DH133" s="352"/>
      <c r="DI133" s="352"/>
      <c r="DJ133" s="352"/>
      <c r="DK133" s="352"/>
      <c r="DL133" s="352"/>
      <c r="DM133" s="352"/>
      <c r="DN133" s="352"/>
      <c r="DO133" s="352"/>
      <c r="DP133" s="352"/>
      <c r="DQ133" s="352"/>
      <c r="DR133" s="352"/>
      <c r="DS133" s="352"/>
      <c r="DT133" s="352"/>
      <c r="DU133" s="352"/>
    </row>
    <row r="134" spans="1:127" ht="18.75" customHeight="1" x14ac:dyDescent="0.3">
      <c r="A134" s="1643"/>
      <c r="B134" s="1946" t="s">
        <v>13</v>
      </c>
      <c r="C134" s="1947"/>
      <c r="D134" s="1131">
        <f>SUM(E134:F134)</f>
        <v>0</v>
      </c>
      <c r="E134" s="1132">
        <f>+G134+I134+K134</f>
        <v>0</v>
      </c>
      <c r="F134" s="1112">
        <f>+H134+J134+L134</f>
        <v>0</v>
      </c>
      <c r="G134" s="595">
        <f>SUM(G130:G133)</f>
        <v>0</v>
      </c>
      <c r="H134" s="1037">
        <f>SUM(H130:H133)</f>
        <v>0</v>
      </c>
      <c r="I134" s="1037">
        <f t="shared" ref="I134:K134" si="172">SUM(I130:I133)</f>
        <v>0</v>
      </c>
      <c r="J134" s="659">
        <f t="shared" si="172"/>
        <v>0</v>
      </c>
      <c r="K134" s="659">
        <f t="shared" si="172"/>
        <v>0</v>
      </c>
      <c r="L134" s="1112">
        <f>SUM(L130:L133)</f>
        <v>0</v>
      </c>
      <c r="M134" s="1112">
        <f>SUM(M130:M133)</f>
        <v>0</v>
      </c>
      <c r="AX134" s="178"/>
      <c r="AY134" s="178"/>
      <c r="AZ134" s="178"/>
      <c r="BA134" s="178"/>
      <c r="BB134" s="178"/>
      <c r="BS134" s="960"/>
      <c r="BT134" s="960"/>
      <c r="BU134" s="960"/>
      <c r="BV134" s="960"/>
      <c r="BW134" s="960"/>
      <c r="BY134" s="291"/>
      <c r="BZ134" s="291"/>
      <c r="CA134" s="291"/>
      <c r="CB134" s="354"/>
      <c r="CC134" s="354"/>
      <c r="CD134" s="354"/>
      <c r="CE134" s="354"/>
      <c r="CF134" s="354"/>
      <c r="CG134" s="354"/>
      <c r="CH134" s="354"/>
      <c r="CI134" s="354"/>
      <c r="CJ134" s="306"/>
      <c r="CK134" s="306"/>
      <c r="CL134" s="306"/>
      <c r="CM134" s="306"/>
      <c r="CN134" s="306"/>
      <c r="CO134" s="306"/>
      <c r="CP134" s="306"/>
      <c r="CQ134" s="306"/>
      <c r="CR134" s="306"/>
      <c r="CS134" s="306"/>
      <c r="CT134" s="306"/>
      <c r="CU134" s="306"/>
      <c r="CV134" s="306"/>
      <c r="CW134" s="306"/>
      <c r="CX134" s="306"/>
      <c r="CY134" s="306"/>
      <c r="CZ134" s="306"/>
      <c r="DA134" s="306"/>
      <c r="DB134" s="306"/>
      <c r="DC134" s="354"/>
      <c r="DD134" s="354"/>
      <c r="DE134" s="352"/>
      <c r="DF134" s="352"/>
      <c r="DG134" s="352"/>
      <c r="DH134" s="352"/>
      <c r="DI134" s="352"/>
      <c r="DJ134" s="352"/>
      <c r="DK134" s="352"/>
      <c r="DL134" s="352"/>
      <c r="DM134" s="352"/>
      <c r="DN134" s="352"/>
      <c r="DO134" s="352"/>
      <c r="DP134" s="352"/>
      <c r="DQ134" s="352"/>
      <c r="DR134" s="352"/>
      <c r="DS134" s="352"/>
      <c r="DT134" s="352"/>
      <c r="DU134" s="352"/>
      <c r="DV134" s="352"/>
      <c r="DW134" s="352"/>
    </row>
    <row r="135" spans="1:127" ht="29.25" customHeight="1" x14ac:dyDescent="0.3">
      <c r="B135" s="430" t="s">
        <v>457</v>
      </c>
      <c r="C135" s="426"/>
      <c r="D135" s="426"/>
      <c r="E135" s="426"/>
      <c r="F135" s="426"/>
      <c r="G135" s="426"/>
      <c r="H135" s="426"/>
      <c r="I135" s="426"/>
      <c r="J135" s="425"/>
      <c r="AX135" s="178"/>
      <c r="BS135" s="960"/>
      <c r="BU135" s="291"/>
      <c r="BV135" s="291"/>
      <c r="BW135" s="291"/>
      <c r="CB135" s="354"/>
      <c r="CC135" s="354"/>
      <c r="CD135" s="354"/>
      <c r="CE135" s="354"/>
      <c r="CF135" s="354"/>
      <c r="CG135" s="354"/>
      <c r="CH135" s="354"/>
      <c r="CI135" s="354"/>
      <c r="CJ135" s="354"/>
      <c r="CK135" s="354"/>
      <c r="CL135" s="354"/>
      <c r="CM135" s="306"/>
      <c r="CN135" s="306"/>
      <c r="CO135" s="306"/>
      <c r="CP135" s="306"/>
      <c r="CQ135" s="306"/>
      <c r="CR135" s="306"/>
      <c r="CS135" s="306"/>
      <c r="CT135" s="306"/>
      <c r="CU135" s="306"/>
      <c r="CV135" s="306"/>
      <c r="CW135" s="306"/>
      <c r="CX135" s="306"/>
      <c r="CY135" s="306"/>
      <c r="CZ135" s="306"/>
      <c r="DA135" s="306"/>
      <c r="DB135" s="306"/>
      <c r="DC135" s="354"/>
      <c r="DD135" s="354"/>
      <c r="DE135" s="352"/>
      <c r="DF135" s="352"/>
      <c r="DG135" s="352"/>
      <c r="DH135" s="352"/>
      <c r="DI135" s="352"/>
      <c r="DJ135" s="352"/>
      <c r="DK135" s="352"/>
      <c r="DL135" s="352"/>
      <c r="DM135" s="352"/>
      <c r="DN135" s="352"/>
      <c r="DO135" s="352"/>
      <c r="DP135" s="352"/>
      <c r="DQ135" s="352"/>
      <c r="DR135" s="352"/>
      <c r="DS135" s="352"/>
      <c r="DT135" s="352"/>
      <c r="DU135" s="352"/>
      <c r="DV135" s="352"/>
      <c r="DW135" s="352"/>
    </row>
    <row r="136" spans="1:127" ht="15" customHeight="1" x14ac:dyDescent="0.3">
      <c r="B136" s="1950" t="s">
        <v>110</v>
      </c>
      <c r="C136" s="1951"/>
      <c r="D136" s="2017" t="s">
        <v>13</v>
      </c>
      <c r="E136" s="1916" t="s">
        <v>118</v>
      </c>
      <c r="F136" s="1917"/>
      <c r="G136" s="1917"/>
      <c r="H136" s="1917"/>
      <c r="I136" s="1917"/>
      <c r="J136" s="1918"/>
      <c r="BT136" s="291"/>
      <c r="BU136" s="291"/>
      <c r="BV136" s="291"/>
      <c r="CB136" s="354"/>
      <c r="CC136" s="354"/>
      <c r="CD136" s="354"/>
      <c r="CE136" s="354"/>
      <c r="CF136" s="354"/>
      <c r="CG136" s="354"/>
      <c r="CH136" s="354"/>
      <c r="CI136" s="354"/>
      <c r="CJ136" s="354"/>
      <c r="CK136" s="354"/>
      <c r="CL136" s="354"/>
      <c r="CM136" s="306"/>
      <c r="CN136" s="306"/>
      <c r="CO136" s="306"/>
      <c r="CP136" s="306"/>
      <c r="CQ136" s="306"/>
      <c r="CR136" s="306"/>
      <c r="CS136" s="306"/>
      <c r="CT136" s="306"/>
      <c r="CU136" s="306"/>
      <c r="CV136" s="306"/>
      <c r="CW136" s="306"/>
      <c r="CX136" s="306"/>
      <c r="CY136" s="306"/>
      <c r="CZ136" s="306"/>
      <c r="DA136" s="306"/>
      <c r="DB136" s="306"/>
      <c r="DC136" s="354"/>
      <c r="DD136" s="354"/>
      <c r="DE136" s="352"/>
      <c r="DF136" s="352"/>
      <c r="DG136" s="352"/>
      <c r="DH136" s="352"/>
      <c r="DI136" s="352"/>
      <c r="DJ136" s="352"/>
      <c r="DK136" s="352"/>
      <c r="DL136" s="352"/>
      <c r="DM136" s="352"/>
      <c r="DN136" s="352"/>
      <c r="DO136" s="352"/>
      <c r="DP136" s="352"/>
      <c r="DQ136" s="352"/>
      <c r="DR136" s="352"/>
      <c r="DS136" s="352"/>
      <c r="DT136" s="352"/>
      <c r="DU136" s="352"/>
      <c r="DV136" s="352"/>
      <c r="DW136" s="352"/>
    </row>
    <row r="137" spans="1:127" ht="25.5" customHeight="1" x14ac:dyDescent="0.3">
      <c r="B137" s="1952"/>
      <c r="C137" s="1953"/>
      <c r="D137" s="2018"/>
      <c r="E137" s="327" t="s">
        <v>509</v>
      </c>
      <c r="F137" s="326" t="s">
        <v>106</v>
      </c>
      <c r="G137" s="326" t="s">
        <v>88</v>
      </c>
      <c r="H137" s="326" t="s">
        <v>119</v>
      </c>
      <c r="I137" s="326" t="s">
        <v>91</v>
      </c>
      <c r="J137" s="119" t="s">
        <v>92</v>
      </c>
      <c r="BT137" s="291"/>
      <c r="BU137" s="291"/>
      <c r="BV137" s="291"/>
      <c r="CB137" s="354"/>
      <c r="CC137" s="354"/>
      <c r="CD137" s="354"/>
      <c r="CE137" s="354"/>
      <c r="CF137" s="354"/>
      <c r="CG137" s="354"/>
      <c r="CH137" s="354"/>
      <c r="CI137" s="354"/>
      <c r="CJ137" s="354"/>
      <c r="CK137" s="354"/>
      <c r="CL137" s="354"/>
      <c r="CM137" s="306"/>
      <c r="CN137" s="306"/>
      <c r="CO137" s="306"/>
      <c r="CP137" s="306"/>
      <c r="CQ137" s="306"/>
      <c r="CR137" s="306"/>
      <c r="CS137" s="306"/>
      <c r="CT137" s="306"/>
      <c r="CU137" s="306"/>
      <c r="CV137" s="306"/>
      <c r="CW137" s="306"/>
      <c r="CX137" s="306"/>
      <c r="CY137" s="306"/>
      <c r="CZ137" s="306"/>
      <c r="DA137" s="306"/>
      <c r="DB137" s="306"/>
      <c r="DC137" s="354"/>
      <c r="DD137" s="354"/>
      <c r="DE137" s="352"/>
      <c r="DF137" s="352"/>
      <c r="DG137" s="352"/>
      <c r="DH137" s="352"/>
      <c r="DI137" s="352"/>
      <c r="DJ137" s="352"/>
      <c r="DK137" s="352"/>
      <c r="DL137" s="352"/>
      <c r="DM137" s="352"/>
      <c r="DN137" s="352"/>
      <c r="DO137" s="352"/>
      <c r="DP137" s="352"/>
      <c r="DQ137" s="352"/>
      <c r="DR137" s="352"/>
      <c r="DS137" s="352"/>
      <c r="DT137" s="352"/>
      <c r="DU137" s="352"/>
      <c r="DV137" s="352"/>
      <c r="DW137" s="352"/>
    </row>
    <row r="138" spans="1:127" ht="21.75" customHeight="1" x14ac:dyDescent="0.3">
      <c r="A138" s="1641" t="s">
        <v>1079</v>
      </c>
      <c r="B138" s="1948" t="s">
        <v>123</v>
      </c>
      <c r="C138" s="1949"/>
      <c r="D138" s="581" t="s">
        <v>1550</v>
      </c>
      <c r="E138" s="582" t="s">
        <v>1551</v>
      </c>
      <c r="F138" s="653" t="s">
        <v>1552</v>
      </c>
      <c r="G138" s="653" t="s">
        <v>1553</v>
      </c>
      <c r="H138" s="653" t="s">
        <v>1554</v>
      </c>
      <c r="I138" s="653" t="s">
        <v>1555</v>
      </c>
      <c r="J138" s="583" t="s">
        <v>1556</v>
      </c>
      <c r="K138" s="1513" t="str">
        <f xml:space="preserve"> CG138 &amp; CH138 &amp; CI138 &amp; CJ138 &amp; CK138 &amp; CL138</f>
        <v xml:space="preserve">* Niños(as) de 4 a 11 ms clasificados debe ser menor o igual al Total niños diagnostidos en NORMAL sección A misma edad. * Niños(as) de 12 a 23 ms clasificados debe ser menor o igual al Total niños diagnosticados en NORMAL en sección A misma edad. * Niños(as) de 24 a 35 ms clasificados debe ser menor o igual al Total niños diagnosticados en NORMAL en sección A misma edad. * Niños(as) de 36 a 47 ms clasificados debe ser menor o igual al Total niños diagnosticos en NORMAL en sección A misma edad. * Niños(as) de 48 a 59 ms clasificados debe ser menor o igual al Total niños diagnosticados en NORMAL en sección A misma edad. * Niños(as) de 60 a 71 ms clasificados debe ser menor o igual al Total niños diagnosticados en NORMAL en sección A1 misma edad. </v>
      </c>
      <c r="BT138" s="291"/>
      <c r="BU138" s="291"/>
      <c r="BV138" s="291"/>
      <c r="CB138" s="354"/>
      <c r="CC138" s="354"/>
      <c r="CD138" s="354"/>
      <c r="CE138" s="354"/>
      <c r="CF138" s="354"/>
      <c r="CG138" s="348" t="str">
        <f>IF($E138&lt;=SUM($O$35:$V$35),"","* Niños(as) de 4 a 11 ms clasificados debe ser menor o igual al Total niños diagnostidos en NORMAL sección A misma edad. ")</f>
        <v xml:space="preserve">* Niños(as) de 4 a 11 ms clasificados debe ser menor o igual al Total niños diagnostidos en NORMAL sección A misma edad. </v>
      </c>
      <c r="CH138" s="348" t="str">
        <f>IF($F138&lt;=SUM($W$35:$Z$35),"","* Niños(as) de 12 a 23 ms clasificados debe ser menor o igual al Total niños diagnosticados en NORMAL en sección A misma edad. ")</f>
        <v xml:space="preserve">* Niños(as) de 12 a 23 ms clasificados debe ser menor o igual al Total niños diagnosticados en NORMAL en sección A misma edad. </v>
      </c>
      <c r="CI138" s="348" t="str">
        <f>IF($G138&lt;=SUM($AA$35:$AB$35),"","* Niños(as) de 24 a 35 ms clasificados debe ser menor o igual al Total niños diagnosticados en NORMAL en sección A misma edad. ")</f>
        <v xml:space="preserve">* Niños(as) de 24 a 35 ms clasificados debe ser menor o igual al Total niños diagnosticados en NORMAL en sección A misma edad. </v>
      </c>
      <c r="CJ138" s="348" t="str">
        <f>IF($H138&lt;=SUM($AC$35:$AD$35),"","* Niños(as) de 36 a 47 ms clasificados debe ser menor o igual al Total niños diagnosticos en NORMAL en sección A misma edad. ")</f>
        <v xml:space="preserve">* Niños(as) de 36 a 47 ms clasificados debe ser menor o igual al Total niños diagnosticos en NORMAL en sección A misma edad. </v>
      </c>
      <c r="CK138" s="348" t="str">
        <f>IF($I138&lt;=SUM($AG$35:$AH$35),"","* Niños(as) de 48 a 59 ms clasificados debe ser menor o igual al Total niños diagnosticados en NORMAL en sección A misma edad. ")</f>
        <v xml:space="preserve">* Niños(as) de 48 a 59 ms clasificados debe ser menor o igual al Total niños diagnosticados en NORMAL en sección A misma edad. </v>
      </c>
      <c r="CL138" s="348" t="str">
        <f>IF($J138&lt;=SUM($G$69:$H$69),"","* Niños(as) de 60 a 71 ms clasificados debe ser menor o igual al Total niños diagnosticados en NORMAL en sección A1 misma edad. ")</f>
        <v xml:space="preserve">* Niños(as) de 60 a 71 ms clasificados debe ser menor o igual al Total niños diagnosticados en NORMAL en sección A1 misma edad. </v>
      </c>
      <c r="CM138" s="306"/>
      <c r="CN138" s="306"/>
      <c r="CO138" s="306"/>
      <c r="CP138" s="306"/>
      <c r="CQ138" s="306"/>
      <c r="CR138" s="306"/>
      <c r="CS138" s="306"/>
      <c r="CT138" s="306"/>
      <c r="CU138" s="306"/>
      <c r="CV138" s="306"/>
      <c r="CW138" s="306"/>
      <c r="CX138" s="306"/>
      <c r="CY138" s="306"/>
      <c r="CZ138" s="306"/>
      <c r="DA138" s="306"/>
      <c r="DB138" s="306"/>
      <c r="DC138" s="354"/>
      <c r="DD138" s="354"/>
      <c r="DE138" s="352"/>
      <c r="DF138" s="352"/>
      <c r="DG138" s="358">
        <f>IF($E138&lt;=SUM($O$35:$V$35),0,1)</f>
        <v>1</v>
      </c>
      <c r="DH138" s="358">
        <f>IF($F138&lt;=SUM($W$35:$Z$35),0,1)</f>
        <v>1</v>
      </c>
      <c r="DI138" s="358">
        <f>IF($G138&lt;=SUM($AA$35:$AB$35),0,1)</f>
        <v>1</v>
      </c>
      <c r="DJ138" s="358">
        <f>IF($H138&lt;=SUM($AC$35:$AD$35),0,1)</f>
        <v>1</v>
      </c>
      <c r="DK138" s="358">
        <f>IF($I138&lt;=SUM($AG$35:$AH$35),0,1)</f>
        <v>1</v>
      </c>
      <c r="DL138" s="358">
        <f>IF($J138&lt;=SUM($G$69:$H$69),0,1)</f>
        <v>1</v>
      </c>
      <c r="DM138" s="352"/>
      <c r="DN138" s="352"/>
      <c r="DO138" s="352"/>
      <c r="DP138" s="352"/>
      <c r="DQ138" s="352"/>
      <c r="DR138" s="352"/>
      <c r="DS138" s="352"/>
      <c r="DT138" s="352"/>
      <c r="DU138" s="352"/>
      <c r="DV138" s="352"/>
      <c r="DW138" s="352"/>
    </row>
    <row r="139" spans="1:127" ht="21.75" customHeight="1" x14ac:dyDescent="0.3">
      <c r="A139" s="1641" t="s">
        <v>1080</v>
      </c>
      <c r="B139" s="1908" t="s">
        <v>124</v>
      </c>
      <c r="C139" s="1909"/>
      <c r="D139" s="656" t="s">
        <v>1550</v>
      </c>
      <c r="E139" s="588" t="s">
        <v>1551</v>
      </c>
      <c r="F139" s="657" t="s">
        <v>1552</v>
      </c>
      <c r="G139" s="657" t="s">
        <v>1553</v>
      </c>
      <c r="H139" s="657" t="s">
        <v>1554</v>
      </c>
      <c r="I139" s="657" t="s">
        <v>1555</v>
      </c>
      <c r="J139" s="589" t="s">
        <v>1556</v>
      </c>
      <c r="K139" s="1513" t="str">
        <f xml:space="preserve"> CG139 &amp; CH139 &amp; CI139 &amp; CJ139 &amp; CK139 &amp; CL139</f>
        <v xml:space="preserve">* Niños(as) de 4 a 11 ms clasificados debe ser menor o igual al Total niños diagnostidos en NORMAL sección A misma edad. * Niños(as) de 12 a 23 ms clasificados debe ser menor o igual al Total niños diagnosticados en NORMAL en sección A misma edad. * Niños(as) de 24 a 35 ms clasificados debe ser menor o igual al Total niños diagnosticados en NORMAL en sección A misma edad. * Niños(as) de 36 a 47 ms clasificados debe ser menor o igual al Total niños diagnosticos en NORMAL en sección A misma edad. * Niños(as) de 48 a 59 ms clasificados debe ser menor o igual al Total niños diagnosticados en NORMAL en sección A misma edad. * Niños(as) de 60 a 71 ms clasificados debe ser menor o igual al Total niños diagnosticados en NORMAL en sección A1 misma edad. </v>
      </c>
      <c r="BT139" s="291"/>
      <c r="BU139" s="291"/>
      <c r="BV139" s="291"/>
      <c r="CB139" s="354"/>
      <c r="CC139" s="354"/>
      <c r="CD139" s="354"/>
      <c r="CE139" s="354"/>
      <c r="CF139" s="354"/>
      <c r="CG139" s="348" t="str">
        <f>IF($E139&lt;=SUM($O$35:$V$35),"","* Niños(as) de 4 a 11 ms clasificados debe ser menor o igual al Total niños diagnostidos en NORMAL sección A misma edad. ")</f>
        <v xml:space="preserve">* Niños(as) de 4 a 11 ms clasificados debe ser menor o igual al Total niños diagnostidos en NORMAL sección A misma edad. </v>
      </c>
      <c r="CH139" s="348" t="str">
        <f>IF($F139&lt;=SUM($W$35:$Z$35),"","* Niños(as) de 12 a 23 ms clasificados debe ser menor o igual al Total niños diagnosticados en NORMAL en sección A misma edad. ")</f>
        <v xml:space="preserve">* Niños(as) de 12 a 23 ms clasificados debe ser menor o igual al Total niños diagnosticados en NORMAL en sección A misma edad. </v>
      </c>
      <c r="CI139" s="348" t="str">
        <f>IF($G139&lt;=SUM($AA$35:$AB$35),"","* Niños(as) de 24 a 35 ms clasificados debe ser menor o igual al Total niños diagnosticados en NORMAL en sección A misma edad. ")</f>
        <v xml:space="preserve">* Niños(as) de 24 a 35 ms clasificados debe ser menor o igual al Total niños diagnosticados en NORMAL en sección A misma edad. </v>
      </c>
      <c r="CJ139" s="348" t="str">
        <f>IF($H139&lt;=SUM($AC$35:$AD$35),"","* Niños(as) de 36 a 47 ms clasificados debe ser menor o igual al Total niños diagnosticos en NORMAL en sección A misma edad. ")</f>
        <v xml:space="preserve">* Niños(as) de 36 a 47 ms clasificados debe ser menor o igual al Total niños diagnosticos en NORMAL en sección A misma edad. </v>
      </c>
      <c r="CK139" s="348" t="str">
        <f>IF($I139&lt;=SUM($AG$35:$AH$35),"","* Niños(as) de 48 a 59 ms clasificados debe ser menor o igual al Total niños diagnosticados en NORMAL en sección A misma edad. ")</f>
        <v xml:space="preserve">* Niños(as) de 48 a 59 ms clasificados debe ser menor o igual al Total niños diagnosticados en NORMAL en sección A misma edad. </v>
      </c>
      <c r="CL139" s="348" t="str">
        <f>IF($J139&lt;=SUM($G$69:$H$69),"","* Niños(as) de 60 a 71 ms clasificados debe ser menor o igual al Total niños diagnosticados en NORMAL en sección A1 misma edad. ")</f>
        <v xml:space="preserve">* Niños(as) de 60 a 71 ms clasificados debe ser menor o igual al Total niños diagnosticados en NORMAL en sección A1 misma edad. </v>
      </c>
      <c r="CM139" s="306"/>
      <c r="CN139" s="306"/>
      <c r="CO139" s="306"/>
      <c r="CP139" s="306"/>
      <c r="CQ139" s="306"/>
      <c r="CR139" s="306"/>
      <c r="CS139" s="306"/>
      <c r="CT139" s="306"/>
      <c r="CU139" s="306"/>
      <c r="CV139" s="306"/>
      <c r="CW139" s="306"/>
      <c r="CX139" s="306"/>
      <c r="CY139" s="306"/>
      <c r="CZ139" s="306"/>
      <c r="DA139" s="306"/>
      <c r="DB139" s="306"/>
      <c r="DC139" s="354"/>
      <c r="DD139" s="354"/>
      <c r="DE139" s="352"/>
      <c r="DF139" s="352"/>
      <c r="DG139" s="358">
        <f t="shared" ref="DG139" si="173">IF($E139&lt;=SUM($O$35:$V$35),0,1)</f>
        <v>1</v>
      </c>
      <c r="DH139" s="358">
        <f>IF($F139&lt;=SUM($W$35:$Z$35),0,1)</f>
        <v>1</v>
      </c>
      <c r="DI139" s="358">
        <f>IF($G139&lt;=SUM($AA$35:$AB$35),0,1)</f>
        <v>1</v>
      </c>
      <c r="DJ139" s="358">
        <f>IF($H139&lt;=SUM($AC$35:$AD$35),0,1)</f>
        <v>1</v>
      </c>
      <c r="DK139" s="358">
        <f>IF($I139&lt;=SUM($AG$35:$AH$35),0,1)</f>
        <v>1</v>
      </c>
      <c r="DL139" s="358">
        <f>IF($J139&lt;=SUM($G$69:$H$69),0,1)</f>
        <v>1</v>
      </c>
      <c r="DM139" s="352"/>
      <c r="DN139" s="352"/>
      <c r="DO139" s="352"/>
      <c r="DP139" s="352"/>
      <c r="DQ139" s="352"/>
      <c r="DR139" s="352"/>
      <c r="DS139" s="352"/>
      <c r="DT139" s="352"/>
      <c r="DU139" s="352"/>
      <c r="DV139" s="352"/>
      <c r="DW139" s="352"/>
    </row>
    <row r="140" spans="1:127" ht="16.5" customHeight="1" x14ac:dyDescent="0.3">
      <c r="A140" s="1644"/>
      <c r="B140" s="1946" t="s">
        <v>13</v>
      </c>
      <c r="C140" s="1947"/>
      <c r="D140" s="594">
        <f>SUM(E140:J140)</f>
        <v>0</v>
      </c>
      <c r="E140" s="595">
        <f t="shared" ref="E140:J140" si="174">SUM(E138:E139)</f>
        <v>0</v>
      </c>
      <c r="F140" s="659">
        <f t="shared" si="174"/>
        <v>0</v>
      </c>
      <c r="G140" s="659">
        <f t="shared" si="174"/>
        <v>0</v>
      </c>
      <c r="H140" s="598">
        <f t="shared" si="174"/>
        <v>0</v>
      </c>
      <c r="I140" s="659">
        <f t="shared" si="174"/>
        <v>0</v>
      </c>
      <c r="J140" s="596">
        <f t="shared" si="174"/>
        <v>0</v>
      </c>
      <c r="K140" s="178" t="str">
        <f xml:space="preserve"> CG140 &amp; CH140 &amp; CI140 &amp; CJ140 &amp; CK140 &amp; CL140</f>
        <v/>
      </c>
      <c r="BT140" s="291"/>
      <c r="BU140" s="291"/>
      <c r="BV140" s="291"/>
      <c r="CB140" s="354"/>
      <c r="CC140" s="354"/>
      <c r="CD140" s="354"/>
      <c r="CE140" s="354"/>
      <c r="CF140" s="354"/>
      <c r="CG140" s="354"/>
      <c r="CH140" s="354"/>
      <c r="CI140" s="354"/>
      <c r="CJ140" s="354"/>
      <c r="CK140" s="354"/>
      <c r="CL140" s="354"/>
      <c r="CM140" s="354"/>
      <c r="CN140" s="306"/>
      <c r="CO140" s="306"/>
      <c r="CP140" s="306"/>
      <c r="CQ140" s="306"/>
      <c r="CR140" s="306"/>
      <c r="CS140" s="306"/>
      <c r="CT140" s="306"/>
      <c r="CU140" s="306"/>
      <c r="CV140" s="306"/>
      <c r="CW140" s="306"/>
      <c r="CX140" s="306"/>
      <c r="CY140" s="306"/>
      <c r="CZ140" s="306"/>
      <c r="DA140" s="306"/>
      <c r="DB140" s="306"/>
      <c r="DC140" s="354"/>
      <c r="DD140" s="354"/>
      <c r="DE140" s="352"/>
      <c r="DF140" s="352"/>
      <c r="DG140" s="352"/>
      <c r="DH140" s="352"/>
      <c r="DI140" s="352"/>
      <c r="DJ140" s="352"/>
      <c r="DK140" s="352"/>
      <c r="DL140" s="352"/>
      <c r="DM140" s="352"/>
      <c r="DN140" s="352"/>
      <c r="DO140" s="352"/>
      <c r="DP140" s="352"/>
      <c r="DQ140" s="352"/>
      <c r="DR140" s="352"/>
      <c r="DS140" s="352"/>
      <c r="DT140" s="352"/>
      <c r="DU140" s="352"/>
      <c r="DV140" s="352"/>
      <c r="DW140" s="352"/>
    </row>
    <row r="141" spans="1:127" ht="27.75" customHeight="1" x14ac:dyDescent="0.3">
      <c r="B141" s="430" t="s">
        <v>722</v>
      </c>
      <c r="C141" s="175"/>
      <c r="D141" s="175"/>
      <c r="E141" s="175"/>
      <c r="F141" s="175"/>
      <c r="G141" s="175"/>
      <c r="H141" s="175"/>
      <c r="I141" s="175"/>
      <c r="J141" s="175"/>
      <c r="K141" s="175"/>
      <c r="L141" s="175"/>
      <c r="M141" s="175"/>
      <c r="N141" s="175"/>
      <c r="O141" s="175"/>
      <c r="P141" s="175"/>
      <c r="Q141" s="175"/>
      <c r="R141" s="175"/>
      <c r="S141" s="175"/>
      <c r="T141" s="175"/>
      <c r="U141" s="175"/>
      <c r="V141" s="175"/>
      <c r="W141" s="175"/>
      <c r="X141" s="175"/>
      <c r="Y141" s="175"/>
      <c r="Z141" s="175"/>
      <c r="AA141" s="175"/>
      <c r="AB141" s="175"/>
      <c r="AC141" s="175"/>
      <c r="AD141" s="175"/>
      <c r="AE141" s="175"/>
      <c r="AF141" s="175"/>
      <c r="AG141" s="175"/>
      <c r="AH141" s="175"/>
      <c r="AI141" s="175"/>
      <c r="AJ141" s="175"/>
      <c r="AK141" s="175"/>
      <c r="AL141" s="175"/>
      <c r="AM141" s="175"/>
      <c r="AN141" s="175"/>
      <c r="AO141" s="175"/>
      <c r="AP141" s="175"/>
      <c r="AQ141" s="175"/>
      <c r="AR141" s="175"/>
      <c r="AS141" s="175"/>
      <c r="AT141" s="175"/>
      <c r="AU141" s="175"/>
      <c r="AV141" s="175"/>
      <c r="AW141" s="175"/>
    </row>
    <row r="142" spans="1:127" ht="19.5" customHeight="1" x14ac:dyDescent="0.3">
      <c r="B142" s="2002" t="s">
        <v>813</v>
      </c>
      <c r="C142" s="2003"/>
      <c r="D142" s="1910" t="s">
        <v>13</v>
      </c>
      <c r="E142" s="1911"/>
      <c r="F142" s="1912"/>
      <c r="G142" s="1959" t="s">
        <v>77</v>
      </c>
      <c r="H142" s="1960"/>
      <c r="I142" s="1960"/>
      <c r="J142" s="1960"/>
      <c r="K142" s="1960"/>
      <c r="L142" s="1960"/>
      <c r="M142" s="1960"/>
      <c r="N142" s="1960"/>
      <c r="O142" s="1960"/>
      <c r="P142" s="1960"/>
      <c r="Q142" s="1960"/>
      <c r="R142" s="1960"/>
      <c r="S142" s="1960"/>
      <c r="T142" s="1960"/>
      <c r="U142" s="1960"/>
      <c r="V142" s="1960"/>
      <c r="W142" s="1960"/>
      <c r="X142" s="1960"/>
      <c r="Y142" s="1960"/>
      <c r="Z142" s="1960"/>
      <c r="AA142" s="1960"/>
      <c r="AB142" s="1960"/>
      <c r="AC142" s="1960"/>
      <c r="AD142" s="1960"/>
      <c r="AE142" s="1960"/>
      <c r="AF142" s="1960"/>
      <c r="AG142" s="1960"/>
      <c r="AH142" s="1960"/>
      <c r="AI142" s="1960"/>
      <c r="AJ142" s="1960"/>
      <c r="AK142" s="1960"/>
      <c r="AL142" s="1960"/>
      <c r="AM142" s="1960"/>
      <c r="AN142" s="1960"/>
      <c r="AO142" s="1960"/>
      <c r="AP142" s="1960"/>
      <c r="AQ142" s="1960"/>
      <c r="AR142" s="1961"/>
      <c r="AS142" s="1962" t="s">
        <v>15</v>
      </c>
      <c r="AT142" s="1963"/>
      <c r="AU142" s="1954" t="s">
        <v>465</v>
      </c>
      <c r="AV142" s="1955"/>
      <c r="AW142" s="175"/>
      <c r="AX142" s="175"/>
      <c r="AY142" s="175"/>
      <c r="AZ142" s="175"/>
      <c r="BA142" s="175"/>
      <c r="BS142" s="960"/>
      <c r="BT142" s="960"/>
      <c r="BU142" s="960"/>
      <c r="BV142" s="960"/>
    </row>
    <row r="143" spans="1:127" ht="19.5" customHeight="1" x14ac:dyDescent="0.3">
      <c r="B143" s="2004"/>
      <c r="C143" s="2005"/>
      <c r="D143" s="1913"/>
      <c r="E143" s="1914"/>
      <c r="F143" s="1915"/>
      <c r="G143" s="1933" t="s">
        <v>78</v>
      </c>
      <c r="H143" s="1934"/>
      <c r="I143" s="1934" t="s">
        <v>79</v>
      </c>
      <c r="J143" s="1934"/>
      <c r="K143" s="1934" t="s">
        <v>80</v>
      </c>
      <c r="L143" s="1934"/>
      <c r="M143" s="1934" t="s">
        <v>81</v>
      </c>
      <c r="N143" s="1934"/>
      <c r="O143" s="1934" t="s">
        <v>82</v>
      </c>
      <c r="P143" s="1934"/>
      <c r="Q143" s="1934" t="s">
        <v>83</v>
      </c>
      <c r="R143" s="1934"/>
      <c r="S143" s="1934" t="s">
        <v>84</v>
      </c>
      <c r="T143" s="1934"/>
      <c r="U143" s="1934" t="s">
        <v>85</v>
      </c>
      <c r="V143" s="1934"/>
      <c r="W143" s="1934" t="s">
        <v>86</v>
      </c>
      <c r="X143" s="1934"/>
      <c r="Y143" s="1934" t="s">
        <v>87</v>
      </c>
      <c r="Z143" s="1934"/>
      <c r="AA143" s="1934" t="s">
        <v>88</v>
      </c>
      <c r="AB143" s="1934"/>
      <c r="AC143" s="1934" t="s">
        <v>89</v>
      </c>
      <c r="AD143" s="1934"/>
      <c r="AE143" s="1934" t="s">
        <v>90</v>
      </c>
      <c r="AF143" s="1934"/>
      <c r="AG143" s="1934" t="s">
        <v>91</v>
      </c>
      <c r="AH143" s="1934"/>
      <c r="AI143" s="1934" t="s">
        <v>92</v>
      </c>
      <c r="AJ143" s="1934"/>
      <c r="AK143" s="1934" t="s">
        <v>571</v>
      </c>
      <c r="AL143" s="1934"/>
      <c r="AM143" s="1934" t="s">
        <v>572</v>
      </c>
      <c r="AN143" s="1934"/>
      <c r="AO143" s="1934" t="s">
        <v>128</v>
      </c>
      <c r="AP143" s="1934"/>
      <c r="AQ143" s="1934" t="s">
        <v>17</v>
      </c>
      <c r="AR143" s="1958"/>
      <c r="AS143" s="1964"/>
      <c r="AT143" s="1965"/>
      <c r="AU143" s="1956"/>
      <c r="AV143" s="1957"/>
      <c r="AW143" s="175"/>
      <c r="AX143" s="175"/>
      <c r="AY143" s="175"/>
      <c r="AZ143" s="175"/>
      <c r="BA143" s="175"/>
      <c r="BS143" s="960"/>
      <c r="BT143" s="960"/>
      <c r="BU143" s="960"/>
      <c r="BV143" s="960"/>
    </row>
    <row r="144" spans="1:127" ht="28.5" customHeight="1" x14ac:dyDescent="0.3">
      <c r="B144" s="2006"/>
      <c r="C144" s="2007"/>
      <c r="D144" s="1601" t="s">
        <v>369</v>
      </c>
      <c r="E144" s="1596" t="s">
        <v>31</v>
      </c>
      <c r="F144" s="1593" t="s">
        <v>94</v>
      </c>
      <c r="G144" s="92" t="s">
        <v>31</v>
      </c>
      <c r="H144" s="1602" t="s">
        <v>94</v>
      </c>
      <c r="I144" s="1602" t="s">
        <v>31</v>
      </c>
      <c r="J144" s="1602" t="s">
        <v>94</v>
      </c>
      <c r="K144" s="1602" t="s">
        <v>31</v>
      </c>
      <c r="L144" s="1602" t="s">
        <v>94</v>
      </c>
      <c r="M144" s="1602" t="s">
        <v>31</v>
      </c>
      <c r="N144" s="1602" t="s">
        <v>94</v>
      </c>
      <c r="O144" s="1602" t="s">
        <v>31</v>
      </c>
      <c r="P144" s="1602" t="s">
        <v>94</v>
      </c>
      <c r="Q144" s="1602" t="s">
        <v>31</v>
      </c>
      <c r="R144" s="1602" t="s">
        <v>94</v>
      </c>
      <c r="S144" s="1602" t="s">
        <v>31</v>
      </c>
      <c r="T144" s="1602" t="s">
        <v>94</v>
      </c>
      <c r="U144" s="1602" t="s">
        <v>31</v>
      </c>
      <c r="V144" s="1602" t="s">
        <v>94</v>
      </c>
      <c r="W144" s="1602" t="s">
        <v>31</v>
      </c>
      <c r="X144" s="1602" t="s">
        <v>94</v>
      </c>
      <c r="Y144" s="1602" t="s">
        <v>31</v>
      </c>
      <c r="Z144" s="1602" t="s">
        <v>94</v>
      </c>
      <c r="AA144" s="1602" t="s">
        <v>31</v>
      </c>
      <c r="AB144" s="1602" t="s">
        <v>94</v>
      </c>
      <c r="AC144" s="1602" t="s">
        <v>31</v>
      </c>
      <c r="AD144" s="1602" t="s">
        <v>94</v>
      </c>
      <c r="AE144" s="1602" t="s">
        <v>31</v>
      </c>
      <c r="AF144" s="1602" t="s">
        <v>94</v>
      </c>
      <c r="AG144" s="1602" t="s">
        <v>31</v>
      </c>
      <c r="AH144" s="1602" t="s">
        <v>94</v>
      </c>
      <c r="AI144" s="1602" t="s">
        <v>31</v>
      </c>
      <c r="AJ144" s="1602" t="s">
        <v>94</v>
      </c>
      <c r="AK144" s="1602" t="s">
        <v>31</v>
      </c>
      <c r="AL144" s="1602" t="s">
        <v>94</v>
      </c>
      <c r="AM144" s="1602" t="s">
        <v>31</v>
      </c>
      <c r="AN144" s="1602" t="s">
        <v>94</v>
      </c>
      <c r="AO144" s="1602" t="s">
        <v>31</v>
      </c>
      <c r="AP144" s="1602" t="s">
        <v>94</v>
      </c>
      <c r="AQ144" s="1602" t="s">
        <v>31</v>
      </c>
      <c r="AR144" s="1399" t="s">
        <v>94</v>
      </c>
      <c r="AS144" s="1603" t="s">
        <v>31</v>
      </c>
      <c r="AT144" s="1399" t="s">
        <v>94</v>
      </c>
      <c r="AU144" s="92" t="s">
        <v>31</v>
      </c>
      <c r="AV144" s="1431" t="s">
        <v>94</v>
      </c>
      <c r="AW144" s="175"/>
      <c r="AX144" s="175"/>
      <c r="AY144" s="175"/>
      <c r="AZ144" s="175"/>
      <c r="BA144" s="175"/>
      <c r="BS144" s="960"/>
      <c r="BT144" s="960"/>
      <c r="BU144" s="960"/>
      <c r="BV144" s="960"/>
    </row>
    <row r="145" spans="1:127" ht="21" customHeight="1" x14ac:dyDescent="0.3">
      <c r="A145" s="1645" t="s">
        <v>1604</v>
      </c>
      <c r="B145" s="2027" t="s">
        <v>816</v>
      </c>
      <c r="C145" s="2028"/>
      <c r="D145" s="595" t="s">
        <v>1550</v>
      </c>
      <c r="E145" s="1521" t="s">
        <v>1551</v>
      </c>
      <c r="F145" s="1522" t="s">
        <v>1552</v>
      </c>
      <c r="G145" s="623" t="s">
        <v>1553</v>
      </c>
      <c r="H145" s="1544" t="s">
        <v>1554</v>
      </c>
      <c r="I145" s="1544" t="s">
        <v>1555</v>
      </c>
      <c r="J145" s="1544" t="s">
        <v>1556</v>
      </c>
      <c r="K145" s="1544" t="s">
        <v>1557</v>
      </c>
      <c r="L145" s="1544" t="s">
        <v>1558</v>
      </c>
      <c r="M145" s="1544" t="s">
        <v>1559</v>
      </c>
      <c r="N145" s="1544" t="s">
        <v>1560</v>
      </c>
      <c r="O145" s="1544" t="s">
        <v>1561</v>
      </c>
      <c r="P145" s="1544" t="s">
        <v>1562</v>
      </c>
      <c r="Q145" s="1544" t="s">
        <v>1563</v>
      </c>
      <c r="R145" s="1544" t="s">
        <v>1564</v>
      </c>
      <c r="S145" s="1544" t="s">
        <v>1565</v>
      </c>
      <c r="T145" s="1544" t="s">
        <v>1566</v>
      </c>
      <c r="U145" s="1544" t="s">
        <v>1567</v>
      </c>
      <c r="V145" s="1544" t="s">
        <v>1568</v>
      </c>
      <c r="W145" s="1544" t="s">
        <v>1569</v>
      </c>
      <c r="X145" s="1544" t="s">
        <v>1570</v>
      </c>
      <c r="Y145" s="1544" t="s">
        <v>1571</v>
      </c>
      <c r="Z145" s="1544" t="s">
        <v>1572</v>
      </c>
      <c r="AA145" s="1544" t="s">
        <v>1573</v>
      </c>
      <c r="AB145" s="1544" t="s">
        <v>1574</v>
      </c>
      <c r="AC145" s="1544" t="s">
        <v>1575</v>
      </c>
      <c r="AD145" s="1544" t="s">
        <v>1576</v>
      </c>
      <c r="AE145" s="1544" t="s">
        <v>1577</v>
      </c>
      <c r="AF145" s="1544" t="s">
        <v>1578</v>
      </c>
      <c r="AG145" s="1544" t="s">
        <v>1579</v>
      </c>
      <c r="AH145" s="1544" t="s">
        <v>1580</v>
      </c>
      <c r="AI145" s="1544" t="s">
        <v>1581</v>
      </c>
      <c r="AJ145" s="1544" t="s">
        <v>1582</v>
      </c>
      <c r="AK145" s="1544" t="s">
        <v>1583</v>
      </c>
      <c r="AL145" s="1544" t="s">
        <v>1584</v>
      </c>
      <c r="AM145" s="1544" t="s">
        <v>1585</v>
      </c>
      <c r="AN145" s="1544" t="s">
        <v>1586</v>
      </c>
      <c r="AO145" s="1544" t="s">
        <v>1587</v>
      </c>
      <c r="AP145" s="1544" t="s">
        <v>1588</v>
      </c>
      <c r="AQ145" s="1544" t="s">
        <v>1589</v>
      </c>
      <c r="AR145" s="579" t="s">
        <v>1590</v>
      </c>
      <c r="AS145" s="580" t="s">
        <v>1591</v>
      </c>
      <c r="AT145" s="579" t="s">
        <v>1592</v>
      </c>
      <c r="AU145" s="576" t="s">
        <v>1593</v>
      </c>
      <c r="AV145" s="1545" t="s">
        <v>1594</v>
      </c>
      <c r="AW145" s="1513" t="str">
        <f t="shared" ref="AW145:AW189" si="175">CC145&amp;CD145&amp;CE145&amp;CF145</f>
        <v xml:space="preserve"> * La variable Pueblos Originarios / hombres  no debe ser mayor que el Total de Hombres. * La variable Pueblos Originarios/ Mujeres no debe ser mayor que el Total de Mujeres * La variable Migrantes / hombres  no debe ser mayor que el Total de Hombres * La variable Migrantes / Mujeres no debe ser mayor que el Total de Mujeres</v>
      </c>
      <c r="BL145" s="291"/>
      <c r="BM145" s="291"/>
      <c r="BS145" s="960"/>
      <c r="BT145" s="960"/>
      <c r="BU145" s="960"/>
      <c r="BV145" s="960"/>
      <c r="CB145" s="354"/>
      <c r="CC145" s="348" t="str">
        <f>IF(AND(E145&gt;0,AS145="")," * No olvide digitar la variable Pueblos Originarios / hombres (Digite Cero si no tiene).",IF(AS145&gt;E145," * La variable Pueblos Originarios / hombres  no debe ser mayor que el Total de Hombres.",""))</f>
        <v xml:space="preserve"> * La variable Pueblos Originarios / hombres  no debe ser mayor que el Total de Hombres.</v>
      </c>
      <c r="CD145" s="348" t="str">
        <f>IF(AND(F145&gt;0,AT145="")," * No olvide digitar la variable Pueblos Originarios / Mujeres (Digite Cero si no tiene). Digite Cero si no tiene.",IF(AT145&gt;F145," * La variable Pueblos Originarios/ Mujeres no debe ser mayor que el Total de Mujeres",""))</f>
        <v xml:space="preserve"> * La variable Pueblos Originarios/ Mujeres no debe ser mayor que el Total de Mujeres</v>
      </c>
      <c r="CE145" s="348" t="str">
        <f>IF(AND(E145&gt;0,AU145="")," * No olvide digitar la variable Migrantes / hombres (Digite Cero si no tiene).",IF(AU145&gt;E145," * La variable Migrantes / hombres  no debe ser mayor que el Total de Hombres",""))</f>
        <v xml:space="preserve"> * La variable Migrantes / hombres  no debe ser mayor que el Total de Hombres</v>
      </c>
      <c r="CF145" s="348" t="str">
        <f>IF(AND(F145&gt;0,AV145="")," * No olvide digitar la variable Migrantes  / Mujeres (Digite Cero si no tiene).",IF(AV145&gt;F145," * La variable Migrantes / Mujeres no debe ser mayor que el Total de Mujeres",""))</f>
        <v xml:space="preserve"> * La variable Migrantes / Mujeres no debe ser mayor que el Total de Mujeres</v>
      </c>
      <c r="CG145" s="354"/>
      <c r="CH145" s="354"/>
      <c r="CI145" s="354"/>
      <c r="CJ145" s="354"/>
      <c r="CK145" s="354"/>
      <c r="CL145" s="354"/>
      <c r="CM145" s="306"/>
      <c r="CN145" s="306"/>
      <c r="CO145" s="306"/>
      <c r="CP145" s="306"/>
      <c r="CQ145" s="306"/>
      <c r="CR145" s="306"/>
      <c r="CS145" s="306"/>
      <c r="CT145" s="306"/>
      <c r="CU145" s="306"/>
      <c r="CV145" s="306"/>
      <c r="CW145" s="306"/>
      <c r="CX145" s="306"/>
      <c r="CY145" s="306"/>
      <c r="CZ145" s="306"/>
      <c r="DA145" s="306"/>
      <c r="DB145" s="306"/>
      <c r="DC145" s="352"/>
      <c r="DD145" s="352"/>
      <c r="DE145" s="352"/>
      <c r="DF145" s="352"/>
      <c r="DG145" s="352">
        <f>IF(AND(E145&gt;0,AS145=""),1,IF(AS145&gt;E145,1,0))</f>
        <v>1</v>
      </c>
      <c r="DH145" s="352">
        <f>IF(AND(F145&gt;0,AT145=""),1,IF(AT145&gt;F145,1,0))</f>
        <v>1</v>
      </c>
      <c r="DI145" s="352">
        <f>IF(AND(E145&gt;0,AU145=""),1,IF(AU145&gt;E145,1,0))</f>
        <v>1</v>
      </c>
      <c r="DJ145" s="352">
        <f>IF(AND(F145&gt;0,AV145=""),1,IF(AV145&gt;F145,1,0))</f>
        <v>1</v>
      </c>
      <c r="DK145" s="352"/>
      <c r="DL145" s="352"/>
      <c r="DM145" s="352"/>
      <c r="DN145" s="352"/>
      <c r="DO145" s="352"/>
      <c r="DP145" s="352"/>
      <c r="DQ145" s="352"/>
      <c r="DR145" s="352"/>
      <c r="DS145" s="352"/>
      <c r="DT145" s="352"/>
      <c r="DU145" s="352"/>
      <c r="DV145" s="352"/>
      <c r="DW145" s="352"/>
    </row>
    <row r="146" spans="1:127" ht="16.5" customHeight="1" x14ac:dyDescent="0.3">
      <c r="A146" s="1641" t="s">
        <v>1082</v>
      </c>
      <c r="B146" s="1929" t="s">
        <v>753</v>
      </c>
      <c r="C146" s="1930"/>
      <c r="D146" s="646" t="s">
        <v>1550</v>
      </c>
      <c r="E146" s="1228" t="s">
        <v>1551</v>
      </c>
      <c r="F146" s="1427" t="s">
        <v>1552</v>
      </c>
      <c r="G146" s="616" t="s">
        <v>1553</v>
      </c>
      <c r="H146" s="1036" t="s">
        <v>1554</v>
      </c>
      <c r="I146" s="1036" t="s">
        <v>1555</v>
      </c>
      <c r="J146" s="1036" t="s">
        <v>1556</v>
      </c>
      <c r="K146" s="1036" t="s">
        <v>1557</v>
      </c>
      <c r="L146" s="1036" t="s">
        <v>1558</v>
      </c>
      <c r="M146" s="1036" t="s">
        <v>1559</v>
      </c>
      <c r="N146" s="1036" t="s">
        <v>1560</v>
      </c>
      <c r="O146" s="1036" t="s">
        <v>1561</v>
      </c>
      <c r="P146" s="1036" t="s">
        <v>1562</v>
      </c>
      <c r="Q146" s="1036" t="s">
        <v>1563</v>
      </c>
      <c r="R146" s="1036" t="s">
        <v>1564</v>
      </c>
      <c r="S146" s="1036" t="s">
        <v>1565</v>
      </c>
      <c r="T146" s="1036" t="s">
        <v>1566</v>
      </c>
      <c r="U146" s="1036" t="s">
        <v>1567</v>
      </c>
      <c r="V146" s="1036" t="s">
        <v>1568</v>
      </c>
      <c r="W146" s="1036" t="s">
        <v>1569</v>
      </c>
      <c r="X146" s="1036" t="s">
        <v>1570</v>
      </c>
      <c r="Y146" s="1036" t="s">
        <v>1571</v>
      </c>
      <c r="Z146" s="1036" t="s">
        <v>1572</v>
      </c>
      <c r="AA146" s="1036" t="s">
        <v>1573</v>
      </c>
      <c r="AB146" s="1036" t="s">
        <v>1574</v>
      </c>
      <c r="AC146" s="1036" t="s">
        <v>1575</v>
      </c>
      <c r="AD146" s="1036" t="s">
        <v>1576</v>
      </c>
      <c r="AE146" s="1036" t="s">
        <v>1577</v>
      </c>
      <c r="AF146" s="1036" t="s">
        <v>1578</v>
      </c>
      <c r="AG146" s="1036" t="s">
        <v>1579</v>
      </c>
      <c r="AH146" s="1036" t="s">
        <v>1580</v>
      </c>
      <c r="AI146" s="1036" t="s">
        <v>1581</v>
      </c>
      <c r="AJ146" s="1036" t="s">
        <v>1582</v>
      </c>
      <c r="AK146" s="1036" t="s">
        <v>1583</v>
      </c>
      <c r="AL146" s="1036" t="s">
        <v>1584</v>
      </c>
      <c r="AM146" s="1036" t="s">
        <v>1585</v>
      </c>
      <c r="AN146" s="1036" t="s">
        <v>1586</v>
      </c>
      <c r="AO146" s="1036" t="s">
        <v>1587</v>
      </c>
      <c r="AP146" s="1036" t="s">
        <v>1588</v>
      </c>
      <c r="AQ146" s="1036" t="s">
        <v>1589</v>
      </c>
      <c r="AR146" s="617" t="s">
        <v>1590</v>
      </c>
      <c r="AS146" s="620" t="s">
        <v>1591</v>
      </c>
      <c r="AT146" s="617" t="s">
        <v>1592</v>
      </c>
      <c r="AU146" s="615" t="s">
        <v>1593</v>
      </c>
      <c r="AV146" s="618" t="s">
        <v>1594</v>
      </c>
      <c r="AW146" s="1513" t="str">
        <f t="shared" si="175"/>
        <v xml:space="preserve"> * La variable Pueblos Originarios / hombres  no debe ser mayor que el Total de Hombres. * La variable Pueblos Originarios/ Mujeres no debe ser mayor que el Total de Mujeres * La variable Migrantes / hombres  no debe ser mayor que el Total de Hombres * La variable Migrantes / Mujeres no debe ser mayor que el Total de Mujeres</v>
      </c>
      <c r="AX146" s="178"/>
      <c r="AY146" s="353"/>
      <c r="AZ146" s="353"/>
      <c r="BA146" s="353"/>
      <c r="BB146" s="353"/>
      <c r="BC146" s="353"/>
      <c r="BD146" s="178"/>
      <c r="BE146" s="178"/>
      <c r="BF146" s="178"/>
      <c r="BG146" s="178"/>
      <c r="BH146" s="178"/>
      <c r="BI146" s="178"/>
      <c r="BJ146" s="178"/>
      <c r="BK146" s="178"/>
      <c r="BL146" s="178"/>
      <c r="BM146" s="178"/>
      <c r="BS146" s="960"/>
      <c r="BT146" s="960"/>
      <c r="BU146" s="960"/>
      <c r="BV146" s="960"/>
      <c r="CB146" s="354"/>
      <c r="CC146" s="348" t="str">
        <f t="shared" ref="CC146:CC189" si="176">IF(AND(E146&gt;0,AS146="")," * No olvide digitar la variable Pueblos Originarios / hombres (Digite Cero si no tiene).",IF(AS146&gt;E146," * La variable Pueblos Originarios / hombres  no debe ser mayor que el Total de Hombres.",""))</f>
        <v xml:space="preserve"> * La variable Pueblos Originarios / hombres  no debe ser mayor que el Total de Hombres.</v>
      </c>
      <c r="CD146" s="348" t="str">
        <f t="shared" ref="CD146:CD189" si="177">IF(AND(F146&gt;0,AT146="")," * No olvide digitar la variable Pueblos Originarios / Mujeres (Digite Cero si no tiene). Digite Cero si no tiene.",IF(AT146&gt;F146," * La variable Pueblos Originarios/ Mujeres no debe ser mayor que el Total de Mujeres",""))</f>
        <v xml:space="preserve"> * La variable Pueblos Originarios/ Mujeres no debe ser mayor que el Total de Mujeres</v>
      </c>
      <c r="CE146" s="348" t="str">
        <f t="shared" ref="CE146:CE189" si="178">IF(AND(E146&gt;0,AU146="")," * No olvide digitar la variable Migrantes / hombres (Digite Cero si no tiene).",IF(AU146&gt;E146," * La variable Migrantes / hombres  no debe ser mayor que el Total de Hombres",""))</f>
        <v xml:space="preserve"> * La variable Migrantes / hombres  no debe ser mayor que el Total de Hombres</v>
      </c>
      <c r="CF146" s="348" t="str">
        <f t="shared" ref="CF146:CF189" si="179">IF(AND(F146&gt;0,AV146="")," * No olvide digitar la variable Migrantes  / Mujeres (Digite Cero si no tiene).",IF(AV146&gt;F146," * La variable Migrantes / Mujeres no debe ser mayor que el Total de Mujeres",""))</f>
        <v xml:space="preserve"> * La variable Migrantes / Mujeres no debe ser mayor que el Total de Mujeres</v>
      </c>
      <c r="CG146" s="354"/>
      <c r="CH146" s="354"/>
      <c r="CI146" s="354"/>
      <c r="CJ146" s="354"/>
      <c r="CK146" s="354"/>
      <c r="CL146" s="354"/>
      <c r="CM146" s="306"/>
      <c r="CN146" s="306"/>
      <c r="CO146" s="306"/>
      <c r="CP146" s="306"/>
      <c r="CQ146" s="306"/>
      <c r="CR146" s="306"/>
      <c r="CS146" s="306"/>
      <c r="CT146" s="306"/>
      <c r="CU146" s="306"/>
      <c r="CV146" s="306"/>
      <c r="CW146" s="306"/>
      <c r="CX146" s="306"/>
      <c r="CY146" s="306"/>
      <c r="CZ146" s="306"/>
      <c r="DA146" s="306"/>
      <c r="DB146" s="306"/>
      <c r="DC146" s="352"/>
      <c r="DD146" s="352"/>
      <c r="DE146" s="352"/>
      <c r="DF146" s="352"/>
      <c r="DG146" s="352">
        <f t="shared" ref="DG146:DG189" si="180">IF(AND(E146&gt;0,AS146=""),1,IF(AS146&gt;E146,1,0))</f>
        <v>1</v>
      </c>
      <c r="DH146" s="352">
        <f t="shared" ref="DH146:DH189" si="181">IF(AND(F146&gt;0,AT146=""),1,IF(AT146&gt;F146,1,0))</f>
        <v>1</v>
      </c>
      <c r="DI146" s="352">
        <f t="shared" ref="DI146:DI189" si="182">IF(AND(E146&gt;0,AU146=""),1,IF(AU146&gt;E146,1,0))</f>
        <v>1</v>
      </c>
      <c r="DJ146" s="352">
        <f t="shared" ref="DJ146:DJ189" si="183">IF(AND(F146&gt;0,AV146=""),1,IF(AV146&gt;F146,1,0))</f>
        <v>1</v>
      </c>
      <c r="DK146" s="352"/>
      <c r="DL146" s="352"/>
      <c r="DM146" s="352"/>
      <c r="DN146" s="352"/>
      <c r="DO146" s="352"/>
      <c r="DP146" s="352"/>
      <c r="DQ146" s="352"/>
      <c r="DR146" s="352"/>
      <c r="DS146" s="352"/>
      <c r="DT146" s="352"/>
      <c r="DU146" s="352"/>
      <c r="DV146" s="352"/>
      <c r="DW146" s="352"/>
    </row>
    <row r="147" spans="1:127" ht="16.5" customHeight="1" x14ac:dyDescent="0.3">
      <c r="A147" s="1641" t="s">
        <v>1083</v>
      </c>
      <c r="B147" s="2000" t="s">
        <v>779</v>
      </c>
      <c r="C147" s="2001" t="s">
        <v>779</v>
      </c>
      <c r="D147" s="642" t="s">
        <v>1550</v>
      </c>
      <c r="E147" s="1227" t="s">
        <v>1551</v>
      </c>
      <c r="F147" s="1428" t="s">
        <v>1552</v>
      </c>
      <c r="G147" s="631" t="s">
        <v>1553</v>
      </c>
      <c r="H147" s="654" t="s">
        <v>1554</v>
      </c>
      <c r="I147" s="654" t="s">
        <v>1555</v>
      </c>
      <c r="J147" s="654" t="s">
        <v>1556</v>
      </c>
      <c r="K147" s="654" t="s">
        <v>1557</v>
      </c>
      <c r="L147" s="654" t="s">
        <v>1558</v>
      </c>
      <c r="M147" s="654" t="s">
        <v>1559</v>
      </c>
      <c r="N147" s="654" t="s">
        <v>1560</v>
      </c>
      <c r="O147" s="654" t="s">
        <v>1561</v>
      </c>
      <c r="P147" s="654" t="s">
        <v>1562</v>
      </c>
      <c r="Q147" s="654" t="s">
        <v>1563</v>
      </c>
      <c r="R147" s="654" t="s">
        <v>1564</v>
      </c>
      <c r="S147" s="654" t="s">
        <v>1565</v>
      </c>
      <c r="T147" s="654" t="s">
        <v>1566</v>
      </c>
      <c r="U147" s="654" t="s">
        <v>1567</v>
      </c>
      <c r="V147" s="654" t="s">
        <v>1568</v>
      </c>
      <c r="W147" s="654" t="s">
        <v>1569</v>
      </c>
      <c r="X147" s="654" t="s">
        <v>1570</v>
      </c>
      <c r="Y147" s="654" t="s">
        <v>1571</v>
      </c>
      <c r="Z147" s="654" t="s">
        <v>1572</v>
      </c>
      <c r="AA147" s="654" t="s">
        <v>1573</v>
      </c>
      <c r="AB147" s="654" t="s">
        <v>1574</v>
      </c>
      <c r="AC147" s="654" t="s">
        <v>1575</v>
      </c>
      <c r="AD147" s="654" t="s">
        <v>1576</v>
      </c>
      <c r="AE147" s="654" t="s">
        <v>1577</v>
      </c>
      <c r="AF147" s="654" t="s">
        <v>1578</v>
      </c>
      <c r="AG147" s="654" t="s">
        <v>1579</v>
      </c>
      <c r="AH147" s="654" t="s">
        <v>1580</v>
      </c>
      <c r="AI147" s="654" t="s">
        <v>1581</v>
      </c>
      <c r="AJ147" s="654" t="s">
        <v>1582</v>
      </c>
      <c r="AK147" s="654" t="s">
        <v>1583</v>
      </c>
      <c r="AL147" s="654" t="s">
        <v>1584</v>
      </c>
      <c r="AM147" s="654" t="s">
        <v>1585</v>
      </c>
      <c r="AN147" s="654" t="s">
        <v>1586</v>
      </c>
      <c r="AO147" s="654" t="s">
        <v>1587</v>
      </c>
      <c r="AP147" s="654" t="s">
        <v>1588</v>
      </c>
      <c r="AQ147" s="654" t="s">
        <v>1589</v>
      </c>
      <c r="AR147" s="630" t="s">
        <v>1590</v>
      </c>
      <c r="AS147" s="632" t="s">
        <v>1591</v>
      </c>
      <c r="AT147" s="630" t="s">
        <v>1592</v>
      </c>
      <c r="AU147" s="628" t="s">
        <v>1593</v>
      </c>
      <c r="AV147" s="629" t="s">
        <v>1594</v>
      </c>
      <c r="AW147" s="1513" t="str">
        <f t="shared" si="175"/>
        <v xml:space="preserve"> * La variable Pueblos Originarios / hombres  no debe ser mayor que el Total de Hombres. * La variable Pueblos Originarios/ Mujeres no debe ser mayor que el Total de Mujeres * La variable Migrantes / hombres  no debe ser mayor que el Total de Hombres * La variable Migrantes / Mujeres no debe ser mayor que el Total de Mujeres</v>
      </c>
      <c r="AX147" s="178"/>
      <c r="AY147" s="178"/>
      <c r="AZ147" s="178"/>
      <c r="BA147" s="178"/>
      <c r="BS147" s="960"/>
      <c r="BT147" s="960"/>
      <c r="BU147" s="960"/>
      <c r="BV147" s="960"/>
      <c r="CB147" s="354"/>
      <c r="CC147" s="348" t="str">
        <f t="shared" si="176"/>
        <v xml:space="preserve"> * La variable Pueblos Originarios / hombres  no debe ser mayor que el Total de Hombres.</v>
      </c>
      <c r="CD147" s="348" t="str">
        <f t="shared" si="177"/>
        <v xml:space="preserve"> * La variable Pueblos Originarios/ Mujeres no debe ser mayor que el Total de Mujeres</v>
      </c>
      <c r="CE147" s="348" t="str">
        <f t="shared" si="178"/>
        <v xml:space="preserve"> * La variable Migrantes / hombres  no debe ser mayor que el Total de Hombres</v>
      </c>
      <c r="CF147" s="348" t="str">
        <f t="shared" si="179"/>
        <v xml:space="preserve"> * La variable Migrantes / Mujeres no debe ser mayor que el Total de Mujeres</v>
      </c>
      <c r="CG147" s="354"/>
      <c r="CH147" s="354"/>
      <c r="CI147" s="354"/>
      <c r="CJ147" s="354"/>
      <c r="CK147" s="354"/>
      <c r="CL147" s="354"/>
      <c r="CM147" s="306"/>
      <c r="CN147" s="306"/>
      <c r="CO147" s="306"/>
      <c r="CP147" s="306"/>
      <c r="CQ147" s="306"/>
      <c r="CR147" s="306"/>
      <c r="CS147" s="306"/>
      <c r="CT147" s="306"/>
      <c r="CU147" s="306"/>
      <c r="CV147" s="306"/>
      <c r="CW147" s="306"/>
      <c r="CX147" s="306"/>
      <c r="CY147" s="306"/>
      <c r="CZ147" s="306"/>
      <c r="DA147" s="306"/>
      <c r="DB147" s="306"/>
      <c r="DC147" s="352"/>
      <c r="DD147" s="352"/>
      <c r="DE147" s="352"/>
      <c r="DF147" s="352"/>
      <c r="DG147" s="352">
        <f t="shared" si="180"/>
        <v>1</v>
      </c>
      <c r="DH147" s="352">
        <f t="shared" si="181"/>
        <v>1</v>
      </c>
      <c r="DI147" s="352">
        <f t="shared" si="182"/>
        <v>1</v>
      </c>
      <c r="DJ147" s="352">
        <f t="shared" si="183"/>
        <v>1</v>
      </c>
      <c r="DK147" s="352"/>
      <c r="DL147" s="352"/>
      <c r="DM147" s="352"/>
      <c r="DN147" s="352"/>
      <c r="DO147" s="352"/>
      <c r="DP147" s="352"/>
      <c r="DQ147" s="352"/>
      <c r="DR147" s="352"/>
      <c r="DS147" s="352"/>
      <c r="DT147" s="352"/>
      <c r="DU147" s="352"/>
      <c r="DV147" s="352"/>
      <c r="DW147" s="352"/>
    </row>
    <row r="148" spans="1:127" x14ac:dyDescent="0.3">
      <c r="A148" s="1641" t="s">
        <v>1084</v>
      </c>
      <c r="B148" s="2000" t="s">
        <v>780</v>
      </c>
      <c r="C148" s="2001" t="s">
        <v>780</v>
      </c>
      <c r="D148" s="642" t="s">
        <v>1550</v>
      </c>
      <c r="E148" s="1227" t="s">
        <v>1551</v>
      </c>
      <c r="F148" s="1428" t="s">
        <v>1552</v>
      </c>
      <c r="G148" s="631" t="s">
        <v>1553</v>
      </c>
      <c r="H148" s="654" t="s">
        <v>1554</v>
      </c>
      <c r="I148" s="654" t="s">
        <v>1555</v>
      </c>
      <c r="J148" s="654" t="s">
        <v>1556</v>
      </c>
      <c r="K148" s="654" t="s">
        <v>1557</v>
      </c>
      <c r="L148" s="654" t="s">
        <v>1558</v>
      </c>
      <c r="M148" s="654" t="s">
        <v>1559</v>
      </c>
      <c r="N148" s="654" t="s">
        <v>1560</v>
      </c>
      <c r="O148" s="654" t="s">
        <v>1561</v>
      </c>
      <c r="P148" s="654" t="s">
        <v>1562</v>
      </c>
      <c r="Q148" s="654" t="s">
        <v>1563</v>
      </c>
      <c r="R148" s="654" t="s">
        <v>1564</v>
      </c>
      <c r="S148" s="654" t="s">
        <v>1565</v>
      </c>
      <c r="T148" s="654" t="s">
        <v>1566</v>
      </c>
      <c r="U148" s="654" t="s">
        <v>1567</v>
      </c>
      <c r="V148" s="654" t="s">
        <v>1568</v>
      </c>
      <c r="W148" s="654" t="s">
        <v>1569</v>
      </c>
      <c r="X148" s="654" t="s">
        <v>1570</v>
      </c>
      <c r="Y148" s="654" t="s">
        <v>1571</v>
      </c>
      <c r="Z148" s="654" t="s">
        <v>1572</v>
      </c>
      <c r="AA148" s="654" t="s">
        <v>1573</v>
      </c>
      <c r="AB148" s="654" t="s">
        <v>1574</v>
      </c>
      <c r="AC148" s="654" t="s">
        <v>1575</v>
      </c>
      <c r="AD148" s="654" t="s">
        <v>1576</v>
      </c>
      <c r="AE148" s="654" t="s">
        <v>1577</v>
      </c>
      <c r="AF148" s="654" t="s">
        <v>1578</v>
      </c>
      <c r="AG148" s="654" t="s">
        <v>1579</v>
      </c>
      <c r="AH148" s="654" t="s">
        <v>1580</v>
      </c>
      <c r="AI148" s="654" t="s">
        <v>1581</v>
      </c>
      <c r="AJ148" s="654" t="s">
        <v>1582</v>
      </c>
      <c r="AK148" s="654" t="s">
        <v>1583</v>
      </c>
      <c r="AL148" s="654" t="s">
        <v>1584</v>
      </c>
      <c r="AM148" s="654" t="s">
        <v>1585</v>
      </c>
      <c r="AN148" s="654" t="s">
        <v>1586</v>
      </c>
      <c r="AO148" s="654" t="s">
        <v>1587</v>
      </c>
      <c r="AP148" s="654" t="s">
        <v>1588</v>
      </c>
      <c r="AQ148" s="654" t="s">
        <v>1589</v>
      </c>
      <c r="AR148" s="630" t="s">
        <v>1590</v>
      </c>
      <c r="AS148" s="632" t="s">
        <v>1591</v>
      </c>
      <c r="AT148" s="630" t="s">
        <v>1592</v>
      </c>
      <c r="AU148" s="628" t="s">
        <v>1593</v>
      </c>
      <c r="AV148" s="629" t="s">
        <v>1594</v>
      </c>
      <c r="AW148" s="1513" t="str">
        <f t="shared" si="175"/>
        <v xml:space="preserve"> * La variable Pueblos Originarios / hombres  no debe ser mayor que el Total de Hombres. * La variable Pueblos Originarios/ Mujeres no debe ser mayor que el Total de Mujeres * La variable Migrantes / hombres  no debe ser mayor que el Total de Hombres * La variable Migrantes / Mujeres no debe ser mayor que el Total de Mujeres</v>
      </c>
      <c r="CB148" s="354"/>
      <c r="CC148" s="348" t="str">
        <f t="shared" si="176"/>
        <v xml:space="preserve"> * La variable Pueblos Originarios / hombres  no debe ser mayor que el Total de Hombres.</v>
      </c>
      <c r="CD148" s="348" t="str">
        <f t="shared" si="177"/>
        <v xml:space="preserve"> * La variable Pueblos Originarios/ Mujeres no debe ser mayor que el Total de Mujeres</v>
      </c>
      <c r="CE148" s="348" t="str">
        <f t="shared" si="178"/>
        <v xml:space="preserve"> * La variable Migrantes / hombres  no debe ser mayor que el Total de Hombres</v>
      </c>
      <c r="CF148" s="348" t="str">
        <f t="shared" si="179"/>
        <v xml:space="preserve"> * La variable Migrantes / Mujeres no debe ser mayor que el Total de Mujeres</v>
      </c>
      <c r="CG148" s="354"/>
      <c r="CH148" s="354"/>
      <c r="CI148" s="354"/>
      <c r="CJ148" s="354"/>
      <c r="CK148" s="354"/>
      <c r="CL148" s="354"/>
      <c r="CM148" s="306"/>
      <c r="CN148" s="306"/>
      <c r="CO148" s="306"/>
      <c r="CP148" s="306"/>
      <c r="CQ148" s="306"/>
      <c r="CR148" s="306"/>
      <c r="CS148" s="306"/>
      <c r="CT148" s="306"/>
      <c r="CU148" s="306"/>
      <c r="CV148" s="306"/>
      <c r="CW148" s="306"/>
      <c r="CX148" s="306"/>
      <c r="CY148" s="306"/>
      <c r="CZ148" s="306"/>
      <c r="DA148" s="306"/>
      <c r="DB148" s="306"/>
      <c r="DC148" s="352"/>
      <c r="DD148" s="352"/>
      <c r="DE148" s="352"/>
      <c r="DF148" s="352"/>
      <c r="DG148" s="352">
        <f t="shared" si="180"/>
        <v>1</v>
      </c>
      <c r="DH148" s="352">
        <f t="shared" si="181"/>
        <v>1</v>
      </c>
      <c r="DI148" s="352">
        <f t="shared" si="182"/>
        <v>1</v>
      </c>
      <c r="DJ148" s="352">
        <f t="shared" si="183"/>
        <v>1</v>
      </c>
      <c r="DK148" s="354"/>
      <c r="DL148" s="354"/>
      <c r="DM148" s="352"/>
      <c r="DN148" s="352"/>
      <c r="DO148" s="352"/>
      <c r="DP148" s="352"/>
      <c r="DQ148" s="352"/>
      <c r="DR148" s="352"/>
      <c r="DS148" s="352"/>
      <c r="DT148" s="352"/>
      <c r="DU148" s="352"/>
      <c r="DV148" s="352"/>
      <c r="DW148" s="352"/>
    </row>
    <row r="149" spans="1:127" ht="16.5" customHeight="1" x14ac:dyDescent="0.3">
      <c r="A149" s="1641" t="s">
        <v>1085</v>
      </c>
      <c r="B149" s="2000" t="s">
        <v>781</v>
      </c>
      <c r="C149" s="2001" t="s">
        <v>781</v>
      </c>
      <c r="D149" s="642" t="s">
        <v>1550</v>
      </c>
      <c r="E149" s="1227" t="s">
        <v>1551</v>
      </c>
      <c r="F149" s="1428" t="s">
        <v>1552</v>
      </c>
      <c r="G149" s="631" t="s">
        <v>1553</v>
      </c>
      <c r="H149" s="654" t="s">
        <v>1554</v>
      </c>
      <c r="I149" s="654" t="s">
        <v>1555</v>
      </c>
      <c r="J149" s="654" t="s">
        <v>1556</v>
      </c>
      <c r="K149" s="654" t="s">
        <v>1557</v>
      </c>
      <c r="L149" s="654" t="s">
        <v>1558</v>
      </c>
      <c r="M149" s="654" t="s">
        <v>1559</v>
      </c>
      <c r="N149" s="654" t="s">
        <v>1560</v>
      </c>
      <c r="O149" s="654" t="s">
        <v>1561</v>
      </c>
      <c r="P149" s="654" t="s">
        <v>1562</v>
      </c>
      <c r="Q149" s="654" t="s">
        <v>1563</v>
      </c>
      <c r="R149" s="654" t="s">
        <v>1564</v>
      </c>
      <c r="S149" s="654" t="s">
        <v>1565</v>
      </c>
      <c r="T149" s="654" t="s">
        <v>1566</v>
      </c>
      <c r="U149" s="654" t="s">
        <v>1567</v>
      </c>
      <c r="V149" s="654" t="s">
        <v>1568</v>
      </c>
      <c r="W149" s="654" t="s">
        <v>1569</v>
      </c>
      <c r="X149" s="654" t="s">
        <v>1570</v>
      </c>
      <c r="Y149" s="654" t="s">
        <v>1571</v>
      </c>
      <c r="Z149" s="654" t="s">
        <v>1572</v>
      </c>
      <c r="AA149" s="654" t="s">
        <v>1573</v>
      </c>
      <c r="AB149" s="654" t="s">
        <v>1574</v>
      </c>
      <c r="AC149" s="654" t="s">
        <v>1575</v>
      </c>
      <c r="AD149" s="654" t="s">
        <v>1576</v>
      </c>
      <c r="AE149" s="654" t="s">
        <v>1577</v>
      </c>
      <c r="AF149" s="654" t="s">
        <v>1578</v>
      </c>
      <c r="AG149" s="654" t="s">
        <v>1579</v>
      </c>
      <c r="AH149" s="654" t="s">
        <v>1580</v>
      </c>
      <c r="AI149" s="654" t="s">
        <v>1581</v>
      </c>
      <c r="AJ149" s="654" t="s">
        <v>1582</v>
      </c>
      <c r="AK149" s="654" t="s">
        <v>1583</v>
      </c>
      <c r="AL149" s="654" t="s">
        <v>1584</v>
      </c>
      <c r="AM149" s="654" t="s">
        <v>1585</v>
      </c>
      <c r="AN149" s="654" t="s">
        <v>1586</v>
      </c>
      <c r="AO149" s="654" t="s">
        <v>1587</v>
      </c>
      <c r="AP149" s="654" t="s">
        <v>1588</v>
      </c>
      <c r="AQ149" s="654" t="s">
        <v>1589</v>
      </c>
      <c r="AR149" s="630" t="s">
        <v>1590</v>
      </c>
      <c r="AS149" s="632" t="s">
        <v>1591</v>
      </c>
      <c r="AT149" s="630" t="s">
        <v>1592</v>
      </c>
      <c r="AU149" s="628" t="s">
        <v>1593</v>
      </c>
      <c r="AV149" s="629" t="s">
        <v>1594</v>
      </c>
      <c r="AW149" s="1513" t="str">
        <f t="shared" si="175"/>
        <v xml:space="preserve"> * La variable Pueblos Originarios / hombres  no debe ser mayor que el Total de Hombres. * La variable Pueblos Originarios/ Mujeres no debe ser mayor que el Total de Mujeres * La variable Migrantes / hombres  no debe ser mayor que el Total de Hombres * La variable Migrantes / Mujeres no debe ser mayor que el Total de Mujeres</v>
      </c>
      <c r="AX149" s="178"/>
      <c r="AY149" s="178"/>
      <c r="AZ149" s="178"/>
      <c r="BA149" s="178"/>
      <c r="BS149" s="960"/>
      <c r="BT149" s="960"/>
      <c r="BU149" s="960"/>
      <c r="BV149" s="960"/>
      <c r="CB149" s="354"/>
      <c r="CC149" s="348" t="str">
        <f t="shared" si="176"/>
        <v xml:space="preserve"> * La variable Pueblos Originarios / hombres  no debe ser mayor que el Total de Hombres.</v>
      </c>
      <c r="CD149" s="348" t="str">
        <f t="shared" si="177"/>
        <v xml:space="preserve"> * La variable Pueblos Originarios/ Mujeres no debe ser mayor que el Total de Mujeres</v>
      </c>
      <c r="CE149" s="348" t="str">
        <f t="shared" si="178"/>
        <v xml:space="preserve"> * La variable Migrantes / hombres  no debe ser mayor que el Total de Hombres</v>
      </c>
      <c r="CF149" s="348" t="str">
        <f t="shared" si="179"/>
        <v xml:space="preserve"> * La variable Migrantes / Mujeres no debe ser mayor que el Total de Mujeres</v>
      </c>
      <c r="CG149" s="354"/>
      <c r="CH149" s="354"/>
      <c r="CI149" s="354"/>
      <c r="CJ149" s="354"/>
      <c r="CK149" s="354"/>
      <c r="CL149" s="354"/>
      <c r="CM149" s="306"/>
      <c r="CN149" s="306"/>
      <c r="CO149" s="306"/>
      <c r="CP149" s="306"/>
      <c r="CQ149" s="306"/>
      <c r="CR149" s="306"/>
      <c r="CS149" s="306"/>
      <c r="CT149" s="306"/>
      <c r="CU149" s="306"/>
      <c r="CV149" s="306"/>
      <c r="CW149" s="306"/>
      <c r="CX149" s="306"/>
      <c r="CY149" s="306"/>
      <c r="CZ149" s="306"/>
      <c r="DA149" s="306"/>
      <c r="DB149" s="306"/>
      <c r="DC149" s="352"/>
      <c r="DD149" s="352"/>
      <c r="DE149" s="352"/>
      <c r="DF149" s="352"/>
      <c r="DG149" s="352">
        <f t="shared" si="180"/>
        <v>1</v>
      </c>
      <c r="DH149" s="352">
        <f t="shared" si="181"/>
        <v>1</v>
      </c>
      <c r="DI149" s="352">
        <f t="shared" si="182"/>
        <v>1</v>
      </c>
      <c r="DJ149" s="352">
        <f t="shared" si="183"/>
        <v>1</v>
      </c>
      <c r="DK149" s="352"/>
      <c r="DL149" s="352"/>
      <c r="DM149" s="352"/>
      <c r="DN149" s="352"/>
      <c r="DO149" s="352"/>
      <c r="DP149" s="352"/>
      <c r="DQ149" s="352"/>
      <c r="DR149" s="352"/>
      <c r="DS149" s="352"/>
      <c r="DT149" s="352"/>
      <c r="DU149" s="352"/>
      <c r="DV149" s="352"/>
      <c r="DW149" s="352"/>
    </row>
    <row r="150" spans="1:127" ht="16.5" customHeight="1" x14ac:dyDescent="0.3">
      <c r="A150" s="1641" t="s">
        <v>1086</v>
      </c>
      <c r="B150" s="2000" t="s">
        <v>782</v>
      </c>
      <c r="C150" s="2001" t="s">
        <v>782</v>
      </c>
      <c r="D150" s="642" t="s">
        <v>1550</v>
      </c>
      <c r="E150" s="1227" t="s">
        <v>1551</v>
      </c>
      <c r="F150" s="1428" t="s">
        <v>1552</v>
      </c>
      <c r="G150" s="631" t="s">
        <v>1553</v>
      </c>
      <c r="H150" s="654" t="s">
        <v>1554</v>
      </c>
      <c r="I150" s="654" t="s">
        <v>1555</v>
      </c>
      <c r="J150" s="654" t="s">
        <v>1556</v>
      </c>
      <c r="K150" s="654" t="s">
        <v>1557</v>
      </c>
      <c r="L150" s="654" t="s">
        <v>1558</v>
      </c>
      <c r="M150" s="654" t="s">
        <v>1559</v>
      </c>
      <c r="N150" s="654" t="s">
        <v>1560</v>
      </c>
      <c r="O150" s="654" t="s">
        <v>1561</v>
      </c>
      <c r="P150" s="654" t="s">
        <v>1562</v>
      </c>
      <c r="Q150" s="654" t="s">
        <v>1563</v>
      </c>
      <c r="R150" s="654" t="s">
        <v>1564</v>
      </c>
      <c r="S150" s="654" t="s">
        <v>1565</v>
      </c>
      <c r="T150" s="654" t="s">
        <v>1566</v>
      </c>
      <c r="U150" s="654" t="s">
        <v>1567</v>
      </c>
      <c r="V150" s="654" t="s">
        <v>1568</v>
      </c>
      <c r="W150" s="654" t="s">
        <v>1569</v>
      </c>
      <c r="X150" s="654" t="s">
        <v>1570</v>
      </c>
      <c r="Y150" s="654" t="s">
        <v>1571</v>
      </c>
      <c r="Z150" s="654" t="s">
        <v>1572</v>
      </c>
      <c r="AA150" s="654" t="s">
        <v>1573</v>
      </c>
      <c r="AB150" s="654" t="s">
        <v>1574</v>
      </c>
      <c r="AC150" s="654" t="s">
        <v>1575</v>
      </c>
      <c r="AD150" s="654" t="s">
        <v>1576</v>
      </c>
      <c r="AE150" s="654" t="s">
        <v>1577</v>
      </c>
      <c r="AF150" s="654" t="s">
        <v>1578</v>
      </c>
      <c r="AG150" s="654" t="s">
        <v>1579</v>
      </c>
      <c r="AH150" s="654" t="s">
        <v>1580</v>
      </c>
      <c r="AI150" s="654" t="s">
        <v>1581</v>
      </c>
      <c r="AJ150" s="654" t="s">
        <v>1582</v>
      </c>
      <c r="AK150" s="654" t="s">
        <v>1583</v>
      </c>
      <c r="AL150" s="654" t="s">
        <v>1584</v>
      </c>
      <c r="AM150" s="654" t="s">
        <v>1585</v>
      </c>
      <c r="AN150" s="654" t="s">
        <v>1586</v>
      </c>
      <c r="AO150" s="654" t="s">
        <v>1587</v>
      </c>
      <c r="AP150" s="654" t="s">
        <v>1588</v>
      </c>
      <c r="AQ150" s="654" t="s">
        <v>1589</v>
      </c>
      <c r="AR150" s="630" t="s">
        <v>1590</v>
      </c>
      <c r="AS150" s="632" t="s">
        <v>1591</v>
      </c>
      <c r="AT150" s="630" t="s">
        <v>1592</v>
      </c>
      <c r="AU150" s="628" t="s">
        <v>1593</v>
      </c>
      <c r="AV150" s="629" t="s">
        <v>1594</v>
      </c>
      <c r="AW150" s="1513" t="str">
        <f t="shared" si="175"/>
        <v xml:space="preserve"> * La variable Pueblos Originarios / hombres  no debe ser mayor que el Total de Hombres. * La variable Pueblos Originarios/ Mujeres no debe ser mayor que el Total de Mujeres * La variable Migrantes / hombres  no debe ser mayor que el Total de Hombres * La variable Migrantes / Mujeres no debe ser mayor que el Total de Mujeres</v>
      </c>
      <c r="AX150" s="178"/>
      <c r="AY150" s="178"/>
      <c r="AZ150" s="178"/>
      <c r="BA150" s="178"/>
      <c r="BS150" s="960"/>
      <c r="BT150" s="960"/>
      <c r="BU150" s="960"/>
      <c r="BV150" s="960"/>
      <c r="CB150" s="354"/>
      <c r="CC150" s="348" t="str">
        <f t="shared" si="176"/>
        <v xml:space="preserve"> * La variable Pueblos Originarios / hombres  no debe ser mayor que el Total de Hombres.</v>
      </c>
      <c r="CD150" s="348" t="str">
        <f t="shared" si="177"/>
        <v xml:space="preserve"> * La variable Pueblos Originarios/ Mujeres no debe ser mayor que el Total de Mujeres</v>
      </c>
      <c r="CE150" s="348" t="str">
        <f t="shared" si="178"/>
        <v xml:space="preserve"> * La variable Migrantes / hombres  no debe ser mayor que el Total de Hombres</v>
      </c>
      <c r="CF150" s="348" t="str">
        <f t="shared" si="179"/>
        <v xml:space="preserve"> * La variable Migrantes / Mujeres no debe ser mayor que el Total de Mujeres</v>
      </c>
      <c r="CG150" s="354"/>
      <c r="CH150" s="354"/>
      <c r="CI150" s="354"/>
      <c r="CJ150" s="354"/>
      <c r="CK150" s="354"/>
      <c r="CL150" s="354"/>
      <c r="CM150" s="306"/>
      <c r="CN150" s="306"/>
      <c r="CO150" s="306"/>
      <c r="CP150" s="306"/>
      <c r="CQ150" s="306"/>
      <c r="CR150" s="306"/>
      <c r="CS150" s="306"/>
      <c r="CT150" s="306"/>
      <c r="CU150" s="306"/>
      <c r="CV150" s="306"/>
      <c r="CW150" s="306"/>
      <c r="CX150" s="306"/>
      <c r="CY150" s="306"/>
      <c r="CZ150" s="306"/>
      <c r="DA150" s="306"/>
      <c r="DB150" s="306"/>
      <c r="DC150" s="352"/>
      <c r="DD150" s="352"/>
      <c r="DE150" s="352"/>
      <c r="DF150" s="352"/>
      <c r="DG150" s="352">
        <f t="shared" si="180"/>
        <v>1</v>
      </c>
      <c r="DH150" s="352">
        <f t="shared" si="181"/>
        <v>1</v>
      </c>
      <c r="DI150" s="352">
        <f t="shared" si="182"/>
        <v>1</v>
      </c>
      <c r="DJ150" s="352">
        <f t="shared" si="183"/>
        <v>1</v>
      </c>
      <c r="DK150" s="352"/>
      <c r="DL150" s="352"/>
      <c r="DM150" s="352"/>
      <c r="DN150" s="352"/>
      <c r="DO150" s="352"/>
      <c r="DP150" s="352"/>
      <c r="DQ150" s="352"/>
      <c r="DR150" s="352"/>
      <c r="DS150" s="352"/>
      <c r="DT150" s="352"/>
      <c r="DU150" s="352"/>
      <c r="DV150" s="352"/>
      <c r="DW150" s="352"/>
    </row>
    <row r="151" spans="1:127" ht="15.75" customHeight="1" x14ac:dyDescent="0.3">
      <c r="A151" s="1641" t="s">
        <v>1087</v>
      </c>
      <c r="B151" s="2000" t="s">
        <v>795</v>
      </c>
      <c r="C151" s="2001" t="s">
        <v>783</v>
      </c>
      <c r="D151" s="642" t="s">
        <v>1550</v>
      </c>
      <c r="E151" s="1227" t="s">
        <v>1551</v>
      </c>
      <c r="F151" s="1428" t="s">
        <v>1552</v>
      </c>
      <c r="G151" s="631" t="s">
        <v>1553</v>
      </c>
      <c r="H151" s="654" t="s">
        <v>1554</v>
      </c>
      <c r="I151" s="654" t="s">
        <v>1555</v>
      </c>
      <c r="J151" s="654" t="s">
        <v>1556</v>
      </c>
      <c r="K151" s="654" t="s">
        <v>1557</v>
      </c>
      <c r="L151" s="654" t="s">
        <v>1558</v>
      </c>
      <c r="M151" s="654" t="s">
        <v>1559</v>
      </c>
      <c r="N151" s="654" t="s">
        <v>1560</v>
      </c>
      <c r="O151" s="654" t="s">
        <v>1561</v>
      </c>
      <c r="P151" s="654" t="s">
        <v>1562</v>
      </c>
      <c r="Q151" s="654" t="s">
        <v>1563</v>
      </c>
      <c r="R151" s="654" t="s">
        <v>1564</v>
      </c>
      <c r="S151" s="654" t="s">
        <v>1565</v>
      </c>
      <c r="T151" s="654" t="s">
        <v>1566</v>
      </c>
      <c r="U151" s="654" t="s">
        <v>1567</v>
      </c>
      <c r="V151" s="654" t="s">
        <v>1568</v>
      </c>
      <c r="W151" s="654" t="s">
        <v>1569</v>
      </c>
      <c r="X151" s="654" t="s">
        <v>1570</v>
      </c>
      <c r="Y151" s="654" t="s">
        <v>1571</v>
      </c>
      <c r="Z151" s="654" t="s">
        <v>1572</v>
      </c>
      <c r="AA151" s="654" t="s">
        <v>1573</v>
      </c>
      <c r="AB151" s="654" t="s">
        <v>1574</v>
      </c>
      <c r="AC151" s="654" t="s">
        <v>1575</v>
      </c>
      <c r="AD151" s="654" t="s">
        <v>1576</v>
      </c>
      <c r="AE151" s="654" t="s">
        <v>1577</v>
      </c>
      <c r="AF151" s="654" t="s">
        <v>1578</v>
      </c>
      <c r="AG151" s="654" t="s">
        <v>1579</v>
      </c>
      <c r="AH151" s="654" t="s">
        <v>1580</v>
      </c>
      <c r="AI151" s="654" t="s">
        <v>1581</v>
      </c>
      <c r="AJ151" s="654" t="s">
        <v>1582</v>
      </c>
      <c r="AK151" s="654" t="s">
        <v>1583</v>
      </c>
      <c r="AL151" s="654" t="s">
        <v>1584</v>
      </c>
      <c r="AM151" s="654" t="s">
        <v>1585</v>
      </c>
      <c r="AN151" s="654" t="s">
        <v>1586</v>
      </c>
      <c r="AO151" s="654" t="s">
        <v>1587</v>
      </c>
      <c r="AP151" s="654" t="s">
        <v>1588</v>
      </c>
      <c r="AQ151" s="654" t="s">
        <v>1589</v>
      </c>
      <c r="AR151" s="630" t="s">
        <v>1590</v>
      </c>
      <c r="AS151" s="632" t="s">
        <v>1591</v>
      </c>
      <c r="AT151" s="630" t="s">
        <v>1592</v>
      </c>
      <c r="AU151" s="628" t="s">
        <v>1593</v>
      </c>
      <c r="AV151" s="629" t="s">
        <v>1594</v>
      </c>
      <c r="AW151" s="1513" t="str">
        <f t="shared" si="175"/>
        <v xml:space="preserve"> * La variable Pueblos Originarios / hombres  no debe ser mayor que el Total de Hombres. * La variable Pueblos Originarios/ Mujeres no debe ser mayor que el Total de Mujeres * La variable Migrantes / hombres  no debe ser mayor que el Total de Hombres * La variable Migrantes / Mujeres no debe ser mayor que el Total de Mujeres</v>
      </c>
      <c r="CB151" s="354"/>
      <c r="CC151" s="348" t="str">
        <f t="shared" si="176"/>
        <v xml:space="preserve"> * La variable Pueblos Originarios / hombres  no debe ser mayor que el Total de Hombres.</v>
      </c>
      <c r="CD151" s="348" t="str">
        <f t="shared" si="177"/>
        <v xml:space="preserve"> * La variable Pueblos Originarios/ Mujeres no debe ser mayor que el Total de Mujeres</v>
      </c>
      <c r="CE151" s="348" t="str">
        <f t="shared" si="178"/>
        <v xml:space="preserve"> * La variable Migrantes / hombres  no debe ser mayor que el Total de Hombres</v>
      </c>
      <c r="CF151" s="348" t="str">
        <f t="shared" si="179"/>
        <v xml:space="preserve"> * La variable Migrantes / Mujeres no debe ser mayor que el Total de Mujeres</v>
      </c>
      <c r="CG151" s="354"/>
      <c r="CH151" s="354"/>
      <c r="CI151" s="354"/>
      <c r="CJ151" s="354"/>
      <c r="CK151" s="354"/>
      <c r="CL151" s="354"/>
      <c r="CM151" s="306"/>
      <c r="CN151" s="306"/>
      <c r="CO151" s="306"/>
      <c r="CP151" s="306"/>
      <c r="CQ151" s="306"/>
      <c r="CR151" s="306"/>
      <c r="CS151" s="306"/>
      <c r="CT151" s="306"/>
      <c r="CU151" s="306"/>
      <c r="CV151" s="306"/>
      <c r="CW151" s="306"/>
      <c r="CX151" s="306"/>
      <c r="CY151" s="306"/>
      <c r="CZ151" s="306"/>
      <c r="DA151" s="306"/>
      <c r="DB151" s="306"/>
      <c r="DC151" s="352"/>
      <c r="DD151" s="352"/>
      <c r="DE151" s="352"/>
      <c r="DF151" s="352"/>
      <c r="DG151" s="352">
        <f t="shared" si="180"/>
        <v>1</v>
      </c>
      <c r="DH151" s="352">
        <f t="shared" si="181"/>
        <v>1</v>
      </c>
      <c r="DI151" s="352">
        <f t="shared" si="182"/>
        <v>1</v>
      </c>
      <c r="DJ151" s="352">
        <f t="shared" si="183"/>
        <v>1</v>
      </c>
      <c r="DK151" s="354"/>
      <c r="DL151" s="354"/>
      <c r="DM151" s="352"/>
      <c r="DN151" s="352"/>
      <c r="DO151" s="352"/>
      <c r="DP151" s="352"/>
      <c r="DQ151" s="352"/>
      <c r="DR151" s="352"/>
      <c r="DS151" s="352"/>
      <c r="DT151" s="352"/>
      <c r="DU151" s="352"/>
      <c r="DV151" s="352"/>
      <c r="DW151" s="352"/>
    </row>
    <row r="152" spans="1:127" ht="16.5" customHeight="1" x14ac:dyDescent="0.3">
      <c r="A152" s="1641" t="s">
        <v>1088</v>
      </c>
      <c r="B152" s="2000" t="s">
        <v>814</v>
      </c>
      <c r="C152" s="2001" t="s">
        <v>770</v>
      </c>
      <c r="D152" s="642" t="s">
        <v>1550</v>
      </c>
      <c r="E152" s="1227" t="s">
        <v>1551</v>
      </c>
      <c r="F152" s="1428" t="s">
        <v>1552</v>
      </c>
      <c r="G152" s="631" t="s">
        <v>1553</v>
      </c>
      <c r="H152" s="654" t="s">
        <v>1554</v>
      </c>
      <c r="I152" s="654" t="s">
        <v>1555</v>
      </c>
      <c r="J152" s="654" t="s">
        <v>1556</v>
      </c>
      <c r="K152" s="654" t="s">
        <v>1557</v>
      </c>
      <c r="L152" s="654" t="s">
        <v>1558</v>
      </c>
      <c r="M152" s="654" t="s">
        <v>1559</v>
      </c>
      <c r="N152" s="654" t="s">
        <v>1560</v>
      </c>
      <c r="O152" s="654" t="s">
        <v>1561</v>
      </c>
      <c r="P152" s="654" t="s">
        <v>1562</v>
      </c>
      <c r="Q152" s="654" t="s">
        <v>1563</v>
      </c>
      <c r="R152" s="654" t="s">
        <v>1564</v>
      </c>
      <c r="S152" s="654" t="s">
        <v>1565</v>
      </c>
      <c r="T152" s="654" t="s">
        <v>1566</v>
      </c>
      <c r="U152" s="654" t="s">
        <v>1567</v>
      </c>
      <c r="V152" s="654" t="s">
        <v>1568</v>
      </c>
      <c r="W152" s="654" t="s">
        <v>1569</v>
      </c>
      <c r="X152" s="654" t="s">
        <v>1570</v>
      </c>
      <c r="Y152" s="654" t="s">
        <v>1571</v>
      </c>
      <c r="Z152" s="654" t="s">
        <v>1572</v>
      </c>
      <c r="AA152" s="654" t="s">
        <v>1573</v>
      </c>
      <c r="AB152" s="654" t="s">
        <v>1574</v>
      </c>
      <c r="AC152" s="654" t="s">
        <v>1575</v>
      </c>
      <c r="AD152" s="654" t="s">
        <v>1576</v>
      </c>
      <c r="AE152" s="654" t="s">
        <v>1577</v>
      </c>
      <c r="AF152" s="654" t="s">
        <v>1578</v>
      </c>
      <c r="AG152" s="654" t="s">
        <v>1579</v>
      </c>
      <c r="AH152" s="654" t="s">
        <v>1580</v>
      </c>
      <c r="AI152" s="654" t="s">
        <v>1581</v>
      </c>
      <c r="AJ152" s="654" t="s">
        <v>1582</v>
      </c>
      <c r="AK152" s="654" t="s">
        <v>1583</v>
      </c>
      <c r="AL152" s="654" t="s">
        <v>1584</v>
      </c>
      <c r="AM152" s="654" t="s">
        <v>1585</v>
      </c>
      <c r="AN152" s="654" t="s">
        <v>1586</v>
      </c>
      <c r="AO152" s="654" t="s">
        <v>1587</v>
      </c>
      <c r="AP152" s="654" t="s">
        <v>1588</v>
      </c>
      <c r="AQ152" s="654" t="s">
        <v>1589</v>
      </c>
      <c r="AR152" s="630" t="s">
        <v>1590</v>
      </c>
      <c r="AS152" s="632" t="s">
        <v>1591</v>
      </c>
      <c r="AT152" s="630" t="s">
        <v>1592</v>
      </c>
      <c r="AU152" s="628" t="s">
        <v>1593</v>
      </c>
      <c r="AV152" s="629" t="s">
        <v>1594</v>
      </c>
      <c r="AW152" s="1513" t="str">
        <f t="shared" si="175"/>
        <v xml:space="preserve"> * La variable Pueblos Originarios / hombres  no debe ser mayor que el Total de Hombres. * La variable Pueblos Originarios/ Mujeres no debe ser mayor que el Total de Mujeres * La variable Migrantes / hombres  no debe ser mayor que el Total de Hombres * La variable Migrantes / Mujeres no debe ser mayor que el Total de Mujeres</v>
      </c>
      <c r="AX152" s="178"/>
      <c r="AY152" s="178"/>
      <c r="AZ152" s="178"/>
      <c r="BA152" s="178"/>
      <c r="BS152" s="960"/>
      <c r="BT152" s="960"/>
      <c r="BU152" s="960"/>
      <c r="BV152" s="960"/>
      <c r="CB152" s="354"/>
      <c r="CC152" s="348" t="str">
        <f t="shared" si="176"/>
        <v xml:space="preserve"> * La variable Pueblos Originarios / hombres  no debe ser mayor que el Total de Hombres.</v>
      </c>
      <c r="CD152" s="348" t="str">
        <f t="shared" si="177"/>
        <v xml:space="preserve"> * La variable Pueblos Originarios/ Mujeres no debe ser mayor que el Total de Mujeres</v>
      </c>
      <c r="CE152" s="348" t="str">
        <f t="shared" si="178"/>
        <v xml:space="preserve"> * La variable Migrantes / hombres  no debe ser mayor que el Total de Hombres</v>
      </c>
      <c r="CF152" s="348" t="str">
        <f t="shared" si="179"/>
        <v xml:space="preserve"> * La variable Migrantes / Mujeres no debe ser mayor que el Total de Mujeres</v>
      </c>
      <c r="CG152" s="354"/>
      <c r="CH152" s="354"/>
      <c r="CI152" s="354"/>
      <c r="CJ152" s="354"/>
      <c r="CK152" s="354"/>
      <c r="CL152" s="354"/>
      <c r="CM152" s="306"/>
      <c r="CN152" s="306"/>
      <c r="CO152" s="306"/>
      <c r="CP152" s="306"/>
      <c r="CQ152" s="306"/>
      <c r="CR152" s="306"/>
      <c r="CS152" s="306"/>
      <c r="CT152" s="306"/>
      <c r="CU152" s="306"/>
      <c r="CV152" s="306"/>
      <c r="CW152" s="306"/>
      <c r="CX152" s="306"/>
      <c r="CY152" s="306"/>
      <c r="CZ152" s="306"/>
      <c r="DA152" s="306"/>
      <c r="DB152" s="306"/>
      <c r="DC152" s="352"/>
      <c r="DD152" s="352"/>
      <c r="DE152" s="352"/>
      <c r="DF152" s="352"/>
      <c r="DG152" s="352">
        <f t="shared" si="180"/>
        <v>1</v>
      </c>
      <c r="DH152" s="352">
        <f t="shared" si="181"/>
        <v>1</v>
      </c>
      <c r="DI152" s="352">
        <f t="shared" si="182"/>
        <v>1</v>
      </c>
      <c r="DJ152" s="352">
        <f t="shared" si="183"/>
        <v>1</v>
      </c>
      <c r="DK152" s="352"/>
      <c r="DL152" s="352"/>
      <c r="DM152" s="352"/>
      <c r="DN152" s="352"/>
      <c r="DO152" s="352"/>
      <c r="DP152" s="352"/>
      <c r="DQ152" s="352"/>
      <c r="DR152" s="352"/>
      <c r="DS152" s="352"/>
      <c r="DT152" s="352"/>
      <c r="DU152" s="352"/>
      <c r="DV152" s="352"/>
      <c r="DW152" s="352"/>
    </row>
    <row r="153" spans="1:127" s="434" customFormat="1" ht="16.5" customHeight="1" x14ac:dyDescent="0.25">
      <c r="A153" s="1641" t="s">
        <v>1089</v>
      </c>
      <c r="B153" s="2000" t="s">
        <v>769</v>
      </c>
      <c r="C153" s="2001" t="s">
        <v>769</v>
      </c>
      <c r="D153" s="1124" t="s">
        <v>1550</v>
      </c>
      <c r="E153" s="1242" t="s">
        <v>1551</v>
      </c>
      <c r="F153" s="1429" t="s">
        <v>1552</v>
      </c>
      <c r="G153" s="1426" t="s">
        <v>1553</v>
      </c>
      <c r="H153" s="1243" t="s">
        <v>1554</v>
      </c>
      <c r="I153" s="1243" t="s">
        <v>1555</v>
      </c>
      <c r="J153" s="1243" t="s">
        <v>1556</v>
      </c>
      <c r="K153" s="1243" t="s">
        <v>1557</v>
      </c>
      <c r="L153" s="1243" t="s">
        <v>1558</v>
      </c>
      <c r="M153" s="1243" t="s">
        <v>1559</v>
      </c>
      <c r="N153" s="1243" t="s">
        <v>1560</v>
      </c>
      <c r="O153" s="1243" t="s">
        <v>1561</v>
      </c>
      <c r="P153" s="1243" t="s">
        <v>1562</v>
      </c>
      <c r="Q153" s="1243" t="s">
        <v>1563</v>
      </c>
      <c r="R153" s="1243" t="s">
        <v>1564</v>
      </c>
      <c r="S153" s="1243" t="s">
        <v>1565</v>
      </c>
      <c r="T153" s="1243" t="s">
        <v>1566</v>
      </c>
      <c r="U153" s="1243" t="s">
        <v>1567</v>
      </c>
      <c r="V153" s="1243" t="s">
        <v>1568</v>
      </c>
      <c r="W153" s="1243" t="s">
        <v>1569</v>
      </c>
      <c r="X153" s="1243" t="s">
        <v>1570</v>
      </c>
      <c r="Y153" s="1243" t="s">
        <v>1571</v>
      </c>
      <c r="Z153" s="1243" t="s">
        <v>1572</v>
      </c>
      <c r="AA153" s="1243" t="s">
        <v>1573</v>
      </c>
      <c r="AB153" s="1243" t="s">
        <v>1574</v>
      </c>
      <c r="AC153" s="1243" t="s">
        <v>1575</v>
      </c>
      <c r="AD153" s="1243" t="s">
        <v>1576</v>
      </c>
      <c r="AE153" s="1243" t="s">
        <v>1577</v>
      </c>
      <c r="AF153" s="1243" t="s">
        <v>1578</v>
      </c>
      <c r="AG153" s="1243" t="s">
        <v>1579</v>
      </c>
      <c r="AH153" s="1243" t="s">
        <v>1580</v>
      </c>
      <c r="AI153" s="1243" t="s">
        <v>1581</v>
      </c>
      <c r="AJ153" s="1243" t="s">
        <v>1582</v>
      </c>
      <c r="AK153" s="1243" t="s">
        <v>1583</v>
      </c>
      <c r="AL153" s="1243" t="s">
        <v>1584</v>
      </c>
      <c r="AM153" s="1243" t="s">
        <v>1585</v>
      </c>
      <c r="AN153" s="1243" t="s">
        <v>1586</v>
      </c>
      <c r="AO153" s="1243" t="s">
        <v>1587</v>
      </c>
      <c r="AP153" s="1243" t="s">
        <v>1588</v>
      </c>
      <c r="AQ153" s="1243" t="s">
        <v>1589</v>
      </c>
      <c r="AR153" s="1324" t="s">
        <v>1590</v>
      </c>
      <c r="AS153" s="1244" t="s">
        <v>1591</v>
      </c>
      <c r="AT153" s="1324" t="s">
        <v>1592</v>
      </c>
      <c r="AU153" s="1523" t="s">
        <v>1593</v>
      </c>
      <c r="AV153" s="1245" t="s">
        <v>1594</v>
      </c>
      <c r="AW153" s="1513" t="str">
        <f t="shared" si="175"/>
        <v xml:space="preserve"> * La variable Pueblos Originarios / hombres  no debe ser mayor que el Total de Hombres. * La variable Pueblos Originarios/ Mujeres no debe ser mayor que el Total de Mujeres * La variable Migrantes / hombres  no debe ser mayor que el Total de Hombres * La variable Migrantes / Mujeres no debe ser mayor que el Total de Mujeres</v>
      </c>
      <c r="AX153" s="1246"/>
      <c r="AY153" s="1246"/>
      <c r="AZ153" s="1246"/>
      <c r="BA153" s="1246"/>
      <c r="BB153" s="1325"/>
      <c r="BC153" s="1325"/>
      <c r="BD153" s="1325"/>
      <c r="BE153" s="1325"/>
      <c r="BF153" s="1325"/>
      <c r="BG153" s="1325"/>
      <c r="BH153" s="1325"/>
      <c r="BI153" s="1325"/>
      <c r="BJ153" s="1325"/>
      <c r="BK153" s="1325"/>
      <c r="BL153" s="1325"/>
      <c r="BM153" s="1325"/>
      <c r="BN153" s="1325"/>
      <c r="BO153" s="1325"/>
      <c r="BP153" s="1325"/>
      <c r="BQ153" s="1325"/>
      <c r="BR153" s="1325"/>
      <c r="BS153" s="1325"/>
      <c r="BT153" s="1325"/>
      <c r="BU153" s="1325"/>
      <c r="BV153" s="1325"/>
      <c r="CB153" s="896"/>
      <c r="CC153" s="348" t="str">
        <f t="shared" si="176"/>
        <v xml:space="preserve"> * La variable Pueblos Originarios / hombres  no debe ser mayor que el Total de Hombres.</v>
      </c>
      <c r="CD153" s="348" t="str">
        <f t="shared" si="177"/>
        <v xml:space="preserve"> * La variable Pueblos Originarios/ Mujeres no debe ser mayor que el Total de Mujeres</v>
      </c>
      <c r="CE153" s="348" t="str">
        <f t="shared" si="178"/>
        <v xml:space="preserve"> * La variable Migrantes / hombres  no debe ser mayor que el Total de Hombres</v>
      </c>
      <c r="CF153" s="348" t="str">
        <f t="shared" si="179"/>
        <v xml:space="preserve"> * La variable Migrantes / Mujeres no debe ser mayor que el Total de Mujeres</v>
      </c>
      <c r="CG153" s="896"/>
      <c r="CH153" s="896"/>
      <c r="CI153" s="896"/>
      <c r="CJ153" s="896"/>
      <c r="CK153" s="896"/>
      <c r="CL153" s="896"/>
      <c r="CM153" s="1247"/>
      <c r="CN153" s="1247"/>
      <c r="CO153" s="1247"/>
      <c r="CP153" s="1247"/>
      <c r="CQ153" s="1247"/>
      <c r="CR153" s="1247"/>
      <c r="CS153" s="1247"/>
      <c r="CT153" s="1247"/>
      <c r="CU153" s="1247"/>
      <c r="CV153" s="1247"/>
      <c r="CW153" s="1247"/>
      <c r="CX153" s="1247"/>
      <c r="CY153" s="1247"/>
      <c r="CZ153" s="1247"/>
      <c r="DA153" s="1247"/>
      <c r="DB153" s="1247"/>
      <c r="DC153" s="352"/>
      <c r="DD153" s="352"/>
      <c r="DE153" s="352"/>
      <c r="DF153" s="352"/>
      <c r="DG153" s="352">
        <f t="shared" si="180"/>
        <v>1</v>
      </c>
      <c r="DH153" s="352">
        <f t="shared" si="181"/>
        <v>1</v>
      </c>
      <c r="DI153" s="352">
        <f t="shared" si="182"/>
        <v>1</v>
      </c>
      <c r="DJ153" s="352">
        <f t="shared" si="183"/>
        <v>1</v>
      </c>
      <c r="DK153" s="897"/>
      <c r="DL153" s="897"/>
      <c r="DM153" s="897"/>
      <c r="DN153" s="897"/>
      <c r="DO153" s="897"/>
      <c r="DP153" s="897"/>
      <c r="DQ153" s="897"/>
      <c r="DR153" s="897"/>
      <c r="DS153" s="897"/>
      <c r="DT153" s="897"/>
      <c r="DU153" s="897"/>
      <c r="DV153" s="897"/>
      <c r="DW153" s="897"/>
    </row>
    <row r="154" spans="1:127" ht="24.75" customHeight="1" x14ac:dyDescent="0.3">
      <c r="A154" s="1641" t="s">
        <v>1090</v>
      </c>
      <c r="B154" s="2000" t="s">
        <v>772</v>
      </c>
      <c r="C154" s="2001" t="s">
        <v>772</v>
      </c>
      <c r="D154" s="642" t="s">
        <v>1550</v>
      </c>
      <c r="E154" s="1227" t="s">
        <v>1551</v>
      </c>
      <c r="F154" s="1428" t="s">
        <v>1552</v>
      </c>
      <c r="G154" s="631" t="s">
        <v>1553</v>
      </c>
      <c r="H154" s="654" t="s">
        <v>1554</v>
      </c>
      <c r="I154" s="654" t="s">
        <v>1555</v>
      </c>
      <c r="J154" s="654" t="s">
        <v>1556</v>
      </c>
      <c r="K154" s="654" t="s">
        <v>1557</v>
      </c>
      <c r="L154" s="654" t="s">
        <v>1558</v>
      </c>
      <c r="M154" s="654" t="s">
        <v>1559</v>
      </c>
      <c r="N154" s="654" t="s">
        <v>1560</v>
      </c>
      <c r="O154" s="654" t="s">
        <v>1561</v>
      </c>
      <c r="P154" s="654" t="s">
        <v>1562</v>
      </c>
      <c r="Q154" s="654" t="s">
        <v>1563</v>
      </c>
      <c r="R154" s="654" t="s">
        <v>1564</v>
      </c>
      <c r="S154" s="654" t="s">
        <v>1565</v>
      </c>
      <c r="T154" s="654" t="s">
        <v>1566</v>
      </c>
      <c r="U154" s="654" t="s">
        <v>1567</v>
      </c>
      <c r="V154" s="654" t="s">
        <v>1568</v>
      </c>
      <c r="W154" s="654" t="s">
        <v>1569</v>
      </c>
      <c r="X154" s="654" t="s">
        <v>1570</v>
      </c>
      <c r="Y154" s="654" t="s">
        <v>1571</v>
      </c>
      <c r="Z154" s="654" t="s">
        <v>1572</v>
      </c>
      <c r="AA154" s="654" t="s">
        <v>1573</v>
      </c>
      <c r="AB154" s="654" t="s">
        <v>1574</v>
      </c>
      <c r="AC154" s="654" t="s">
        <v>1575</v>
      </c>
      <c r="AD154" s="654" t="s">
        <v>1576</v>
      </c>
      <c r="AE154" s="654" t="s">
        <v>1577</v>
      </c>
      <c r="AF154" s="654" t="s">
        <v>1578</v>
      </c>
      <c r="AG154" s="654" t="s">
        <v>1579</v>
      </c>
      <c r="AH154" s="654" t="s">
        <v>1580</v>
      </c>
      <c r="AI154" s="654" t="s">
        <v>1581</v>
      </c>
      <c r="AJ154" s="654" t="s">
        <v>1582</v>
      </c>
      <c r="AK154" s="654" t="s">
        <v>1583</v>
      </c>
      <c r="AL154" s="654" t="s">
        <v>1584</v>
      </c>
      <c r="AM154" s="654" t="s">
        <v>1585</v>
      </c>
      <c r="AN154" s="654" t="s">
        <v>1586</v>
      </c>
      <c r="AO154" s="654" t="s">
        <v>1587</v>
      </c>
      <c r="AP154" s="654" t="s">
        <v>1588</v>
      </c>
      <c r="AQ154" s="654" t="s">
        <v>1589</v>
      </c>
      <c r="AR154" s="630" t="s">
        <v>1590</v>
      </c>
      <c r="AS154" s="632" t="s">
        <v>1591</v>
      </c>
      <c r="AT154" s="630" t="s">
        <v>1592</v>
      </c>
      <c r="AU154" s="628" t="s">
        <v>1593</v>
      </c>
      <c r="AV154" s="629" t="s">
        <v>1594</v>
      </c>
      <c r="AW154" s="1513" t="str">
        <f t="shared" si="175"/>
        <v xml:space="preserve"> * La variable Pueblos Originarios / hombres  no debe ser mayor que el Total de Hombres. * La variable Pueblos Originarios/ Mujeres no debe ser mayor que el Total de Mujeres * La variable Migrantes / hombres  no debe ser mayor que el Total de Hombres * La variable Migrantes / Mujeres no debe ser mayor que el Total de Mujeres</v>
      </c>
      <c r="AX154" s="178"/>
      <c r="AY154" s="178"/>
      <c r="AZ154" s="178"/>
      <c r="BA154" s="178"/>
      <c r="BS154" s="960"/>
      <c r="BT154" s="960"/>
      <c r="BU154" s="960"/>
      <c r="BV154" s="960"/>
      <c r="CB154" s="354"/>
      <c r="CC154" s="348" t="str">
        <f t="shared" si="176"/>
        <v xml:space="preserve"> * La variable Pueblos Originarios / hombres  no debe ser mayor que el Total de Hombres.</v>
      </c>
      <c r="CD154" s="348" t="str">
        <f t="shared" si="177"/>
        <v xml:space="preserve"> * La variable Pueblos Originarios/ Mujeres no debe ser mayor que el Total de Mujeres</v>
      </c>
      <c r="CE154" s="348" t="str">
        <f t="shared" si="178"/>
        <v xml:space="preserve"> * La variable Migrantes / hombres  no debe ser mayor que el Total de Hombres</v>
      </c>
      <c r="CF154" s="348" t="str">
        <f t="shared" si="179"/>
        <v xml:space="preserve"> * La variable Migrantes / Mujeres no debe ser mayor que el Total de Mujeres</v>
      </c>
      <c r="CG154" s="354"/>
      <c r="CH154" s="354"/>
      <c r="CI154" s="354"/>
      <c r="CJ154" s="354"/>
      <c r="CK154" s="354"/>
      <c r="CL154" s="354"/>
      <c r="CM154" s="306"/>
      <c r="CN154" s="306"/>
      <c r="CO154" s="306"/>
      <c r="CP154" s="306"/>
      <c r="CQ154" s="306"/>
      <c r="CR154" s="306"/>
      <c r="CS154" s="306"/>
      <c r="CT154" s="306"/>
      <c r="CU154" s="306"/>
      <c r="CV154" s="306"/>
      <c r="CW154" s="306"/>
      <c r="CX154" s="306"/>
      <c r="CY154" s="306"/>
      <c r="CZ154" s="306"/>
      <c r="DA154" s="306"/>
      <c r="DB154" s="306"/>
      <c r="DC154" s="352"/>
      <c r="DD154" s="352"/>
      <c r="DE154" s="352"/>
      <c r="DF154" s="352"/>
      <c r="DG154" s="352">
        <f t="shared" si="180"/>
        <v>1</v>
      </c>
      <c r="DH154" s="352">
        <f t="shared" si="181"/>
        <v>1</v>
      </c>
      <c r="DI154" s="352">
        <f t="shared" si="182"/>
        <v>1</v>
      </c>
      <c r="DJ154" s="352">
        <f t="shared" si="183"/>
        <v>1</v>
      </c>
      <c r="DK154" s="352"/>
      <c r="DL154" s="352"/>
      <c r="DM154" s="352"/>
      <c r="DN154" s="352"/>
      <c r="DO154" s="352"/>
      <c r="DP154" s="352"/>
      <c r="DQ154" s="352"/>
      <c r="DR154" s="352"/>
      <c r="DS154" s="352"/>
      <c r="DT154" s="352"/>
      <c r="DU154" s="352"/>
      <c r="DV154" s="352"/>
      <c r="DW154" s="352"/>
    </row>
    <row r="155" spans="1:127" s="434" customFormat="1" ht="16.5" customHeight="1" x14ac:dyDescent="0.25">
      <c r="A155" s="1641" t="s">
        <v>1091</v>
      </c>
      <c r="B155" s="2000" t="s">
        <v>815</v>
      </c>
      <c r="C155" s="2001" t="s">
        <v>854</v>
      </c>
      <c r="D155" s="1124" t="s">
        <v>1550</v>
      </c>
      <c r="E155" s="1242" t="s">
        <v>1551</v>
      </c>
      <c r="F155" s="1429" t="s">
        <v>1552</v>
      </c>
      <c r="G155" s="1426" t="s">
        <v>1553</v>
      </c>
      <c r="H155" s="1243" t="s">
        <v>1554</v>
      </c>
      <c r="I155" s="1243" t="s">
        <v>1555</v>
      </c>
      <c r="J155" s="1243" t="s">
        <v>1556</v>
      </c>
      <c r="K155" s="1243" t="s">
        <v>1557</v>
      </c>
      <c r="L155" s="1243" t="s">
        <v>1558</v>
      </c>
      <c r="M155" s="1243" t="s">
        <v>1559</v>
      </c>
      <c r="N155" s="1243" t="s">
        <v>1560</v>
      </c>
      <c r="O155" s="1243" t="s">
        <v>1561</v>
      </c>
      <c r="P155" s="1243" t="s">
        <v>1562</v>
      </c>
      <c r="Q155" s="1243" t="s">
        <v>1563</v>
      </c>
      <c r="R155" s="1243" t="s">
        <v>1564</v>
      </c>
      <c r="S155" s="1243" t="s">
        <v>1565</v>
      </c>
      <c r="T155" s="1243" t="s">
        <v>1566</v>
      </c>
      <c r="U155" s="1243" t="s">
        <v>1567</v>
      </c>
      <c r="V155" s="1243" t="s">
        <v>1568</v>
      </c>
      <c r="W155" s="1243" t="s">
        <v>1569</v>
      </c>
      <c r="X155" s="1243" t="s">
        <v>1570</v>
      </c>
      <c r="Y155" s="1243" t="s">
        <v>1571</v>
      </c>
      <c r="Z155" s="1243" t="s">
        <v>1572</v>
      </c>
      <c r="AA155" s="1243" t="s">
        <v>1573</v>
      </c>
      <c r="AB155" s="1243" t="s">
        <v>1574</v>
      </c>
      <c r="AC155" s="1243" t="s">
        <v>1575</v>
      </c>
      <c r="AD155" s="1243" t="s">
        <v>1576</v>
      </c>
      <c r="AE155" s="1243" t="s">
        <v>1577</v>
      </c>
      <c r="AF155" s="1243" t="s">
        <v>1578</v>
      </c>
      <c r="AG155" s="1243" t="s">
        <v>1579</v>
      </c>
      <c r="AH155" s="1243" t="s">
        <v>1580</v>
      </c>
      <c r="AI155" s="1243" t="s">
        <v>1581</v>
      </c>
      <c r="AJ155" s="1243" t="s">
        <v>1582</v>
      </c>
      <c r="AK155" s="1243" t="s">
        <v>1583</v>
      </c>
      <c r="AL155" s="1243" t="s">
        <v>1584</v>
      </c>
      <c r="AM155" s="1243" t="s">
        <v>1585</v>
      </c>
      <c r="AN155" s="1243" t="s">
        <v>1586</v>
      </c>
      <c r="AO155" s="1243" t="s">
        <v>1587</v>
      </c>
      <c r="AP155" s="1243" t="s">
        <v>1588</v>
      </c>
      <c r="AQ155" s="1243" t="s">
        <v>1589</v>
      </c>
      <c r="AR155" s="1324" t="s">
        <v>1590</v>
      </c>
      <c r="AS155" s="1244" t="s">
        <v>1591</v>
      </c>
      <c r="AT155" s="1324" t="s">
        <v>1592</v>
      </c>
      <c r="AU155" s="1523" t="s">
        <v>1593</v>
      </c>
      <c r="AV155" s="1245" t="s">
        <v>1594</v>
      </c>
      <c r="AW155" s="1513" t="str">
        <f t="shared" si="175"/>
        <v xml:space="preserve"> * La variable Pueblos Originarios / hombres  no debe ser mayor que el Total de Hombres. * La variable Pueblos Originarios/ Mujeres no debe ser mayor que el Total de Mujeres * La variable Migrantes / hombres  no debe ser mayor que el Total de Hombres * La variable Migrantes / Mujeres no debe ser mayor que el Total de Mujeres</v>
      </c>
      <c r="AX155" s="1246"/>
      <c r="AY155" s="1246"/>
      <c r="AZ155" s="1246"/>
      <c r="BA155" s="1246"/>
      <c r="BB155" s="1325"/>
      <c r="BC155" s="1325"/>
      <c r="BD155" s="1325"/>
      <c r="BE155" s="1325"/>
      <c r="BF155" s="1325"/>
      <c r="BG155" s="1325"/>
      <c r="BH155" s="1325"/>
      <c r="BI155" s="1325"/>
      <c r="BJ155" s="1325"/>
      <c r="BK155" s="1325"/>
      <c r="BL155" s="1325"/>
      <c r="BM155" s="1325"/>
      <c r="BN155" s="1325"/>
      <c r="BO155" s="1325"/>
      <c r="BP155" s="1325"/>
      <c r="BQ155" s="1325"/>
      <c r="BR155" s="1325"/>
      <c r="BS155" s="1325"/>
      <c r="BT155" s="1325"/>
      <c r="BU155" s="1325"/>
      <c r="BV155" s="1325"/>
      <c r="CB155" s="896"/>
      <c r="CC155" s="348" t="str">
        <f t="shared" si="176"/>
        <v xml:space="preserve"> * La variable Pueblos Originarios / hombres  no debe ser mayor que el Total de Hombres.</v>
      </c>
      <c r="CD155" s="348" t="str">
        <f t="shared" si="177"/>
        <v xml:space="preserve"> * La variable Pueblos Originarios/ Mujeres no debe ser mayor que el Total de Mujeres</v>
      </c>
      <c r="CE155" s="348" t="str">
        <f t="shared" si="178"/>
        <v xml:space="preserve"> * La variable Migrantes / hombres  no debe ser mayor que el Total de Hombres</v>
      </c>
      <c r="CF155" s="348" t="str">
        <f t="shared" si="179"/>
        <v xml:space="preserve"> * La variable Migrantes / Mujeres no debe ser mayor que el Total de Mujeres</v>
      </c>
      <c r="CG155" s="896"/>
      <c r="CH155" s="896"/>
      <c r="CI155" s="896"/>
      <c r="CJ155" s="896"/>
      <c r="CK155" s="896"/>
      <c r="CL155" s="896"/>
      <c r="CM155" s="1247"/>
      <c r="CN155" s="1247"/>
      <c r="CO155" s="1247"/>
      <c r="CP155" s="1247"/>
      <c r="CQ155" s="1247"/>
      <c r="CR155" s="1247"/>
      <c r="CS155" s="1247"/>
      <c r="CT155" s="1247"/>
      <c r="CU155" s="1247"/>
      <c r="CV155" s="1247"/>
      <c r="CW155" s="1247"/>
      <c r="CX155" s="1247"/>
      <c r="CY155" s="1247"/>
      <c r="CZ155" s="1247"/>
      <c r="DA155" s="1247"/>
      <c r="DB155" s="1247"/>
      <c r="DC155" s="352"/>
      <c r="DD155" s="352"/>
      <c r="DE155" s="352"/>
      <c r="DF155" s="352"/>
      <c r="DG155" s="352">
        <f t="shared" si="180"/>
        <v>1</v>
      </c>
      <c r="DH155" s="352">
        <f t="shared" si="181"/>
        <v>1</v>
      </c>
      <c r="DI155" s="352">
        <f t="shared" si="182"/>
        <v>1</v>
      </c>
      <c r="DJ155" s="352">
        <f t="shared" si="183"/>
        <v>1</v>
      </c>
      <c r="DK155" s="897"/>
      <c r="DL155" s="897"/>
      <c r="DM155" s="897"/>
      <c r="DN155" s="897"/>
      <c r="DO155" s="897"/>
      <c r="DP155" s="897"/>
      <c r="DQ155" s="897"/>
      <c r="DR155" s="897"/>
      <c r="DS155" s="897"/>
      <c r="DT155" s="897"/>
      <c r="DU155" s="897"/>
      <c r="DV155" s="897"/>
      <c r="DW155" s="897"/>
    </row>
    <row r="156" spans="1:127" ht="26.25" customHeight="1" x14ac:dyDescent="0.3">
      <c r="A156" s="1641" t="s">
        <v>1092</v>
      </c>
      <c r="B156" s="2000" t="s">
        <v>794</v>
      </c>
      <c r="C156" s="2001" t="s">
        <v>855</v>
      </c>
      <c r="D156" s="642" t="s">
        <v>1550</v>
      </c>
      <c r="E156" s="1227" t="s">
        <v>1551</v>
      </c>
      <c r="F156" s="1428" t="s">
        <v>1552</v>
      </c>
      <c r="G156" s="631" t="s">
        <v>1553</v>
      </c>
      <c r="H156" s="654" t="s">
        <v>1554</v>
      </c>
      <c r="I156" s="654" t="s">
        <v>1555</v>
      </c>
      <c r="J156" s="654" t="s">
        <v>1556</v>
      </c>
      <c r="K156" s="654" t="s">
        <v>1557</v>
      </c>
      <c r="L156" s="654" t="s">
        <v>1558</v>
      </c>
      <c r="M156" s="654" t="s">
        <v>1559</v>
      </c>
      <c r="N156" s="654" t="s">
        <v>1560</v>
      </c>
      <c r="O156" s="654" t="s">
        <v>1561</v>
      </c>
      <c r="P156" s="654" t="s">
        <v>1562</v>
      </c>
      <c r="Q156" s="654" t="s">
        <v>1563</v>
      </c>
      <c r="R156" s="654" t="s">
        <v>1564</v>
      </c>
      <c r="S156" s="654" t="s">
        <v>1565</v>
      </c>
      <c r="T156" s="654" t="s">
        <v>1566</v>
      </c>
      <c r="U156" s="654" t="s">
        <v>1567</v>
      </c>
      <c r="V156" s="654" t="s">
        <v>1568</v>
      </c>
      <c r="W156" s="654" t="s">
        <v>1569</v>
      </c>
      <c r="X156" s="654" t="s">
        <v>1570</v>
      </c>
      <c r="Y156" s="654" t="s">
        <v>1571</v>
      </c>
      <c r="Z156" s="654" t="s">
        <v>1572</v>
      </c>
      <c r="AA156" s="654" t="s">
        <v>1573</v>
      </c>
      <c r="AB156" s="654" t="s">
        <v>1574</v>
      </c>
      <c r="AC156" s="654" t="s">
        <v>1575</v>
      </c>
      <c r="AD156" s="654" t="s">
        <v>1576</v>
      </c>
      <c r="AE156" s="654" t="s">
        <v>1577</v>
      </c>
      <c r="AF156" s="654" t="s">
        <v>1578</v>
      </c>
      <c r="AG156" s="654" t="s">
        <v>1579</v>
      </c>
      <c r="AH156" s="654" t="s">
        <v>1580</v>
      </c>
      <c r="AI156" s="654" t="s">
        <v>1581</v>
      </c>
      <c r="AJ156" s="654" t="s">
        <v>1582</v>
      </c>
      <c r="AK156" s="654" t="s">
        <v>1583</v>
      </c>
      <c r="AL156" s="654" t="s">
        <v>1584</v>
      </c>
      <c r="AM156" s="654" t="s">
        <v>1585</v>
      </c>
      <c r="AN156" s="654" t="s">
        <v>1586</v>
      </c>
      <c r="AO156" s="654" t="s">
        <v>1587</v>
      </c>
      <c r="AP156" s="654" t="s">
        <v>1588</v>
      </c>
      <c r="AQ156" s="654" t="s">
        <v>1589</v>
      </c>
      <c r="AR156" s="630" t="s">
        <v>1590</v>
      </c>
      <c r="AS156" s="632" t="s">
        <v>1591</v>
      </c>
      <c r="AT156" s="630" t="s">
        <v>1592</v>
      </c>
      <c r="AU156" s="628" t="s">
        <v>1593</v>
      </c>
      <c r="AV156" s="629" t="s">
        <v>1594</v>
      </c>
      <c r="AW156" s="1513" t="str">
        <f t="shared" si="175"/>
        <v xml:space="preserve"> * La variable Pueblos Originarios / hombres  no debe ser mayor que el Total de Hombres. * La variable Pueblos Originarios/ Mujeres no debe ser mayor que el Total de Mujeres * La variable Migrantes / hombres  no debe ser mayor que el Total de Hombres * La variable Migrantes / Mujeres no debe ser mayor que el Total de Mujeres</v>
      </c>
      <c r="AX156" s="178"/>
      <c r="AY156" s="178"/>
      <c r="AZ156" s="178"/>
      <c r="BA156" s="178"/>
      <c r="BS156" s="960"/>
      <c r="BT156" s="960"/>
      <c r="BU156" s="960"/>
      <c r="BV156" s="960"/>
      <c r="CB156" s="354"/>
      <c r="CC156" s="348" t="str">
        <f t="shared" si="176"/>
        <v xml:space="preserve"> * La variable Pueblos Originarios / hombres  no debe ser mayor que el Total de Hombres.</v>
      </c>
      <c r="CD156" s="348" t="str">
        <f t="shared" si="177"/>
        <v xml:space="preserve"> * La variable Pueblos Originarios/ Mujeres no debe ser mayor que el Total de Mujeres</v>
      </c>
      <c r="CE156" s="348" t="str">
        <f t="shared" si="178"/>
        <v xml:space="preserve"> * La variable Migrantes / hombres  no debe ser mayor que el Total de Hombres</v>
      </c>
      <c r="CF156" s="348" t="str">
        <f t="shared" si="179"/>
        <v xml:space="preserve"> * La variable Migrantes / Mujeres no debe ser mayor que el Total de Mujeres</v>
      </c>
      <c r="CG156" s="354"/>
      <c r="CH156" s="354"/>
      <c r="CI156" s="354"/>
      <c r="CJ156" s="354"/>
      <c r="CK156" s="354"/>
      <c r="CL156" s="354"/>
      <c r="CM156" s="306"/>
      <c r="CN156" s="306"/>
      <c r="CO156" s="306"/>
      <c r="CP156" s="306"/>
      <c r="CQ156" s="306"/>
      <c r="CR156" s="306"/>
      <c r="CS156" s="306"/>
      <c r="CT156" s="306"/>
      <c r="CU156" s="306"/>
      <c r="CV156" s="306"/>
      <c r="CW156" s="306"/>
      <c r="CX156" s="306"/>
      <c r="CY156" s="306"/>
      <c r="CZ156" s="306"/>
      <c r="DA156" s="306"/>
      <c r="DB156" s="306"/>
      <c r="DC156" s="352"/>
      <c r="DD156" s="352"/>
      <c r="DE156" s="352"/>
      <c r="DF156" s="352"/>
      <c r="DG156" s="352">
        <f t="shared" si="180"/>
        <v>1</v>
      </c>
      <c r="DH156" s="352">
        <f t="shared" si="181"/>
        <v>1</v>
      </c>
      <c r="DI156" s="352">
        <f t="shared" si="182"/>
        <v>1</v>
      </c>
      <c r="DJ156" s="352">
        <f t="shared" si="183"/>
        <v>1</v>
      </c>
      <c r="DK156" s="352"/>
      <c r="DL156" s="352"/>
      <c r="DM156" s="352"/>
      <c r="DN156" s="352"/>
      <c r="DO156" s="352"/>
      <c r="DP156" s="352"/>
      <c r="DQ156" s="352"/>
      <c r="DR156" s="352"/>
      <c r="DS156" s="352"/>
      <c r="DT156" s="352"/>
      <c r="DU156" s="352"/>
      <c r="DV156" s="352"/>
      <c r="DW156" s="352"/>
    </row>
    <row r="157" spans="1:127" ht="16.5" customHeight="1" x14ac:dyDescent="0.3">
      <c r="A157" s="1641" t="s">
        <v>1093</v>
      </c>
      <c r="B157" s="2000" t="s">
        <v>776</v>
      </c>
      <c r="C157" s="2001" t="s">
        <v>776</v>
      </c>
      <c r="D157" s="642" t="s">
        <v>1550</v>
      </c>
      <c r="E157" s="1227" t="s">
        <v>1551</v>
      </c>
      <c r="F157" s="1428" t="s">
        <v>1552</v>
      </c>
      <c r="G157" s="631" t="s">
        <v>1553</v>
      </c>
      <c r="H157" s="654" t="s">
        <v>1554</v>
      </c>
      <c r="I157" s="654" t="s">
        <v>1555</v>
      </c>
      <c r="J157" s="654" t="s">
        <v>1556</v>
      </c>
      <c r="K157" s="654" t="s">
        <v>1557</v>
      </c>
      <c r="L157" s="654" t="s">
        <v>1558</v>
      </c>
      <c r="M157" s="654" t="s">
        <v>1559</v>
      </c>
      <c r="N157" s="654" t="s">
        <v>1560</v>
      </c>
      <c r="O157" s="654" t="s">
        <v>1561</v>
      </c>
      <c r="P157" s="654" t="s">
        <v>1562</v>
      </c>
      <c r="Q157" s="654" t="s">
        <v>1563</v>
      </c>
      <c r="R157" s="654" t="s">
        <v>1564</v>
      </c>
      <c r="S157" s="654" t="s">
        <v>1565</v>
      </c>
      <c r="T157" s="654" t="s">
        <v>1566</v>
      </c>
      <c r="U157" s="654" t="s">
        <v>1567</v>
      </c>
      <c r="V157" s="654" t="s">
        <v>1568</v>
      </c>
      <c r="W157" s="654" t="s">
        <v>1569</v>
      </c>
      <c r="X157" s="654" t="s">
        <v>1570</v>
      </c>
      <c r="Y157" s="654" t="s">
        <v>1571</v>
      </c>
      <c r="Z157" s="654" t="s">
        <v>1572</v>
      </c>
      <c r="AA157" s="654" t="s">
        <v>1573</v>
      </c>
      <c r="AB157" s="654" t="s">
        <v>1574</v>
      </c>
      <c r="AC157" s="654" t="s">
        <v>1575</v>
      </c>
      <c r="AD157" s="654" t="s">
        <v>1576</v>
      </c>
      <c r="AE157" s="654" t="s">
        <v>1577</v>
      </c>
      <c r="AF157" s="654" t="s">
        <v>1578</v>
      </c>
      <c r="AG157" s="654" t="s">
        <v>1579</v>
      </c>
      <c r="AH157" s="654" t="s">
        <v>1580</v>
      </c>
      <c r="AI157" s="654" t="s">
        <v>1581</v>
      </c>
      <c r="AJ157" s="654" t="s">
        <v>1582</v>
      </c>
      <c r="AK157" s="654" t="s">
        <v>1583</v>
      </c>
      <c r="AL157" s="654" t="s">
        <v>1584</v>
      </c>
      <c r="AM157" s="654" t="s">
        <v>1585</v>
      </c>
      <c r="AN157" s="654" t="s">
        <v>1586</v>
      </c>
      <c r="AO157" s="654" t="s">
        <v>1587</v>
      </c>
      <c r="AP157" s="654" t="s">
        <v>1588</v>
      </c>
      <c r="AQ157" s="654" t="s">
        <v>1589</v>
      </c>
      <c r="AR157" s="630" t="s">
        <v>1590</v>
      </c>
      <c r="AS157" s="632" t="s">
        <v>1591</v>
      </c>
      <c r="AT157" s="630" t="s">
        <v>1592</v>
      </c>
      <c r="AU157" s="628" t="s">
        <v>1593</v>
      </c>
      <c r="AV157" s="629" t="s">
        <v>1594</v>
      </c>
      <c r="AW157" s="1513" t="str">
        <f t="shared" si="175"/>
        <v xml:space="preserve"> * La variable Pueblos Originarios / hombres  no debe ser mayor que el Total de Hombres. * La variable Pueblos Originarios/ Mujeres no debe ser mayor que el Total de Mujeres * La variable Migrantes / hombres  no debe ser mayor que el Total de Hombres * La variable Migrantes / Mujeres no debe ser mayor que el Total de Mujeres</v>
      </c>
      <c r="AX157" s="178"/>
      <c r="AY157" s="178"/>
      <c r="AZ157" s="178"/>
      <c r="BA157" s="178"/>
      <c r="BS157" s="960"/>
      <c r="BT157" s="960"/>
      <c r="BU157" s="960"/>
      <c r="BV157" s="960"/>
      <c r="CB157" s="354"/>
      <c r="CC157" s="348" t="str">
        <f t="shared" si="176"/>
        <v xml:space="preserve"> * La variable Pueblos Originarios / hombres  no debe ser mayor que el Total de Hombres.</v>
      </c>
      <c r="CD157" s="348" t="str">
        <f t="shared" si="177"/>
        <v xml:space="preserve"> * La variable Pueblos Originarios/ Mujeres no debe ser mayor que el Total de Mujeres</v>
      </c>
      <c r="CE157" s="348" t="str">
        <f t="shared" si="178"/>
        <v xml:space="preserve"> * La variable Migrantes / hombres  no debe ser mayor que el Total de Hombres</v>
      </c>
      <c r="CF157" s="348" t="str">
        <f t="shared" si="179"/>
        <v xml:space="preserve"> * La variable Migrantes / Mujeres no debe ser mayor que el Total de Mujeres</v>
      </c>
      <c r="CG157" s="354"/>
      <c r="CH157" s="354"/>
      <c r="CI157" s="354"/>
      <c r="CJ157" s="354"/>
      <c r="CK157" s="354"/>
      <c r="CL157" s="354"/>
      <c r="CM157" s="306"/>
      <c r="CN157" s="306"/>
      <c r="CO157" s="306"/>
      <c r="CP157" s="306"/>
      <c r="CQ157" s="306"/>
      <c r="CR157" s="306"/>
      <c r="CS157" s="306"/>
      <c r="CT157" s="306"/>
      <c r="CU157" s="306"/>
      <c r="CV157" s="306"/>
      <c r="CW157" s="306"/>
      <c r="CX157" s="306"/>
      <c r="CY157" s="306"/>
      <c r="CZ157" s="306"/>
      <c r="DA157" s="306"/>
      <c r="DB157" s="306"/>
      <c r="DC157" s="352"/>
      <c r="DD157" s="352"/>
      <c r="DE157" s="352"/>
      <c r="DF157" s="352"/>
      <c r="DG157" s="352">
        <f t="shared" si="180"/>
        <v>1</v>
      </c>
      <c r="DH157" s="352">
        <f t="shared" si="181"/>
        <v>1</v>
      </c>
      <c r="DI157" s="352">
        <f t="shared" si="182"/>
        <v>1</v>
      </c>
      <c r="DJ157" s="352">
        <f t="shared" si="183"/>
        <v>1</v>
      </c>
      <c r="DK157" s="352"/>
      <c r="DL157" s="352"/>
      <c r="DM157" s="352"/>
      <c r="DN157" s="352"/>
      <c r="DO157" s="352"/>
      <c r="DP157" s="352"/>
      <c r="DQ157" s="352"/>
      <c r="DR157" s="352"/>
      <c r="DS157" s="352"/>
      <c r="DT157" s="352"/>
      <c r="DU157" s="352"/>
      <c r="DV157" s="352"/>
      <c r="DW157" s="352"/>
    </row>
    <row r="158" spans="1:127" ht="15.75" customHeight="1" x14ac:dyDescent="0.3">
      <c r="A158" s="1641" t="s">
        <v>1094</v>
      </c>
      <c r="B158" s="2000" t="s">
        <v>777</v>
      </c>
      <c r="C158" s="2001" t="s">
        <v>777</v>
      </c>
      <c r="D158" s="642" t="s">
        <v>1550</v>
      </c>
      <c r="E158" s="1227" t="s">
        <v>1551</v>
      </c>
      <c r="F158" s="1428" t="s">
        <v>1552</v>
      </c>
      <c r="G158" s="631" t="s">
        <v>1553</v>
      </c>
      <c r="H158" s="654" t="s">
        <v>1554</v>
      </c>
      <c r="I158" s="654" t="s">
        <v>1555</v>
      </c>
      <c r="J158" s="654" t="s">
        <v>1556</v>
      </c>
      <c r="K158" s="654" t="s">
        <v>1557</v>
      </c>
      <c r="L158" s="654" t="s">
        <v>1558</v>
      </c>
      <c r="M158" s="654" t="s">
        <v>1559</v>
      </c>
      <c r="N158" s="654" t="s">
        <v>1560</v>
      </c>
      <c r="O158" s="654" t="s">
        <v>1561</v>
      </c>
      <c r="P158" s="654" t="s">
        <v>1562</v>
      </c>
      <c r="Q158" s="654" t="s">
        <v>1563</v>
      </c>
      <c r="R158" s="654" t="s">
        <v>1564</v>
      </c>
      <c r="S158" s="654" t="s">
        <v>1565</v>
      </c>
      <c r="T158" s="654" t="s">
        <v>1566</v>
      </c>
      <c r="U158" s="654" t="s">
        <v>1567</v>
      </c>
      <c r="V158" s="654" t="s">
        <v>1568</v>
      </c>
      <c r="W158" s="654" t="s">
        <v>1569</v>
      </c>
      <c r="X158" s="654" t="s">
        <v>1570</v>
      </c>
      <c r="Y158" s="654" t="s">
        <v>1571</v>
      </c>
      <c r="Z158" s="654" t="s">
        <v>1572</v>
      </c>
      <c r="AA158" s="654" t="s">
        <v>1573</v>
      </c>
      <c r="AB158" s="654" t="s">
        <v>1574</v>
      </c>
      <c r="AC158" s="654" t="s">
        <v>1575</v>
      </c>
      <c r="AD158" s="654" t="s">
        <v>1576</v>
      </c>
      <c r="AE158" s="654" t="s">
        <v>1577</v>
      </c>
      <c r="AF158" s="654" t="s">
        <v>1578</v>
      </c>
      <c r="AG158" s="654" t="s">
        <v>1579</v>
      </c>
      <c r="AH158" s="654" t="s">
        <v>1580</v>
      </c>
      <c r="AI158" s="654" t="s">
        <v>1581</v>
      </c>
      <c r="AJ158" s="654" t="s">
        <v>1582</v>
      </c>
      <c r="AK158" s="654" t="s">
        <v>1583</v>
      </c>
      <c r="AL158" s="654" t="s">
        <v>1584</v>
      </c>
      <c r="AM158" s="654" t="s">
        <v>1585</v>
      </c>
      <c r="AN158" s="654" t="s">
        <v>1586</v>
      </c>
      <c r="AO158" s="654" t="s">
        <v>1587</v>
      </c>
      <c r="AP158" s="654" t="s">
        <v>1588</v>
      </c>
      <c r="AQ158" s="654" t="s">
        <v>1589</v>
      </c>
      <c r="AR158" s="630" t="s">
        <v>1590</v>
      </c>
      <c r="AS158" s="632" t="s">
        <v>1591</v>
      </c>
      <c r="AT158" s="630" t="s">
        <v>1592</v>
      </c>
      <c r="AU158" s="628" t="s">
        <v>1593</v>
      </c>
      <c r="AV158" s="629" t="s">
        <v>1594</v>
      </c>
      <c r="AW158" s="1513" t="str">
        <f t="shared" si="175"/>
        <v xml:space="preserve"> * La variable Pueblos Originarios / hombres  no debe ser mayor que el Total de Hombres. * La variable Pueblos Originarios/ Mujeres no debe ser mayor que el Total de Mujeres * La variable Migrantes / hombres  no debe ser mayor que el Total de Hombres * La variable Migrantes / Mujeres no debe ser mayor que el Total de Mujeres</v>
      </c>
      <c r="CB158" s="354"/>
      <c r="CC158" s="348" t="str">
        <f t="shared" si="176"/>
        <v xml:space="preserve"> * La variable Pueblos Originarios / hombres  no debe ser mayor que el Total de Hombres.</v>
      </c>
      <c r="CD158" s="348" t="str">
        <f t="shared" si="177"/>
        <v xml:space="preserve"> * La variable Pueblos Originarios/ Mujeres no debe ser mayor que el Total de Mujeres</v>
      </c>
      <c r="CE158" s="348" t="str">
        <f t="shared" si="178"/>
        <v xml:space="preserve"> * La variable Migrantes / hombres  no debe ser mayor que el Total de Hombres</v>
      </c>
      <c r="CF158" s="348" t="str">
        <f t="shared" si="179"/>
        <v xml:space="preserve"> * La variable Migrantes / Mujeres no debe ser mayor que el Total de Mujeres</v>
      </c>
      <c r="CG158" s="354"/>
      <c r="CH158" s="354"/>
      <c r="CI158" s="354"/>
      <c r="CJ158" s="354"/>
      <c r="CK158" s="354"/>
      <c r="CL158" s="354"/>
      <c r="CM158" s="306"/>
      <c r="CN158" s="306"/>
      <c r="CO158" s="306"/>
      <c r="CP158" s="306"/>
      <c r="CQ158" s="306"/>
      <c r="CR158" s="306"/>
      <c r="CS158" s="306"/>
      <c r="CT158" s="306"/>
      <c r="CU158" s="306"/>
      <c r="CV158" s="306"/>
      <c r="CW158" s="306"/>
      <c r="CX158" s="306"/>
      <c r="CY158" s="306"/>
      <c r="CZ158" s="306"/>
      <c r="DA158" s="306"/>
      <c r="DB158" s="306"/>
      <c r="DC158" s="352"/>
      <c r="DD158" s="352"/>
      <c r="DE158" s="352"/>
      <c r="DF158" s="352"/>
      <c r="DG158" s="352">
        <f t="shared" si="180"/>
        <v>1</v>
      </c>
      <c r="DH158" s="352">
        <f t="shared" si="181"/>
        <v>1</v>
      </c>
      <c r="DI158" s="352">
        <f t="shared" si="182"/>
        <v>1</v>
      </c>
      <c r="DJ158" s="352">
        <f t="shared" si="183"/>
        <v>1</v>
      </c>
      <c r="DK158" s="354"/>
      <c r="DL158" s="354"/>
      <c r="DM158" s="352"/>
      <c r="DN158" s="352"/>
      <c r="DO158" s="352"/>
      <c r="DP158" s="352"/>
      <c r="DQ158" s="352"/>
      <c r="DR158" s="352"/>
      <c r="DS158" s="352"/>
      <c r="DT158" s="352"/>
      <c r="DU158" s="352"/>
      <c r="DV158" s="352"/>
      <c r="DW158" s="352"/>
    </row>
    <row r="159" spans="1:127" ht="16.5" customHeight="1" x14ac:dyDescent="0.3">
      <c r="A159" s="1641" t="s">
        <v>1095</v>
      </c>
      <c r="B159" s="2000" t="s">
        <v>789</v>
      </c>
      <c r="C159" s="2001" t="s">
        <v>789</v>
      </c>
      <c r="D159" s="642" t="s">
        <v>1550</v>
      </c>
      <c r="E159" s="1227" t="s">
        <v>1551</v>
      </c>
      <c r="F159" s="1428" t="s">
        <v>1552</v>
      </c>
      <c r="G159" s="631" t="s">
        <v>1553</v>
      </c>
      <c r="H159" s="654" t="s">
        <v>1554</v>
      </c>
      <c r="I159" s="654" t="s">
        <v>1555</v>
      </c>
      <c r="J159" s="654" t="s">
        <v>1556</v>
      </c>
      <c r="K159" s="654" t="s">
        <v>1557</v>
      </c>
      <c r="L159" s="654" t="s">
        <v>1558</v>
      </c>
      <c r="M159" s="654" t="s">
        <v>1559</v>
      </c>
      <c r="N159" s="654" t="s">
        <v>1560</v>
      </c>
      <c r="O159" s="654" t="s">
        <v>1561</v>
      </c>
      <c r="P159" s="654" t="s">
        <v>1562</v>
      </c>
      <c r="Q159" s="654" t="s">
        <v>1563</v>
      </c>
      <c r="R159" s="654" t="s">
        <v>1564</v>
      </c>
      <c r="S159" s="654" t="s">
        <v>1565</v>
      </c>
      <c r="T159" s="654" t="s">
        <v>1566</v>
      </c>
      <c r="U159" s="654" t="s">
        <v>1567</v>
      </c>
      <c r="V159" s="654" t="s">
        <v>1568</v>
      </c>
      <c r="W159" s="654" t="s">
        <v>1569</v>
      </c>
      <c r="X159" s="654" t="s">
        <v>1570</v>
      </c>
      <c r="Y159" s="654" t="s">
        <v>1571</v>
      </c>
      <c r="Z159" s="654" t="s">
        <v>1572</v>
      </c>
      <c r="AA159" s="654" t="s">
        <v>1573</v>
      </c>
      <c r="AB159" s="654" t="s">
        <v>1574</v>
      </c>
      <c r="AC159" s="654" t="s">
        <v>1575</v>
      </c>
      <c r="AD159" s="654" t="s">
        <v>1576</v>
      </c>
      <c r="AE159" s="654" t="s">
        <v>1577</v>
      </c>
      <c r="AF159" s="654" t="s">
        <v>1578</v>
      </c>
      <c r="AG159" s="654" t="s">
        <v>1579</v>
      </c>
      <c r="AH159" s="654" t="s">
        <v>1580</v>
      </c>
      <c r="AI159" s="654" t="s">
        <v>1581</v>
      </c>
      <c r="AJ159" s="654" t="s">
        <v>1582</v>
      </c>
      <c r="AK159" s="654" t="s">
        <v>1583</v>
      </c>
      <c r="AL159" s="654" t="s">
        <v>1584</v>
      </c>
      <c r="AM159" s="654" t="s">
        <v>1585</v>
      </c>
      <c r="AN159" s="654" t="s">
        <v>1586</v>
      </c>
      <c r="AO159" s="654" t="s">
        <v>1587</v>
      </c>
      <c r="AP159" s="654" t="s">
        <v>1588</v>
      </c>
      <c r="AQ159" s="654" t="s">
        <v>1589</v>
      </c>
      <c r="AR159" s="630" t="s">
        <v>1590</v>
      </c>
      <c r="AS159" s="632" t="s">
        <v>1591</v>
      </c>
      <c r="AT159" s="630" t="s">
        <v>1592</v>
      </c>
      <c r="AU159" s="628" t="s">
        <v>1593</v>
      </c>
      <c r="AV159" s="629" t="s">
        <v>1594</v>
      </c>
      <c r="AW159" s="1513" t="str">
        <f t="shared" si="175"/>
        <v xml:space="preserve"> * La variable Pueblos Originarios / hombres  no debe ser mayor que el Total de Hombres. * La variable Pueblos Originarios/ Mujeres no debe ser mayor que el Total de Mujeres * La variable Migrantes / hombres  no debe ser mayor que el Total de Hombres * La variable Migrantes / Mujeres no debe ser mayor que el Total de Mujeres</v>
      </c>
      <c r="AX159" s="178"/>
      <c r="AY159" s="178"/>
      <c r="AZ159" s="178"/>
      <c r="BA159" s="178"/>
      <c r="BS159" s="960"/>
      <c r="BT159" s="960"/>
      <c r="BU159" s="960"/>
      <c r="BV159" s="960"/>
      <c r="CB159" s="354"/>
      <c r="CC159" s="348" t="str">
        <f t="shared" si="176"/>
        <v xml:space="preserve"> * La variable Pueblos Originarios / hombres  no debe ser mayor que el Total de Hombres.</v>
      </c>
      <c r="CD159" s="348" t="str">
        <f t="shared" si="177"/>
        <v xml:space="preserve"> * La variable Pueblos Originarios/ Mujeres no debe ser mayor que el Total de Mujeres</v>
      </c>
      <c r="CE159" s="348" t="str">
        <f t="shared" si="178"/>
        <v xml:space="preserve"> * La variable Migrantes / hombres  no debe ser mayor que el Total de Hombres</v>
      </c>
      <c r="CF159" s="348" t="str">
        <f t="shared" si="179"/>
        <v xml:space="preserve"> * La variable Migrantes / Mujeres no debe ser mayor que el Total de Mujeres</v>
      </c>
      <c r="CG159" s="354"/>
      <c r="CH159" s="354"/>
      <c r="CI159" s="354"/>
      <c r="CJ159" s="354"/>
      <c r="CK159" s="354"/>
      <c r="CL159" s="354"/>
      <c r="CM159" s="306"/>
      <c r="CN159" s="306"/>
      <c r="CO159" s="306"/>
      <c r="CP159" s="306"/>
      <c r="CQ159" s="306"/>
      <c r="CR159" s="306"/>
      <c r="CS159" s="306"/>
      <c r="CT159" s="306"/>
      <c r="CU159" s="306"/>
      <c r="CV159" s="306"/>
      <c r="CW159" s="306"/>
      <c r="CX159" s="306"/>
      <c r="CY159" s="306"/>
      <c r="CZ159" s="306"/>
      <c r="DA159" s="306"/>
      <c r="DB159" s="306"/>
      <c r="DC159" s="352"/>
      <c r="DD159" s="352"/>
      <c r="DE159" s="352"/>
      <c r="DF159" s="352"/>
      <c r="DG159" s="352">
        <f t="shared" si="180"/>
        <v>1</v>
      </c>
      <c r="DH159" s="352">
        <f t="shared" si="181"/>
        <v>1</v>
      </c>
      <c r="DI159" s="352">
        <f t="shared" si="182"/>
        <v>1</v>
      </c>
      <c r="DJ159" s="352">
        <f t="shared" si="183"/>
        <v>1</v>
      </c>
      <c r="DK159" s="352"/>
      <c r="DL159" s="352"/>
      <c r="DM159" s="352"/>
      <c r="DN159" s="352"/>
      <c r="DO159" s="352"/>
      <c r="DP159" s="352"/>
      <c r="DQ159" s="352"/>
      <c r="DR159" s="352"/>
      <c r="DS159" s="352"/>
      <c r="DT159" s="352"/>
      <c r="DU159" s="352"/>
      <c r="DV159" s="352"/>
      <c r="DW159" s="352"/>
    </row>
    <row r="160" spans="1:127" ht="15.75" customHeight="1" x14ac:dyDescent="0.3">
      <c r="A160" s="1641" t="s">
        <v>1096</v>
      </c>
      <c r="B160" s="2000" t="s">
        <v>785</v>
      </c>
      <c r="C160" s="2001" t="s">
        <v>785</v>
      </c>
      <c r="D160" s="642" t="s">
        <v>1550</v>
      </c>
      <c r="E160" s="1227" t="s">
        <v>1551</v>
      </c>
      <c r="F160" s="1428" t="s">
        <v>1552</v>
      </c>
      <c r="G160" s="631" t="s">
        <v>1553</v>
      </c>
      <c r="H160" s="654" t="s">
        <v>1554</v>
      </c>
      <c r="I160" s="654" t="s">
        <v>1555</v>
      </c>
      <c r="J160" s="654" t="s">
        <v>1556</v>
      </c>
      <c r="K160" s="654" t="s">
        <v>1557</v>
      </c>
      <c r="L160" s="654" t="s">
        <v>1558</v>
      </c>
      <c r="M160" s="654" t="s">
        <v>1559</v>
      </c>
      <c r="N160" s="654" t="s">
        <v>1560</v>
      </c>
      <c r="O160" s="654" t="s">
        <v>1561</v>
      </c>
      <c r="P160" s="654" t="s">
        <v>1562</v>
      </c>
      <c r="Q160" s="654" t="s">
        <v>1563</v>
      </c>
      <c r="R160" s="654" t="s">
        <v>1564</v>
      </c>
      <c r="S160" s="654" t="s">
        <v>1565</v>
      </c>
      <c r="T160" s="654" t="s">
        <v>1566</v>
      </c>
      <c r="U160" s="654" t="s">
        <v>1567</v>
      </c>
      <c r="V160" s="654" t="s">
        <v>1568</v>
      </c>
      <c r="W160" s="654" t="s">
        <v>1569</v>
      </c>
      <c r="X160" s="654" t="s">
        <v>1570</v>
      </c>
      <c r="Y160" s="654" t="s">
        <v>1571</v>
      </c>
      <c r="Z160" s="654" t="s">
        <v>1572</v>
      </c>
      <c r="AA160" s="654" t="s">
        <v>1573</v>
      </c>
      <c r="AB160" s="654" t="s">
        <v>1574</v>
      </c>
      <c r="AC160" s="654" t="s">
        <v>1575</v>
      </c>
      <c r="AD160" s="654" t="s">
        <v>1576</v>
      </c>
      <c r="AE160" s="654" t="s">
        <v>1577</v>
      </c>
      <c r="AF160" s="654" t="s">
        <v>1578</v>
      </c>
      <c r="AG160" s="654" t="s">
        <v>1579</v>
      </c>
      <c r="AH160" s="654" t="s">
        <v>1580</v>
      </c>
      <c r="AI160" s="654" t="s">
        <v>1581</v>
      </c>
      <c r="AJ160" s="654" t="s">
        <v>1582</v>
      </c>
      <c r="AK160" s="654" t="s">
        <v>1583</v>
      </c>
      <c r="AL160" s="654" t="s">
        <v>1584</v>
      </c>
      <c r="AM160" s="654" t="s">
        <v>1585</v>
      </c>
      <c r="AN160" s="654" t="s">
        <v>1586</v>
      </c>
      <c r="AO160" s="654" t="s">
        <v>1587</v>
      </c>
      <c r="AP160" s="654" t="s">
        <v>1588</v>
      </c>
      <c r="AQ160" s="654" t="s">
        <v>1589</v>
      </c>
      <c r="AR160" s="630" t="s">
        <v>1590</v>
      </c>
      <c r="AS160" s="632" t="s">
        <v>1591</v>
      </c>
      <c r="AT160" s="630" t="s">
        <v>1592</v>
      </c>
      <c r="AU160" s="628" t="s">
        <v>1593</v>
      </c>
      <c r="AV160" s="629" t="s">
        <v>1594</v>
      </c>
      <c r="AW160" s="1513" t="str">
        <f t="shared" si="175"/>
        <v xml:space="preserve"> * La variable Pueblos Originarios / hombres  no debe ser mayor que el Total de Hombres. * La variable Pueblos Originarios/ Mujeres no debe ser mayor que el Total de Mujeres * La variable Migrantes / hombres  no debe ser mayor que el Total de Hombres * La variable Migrantes / Mujeres no debe ser mayor que el Total de Mujeres</v>
      </c>
      <c r="CB160" s="354"/>
      <c r="CC160" s="348" t="str">
        <f t="shared" si="176"/>
        <v xml:space="preserve"> * La variable Pueblos Originarios / hombres  no debe ser mayor que el Total de Hombres.</v>
      </c>
      <c r="CD160" s="348" t="str">
        <f t="shared" si="177"/>
        <v xml:space="preserve"> * La variable Pueblos Originarios/ Mujeres no debe ser mayor que el Total de Mujeres</v>
      </c>
      <c r="CE160" s="348" t="str">
        <f t="shared" si="178"/>
        <v xml:space="preserve"> * La variable Migrantes / hombres  no debe ser mayor que el Total de Hombres</v>
      </c>
      <c r="CF160" s="348" t="str">
        <f t="shared" si="179"/>
        <v xml:space="preserve"> * La variable Migrantes / Mujeres no debe ser mayor que el Total de Mujeres</v>
      </c>
      <c r="CG160" s="354"/>
      <c r="CH160" s="354"/>
      <c r="CI160" s="354"/>
      <c r="CJ160" s="354"/>
      <c r="CK160" s="354"/>
      <c r="CL160" s="354"/>
      <c r="CM160" s="306"/>
      <c r="CN160" s="306"/>
      <c r="CO160" s="306"/>
      <c r="CP160" s="306"/>
      <c r="CQ160" s="306"/>
      <c r="CR160" s="306"/>
      <c r="CS160" s="306"/>
      <c r="CT160" s="306"/>
      <c r="CU160" s="306"/>
      <c r="CV160" s="306"/>
      <c r="CW160" s="306"/>
      <c r="CX160" s="306"/>
      <c r="CY160" s="306"/>
      <c r="CZ160" s="306"/>
      <c r="DA160" s="306"/>
      <c r="DB160" s="306"/>
      <c r="DC160" s="352"/>
      <c r="DD160" s="352"/>
      <c r="DE160" s="352"/>
      <c r="DF160" s="352"/>
      <c r="DG160" s="352">
        <f t="shared" si="180"/>
        <v>1</v>
      </c>
      <c r="DH160" s="352">
        <f t="shared" si="181"/>
        <v>1</v>
      </c>
      <c r="DI160" s="352">
        <f t="shared" si="182"/>
        <v>1</v>
      </c>
      <c r="DJ160" s="352">
        <f t="shared" si="183"/>
        <v>1</v>
      </c>
      <c r="DK160" s="354"/>
      <c r="DL160" s="354"/>
      <c r="DM160" s="352"/>
      <c r="DN160" s="352"/>
      <c r="DO160" s="352"/>
      <c r="DP160" s="352"/>
      <c r="DQ160" s="352"/>
      <c r="DR160" s="352"/>
      <c r="DS160" s="352"/>
      <c r="DT160" s="352"/>
      <c r="DU160" s="352"/>
      <c r="DV160" s="352"/>
      <c r="DW160" s="352"/>
    </row>
    <row r="161" spans="1:127" s="434" customFormat="1" ht="16.5" customHeight="1" x14ac:dyDescent="0.25">
      <c r="A161" s="1641" t="s">
        <v>1097</v>
      </c>
      <c r="B161" s="2000" t="s">
        <v>761</v>
      </c>
      <c r="C161" s="2001" t="s">
        <v>761</v>
      </c>
      <c r="D161" s="1124" t="s">
        <v>1550</v>
      </c>
      <c r="E161" s="1242" t="s">
        <v>1551</v>
      </c>
      <c r="F161" s="1429" t="s">
        <v>1552</v>
      </c>
      <c r="G161" s="1426" t="s">
        <v>1553</v>
      </c>
      <c r="H161" s="1243" t="s">
        <v>1554</v>
      </c>
      <c r="I161" s="1243" t="s">
        <v>1555</v>
      </c>
      <c r="J161" s="1243" t="s">
        <v>1556</v>
      </c>
      <c r="K161" s="1243" t="s">
        <v>1557</v>
      </c>
      <c r="L161" s="1243" t="s">
        <v>1558</v>
      </c>
      <c r="M161" s="1243" t="s">
        <v>1559</v>
      </c>
      <c r="N161" s="1243" t="s">
        <v>1560</v>
      </c>
      <c r="O161" s="1243" t="s">
        <v>1561</v>
      </c>
      <c r="P161" s="1243" t="s">
        <v>1562</v>
      </c>
      <c r="Q161" s="1243" t="s">
        <v>1563</v>
      </c>
      <c r="R161" s="1243" t="s">
        <v>1564</v>
      </c>
      <c r="S161" s="1243" t="s">
        <v>1565</v>
      </c>
      <c r="T161" s="1243" t="s">
        <v>1566</v>
      </c>
      <c r="U161" s="1243" t="s">
        <v>1567</v>
      </c>
      <c r="V161" s="1243" t="s">
        <v>1568</v>
      </c>
      <c r="W161" s="1243" t="s">
        <v>1569</v>
      </c>
      <c r="X161" s="1243" t="s">
        <v>1570</v>
      </c>
      <c r="Y161" s="1243" t="s">
        <v>1571</v>
      </c>
      <c r="Z161" s="1243" t="s">
        <v>1572</v>
      </c>
      <c r="AA161" s="1243" t="s">
        <v>1573</v>
      </c>
      <c r="AB161" s="1243" t="s">
        <v>1574</v>
      </c>
      <c r="AC161" s="1243" t="s">
        <v>1575</v>
      </c>
      <c r="AD161" s="1243" t="s">
        <v>1576</v>
      </c>
      <c r="AE161" s="1243" t="s">
        <v>1577</v>
      </c>
      <c r="AF161" s="1243" t="s">
        <v>1578</v>
      </c>
      <c r="AG161" s="1243" t="s">
        <v>1579</v>
      </c>
      <c r="AH161" s="1243" t="s">
        <v>1580</v>
      </c>
      <c r="AI161" s="1243" t="s">
        <v>1581</v>
      </c>
      <c r="AJ161" s="1243" t="s">
        <v>1582</v>
      </c>
      <c r="AK161" s="1243" t="s">
        <v>1583</v>
      </c>
      <c r="AL161" s="1243" t="s">
        <v>1584</v>
      </c>
      <c r="AM161" s="1243" t="s">
        <v>1585</v>
      </c>
      <c r="AN161" s="1243" t="s">
        <v>1586</v>
      </c>
      <c r="AO161" s="1243" t="s">
        <v>1587</v>
      </c>
      <c r="AP161" s="1243" t="s">
        <v>1588</v>
      </c>
      <c r="AQ161" s="1243" t="s">
        <v>1589</v>
      </c>
      <c r="AR161" s="1324" t="s">
        <v>1590</v>
      </c>
      <c r="AS161" s="1244" t="s">
        <v>1591</v>
      </c>
      <c r="AT161" s="1324" t="s">
        <v>1592</v>
      </c>
      <c r="AU161" s="1523" t="s">
        <v>1593</v>
      </c>
      <c r="AV161" s="1245" t="s">
        <v>1594</v>
      </c>
      <c r="AW161" s="1513" t="str">
        <f t="shared" si="175"/>
        <v xml:space="preserve"> * La variable Pueblos Originarios / hombres  no debe ser mayor que el Total de Hombres. * La variable Pueblos Originarios/ Mujeres no debe ser mayor que el Total de Mujeres * La variable Migrantes / hombres  no debe ser mayor que el Total de Hombres * La variable Migrantes / Mujeres no debe ser mayor que el Total de Mujeres</v>
      </c>
      <c r="AX161" s="1246"/>
      <c r="AY161" s="1246"/>
      <c r="AZ161" s="1246"/>
      <c r="BA161" s="1246"/>
      <c r="BB161" s="1325"/>
      <c r="BC161" s="1325"/>
      <c r="BD161" s="1325"/>
      <c r="BE161" s="1325"/>
      <c r="BF161" s="1325"/>
      <c r="BG161" s="1325"/>
      <c r="BH161" s="1325"/>
      <c r="BI161" s="1325"/>
      <c r="BJ161" s="1325"/>
      <c r="BK161" s="1325"/>
      <c r="BL161" s="1325"/>
      <c r="BM161" s="1325"/>
      <c r="BN161" s="1325"/>
      <c r="BO161" s="1325"/>
      <c r="BP161" s="1325"/>
      <c r="BQ161" s="1325"/>
      <c r="BR161" s="1325"/>
      <c r="BS161" s="1325"/>
      <c r="BT161" s="1325"/>
      <c r="BU161" s="1325"/>
      <c r="BV161" s="1325"/>
      <c r="CB161" s="896"/>
      <c r="CC161" s="348" t="str">
        <f t="shared" si="176"/>
        <v xml:space="preserve"> * La variable Pueblos Originarios / hombres  no debe ser mayor que el Total de Hombres.</v>
      </c>
      <c r="CD161" s="348" t="str">
        <f t="shared" si="177"/>
        <v xml:space="preserve"> * La variable Pueblos Originarios/ Mujeres no debe ser mayor que el Total de Mujeres</v>
      </c>
      <c r="CE161" s="348" t="str">
        <f t="shared" si="178"/>
        <v xml:space="preserve"> * La variable Migrantes / hombres  no debe ser mayor que el Total de Hombres</v>
      </c>
      <c r="CF161" s="348" t="str">
        <f t="shared" si="179"/>
        <v xml:space="preserve"> * La variable Migrantes / Mujeres no debe ser mayor que el Total de Mujeres</v>
      </c>
      <c r="CG161" s="896"/>
      <c r="CH161" s="896"/>
      <c r="CI161" s="896"/>
      <c r="CJ161" s="896"/>
      <c r="CK161" s="896"/>
      <c r="CL161" s="896"/>
      <c r="CM161" s="1247"/>
      <c r="CN161" s="1247"/>
      <c r="CO161" s="1247"/>
      <c r="CP161" s="1247"/>
      <c r="CQ161" s="1247"/>
      <c r="CR161" s="1247"/>
      <c r="CS161" s="1247"/>
      <c r="CT161" s="1247"/>
      <c r="CU161" s="1247"/>
      <c r="CV161" s="1247"/>
      <c r="CW161" s="1247"/>
      <c r="CX161" s="1247"/>
      <c r="CY161" s="1247"/>
      <c r="CZ161" s="1247"/>
      <c r="DA161" s="1247"/>
      <c r="DB161" s="1247"/>
      <c r="DC161" s="352"/>
      <c r="DD161" s="352"/>
      <c r="DE161" s="352"/>
      <c r="DF161" s="352"/>
      <c r="DG161" s="352">
        <f t="shared" si="180"/>
        <v>1</v>
      </c>
      <c r="DH161" s="352">
        <f t="shared" si="181"/>
        <v>1</v>
      </c>
      <c r="DI161" s="352">
        <f t="shared" si="182"/>
        <v>1</v>
      </c>
      <c r="DJ161" s="352">
        <f t="shared" si="183"/>
        <v>1</v>
      </c>
      <c r="DK161" s="897"/>
      <c r="DL161" s="897"/>
      <c r="DM161" s="897"/>
      <c r="DN161" s="897"/>
      <c r="DO161" s="897"/>
      <c r="DP161" s="897"/>
      <c r="DQ161" s="897"/>
      <c r="DR161" s="897"/>
      <c r="DS161" s="897"/>
      <c r="DT161" s="897"/>
      <c r="DU161" s="897"/>
      <c r="DV161" s="897"/>
      <c r="DW161" s="897"/>
    </row>
    <row r="162" spans="1:127" ht="16.5" customHeight="1" x14ac:dyDescent="0.3">
      <c r="A162" s="1641" t="s">
        <v>1098</v>
      </c>
      <c r="B162" s="2000" t="s">
        <v>754</v>
      </c>
      <c r="C162" s="2001"/>
      <c r="D162" s="1124" t="s">
        <v>1550</v>
      </c>
      <c r="E162" s="1227" t="s">
        <v>1551</v>
      </c>
      <c r="F162" s="1428" t="s">
        <v>1552</v>
      </c>
      <c r="G162" s="631" t="s">
        <v>1553</v>
      </c>
      <c r="H162" s="654" t="s">
        <v>1554</v>
      </c>
      <c r="I162" s="654" t="s">
        <v>1555</v>
      </c>
      <c r="J162" s="654" t="s">
        <v>1556</v>
      </c>
      <c r="K162" s="654" t="s">
        <v>1557</v>
      </c>
      <c r="L162" s="654" t="s">
        <v>1558</v>
      </c>
      <c r="M162" s="654" t="s">
        <v>1559</v>
      </c>
      <c r="N162" s="654" t="s">
        <v>1560</v>
      </c>
      <c r="O162" s="654" t="s">
        <v>1561</v>
      </c>
      <c r="P162" s="654" t="s">
        <v>1562</v>
      </c>
      <c r="Q162" s="654" t="s">
        <v>1563</v>
      </c>
      <c r="R162" s="654" t="s">
        <v>1564</v>
      </c>
      <c r="S162" s="654" t="s">
        <v>1565</v>
      </c>
      <c r="T162" s="654" t="s">
        <v>1566</v>
      </c>
      <c r="U162" s="654" t="s">
        <v>1567</v>
      </c>
      <c r="V162" s="654" t="s">
        <v>1568</v>
      </c>
      <c r="W162" s="654" t="s">
        <v>1569</v>
      </c>
      <c r="X162" s="654" t="s">
        <v>1570</v>
      </c>
      <c r="Y162" s="654" t="s">
        <v>1571</v>
      </c>
      <c r="Z162" s="654" t="s">
        <v>1572</v>
      </c>
      <c r="AA162" s="654" t="s">
        <v>1573</v>
      </c>
      <c r="AB162" s="654" t="s">
        <v>1574</v>
      </c>
      <c r="AC162" s="654" t="s">
        <v>1575</v>
      </c>
      <c r="AD162" s="654" t="s">
        <v>1576</v>
      </c>
      <c r="AE162" s="654" t="s">
        <v>1577</v>
      </c>
      <c r="AF162" s="654" t="s">
        <v>1578</v>
      </c>
      <c r="AG162" s="654" t="s">
        <v>1579</v>
      </c>
      <c r="AH162" s="654" t="s">
        <v>1580</v>
      </c>
      <c r="AI162" s="654" t="s">
        <v>1581</v>
      </c>
      <c r="AJ162" s="654" t="s">
        <v>1582</v>
      </c>
      <c r="AK162" s="654" t="s">
        <v>1583</v>
      </c>
      <c r="AL162" s="654" t="s">
        <v>1584</v>
      </c>
      <c r="AM162" s="654" t="s">
        <v>1585</v>
      </c>
      <c r="AN162" s="654" t="s">
        <v>1586</v>
      </c>
      <c r="AO162" s="654" t="s">
        <v>1587</v>
      </c>
      <c r="AP162" s="654" t="s">
        <v>1588</v>
      </c>
      <c r="AQ162" s="654" t="s">
        <v>1589</v>
      </c>
      <c r="AR162" s="630" t="s">
        <v>1590</v>
      </c>
      <c r="AS162" s="632" t="s">
        <v>1591</v>
      </c>
      <c r="AT162" s="630" t="s">
        <v>1592</v>
      </c>
      <c r="AU162" s="628" t="s">
        <v>1593</v>
      </c>
      <c r="AV162" s="629" t="s">
        <v>1594</v>
      </c>
      <c r="AW162" s="1513" t="str">
        <f t="shared" si="175"/>
        <v xml:space="preserve"> * La variable Pueblos Originarios / hombres  no debe ser mayor que el Total de Hombres. * La variable Pueblos Originarios/ Mujeres no debe ser mayor que el Total de Mujeres * La variable Migrantes / hombres  no debe ser mayor que el Total de Hombres * La variable Migrantes / Mujeres no debe ser mayor que el Total de Mujeres</v>
      </c>
      <c r="AX162" s="178"/>
      <c r="AY162" s="178"/>
      <c r="AZ162" s="178"/>
      <c r="BA162" s="178"/>
      <c r="BS162" s="960"/>
      <c r="BT162" s="960"/>
      <c r="BU162" s="960"/>
      <c r="BV162" s="960"/>
      <c r="CB162" s="354"/>
      <c r="CC162" s="348" t="str">
        <f t="shared" si="176"/>
        <v xml:space="preserve"> * La variable Pueblos Originarios / hombres  no debe ser mayor que el Total de Hombres.</v>
      </c>
      <c r="CD162" s="348" t="str">
        <f t="shared" si="177"/>
        <v xml:space="preserve"> * La variable Pueblos Originarios/ Mujeres no debe ser mayor que el Total de Mujeres</v>
      </c>
      <c r="CE162" s="348" t="str">
        <f t="shared" si="178"/>
        <v xml:space="preserve"> * La variable Migrantes / hombres  no debe ser mayor que el Total de Hombres</v>
      </c>
      <c r="CF162" s="348" t="str">
        <f t="shared" si="179"/>
        <v xml:space="preserve"> * La variable Migrantes / Mujeres no debe ser mayor que el Total de Mujeres</v>
      </c>
      <c r="CG162" s="354"/>
      <c r="CH162" s="354"/>
      <c r="CI162" s="354"/>
      <c r="CJ162" s="354"/>
      <c r="CK162" s="354"/>
      <c r="CL162" s="354"/>
      <c r="CM162" s="306"/>
      <c r="CN162" s="306"/>
      <c r="CO162" s="306"/>
      <c r="CP162" s="306"/>
      <c r="CQ162" s="306"/>
      <c r="CR162" s="306"/>
      <c r="CS162" s="306"/>
      <c r="CT162" s="306"/>
      <c r="CU162" s="306"/>
      <c r="CV162" s="306"/>
      <c r="CW162" s="306"/>
      <c r="CX162" s="306"/>
      <c r="CY162" s="306"/>
      <c r="CZ162" s="306"/>
      <c r="DA162" s="306"/>
      <c r="DB162" s="306"/>
      <c r="DC162" s="352"/>
      <c r="DD162" s="352"/>
      <c r="DE162" s="352"/>
      <c r="DF162" s="352"/>
      <c r="DG162" s="352">
        <f t="shared" si="180"/>
        <v>1</v>
      </c>
      <c r="DH162" s="352">
        <f t="shared" si="181"/>
        <v>1</v>
      </c>
      <c r="DI162" s="352">
        <f t="shared" si="182"/>
        <v>1</v>
      </c>
      <c r="DJ162" s="352">
        <f t="shared" si="183"/>
        <v>1</v>
      </c>
      <c r="DK162" s="352"/>
      <c r="DL162" s="352"/>
      <c r="DM162" s="352"/>
      <c r="DN162" s="352"/>
      <c r="DO162" s="352"/>
      <c r="DP162" s="352"/>
      <c r="DQ162" s="352"/>
      <c r="DR162" s="352"/>
      <c r="DS162" s="352"/>
      <c r="DT162" s="352"/>
      <c r="DU162" s="352"/>
      <c r="DV162" s="352"/>
      <c r="DW162" s="352"/>
    </row>
    <row r="163" spans="1:127" s="434" customFormat="1" ht="16.5" customHeight="1" x14ac:dyDescent="0.25">
      <c r="A163" s="1641" t="s">
        <v>1099</v>
      </c>
      <c r="B163" s="2000" t="s">
        <v>778</v>
      </c>
      <c r="C163" s="2001" t="s">
        <v>778</v>
      </c>
      <c r="D163" s="1124" t="s">
        <v>1550</v>
      </c>
      <c r="E163" s="1242" t="s">
        <v>1551</v>
      </c>
      <c r="F163" s="1429" t="s">
        <v>1552</v>
      </c>
      <c r="G163" s="1426" t="s">
        <v>1553</v>
      </c>
      <c r="H163" s="1243" t="s">
        <v>1554</v>
      </c>
      <c r="I163" s="1243" t="s">
        <v>1555</v>
      </c>
      <c r="J163" s="1243" t="s">
        <v>1556</v>
      </c>
      <c r="K163" s="1243" t="s">
        <v>1557</v>
      </c>
      <c r="L163" s="1243" t="s">
        <v>1558</v>
      </c>
      <c r="M163" s="1243" t="s">
        <v>1559</v>
      </c>
      <c r="N163" s="1243" t="s">
        <v>1560</v>
      </c>
      <c r="O163" s="1243" t="s">
        <v>1561</v>
      </c>
      <c r="P163" s="1243" t="s">
        <v>1562</v>
      </c>
      <c r="Q163" s="1243" t="s">
        <v>1563</v>
      </c>
      <c r="R163" s="1243" t="s">
        <v>1564</v>
      </c>
      <c r="S163" s="1243" t="s">
        <v>1565</v>
      </c>
      <c r="T163" s="1243" t="s">
        <v>1566</v>
      </c>
      <c r="U163" s="1243" t="s">
        <v>1567</v>
      </c>
      <c r="V163" s="1243" t="s">
        <v>1568</v>
      </c>
      <c r="W163" s="1243" t="s">
        <v>1569</v>
      </c>
      <c r="X163" s="1243" t="s">
        <v>1570</v>
      </c>
      <c r="Y163" s="1243" t="s">
        <v>1571</v>
      </c>
      <c r="Z163" s="1243" t="s">
        <v>1572</v>
      </c>
      <c r="AA163" s="1243" t="s">
        <v>1573</v>
      </c>
      <c r="AB163" s="1243" t="s">
        <v>1574</v>
      </c>
      <c r="AC163" s="1243" t="s">
        <v>1575</v>
      </c>
      <c r="AD163" s="1243" t="s">
        <v>1576</v>
      </c>
      <c r="AE163" s="1243" t="s">
        <v>1577</v>
      </c>
      <c r="AF163" s="1243" t="s">
        <v>1578</v>
      </c>
      <c r="AG163" s="1243" t="s">
        <v>1579</v>
      </c>
      <c r="AH163" s="1243" t="s">
        <v>1580</v>
      </c>
      <c r="AI163" s="1243" t="s">
        <v>1581</v>
      </c>
      <c r="AJ163" s="1243" t="s">
        <v>1582</v>
      </c>
      <c r="AK163" s="1243" t="s">
        <v>1583</v>
      </c>
      <c r="AL163" s="1243" t="s">
        <v>1584</v>
      </c>
      <c r="AM163" s="1243" t="s">
        <v>1585</v>
      </c>
      <c r="AN163" s="1243" t="s">
        <v>1586</v>
      </c>
      <c r="AO163" s="1243" t="s">
        <v>1587</v>
      </c>
      <c r="AP163" s="1243" t="s">
        <v>1588</v>
      </c>
      <c r="AQ163" s="1243" t="s">
        <v>1589</v>
      </c>
      <c r="AR163" s="1324" t="s">
        <v>1590</v>
      </c>
      <c r="AS163" s="1244" t="s">
        <v>1591</v>
      </c>
      <c r="AT163" s="1324" t="s">
        <v>1592</v>
      </c>
      <c r="AU163" s="1523" t="s">
        <v>1593</v>
      </c>
      <c r="AV163" s="1245" t="s">
        <v>1594</v>
      </c>
      <c r="AW163" s="1513" t="str">
        <f t="shared" si="175"/>
        <v xml:space="preserve"> * La variable Pueblos Originarios / hombres  no debe ser mayor que el Total de Hombres. * La variable Pueblos Originarios/ Mujeres no debe ser mayor que el Total de Mujeres * La variable Migrantes / hombres  no debe ser mayor que el Total de Hombres * La variable Migrantes / Mujeres no debe ser mayor que el Total de Mujeres</v>
      </c>
      <c r="AX163" s="1246"/>
      <c r="AY163" s="1246"/>
      <c r="AZ163" s="1246"/>
      <c r="BA163" s="1246"/>
      <c r="BB163" s="1325"/>
      <c r="BC163" s="1325"/>
      <c r="BD163" s="1325"/>
      <c r="BE163" s="1325"/>
      <c r="BF163" s="1325"/>
      <c r="BG163" s="1325"/>
      <c r="BH163" s="1325"/>
      <c r="BI163" s="1325"/>
      <c r="BJ163" s="1325"/>
      <c r="BK163" s="1325"/>
      <c r="BL163" s="1325"/>
      <c r="BM163" s="1325"/>
      <c r="BN163" s="1325"/>
      <c r="BO163" s="1325"/>
      <c r="BP163" s="1325"/>
      <c r="BQ163" s="1325"/>
      <c r="BR163" s="1325"/>
      <c r="BS163" s="1325"/>
      <c r="BT163" s="1325"/>
      <c r="BU163" s="1325"/>
      <c r="BV163" s="1325"/>
      <c r="CB163" s="896"/>
      <c r="CC163" s="348" t="str">
        <f t="shared" si="176"/>
        <v xml:space="preserve"> * La variable Pueblos Originarios / hombres  no debe ser mayor que el Total de Hombres.</v>
      </c>
      <c r="CD163" s="348" t="str">
        <f t="shared" si="177"/>
        <v xml:space="preserve"> * La variable Pueblos Originarios/ Mujeres no debe ser mayor que el Total de Mujeres</v>
      </c>
      <c r="CE163" s="348" t="str">
        <f t="shared" si="178"/>
        <v xml:space="preserve"> * La variable Migrantes / hombres  no debe ser mayor que el Total de Hombres</v>
      </c>
      <c r="CF163" s="348" t="str">
        <f t="shared" si="179"/>
        <v xml:space="preserve"> * La variable Migrantes / Mujeres no debe ser mayor que el Total de Mujeres</v>
      </c>
      <c r="CG163" s="896"/>
      <c r="CH163" s="896"/>
      <c r="CI163" s="896"/>
      <c r="CJ163" s="896"/>
      <c r="CK163" s="896"/>
      <c r="CL163" s="896"/>
      <c r="CM163" s="1247"/>
      <c r="CN163" s="1247"/>
      <c r="CO163" s="1247"/>
      <c r="CP163" s="1247"/>
      <c r="CQ163" s="1247"/>
      <c r="CR163" s="1247"/>
      <c r="CS163" s="1247"/>
      <c r="CT163" s="1247"/>
      <c r="CU163" s="1247"/>
      <c r="CV163" s="1247"/>
      <c r="CW163" s="1247"/>
      <c r="CX163" s="1247"/>
      <c r="CY163" s="1247"/>
      <c r="CZ163" s="1247"/>
      <c r="DA163" s="1247"/>
      <c r="DB163" s="1247"/>
      <c r="DC163" s="352"/>
      <c r="DD163" s="352"/>
      <c r="DE163" s="352"/>
      <c r="DF163" s="352"/>
      <c r="DG163" s="352">
        <f t="shared" si="180"/>
        <v>1</v>
      </c>
      <c r="DH163" s="352">
        <f t="shared" si="181"/>
        <v>1</v>
      </c>
      <c r="DI163" s="352">
        <f t="shared" si="182"/>
        <v>1</v>
      </c>
      <c r="DJ163" s="352">
        <f t="shared" si="183"/>
        <v>1</v>
      </c>
      <c r="DK163" s="897"/>
      <c r="DL163" s="897"/>
      <c r="DM163" s="897"/>
      <c r="DN163" s="897"/>
      <c r="DO163" s="897"/>
      <c r="DP163" s="897"/>
      <c r="DQ163" s="897"/>
      <c r="DR163" s="897"/>
      <c r="DS163" s="897"/>
      <c r="DT163" s="897"/>
      <c r="DU163" s="897"/>
      <c r="DV163" s="897"/>
      <c r="DW163" s="897"/>
    </row>
    <row r="164" spans="1:127" ht="15" customHeight="1" x14ac:dyDescent="0.3">
      <c r="A164" s="1641" t="s">
        <v>1100</v>
      </c>
      <c r="B164" s="2000" t="s">
        <v>788</v>
      </c>
      <c r="C164" s="2001" t="s">
        <v>788</v>
      </c>
      <c r="D164" s="642" t="s">
        <v>1550</v>
      </c>
      <c r="E164" s="1227" t="s">
        <v>1551</v>
      </c>
      <c r="F164" s="1428" t="s">
        <v>1552</v>
      </c>
      <c r="G164" s="631" t="s">
        <v>1553</v>
      </c>
      <c r="H164" s="654" t="s">
        <v>1554</v>
      </c>
      <c r="I164" s="654" t="s">
        <v>1555</v>
      </c>
      <c r="J164" s="654" t="s">
        <v>1556</v>
      </c>
      <c r="K164" s="654" t="s">
        <v>1557</v>
      </c>
      <c r="L164" s="654" t="s">
        <v>1558</v>
      </c>
      <c r="M164" s="654" t="s">
        <v>1559</v>
      </c>
      <c r="N164" s="654" t="s">
        <v>1560</v>
      </c>
      <c r="O164" s="654" t="s">
        <v>1561</v>
      </c>
      <c r="P164" s="654" t="s">
        <v>1562</v>
      </c>
      <c r="Q164" s="654" t="s">
        <v>1563</v>
      </c>
      <c r="R164" s="654" t="s">
        <v>1564</v>
      </c>
      <c r="S164" s="654" t="s">
        <v>1565</v>
      </c>
      <c r="T164" s="654" t="s">
        <v>1566</v>
      </c>
      <c r="U164" s="654" t="s">
        <v>1567</v>
      </c>
      <c r="V164" s="654" t="s">
        <v>1568</v>
      </c>
      <c r="W164" s="654" t="s">
        <v>1569</v>
      </c>
      <c r="X164" s="654" t="s">
        <v>1570</v>
      </c>
      <c r="Y164" s="654" t="s">
        <v>1571</v>
      </c>
      <c r="Z164" s="654" t="s">
        <v>1572</v>
      </c>
      <c r="AA164" s="654" t="s">
        <v>1573</v>
      </c>
      <c r="AB164" s="654" t="s">
        <v>1574</v>
      </c>
      <c r="AC164" s="654" t="s">
        <v>1575</v>
      </c>
      <c r="AD164" s="654" t="s">
        <v>1576</v>
      </c>
      <c r="AE164" s="654" t="s">
        <v>1577</v>
      </c>
      <c r="AF164" s="654" t="s">
        <v>1578</v>
      </c>
      <c r="AG164" s="654" t="s">
        <v>1579</v>
      </c>
      <c r="AH164" s="654" t="s">
        <v>1580</v>
      </c>
      <c r="AI164" s="654" t="s">
        <v>1581</v>
      </c>
      <c r="AJ164" s="654" t="s">
        <v>1582</v>
      </c>
      <c r="AK164" s="654" t="s">
        <v>1583</v>
      </c>
      <c r="AL164" s="654" t="s">
        <v>1584</v>
      </c>
      <c r="AM164" s="654" t="s">
        <v>1585</v>
      </c>
      <c r="AN164" s="654" t="s">
        <v>1586</v>
      </c>
      <c r="AO164" s="654" t="s">
        <v>1587</v>
      </c>
      <c r="AP164" s="654" t="s">
        <v>1588</v>
      </c>
      <c r="AQ164" s="654" t="s">
        <v>1589</v>
      </c>
      <c r="AR164" s="630" t="s">
        <v>1590</v>
      </c>
      <c r="AS164" s="632" t="s">
        <v>1591</v>
      </c>
      <c r="AT164" s="630" t="s">
        <v>1592</v>
      </c>
      <c r="AU164" s="628" t="s">
        <v>1593</v>
      </c>
      <c r="AV164" s="629" t="s">
        <v>1594</v>
      </c>
      <c r="AW164" s="1513" t="str">
        <f t="shared" si="175"/>
        <v xml:space="preserve"> * La variable Pueblos Originarios / hombres  no debe ser mayor que el Total de Hombres. * La variable Pueblos Originarios/ Mujeres no debe ser mayor que el Total de Mujeres * La variable Migrantes / hombres  no debe ser mayor que el Total de Hombres * La variable Migrantes / Mujeres no debe ser mayor que el Total de Mujeres</v>
      </c>
      <c r="CB164" s="354"/>
      <c r="CC164" s="348" t="str">
        <f t="shared" si="176"/>
        <v xml:space="preserve"> * La variable Pueblos Originarios / hombres  no debe ser mayor que el Total de Hombres.</v>
      </c>
      <c r="CD164" s="348" t="str">
        <f t="shared" si="177"/>
        <v xml:space="preserve"> * La variable Pueblos Originarios/ Mujeres no debe ser mayor que el Total de Mujeres</v>
      </c>
      <c r="CE164" s="348" t="str">
        <f t="shared" si="178"/>
        <v xml:space="preserve"> * La variable Migrantes / hombres  no debe ser mayor que el Total de Hombres</v>
      </c>
      <c r="CF164" s="348" t="str">
        <f t="shared" si="179"/>
        <v xml:space="preserve"> * La variable Migrantes / Mujeres no debe ser mayor que el Total de Mujeres</v>
      </c>
      <c r="CG164" s="354"/>
      <c r="CH164" s="354"/>
      <c r="CI164" s="354"/>
      <c r="CJ164" s="354"/>
      <c r="CK164" s="354"/>
      <c r="CL164" s="354"/>
      <c r="CM164" s="306"/>
      <c r="CN164" s="306"/>
      <c r="CO164" s="306"/>
      <c r="CP164" s="306"/>
      <c r="CQ164" s="306"/>
      <c r="CR164" s="306"/>
      <c r="CS164" s="306"/>
      <c r="CT164" s="306"/>
      <c r="CU164" s="306"/>
      <c r="CV164" s="306"/>
      <c r="CW164" s="306"/>
      <c r="CX164" s="306"/>
      <c r="CY164" s="306"/>
      <c r="CZ164" s="306"/>
      <c r="DA164" s="306"/>
      <c r="DB164" s="306"/>
      <c r="DC164" s="352"/>
      <c r="DD164" s="352"/>
      <c r="DE164" s="352"/>
      <c r="DF164" s="352"/>
      <c r="DG164" s="352">
        <f t="shared" si="180"/>
        <v>1</v>
      </c>
      <c r="DH164" s="352">
        <f t="shared" si="181"/>
        <v>1</v>
      </c>
      <c r="DI164" s="352">
        <f t="shared" si="182"/>
        <v>1</v>
      </c>
      <c r="DJ164" s="352">
        <f t="shared" si="183"/>
        <v>1</v>
      </c>
      <c r="DK164" s="354"/>
      <c r="DL164" s="354"/>
      <c r="DM164" s="352"/>
      <c r="DN164" s="352"/>
      <c r="DO164" s="352"/>
      <c r="DP164" s="352"/>
      <c r="DQ164" s="352"/>
      <c r="DR164" s="352"/>
      <c r="DS164" s="352"/>
      <c r="DT164" s="352"/>
      <c r="DU164" s="352"/>
      <c r="DV164" s="352"/>
      <c r="DW164" s="352"/>
    </row>
    <row r="165" spans="1:127" ht="16.5" customHeight="1" x14ac:dyDescent="0.3">
      <c r="A165" s="1641" t="s">
        <v>1101</v>
      </c>
      <c r="B165" s="2000" t="s">
        <v>763</v>
      </c>
      <c r="C165" s="2001" t="s">
        <v>763</v>
      </c>
      <c r="D165" s="642" t="s">
        <v>1550</v>
      </c>
      <c r="E165" s="1227" t="s">
        <v>1551</v>
      </c>
      <c r="F165" s="1428" t="s">
        <v>1552</v>
      </c>
      <c r="G165" s="631" t="s">
        <v>1553</v>
      </c>
      <c r="H165" s="654" t="s">
        <v>1554</v>
      </c>
      <c r="I165" s="654" t="s">
        <v>1555</v>
      </c>
      <c r="J165" s="654" t="s">
        <v>1556</v>
      </c>
      <c r="K165" s="654" t="s">
        <v>1557</v>
      </c>
      <c r="L165" s="654" t="s">
        <v>1558</v>
      </c>
      <c r="M165" s="654" t="s">
        <v>1559</v>
      </c>
      <c r="N165" s="654" t="s">
        <v>1560</v>
      </c>
      <c r="O165" s="654" t="s">
        <v>1561</v>
      </c>
      <c r="P165" s="654" t="s">
        <v>1562</v>
      </c>
      <c r="Q165" s="654" t="s">
        <v>1563</v>
      </c>
      <c r="R165" s="654" t="s">
        <v>1564</v>
      </c>
      <c r="S165" s="654" t="s">
        <v>1565</v>
      </c>
      <c r="T165" s="654" t="s">
        <v>1566</v>
      </c>
      <c r="U165" s="654" t="s">
        <v>1567</v>
      </c>
      <c r="V165" s="654" t="s">
        <v>1568</v>
      </c>
      <c r="W165" s="654" t="s">
        <v>1569</v>
      </c>
      <c r="X165" s="654" t="s">
        <v>1570</v>
      </c>
      <c r="Y165" s="654" t="s">
        <v>1571</v>
      </c>
      <c r="Z165" s="654" t="s">
        <v>1572</v>
      </c>
      <c r="AA165" s="654" t="s">
        <v>1573</v>
      </c>
      <c r="AB165" s="654" t="s">
        <v>1574</v>
      </c>
      <c r="AC165" s="654" t="s">
        <v>1575</v>
      </c>
      <c r="AD165" s="654" t="s">
        <v>1576</v>
      </c>
      <c r="AE165" s="654" t="s">
        <v>1577</v>
      </c>
      <c r="AF165" s="654" t="s">
        <v>1578</v>
      </c>
      <c r="AG165" s="654" t="s">
        <v>1579</v>
      </c>
      <c r="AH165" s="654" t="s">
        <v>1580</v>
      </c>
      <c r="AI165" s="654" t="s">
        <v>1581</v>
      </c>
      <c r="AJ165" s="654" t="s">
        <v>1582</v>
      </c>
      <c r="AK165" s="654" t="s">
        <v>1583</v>
      </c>
      <c r="AL165" s="654" t="s">
        <v>1584</v>
      </c>
      <c r="AM165" s="654" t="s">
        <v>1585</v>
      </c>
      <c r="AN165" s="654" t="s">
        <v>1586</v>
      </c>
      <c r="AO165" s="654" t="s">
        <v>1587</v>
      </c>
      <c r="AP165" s="654" t="s">
        <v>1588</v>
      </c>
      <c r="AQ165" s="654" t="s">
        <v>1589</v>
      </c>
      <c r="AR165" s="630" t="s">
        <v>1590</v>
      </c>
      <c r="AS165" s="632" t="s">
        <v>1591</v>
      </c>
      <c r="AT165" s="630" t="s">
        <v>1592</v>
      </c>
      <c r="AU165" s="628" t="s">
        <v>1593</v>
      </c>
      <c r="AV165" s="629" t="s">
        <v>1594</v>
      </c>
      <c r="AW165" s="1513" t="str">
        <f t="shared" si="175"/>
        <v xml:space="preserve"> * La variable Pueblos Originarios / hombres  no debe ser mayor que el Total de Hombres. * La variable Pueblos Originarios/ Mujeres no debe ser mayor que el Total de Mujeres * La variable Migrantes / hombres  no debe ser mayor que el Total de Hombres * La variable Migrantes / Mujeres no debe ser mayor que el Total de Mujeres</v>
      </c>
      <c r="AX165" s="178"/>
      <c r="AY165" s="178"/>
      <c r="AZ165" s="178"/>
      <c r="BA165" s="178"/>
      <c r="BS165" s="960"/>
      <c r="BT165" s="960"/>
      <c r="BU165" s="960"/>
      <c r="BV165" s="960"/>
      <c r="CB165" s="354"/>
      <c r="CC165" s="348" t="str">
        <f t="shared" si="176"/>
        <v xml:space="preserve"> * La variable Pueblos Originarios / hombres  no debe ser mayor que el Total de Hombres.</v>
      </c>
      <c r="CD165" s="348" t="str">
        <f t="shared" si="177"/>
        <v xml:space="preserve"> * La variable Pueblos Originarios/ Mujeres no debe ser mayor que el Total de Mujeres</v>
      </c>
      <c r="CE165" s="348" t="str">
        <f t="shared" si="178"/>
        <v xml:space="preserve"> * La variable Migrantes / hombres  no debe ser mayor que el Total de Hombres</v>
      </c>
      <c r="CF165" s="348" t="str">
        <f t="shared" si="179"/>
        <v xml:space="preserve"> * La variable Migrantes / Mujeres no debe ser mayor que el Total de Mujeres</v>
      </c>
      <c r="CG165" s="354"/>
      <c r="CH165" s="354"/>
      <c r="CI165" s="354"/>
      <c r="CJ165" s="354"/>
      <c r="CK165" s="354"/>
      <c r="CL165" s="354"/>
      <c r="CM165" s="306"/>
      <c r="CN165" s="306"/>
      <c r="CO165" s="306"/>
      <c r="CP165" s="306"/>
      <c r="CQ165" s="306"/>
      <c r="CR165" s="306"/>
      <c r="CS165" s="306"/>
      <c r="CT165" s="306"/>
      <c r="CU165" s="306"/>
      <c r="CV165" s="306"/>
      <c r="CW165" s="306"/>
      <c r="CX165" s="306"/>
      <c r="CY165" s="306"/>
      <c r="CZ165" s="306"/>
      <c r="DA165" s="306"/>
      <c r="DB165" s="306"/>
      <c r="DC165" s="352"/>
      <c r="DD165" s="352"/>
      <c r="DE165" s="352"/>
      <c r="DF165" s="352"/>
      <c r="DG165" s="352">
        <f t="shared" si="180"/>
        <v>1</v>
      </c>
      <c r="DH165" s="352">
        <f t="shared" si="181"/>
        <v>1</v>
      </c>
      <c r="DI165" s="352">
        <f t="shared" si="182"/>
        <v>1</v>
      </c>
      <c r="DJ165" s="352">
        <f t="shared" si="183"/>
        <v>1</v>
      </c>
      <c r="DK165" s="352"/>
      <c r="DL165" s="352"/>
      <c r="DM165" s="352"/>
      <c r="DN165" s="352"/>
      <c r="DO165" s="352"/>
      <c r="DP165" s="352"/>
      <c r="DQ165" s="352"/>
      <c r="DR165" s="352"/>
      <c r="DS165" s="352"/>
      <c r="DT165" s="352"/>
      <c r="DU165" s="352"/>
      <c r="DV165" s="352"/>
      <c r="DW165" s="352"/>
    </row>
    <row r="166" spans="1:127" s="434" customFormat="1" ht="16.5" customHeight="1" x14ac:dyDescent="0.25">
      <c r="A166" s="1641" t="s">
        <v>1102</v>
      </c>
      <c r="B166" s="2000" t="s">
        <v>762</v>
      </c>
      <c r="C166" s="2001" t="s">
        <v>762</v>
      </c>
      <c r="D166" s="1124" t="s">
        <v>1550</v>
      </c>
      <c r="E166" s="1242" t="s">
        <v>1551</v>
      </c>
      <c r="F166" s="1429" t="s">
        <v>1552</v>
      </c>
      <c r="G166" s="1426" t="s">
        <v>1553</v>
      </c>
      <c r="H166" s="1243" t="s">
        <v>1554</v>
      </c>
      <c r="I166" s="1243" t="s">
        <v>1555</v>
      </c>
      <c r="J166" s="1243" t="s">
        <v>1556</v>
      </c>
      <c r="K166" s="1243" t="s">
        <v>1557</v>
      </c>
      <c r="L166" s="1243" t="s">
        <v>1558</v>
      </c>
      <c r="M166" s="1243" t="s">
        <v>1559</v>
      </c>
      <c r="N166" s="1243" t="s">
        <v>1560</v>
      </c>
      <c r="O166" s="1243" t="s">
        <v>1561</v>
      </c>
      <c r="P166" s="1243" t="s">
        <v>1562</v>
      </c>
      <c r="Q166" s="1243" t="s">
        <v>1563</v>
      </c>
      <c r="R166" s="1243" t="s">
        <v>1564</v>
      </c>
      <c r="S166" s="1243" t="s">
        <v>1565</v>
      </c>
      <c r="T166" s="1243" t="s">
        <v>1566</v>
      </c>
      <c r="U166" s="1243" t="s">
        <v>1567</v>
      </c>
      <c r="V166" s="1243" t="s">
        <v>1568</v>
      </c>
      <c r="W166" s="1243" t="s">
        <v>1569</v>
      </c>
      <c r="X166" s="1243" t="s">
        <v>1570</v>
      </c>
      <c r="Y166" s="1243" t="s">
        <v>1571</v>
      </c>
      <c r="Z166" s="1243" t="s">
        <v>1572</v>
      </c>
      <c r="AA166" s="1243" t="s">
        <v>1573</v>
      </c>
      <c r="AB166" s="1243" t="s">
        <v>1574</v>
      </c>
      <c r="AC166" s="1243" t="s">
        <v>1575</v>
      </c>
      <c r="AD166" s="1243" t="s">
        <v>1576</v>
      </c>
      <c r="AE166" s="1243" t="s">
        <v>1577</v>
      </c>
      <c r="AF166" s="1243" t="s">
        <v>1578</v>
      </c>
      <c r="AG166" s="1243" t="s">
        <v>1579</v>
      </c>
      <c r="AH166" s="1243" t="s">
        <v>1580</v>
      </c>
      <c r="AI166" s="1243" t="s">
        <v>1581</v>
      </c>
      <c r="AJ166" s="1243" t="s">
        <v>1582</v>
      </c>
      <c r="AK166" s="1243" t="s">
        <v>1583</v>
      </c>
      <c r="AL166" s="1243" t="s">
        <v>1584</v>
      </c>
      <c r="AM166" s="1243" t="s">
        <v>1585</v>
      </c>
      <c r="AN166" s="1243" t="s">
        <v>1586</v>
      </c>
      <c r="AO166" s="1243" t="s">
        <v>1587</v>
      </c>
      <c r="AP166" s="1243" t="s">
        <v>1588</v>
      </c>
      <c r="AQ166" s="1243" t="s">
        <v>1589</v>
      </c>
      <c r="AR166" s="1324" t="s">
        <v>1590</v>
      </c>
      <c r="AS166" s="1244" t="s">
        <v>1591</v>
      </c>
      <c r="AT166" s="1324" t="s">
        <v>1592</v>
      </c>
      <c r="AU166" s="1523" t="s">
        <v>1593</v>
      </c>
      <c r="AV166" s="1245" t="s">
        <v>1594</v>
      </c>
      <c r="AW166" s="1513" t="str">
        <f t="shared" si="175"/>
        <v xml:space="preserve"> * La variable Pueblos Originarios / hombres  no debe ser mayor que el Total de Hombres. * La variable Pueblos Originarios/ Mujeres no debe ser mayor que el Total de Mujeres * La variable Migrantes / hombres  no debe ser mayor que el Total de Hombres * La variable Migrantes / Mujeres no debe ser mayor que el Total de Mujeres</v>
      </c>
      <c r="AX166" s="1246"/>
      <c r="AY166" s="1246"/>
      <c r="AZ166" s="1246"/>
      <c r="BA166" s="1246"/>
      <c r="BB166" s="1325"/>
      <c r="BC166" s="1325"/>
      <c r="BD166" s="1325"/>
      <c r="BE166" s="1325"/>
      <c r="BF166" s="1325"/>
      <c r="BG166" s="1325"/>
      <c r="BH166" s="1325"/>
      <c r="BI166" s="1325"/>
      <c r="BJ166" s="1325"/>
      <c r="BK166" s="1325"/>
      <c r="BL166" s="1325"/>
      <c r="BM166" s="1325"/>
      <c r="BN166" s="1325"/>
      <c r="BO166" s="1325"/>
      <c r="BP166" s="1325"/>
      <c r="BQ166" s="1325"/>
      <c r="BR166" s="1325"/>
      <c r="BS166" s="1325"/>
      <c r="BT166" s="1325"/>
      <c r="BU166" s="1325"/>
      <c r="BV166" s="1325"/>
      <c r="CB166" s="896"/>
      <c r="CC166" s="348" t="str">
        <f t="shared" si="176"/>
        <v xml:space="preserve"> * La variable Pueblos Originarios / hombres  no debe ser mayor que el Total de Hombres.</v>
      </c>
      <c r="CD166" s="348" t="str">
        <f t="shared" si="177"/>
        <v xml:space="preserve"> * La variable Pueblos Originarios/ Mujeres no debe ser mayor que el Total de Mujeres</v>
      </c>
      <c r="CE166" s="348" t="str">
        <f t="shared" si="178"/>
        <v xml:space="preserve"> * La variable Migrantes / hombres  no debe ser mayor que el Total de Hombres</v>
      </c>
      <c r="CF166" s="348" t="str">
        <f t="shared" si="179"/>
        <v xml:space="preserve"> * La variable Migrantes / Mujeres no debe ser mayor que el Total de Mujeres</v>
      </c>
      <c r="CG166" s="896"/>
      <c r="CH166" s="896"/>
      <c r="CI166" s="896"/>
      <c r="CJ166" s="896"/>
      <c r="CK166" s="896"/>
      <c r="CL166" s="896"/>
      <c r="CM166" s="1247"/>
      <c r="CN166" s="1247"/>
      <c r="CO166" s="1247"/>
      <c r="CP166" s="1247"/>
      <c r="CQ166" s="1247"/>
      <c r="CR166" s="1247"/>
      <c r="CS166" s="1247"/>
      <c r="CT166" s="1247"/>
      <c r="CU166" s="1247"/>
      <c r="CV166" s="1247"/>
      <c r="CW166" s="1247"/>
      <c r="CX166" s="1247"/>
      <c r="CY166" s="1247"/>
      <c r="CZ166" s="1247"/>
      <c r="DA166" s="1247"/>
      <c r="DB166" s="1247"/>
      <c r="DC166" s="352"/>
      <c r="DD166" s="352"/>
      <c r="DE166" s="352"/>
      <c r="DF166" s="352"/>
      <c r="DG166" s="352">
        <f t="shared" si="180"/>
        <v>1</v>
      </c>
      <c r="DH166" s="352">
        <f t="shared" si="181"/>
        <v>1</v>
      </c>
      <c r="DI166" s="352">
        <f t="shared" si="182"/>
        <v>1</v>
      </c>
      <c r="DJ166" s="352">
        <f t="shared" si="183"/>
        <v>1</v>
      </c>
      <c r="DK166" s="897"/>
      <c r="DL166" s="897"/>
      <c r="DM166" s="897"/>
      <c r="DN166" s="897"/>
      <c r="DO166" s="897"/>
      <c r="DP166" s="897"/>
      <c r="DQ166" s="897"/>
      <c r="DR166" s="897"/>
      <c r="DS166" s="897"/>
      <c r="DT166" s="897"/>
      <c r="DU166" s="897"/>
      <c r="DV166" s="897"/>
      <c r="DW166" s="897"/>
    </row>
    <row r="167" spans="1:127" s="434" customFormat="1" ht="16.5" customHeight="1" x14ac:dyDescent="0.25">
      <c r="A167" s="1641" t="s">
        <v>1103</v>
      </c>
      <c r="B167" s="2000" t="s">
        <v>758</v>
      </c>
      <c r="C167" s="2001" t="s">
        <v>758</v>
      </c>
      <c r="D167" s="1124" t="s">
        <v>1550</v>
      </c>
      <c r="E167" s="1242" t="s">
        <v>1551</v>
      </c>
      <c r="F167" s="1429" t="s">
        <v>1552</v>
      </c>
      <c r="G167" s="1426" t="s">
        <v>1553</v>
      </c>
      <c r="H167" s="1243" t="s">
        <v>1554</v>
      </c>
      <c r="I167" s="1243" t="s">
        <v>1555</v>
      </c>
      <c r="J167" s="1243" t="s">
        <v>1556</v>
      </c>
      <c r="K167" s="1243" t="s">
        <v>1557</v>
      </c>
      <c r="L167" s="1243" t="s">
        <v>1558</v>
      </c>
      <c r="M167" s="1243" t="s">
        <v>1559</v>
      </c>
      <c r="N167" s="1243" t="s">
        <v>1560</v>
      </c>
      <c r="O167" s="1243" t="s">
        <v>1561</v>
      </c>
      <c r="P167" s="1243" t="s">
        <v>1562</v>
      </c>
      <c r="Q167" s="1243" t="s">
        <v>1563</v>
      </c>
      <c r="R167" s="1243" t="s">
        <v>1564</v>
      </c>
      <c r="S167" s="1243" t="s">
        <v>1565</v>
      </c>
      <c r="T167" s="1243" t="s">
        <v>1566</v>
      </c>
      <c r="U167" s="1243" t="s">
        <v>1567</v>
      </c>
      <c r="V167" s="1243" t="s">
        <v>1568</v>
      </c>
      <c r="W167" s="1243" t="s">
        <v>1569</v>
      </c>
      <c r="X167" s="1243" t="s">
        <v>1570</v>
      </c>
      <c r="Y167" s="1243" t="s">
        <v>1571</v>
      </c>
      <c r="Z167" s="1243" t="s">
        <v>1572</v>
      </c>
      <c r="AA167" s="1243" t="s">
        <v>1573</v>
      </c>
      <c r="AB167" s="1243" t="s">
        <v>1574</v>
      </c>
      <c r="AC167" s="1243" t="s">
        <v>1575</v>
      </c>
      <c r="AD167" s="1243" t="s">
        <v>1576</v>
      </c>
      <c r="AE167" s="1243" t="s">
        <v>1577</v>
      </c>
      <c r="AF167" s="1243" t="s">
        <v>1578</v>
      </c>
      <c r="AG167" s="1243" t="s">
        <v>1579</v>
      </c>
      <c r="AH167" s="1243" t="s">
        <v>1580</v>
      </c>
      <c r="AI167" s="1243" t="s">
        <v>1581</v>
      </c>
      <c r="AJ167" s="1243" t="s">
        <v>1582</v>
      </c>
      <c r="AK167" s="1243" t="s">
        <v>1583</v>
      </c>
      <c r="AL167" s="1243" t="s">
        <v>1584</v>
      </c>
      <c r="AM167" s="1243" t="s">
        <v>1585</v>
      </c>
      <c r="AN167" s="1243" t="s">
        <v>1586</v>
      </c>
      <c r="AO167" s="1243" t="s">
        <v>1587</v>
      </c>
      <c r="AP167" s="1243" t="s">
        <v>1588</v>
      </c>
      <c r="AQ167" s="1243" t="s">
        <v>1589</v>
      </c>
      <c r="AR167" s="1324" t="s">
        <v>1590</v>
      </c>
      <c r="AS167" s="1244" t="s">
        <v>1591</v>
      </c>
      <c r="AT167" s="1324" t="s">
        <v>1592</v>
      </c>
      <c r="AU167" s="1523" t="s">
        <v>1593</v>
      </c>
      <c r="AV167" s="1245" t="s">
        <v>1594</v>
      </c>
      <c r="AW167" s="1513" t="str">
        <f t="shared" si="175"/>
        <v xml:space="preserve"> * La variable Pueblos Originarios / hombres  no debe ser mayor que el Total de Hombres. * La variable Pueblos Originarios/ Mujeres no debe ser mayor que el Total de Mujeres * La variable Migrantes / hombres  no debe ser mayor que el Total de Hombres * La variable Migrantes / Mujeres no debe ser mayor que el Total de Mujeres</v>
      </c>
      <c r="AX167" s="1246"/>
      <c r="AY167" s="1246"/>
      <c r="AZ167" s="1246"/>
      <c r="BA167" s="1246"/>
      <c r="BB167" s="1325"/>
      <c r="BC167" s="1325"/>
      <c r="BD167" s="1325"/>
      <c r="BE167" s="1325"/>
      <c r="BF167" s="1325"/>
      <c r="BG167" s="1325"/>
      <c r="BH167" s="1325"/>
      <c r="BI167" s="1325"/>
      <c r="BJ167" s="1325"/>
      <c r="BK167" s="1325"/>
      <c r="BL167" s="1325"/>
      <c r="BM167" s="1325"/>
      <c r="BN167" s="1325"/>
      <c r="BO167" s="1325"/>
      <c r="BP167" s="1325"/>
      <c r="BQ167" s="1325"/>
      <c r="BR167" s="1325"/>
      <c r="BS167" s="1325"/>
      <c r="BT167" s="1325"/>
      <c r="BU167" s="1325"/>
      <c r="BV167" s="1325"/>
      <c r="CB167" s="896"/>
      <c r="CC167" s="348" t="str">
        <f t="shared" si="176"/>
        <v xml:space="preserve"> * La variable Pueblos Originarios / hombres  no debe ser mayor que el Total de Hombres.</v>
      </c>
      <c r="CD167" s="348" t="str">
        <f t="shared" si="177"/>
        <v xml:space="preserve"> * La variable Pueblos Originarios/ Mujeres no debe ser mayor que el Total de Mujeres</v>
      </c>
      <c r="CE167" s="348" t="str">
        <f t="shared" si="178"/>
        <v xml:space="preserve"> * La variable Migrantes / hombres  no debe ser mayor que el Total de Hombres</v>
      </c>
      <c r="CF167" s="348" t="str">
        <f t="shared" si="179"/>
        <v xml:space="preserve"> * La variable Migrantes / Mujeres no debe ser mayor que el Total de Mujeres</v>
      </c>
      <c r="CG167" s="896"/>
      <c r="CH167" s="896"/>
      <c r="CI167" s="896"/>
      <c r="CJ167" s="896"/>
      <c r="CK167" s="896"/>
      <c r="CL167" s="896"/>
      <c r="CM167" s="1247"/>
      <c r="CN167" s="1247"/>
      <c r="CO167" s="1247"/>
      <c r="CP167" s="1247"/>
      <c r="CQ167" s="1247"/>
      <c r="CR167" s="1247"/>
      <c r="CS167" s="1247"/>
      <c r="CT167" s="1247"/>
      <c r="CU167" s="1247"/>
      <c r="CV167" s="1247"/>
      <c r="CW167" s="1247"/>
      <c r="CX167" s="1247"/>
      <c r="CY167" s="1247"/>
      <c r="CZ167" s="1247"/>
      <c r="DA167" s="1247"/>
      <c r="DB167" s="1247"/>
      <c r="DC167" s="352"/>
      <c r="DD167" s="352"/>
      <c r="DE167" s="352"/>
      <c r="DF167" s="352"/>
      <c r="DG167" s="352">
        <f t="shared" si="180"/>
        <v>1</v>
      </c>
      <c r="DH167" s="352">
        <f t="shared" si="181"/>
        <v>1</v>
      </c>
      <c r="DI167" s="352">
        <f t="shared" si="182"/>
        <v>1</v>
      </c>
      <c r="DJ167" s="352">
        <f t="shared" si="183"/>
        <v>1</v>
      </c>
      <c r="DK167" s="897"/>
      <c r="DL167" s="897"/>
      <c r="DM167" s="897"/>
      <c r="DN167" s="897"/>
      <c r="DO167" s="897"/>
      <c r="DP167" s="897"/>
      <c r="DQ167" s="897"/>
      <c r="DR167" s="897"/>
      <c r="DS167" s="897"/>
      <c r="DT167" s="897"/>
      <c r="DU167" s="897"/>
      <c r="DV167" s="897"/>
      <c r="DW167" s="897"/>
    </row>
    <row r="168" spans="1:127" ht="16.5" customHeight="1" x14ac:dyDescent="0.3">
      <c r="A168" s="1641" t="s">
        <v>1104</v>
      </c>
      <c r="B168" s="2000" t="s">
        <v>755</v>
      </c>
      <c r="C168" s="2001" t="s">
        <v>755</v>
      </c>
      <c r="D168" s="642" t="s">
        <v>1550</v>
      </c>
      <c r="E168" s="1227" t="s">
        <v>1551</v>
      </c>
      <c r="F168" s="1428" t="s">
        <v>1552</v>
      </c>
      <c r="G168" s="631" t="s">
        <v>1553</v>
      </c>
      <c r="H168" s="654" t="s">
        <v>1554</v>
      </c>
      <c r="I168" s="654" t="s">
        <v>1555</v>
      </c>
      <c r="J168" s="654" t="s">
        <v>1556</v>
      </c>
      <c r="K168" s="654" t="s">
        <v>1557</v>
      </c>
      <c r="L168" s="654" t="s">
        <v>1558</v>
      </c>
      <c r="M168" s="654" t="s">
        <v>1559</v>
      </c>
      <c r="N168" s="654" t="s">
        <v>1560</v>
      </c>
      <c r="O168" s="654" t="s">
        <v>1561</v>
      </c>
      <c r="P168" s="654" t="s">
        <v>1562</v>
      </c>
      <c r="Q168" s="654" t="s">
        <v>1563</v>
      </c>
      <c r="R168" s="654" t="s">
        <v>1564</v>
      </c>
      <c r="S168" s="654" t="s">
        <v>1565</v>
      </c>
      <c r="T168" s="654" t="s">
        <v>1566</v>
      </c>
      <c r="U168" s="654" t="s">
        <v>1567</v>
      </c>
      <c r="V168" s="654" t="s">
        <v>1568</v>
      </c>
      <c r="W168" s="654" t="s">
        <v>1569</v>
      </c>
      <c r="X168" s="654" t="s">
        <v>1570</v>
      </c>
      <c r="Y168" s="654" t="s">
        <v>1571</v>
      </c>
      <c r="Z168" s="654" t="s">
        <v>1572</v>
      </c>
      <c r="AA168" s="654" t="s">
        <v>1573</v>
      </c>
      <c r="AB168" s="654" t="s">
        <v>1574</v>
      </c>
      <c r="AC168" s="654" t="s">
        <v>1575</v>
      </c>
      <c r="AD168" s="654" t="s">
        <v>1576</v>
      </c>
      <c r="AE168" s="654" t="s">
        <v>1577</v>
      </c>
      <c r="AF168" s="654" t="s">
        <v>1578</v>
      </c>
      <c r="AG168" s="654" t="s">
        <v>1579</v>
      </c>
      <c r="AH168" s="654" t="s">
        <v>1580</v>
      </c>
      <c r="AI168" s="654" t="s">
        <v>1581</v>
      </c>
      <c r="AJ168" s="654" t="s">
        <v>1582</v>
      </c>
      <c r="AK168" s="654" t="s">
        <v>1583</v>
      </c>
      <c r="AL168" s="654" t="s">
        <v>1584</v>
      </c>
      <c r="AM168" s="654" t="s">
        <v>1585</v>
      </c>
      <c r="AN168" s="654" t="s">
        <v>1586</v>
      </c>
      <c r="AO168" s="654" t="s">
        <v>1587</v>
      </c>
      <c r="AP168" s="654" t="s">
        <v>1588</v>
      </c>
      <c r="AQ168" s="654" t="s">
        <v>1589</v>
      </c>
      <c r="AR168" s="630" t="s">
        <v>1590</v>
      </c>
      <c r="AS168" s="632" t="s">
        <v>1591</v>
      </c>
      <c r="AT168" s="630" t="s">
        <v>1592</v>
      </c>
      <c r="AU168" s="628" t="s">
        <v>1593</v>
      </c>
      <c r="AV168" s="629" t="s">
        <v>1594</v>
      </c>
      <c r="AW168" s="1513" t="str">
        <f t="shared" si="175"/>
        <v xml:space="preserve"> * La variable Pueblos Originarios / hombres  no debe ser mayor que el Total de Hombres. * La variable Pueblos Originarios/ Mujeres no debe ser mayor que el Total de Mujeres * La variable Migrantes / hombres  no debe ser mayor que el Total de Hombres * La variable Migrantes / Mujeres no debe ser mayor que el Total de Mujeres</v>
      </c>
      <c r="AX168" s="178"/>
      <c r="AY168" s="178"/>
      <c r="AZ168" s="178"/>
      <c r="BA168" s="178"/>
      <c r="BS168" s="960"/>
      <c r="BT168" s="960"/>
      <c r="BU168" s="960"/>
      <c r="BV168" s="960"/>
      <c r="CB168" s="354"/>
      <c r="CC168" s="348" t="str">
        <f t="shared" si="176"/>
        <v xml:space="preserve"> * La variable Pueblos Originarios / hombres  no debe ser mayor que el Total de Hombres.</v>
      </c>
      <c r="CD168" s="348" t="str">
        <f t="shared" si="177"/>
        <v xml:space="preserve"> * La variable Pueblos Originarios/ Mujeres no debe ser mayor que el Total de Mujeres</v>
      </c>
      <c r="CE168" s="348" t="str">
        <f t="shared" si="178"/>
        <v xml:space="preserve"> * La variable Migrantes / hombres  no debe ser mayor que el Total de Hombres</v>
      </c>
      <c r="CF168" s="348" t="str">
        <f t="shared" si="179"/>
        <v xml:space="preserve"> * La variable Migrantes / Mujeres no debe ser mayor que el Total de Mujeres</v>
      </c>
      <c r="CG168" s="354"/>
      <c r="CH168" s="354"/>
      <c r="CI168" s="354"/>
      <c r="CJ168" s="354"/>
      <c r="CK168" s="354"/>
      <c r="CL168" s="354"/>
      <c r="CM168" s="306"/>
      <c r="CN168" s="306"/>
      <c r="CO168" s="306"/>
      <c r="CP168" s="306"/>
      <c r="CQ168" s="306"/>
      <c r="CR168" s="306"/>
      <c r="CS168" s="306"/>
      <c r="CT168" s="306"/>
      <c r="CU168" s="306"/>
      <c r="CV168" s="306"/>
      <c r="CW168" s="306"/>
      <c r="CX168" s="306"/>
      <c r="CY168" s="306"/>
      <c r="CZ168" s="306"/>
      <c r="DA168" s="306"/>
      <c r="DB168" s="306"/>
      <c r="DC168" s="352"/>
      <c r="DD168" s="352"/>
      <c r="DE168" s="352"/>
      <c r="DF168" s="352"/>
      <c r="DG168" s="352">
        <f t="shared" si="180"/>
        <v>1</v>
      </c>
      <c r="DH168" s="352">
        <f t="shared" si="181"/>
        <v>1</v>
      </c>
      <c r="DI168" s="352">
        <f t="shared" si="182"/>
        <v>1</v>
      </c>
      <c r="DJ168" s="352">
        <f t="shared" si="183"/>
        <v>1</v>
      </c>
      <c r="DK168" s="352"/>
      <c r="DL168" s="352"/>
      <c r="DM168" s="352"/>
      <c r="DN168" s="352"/>
      <c r="DO168" s="352"/>
      <c r="DP168" s="352"/>
      <c r="DQ168" s="352"/>
      <c r="DR168" s="352"/>
      <c r="DS168" s="352"/>
      <c r="DT168" s="352"/>
      <c r="DU168" s="352"/>
      <c r="DV168" s="352"/>
      <c r="DW168" s="352"/>
    </row>
    <row r="169" spans="1:127" ht="16.5" customHeight="1" x14ac:dyDescent="0.3">
      <c r="A169" s="1641" t="s">
        <v>1105</v>
      </c>
      <c r="B169" s="2000" t="s">
        <v>756</v>
      </c>
      <c r="C169" s="2001" t="s">
        <v>756</v>
      </c>
      <c r="D169" s="642" t="s">
        <v>1550</v>
      </c>
      <c r="E169" s="1227" t="s">
        <v>1551</v>
      </c>
      <c r="F169" s="1428" t="s">
        <v>1552</v>
      </c>
      <c r="G169" s="631" t="s">
        <v>1553</v>
      </c>
      <c r="H169" s="654" t="s">
        <v>1554</v>
      </c>
      <c r="I169" s="654" t="s">
        <v>1555</v>
      </c>
      <c r="J169" s="654" t="s">
        <v>1556</v>
      </c>
      <c r="K169" s="654" t="s">
        <v>1557</v>
      </c>
      <c r="L169" s="654" t="s">
        <v>1558</v>
      </c>
      <c r="M169" s="654" t="s">
        <v>1559</v>
      </c>
      <c r="N169" s="654" t="s">
        <v>1560</v>
      </c>
      <c r="O169" s="654" t="s">
        <v>1561</v>
      </c>
      <c r="P169" s="654" t="s">
        <v>1562</v>
      </c>
      <c r="Q169" s="654" t="s">
        <v>1563</v>
      </c>
      <c r="R169" s="654" t="s">
        <v>1564</v>
      </c>
      <c r="S169" s="654" t="s">
        <v>1565</v>
      </c>
      <c r="T169" s="654" t="s">
        <v>1566</v>
      </c>
      <c r="U169" s="654" t="s">
        <v>1567</v>
      </c>
      <c r="V169" s="654" t="s">
        <v>1568</v>
      </c>
      <c r="W169" s="654" t="s">
        <v>1569</v>
      </c>
      <c r="X169" s="654" t="s">
        <v>1570</v>
      </c>
      <c r="Y169" s="654" t="s">
        <v>1571</v>
      </c>
      <c r="Z169" s="654" t="s">
        <v>1572</v>
      </c>
      <c r="AA169" s="654" t="s">
        <v>1573</v>
      </c>
      <c r="AB169" s="654" t="s">
        <v>1574</v>
      </c>
      <c r="AC169" s="654" t="s">
        <v>1575</v>
      </c>
      <c r="AD169" s="654" t="s">
        <v>1576</v>
      </c>
      <c r="AE169" s="654" t="s">
        <v>1577</v>
      </c>
      <c r="AF169" s="654" t="s">
        <v>1578</v>
      </c>
      <c r="AG169" s="654" t="s">
        <v>1579</v>
      </c>
      <c r="AH169" s="654" t="s">
        <v>1580</v>
      </c>
      <c r="AI169" s="654" t="s">
        <v>1581</v>
      </c>
      <c r="AJ169" s="654" t="s">
        <v>1582</v>
      </c>
      <c r="AK169" s="654" t="s">
        <v>1583</v>
      </c>
      <c r="AL169" s="654" t="s">
        <v>1584</v>
      </c>
      <c r="AM169" s="654" t="s">
        <v>1585</v>
      </c>
      <c r="AN169" s="654" t="s">
        <v>1586</v>
      </c>
      <c r="AO169" s="654" t="s">
        <v>1587</v>
      </c>
      <c r="AP169" s="654" t="s">
        <v>1588</v>
      </c>
      <c r="AQ169" s="654" t="s">
        <v>1589</v>
      </c>
      <c r="AR169" s="630" t="s">
        <v>1590</v>
      </c>
      <c r="AS169" s="632" t="s">
        <v>1591</v>
      </c>
      <c r="AT169" s="630" t="s">
        <v>1592</v>
      </c>
      <c r="AU169" s="628" t="s">
        <v>1593</v>
      </c>
      <c r="AV169" s="629" t="s">
        <v>1594</v>
      </c>
      <c r="AW169" s="1513" t="str">
        <f t="shared" si="175"/>
        <v xml:space="preserve"> * La variable Pueblos Originarios / hombres  no debe ser mayor que el Total de Hombres. * La variable Pueblos Originarios/ Mujeres no debe ser mayor que el Total de Mujeres * La variable Migrantes / hombres  no debe ser mayor que el Total de Hombres * La variable Migrantes / Mujeres no debe ser mayor que el Total de Mujeres</v>
      </c>
      <c r="AX169" s="178"/>
      <c r="AY169" s="178"/>
      <c r="AZ169" s="178"/>
      <c r="BA169" s="178"/>
      <c r="BS169" s="960"/>
      <c r="BT169" s="960"/>
      <c r="BU169" s="960"/>
      <c r="BV169" s="960"/>
      <c r="CB169" s="354"/>
      <c r="CC169" s="348" t="str">
        <f t="shared" si="176"/>
        <v xml:space="preserve"> * La variable Pueblos Originarios / hombres  no debe ser mayor que el Total de Hombres.</v>
      </c>
      <c r="CD169" s="348" t="str">
        <f t="shared" si="177"/>
        <v xml:space="preserve"> * La variable Pueblos Originarios/ Mujeres no debe ser mayor que el Total de Mujeres</v>
      </c>
      <c r="CE169" s="348" t="str">
        <f t="shared" si="178"/>
        <v xml:space="preserve"> * La variable Migrantes / hombres  no debe ser mayor que el Total de Hombres</v>
      </c>
      <c r="CF169" s="348" t="str">
        <f t="shared" si="179"/>
        <v xml:space="preserve"> * La variable Migrantes / Mujeres no debe ser mayor que el Total de Mujeres</v>
      </c>
      <c r="CG169" s="354"/>
      <c r="CH169" s="354"/>
      <c r="CI169" s="354"/>
      <c r="CJ169" s="354"/>
      <c r="CK169" s="354"/>
      <c r="CL169" s="354"/>
      <c r="CM169" s="306"/>
      <c r="CN169" s="306"/>
      <c r="CO169" s="306"/>
      <c r="CP169" s="306"/>
      <c r="CQ169" s="306"/>
      <c r="CR169" s="306"/>
      <c r="CS169" s="306"/>
      <c r="CT169" s="306"/>
      <c r="CU169" s="306"/>
      <c r="CV169" s="306"/>
      <c r="CW169" s="306"/>
      <c r="CX169" s="306"/>
      <c r="CY169" s="306"/>
      <c r="CZ169" s="306"/>
      <c r="DA169" s="306"/>
      <c r="DB169" s="306"/>
      <c r="DC169" s="352"/>
      <c r="DD169" s="352"/>
      <c r="DE169" s="352"/>
      <c r="DF169" s="352"/>
      <c r="DG169" s="352">
        <f t="shared" si="180"/>
        <v>1</v>
      </c>
      <c r="DH169" s="352">
        <f t="shared" si="181"/>
        <v>1</v>
      </c>
      <c r="DI169" s="352">
        <f t="shared" si="182"/>
        <v>1</v>
      </c>
      <c r="DJ169" s="352">
        <f t="shared" si="183"/>
        <v>1</v>
      </c>
      <c r="DK169" s="352"/>
      <c r="DL169" s="352"/>
      <c r="DM169" s="352"/>
      <c r="DN169" s="352"/>
      <c r="DO169" s="352"/>
      <c r="DP169" s="352"/>
      <c r="DQ169" s="352"/>
      <c r="DR169" s="352"/>
      <c r="DS169" s="352"/>
      <c r="DT169" s="352"/>
      <c r="DU169" s="352"/>
      <c r="DV169" s="352"/>
      <c r="DW169" s="352"/>
    </row>
    <row r="170" spans="1:127" ht="16.5" customHeight="1" x14ac:dyDescent="0.3">
      <c r="A170" s="1641" t="s">
        <v>1106</v>
      </c>
      <c r="B170" s="2000" t="s">
        <v>757</v>
      </c>
      <c r="C170" s="2001" t="s">
        <v>757</v>
      </c>
      <c r="D170" s="642" t="s">
        <v>1550</v>
      </c>
      <c r="E170" s="1227" t="s">
        <v>1551</v>
      </c>
      <c r="F170" s="1428" t="s">
        <v>1552</v>
      </c>
      <c r="G170" s="631" t="s">
        <v>1553</v>
      </c>
      <c r="H170" s="654" t="s">
        <v>1554</v>
      </c>
      <c r="I170" s="654" t="s">
        <v>1555</v>
      </c>
      <c r="J170" s="654" t="s">
        <v>1556</v>
      </c>
      <c r="K170" s="654" t="s">
        <v>1557</v>
      </c>
      <c r="L170" s="654" t="s">
        <v>1558</v>
      </c>
      <c r="M170" s="654" t="s">
        <v>1559</v>
      </c>
      <c r="N170" s="654" t="s">
        <v>1560</v>
      </c>
      <c r="O170" s="654" t="s">
        <v>1561</v>
      </c>
      <c r="P170" s="654" t="s">
        <v>1562</v>
      </c>
      <c r="Q170" s="654" t="s">
        <v>1563</v>
      </c>
      <c r="R170" s="654" t="s">
        <v>1564</v>
      </c>
      <c r="S170" s="654" t="s">
        <v>1565</v>
      </c>
      <c r="T170" s="654" t="s">
        <v>1566</v>
      </c>
      <c r="U170" s="654" t="s">
        <v>1567</v>
      </c>
      <c r="V170" s="654" t="s">
        <v>1568</v>
      </c>
      <c r="W170" s="654" t="s">
        <v>1569</v>
      </c>
      <c r="X170" s="654" t="s">
        <v>1570</v>
      </c>
      <c r="Y170" s="654" t="s">
        <v>1571</v>
      </c>
      <c r="Z170" s="654" t="s">
        <v>1572</v>
      </c>
      <c r="AA170" s="654" t="s">
        <v>1573</v>
      </c>
      <c r="AB170" s="654" t="s">
        <v>1574</v>
      </c>
      <c r="AC170" s="654" t="s">
        <v>1575</v>
      </c>
      <c r="AD170" s="654" t="s">
        <v>1576</v>
      </c>
      <c r="AE170" s="654" t="s">
        <v>1577</v>
      </c>
      <c r="AF170" s="654" t="s">
        <v>1578</v>
      </c>
      <c r="AG170" s="654" t="s">
        <v>1579</v>
      </c>
      <c r="AH170" s="654" t="s">
        <v>1580</v>
      </c>
      <c r="AI170" s="654" t="s">
        <v>1581</v>
      </c>
      <c r="AJ170" s="654" t="s">
        <v>1582</v>
      </c>
      <c r="AK170" s="654" t="s">
        <v>1583</v>
      </c>
      <c r="AL170" s="654" t="s">
        <v>1584</v>
      </c>
      <c r="AM170" s="654" t="s">
        <v>1585</v>
      </c>
      <c r="AN170" s="654" t="s">
        <v>1586</v>
      </c>
      <c r="AO170" s="654" t="s">
        <v>1587</v>
      </c>
      <c r="AP170" s="654" t="s">
        <v>1588</v>
      </c>
      <c r="AQ170" s="654" t="s">
        <v>1589</v>
      </c>
      <c r="AR170" s="630" t="s">
        <v>1590</v>
      </c>
      <c r="AS170" s="632" t="s">
        <v>1591</v>
      </c>
      <c r="AT170" s="630" t="s">
        <v>1592</v>
      </c>
      <c r="AU170" s="628" t="s">
        <v>1593</v>
      </c>
      <c r="AV170" s="629" t="s">
        <v>1594</v>
      </c>
      <c r="AW170" s="1513" t="str">
        <f t="shared" si="175"/>
        <v xml:space="preserve"> * La variable Pueblos Originarios / hombres  no debe ser mayor que el Total de Hombres. * La variable Pueblos Originarios/ Mujeres no debe ser mayor que el Total de Mujeres * La variable Migrantes / hombres  no debe ser mayor que el Total de Hombres * La variable Migrantes / Mujeres no debe ser mayor que el Total de Mujeres</v>
      </c>
      <c r="AX170" s="178"/>
      <c r="AY170" s="178"/>
      <c r="AZ170" s="178"/>
      <c r="BA170" s="178"/>
      <c r="BS170" s="960"/>
      <c r="BT170" s="960"/>
      <c r="BU170" s="960"/>
      <c r="BV170" s="960"/>
      <c r="CB170" s="354"/>
      <c r="CC170" s="348" t="str">
        <f t="shared" si="176"/>
        <v xml:space="preserve"> * La variable Pueblos Originarios / hombres  no debe ser mayor que el Total de Hombres.</v>
      </c>
      <c r="CD170" s="348" t="str">
        <f t="shared" si="177"/>
        <v xml:space="preserve"> * La variable Pueblos Originarios/ Mujeres no debe ser mayor que el Total de Mujeres</v>
      </c>
      <c r="CE170" s="348" t="str">
        <f t="shared" si="178"/>
        <v xml:space="preserve"> * La variable Migrantes / hombres  no debe ser mayor que el Total de Hombres</v>
      </c>
      <c r="CF170" s="348" t="str">
        <f t="shared" si="179"/>
        <v xml:space="preserve"> * La variable Migrantes / Mujeres no debe ser mayor que el Total de Mujeres</v>
      </c>
      <c r="CG170" s="354"/>
      <c r="CH170" s="354"/>
      <c r="CI170" s="354"/>
      <c r="CJ170" s="354"/>
      <c r="CK170" s="354"/>
      <c r="CL170" s="354"/>
      <c r="CM170" s="306"/>
      <c r="CN170" s="306"/>
      <c r="CO170" s="306"/>
      <c r="CP170" s="306"/>
      <c r="CQ170" s="306"/>
      <c r="CR170" s="306"/>
      <c r="CS170" s="306"/>
      <c r="CT170" s="306"/>
      <c r="CU170" s="306"/>
      <c r="CV170" s="306"/>
      <c r="CW170" s="306"/>
      <c r="CX170" s="306"/>
      <c r="CY170" s="306"/>
      <c r="CZ170" s="306"/>
      <c r="DA170" s="306"/>
      <c r="DB170" s="306"/>
      <c r="DC170" s="352"/>
      <c r="DD170" s="352"/>
      <c r="DE170" s="352"/>
      <c r="DF170" s="352"/>
      <c r="DG170" s="352">
        <f t="shared" si="180"/>
        <v>1</v>
      </c>
      <c r="DH170" s="352">
        <f t="shared" si="181"/>
        <v>1</v>
      </c>
      <c r="DI170" s="352">
        <f t="shared" si="182"/>
        <v>1</v>
      </c>
      <c r="DJ170" s="352">
        <f t="shared" si="183"/>
        <v>1</v>
      </c>
      <c r="DK170" s="352"/>
      <c r="DL170" s="352"/>
      <c r="DM170" s="352"/>
      <c r="DN170" s="352"/>
      <c r="DO170" s="352"/>
      <c r="DP170" s="352"/>
      <c r="DQ170" s="352"/>
      <c r="DR170" s="352"/>
      <c r="DS170" s="352"/>
      <c r="DT170" s="352"/>
      <c r="DU170" s="352"/>
      <c r="DV170" s="352"/>
      <c r="DW170" s="352"/>
    </row>
    <row r="171" spans="1:127" ht="16.5" customHeight="1" x14ac:dyDescent="0.3">
      <c r="A171" s="1641" t="s">
        <v>1107</v>
      </c>
      <c r="B171" s="2000" t="s">
        <v>760</v>
      </c>
      <c r="C171" s="2001" t="s">
        <v>760</v>
      </c>
      <c r="D171" s="642" t="s">
        <v>1550</v>
      </c>
      <c r="E171" s="1227" t="s">
        <v>1551</v>
      </c>
      <c r="F171" s="1428" t="s">
        <v>1552</v>
      </c>
      <c r="G171" s="631" t="s">
        <v>1553</v>
      </c>
      <c r="H171" s="654" t="s">
        <v>1554</v>
      </c>
      <c r="I171" s="654" t="s">
        <v>1555</v>
      </c>
      <c r="J171" s="654" t="s">
        <v>1556</v>
      </c>
      <c r="K171" s="654" t="s">
        <v>1557</v>
      </c>
      <c r="L171" s="654" t="s">
        <v>1558</v>
      </c>
      <c r="M171" s="654" t="s">
        <v>1559</v>
      </c>
      <c r="N171" s="654" t="s">
        <v>1560</v>
      </c>
      <c r="O171" s="654" t="s">
        <v>1561</v>
      </c>
      <c r="P171" s="654" t="s">
        <v>1562</v>
      </c>
      <c r="Q171" s="654" t="s">
        <v>1563</v>
      </c>
      <c r="R171" s="654" t="s">
        <v>1564</v>
      </c>
      <c r="S171" s="654" t="s">
        <v>1565</v>
      </c>
      <c r="T171" s="654" t="s">
        <v>1566</v>
      </c>
      <c r="U171" s="654" t="s">
        <v>1567</v>
      </c>
      <c r="V171" s="654" t="s">
        <v>1568</v>
      </c>
      <c r="W171" s="654" t="s">
        <v>1569</v>
      </c>
      <c r="X171" s="654" t="s">
        <v>1570</v>
      </c>
      <c r="Y171" s="654" t="s">
        <v>1571</v>
      </c>
      <c r="Z171" s="654" t="s">
        <v>1572</v>
      </c>
      <c r="AA171" s="654" t="s">
        <v>1573</v>
      </c>
      <c r="AB171" s="654" t="s">
        <v>1574</v>
      </c>
      <c r="AC171" s="654" t="s">
        <v>1575</v>
      </c>
      <c r="AD171" s="654" t="s">
        <v>1576</v>
      </c>
      <c r="AE171" s="654" t="s">
        <v>1577</v>
      </c>
      <c r="AF171" s="654" t="s">
        <v>1578</v>
      </c>
      <c r="AG171" s="654" t="s">
        <v>1579</v>
      </c>
      <c r="AH171" s="654" t="s">
        <v>1580</v>
      </c>
      <c r="AI171" s="654" t="s">
        <v>1581</v>
      </c>
      <c r="AJ171" s="654" t="s">
        <v>1582</v>
      </c>
      <c r="AK171" s="654" t="s">
        <v>1583</v>
      </c>
      <c r="AL171" s="654" t="s">
        <v>1584</v>
      </c>
      <c r="AM171" s="654" t="s">
        <v>1585</v>
      </c>
      <c r="AN171" s="654" t="s">
        <v>1586</v>
      </c>
      <c r="AO171" s="654" t="s">
        <v>1587</v>
      </c>
      <c r="AP171" s="654" t="s">
        <v>1588</v>
      </c>
      <c r="AQ171" s="654" t="s">
        <v>1589</v>
      </c>
      <c r="AR171" s="630" t="s">
        <v>1590</v>
      </c>
      <c r="AS171" s="632" t="s">
        <v>1591</v>
      </c>
      <c r="AT171" s="630" t="s">
        <v>1592</v>
      </c>
      <c r="AU171" s="628" t="s">
        <v>1593</v>
      </c>
      <c r="AV171" s="629" t="s">
        <v>1594</v>
      </c>
      <c r="AW171" s="1513" t="str">
        <f t="shared" si="175"/>
        <v xml:space="preserve"> * La variable Pueblos Originarios / hombres  no debe ser mayor que el Total de Hombres. * La variable Pueblos Originarios/ Mujeres no debe ser mayor que el Total de Mujeres * La variable Migrantes / hombres  no debe ser mayor que el Total de Hombres * La variable Migrantes / Mujeres no debe ser mayor que el Total de Mujeres</v>
      </c>
      <c r="AX171" s="178"/>
      <c r="AY171" s="178"/>
      <c r="AZ171" s="178"/>
      <c r="BA171" s="178"/>
      <c r="BS171" s="960"/>
      <c r="BT171" s="960"/>
      <c r="BU171" s="960"/>
      <c r="BV171" s="960"/>
      <c r="CB171" s="354"/>
      <c r="CC171" s="348" t="str">
        <f t="shared" si="176"/>
        <v xml:space="preserve"> * La variable Pueblos Originarios / hombres  no debe ser mayor que el Total de Hombres.</v>
      </c>
      <c r="CD171" s="348" t="str">
        <f t="shared" si="177"/>
        <v xml:space="preserve"> * La variable Pueblos Originarios/ Mujeres no debe ser mayor que el Total de Mujeres</v>
      </c>
      <c r="CE171" s="348" t="str">
        <f t="shared" si="178"/>
        <v xml:space="preserve"> * La variable Migrantes / hombres  no debe ser mayor que el Total de Hombres</v>
      </c>
      <c r="CF171" s="348" t="str">
        <f t="shared" si="179"/>
        <v xml:space="preserve"> * La variable Migrantes / Mujeres no debe ser mayor que el Total de Mujeres</v>
      </c>
      <c r="CG171" s="354"/>
      <c r="CH171" s="354"/>
      <c r="CI171" s="354"/>
      <c r="CJ171" s="354"/>
      <c r="CK171" s="354"/>
      <c r="CL171" s="354"/>
      <c r="CM171" s="306"/>
      <c r="CN171" s="306"/>
      <c r="CO171" s="306"/>
      <c r="CP171" s="306"/>
      <c r="CQ171" s="306"/>
      <c r="CR171" s="306"/>
      <c r="CS171" s="306"/>
      <c r="CT171" s="306"/>
      <c r="CU171" s="306"/>
      <c r="CV171" s="306"/>
      <c r="CW171" s="306"/>
      <c r="CX171" s="306"/>
      <c r="CY171" s="306"/>
      <c r="CZ171" s="306"/>
      <c r="DA171" s="306"/>
      <c r="DB171" s="306"/>
      <c r="DC171" s="352"/>
      <c r="DD171" s="352"/>
      <c r="DE171" s="352"/>
      <c r="DF171" s="352"/>
      <c r="DG171" s="352">
        <f t="shared" si="180"/>
        <v>1</v>
      </c>
      <c r="DH171" s="352">
        <f t="shared" si="181"/>
        <v>1</v>
      </c>
      <c r="DI171" s="352">
        <f t="shared" si="182"/>
        <v>1</v>
      </c>
      <c r="DJ171" s="352">
        <f t="shared" si="183"/>
        <v>1</v>
      </c>
      <c r="DK171" s="352"/>
      <c r="DL171" s="352"/>
      <c r="DM171" s="352"/>
      <c r="DN171" s="352"/>
      <c r="DO171" s="352"/>
      <c r="DP171" s="352"/>
      <c r="DQ171" s="352"/>
      <c r="DR171" s="352"/>
      <c r="DS171" s="352"/>
      <c r="DT171" s="352"/>
      <c r="DU171" s="352"/>
      <c r="DV171" s="352"/>
      <c r="DW171" s="352"/>
    </row>
    <row r="172" spans="1:127" ht="16.5" customHeight="1" x14ac:dyDescent="0.3">
      <c r="A172" s="1641" t="s">
        <v>1108</v>
      </c>
      <c r="B172" s="2000" t="s">
        <v>766</v>
      </c>
      <c r="C172" s="2001" t="s">
        <v>766</v>
      </c>
      <c r="D172" s="642" t="s">
        <v>1550</v>
      </c>
      <c r="E172" s="1227" t="s">
        <v>1551</v>
      </c>
      <c r="F172" s="1428" t="s">
        <v>1552</v>
      </c>
      <c r="G172" s="631" t="s">
        <v>1553</v>
      </c>
      <c r="H172" s="654" t="s">
        <v>1554</v>
      </c>
      <c r="I172" s="654" t="s">
        <v>1555</v>
      </c>
      <c r="J172" s="654" t="s">
        <v>1556</v>
      </c>
      <c r="K172" s="654" t="s">
        <v>1557</v>
      </c>
      <c r="L172" s="654" t="s">
        <v>1558</v>
      </c>
      <c r="M172" s="654" t="s">
        <v>1559</v>
      </c>
      <c r="N172" s="654" t="s">
        <v>1560</v>
      </c>
      <c r="O172" s="654" t="s">
        <v>1561</v>
      </c>
      <c r="P172" s="654" t="s">
        <v>1562</v>
      </c>
      <c r="Q172" s="654" t="s">
        <v>1563</v>
      </c>
      <c r="R172" s="654" t="s">
        <v>1564</v>
      </c>
      <c r="S172" s="654" t="s">
        <v>1565</v>
      </c>
      <c r="T172" s="654" t="s">
        <v>1566</v>
      </c>
      <c r="U172" s="654" t="s">
        <v>1567</v>
      </c>
      <c r="V172" s="654" t="s">
        <v>1568</v>
      </c>
      <c r="W172" s="654" t="s">
        <v>1569</v>
      </c>
      <c r="X172" s="654" t="s">
        <v>1570</v>
      </c>
      <c r="Y172" s="654" t="s">
        <v>1571</v>
      </c>
      <c r="Z172" s="654" t="s">
        <v>1572</v>
      </c>
      <c r="AA172" s="654" t="s">
        <v>1573</v>
      </c>
      <c r="AB172" s="654" t="s">
        <v>1574</v>
      </c>
      <c r="AC172" s="654" t="s">
        <v>1575</v>
      </c>
      <c r="AD172" s="654" t="s">
        <v>1576</v>
      </c>
      <c r="AE172" s="654" t="s">
        <v>1577</v>
      </c>
      <c r="AF172" s="654" t="s">
        <v>1578</v>
      </c>
      <c r="AG172" s="654" t="s">
        <v>1579</v>
      </c>
      <c r="AH172" s="654" t="s">
        <v>1580</v>
      </c>
      <c r="AI172" s="654" t="s">
        <v>1581</v>
      </c>
      <c r="AJ172" s="654" t="s">
        <v>1582</v>
      </c>
      <c r="AK172" s="654" t="s">
        <v>1583</v>
      </c>
      <c r="AL172" s="654" t="s">
        <v>1584</v>
      </c>
      <c r="AM172" s="654" t="s">
        <v>1585</v>
      </c>
      <c r="AN172" s="654" t="s">
        <v>1586</v>
      </c>
      <c r="AO172" s="654" t="s">
        <v>1587</v>
      </c>
      <c r="AP172" s="654" t="s">
        <v>1588</v>
      </c>
      <c r="AQ172" s="654" t="s">
        <v>1589</v>
      </c>
      <c r="AR172" s="630" t="s">
        <v>1590</v>
      </c>
      <c r="AS172" s="632" t="s">
        <v>1591</v>
      </c>
      <c r="AT172" s="630" t="s">
        <v>1592</v>
      </c>
      <c r="AU172" s="628" t="s">
        <v>1593</v>
      </c>
      <c r="AV172" s="629" t="s">
        <v>1594</v>
      </c>
      <c r="AW172" s="1513" t="str">
        <f t="shared" si="175"/>
        <v xml:space="preserve"> * La variable Pueblos Originarios / hombres  no debe ser mayor que el Total de Hombres. * La variable Pueblos Originarios/ Mujeres no debe ser mayor que el Total de Mujeres * La variable Migrantes / hombres  no debe ser mayor que el Total de Hombres * La variable Migrantes / Mujeres no debe ser mayor que el Total de Mujeres</v>
      </c>
      <c r="AX172" s="178"/>
      <c r="AY172" s="178"/>
      <c r="AZ172" s="178"/>
      <c r="BA172" s="178"/>
      <c r="BS172" s="960"/>
      <c r="BT172" s="960"/>
      <c r="BU172" s="960"/>
      <c r="BV172" s="960"/>
      <c r="CB172" s="354"/>
      <c r="CC172" s="348" t="str">
        <f t="shared" si="176"/>
        <v xml:space="preserve"> * La variable Pueblos Originarios / hombres  no debe ser mayor que el Total de Hombres.</v>
      </c>
      <c r="CD172" s="348" t="str">
        <f t="shared" si="177"/>
        <v xml:space="preserve"> * La variable Pueblos Originarios/ Mujeres no debe ser mayor que el Total de Mujeres</v>
      </c>
      <c r="CE172" s="348" t="str">
        <f t="shared" si="178"/>
        <v xml:space="preserve"> * La variable Migrantes / hombres  no debe ser mayor que el Total de Hombres</v>
      </c>
      <c r="CF172" s="348" t="str">
        <f t="shared" si="179"/>
        <v xml:space="preserve"> * La variable Migrantes / Mujeres no debe ser mayor que el Total de Mujeres</v>
      </c>
      <c r="CG172" s="354"/>
      <c r="CH172" s="354"/>
      <c r="CI172" s="354"/>
      <c r="CJ172" s="354"/>
      <c r="CK172" s="354"/>
      <c r="CL172" s="354"/>
      <c r="CM172" s="306"/>
      <c r="CN172" s="306"/>
      <c r="CO172" s="306"/>
      <c r="CP172" s="306"/>
      <c r="CQ172" s="306"/>
      <c r="CR172" s="306"/>
      <c r="CS172" s="306"/>
      <c r="CT172" s="306"/>
      <c r="CU172" s="306"/>
      <c r="CV172" s="306"/>
      <c r="CW172" s="306"/>
      <c r="CX172" s="306"/>
      <c r="CY172" s="306"/>
      <c r="CZ172" s="306"/>
      <c r="DA172" s="306"/>
      <c r="DB172" s="306"/>
      <c r="DC172" s="352"/>
      <c r="DD172" s="352"/>
      <c r="DE172" s="352"/>
      <c r="DF172" s="352"/>
      <c r="DG172" s="352">
        <f t="shared" si="180"/>
        <v>1</v>
      </c>
      <c r="DH172" s="352">
        <f t="shared" si="181"/>
        <v>1</v>
      </c>
      <c r="DI172" s="352">
        <f t="shared" si="182"/>
        <v>1</v>
      </c>
      <c r="DJ172" s="352">
        <f t="shared" si="183"/>
        <v>1</v>
      </c>
      <c r="DK172" s="352"/>
      <c r="DL172" s="352"/>
      <c r="DM172" s="352"/>
      <c r="DN172" s="352"/>
      <c r="DO172" s="352"/>
      <c r="DP172" s="352"/>
      <c r="DQ172" s="352"/>
      <c r="DR172" s="352"/>
      <c r="DS172" s="352"/>
      <c r="DT172" s="352"/>
      <c r="DU172" s="352"/>
      <c r="DV172" s="352"/>
      <c r="DW172" s="352"/>
    </row>
    <row r="173" spans="1:127" ht="16.5" customHeight="1" x14ac:dyDescent="0.3">
      <c r="A173" s="1641" t="s">
        <v>1109</v>
      </c>
      <c r="B173" s="2000" t="s">
        <v>764</v>
      </c>
      <c r="C173" s="2001" t="s">
        <v>764</v>
      </c>
      <c r="D173" s="642" t="s">
        <v>1550</v>
      </c>
      <c r="E173" s="1227" t="s">
        <v>1551</v>
      </c>
      <c r="F173" s="1428" t="s">
        <v>1552</v>
      </c>
      <c r="G173" s="631" t="s">
        <v>1553</v>
      </c>
      <c r="H173" s="654" t="s">
        <v>1554</v>
      </c>
      <c r="I173" s="654" t="s">
        <v>1555</v>
      </c>
      <c r="J173" s="654" t="s">
        <v>1556</v>
      </c>
      <c r="K173" s="654" t="s">
        <v>1557</v>
      </c>
      <c r="L173" s="654" t="s">
        <v>1558</v>
      </c>
      <c r="M173" s="654" t="s">
        <v>1559</v>
      </c>
      <c r="N173" s="654" t="s">
        <v>1560</v>
      </c>
      <c r="O173" s="654" t="s">
        <v>1561</v>
      </c>
      <c r="P173" s="654" t="s">
        <v>1562</v>
      </c>
      <c r="Q173" s="654" t="s">
        <v>1563</v>
      </c>
      <c r="R173" s="654" t="s">
        <v>1564</v>
      </c>
      <c r="S173" s="654" t="s">
        <v>1565</v>
      </c>
      <c r="T173" s="654" t="s">
        <v>1566</v>
      </c>
      <c r="U173" s="654" t="s">
        <v>1567</v>
      </c>
      <c r="V173" s="654" t="s">
        <v>1568</v>
      </c>
      <c r="W173" s="654" t="s">
        <v>1569</v>
      </c>
      <c r="X173" s="654" t="s">
        <v>1570</v>
      </c>
      <c r="Y173" s="654" t="s">
        <v>1571</v>
      </c>
      <c r="Z173" s="654" t="s">
        <v>1572</v>
      </c>
      <c r="AA173" s="654" t="s">
        <v>1573</v>
      </c>
      <c r="AB173" s="654" t="s">
        <v>1574</v>
      </c>
      <c r="AC173" s="654" t="s">
        <v>1575</v>
      </c>
      <c r="AD173" s="654" t="s">
        <v>1576</v>
      </c>
      <c r="AE173" s="654" t="s">
        <v>1577</v>
      </c>
      <c r="AF173" s="654" t="s">
        <v>1578</v>
      </c>
      <c r="AG173" s="654" t="s">
        <v>1579</v>
      </c>
      <c r="AH173" s="654" t="s">
        <v>1580</v>
      </c>
      <c r="AI173" s="654" t="s">
        <v>1581</v>
      </c>
      <c r="AJ173" s="654" t="s">
        <v>1582</v>
      </c>
      <c r="AK173" s="654" t="s">
        <v>1583</v>
      </c>
      <c r="AL173" s="654" t="s">
        <v>1584</v>
      </c>
      <c r="AM173" s="654" t="s">
        <v>1585</v>
      </c>
      <c r="AN173" s="654" t="s">
        <v>1586</v>
      </c>
      <c r="AO173" s="654" t="s">
        <v>1587</v>
      </c>
      <c r="AP173" s="654" t="s">
        <v>1588</v>
      </c>
      <c r="AQ173" s="654" t="s">
        <v>1589</v>
      </c>
      <c r="AR173" s="630" t="s">
        <v>1590</v>
      </c>
      <c r="AS173" s="632" t="s">
        <v>1591</v>
      </c>
      <c r="AT173" s="630" t="s">
        <v>1592</v>
      </c>
      <c r="AU173" s="628" t="s">
        <v>1593</v>
      </c>
      <c r="AV173" s="629" t="s">
        <v>1594</v>
      </c>
      <c r="AW173" s="1513" t="str">
        <f t="shared" si="175"/>
        <v xml:space="preserve"> * La variable Pueblos Originarios / hombres  no debe ser mayor que el Total de Hombres. * La variable Pueblos Originarios/ Mujeres no debe ser mayor que el Total de Mujeres * La variable Migrantes / hombres  no debe ser mayor que el Total de Hombres * La variable Migrantes / Mujeres no debe ser mayor que el Total de Mujeres</v>
      </c>
      <c r="AX173" s="178"/>
      <c r="AY173" s="178"/>
      <c r="AZ173" s="178"/>
      <c r="BA173" s="178"/>
      <c r="BS173" s="960"/>
      <c r="BT173" s="960"/>
      <c r="BU173" s="960"/>
      <c r="BV173" s="960"/>
      <c r="CB173" s="354"/>
      <c r="CC173" s="348" t="str">
        <f t="shared" si="176"/>
        <v xml:space="preserve"> * La variable Pueblos Originarios / hombres  no debe ser mayor que el Total de Hombres.</v>
      </c>
      <c r="CD173" s="348" t="str">
        <f t="shared" si="177"/>
        <v xml:space="preserve"> * La variable Pueblos Originarios/ Mujeres no debe ser mayor que el Total de Mujeres</v>
      </c>
      <c r="CE173" s="348" t="str">
        <f t="shared" si="178"/>
        <v xml:space="preserve"> * La variable Migrantes / hombres  no debe ser mayor que el Total de Hombres</v>
      </c>
      <c r="CF173" s="348" t="str">
        <f t="shared" si="179"/>
        <v xml:space="preserve"> * La variable Migrantes / Mujeres no debe ser mayor que el Total de Mujeres</v>
      </c>
      <c r="CG173" s="354"/>
      <c r="CH173" s="354"/>
      <c r="CI173" s="354"/>
      <c r="CJ173" s="354"/>
      <c r="CK173" s="354"/>
      <c r="CL173" s="354"/>
      <c r="CM173" s="306"/>
      <c r="CN173" s="306"/>
      <c r="CO173" s="306"/>
      <c r="CP173" s="306"/>
      <c r="CQ173" s="306"/>
      <c r="CR173" s="306"/>
      <c r="CS173" s="306"/>
      <c r="CT173" s="306"/>
      <c r="CU173" s="306"/>
      <c r="CV173" s="306"/>
      <c r="CW173" s="306"/>
      <c r="CX173" s="306"/>
      <c r="CY173" s="306"/>
      <c r="CZ173" s="306"/>
      <c r="DA173" s="306"/>
      <c r="DB173" s="306"/>
      <c r="DC173" s="352"/>
      <c r="DD173" s="352"/>
      <c r="DE173" s="352"/>
      <c r="DF173" s="352"/>
      <c r="DG173" s="352">
        <f t="shared" si="180"/>
        <v>1</v>
      </c>
      <c r="DH173" s="352">
        <f t="shared" si="181"/>
        <v>1</v>
      </c>
      <c r="DI173" s="352">
        <f t="shared" si="182"/>
        <v>1</v>
      </c>
      <c r="DJ173" s="352">
        <f t="shared" si="183"/>
        <v>1</v>
      </c>
      <c r="DK173" s="352"/>
      <c r="DL173" s="352"/>
      <c r="DM173" s="352"/>
      <c r="DN173" s="352"/>
      <c r="DO173" s="352"/>
      <c r="DP173" s="352"/>
      <c r="DQ173" s="352"/>
      <c r="DR173" s="352"/>
      <c r="DS173" s="352"/>
      <c r="DT173" s="352"/>
      <c r="DU173" s="352"/>
      <c r="DV173" s="352"/>
      <c r="DW173" s="352"/>
    </row>
    <row r="174" spans="1:127" ht="16.5" customHeight="1" x14ac:dyDescent="0.3">
      <c r="A174" s="1641" t="s">
        <v>1110</v>
      </c>
      <c r="B174" s="2000" t="s">
        <v>793</v>
      </c>
      <c r="C174" s="2001" t="s">
        <v>793</v>
      </c>
      <c r="D174" s="642" t="s">
        <v>1550</v>
      </c>
      <c r="E174" s="1227" t="s">
        <v>1551</v>
      </c>
      <c r="F174" s="1428" t="s">
        <v>1552</v>
      </c>
      <c r="G174" s="631" t="s">
        <v>1553</v>
      </c>
      <c r="H174" s="654" t="s">
        <v>1554</v>
      </c>
      <c r="I174" s="654" t="s">
        <v>1555</v>
      </c>
      <c r="J174" s="654" t="s">
        <v>1556</v>
      </c>
      <c r="K174" s="654" t="s">
        <v>1557</v>
      </c>
      <c r="L174" s="654" t="s">
        <v>1558</v>
      </c>
      <c r="M174" s="654" t="s">
        <v>1559</v>
      </c>
      <c r="N174" s="654" t="s">
        <v>1560</v>
      </c>
      <c r="O174" s="654" t="s">
        <v>1561</v>
      </c>
      <c r="P174" s="654" t="s">
        <v>1562</v>
      </c>
      <c r="Q174" s="654" t="s">
        <v>1563</v>
      </c>
      <c r="R174" s="654" t="s">
        <v>1564</v>
      </c>
      <c r="S174" s="654" t="s">
        <v>1565</v>
      </c>
      <c r="T174" s="654" t="s">
        <v>1566</v>
      </c>
      <c r="U174" s="654" t="s">
        <v>1567</v>
      </c>
      <c r="V174" s="654" t="s">
        <v>1568</v>
      </c>
      <c r="W174" s="654" t="s">
        <v>1569</v>
      </c>
      <c r="X174" s="654" t="s">
        <v>1570</v>
      </c>
      <c r="Y174" s="654" t="s">
        <v>1571</v>
      </c>
      <c r="Z174" s="654" t="s">
        <v>1572</v>
      </c>
      <c r="AA174" s="654" t="s">
        <v>1573</v>
      </c>
      <c r="AB174" s="654" t="s">
        <v>1574</v>
      </c>
      <c r="AC174" s="654" t="s">
        <v>1575</v>
      </c>
      <c r="AD174" s="654" t="s">
        <v>1576</v>
      </c>
      <c r="AE174" s="654" t="s">
        <v>1577</v>
      </c>
      <c r="AF174" s="654" t="s">
        <v>1578</v>
      </c>
      <c r="AG174" s="654" t="s">
        <v>1579</v>
      </c>
      <c r="AH174" s="654" t="s">
        <v>1580</v>
      </c>
      <c r="AI174" s="654" t="s">
        <v>1581</v>
      </c>
      <c r="AJ174" s="654" t="s">
        <v>1582</v>
      </c>
      <c r="AK174" s="654" t="s">
        <v>1583</v>
      </c>
      <c r="AL174" s="654" t="s">
        <v>1584</v>
      </c>
      <c r="AM174" s="654" t="s">
        <v>1585</v>
      </c>
      <c r="AN174" s="654" t="s">
        <v>1586</v>
      </c>
      <c r="AO174" s="654" t="s">
        <v>1587</v>
      </c>
      <c r="AP174" s="654" t="s">
        <v>1588</v>
      </c>
      <c r="AQ174" s="654" t="s">
        <v>1589</v>
      </c>
      <c r="AR174" s="630" t="s">
        <v>1590</v>
      </c>
      <c r="AS174" s="632" t="s">
        <v>1591</v>
      </c>
      <c r="AT174" s="630" t="s">
        <v>1592</v>
      </c>
      <c r="AU174" s="628" t="s">
        <v>1593</v>
      </c>
      <c r="AV174" s="629" t="s">
        <v>1594</v>
      </c>
      <c r="AW174" s="1513" t="str">
        <f t="shared" si="175"/>
        <v xml:space="preserve"> * La variable Pueblos Originarios / hombres  no debe ser mayor que el Total de Hombres. * La variable Pueblos Originarios/ Mujeres no debe ser mayor que el Total de Mujeres * La variable Migrantes / hombres  no debe ser mayor que el Total de Hombres * La variable Migrantes / Mujeres no debe ser mayor que el Total de Mujeres</v>
      </c>
      <c r="AX174" s="178"/>
      <c r="AY174" s="178"/>
      <c r="AZ174" s="178"/>
      <c r="BA174" s="178"/>
      <c r="BS174" s="960"/>
      <c r="BT174" s="960"/>
      <c r="BU174" s="960"/>
      <c r="BV174" s="960"/>
      <c r="CB174" s="354"/>
      <c r="CC174" s="348" t="str">
        <f t="shared" si="176"/>
        <v xml:space="preserve"> * La variable Pueblos Originarios / hombres  no debe ser mayor que el Total de Hombres.</v>
      </c>
      <c r="CD174" s="348" t="str">
        <f t="shared" si="177"/>
        <v xml:space="preserve"> * La variable Pueblos Originarios/ Mujeres no debe ser mayor que el Total de Mujeres</v>
      </c>
      <c r="CE174" s="348" t="str">
        <f t="shared" si="178"/>
        <v xml:space="preserve"> * La variable Migrantes / hombres  no debe ser mayor que el Total de Hombres</v>
      </c>
      <c r="CF174" s="348" t="str">
        <f t="shared" si="179"/>
        <v xml:space="preserve"> * La variable Migrantes / Mujeres no debe ser mayor que el Total de Mujeres</v>
      </c>
      <c r="CG174" s="354"/>
      <c r="CH174" s="354"/>
      <c r="CI174" s="354"/>
      <c r="CJ174" s="354"/>
      <c r="CK174" s="354"/>
      <c r="CL174" s="354"/>
      <c r="CM174" s="306"/>
      <c r="CN174" s="306"/>
      <c r="CO174" s="306"/>
      <c r="CP174" s="306"/>
      <c r="CQ174" s="306"/>
      <c r="CR174" s="306"/>
      <c r="CS174" s="306"/>
      <c r="CT174" s="306"/>
      <c r="CU174" s="306"/>
      <c r="CV174" s="306"/>
      <c r="CW174" s="306"/>
      <c r="CX174" s="306"/>
      <c r="CY174" s="306"/>
      <c r="CZ174" s="306"/>
      <c r="DA174" s="306"/>
      <c r="DB174" s="306"/>
      <c r="DC174" s="352"/>
      <c r="DD174" s="352"/>
      <c r="DE174" s="352"/>
      <c r="DF174" s="352"/>
      <c r="DG174" s="352">
        <f t="shared" si="180"/>
        <v>1</v>
      </c>
      <c r="DH174" s="352">
        <f t="shared" si="181"/>
        <v>1</v>
      </c>
      <c r="DI174" s="352">
        <f t="shared" si="182"/>
        <v>1</v>
      </c>
      <c r="DJ174" s="352">
        <f t="shared" si="183"/>
        <v>1</v>
      </c>
      <c r="DK174" s="352"/>
      <c r="DL174" s="352"/>
      <c r="DM174" s="352"/>
      <c r="DN174" s="352"/>
      <c r="DO174" s="352"/>
      <c r="DP174" s="352"/>
      <c r="DQ174" s="352"/>
      <c r="DR174" s="352"/>
      <c r="DS174" s="352"/>
      <c r="DT174" s="352"/>
      <c r="DU174" s="352"/>
      <c r="DV174" s="352"/>
      <c r="DW174" s="352"/>
    </row>
    <row r="175" spans="1:127" x14ac:dyDescent="0.3">
      <c r="A175" s="1641" t="s">
        <v>1111</v>
      </c>
      <c r="B175" s="2000" t="s">
        <v>791</v>
      </c>
      <c r="C175" s="2001"/>
      <c r="D175" s="646" t="s">
        <v>1550</v>
      </c>
      <c r="E175" s="1228" t="s">
        <v>1551</v>
      </c>
      <c r="F175" s="1427" t="s">
        <v>1552</v>
      </c>
      <c r="G175" s="616" t="s">
        <v>1553</v>
      </c>
      <c r="H175" s="1036" t="s">
        <v>1554</v>
      </c>
      <c r="I175" s="1036" t="s">
        <v>1555</v>
      </c>
      <c r="J175" s="1036" t="s">
        <v>1556</v>
      </c>
      <c r="K175" s="1036" t="s">
        <v>1557</v>
      </c>
      <c r="L175" s="1036" t="s">
        <v>1558</v>
      </c>
      <c r="M175" s="1036" t="s">
        <v>1559</v>
      </c>
      <c r="N175" s="1036" t="s">
        <v>1560</v>
      </c>
      <c r="O175" s="1036" t="s">
        <v>1561</v>
      </c>
      <c r="P175" s="1036" t="s">
        <v>1562</v>
      </c>
      <c r="Q175" s="1036" t="s">
        <v>1563</v>
      </c>
      <c r="R175" s="1036" t="s">
        <v>1564</v>
      </c>
      <c r="S175" s="1036" t="s">
        <v>1565</v>
      </c>
      <c r="T175" s="1036" t="s">
        <v>1566</v>
      </c>
      <c r="U175" s="1036" t="s">
        <v>1567</v>
      </c>
      <c r="V175" s="1036" t="s">
        <v>1568</v>
      </c>
      <c r="W175" s="1036" t="s">
        <v>1569</v>
      </c>
      <c r="X175" s="1036" t="s">
        <v>1570</v>
      </c>
      <c r="Y175" s="1036" t="s">
        <v>1571</v>
      </c>
      <c r="Z175" s="1036" t="s">
        <v>1572</v>
      </c>
      <c r="AA175" s="1036" t="s">
        <v>1573</v>
      </c>
      <c r="AB175" s="1036" t="s">
        <v>1574</v>
      </c>
      <c r="AC175" s="1036" t="s">
        <v>1575</v>
      </c>
      <c r="AD175" s="1036" t="s">
        <v>1576</v>
      </c>
      <c r="AE175" s="1036" t="s">
        <v>1577</v>
      </c>
      <c r="AF175" s="1036" t="s">
        <v>1578</v>
      </c>
      <c r="AG175" s="1036" t="s">
        <v>1579</v>
      </c>
      <c r="AH175" s="1036" t="s">
        <v>1580</v>
      </c>
      <c r="AI175" s="1036" t="s">
        <v>1581</v>
      </c>
      <c r="AJ175" s="1036" t="s">
        <v>1582</v>
      </c>
      <c r="AK175" s="1036" t="s">
        <v>1583</v>
      </c>
      <c r="AL175" s="1036" t="s">
        <v>1584</v>
      </c>
      <c r="AM175" s="1036" t="s">
        <v>1585</v>
      </c>
      <c r="AN175" s="1036" t="s">
        <v>1586</v>
      </c>
      <c r="AO175" s="1036" t="s">
        <v>1587</v>
      </c>
      <c r="AP175" s="1036" t="s">
        <v>1588</v>
      </c>
      <c r="AQ175" s="1036" t="s">
        <v>1589</v>
      </c>
      <c r="AR175" s="617" t="s">
        <v>1590</v>
      </c>
      <c r="AS175" s="620" t="s">
        <v>1591</v>
      </c>
      <c r="AT175" s="617" t="s">
        <v>1592</v>
      </c>
      <c r="AU175" s="615" t="s">
        <v>1593</v>
      </c>
      <c r="AV175" s="618" t="s">
        <v>1594</v>
      </c>
      <c r="AW175" s="1513" t="str">
        <f t="shared" si="175"/>
        <v xml:space="preserve"> * La variable Pueblos Originarios / hombres  no debe ser mayor que el Total de Hombres. * La variable Pueblos Originarios/ Mujeres no debe ser mayor que el Total de Mujeres * La variable Migrantes / hombres  no debe ser mayor que el Total de Hombres * La variable Migrantes / Mujeres no debe ser mayor que el Total de Mujeres</v>
      </c>
      <c r="CB175" s="354"/>
      <c r="CC175" s="348" t="str">
        <f t="shared" si="176"/>
        <v xml:space="preserve"> * La variable Pueblos Originarios / hombres  no debe ser mayor que el Total de Hombres.</v>
      </c>
      <c r="CD175" s="348" t="str">
        <f t="shared" si="177"/>
        <v xml:space="preserve"> * La variable Pueblos Originarios/ Mujeres no debe ser mayor que el Total de Mujeres</v>
      </c>
      <c r="CE175" s="348" t="str">
        <f t="shared" si="178"/>
        <v xml:space="preserve"> * La variable Migrantes / hombres  no debe ser mayor que el Total de Hombres</v>
      </c>
      <c r="CF175" s="348" t="str">
        <f t="shared" si="179"/>
        <v xml:space="preserve"> * La variable Migrantes / Mujeres no debe ser mayor que el Total de Mujeres</v>
      </c>
      <c r="CG175" s="354"/>
      <c r="CH175" s="354"/>
      <c r="CI175" s="354"/>
      <c r="CJ175" s="354"/>
      <c r="CK175" s="354"/>
      <c r="CL175" s="354"/>
      <c r="CM175" s="306"/>
      <c r="CN175" s="306"/>
      <c r="CO175" s="306"/>
      <c r="CP175" s="306"/>
      <c r="CQ175" s="306"/>
      <c r="CR175" s="306"/>
      <c r="CS175" s="306"/>
      <c r="CT175" s="306"/>
      <c r="CU175" s="306"/>
      <c r="CV175" s="306"/>
      <c r="CW175" s="306"/>
      <c r="CX175" s="306"/>
      <c r="CY175" s="306"/>
      <c r="CZ175" s="306"/>
      <c r="DA175" s="306"/>
      <c r="DB175" s="306"/>
      <c r="DC175" s="352"/>
      <c r="DD175" s="352"/>
      <c r="DE175" s="352"/>
      <c r="DF175" s="352"/>
      <c r="DG175" s="352">
        <f t="shared" si="180"/>
        <v>1</v>
      </c>
      <c r="DH175" s="352">
        <f t="shared" si="181"/>
        <v>1</v>
      </c>
      <c r="DI175" s="352">
        <f t="shared" si="182"/>
        <v>1</v>
      </c>
      <c r="DJ175" s="352">
        <f t="shared" si="183"/>
        <v>1</v>
      </c>
      <c r="DK175" s="354"/>
      <c r="DL175" s="354"/>
      <c r="DM175" s="352"/>
      <c r="DN175" s="352"/>
      <c r="DO175" s="352"/>
      <c r="DP175" s="352"/>
      <c r="DQ175" s="352"/>
      <c r="DR175" s="352"/>
      <c r="DS175" s="352"/>
      <c r="DT175" s="352"/>
      <c r="DU175" s="352"/>
      <c r="DV175" s="352"/>
      <c r="DW175" s="352"/>
    </row>
    <row r="176" spans="1:127" ht="16.5" customHeight="1" x14ac:dyDescent="0.3">
      <c r="A176" s="1641" t="s">
        <v>1112</v>
      </c>
      <c r="B176" s="2000" t="s">
        <v>767</v>
      </c>
      <c r="C176" s="2001" t="s">
        <v>767</v>
      </c>
      <c r="D176" s="642" t="s">
        <v>1550</v>
      </c>
      <c r="E176" s="1227" t="s">
        <v>1551</v>
      </c>
      <c r="F176" s="1428" t="s">
        <v>1552</v>
      </c>
      <c r="G176" s="631" t="s">
        <v>1553</v>
      </c>
      <c r="H176" s="654" t="s">
        <v>1554</v>
      </c>
      <c r="I176" s="654" t="s">
        <v>1555</v>
      </c>
      <c r="J176" s="654" t="s">
        <v>1556</v>
      </c>
      <c r="K176" s="654" t="s">
        <v>1557</v>
      </c>
      <c r="L176" s="654" t="s">
        <v>1558</v>
      </c>
      <c r="M176" s="654" t="s">
        <v>1559</v>
      </c>
      <c r="N176" s="654" t="s">
        <v>1560</v>
      </c>
      <c r="O176" s="654" t="s">
        <v>1561</v>
      </c>
      <c r="P176" s="654" t="s">
        <v>1562</v>
      </c>
      <c r="Q176" s="654" t="s">
        <v>1563</v>
      </c>
      <c r="R176" s="654" t="s">
        <v>1564</v>
      </c>
      <c r="S176" s="654" t="s">
        <v>1565</v>
      </c>
      <c r="T176" s="654" t="s">
        <v>1566</v>
      </c>
      <c r="U176" s="654" t="s">
        <v>1567</v>
      </c>
      <c r="V176" s="654" t="s">
        <v>1568</v>
      </c>
      <c r="W176" s="654" t="s">
        <v>1569</v>
      </c>
      <c r="X176" s="654" t="s">
        <v>1570</v>
      </c>
      <c r="Y176" s="654" t="s">
        <v>1571</v>
      </c>
      <c r="Z176" s="654" t="s">
        <v>1572</v>
      </c>
      <c r="AA176" s="654" t="s">
        <v>1573</v>
      </c>
      <c r="AB176" s="654" t="s">
        <v>1574</v>
      </c>
      <c r="AC176" s="654" t="s">
        <v>1575</v>
      </c>
      <c r="AD176" s="654" t="s">
        <v>1576</v>
      </c>
      <c r="AE176" s="654" t="s">
        <v>1577</v>
      </c>
      <c r="AF176" s="654" t="s">
        <v>1578</v>
      </c>
      <c r="AG176" s="654" t="s">
        <v>1579</v>
      </c>
      <c r="AH176" s="654" t="s">
        <v>1580</v>
      </c>
      <c r="AI176" s="654" t="s">
        <v>1581</v>
      </c>
      <c r="AJ176" s="654" t="s">
        <v>1582</v>
      </c>
      <c r="AK176" s="654" t="s">
        <v>1583</v>
      </c>
      <c r="AL176" s="654" t="s">
        <v>1584</v>
      </c>
      <c r="AM176" s="654" t="s">
        <v>1585</v>
      </c>
      <c r="AN176" s="654" t="s">
        <v>1586</v>
      </c>
      <c r="AO176" s="654" t="s">
        <v>1587</v>
      </c>
      <c r="AP176" s="654" t="s">
        <v>1588</v>
      </c>
      <c r="AQ176" s="654" t="s">
        <v>1589</v>
      </c>
      <c r="AR176" s="630" t="s">
        <v>1590</v>
      </c>
      <c r="AS176" s="632" t="s">
        <v>1591</v>
      </c>
      <c r="AT176" s="630" t="s">
        <v>1592</v>
      </c>
      <c r="AU176" s="628" t="s">
        <v>1593</v>
      </c>
      <c r="AV176" s="629" t="s">
        <v>1594</v>
      </c>
      <c r="AW176" s="1513" t="str">
        <f t="shared" si="175"/>
        <v xml:space="preserve"> * La variable Pueblos Originarios / hombres  no debe ser mayor que el Total de Hombres. * La variable Pueblos Originarios/ Mujeres no debe ser mayor que el Total de Mujeres * La variable Migrantes / hombres  no debe ser mayor que el Total de Hombres * La variable Migrantes / Mujeres no debe ser mayor que el Total de Mujeres</v>
      </c>
      <c r="AX176" s="178"/>
      <c r="AY176" s="178"/>
      <c r="AZ176" s="178"/>
      <c r="BA176" s="178"/>
      <c r="BS176" s="960"/>
      <c r="BT176" s="960"/>
      <c r="BU176" s="960"/>
      <c r="BV176" s="960"/>
      <c r="CB176" s="354"/>
      <c r="CC176" s="348" t="str">
        <f t="shared" si="176"/>
        <v xml:space="preserve"> * La variable Pueblos Originarios / hombres  no debe ser mayor que el Total de Hombres.</v>
      </c>
      <c r="CD176" s="348" t="str">
        <f t="shared" si="177"/>
        <v xml:space="preserve"> * La variable Pueblos Originarios/ Mujeres no debe ser mayor que el Total de Mujeres</v>
      </c>
      <c r="CE176" s="348" t="str">
        <f t="shared" si="178"/>
        <v xml:space="preserve"> * La variable Migrantes / hombres  no debe ser mayor que el Total de Hombres</v>
      </c>
      <c r="CF176" s="348" t="str">
        <f t="shared" si="179"/>
        <v xml:space="preserve"> * La variable Migrantes / Mujeres no debe ser mayor que el Total de Mujeres</v>
      </c>
      <c r="CG176" s="354"/>
      <c r="CH176" s="354"/>
      <c r="CI176" s="354"/>
      <c r="CJ176" s="354"/>
      <c r="CK176" s="354"/>
      <c r="CL176" s="354"/>
      <c r="CM176" s="306"/>
      <c r="CN176" s="306"/>
      <c r="CO176" s="306"/>
      <c r="CP176" s="306"/>
      <c r="CQ176" s="306"/>
      <c r="CR176" s="306"/>
      <c r="CS176" s="306"/>
      <c r="CT176" s="306"/>
      <c r="CU176" s="306"/>
      <c r="CV176" s="306"/>
      <c r="CW176" s="306"/>
      <c r="CX176" s="306"/>
      <c r="CY176" s="306"/>
      <c r="CZ176" s="306"/>
      <c r="DA176" s="306"/>
      <c r="DB176" s="306"/>
      <c r="DC176" s="352"/>
      <c r="DD176" s="352"/>
      <c r="DE176" s="352"/>
      <c r="DF176" s="352"/>
      <c r="DG176" s="352">
        <f t="shared" si="180"/>
        <v>1</v>
      </c>
      <c r="DH176" s="352">
        <f t="shared" si="181"/>
        <v>1</v>
      </c>
      <c r="DI176" s="352">
        <f t="shared" si="182"/>
        <v>1</v>
      </c>
      <c r="DJ176" s="352">
        <f t="shared" si="183"/>
        <v>1</v>
      </c>
      <c r="DK176" s="352"/>
      <c r="DL176" s="352"/>
      <c r="DM176" s="352"/>
      <c r="DN176" s="352"/>
      <c r="DO176" s="352"/>
      <c r="DP176" s="352"/>
      <c r="DQ176" s="352"/>
      <c r="DR176" s="352"/>
      <c r="DS176" s="352"/>
      <c r="DT176" s="352"/>
      <c r="DU176" s="352"/>
      <c r="DV176" s="352"/>
      <c r="DW176" s="352"/>
    </row>
    <row r="177" spans="1:127" ht="16.5" customHeight="1" x14ac:dyDescent="0.3">
      <c r="A177" s="1641" t="s">
        <v>1113</v>
      </c>
      <c r="B177" s="2000" t="s">
        <v>768</v>
      </c>
      <c r="C177" s="2001" t="s">
        <v>768</v>
      </c>
      <c r="D177" s="642" t="s">
        <v>1550</v>
      </c>
      <c r="E177" s="1227" t="s">
        <v>1551</v>
      </c>
      <c r="F177" s="1428" t="s">
        <v>1552</v>
      </c>
      <c r="G177" s="631" t="s">
        <v>1553</v>
      </c>
      <c r="H177" s="654" t="s">
        <v>1554</v>
      </c>
      <c r="I177" s="654" t="s">
        <v>1555</v>
      </c>
      <c r="J177" s="654" t="s">
        <v>1556</v>
      </c>
      <c r="K177" s="654" t="s">
        <v>1557</v>
      </c>
      <c r="L177" s="654" t="s">
        <v>1558</v>
      </c>
      <c r="M177" s="654" t="s">
        <v>1559</v>
      </c>
      <c r="N177" s="654" t="s">
        <v>1560</v>
      </c>
      <c r="O177" s="654" t="s">
        <v>1561</v>
      </c>
      <c r="P177" s="654" t="s">
        <v>1562</v>
      </c>
      <c r="Q177" s="654" t="s">
        <v>1563</v>
      </c>
      <c r="R177" s="654" t="s">
        <v>1564</v>
      </c>
      <c r="S177" s="654" t="s">
        <v>1565</v>
      </c>
      <c r="T177" s="654" t="s">
        <v>1566</v>
      </c>
      <c r="U177" s="654" t="s">
        <v>1567</v>
      </c>
      <c r="V177" s="654" t="s">
        <v>1568</v>
      </c>
      <c r="W177" s="654" t="s">
        <v>1569</v>
      </c>
      <c r="X177" s="654" t="s">
        <v>1570</v>
      </c>
      <c r="Y177" s="654" t="s">
        <v>1571</v>
      </c>
      <c r="Z177" s="654" t="s">
        <v>1572</v>
      </c>
      <c r="AA177" s="654" t="s">
        <v>1573</v>
      </c>
      <c r="AB177" s="654" t="s">
        <v>1574</v>
      </c>
      <c r="AC177" s="654" t="s">
        <v>1575</v>
      </c>
      <c r="AD177" s="654" t="s">
        <v>1576</v>
      </c>
      <c r="AE177" s="654" t="s">
        <v>1577</v>
      </c>
      <c r="AF177" s="654" t="s">
        <v>1578</v>
      </c>
      <c r="AG177" s="654" t="s">
        <v>1579</v>
      </c>
      <c r="AH177" s="654" t="s">
        <v>1580</v>
      </c>
      <c r="AI177" s="654" t="s">
        <v>1581</v>
      </c>
      <c r="AJ177" s="654" t="s">
        <v>1582</v>
      </c>
      <c r="AK177" s="654" t="s">
        <v>1583</v>
      </c>
      <c r="AL177" s="654" t="s">
        <v>1584</v>
      </c>
      <c r="AM177" s="654" t="s">
        <v>1585</v>
      </c>
      <c r="AN177" s="654" t="s">
        <v>1586</v>
      </c>
      <c r="AO177" s="654" t="s">
        <v>1587</v>
      </c>
      <c r="AP177" s="654" t="s">
        <v>1588</v>
      </c>
      <c r="AQ177" s="654" t="s">
        <v>1589</v>
      </c>
      <c r="AR177" s="630" t="s">
        <v>1590</v>
      </c>
      <c r="AS177" s="632" t="s">
        <v>1591</v>
      </c>
      <c r="AT177" s="630" t="s">
        <v>1592</v>
      </c>
      <c r="AU177" s="628" t="s">
        <v>1593</v>
      </c>
      <c r="AV177" s="629" t="s">
        <v>1594</v>
      </c>
      <c r="AW177" s="1513" t="str">
        <f t="shared" si="175"/>
        <v xml:space="preserve"> * La variable Pueblos Originarios / hombres  no debe ser mayor que el Total de Hombres. * La variable Pueblos Originarios/ Mujeres no debe ser mayor que el Total de Mujeres * La variable Migrantes / hombres  no debe ser mayor que el Total de Hombres * La variable Migrantes / Mujeres no debe ser mayor que el Total de Mujeres</v>
      </c>
      <c r="AX177" s="178"/>
      <c r="AY177" s="178"/>
      <c r="AZ177" s="178"/>
      <c r="BA177" s="178"/>
      <c r="BS177" s="960"/>
      <c r="BT177" s="960"/>
      <c r="BU177" s="960"/>
      <c r="BV177" s="960"/>
      <c r="CB177" s="354"/>
      <c r="CC177" s="348" t="str">
        <f t="shared" si="176"/>
        <v xml:space="preserve"> * La variable Pueblos Originarios / hombres  no debe ser mayor que el Total de Hombres.</v>
      </c>
      <c r="CD177" s="348" t="str">
        <f t="shared" si="177"/>
        <v xml:space="preserve"> * La variable Pueblos Originarios/ Mujeres no debe ser mayor que el Total de Mujeres</v>
      </c>
      <c r="CE177" s="348" t="str">
        <f t="shared" si="178"/>
        <v xml:space="preserve"> * La variable Migrantes / hombres  no debe ser mayor que el Total de Hombres</v>
      </c>
      <c r="CF177" s="348" t="str">
        <f t="shared" si="179"/>
        <v xml:space="preserve"> * La variable Migrantes / Mujeres no debe ser mayor que el Total de Mujeres</v>
      </c>
      <c r="CG177" s="354"/>
      <c r="CH177" s="354"/>
      <c r="CI177" s="354"/>
      <c r="CJ177" s="354"/>
      <c r="CK177" s="354"/>
      <c r="CL177" s="354"/>
      <c r="CM177" s="306"/>
      <c r="CN177" s="306"/>
      <c r="CO177" s="306"/>
      <c r="CP177" s="306"/>
      <c r="CQ177" s="306"/>
      <c r="CR177" s="306"/>
      <c r="CS177" s="306"/>
      <c r="CT177" s="306"/>
      <c r="CU177" s="306"/>
      <c r="CV177" s="306"/>
      <c r="CW177" s="306"/>
      <c r="CX177" s="306"/>
      <c r="CY177" s="306"/>
      <c r="CZ177" s="306"/>
      <c r="DA177" s="306"/>
      <c r="DB177" s="306"/>
      <c r="DC177" s="352"/>
      <c r="DD177" s="352"/>
      <c r="DE177" s="352"/>
      <c r="DF177" s="352"/>
      <c r="DG177" s="352">
        <f t="shared" si="180"/>
        <v>1</v>
      </c>
      <c r="DH177" s="352">
        <f t="shared" si="181"/>
        <v>1</v>
      </c>
      <c r="DI177" s="352">
        <f t="shared" si="182"/>
        <v>1</v>
      </c>
      <c r="DJ177" s="352">
        <f t="shared" si="183"/>
        <v>1</v>
      </c>
      <c r="DK177" s="352"/>
      <c r="DL177" s="352"/>
      <c r="DM177" s="352"/>
      <c r="DN177" s="352"/>
      <c r="DO177" s="352"/>
      <c r="DP177" s="352"/>
      <c r="DQ177" s="352"/>
      <c r="DR177" s="352"/>
      <c r="DS177" s="352"/>
      <c r="DT177" s="352"/>
      <c r="DU177" s="352"/>
      <c r="DV177" s="352"/>
      <c r="DW177" s="352"/>
    </row>
    <row r="178" spans="1:127" ht="20.25" customHeight="1" x14ac:dyDescent="0.3">
      <c r="A178" s="1641" t="s">
        <v>1114</v>
      </c>
      <c r="B178" s="2000" t="s">
        <v>759</v>
      </c>
      <c r="C178" s="2001"/>
      <c r="D178" s="642" t="s">
        <v>1550</v>
      </c>
      <c r="E178" s="1227" t="s">
        <v>1551</v>
      </c>
      <c r="F178" s="1428" t="s">
        <v>1552</v>
      </c>
      <c r="G178" s="631" t="s">
        <v>1553</v>
      </c>
      <c r="H178" s="654" t="s">
        <v>1554</v>
      </c>
      <c r="I178" s="654" t="s">
        <v>1555</v>
      </c>
      <c r="J178" s="654" t="s">
        <v>1556</v>
      </c>
      <c r="K178" s="654" t="s">
        <v>1557</v>
      </c>
      <c r="L178" s="654" t="s">
        <v>1558</v>
      </c>
      <c r="M178" s="654" t="s">
        <v>1559</v>
      </c>
      <c r="N178" s="654" t="s">
        <v>1560</v>
      </c>
      <c r="O178" s="654" t="s">
        <v>1561</v>
      </c>
      <c r="P178" s="654" t="s">
        <v>1562</v>
      </c>
      <c r="Q178" s="654" t="s">
        <v>1563</v>
      </c>
      <c r="R178" s="654" t="s">
        <v>1564</v>
      </c>
      <c r="S178" s="654" t="s">
        <v>1565</v>
      </c>
      <c r="T178" s="654" t="s">
        <v>1566</v>
      </c>
      <c r="U178" s="654" t="s">
        <v>1567</v>
      </c>
      <c r="V178" s="654" t="s">
        <v>1568</v>
      </c>
      <c r="W178" s="654" t="s">
        <v>1569</v>
      </c>
      <c r="X178" s="654" t="s">
        <v>1570</v>
      </c>
      <c r="Y178" s="654" t="s">
        <v>1571</v>
      </c>
      <c r="Z178" s="654" t="s">
        <v>1572</v>
      </c>
      <c r="AA178" s="654" t="s">
        <v>1573</v>
      </c>
      <c r="AB178" s="654" t="s">
        <v>1574</v>
      </c>
      <c r="AC178" s="654" t="s">
        <v>1575</v>
      </c>
      <c r="AD178" s="654" t="s">
        <v>1576</v>
      </c>
      <c r="AE178" s="654" t="s">
        <v>1577</v>
      </c>
      <c r="AF178" s="654" t="s">
        <v>1578</v>
      </c>
      <c r="AG178" s="654" t="s">
        <v>1579</v>
      </c>
      <c r="AH178" s="654" t="s">
        <v>1580</v>
      </c>
      <c r="AI178" s="654" t="s">
        <v>1581</v>
      </c>
      <c r="AJ178" s="654" t="s">
        <v>1582</v>
      </c>
      <c r="AK178" s="654" t="s">
        <v>1583</v>
      </c>
      <c r="AL178" s="654" t="s">
        <v>1584</v>
      </c>
      <c r="AM178" s="654" t="s">
        <v>1585</v>
      </c>
      <c r="AN178" s="654" t="s">
        <v>1586</v>
      </c>
      <c r="AO178" s="654" t="s">
        <v>1587</v>
      </c>
      <c r="AP178" s="654" t="s">
        <v>1588</v>
      </c>
      <c r="AQ178" s="654" t="s">
        <v>1589</v>
      </c>
      <c r="AR178" s="630" t="s">
        <v>1590</v>
      </c>
      <c r="AS178" s="632" t="s">
        <v>1591</v>
      </c>
      <c r="AT178" s="630" t="s">
        <v>1592</v>
      </c>
      <c r="AU178" s="628" t="s">
        <v>1593</v>
      </c>
      <c r="AV178" s="629" t="s">
        <v>1594</v>
      </c>
      <c r="AW178" s="1513" t="str">
        <f t="shared" si="175"/>
        <v xml:space="preserve"> * La variable Pueblos Originarios / hombres  no debe ser mayor que el Total de Hombres. * La variable Pueblos Originarios/ Mujeres no debe ser mayor que el Total de Mujeres * La variable Migrantes / hombres  no debe ser mayor que el Total de Hombres * La variable Migrantes / Mujeres no debe ser mayor que el Total de Mujeres</v>
      </c>
      <c r="AX178" s="178"/>
      <c r="AY178" s="178"/>
      <c r="AZ178" s="178"/>
      <c r="BA178" s="178"/>
      <c r="BS178" s="960"/>
      <c r="BT178" s="960"/>
      <c r="BU178" s="960"/>
      <c r="BV178" s="960"/>
      <c r="CB178" s="354"/>
      <c r="CC178" s="348" t="str">
        <f t="shared" si="176"/>
        <v xml:space="preserve"> * La variable Pueblos Originarios / hombres  no debe ser mayor que el Total de Hombres.</v>
      </c>
      <c r="CD178" s="348" t="str">
        <f t="shared" si="177"/>
        <v xml:space="preserve"> * La variable Pueblos Originarios/ Mujeres no debe ser mayor que el Total de Mujeres</v>
      </c>
      <c r="CE178" s="348" t="str">
        <f t="shared" si="178"/>
        <v xml:space="preserve"> * La variable Migrantes / hombres  no debe ser mayor que el Total de Hombres</v>
      </c>
      <c r="CF178" s="348" t="str">
        <f t="shared" si="179"/>
        <v xml:space="preserve"> * La variable Migrantes / Mujeres no debe ser mayor que el Total de Mujeres</v>
      </c>
      <c r="CG178" s="354"/>
      <c r="CH178" s="354"/>
      <c r="CI178" s="354"/>
      <c r="CJ178" s="354"/>
      <c r="CK178" s="354"/>
      <c r="CL178" s="354"/>
      <c r="CM178" s="306"/>
      <c r="CN178" s="306"/>
      <c r="CO178" s="306"/>
      <c r="CP178" s="306"/>
      <c r="CQ178" s="306"/>
      <c r="CR178" s="306"/>
      <c r="CS178" s="306"/>
      <c r="CT178" s="306"/>
      <c r="CU178" s="306"/>
      <c r="CV178" s="306"/>
      <c r="CW178" s="306"/>
      <c r="CX178" s="306"/>
      <c r="CY178" s="306"/>
      <c r="CZ178" s="306"/>
      <c r="DA178" s="306"/>
      <c r="DB178" s="306"/>
      <c r="DC178" s="352"/>
      <c r="DD178" s="352"/>
      <c r="DE178" s="352"/>
      <c r="DF178" s="352"/>
      <c r="DG178" s="352">
        <f t="shared" si="180"/>
        <v>1</v>
      </c>
      <c r="DH178" s="352">
        <f t="shared" si="181"/>
        <v>1</v>
      </c>
      <c r="DI178" s="352">
        <f t="shared" si="182"/>
        <v>1</v>
      </c>
      <c r="DJ178" s="352">
        <f t="shared" si="183"/>
        <v>1</v>
      </c>
      <c r="DK178" s="352"/>
      <c r="DL178" s="352"/>
      <c r="DM178" s="352"/>
      <c r="DN178" s="352"/>
      <c r="DO178" s="352"/>
      <c r="DP178" s="352"/>
      <c r="DQ178" s="352"/>
      <c r="DR178" s="352"/>
      <c r="DS178" s="352"/>
      <c r="DT178" s="352"/>
      <c r="DU178" s="352"/>
      <c r="DV178" s="352"/>
      <c r="DW178" s="352"/>
    </row>
    <row r="179" spans="1:127" ht="16.5" customHeight="1" x14ac:dyDescent="0.3">
      <c r="A179" s="1641" t="s">
        <v>1115</v>
      </c>
      <c r="B179" s="2000" t="s">
        <v>765</v>
      </c>
      <c r="C179" s="2001" t="s">
        <v>765</v>
      </c>
      <c r="D179" s="642" t="s">
        <v>1550</v>
      </c>
      <c r="E179" s="1227" t="s">
        <v>1551</v>
      </c>
      <c r="F179" s="1428" t="s">
        <v>1552</v>
      </c>
      <c r="G179" s="631" t="s">
        <v>1553</v>
      </c>
      <c r="H179" s="654" t="s">
        <v>1554</v>
      </c>
      <c r="I179" s="654" t="s">
        <v>1555</v>
      </c>
      <c r="J179" s="654" t="s">
        <v>1556</v>
      </c>
      <c r="K179" s="654" t="s">
        <v>1557</v>
      </c>
      <c r="L179" s="654" t="s">
        <v>1558</v>
      </c>
      <c r="M179" s="654" t="s">
        <v>1559</v>
      </c>
      <c r="N179" s="654" t="s">
        <v>1560</v>
      </c>
      <c r="O179" s="654" t="s">
        <v>1561</v>
      </c>
      <c r="P179" s="654" t="s">
        <v>1562</v>
      </c>
      <c r="Q179" s="654" t="s">
        <v>1563</v>
      </c>
      <c r="R179" s="654" t="s">
        <v>1564</v>
      </c>
      <c r="S179" s="654" t="s">
        <v>1565</v>
      </c>
      <c r="T179" s="654" t="s">
        <v>1566</v>
      </c>
      <c r="U179" s="654" t="s">
        <v>1567</v>
      </c>
      <c r="V179" s="654" t="s">
        <v>1568</v>
      </c>
      <c r="W179" s="654" t="s">
        <v>1569</v>
      </c>
      <c r="X179" s="654" t="s">
        <v>1570</v>
      </c>
      <c r="Y179" s="654" t="s">
        <v>1571</v>
      </c>
      <c r="Z179" s="654" t="s">
        <v>1572</v>
      </c>
      <c r="AA179" s="654" t="s">
        <v>1573</v>
      </c>
      <c r="AB179" s="654" t="s">
        <v>1574</v>
      </c>
      <c r="AC179" s="654" t="s">
        <v>1575</v>
      </c>
      <c r="AD179" s="654" t="s">
        <v>1576</v>
      </c>
      <c r="AE179" s="654" t="s">
        <v>1577</v>
      </c>
      <c r="AF179" s="654" t="s">
        <v>1578</v>
      </c>
      <c r="AG179" s="654" t="s">
        <v>1579</v>
      </c>
      <c r="AH179" s="654" t="s">
        <v>1580</v>
      </c>
      <c r="AI179" s="654" t="s">
        <v>1581</v>
      </c>
      <c r="AJ179" s="654" t="s">
        <v>1582</v>
      </c>
      <c r="AK179" s="654" t="s">
        <v>1583</v>
      </c>
      <c r="AL179" s="654" t="s">
        <v>1584</v>
      </c>
      <c r="AM179" s="654" t="s">
        <v>1585</v>
      </c>
      <c r="AN179" s="654" t="s">
        <v>1586</v>
      </c>
      <c r="AO179" s="654" t="s">
        <v>1587</v>
      </c>
      <c r="AP179" s="654" t="s">
        <v>1588</v>
      </c>
      <c r="AQ179" s="654" t="s">
        <v>1589</v>
      </c>
      <c r="AR179" s="630" t="s">
        <v>1590</v>
      </c>
      <c r="AS179" s="632" t="s">
        <v>1591</v>
      </c>
      <c r="AT179" s="630" t="s">
        <v>1592</v>
      </c>
      <c r="AU179" s="628" t="s">
        <v>1593</v>
      </c>
      <c r="AV179" s="629" t="s">
        <v>1594</v>
      </c>
      <c r="AW179" s="1513" t="str">
        <f t="shared" si="175"/>
        <v xml:space="preserve"> * La variable Pueblos Originarios / hombres  no debe ser mayor que el Total de Hombres. * La variable Pueblos Originarios/ Mujeres no debe ser mayor que el Total de Mujeres * La variable Migrantes / hombres  no debe ser mayor que el Total de Hombres * La variable Migrantes / Mujeres no debe ser mayor que el Total de Mujeres</v>
      </c>
      <c r="AX179" s="178"/>
      <c r="AY179" s="178"/>
      <c r="AZ179" s="178"/>
      <c r="BA179" s="178"/>
      <c r="BS179" s="960"/>
      <c r="BT179" s="960"/>
      <c r="BU179" s="960"/>
      <c r="BV179" s="960"/>
      <c r="CB179" s="354"/>
      <c r="CC179" s="348" t="str">
        <f t="shared" si="176"/>
        <v xml:space="preserve"> * La variable Pueblos Originarios / hombres  no debe ser mayor que el Total de Hombres.</v>
      </c>
      <c r="CD179" s="348" t="str">
        <f t="shared" si="177"/>
        <v xml:space="preserve"> * La variable Pueblos Originarios/ Mujeres no debe ser mayor que el Total de Mujeres</v>
      </c>
      <c r="CE179" s="348" t="str">
        <f t="shared" si="178"/>
        <v xml:space="preserve"> * La variable Migrantes / hombres  no debe ser mayor que el Total de Hombres</v>
      </c>
      <c r="CF179" s="348" t="str">
        <f t="shared" si="179"/>
        <v xml:space="preserve"> * La variable Migrantes / Mujeres no debe ser mayor que el Total de Mujeres</v>
      </c>
      <c r="CG179" s="354"/>
      <c r="CH179" s="354"/>
      <c r="CI179" s="354"/>
      <c r="CJ179" s="354"/>
      <c r="CK179" s="354"/>
      <c r="CL179" s="354"/>
      <c r="CM179" s="306"/>
      <c r="CN179" s="306"/>
      <c r="CO179" s="306"/>
      <c r="CP179" s="306"/>
      <c r="CQ179" s="306"/>
      <c r="CR179" s="306"/>
      <c r="CS179" s="306"/>
      <c r="CT179" s="306"/>
      <c r="CU179" s="306"/>
      <c r="CV179" s="306"/>
      <c r="CW179" s="306"/>
      <c r="CX179" s="306"/>
      <c r="CY179" s="306"/>
      <c r="CZ179" s="306"/>
      <c r="DA179" s="306"/>
      <c r="DB179" s="306"/>
      <c r="DC179" s="352"/>
      <c r="DD179" s="352"/>
      <c r="DE179" s="352"/>
      <c r="DF179" s="352"/>
      <c r="DG179" s="352">
        <f t="shared" si="180"/>
        <v>1</v>
      </c>
      <c r="DH179" s="352">
        <f t="shared" si="181"/>
        <v>1</v>
      </c>
      <c r="DI179" s="352">
        <f t="shared" si="182"/>
        <v>1</v>
      </c>
      <c r="DJ179" s="352">
        <f t="shared" si="183"/>
        <v>1</v>
      </c>
      <c r="DK179" s="352"/>
      <c r="DL179" s="352"/>
      <c r="DM179" s="352"/>
      <c r="DN179" s="352"/>
      <c r="DO179" s="352"/>
      <c r="DP179" s="352"/>
      <c r="DQ179" s="352"/>
      <c r="DR179" s="352"/>
      <c r="DS179" s="352"/>
      <c r="DT179" s="352"/>
      <c r="DU179" s="352"/>
      <c r="DV179" s="352"/>
      <c r="DW179" s="352"/>
    </row>
    <row r="180" spans="1:127" ht="16.5" customHeight="1" x14ac:dyDescent="0.3">
      <c r="A180" s="1641" t="s">
        <v>1116</v>
      </c>
      <c r="B180" s="2000" t="s">
        <v>771</v>
      </c>
      <c r="C180" s="2001" t="s">
        <v>771</v>
      </c>
      <c r="D180" s="642" t="s">
        <v>1550</v>
      </c>
      <c r="E180" s="1227" t="s">
        <v>1551</v>
      </c>
      <c r="F180" s="1428" t="s">
        <v>1552</v>
      </c>
      <c r="G180" s="631" t="s">
        <v>1553</v>
      </c>
      <c r="H180" s="654" t="s">
        <v>1554</v>
      </c>
      <c r="I180" s="654" t="s">
        <v>1555</v>
      </c>
      <c r="J180" s="654" t="s">
        <v>1556</v>
      </c>
      <c r="K180" s="654" t="s">
        <v>1557</v>
      </c>
      <c r="L180" s="654" t="s">
        <v>1558</v>
      </c>
      <c r="M180" s="654" t="s">
        <v>1559</v>
      </c>
      <c r="N180" s="654" t="s">
        <v>1560</v>
      </c>
      <c r="O180" s="654" t="s">
        <v>1561</v>
      </c>
      <c r="P180" s="654" t="s">
        <v>1562</v>
      </c>
      <c r="Q180" s="654" t="s">
        <v>1563</v>
      </c>
      <c r="R180" s="654" t="s">
        <v>1564</v>
      </c>
      <c r="S180" s="654" t="s">
        <v>1565</v>
      </c>
      <c r="T180" s="654" t="s">
        <v>1566</v>
      </c>
      <c r="U180" s="654" t="s">
        <v>1567</v>
      </c>
      <c r="V180" s="654" t="s">
        <v>1568</v>
      </c>
      <c r="W180" s="654" t="s">
        <v>1569</v>
      </c>
      <c r="X180" s="654" t="s">
        <v>1570</v>
      </c>
      <c r="Y180" s="654" t="s">
        <v>1571</v>
      </c>
      <c r="Z180" s="654" t="s">
        <v>1572</v>
      </c>
      <c r="AA180" s="654" t="s">
        <v>1573</v>
      </c>
      <c r="AB180" s="654" t="s">
        <v>1574</v>
      </c>
      <c r="AC180" s="654" t="s">
        <v>1575</v>
      </c>
      <c r="AD180" s="654" t="s">
        <v>1576</v>
      </c>
      <c r="AE180" s="654" t="s">
        <v>1577</v>
      </c>
      <c r="AF180" s="654" t="s">
        <v>1578</v>
      </c>
      <c r="AG180" s="654" t="s">
        <v>1579</v>
      </c>
      <c r="AH180" s="654" t="s">
        <v>1580</v>
      </c>
      <c r="AI180" s="654" t="s">
        <v>1581</v>
      </c>
      <c r="AJ180" s="654" t="s">
        <v>1582</v>
      </c>
      <c r="AK180" s="654" t="s">
        <v>1583</v>
      </c>
      <c r="AL180" s="654" t="s">
        <v>1584</v>
      </c>
      <c r="AM180" s="654" t="s">
        <v>1585</v>
      </c>
      <c r="AN180" s="654" t="s">
        <v>1586</v>
      </c>
      <c r="AO180" s="654" t="s">
        <v>1587</v>
      </c>
      <c r="AP180" s="654" t="s">
        <v>1588</v>
      </c>
      <c r="AQ180" s="654" t="s">
        <v>1589</v>
      </c>
      <c r="AR180" s="630" t="s">
        <v>1590</v>
      </c>
      <c r="AS180" s="632" t="s">
        <v>1591</v>
      </c>
      <c r="AT180" s="630" t="s">
        <v>1592</v>
      </c>
      <c r="AU180" s="628" t="s">
        <v>1593</v>
      </c>
      <c r="AV180" s="629" t="s">
        <v>1594</v>
      </c>
      <c r="AW180" s="1513" t="str">
        <f t="shared" si="175"/>
        <v xml:space="preserve"> * La variable Pueblos Originarios / hombres  no debe ser mayor que el Total de Hombres. * La variable Pueblos Originarios/ Mujeres no debe ser mayor que el Total de Mujeres * La variable Migrantes / hombres  no debe ser mayor que el Total de Hombres * La variable Migrantes / Mujeres no debe ser mayor que el Total de Mujeres</v>
      </c>
      <c r="AX180" s="178"/>
      <c r="AY180" s="178"/>
      <c r="AZ180" s="178"/>
      <c r="BA180" s="178"/>
      <c r="BS180" s="960"/>
      <c r="BT180" s="960"/>
      <c r="BU180" s="960"/>
      <c r="BV180" s="960"/>
      <c r="CB180" s="354"/>
      <c r="CC180" s="348" t="str">
        <f t="shared" si="176"/>
        <v xml:space="preserve"> * La variable Pueblos Originarios / hombres  no debe ser mayor que el Total de Hombres.</v>
      </c>
      <c r="CD180" s="348" t="str">
        <f t="shared" si="177"/>
        <v xml:space="preserve"> * La variable Pueblos Originarios/ Mujeres no debe ser mayor que el Total de Mujeres</v>
      </c>
      <c r="CE180" s="348" t="str">
        <f t="shared" si="178"/>
        <v xml:space="preserve"> * La variable Migrantes / hombres  no debe ser mayor que el Total de Hombres</v>
      </c>
      <c r="CF180" s="348" t="str">
        <f t="shared" si="179"/>
        <v xml:space="preserve"> * La variable Migrantes / Mujeres no debe ser mayor que el Total de Mujeres</v>
      </c>
      <c r="CG180" s="354"/>
      <c r="CH180" s="354"/>
      <c r="CI180" s="354"/>
      <c r="CJ180" s="354"/>
      <c r="CK180" s="354"/>
      <c r="CL180" s="354"/>
      <c r="CM180" s="306"/>
      <c r="CN180" s="306"/>
      <c r="CO180" s="306"/>
      <c r="CP180" s="306"/>
      <c r="CQ180" s="306"/>
      <c r="CR180" s="306"/>
      <c r="CS180" s="306"/>
      <c r="CT180" s="306"/>
      <c r="CU180" s="306"/>
      <c r="CV180" s="306"/>
      <c r="CW180" s="306"/>
      <c r="CX180" s="306"/>
      <c r="CY180" s="306"/>
      <c r="CZ180" s="306"/>
      <c r="DA180" s="306"/>
      <c r="DB180" s="306"/>
      <c r="DC180" s="352"/>
      <c r="DD180" s="352"/>
      <c r="DE180" s="352"/>
      <c r="DF180" s="352"/>
      <c r="DG180" s="352">
        <f t="shared" si="180"/>
        <v>1</v>
      </c>
      <c r="DH180" s="352">
        <f t="shared" si="181"/>
        <v>1</v>
      </c>
      <c r="DI180" s="352">
        <f t="shared" si="182"/>
        <v>1</v>
      </c>
      <c r="DJ180" s="352">
        <f t="shared" si="183"/>
        <v>1</v>
      </c>
      <c r="DK180" s="352"/>
      <c r="DL180" s="352"/>
      <c r="DM180" s="352"/>
      <c r="DN180" s="352"/>
      <c r="DO180" s="352"/>
      <c r="DP180" s="352"/>
      <c r="DQ180" s="352"/>
      <c r="DR180" s="352"/>
      <c r="DS180" s="352"/>
      <c r="DT180" s="352"/>
      <c r="DU180" s="352"/>
      <c r="DV180" s="352"/>
      <c r="DW180" s="352"/>
    </row>
    <row r="181" spans="1:127" ht="16.5" customHeight="1" x14ac:dyDescent="0.3">
      <c r="A181" s="1641" t="s">
        <v>1117</v>
      </c>
      <c r="B181" s="2000" t="s">
        <v>773</v>
      </c>
      <c r="C181" s="2001" t="s">
        <v>773</v>
      </c>
      <c r="D181" s="642" t="s">
        <v>1550</v>
      </c>
      <c r="E181" s="1227" t="s">
        <v>1551</v>
      </c>
      <c r="F181" s="1428" t="s">
        <v>1552</v>
      </c>
      <c r="G181" s="631" t="s">
        <v>1553</v>
      </c>
      <c r="H181" s="654" t="s">
        <v>1554</v>
      </c>
      <c r="I181" s="654" t="s">
        <v>1555</v>
      </c>
      <c r="J181" s="654" t="s">
        <v>1556</v>
      </c>
      <c r="K181" s="654" t="s">
        <v>1557</v>
      </c>
      <c r="L181" s="654" t="s">
        <v>1558</v>
      </c>
      <c r="M181" s="654" t="s">
        <v>1559</v>
      </c>
      <c r="N181" s="654" t="s">
        <v>1560</v>
      </c>
      <c r="O181" s="654" t="s">
        <v>1561</v>
      </c>
      <c r="P181" s="654" t="s">
        <v>1562</v>
      </c>
      <c r="Q181" s="654" t="s">
        <v>1563</v>
      </c>
      <c r="R181" s="654" t="s">
        <v>1564</v>
      </c>
      <c r="S181" s="654" t="s">
        <v>1565</v>
      </c>
      <c r="T181" s="654" t="s">
        <v>1566</v>
      </c>
      <c r="U181" s="654" t="s">
        <v>1567</v>
      </c>
      <c r="V181" s="654" t="s">
        <v>1568</v>
      </c>
      <c r="W181" s="654" t="s">
        <v>1569</v>
      </c>
      <c r="X181" s="654" t="s">
        <v>1570</v>
      </c>
      <c r="Y181" s="654" t="s">
        <v>1571</v>
      </c>
      <c r="Z181" s="654" t="s">
        <v>1572</v>
      </c>
      <c r="AA181" s="654" t="s">
        <v>1573</v>
      </c>
      <c r="AB181" s="654" t="s">
        <v>1574</v>
      </c>
      <c r="AC181" s="654" t="s">
        <v>1575</v>
      </c>
      <c r="AD181" s="654" t="s">
        <v>1576</v>
      </c>
      <c r="AE181" s="654" t="s">
        <v>1577</v>
      </c>
      <c r="AF181" s="654" t="s">
        <v>1578</v>
      </c>
      <c r="AG181" s="654" t="s">
        <v>1579</v>
      </c>
      <c r="AH181" s="654" t="s">
        <v>1580</v>
      </c>
      <c r="AI181" s="654" t="s">
        <v>1581</v>
      </c>
      <c r="AJ181" s="654" t="s">
        <v>1582</v>
      </c>
      <c r="AK181" s="654" t="s">
        <v>1583</v>
      </c>
      <c r="AL181" s="654" t="s">
        <v>1584</v>
      </c>
      <c r="AM181" s="654" t="s">
        <v>1585</v>
      </c>
      <c r="AN181" s="654" t="s">
        <v>1586</v>
      </c>
      <c r="AO181" s="654" t="s">
        <v>1587</v>
      </c>
      <c r="AP181" s="654" t="s">
        <v>1588</v>
      </c>
      <c r="AQ181" s="654" t="s">
        <v>1589</v>
      </c>
      <c r="AR181" s="630" t="s">
        <v>1590</v>
      </c>
      <c r="AS181" s="632" t="s">
        <v>1591</v>
      </c>
      <c r="AT181" s="630" t="s">
        <v>1592</v>
      </c>
      <c r="AU181" s="628" t="s">
        <v>1593</v>
      </c>
      <c r="AV181" s="629" t="s">
        <v>1594</v>
      </c>
      <c r="AW181" s="1513" t="str">
        <f t="shared" si="175"/>
        <v xml:space="preserve"> * La variable Pueblos Originarios / hombres  no debe ser mayor que el Total de Hombres. * La variable Pueblos Originarios/ Mujeres no debe ser mayor que el Total de Mujeres * La variable Migrantes / hombres  no debe ser mayor que el Total de Hombres * La variable Migrantes / Mujeres no debe ser mayor que el Total de Mujeres</v>
      </c>
      <c r="AX181" s="178"/>
      <c r="AY181" s="178"/>
      <c r="AZ181" s="178"/>
      <c r="BA181" s="178"/>
      <c r="BS181" s="960"/>
      <c r="BT181" s="960"/>
      <c r="BU181" s="960"/>
      <c r="BV181" s="960"/>
      <c r="CB181" s="354"/>
      <c r="CC181" s="348" t="str">
        <f t="shared" si="176"/>
        <v xml:space="preserve"> * La variable Pueblos Originarios / hombres  no debe ser mayor que el Total de Hombres.</v>
      </c>
      <c r="CD181" s="348" t="str">
        <f t="shared" si="177"/>
        <v xml:space="preserve"> * La variable Pueblos Originarios/ Mujeres no debe ser mayor que el Total de Mujeres</v>
      </c>
      <c r="CE181" s="348" t="str">
        <f t="shared" si="178"/>
        <v xml:space="preserve"> * La variable Migrantes / hombres  no debe ser mayor que el Total de Hombres</v>
      </c>
      <c r="CF181" s="348" t="str">
        <f t="shared" si="179"/>
        <v xml:space="preserve"> * La variable Migrantes / Mujeres no debe ser mayor que el Total de Mujeres</v>
      </c>
      <c r="CG181" s="354"/>
      <c r="CH181" s="354"/>
      <c r="CI181" s="354"/>
      <c r="CJ181" s="354"/>
      <c r="CK181" s="354"/>
      <c r="CL181" s="354"/>
      <c r="CM181" s="306"/>
      <c r="CN181" s="306"/>
      <c r="CO181" s="306"/>
      <c r="CP181" s="306"/>
      <c r="CQ181" s="306"/>
      <c r="CR181" s="306"/>
      <c r="CS181" s="306"/>
      <c r="CT181" s="306"/>
      <c r="CU181" s="306"/>
      <c r="CV181" s="306"/>
      <c r="CW181" s="306"/>
      <c r="CX181" s="306"/>
      <c r="CY181" s="306"/>
      <c r="CZ181" s="306"/>
      <c r="DA181" s="306"/>
      <c r="DB181" s="306"/>
      <c r="DC181" s="352"/>
      <c r="DD181" s="352"/>
      <c r="DE181" s="352"/>
      <c r="DF181" s="352"/>
      <c r="DG181" s="352">
        <f t="shared" si="180"/>
        <v>1</v>
      </c>
      <c r="DH181" s="352">
        <f t="shared" si="181"/>
        <v>1</v>
      </c>
      <c r="DI181" s="352">
        <f t="shared" si="182"/>
        <v>1</v>
      </c>
      <c r="DJ181" s="352">
        <f t="shared" si="183"/>
        <v>1</v>
      </c>
      <c r="DK181" s="352"/>
      <c r="DL181" s="352"/>
      <c r="DM181" s="352"/>
      <c r="DN181" s="352"/>
      <c r="DO181" s="352"/>
      <c r="DP181" s="352"/>
      <c r="DQ181" s="352"/>
      <c r="DR181" s="352"/>
      <c r="DS181" s="352"/>
      <c r="DT181" s="352"/>
      <c r="DU181" s="352"/>
      <c r="DV181" s="352"/>
      <c r="DW181" s="352"/>
    </row>
    <row r="182" spans="1:127" ht="16.5" customHeight="1" x14ac:dyDescent="0.3">
      <c r="A182" s="1641" t="s">
        <v>1118</v>
      </c>
      <c r="B182" s="2000" t="s">
        <v>774</v>
      </c>
      <c r="C182" s="2001" t="s">
        <v>774</v>
      </c>
      <c r="D182" s="642" t="s">
        <v>1550</v>
      </c>
      <c r="E182" s="1227" t="s">
        <v>1551</v>
      </c>
      <c r="F182" s="1428" t="s">
        <v>1552</v>
      </c>
      <c r="G182" s="631" t="s">
        <v>1553</v>
      </c>
      <c r="H182" s="654" t="s">
        <v>1554</v>
      </c>
      <c r="I182" s="654" t="s">
        <v>1555</v>
      </c>
      <c r="J182" s="654" t="s">
        <v>1556</v>
      </c>
      <c r="K182" s="654" t="s">
        <v>1557</v>
      </c>
      <c r="L182" s="654" t="s">
        <v>1558</v>
      </c>
      <c r="M182" s="654" t="s">
        <v>1559</v>
      </c>
      <c r="N182" s="654" t="s">
        <v>1560</v>
      </c>
      <c r="O182" s="654" t="s">
        <v>1561</v>
      </c>
      <c r="P182" s="654" t="s">
        <v>1562</v>
      </c>
      <c r="Q182" s="654" t="s">
        <v>1563</v>
      </c>
      <c r="R182" s="654" t="s">
        <v>1564</v>
      </c>
      <c r="S182" s="654" t="s">
        <v>1565</v>
      </c>
      <c r="T182" s="654" t="s">
        <v>1566</v>
      </c>
      <c r="U182" s="654" t="s">
        <v>1567</v>
      </c>
      <c r="V182" s="654" t="s">
        <v>1568</v>
      </c>
      <c r="W182" s="654" t="s">
        <v>1569</v>
      </c>
      <c r="X182" s="654" t="s">
        <v>1570</v>
      </c>
      <c r="Y182" s="654" t="s">
        <v>1571</v>
      </c>
      <c r="Z182" s="654" t="s">
        <v>1572</v>
      </c>
      <c r="AA182" s="654" t="s">
        <v>1573</v>
      </c>
      <c r="AB182" s="654" t="s">
        <v>1574</v>
      </c>
      <c r="AC182" s="654" t="s">
        <v>1575</v>
      </c>
      <c r="AD182" s="654" t="s">
        <v>1576</v>
      </c>
      <c r="AE182" s="654" t="s">
        <v>1577</v>
      </c>
      <c r="AF182" s="654" t="s">
        <v>1578</v>
      </c>
      <c r="AG182" s="654" t="s">
        <v>1579</v>
      </c>
      <c r="AH182" s="654" t="s">
        <v>1580</v>
      </c>
      <c r="AI182" s="654" t="s">
        <v>1581</v>
      </c>
      <c r="AJ182" s="654" t="s">
        <v>1582</v>
      </c>
      <c r="AK182" s="654" t="s">
        <v>1583</v>
      </c>
      <c r="AL182" s="654" t="s">
        <v>1584</v>
      </c>
      <c r="AM182" s="654" t="s">
        <v>1585</v>
      </c>
      <c r="AN182" s="654" t="s">
        <v>1586</v>
      </c>
      <c r="AO182" s="654" t="s">
        <v>1587</v>
      </c>
      <c r="AP182" s="654" t="s">
        <v>1588</v>
      </c>
      <c r="AQ182" s="654" t="s">
        <v>1589</v>
      </c>
      <c r="AR182" s="630" t="s">
        <v>1590</v>
      </c>
      <c r="AS182" s="632" t="s">
        <v>1591</v>
      </c>
      <c r="AT182" s="630" t="s">
        <v>1592</v>
      </c>
      <c r="AU182" s="628" t="s">
        <v>1593</v>
      </c>
      <c r="AV182" s="629" t="s">
        <v>1594</v>
      </c>
      <c r="AW182" s="1513" t="str">
        <f t="shared" si="175"/>
        <v xml:space="preserve"> * La variable Pueblos Originarios / hombres  no debe ser mayor que el Total de Hombres. * La variable Pueblos Originarios/ Mujeres no debe ser mayor que el Total de Mujeres * La variable Migrantes / hombres  no debe ser mayor que el Total de Hombres * La variable Migrantes / Mujeres no debe ser mayor que el Total de Mujeres</v>
      </c>
      <c r="AX182" s="178"/>
      <c r="AY182" s="178"/>
      <c r="AZ182" s="178"/>
      <c r="BA182" s="178"/>
      <c r="BS182" s="960"/>
      <c r="BT182" s="960"/>
      <c r="BU182" s="960"/>
      <c r="BV182" s="960"/>
      <c r="CB182" s="354"/>
      <c r="CC182" s="348" t="str">
        <f t="shared" si="176"/>
        <v xml:space="preserve"> * La variable Pueblos Originarios / hombres  no debe ser mayor que el Total de Hombres.</v>
      </c>
      <c r="CD182" s="348" t="str">
        <f t="shared" si="177"/>
        <v xml:space="preserve"> * La variable Pueblos Originarios/ Mujeres no debe ser mayor que el Total de Mujeres</v>
      </c>
      <c r="CE182" s="348" t="str">
        <f t="shared" si="178"/>
        <v xml:space="preserve"> * La variable Migrantes / hombres  no debe ser mayor que el Total de Hombres</v>
      </c>
      <c r="CF182" s="348" t="str">
        <f t="shared" si="179"/>
        <v xml:space="preserve"> * La variable Migrantes / Mujeres no debe ser mayor que el Total de Mujeres</v>
      </c>
      <c r="CG182" s="354"/>
      <c r="CH182" s="354"/>
      <c r="CI182" s="354"/>
      <c r="CJ182" s="354"/>
      <c r="CK182" s="354"/>
      <c r="CL182" s="354"/>
      <c r="CM182" s="306"/>
      <c r="CN182" s="306"/>
      <c r="CO182" s="306"/>
      <c r="CP182" s="306"/>
      <c r="CQ182" s="306"/>
      <c r="CR182" s="306"/>
      <c r="CS182" s="306"/>
      <c r="CT182" s="306"/>
      <c r="CU182" s="306"/>
      <c r="CV182" s="306"/>
      <c r="CW182" s="306"/>
      <c r="CX182" s="306"/>
      <c r="CY182" s="306"/>
      <c r="CZ182" s="306"/>
      <c r="DA182" s="306"/>
      <c r="DB182" s="306"/>
      <c r="DC182" s="352"/>
      <c r="DD182" s="352"/>
      <c r="DE182" s="352"/>
      <c r="DF182" s="352"/>
      <c r="DG182" s="352">
        <f t="shared" si="180"/>
        <v>1</v>
      </c>
      <c r="DH182" s="352">
        <f t="shared" si="181"/>
        <v>1</v>
      </c>
      <c r="DI182" s="352">
        <f t="shared" si="182"/>
        <v>1</v>
      </c>
      <c r="DJ182" s="352">
        <f t="shared" si="183"/>
        <v>1</v>
      </c>
      <c r="DK182" s="352"/>
      <c r="DL182" s="352"/>
      <c r="DM182" s="352"/>
      <c r="DN182" s="352"/>
      <c r="DO182" s="352"/>
      <c r="DP182" s="352"/>
      <c r="DQ182" s="352"/>
      <c r="DR182" s="352"/>
      <c r="DS182" s="352"/>
      <c r="DT182" s="352"/>
      <c r="DU182" s="352"/>
      <c r="DV182" s="352"/>
      <c r="DW182" s="352"/>
    </row>
    <row r="183" spans="1:127" ht="16.5" customHeight="1" x14ac:dyDescent="0.3">
      <c r="A183" s="1641" t="s">
        <v>1119</v>
      </c>
      <c r="B183" s="2000" t="s">
        <v>775</v>
      </c>
      <c r="C183" s="2001" t="s">
        <v>775</v>
      </c>
      <c r="D183" s="642" t="s">
        <v>1550</v>
      </c>
      <c r="E183" s="1227" t="s">
        <v>1551</v>
      </c>
      <c r="F183" s="1428" t="s">
        <v>1552</v>
      </c>
      <c r="G183" s="631" t="s">
        <v>1553</v>
      </c>
      <c r="H183" s="654" t="s">
        <v>1554</v>
      </c>
      <c r="I183" s="654" t="s">
        <v>1555</v>
      </c>
      <c r="J183" s="654" t="s">
        <v>1556</v>
      </c>
      <c r="K183" s="654" t="s">
        <v>1557</v>
      </c>
      <c r="L183" s="654" t="s">
        <v>1558</v>
      </c>
      <c r="M183" s="654" t="s">
        <v>1559</v>
      </c>
      <c r="N183" s="654" t="s">
        <v>1560</v>
      </c>
      <c r="O183" s="654" t="s">
        <v>1561</v>
      </c>
      <c r="P183" s="654" t="s">
        <v>1562</v>
      </c>
      <c r="Q183" s="654" t="s">
        <v>1563</v>
      </c>
      <c r="R183" s="654" t="s">
        <v>1564</v>
      </c>
      <c r="S183" s="654" t="s">
        <v>1565</v>
      </c>
      <c r="T183" s="654" t="s">
        <v>1566</v>
      </c>
      <c r="U183" s="654" t="s">
        <v>1567</v>
      </c>
      <c r="V183" s="654" t="s">
        <v>1568</v>
      </c>
      <c r="W183" s="654" t="s">
        <v>1569</v>
      </c>
      <c r="X183" s="654" t="s">
        <v>1570</v>
      </c>
      <c r="Y183" s="654" t="s">
        <v>1571</v>
      </c>
      <c r="Z183" s="654" t="s">
        <v>1572</v>
      </c>
      <c r="AA183" s="654" t="s">
        <v>1573</v>
      </c>
      <c r="AB183" s="654" t="s">
        <v>1574</v>
      </c>
      <c r="AC183" s="654" t="s">
        <v>1575</v>
      </c>
      <c r="AD183" s="654" t="s">
        <v>1576</v>
      </c>
      <c r="AE183" s="654" t="s">
        <v>1577</v>
      </c>
      <c r="AF183" s="654" t="s">
        <v>1578</v>
      </c>
      <c r="AG183" s="654" t="s">
        <v>1579</v>
      </c>
      <c r="AH183" s="654" t="s">
        <v>1580</v>
      </c>
      <c r="AI183" s="654" t="s">
        <v>1581</v>
      </c>
      <c r="AJ183" s="654" t="s">
        <v>1582</v>
      </c>
      <c r="AK183" s="654" t="s">
        <v>1583</v>
      </c>
      <c r="AL183" s="654" t="s">
        <v>1584</v>
      </c>
      <c r="AM183" s="654" t="s">
        <v>1585</v>
      </c>
      <c r="AN183" s="654" t="s">
        <v>1586</v>
      </c>
      <c r="AO183" s="654" t="s">
        <v>1587</v>
      </c>
      <c r="AP183" s="654" t="s">
        <v>1588</v>
      </c>
      <c r="AQ183" s="654" t="s">
        <v>1589</v>
      </c>
      <c r="AR183" s="630" t="s">
        <v>1590</v>
      </c>
      <c r="AS183" s="632" t="s">
        <v>1591</v>
      </c>
      <c r="AT183" s="630" t="s">
        <v>1592</v>
      </c>
      <c r="AU183" s="628" t="s">
        <v>1593</v>
      </c>
      <c r="AV183" s="629" t="s">
        <v>1594</v>
      </c>
      <c r="AW183" s="1513" t="str">
        <f t="shared" si="175"/>
        <v xml:space="preserve"> * La variable Pueblos Originarios / hombres  no debe ser mayor que el Total de Hombres. * La variable Pueblos Originarios/ Mujeres no debe ser mayor que el Total de Mujeres * La variable Migrantes / hombres  no debe ser mayor que el Total de Hombres * La variable Migrantes / Mujeres no debe ser mayor que el Total de Mujeres</v>
      </c>
      <c r="AX183" s="178"/>
      <c r="AY183" s="178"/>
      <c r="AZ183" s="178"/>
      <c r="BA183" s="178"/>
      <c r="BS183" s="960"/>
      <c r="BT183" s="960"/>
      <c r="BU183" s="960"/>
      <c r="BV183" s="960"/>
      <c r="CB183" s="354"/>
      <c r="CC183" s="348" t="str">
        <f t="shared" si="176"/>
        <v xml:space="preserve"> * La variable Pueblos Originarios / hombres  no debe ser mayor que el Total de Hombres.</v>
      </c>
      <c r="CD183" s="348" t="str">
        <f t="shared" si="177"/>
        <v xml:space="preserve"> * La variable Pueblos Originarios/ Mujeres no debe ser mayor que el Total de Mujeres</v>
      </c>
      <c r="CE183" s="348" t="str">
        <f t="shared" si="178"/>
        <v xml:space="preserve"> * La variable Migrantes / hombres  no debe ser mayor que el Total de Hombres</v>
      </c>
      <c r="CF183" s="348" t="str">
        <f t="shared" si="179"/>
        <v xml:space="preserve"> * La variable Migrantes / Mujeres no debe ser mayor que el Total de Mujeres</v>
      </c>
      <c r="CG183" s="354"/>
      <c r="CH183" s="354"/>
      <c r="CI183" s="354"/>
      <c r="CJ183" s="354"/>
      <c r="CK183" s="354"/>
      <c r="CL183" s="354"/>
      <c r="CM183" s="306"/>
      <c r="CN183" s="306"/>
      <c r="CO183" s="306"/>
      <c r="CP183" s="306"/>
      <c r="CQ183" s="306"/>
      <c r="CR183" s="306"/>
      <c r="CS183" s="306"/>
      <c r="CT183" s="306"/>
      <c r="CU183" s="306"/>
      <c r="CV183" s="306"/>
      <c r="CW183" s="306"/>
      <c r="CX183" s="306"/>
      <c r="CY183" s="306"/>
      <c r="CZ183" s="306"/>
      <c r="DA183" s="306"/>
      <c r="DB183" s="306"/>
      <c r="DC183" s="352"/>
      <c r="DD183" s="352"/>
      <c r="DE183" s="352"/>
      <c r="DF183" s="352"/>
      <c r="DG183" s="352">
        <f t="shared" si="180"/>
        <v>1</v>
      </c>
      <c r="DH183" s="352">
        <f t="shared" si="181"/>
        <v>1</v>
      </c>
      <c r="DI183" s="352">
        <f t="shared" si="182"/>
        <v>1</v>
      </c>
      <c r="DJ183" s="352">
        <f t="shared" si="183"/>
        <v>1</v>
      </c>
      <c r="DK183" s="352"/>
      <c r="DL183" s="352"/>
      <c r="DM183" s="352"/>
      <c r="DN183" s="352"/>
      <c r="DO183" s="352"/>
      <c r="DP183" s="352"/>
      <c r="DQ183" s="352"/>
      <c r="DR183" s="352"/>
      <c r="DS183" s="352"/>
      <c r="DT183" s="352"/>
      <c r="DU183" s="352"/>
      <c r="DV183" s="352"/>
      <c r="DW183" s="352"/>
    </row>
    <row r="184" spans="1:127" ht="25.5" customHeight="1" x14ac:dyDescent="0.3">
      <c r="A184" s="1641" t="s">
        <v>1120</v>
      </c>
      <c r="B184" s="2000" t="s">
        <v>796</v>
      </c>
      <c r="C184" s="2001" t="s">
        <v>856</v>
      </c>
      <c r="D184" s="642" t="s">
        <v>1550</v>
      </c>
      <c r="E184" s="1227" t="s">
        <v>1551</v>
      </c>
      <c r="F184" s="1428" t="s">
        <v>1552</v>
      </c>
      <c r="G184" s="631" t="s">
        <v>1553</v>
      </c>
      <c r="H184" s="654" t="s">
        <v>1554</v>
      </c>
      <c r="I184" s="654" t="s">
        <v>1555</v>
      </c>
      <c r="J184" s="654" t="s">
        <v>1556</v>
      </c>
      <c r="K184" s="654" t="s">
        <v>1557</v>
      </c>
      <c r="L184" s="654" t="s">
        <v>1558</v>
      </c>
      <c r="M184" s="654" t="s">
        <v>1559</v>
      </c>
      <c r="N184" s="654" t="s">
        <v>1560</v>
      </c>
      <c r="O184" s="654" t="s">
        <v>1561</v>
      </c>
      <c r="P184" s="654" t="s">
        <v>1562</v>
      </c>
      <c r="Q184" s="654" t="s">
        <v>1563</v>
      </c>
      <c r="R184" s="654" t="s">
        <v>1564</v>
      </c>
      <c r="S184" s="654" t="s">
        <v>1565</v>
      </c>
      <c r="T184" s="654" t="s">
        <v>1566</v>
      </c>
      <c r="U184" s="654" t="s">
        <v>1567</v>
      </c>
      <c r="V184" s="654" t="s">
        <v>1568</v>
      </c>
      <c r="W184" s="654" t="s">
        <v>1569</v>
      </c>
      <c r="X184" s="654" t="s">
        <v>1570</v>
      </c>
      <c r="Y184" s="654" t="s">
        <v>1571</v>
      </c>
      <c r="Z184" s="654" t="s">
        <v>1572</v>
      </c>
      <c r="AA184" s="654" t="s">
        <v>1573</v>
      </c>
      <c r="AB184" s="654" t="s">
        <v>1574</v>
      </c>
      <c r="AC184" s="654" t="s">
        <v>1575</v>
      </c>
      <c r="AD184" s="654" t="s">
        <v>1576</v>
      </c>
      <c r="AE184" s="654" t="s">
        <v>1577</v>
      </c>
      <c r="AF184" s="654" t="s">
        <v>1578</v>
      </c>
      <c r="AG184" s="654" t="s">
        <v>1579</v>
      </c>
      <c r="AH184" s="654" t="s">
        <v>1580</v>
      </c>
      <c r="AI184" s="654" t="s">
        <v>1581</v>
      </c>
      <c r="AJ184" s="654" t="s">
        <v>1582</v>
      </c>
      <c r="AK184" s="654" t="s">
        <v>1583</v>
      </c>
      <c r="AL184" s="654" t="s">
        <v>1584</v>
      </c>
      <c r="AM184" s="654" t="s">
        <v>1585</v>
      </c>
      <c r="AN184" s="654" t="s">
        <v>1586</v>
      </c>
      <c r="AO184" s="654" t="s">
        <v>1587</v>
      </c>
      <c r="AP184" s="654" t="s">
        <v>1588</v>
      </c>
      <c r="AQ184" s="654" t="s">
        <v>1589</v>
      </c>
      <c r="AR184" s="630" t="s">
        <v>1590</v>
      </c>
      <c r="AS184" s="632" t="s">
        <v>1591</v>
      </c>
      <c r="AT184" s="630" t="s">
        <v>1592</v>
      </c>
      <c r="AU184" s="628" t="s">
        <v>1593</v>
      </c>
      <c r="AV184" s="629" t="s">
        <v>1594</v>
      </c>
      <c r="AW184" s="1513" t="str">
        <f t="shared" si="175"/>
        <v xml:space="preserve"> * La variable Pueblos Originarios / hombres  no debe ser mayor que el Total de Hombres. * La variable Pueblos Originarios/ Mujeres no debe ser mayor que el Total de Mujeres * La variable Migrantes / hombres  no debe ser mayor que el Total de Hombres * La variable Migrantes / Mujeres no debe ser mayor que el Total de Mujeres</v>
      </c>
      <c r="AX184" s="178"/>
      <c r="AY184" s="178"/>
      <c r="AZ184" s="178"/>
      <c r="BA184" s="178"/>
      <c r="BS184" s="960"/>
      <c r="BT184" s="960"/>
      <c r="BU184" s="960"/>
      <c r="BV184" s="960"/>
      <c r="CB184" s="354"/>
      <c r="CC184" s="348" t="str">
        <f t="shared" si="176"/>
        <v xml:space="preserve"> * La variable Pueblos Originarios / hombres  no debe ser mayor que el Total de Hombres.</v>
      </c>
      <c r="CD184" s="348" t="str">
        <f t="shared" si="177"/>
        <v xml:space="preserve"> * La variable Pueblos Originarios/ Mujeres no debe ser mayor que el Total de Mujeres</v>
      </c>
      <c r="CE184" s="348" t="str">
        <f>IF(AND(E184&gt;0,AU184="")," * No olvide digitar la variable Migrantes / hombres (Digite Cero si no tiene).",IF(AU184&gt;E184," * La variable Migrantes / hombres  no debe ser mayor que el Total de Hombres",""))</f>
        <v xml:space="preserve"> * La variable Migrantes / hombres  no debe ser mayor que el Total de Hombres</v>
      </c>
      <c r="CF184" s="348" t="str">
        <f t="shared" si="179"/>
        <v xml:space="preserve"> * La variable Migrantes / Mujeres no debe ser mayor que el Total de Mujeres</v>
      </c>
      <c r="CG184" s="354"/>
      <c r="CH184" s="354"/>
      <c r="CI184" s="354"/>
      <c r="CJ184" s="354"/>
      <c r="CK184" s="354"/>
      <c r="CL184" s="354"/>
      <c r="CM184" s="306"/>
      <c r="CN184" s="306"/>
      <c r="CO184" s="306"/>
      <c r="CP184" s="306"/>
      <c r="CQ184" s="306"/>
      <c r="CR184" s="306"/>
      <c r="CS184" s="306"/>
      <c r="CT184" s="306"/>
      <c r="CU184" s="306"/>
      <c r="CV184" s="306"/>
      <c r="CW184" s="306"/>
      <c r="CX184" s="306"/>
      <c r="CY184" s="306"/>
      <c r="CZ184" s="306"/>
      <c r="DA184" s="306"/>
      <c r="DB184" s="306"/>
      <c r="DC184" s="352"/>
      <c r="DD184" s="352"/>
      <c r="DE184" s="352"/>
      <c r="DF184" s="352"/>
      <c r="DG184" s="352">
        <f t="shared" si="180"/>
        <v>1</v>
      </c>
      <c r="DH184" s="352">
        <f t="shared" si="181"/>
        <v>1</v>
      </c>
      <c r="DI184" s="352">
        <f t="shared" si="182"/>
        <v>1</v>
      </c>
      <c r="DJ184" s="352">
        <f t="shared" si="183"/>
        <v>1</v>
      </c>
      <c r="DK184" s="352"/>
      <c r="DL184" s="352"/>
      <c r="DM184" s="352"/>
      <c r="DN184" s="352"/>
      <c r="DO184" s="352"/>
      <c r="DP184" s="352"/>
      <c r="DQ184" s="352"/>
      <c r="DR184" s="352"/>
      <c r="DS184" s="352"/>
      <c r="DT184" s="352"/>
      <c r="DU184" s="352"/>
      <c r="DV184" s="352"/>
      <c r="DW184" s="352"/>
    </row>
    <row r="185" spans="1:127" ht="16.5" customHeight="1" x14ac:dyDescent="0.3">
      <c r="A185" s="1641" t="s">
        <v>1121</v>
      </c>
      <c r="B185" s="2000" t="s">
        <v>797</v>
      </c>
      <c r="C185" s="2001" t="s">
        <v>784</v>
      </c>
      <c r="D185" s="642" t="s">
        <v>1550</v>
      </c>
      <c r="E185" s="1227" t="s">
        <v>1551</v>
      </c>
      <c r="F185" s="1428" t="s">
        <v>1552</v>
      </c>
      <c r="G185" s="631" t="s">
        <v>1553</v>
      </c>
      <c r="H185" s="654" t="s">
        <v>1554</v>
      </c>
      <c r="I185" s="654" t="s">
        <v>1555</v>
      </c>
      <c r="J185" s="654" t="s">
        <v>1556</v>
      </c>
      <c r="K185" s="654" t="s">
        <v>1557</v>
      </c>
      <c r="L185" s="654" t="s">
        <v>1558</v>
      </c>
      <c r="M185" s="654" t="s">
        <v>1559</v>
      </c>
      <c r="N185" s="654" t="s">
        <v>1560</v>
      </c>
      <c r="O185" s="654" t="s">
        <v>1561</v>
      </c>
      <c r="P185" s="654" t="s">
        <v>1562</v>
      </c>
      <c r="Q185" s="654" t="s">
        <v>1563</v>
      </c>
      <c r="R185" s="654" t="s">
        <v>1564</v>
      </c>
      <c r="S185" s="654" t="s">
        <v>1565</v>
      </c>
      <c r="T185" s="654" t="s">
        <v>1566</v>
      </c>
      <c r="U185" s="654" t="s">
        <v>1567</v>
      </c>
      <c r="V185" s="654" t="s">
        <v>1568</v>
      </c>
      <c r="W185" s="654" t="s">
        <v>1569</v>
      </c>
      <c r="X185" s="654" t="s">
        <v>1570</v>
      </c>
      <c r="Y185" s="654" t="s">
        <v>1571</v>
      </c>
      <c r="Z185" s="654" t="s">
        <v>1572</v>
      </c>
      <c r="AA185" s="654" t="s">
        <v>1573</v>
      </c>
      <c r="AB185" s="654" t="s">
        <v>1574</v>
      </c>
      <c r="AC185" s="654" t="s">
        <v>1575</v>
      </c>
      <c r="AD185" s="654" t="s">
        <v>1576</v>
      </c>
      <c r="AE185" s="654" t="s">
        <v>1577</v>
      </c>
      <c r="AF185" s="654" t="s">
        <v>1578</v>
      </c>
      <c r="AG185" s="654" t="s">
        <v>1579</v>
      </c>
      <c r="AH185" s="654" t="s">
        <v>1580</v>
      </c>
      <c r="AI185" s="654" t="s">
        <v>1581</v>
      </c>
      <c r="AJ185" s="654" t="s">
        <v>1582</v>
      </c>
      <c r="AK185" s="654" t="s">
        <v>1583</v>
      </c>
      <c r="AL185" s="654" t="s">
        <v>1584</v>
      </c>
      <c r="AM185" s="654" t="s">
        <v>1585</v>
      </c>
      <c r="AN185" s="654" t="s">
        <v>1586</v>
      </c>
      <c r="AO185" s="654" t="s">
        <v>1587</v>
      </c>
      <c r="AP185" s="654" t="s">
        <v>1588</v>
      </c>
      <c r="AQ185" s="654" t="s">
        <v>1589</v>
      </c>
      <c r="AR185" s="630" t="s">
        <v>1590</v>
      </c>
      <c r="AS185" s="632" t="s">
        <v>1591</v>
      </c>
      <c r="AT185" s="630" t="s">
        <v>1592</v>
      </c>
      <c r="AU185" s="628" t="s">
        <v>1593</v>
      </c>
      <c r="AV185" s="629" t="s">
        <v>1594</v>
      </c>
      <c r="AW185" s="1513" t="str">
        <f t="shared" si="175"/>
        <v xml:space="preserve"> * La variable Pueblos Originarios / hombres  no debe ser mayor que el Total de Hombres. * La variable Pueblos Originarios/ Mujeres no debe ser mayor que el Total de Mujeres * La variable Migrantes / hombres  no debe ser mayor que el Total de Hombres * La variable Migrantes / Mujeres no debe ser mayor que el Total de Mujeres</v>
      </c>
      <c r="AX185" s="178"/>
      <c r="AY185" s="178"/>
      <c r="AZ185" s="178"/>
      <c r="BA185" s="178"/>
      <c r="BS185" s="960"/>
      <c r="BT185" s="960"/>
      <c r="BU185" s="960"/>
      <c r="BV185" s="960"/>
      <c r="CB185" s="354"/>
      <c r="CC185" s="348" t="str">
        <f t="shared" si="176"/>
        <v xml:space="preserve"> * La variable Pueblos Originarios / hombres  no debe ser mayor que el Total de Hombres.</v>
      </c>
      <c r="CD185" s="348" t="str">
        <f t="shared" si="177"/>
        <v xml:space="preserve"> * La variable Pueblos Originarios/ Mujeres no debe ser mayor que el Total de Mujeres</v>
      </c>
      <c r="CE185" s="348" t="str">
        <f t="shared" si="178"/>
        <v xml:space="preserve"> * La variable Migrantes / hombres  no debe ser mayor que el Total de Hombres</v>
      </c>
      <c r="CF185" s="348" t="str">
        <f t="shared" si="179"/>
        <v xml:space="preserve"> * La variable Migrantes / Mujeres no debe ser mayor que el Total de Mujeres</v>
      </c>
      <c r="CG185" s="354"/>
      <c r="CH185" s="354"/>
      <c r="CI185" s="354"/>
      <c r="CJ185" s="354"/>
      <c r="CK185" s="354"/>
      <c r="CL185" s="354"/>
      <c r="CM185" s="306"/>
      <c r="CN185" s="306"/>
      <c r="CO185" s="306"/>
      <c r="CP185" s="306"/>
      <c r="CQ185" s="306"/>
      <c r="CR185" s="306"/>
      <c r="CS185" s="306"/>
      <c r="CT185" s="306"/>
      <c r="CU185" s="306"/>
      <c r="CV185" s="306"/>
      <c r="CW185" s="306"/>
      <c r="CX185" s="306"/>
      <c r="CY185" s="306"/>
      <c r="CZ185" s="306"/>
      <c r="DA185" s="306"/>
      <c r="DB185" s="306"/>
      <c r="DC185" s="352"/>
      <c r="DD185" s="352"/>
      <c r="DE185" s="352"/>
      <c r="DF185" s="352"/>
      <c r="DG185" s="352">
        <f t="shared" si="180"/>
        <v>1</v>
      </c>
      <c r="DH185" s="352">
        <f t="shared" si="181"/>
        <v>1</v>
      </c>
      <c r="DI185" s="352">
        <f t="shared" si="182"/>
        <v>1</v>
      </c>
      <c r="DJ185" s="352">
        <f t="shared" si="183"/>
        <v>1</v>
      </c>
      <c r="DK185" s="352"/>
      <c r="DL185" s="352"/>
      <c r="DM185" s="352"/>
      <c r="DN185" s="352"/>
      <c r="DO185" s="352"/>
      <c r="DP185" s="352"/>
      <c r="DQ185" s="352"/>
      <c r="DR185" s="352"/>
      <c r="DS185" s="352"/>
      <c r="DT185" s="352"/>
      <c r="DU185" s="352"/>
      <c r="DV185" s="352"/>
      <c r="DW185" s="352"/>
    </row>
    <row r="186" spans="1:127" ht="16.5" customHeight="1" x14ac:dyDescent="0.3">
      <c r="A186" s="1641" t="s">
        <v>1122</v>
      </c>
      <c r="B186" s="2000" t="s">
        <v>786</v>
      </c>
      <c r="C186" s="2001" t="s">
        <v>786</v>
      </c>
      <c r="D186" s="642" t="s">
        <v>1550</v>
      </c>
      <c r="E186" s="1227" t="s">
        <v>1551</v>
      </c>
      <c r="F186" s="1428" t="s">
        <v>1552</v>
      </c>
      <c r="G186" s="631" t="s">
        <v>1553</v>
      </c>
      <c r="H186" s="654" t="s">
        <v>1554</v>
      </c>
      <c r="I186" s="654" t="s">
        <v>1555</v>
      </c>
      <c r="J186" s="654" t="s">
        <v>1556</v>
      </c>
      <c r="K186" s="654" t="s">
        <v>1557</v>
      </c>
      <c r="L186" s="654" t="s">
        <v>1558</v>
      </c>
      <c r="M186" s="654" t="s">
        <v>1559</v>
      </c>
      <c r="N186" s="654" t="s">
        <v>1560</v>
      </c>
      <c r="O186" s="654" t="s">
        <v>1561</v>
      </c>
      <c r="P186" s="654" t="s">
        <v>1562</v>
      </c>
      <c r="Q186" s="654" t="s">
        <v>1563</v>
      </c>
      <c r="R186" s="654" t="s">
        <v>1564</v>
      </c>
      <c r="S186" s="654" t="s">
        <v>1565</v>
      </c>
      <c r="T186" s="654" t="s">
        <v>1566</v>
      </c>
      <c r="U186" s="654" t="s">
        <v>1567</v>
      </c>
      <c r="V186" s="654" t="s">
        <v>1568</v>
      </c>
      <c r="W186" s="654" t="s">
        <v>1569</v>
      </c>
      <c r="X186" s="654" t="s">
        <v>1570</v>
      </c>
      <c r="Y186" s="654" t="s">
        <v>1571</v>
      </c>
      <c r="Z186" s="654" t="s">
        <v>1572</v>
      </c>
      <c r="AA186" s="654" t="s">
        <v>1573</v>
      </c>
      <c r="AB186" s="654" t="s">
        <v>1574</v>
      </c>
      <c r="AC186" s="654" t="s">
        <v>1575</v>
      </c>
      <c r="AD186" s="654" t="s">
        <v>1576</v>
      </c>
      <c r="AE186" s="654" t="s">
        <v>1577</v>
      </c>
      <c r="AF186" s="654" t="s">
        <v>1578</v>
      </c>
      <c r="AG186" s="654" t="s">
        <v>1579</v>
      </c>
      <c r="AH186" s="654" t="s">
        <v>1580</v>
      </c>
      <c r="AI186" s="654" t="s">
        <v>1581</v>
      </c>
      <c r="AJ186" s="654" t="s">
        <v>1582</v>
      </c>
      <c r="AK186" s="654" t="s">
        <v>1583</v>
      </c>
      <c r="AL186" s="654" t="s">
        <v>1584</v>
      </c>
      <c r="AM186" s="654" t="s">
        <v>1585</v>
      </c>
      <c r="AN186" s="654" t="s">
        <v>1586</v>
      </c>
      <c r="AO186" s="654" t="s">
        <v>1587</v>
      </c>
      <c r="AP186" s="654" t="s">
        <v>1588</v>
      </c>
      <c r="AQ186" s="654" t="s">
        <v>1589</v>
      </c>
      <c r="AR186" s="630" t="s">
        <v>1590</v>
      </c>
      <c r="AS186" s="632" t="s">
        <v>1591</v>
      </c>
      <c r="AT186" s="630" t="s">
        <v>1592</v>
      </c>
      <c r="AU186" s="628" t="s">
        <v>1593</v>
      </c>
      <c r="AV186" s="629" t="s">
        <v>1594</v>
      </c>
      <c r="AW186" s="1513" t="str">
        <f t="shared" si="175"/>
        <v xml:space="preserve"> * La variable Pueblos Originarios / hombres  no debe ser mayor que el Total de Hombres. * La variable Pueblos Originarios/ Mujeres no debe ser mayor que el Total de Mujeres * La variable Migrantes / hombres  no debe ser mayor que el Total de Hombres * La variable Migrantes / Mujeres no debe ser mayor que el Total de Mujeres</v>
      </c>
      <c r="AX186" s="178"/>
      <c r="AY186" s="178"/>
      <c r="AZ186" s="178"/>
      <c r="BA186" s="178"/>
      <c r="BS186" s="960"/>
      <c r="BT186" s="960"/>
      <c r="BU186" s="960"/>
      <c r="BV186" s="960"/>
      <c r="CB186" s="354"/>
      <c r="CC186" s="348" t="str">
        <f t="shared" si="176"/>
        <v xml:space="preserve"> * La variable Pueblos Originarios / hombres  no debe ser mayor que el Total de Hombres.</v>
      </c>
      <c r="CD186" s="348" t="str">
        <f t="shared" si="177"/>
        <v xml:space="preserve"> * La variable Pueblos Originarios/ Mujeres no debe ser mayor que el Total de Mujeres</v>
      </c>
      <c r="CE186" s="348" t="str">
        <f t="shared" si="178"/>
        <v xml:space="preserve"> * La variable Migrantes / hombres  no debe ser mayor que el Total de Hombres</v>
      </c>
      <c r="CF186" s="348" t="str">
        <f t="shared" si="179"/>
        <v xml:space="preserve"> * La variable Migrantes / Mujeres no debe ser mayor que el Total de Mujeres</v>
      </c>
      <c r="CG186" s="354"/>
      <c r="CH186" s="354"/>
      <c r="CI186" s="354"/>
      <c r="CJ186" s="354"/>
      <c r="CK186" s="354"/>
      <c r="CL186" s="354"/>
      <c r="CM186" s="306"/>
      <c r="CN186" s="306"/>
      <c r="CO186" s="306"/>
      <c r="CP186" s="306"/>
      <c r="CQ186" s="306"/>
      <c r="CR186" s="306"/>
      <c r="CS186" s="306"/>
      <c r="CT186" s="306"/>
      <c r="CU186" s="306"/>
      <c r="CV186" s="306"/>
      <c r="CW186" s="306"/>
      <c r="CX186" s="306"/>
      <c r="CY186" s="306"/>
      <c r="CZ186" s="306"/>
      <c r="DA186" s="306"/>
      <c r="DB186" s="306"/>
      <c r="DC186" s="352"/>
      <c r="DD186" s="352"/>
      <c r="DE186" s="352"/>
      <c r="DF186" s="352"/>
      <c r="DG186" s="352">
        <f t="shared" si="180"/>
        <v>1</v>
      </c>
      <c r="DH186" s="352">
        <f t="shared" si="181"/>
        <v>1</v>
      </c>
      <c r="DI186" s="352">
        <f t="shared" si="182"/>
        <v>1</v>
      </c>
      <c r="DJ186" s="352">
        <f t="shared" si="183"/>
        <v>1</v>
      </c>
      <c r="DK186" s="352"/>
      <c r="DL186" s="352"/>
      <c r="DM186" s="352"/>
      <c r="DN186" s="352"/>
      <c r="DO186" s="352"/>
      <c r="DP186" s="352"/>
      <c r="DQ186" s="352"/>
      <c r="DR186" s="352"/>
      <c r="DS186" s="352"/>
      <c r="DT186" s="352"/>
      <c r="DU186" s="352"/>
      <c r="DV186" s="352"/>
      <c r="DW186" s="352"/>
    </row>
    <row r="187" spans="1:127" ht="16.5" customHeight="1" x14ac:dyDescent="0.3">
      <c r="A187" s="1641" t="s">
        <v>1123</v>
      </c>
      <c r="B187" s="2000" t="s">
        <v>787</v>
      </c>
      <c r="C187" s="2001" t="s">
        <v>787</v>
      </c>
      <c r="D187" s="642" t="s">
        <v>1550</v>
      </c>
      <c r="E187" s="1227" t="s">
        <v>1551</v>
      </c>
      <c r="F187" s="1428" t="s">
        <v>1552</v>
      </c>
      <c r="G187" s="631" t="s">
        <v>1553</v>
      </c>
      <c r="H187" s="654" t="s">
        <v>1554</v>
      </c>
      <c r="I187" s="654" t="s">
        <v>1555</v>
      </c>
      <c r="J187" s="654" t="s">
        <v>1556</v>
      </c>
      <c r="K187" s="654" t="s">
        <v>1557</v>
      </c>
      <c r="L187" s="654" t="s">
        <v>1558</v>
      </c>
      <c r="M187" s="654" t="s">
        <v>1559</v>
      </c>
      <c r="N187" s="654" t="s">
        <v>1560</v>
      </c>
      <c r="O187" s="654" t="s">
        <v>1561</v>
      </c>
      <c r="P187" s="654" t="s">
        <v>1562</v>
      </c>
      <c r="Q187" s="654" t="s">
        <v>1563</v>
      </c>
      <c r="R187" s="654" t="s">
        <v>1564</v>
      </c>
      <c r="S187" s="654" t="s">
        <v>1565</v>
      </c>
      <c r="T187" s="654" t="s">
        <v>1566</v>
      </c>
      <c r="U187" s="654" t="s">
        <v>1567</v>
      </c>
      <c r="V187" s="654" t="s">
        <v>1568</v>
      </c>
      <c r="W187" s="654" t="s">
        <v>1569</v>
      </c>
      <c r="X187" s="654" t="s">
        <v>1570</v>
      </c>
      <c r="Y187" s="654" t="s">
        <v>1571</v>
      </c>
      <c r="Z187" s="654" t="s">
        <v>1572</v>
      </c>
      <c r="AA187" s="654" t="s">
        <v>1573</v>
      </c>
      <c r="AB187" s="654" t="s">
        <v>1574</v>
      </c>
      <c r="AC187" s="654" t="s">
        <v>1575</v>
      </c>
      <c r="AD187" s="654" t="s">
        <v>1576</v>
      </c>
      <c r="AE187" s="654" t="s">
        <v>1577</v>
      </c>
      <c r="AF187" s="654" t="s">
        <v>1578</v>
      </c>
      <c r="AG187" s="654" t="s">
        <v>1579</v>
      </c>
      <c r="AH187" s="654" t="s">
        <v>1580</v>
      </c>
      <c r="AI187" s="654" t="s">
        <v>1581</v>
      </c>
      <c r="AJ187" s="654" t="s">
        <v>1582</v>
      </c>
      <c r="AK187" s="654" t="s">
        <v>1583</v>
      </c>
      <c r="AL187" s="654" t="s">
        <v>1584</v>
      </c>
      <c r="AM187" s="654" t="s">
        <v>1585</v>
      </c>
      <c r="AN187" s="654" t="s">
        <v>1586</v>
      </c>
      <c r="AO187" s="654" t="s">
        <v>1587</v>
      </c>
      <c r="AP187" s="654" t="s">
        <v>1588</v>
      </c>
      <c r="AQ187" s="654" t="s">
        <v>1589</v>
      </c>
      <c r="AR187" s="630" t="s">
        <v>1590</v>
      </c>
      <c r="AS187" s="632" t="s">
        <v>1591</v>
      </c>
      <c r="AT187" s="630" t="s">
        <v>1592</v>
      </c>
      <c r="AU187" s="628" t="s">
        <v>1593</v>
      </c>
      <c r="AV187" s="629" t="s">
        <v>1594</v>
      </c>
      <c r="AW187" s="1513" t="str">
        <f t="shared" si="175"/>
        <v xml:space="preserve"> * La variable Pueblos Originarios / hombres  no debe ser mayor que el Total de Hombres. * La variable Pueblos Originarios/ Mujeres no debe ser mayor que el Total de Mujeres * La variable Migrantes / hombres  no debe ser mayor que el Total de Hombres * La variable Migrantes / Mujeres no debe ser mayor que el Total de Mujeres</v>
      </c>
      <c r="AX187" s="178"/>
      <c r="AY187" s="178"/>
      <c r="AZ187" s="178"/>
      <c r="BA187" s="178"/>
      <c r="BS187" s="960"/>
      <c r="BT187" s="960"/>
      <c r="BU187" s="960"/>
      <c r="BV187" s="960"/>
      <c r="CB187" s="354"/>
      <c r="CC187" s="348" t="str">
        <f t="shared" si="176"/>
        <v xml:space="preserve"> * La variable Pueblos Originarios / hombres  no debe ser mayor que el Total de Hombres.</v>
      </c>
      <c r="CD187" s="348" t="str">
        <f t="shared" si="177"/>
        <v xml:space="preserve"> * La variable Pueblos Originarios/ Mujeres no debe ser mayor que el Total de Mujeres</v>
      </c>
      <c r="CE187" s="348" t="str">
        <f t="shared" si="178"/>
        <v xml:space="preserve"> * La variable Migrantes / hombres  no debe ser mayor que el Total de Hombres</v>
      </c>
      <c r="CF187" s="348" t="str">
        <f t="shared" si="179"/>
        <v xml:space="preserve"> * La variable Migrantes / Mujeres no debe ser mayor que el Total de Mujeres</v>
      </c>
      <c r="CG187" s="354"/>
      <c r="CH187" s="354"/>
      <c r="CI187" s="354"/>
      <c r="CJ187" s="354"/>
      <c r="CK187" s="354"/>
      <c r="CL187" s="354"/>
      <c r="CM187" s="306"/>
      <c r="CN187" s="306"/>
      <c r="CO187" s="306"/>
      <c r="CP187" s="306"/>
      <c r="CQ187" s="306"/>
      <c r="CR187" s="306"/>
      <c r="CS187" s="306"/>
      <c r="CT187" s="306"/>
      <c r="CU187" s="306"/>
      <c r="CV187" s="306"/>
      <c r="CW187" s="306"/>
      <c r="CX187" s="306"/>
      <c r="CY187" s="306"/>
      <c r="CZ187" s="306"/>
      <c r="DA187" s="306"/>
      <c r="DB187" s="306"/>
      <c r="DC187" s="352"/>
      <c r="DD187" s="352"/>
      <c r="DE187" s="352"/>
      <c r="DF187" s="352"/>
      <c r="DG187" s="352">
        <f t="shared" si="180"/>
        <v>1</v>
      </c>
      <c r="DH187" s="352">
        <f t="shared" si="181"/>
        <v>1</v>
      </c>
      <c r="DI187" s="352">
        <f t="shared" si="182"/>
        <v>1</v>
      </c>
      <c r="DJ187" s="352">
        <f t="shared" si="183"/>
        <v>1</v>
      </c>
      <c r="DK187" s="352"/>
      <c r="DL187" s="352"/>
      <c r="DM187" s="352"/>
      <c r="DN187" s="352"/>
      <c r="DO187" s="352"/>
      <c r="DP187" s="352"/>
      <c r="DQ187" s="352"/>
      <c r="DR187" s="352"/>
      <c r="DS187" s="352"/>
      <c r="DT187" s="352"/>
      <c r="DU187" s="352"/>
      <c r="DV187" s="352"/>
      <c r="DW187" s="352"/>
    </row>
    <row r="188" spans="1:127" ht="16.5" customHeight="1" x14ac:dyDescent="0.3">
      <c r="A188" s="1641" t="s">
        <v>1124</v>
      </c>
      <c r="B188" s="2000" t="s">
        <v>790</v>
      </c>
      <c r="C188" s="2001" t="s">
        <v>790</v>
      </c>
      <c r="D188" s="642" t="s">
        <v>1550</v>
      </c>
      <c r="E188" s="1227" t="s">
        <v>1551</v>
      </c>
      <c r="F188" s="1428" t="s">
        <v>1552</v>
      </c>
      <c r="G188" s="631" t="s">
        <v>1553</v>
      </c>
      <c r="H188" s="654" t="s">
        <v>1554</v>
      </c>
      <c r="I188" s="654" t="s">
        <v>1555</v>
      </c>
      <c r="J188" s="654" t="s">
        <v>1556</v>
      </c>
      <c r="K188" s="654" t="s">
        <v>1557</v>
      </c>
      <c r="L188" s="654" t="s">
        <v>1558</v>
      </c>
      <c r="M188" s="654" t="s">
        <v>1559</v>
      </c>
      <c r="N188" s="654" t="s">
        <v>1560</v>
      </c>
      <c r="O188" s="654" t="s">
        <v>1561</v>
      </c>
      <c r="P188" s="654" t="s">
        <v>1562</v>
      </c>
      <c r="Q188" s="654" t="s">
        <v>1563</v>
      </c>
      <c r="R188" s="654" t="s">
        <v>1564</v>
      </c>
      <c r="S188" s="654" t="s">
        <v>1565</v>
      </c>
      <c r="T188" s="654" t="s">
        <v>1566</v>
      </c>
      <c r="U188" s="654" t="s">
        <v>1567</v>
      </c>
      <c r="V188" s="654" t="s">
        <v>1568</v>
      </c>
      <c r="W188" s="654" t="s">
        <v>1569</v>
      </c>
      <c r="X188" s="654" t="s">
        <v>1570</v>
      </c>
      <c r="Y188" s="654" t="s">
        <v>1571</v>
      </c>
      <c r="Z188" s="654" t="s">
        <v>1572</v>
      </c>
      <c r="AA188" s="654" t="s">
        <v>1573</v>
      </c>
      <c r="AB188" s="654" t="s">
        <v>1574</v>
      </c>
      <c r="AC188" s="654" t="s">
        <v>1575</v>
      </c>
      <c r="AD188" s="654" t="s">
        <v>1576</v>
      </c>
      <c r="AE188" s="654" t="s">
        <v>1577</v>
      </c>
      <c r="AF188" s="654" t="s">
        <v>1578</v>
      </c>
      <c r="AG188" s="654" t="s">
        <v>1579</v>
      </c>
      <c r="AH188" s="654" t="s">
        <v>1580</v>
      </c>
      <c r="AI188" s="654" t="s">
        <v>1581</v>
      </c>
      <c r="AJ188" s="654" t="s">
        <v>1582</v>
      </c>
      <c r="AK188" s="654" t="s">
        <v>1583</v>
      </c>
      <c r="AL188" s="654" t="s">
        <v>1584</v>
      </c>
      <c r="AM188" s="654" t="s">
        <v>1585</v>
      </c>
      <c r="AN188" s="654" t="s">
        <v>1586</v>
      </c>
      <c r="AO188" s="654" t="s">
        <v>1587</v>
      </c>
      <c r="AP188" s="654" t="s">
        <v>1588</v>
      </c>
      <c r="AQ188" s="654" t="s">
        <v>1589</v>
      </c>
      <c r="AR188" s="630" t="s">
        <v>1590</v>
      </c>
      <c r="AS188" s="632" t="s">
        <v>1591</v>
      </c>
      <c r="AT188" s="630" t="s">
        <v>1592</v>
      </c>
      <c r="AU188" s="628" t="s">
        <v>1593</v>
      </c>
      <c r="AV188" s="629" t="s">
        <v>1594</v>
      </c>
      <c r="AW188" s="1513" t="str">
        <f t="shared" si="175"/>
        <v xml:space="preserve"> * La variable Pueblos Originarios / hombres  no debe ser mayor que el Total de Hombres. * La variable Pueblos Originarios/ Mujeres no debe ser mayor que el Total de Mujeres * La variable Migrantes / hombres  no debe ser mayor que el Total de Hombres * La variable Migrantes / Mujeres no debe ser mayor que el Total de Mujeres</v>
      </c>
      <c r="AX188" s="178"/>
      <c r="AY188" s="178"/>
      <c r="AZ188" s="178"/>
      <c r="BA188" s="178"/>
      <c r="BS188" s="960"/>
      <c r="BT188" s="960"/>
      <c r="BU188" s="960"/>
      <c r="BV188" s="960"/>
      <c r="CB188" s="354"/>
      <c r="CC188" s="348" t="str">
        <f t="shared" si="176"/>
        <v xml:space="preserve"> * La variable Pueblos Originarios / hombres  no debe ser mayor que el Total de Hombres.</v>
      </c>
      <c r="CD188" s="348" t="str">
        <f t="shared" si="177"/>
        <v xml:space="preserve"> * La variable Pueblos Originarios/ Mujeres no debe ser mayor que el Total de Mujeres</v>
      </c>
      <c r="CE188" s="348" t="str">
        <f t="shared" si="178"/>
        <v xml:space="preserve"> * La variable Migrantes / hombres  no debe ser mayor que el Total de Hombres</v>
      </c>
      <c r="CF188" s="348" t="str">
        <f t="shared" si="179"/>
        <v xml:space="preserve"> * La variable Migrantes / Mujeres no debe ser mayor que el Total de Mujeres</v>
      </c>
      <c r="CG188" s="354"/>
      <c r="CH188" s="354"/>
      <c r="CI188" s="354"/>
      <c r="CJ188" s="354"/>
      <c r="CK188" s="354"/>
      <c r="CL188" s="354"/>
      <c r="CM188" s="306"/>
      <c r="CN188" s="306"/>
      <c r="CO188" s="306"/>
      <c r="CP188" s="306"/>
      <c r="CQ188" s="306"/>
      <c r="CR188" s="306"/>
      <c r="CS188" s="306"/>
      <c r="CT188" s="306"/>
      <c r="CU188" s="306"/>
      <c r="CV188" s="306"/>
      <c r="CW188" s="306"/>
      <c r="CX188" s="306"/>
      <c r="CY188" s="306"/>
      <c r="CZ188" s="306"/>
      <c r="DA188" s="306"/>
      <c r="DB188" s="306"/>
      <c r="DC188" s="352"/>
      <c r="DD188" s="352"/>
      <c r="DE188" s="352"/>
      <c r="DF188" s="352"/>
      <c r="DG188" s="352">
        <f t="shared" si="180"/>
        <v>1</v>
      </c>
      <c r="DH188" s="352">
        <f t="shared" si="181"/>
        <v>1</v>
      </c>
      <c r="DI188" s="352">
        <f t="shared" si="182"/>
        <v>1</v>
      </c>
      <c r="DJ188" s="352">
        <f t="shared" si="183"/>
        <v>1</v>
      </c>
      <c r="DK188" s="352"/>
      <c r="DL188" s="352"/>
      <c r="DM188" s="352"/>
      <c r="DN188" s="352"/>
      <c r="DO188" s="352"/>
      <c r="DP188" s="352"/>
      <c r="DQ188" s="352"/>
      <c r="DR188" s="352"/>
      <c r="DS188" s="352"/>
      <c r="DT188" s="352"/>
      <c r="DU188" s="352"/>
      <c r="DV188" s="352"/>
      <c r="DW188" s="352"/>
    </row>
    <row r="189" spans="1:127" ht="16.5" customHeight="1" x14ac:dyDescent="0.3">
      <c r="A189" s="1641" t="s">
        <v>1125</v>
      </c>
      <c r="B189" s="2065" t="s">
        <v>792</v>
      </c>
      <c r="C189" s="2066" t="s">
        <v>792</v>
      </c>
      <c r="D189" s="1226" t="s">
        <v>1550</v>
      </c>
      <c r="E189" s="1259" t="s">
        <v>1551</v>
      </c>
      <c r="F189" s="1430" t="s">
        <v>1552</v>
      </c>
      <c r="G189" s="591" t="s">
        <v>1553</v>
      </c>
      <c r="H189" s="657" t="s">
        <v>1554</v>
      </c>
      <c r="I189" s="657" t="s">
        <v>1555</v>
      </c>
      <c r="J189" s="657" t="s">
        <v>1556</v>
      </c>
      <c r="K189" s="657" t="s">
        <v>1557</v>
      </c>
      <c r="L189" s="657" t="s">
        <v>1558</v>
      </c>
      <c r="M189" s="657" t="s">
        <v>1559</v>
      </c>
      <c r="N189" s="657" t="s">
        <v>1560</v>
      </c>
      <c r="O189" s="657" t="s">
        <v>1561</v>
      </c>
      <c r="P189" s="657" t="s">
        <v>1562</v>
      </c>
      <c r="Q189" s="657" t="s">
        <v>1563</v>
      </c>
      <c r="R189" s="657" t="s">
        <v>1564</v>
      </c>
      <c r="S189" s="657" t="s">
        <v>1565</v>
      </c>
      <c r="T189" s="657" t="s">
        <v>1566</v>
      </c>
      <c r="U189" s="657" t="s">
        <v>1567</v>
      </c>
      <c r="V189" s="657" t="s">
        <v>1568</v>
      </c>
      <c r="W189" s="657" t="s">
        <v>1569</v>
      </c>
      <c r="X189" s="657" t="s">
        <v>1570</v>
      </c>
      <c r="Y189" s="657" t="s">
        <v>1571</v>
      </c>
      <c r="Z189" s="657" t="s">
        <v>1572</v>
      </c>
      <c r="AA189" s="657" t="s">
        <v>1573</v>
      </c>
      <c r="AB189" s="657" t="s">
        <v>1574</v>
      </c>
      <c r="AC189" s="657" t="s">
        <v>1575</v>
      </c>
      <c r="AD189" s="657" t="s">
        <v>1576</v>
      </c>
      <c r="AE189" s="657" t="s">
        <v>1577</v>
      </c>
      <c r="AF189" s="657" t="s">
        <v>1578</v>
      </c>
      <c r="AG189" s="657" t="s">
        <v>1579</v>
      </c>
      <c r="AH189" s="657" t="s">
        <v>1580</v>
      </c>
      <c r="AI189" s="657" t="s">
        <v>1581</v>
      </c>
      <c r="AJ189" s="657" t="s">
        <v>1582</v>
      </c>
      <c r="AK189" s="657" t="s">
        <v>1583</v>
      </c>
      <c r="AL189" s="657" t="s">
        <v>1584</v>
      </c>
      <c r="AM189" s="657" t="s">
        <v>1585</v>
      </c>
      <c r="AN189" s="657" t="s">
        <v>1586</v>
      </c>
      <c r="AO189" s="657" t="s">
        <v>1587</v>
      </c>
      <c r="AP189" s="657" t="s">
        <v>1588</v>
      </c>
      <c r="AQ189" s="657" t="s">
        <v>1589</v>
      </c>
      <c r="AR189" s="590" t="s">
        <v>1590</v>
      </c>
      <c r="AS189" s="592" t="s">
        <v>1591</v>
      </c>
      <c r="AT189" s="590" t="s">
        <v>1592</v>
      </c>
      <c r="AU189" s="588" t="s">
        <v>1593</v>
      </c>
      <c r="AV189" s="589" t="s">
        <v>1594</v>
      </c>
      <c r="AW189" s="1513" t="str">
        <f t="shared" si="175"/>
        <v xml:space="preserve"> * La variable Pueblos Originarios / hombres  no debe ser mayor que el Total de Hombres. * La variable Pueblos Originarios/ Mujeres no debe ser mayor que el Total de Mujeres * La variable Migrantes / hombres  no debe ser mayor que el Total de Hombres * La variable Migrantes / Mujeres no debe ser mayor que el Total de Mujeres</v>
      </c>
      <c r="AX189" s="178"/>
      <c r="AY189" s="178"/>
      <c r="AZ189" s="178"/>
      <c r="BA189" s="178"/>
      <c r="BS189" s="960"/>
      <c r="BT189" s="960"/>
      <c r="BU189" s="960"/>
      <c r="BV189" s="960"/>
      <c r="CB189" s="354"/>
      <c r="CC189" s="348" t="str">
        <f t="shared" si="176"/>
        <v xml:space="preserve"> * La variable Pueblos Originarios / hombres  no debe ser mayor que el Total de Hombres.</v>
      </c>
      <c r="CD189" s="348" t="str">
        <f t="shared" si="177"/>
        <v xml:space="preserve"> * La variable Pueblos Originarios/ Mujeres no debe ser mayor que el Total de Mujeres</v>
      </c>
      <c r="CE189" s="348" t="str">
        <f t="shared" si="178"/>
        <v xml:space="preserve"> * La variable Migrantes / hombres  no debe ser mayor que el Total de Hombres</v>
      </c>
      <c r="CF189" s="348" t="str">
        <f t="shared" si="179"/>
        <v xml:space="preserve"> * La variable Migrantes / Mujeres no debe ser mayor que el Total de Mujeres</v>
      </c>
      <c r="CG189" s="354"/>
      <c r="CH189" s="354"/>
      <c r="CI189" s="354"/>
      <c r="CJ189" s="354"/>
      <c r="CK189" s="354"/>
      <c r="CL189" s="354"/>
      <c r="CM189" s="306"/>
      <c r="CN189" s="306"/>
      <c r="CO189" s="306"/>
      <c r="CP189" s="306"/>
      <c r="CQ189" s="306"/>
      <c r="CR189" s="306"/>
      <c r="CS189" s="306"/>
      <c r="CT189" s="306"/>
      <c r="CU189" s="306"/>
      <c r="CV189" s="306"/>
      <c r="CW189" s="306"/>
      <c r="CX189" s="306"/>
      <c r="CY189" s="306"/>
      <c r="CZ189" s="306"/>
      <c r="DA189" s="306"/>
      <c r="DB189" s="306"/>
      <c r="DC189" s="352"/>
      <c r="DD189" s="352"/>
      <c r="DE189" s="352"/>
      <c r="DF189" s="352"/>
      <c r="DG189" s="352">
        <f t="shared" si="180"/>
        <v>1</v>
      </c>
      <c r="DH189" s="352">
        <f t="shared" si="181"/>
        <v>1</v>
      </c>
      <c r="DI189" s="352">
        <f t="shared" si="182"/>
        <v>1</v>
      </c>
      <c r="DJ189" s="352">
        <f t="shared" si="183"/>
        <v>1</v>
      </c>
      <c r="DK189" s="352"/>
      <c r="DL189" s="352"/>
      <c r="DM189" s="352"/>
      <c r="DN189" s="352"/>
      <c r="DO189" s="352"/>
      <c r="DP189" s="352"/>
      <c r="DQ189" s="352"/>
      <c r="DR189" s="352"/>
      <c r="DS189" s="352"/>
      <c r="DT189" s="352"/>
      <c r="DU189" s="352"/>
      <c r="DV189" s="352"/>
      <c r="DW189" s="352"/>
    </row>
    <row r="190" spans="1:127" ht="27" customHeight="1" x14ac:dyDescent="0.3">
      <c r="B190" s="430" t="s">
        <v>723</v>
      </c>
      <c r="C190" s="175"/>
      <c r="D190" s="175"/>
      <c r="E190" s="175"/>
      <c r="F190" s="175"/>
      <c r="G190" s="175"/>
      <c r="H190" s="175"/>
      <c r="I190" s="175"/>
      <c r="J190" s="175"/>
      <c r="K190" s="175"/>
      <c r="L190" s="175"/>
      <c r="M190" s="175"/>
      <c r="N190" s="175"/>
      <c r="O190" s="175"/>
      <c r="P190" s="175"/>
      <c r="Q190" s="175"/>
      <c r="R190" s="175"/>
      <c r="S190" s="175"/>
      <c r="T190" s="175"/>
      <c r="U190" s="175"/>
      <c r="V190" s="175"/>
      <c r="W190" s="175"/>
      <c r="X190" s="175"/>
      <c r="Y190" s="175"/>
      <c r="Z190" s="175"/>
      <c r="AA190" s="175"/>
      <c r="AB190" s="175"/>
      <c r="AC190" s="175"/>
      <c r="AD190" s="175"/>
      <c r="AE190" s="175"/>
      <c r="AF190" s="175"/>
      <c r="AG190" s="175"/>
      <c r="AH190" s="175"/>
      <c r="AI190" s="175"/>
      <c r="AJ190" s="175"/>
      <c r="AK190" s="175"/>
      <c r="AL190" s="175"/>
      <c r="AM190" s="175"/>
      <c r="AN190" s="175"/>
      <c r="AO190" s="175"/>
      <c r="AP190" s="175"/>
      <c r="AQ190" s="175"/>
      <c r="AR190" s="175"/>
      <c r="AS190" s="175"/>
      <c r="AT190" s="175"/>
      <c r="AU190" s="175"/>
      <c r="AV190" s="175"/>
      <c r="AW190" s="343"/>
    </row>
    <row r="191" spans="1:127" ht="19.5" customHeight="1" x14ac:dyDescent="0.3">
      <c r="B191" s="2041" t="s">
        <v>719</v>
      </c>
      <c r="C191" s="1951"/>
      <c r="D191" s="2067" t="s">
        <v>13</v>
      </c>
      <c r="E191" s="1979"/>
      <c r="F191" s="1980"/>
      <c r="G191" s="1992" t="s">
        <v>77</v>
      </c>
      <c r="H191" s="1993"/>
      <c r="I191" s="1993"/>
      <c r="J191" s="1993"/>
      <c r="K191" s="1993"/>
      <c r="L191" s="1993"/>
      <c r="M191" s="1993"/>
      <c r="N191" s="1993"/>
      <c r="O191" s="1993"/>
      <c r="P191" s="1993"/>
      <c r="Q191" s="1993"/>
      <c r="R191" s="1993"/>
      <c r="S191" s="1993"/>
      <c r="T191" s="1993"/>
      <c r="U191" s="1993"/>
      <c r="V191" s="1993"/>
      <c r="W191" s="1993"/>
      <c r="X191" s="1993"/>
      <c r="Y191" s="1993"/>
      <c r="Z191" s="1993"/>
      <c r="AA191" s="1993"/>
      <c r="AB191" s="1993"/>
      <c r="AC191" s="1993"/>
      <c r="AD191" s="1993"/>
      <c r="AE191" s="1993"/>
      <c r="AF191" s="1993"/>
      <c r="AG191" s="1993"/>
      <c r="AH191" s="1993"/>
      <c r="AI191" s="1993"/>
      <c r="AJ191" s="1993"/>
      <c r="AK191" s="1993"/>
      <c r="AL191" s="1993"/>
      <c r="AM191" s="1993"/>
      <c r="AN191" s="1993"/>
      <c r="AO191" s="1993"/>
      <c r="AP191" s="1993"/>
      <c r="AQ191" s="1993"/>
      <c r="AR191" s="2061"/>
      <c r="AS191" s="2052" t="s">
        <v>15</v>
      </c>
      <c r="AT191" s="2053"/>
      <c r="AU191" s="2056" t="s">
        <v>804</v>
      </c>
      <c r="AV191" s="2053"/>
      <c r="AW191" s="343"/>
      <c r="AX191" s="175"/>
      <c r="AY191" s="175"/>
      <c r="AZ191" s="175"/>
      <c r="BA191" s="175"/>
      <c r="BS191" s="960"/>
      <c r="BT191" s="960"/>
      <c r="BU191" s="960"/>
      <c r="BV191" s="960"/>
    </row>
    <row r="192" spans="1:127" ht="19.5" customHeight="1" x14ac:dyDescent="0.3">
      <c r="B192" s="2050"/>
      <c r="C192" s="2051"/>
      <c r="D192" s="1981"/>
      <c r="E192" s="1982"/>
      <c r="F192" s="1983"/>
      <c r="G192" s="2058" t="s">
        <v>78</v>
      </c>
      <c r="H192" s="2059"/>
      <c r="I192" s="2058" t="s">
        <v>79</v>
      </c>
      <c r="J192" s="2059"/>
      <c r="K192" s="2058" t="s">
        <v>80</v>
      </c>
      <c r="L192" s="2059"/>
      <c r="M192" s="2058" t="s">
        <v>81</v>
      </c>
      <c r="N192" s="2059"/>
      <c r="O192" s="2058" t="s">
        <v>82</v>
      </c>
      <c r="P192" s="2059"/>
      <c r="Q192" s="2058" t="s">
        <v>83</v>
      </c>
      <c r="R192" s="2059"/>
      <c r="S192" s="2058" t="s">
        <v>84</v>
      </c>
      <c r="T192" s="2059"/>
      <c r="U192" s="2058" t="s">
        <v>85</v>
      </c>
      <c r="V192" s="2059"/>
      <c r="W192" s="2058" t="s">
        <v>86</v>
      </c>
      <c r="X192" s="2059"/>
      <c r="Y192" s="2058" t="s">
        <v>87</v>
      </c>
      <c r="Z192" s="2059"/>
      <c r="AA192" s="2058" t="s">
        <v>88</v>
      </c>
      <c r="AB192" s="2059"/>
      <c r="AC192" s="2058" t="s">
        <v>89</v>
      </c>
      <c r="AD192" s="2059"/>
      <c r="AE192" s="2058" t="s">
        <v>90</v>
      </c>
      <c r="AF192" s="2059"/>
      <c r="AG192" s="2058" t="s">
        <v>91</v>
      </c>
      <c r="AH192" s="2059"/>
      <c r="AI192" s="1941" t="s">
        <v>92</v>
      </c>
      <c r="AJ192" s="2059"/>
      <c r="AK192" s="2058" t="s">
        <v>571</v>
      </c>
      <c r="AL192" s="2059"/>
      <c r="AM192" s="2058" t="s">
        <v>572</v>
      </c>
      <c r="AN192" s="2059"/>
      <c r="AO192" s="1941" t="s">
        <v>128</v>
      </c>
      <c r="AP192" s="2059"/>
      <c r="AQ192" s="2058" t="s">
        <v>17</v>
      </c>
      <c r="AR192" s="2060"/>
      <c r="AS192" s="2054"/>
      <c r="AT192" s="2055"/>
      <c r="AU192" s="2057"/>
      <c r="AV192" s="2055"/>
      <c r="AW192" s="343"/>
      <c r="AX192" s="175"/>
      <c r="AY192" s="175"/>
      <c r="AZ192" s="175"/>
      <c r="BA192" s="175"/>
      <c r="BS192" s="960"/>
      <c r="BT192" s="960"/>
      <c r="BU192" s="960"/>
      <c r="BV192" s="960"/>
    </row>
    <row r="193" spans="1:127" ht="28.5" customHeight="1" x14ac:dyDescent="0.3">
      <c r="B193" s="1952"/>
      <c r="C193" s="1953"/>
      <c r="D193" s="91" t="s">
        <v>369</v>
      </c>
      <c r="E193" s="92" t="s">
        <v>31</v>
      </c>
      <c r="F193" s="1225" t="s">
        <v>94</v>
      </c>
      <c r="G193" s="92" t="s">
        <v>31</v>
      </c>
      <c r="H193" s="93" t="s">
        <v>94</v>
      </c>
      <c r="I193" s="92" t="s">
        <v>31</v>
      </c>
      <c r="J193" s="93" t="s">
        <v>94</v>
      </c>
      <c r="K193" s="92" t="s">
        <v>31</v>
      </c>
      <c r="L193" s="93" t="s">
        <v>94</v>
      </c>
      <c r="M193" s="92" t="s">
        <v>31</v>
      </c>
      <c r="N193" s="93" t="s">
        <v>94</v>
      </c>
      <c r="O193" s="92" t="s">
        <v>31</v>
      </c>
      <c r="P193" s="93" t="s">
        <v>94</v>
      </c>
      <c r="Q193" s="92" t="s">
        <v>31</v>
      </c>
      <c r="R193" s="93" t="s">
        <v>94</v>
      </c>
      <c r="S193" s="92" t="s">
        <v>31</v>
      </c>
      <c r="T193" s="93" t="s">
        <v>94</v>
      </c>
      <c r="U193" s="92" t="s">
        <v>31</v>
      </c>
      <c r="V193" s="93" t="s">
        <v>94</v>
      </c>
      <c r="W193" s="92" t="s">
        <v>31</v>
      </c>
      <c r="X193" s="93" t="s">
        <v>94</v>
      </c>
      <c r="Y193" s="92" t="s">
        <v>31</v>
      </c>
      <c r="Z193" s="93" t="s">
        <v>94</v>
      </c>
      <c r="AA193" s="92" t="s">
        <v>31</v>
      </c>
      <c r="AB193" s="93" t="s">
        <v>94</v>
      </c>
      <c r="AC193" s="92" t="s">
        <v>31</v>
      </c>
      <c r="AD193" s="93" t="s">
        <v>94</v>
      </c>
      <c r="AE193" s="92" t="s">
        <v>31</v>
      </c>
      <c r="AF193" s="93" t="s">
        <v>94</v>
      </c>
      <c r="AG193" s="92" t="s">
        <v>31</v>
      </c>
      <c r="AH193" s="93" t="s">
        <v>94</v>
      </c>
      <c r="AI193" s="957" t="s">
        <v>31</v>
      </c>
      <c r="AJ193" s="1593" t="s">
        <v>94</v>
      </c>
      <c r="AK193" s="1592" t="s">
        <v>31</v>
      </c>
      <c r="AL193" s="93" t="s">
        <v>94</v>
      </c>
      <c r="AM193" s="957" t="s">
        <v>31</v>
      </c>
      <c r="AN193" s="1593" t="s">
        <v>94</v>
      </c>
      <c r="AO193" s="957" t="s">
        <v>31</v>
      </c>
      <c r="AP193" s="93" t="s">
        <v>94</v>
      </c>
      <c r="AQ193" s="957" t="s">
        <v>31</v>
      </c>
      <c r="AR193" s="1594" t="s">
        <v>94</v>
      </c>
      <c r="AS193" s="1595" t="s">
        <v>31</v>
      </c>
      <c r="AT193" s="1593" t="s">
        <v>94</v>
      </c>
      <c r="AU193" s="92" t="s">
        <v>31</v>
      </c>
      <c r="AV193" s="1604" t="s">
        <v>94</v>
      </c>
      <c r="AW193" s="343"/>
      <c r="AX193" s="175"/>
      <c r="AY193" s="175"/>
      <c r="AZ193" s="175"/>
      <c r="BA193" s="175"/>
      <c r="BS193" s="960"/>
      <c r="BT193" s="960"/>
      <c r="BU193" s="960"/>
      <c r="BV193" s="960"/>
    </row>
    <row r="194" spans="1:127" ht="21" customHeight="1" x14ac:dyDescent="0.3">
      <c r="B194" s="2058" t="s">
        <v>816</v>
      </c>
      <c r="C194" s="2059"/>
      <c r="D194" s="581">
        <f>SUM(E194:F194)</f>
        <v>0</v>
      </c>
      <c r="E194" s="640">
        <f>+G194+I194+K194+M194+O194+Q194+S194+U194+W194+Y194+AA194+AC194+AE194+AG194+AI194+AO194+AQ194+AK194+AM194</f>
        <v>0</v>
      </c>
      <c r="F194" s="641">
        <f>+H194+J194+L194+N194+P194+R194+T194+V194+X194+Z194+AB194+AD194+AF194+AH194+AJ194+AP194+AR194+AL194+AN194</f>
        <v>0</v>
      </c>
      <c r="G194" s="1437">
        <f>SUM(G195:G197)</f>
        <v>0</v>
      </c>
      <c r="H194" s="1438">
        <f>SUM(H195:H197)</f>
        <v>0</v>
      </c>
      <c r="I194" s="1437">
        <f t="shared" ref="I194:AR194" si="184">SUM(I195:I197)</f>
        <v>0</v>
      </c>
      <c r="J194" s="1438">
        <f t="shared" si="184"/>
        <v>0</v>
      </c>
      <c r="K194" s="1437">
        <f t="shared" si="184"/>
        <v>0</v>
      </c>
      <c r="L194" s="1438">
        <f t="shared" si="184"/>
        <v>0</v>
      </c>
      <c r="M194" s="1437">
        <f t="shared" si="184"/>
        <v>0</v>
      </c>
      <c r="N194" s="1438">
        <f t="shared" si="184"/>
        <v>0</v>
      </c>
      <c r="O194" s="1437">
        <f t="shared" si="184"/>
        <v>0</v>
      </c>
      <c r="P194" s="1438">
        <f t="shared" si="184"/>
        <v>0</v>
      </c>
      <c r="Q194" s="1437">
        <f t="shared" si="184"/>
        <v>0</v>
      </c>
      <c r="R194" s="1438">
        <f t="shared" si="184"/>
        <v>0</v>
      </c>
      <c r="S194" s="1437">
        <f t="shared" si="184"/>
        <v>0</v>
      </c>
      <c r="T194" s="1438">
        <f t="shared" si="184"/>
        <v>0</v>
      </c>
      <c r="U194" s="1437">
        <f t="shared" si="184"/>
        <v>0</v>
      </c>
      <c r="V194" s="1438">
        <f t="shared" si="184"/>
        <v>0</v>
      </c>
      <c r="W194" s="1437">
        <f t="shared" si="184"/>
        <v>0</v>
      </c>
      <c r="X194" s="1438">
        <f t="shared" si="184"/>
        <v>0</v>
      </c>
      <c r="Y194" s="1437">
        <f t="shared" si="184"/>
        <v>0</v>
      </c>
      <c r="Z194" s="1438">
        <f t="shared" si="184"/>
        <v>0</v>
      </c>
      <c r="AA194" s="1437">
        <f t="shared" si="184"/>
        <v>0</v>
      </c>
      <c r="AB194" s="1438">
        <f t="shared" si="184"/>
        <v>0</v>
      </c>
      <c r="AC194" s="1437">
        <f t="shared" si="184"/>
        <v>0</v>
      </c>
      <c r="AD194" s="1438">
        <f t="shared" si="184"/>
        <v>0</v>
      </c>
      <c r="AE194" s="1437">
        <f t="shared" si="184"/>
        <v>0</v>
      </c>
      <c r="AF194" s="1438">
        <f t="shared" si="184"/>
        <v>0</v>
      </c>
      <c r="AG194" s="1437">
        <f t="shared" si="184"/>
        <v>0</v>
      </c>
      <c r="AH194" s="1438">
        <f t="shared" si="184"/>
        <v>0</v>
      </c>
      <c r="AI194" s="1437">
        <f t="shared" si="184"/>
        <v>0</v>
      </c>
      <c r="AJ194" s="1438">
        <f t="shared" si="184"/>
        <v>0</v>
      </c>
      <c r="AK194" s="1437">
        <f t="shared" si="184"/>
        <v>0</v>
      </c>
      <c r="AL194" s="1438">
        <f t="shared" si="184"/>
        <v>0</v>
      </c>
      <c r="AM194" s="1437">
        <f t="shared" si="184"/>
        <v>0</v>
      </c>
      <c r="AN194" s="1438">
        <f t="shared" si="184"/>
        <v>0</v>
      </c>
      <c r="AO194" s="1437">
        <f t="shared" si="184"/>
        <v>0</v>
      </c>
      <c r="AP194" s="1438">
        <f t="shared" si="184"/>
        <v>0</v>
      </c>
      <c r="AQ194" s="1437">
        <f t="shared" si="184"/>
        <v>0</v>
      </c>
      <c r="AR194" s="1438">
        <f t="shared" si="184"/>
        <v>0</v>
      </c>
      <c r="AS194" s="1439">
        <f>SUM(AS195:AS197)</f>
        <v>0</v>
      </c>
      <c r="AT194" s="1438">
        <f>SUM(AT195:AT197)</f>
        <v>0</v>
      </c>
      <c r="AU194" s="608">
        <f>SUM(AU195:AU197)</f>
        <v>0</v>
      </c>
      <c r="AV194" s="1438">
        <f>SUM(AV195:AV197)</f>
        <v>0</v>
      </c>
      <c r="AW194" s="1513"/>
      <c r="BS194" s="960"/>
      <c r="BT194" s="960"/>
      <c r="BU194" s="960"/>
      <c r="BV194" s="960"/>
      <c r="CB194" s="354"/>
      <c r="CC194" s="354"/>
      <c r="CD194" s="354"/>
      <c r="CE194" s="354"/>
      <c r="CF194" s="354"/>
      <c r="CG194" s="354"/>
      <c r="CH194" s="354"/>
      <c r="CI194" s="354"/>
      <c r="CJ194" s="354"/>
      <c r="CK194" s="354"/>
      <c r="CL194" s="354"/>
      <c r="CM194" s="306"/>
      <c r="CN194" s="306"/>
      <c r="CO194" s="306"/>
      <c r="CP194" s="306"/>
      <c r="CQ194" s="306"/>
      <c r="CR194" s="306"/>
      <c r="CS194" s="306"/>
      <c r="CT194" s="306"/>
      <c r="CU194" s="306"/>
      <c r="CV194" s="306"/>
      <c r="CW194" s="306"/>
      <c r="CX194" s="306"/>
      <c r="CY194" s="306"/>
      <c r="CZ194" s="306"/>
      <c r="DA194" s="306"/>
      <c r="DB194" s="306"/>
      <c r="DC194" s="352"/>
      <c r="DD194" s="352"/>
      <c r="DE194" s="352"/>
      <c r="DF194" s="352"/>
      <c r="DG194" s="352">
        <f t="shared" ref="DG194:DG197" si="185">IF(AND(E194&gt;0,AS194=""),1,IF(AS194&gt;E194,1,0))</f>
        <v>0</v>
      </c>
      <c r="DH194" s="352">
        <f t="shared" ref="DH194:DH197" si="186">IF(AND(F194&gt;0,AT194=""),1,IF(AT194&gt;F194,1,0))</f>
        <v>0</v>
      </c>
      <c r="DI194" s="352">
        <f t="shared" ref="DI194:DI197" si="187">IF(AND(E194&gt;0,AU194=""),1,IF(AU194&gt;E194,1,0))</f>
        <v>0</v>
      </c>
      <c r="DJ194" s="352">
        <f t="shared" ref="DJ194:DJ197" si="188">IF(AND(F194&gt;0,AV194=""),1,IF(AV194&gt;F194,1,0))</f>
        <v>0</v>
      </c>
      <c r="DK194" s="352"/>
      <c r="DL194" s="352"/>
      <c r="DM194" s="352"/>
      <c r="DN194" s="352"/>
      <c r="DO194" s="352"/>
      <c r="DP194" s="352"/>
      <c r="DQ194" s="352"/>
      <c r="DR194" s="352"/>
      <c r="DS194" s="352"/>
      <c r="DT194" s="352"/>
      <c r="DU194" s="352"/>
      <c r="DV194" s="352"/>
      <c r="DW194" s="352"/>
    </row>
    <row r="195" spans="1:127" ht="21.75" customHeight="1" x14ac:dyDescent="0.3">
      <c r="A195" s="1641" t="s">
        <v>1126</v>
      </c>
      <c r="B195" s="1948" t="s">
        <v>701</v>
      </c>
      <c r="C195" s="1949"/>
      <c r="D195" s="581" t="s">
        <v>1550</v>
      </c>
      <c r="E195" s="640" t="s">
        <v>1551</v>
      </c>
      <c r="F195" s="641" t="s">
        <v>1552</v>
      </c>
      <c r="G195" s="582" t="s">
        <v>1553</v>
      </c>
      <c r="H195" s="583" t="s">
        <v>1554</v>
      </c>
      <c r="I195" s="582" t="s">
        <v>1555</v>
      </c>
      <c r="J195" s="583" t="s">
        <v>1556</v>
      </c>
      <c r="K195" s="582" t="s">
        <v>1557</v>
      </c>
      <c r="L195" s="583" t="s">
        <v>1558</v>
      </c>
      <c r="M195" s="582" t="s">
        <v>1559</v>
      </c>
      <c r="N195" s="584" t="s">
        <v>1560</v>
      </c>
      <c r="O195" s="582" t="s">
        <v>1561</v>
      </c>
      <c r="P195" s="583" t="s">
        <v>1562</v>
      </c>
      <c r="Q195" s="582" t="s">
        <v>1563</v>
      </c>
      <c r="R195" s="583" t="s">
        <v>1564</v>
      </c>
      <c r="S195" s="585" t="s">
        <v>1565</v>
      </c>
      <c r="T195" s="583" t="s">
        <v>1566</v>
      </c>
      <c r="U195" s="582" t="s">
        <v>1567</v>
      </c>
      <c r="V195" s="584" t="s">
        <v>1568</v>
      </c>
      <c r="W195" s="582" t="s">
        <v>1569</v>
      </c>
      <c r="X195" s="583" t="s">
        <v>1570</v>
      </c>
      <c r="Y195" s="582" t="s">
        <v>1571</v>
      </c>
      <c r="Z195" s="583" t="s">
        <v>1572</v>
      </c>
      <c r="AA195" s="582" t="s">
        <v>1573</v>
      </c>
      <c r="AB195" s="583" t="s">
        <v>1574</v>
      </c>
      <c r="AC195" s="582" t="s">
        <v>1575</v>
      </c>
      <c r="AD195" s="600" t="s">
        <v>1576</v>
      </c>
      <c r="AE195" s="582" t="s">
        <v>1577</v>
      </c>
      <c r="AF195" s="583" t="s">
        <v>1578</v>
      </c>
      <c r="AG195" s="582" t="s">
        <v>1579</v>
      </c>
      <c r="AH195" s="584" t="s">
        <v>1580</v>
      </c>
      <c r="AI195" s="582" t="s">
        <v>1581</v>
      </c>
      <c r="AJ195" s="584" t="s">
        <v>1582</v>
      </c>
      <c r="AK195" s="582" t="s">
        <v>1583</v>
      </c>
      <c r="AL195" s="584" t="s">
        <v>1584</v>
      </c>
      <c r="AM195" s="582" t="s">
        <v>1585</v>
      </c>
      <c r="AN195" s="583" t="s">
        <v>1586</v>
      </c>
      <c r="AO195" s="585" t="s">
        <v>1587</v>
      </c>
      <c r="AP195" s="584" t="s">
        <v>1588</v>
      </c>
      <c r="AQ195" s="582" t="s">
        <v>1589</v>
      </c>
      <c r="AR195" s="1326" t="s">
        <v>1590</v>
      </c>
      <c r="AS195" s="586" t="s">
        <v>1591</v>
      </c>
      <c r="AT195" s="583" t="s">
        <v>1592</v>
      </c>
      <c r="AU195" s="582" t="s">
        <v>1593</v>
      </c>
      <c r="AV195" s="583" t="s">
        <v>1594</v>
      </c>
      <c r="AW195" s="1513" t="str">
        <f>CC195&amp;CD195&amp;CE195&amp;CF195</f>
        <v xml:space="preserve"> * La variable Pueblos Originarios / hombres  no debe ser mayor que el Total de Hombres. * La variable Pueblos Originarios/ Mujeres no debe ser mayor que el Total de Mujeres * La variable Migrantes / hombres  no debe ser mayor que el Total de Hombres * La variable Migrantes / Mujeres no debe ser mayor que el Total de Mujeres</v>
      </c>
      <c r="AX195" s="178"/>
      <c r="AY195" s="178"/>
      <c r="AZ195" s="178"/>
      <c r="BA195" s="178"/>
      <c r="BS195" s="960"/>
      <c r="BT195" s="960"/>
      <c r="BU195" s="960"/>
      <c r="BV195" s="960"/>
      <c r="CB195" s="354"/>
      <c r="CC195" s="348" t="str">
        <f>IF(AND(E195&gt;0,AS195="")," * No olvide digitar la variable Pueblos Originarios / hombres (Digite Cero si no tiene).",IF(AS195&gt;E195," * La variable Pueblos Originarios / hombres  no debe ser mayor que el Total de Hombres.",""))</f>
        <v xml:space="preserve"> * La variable Pueblos Originarios / hombres  no debe ser mayor que el Total de Hombres.</v>
      </c>
      <c r="CD195" s="348" t="str">
        <f>IF(AND(F195&gt;0,AT195="")," * No olvide digitar la variable Pueblos Originarios / Mujeres (Digite Cero si no tiene). Digite Cero si no tiene.",IF(AT195&gt;F195," * La variable Pueblos Originarios/ Mujeres no debe ser mayor que el Total de Mujeres",""))</f>
        <v xml:space="preserve"> * La variable Pueblos Originarios/ Mujeres no debe ser mayor que el Total de Mujeres</v>
      </c>
      <c r="CE195" s="348" t="str">
        <f>IF(AND(E195&gt;0,AU195="")," * No olvide digitar la variable Migrantes / hombres (Digite Cero si no tiene).",IF(AU195&gt;E195," * La variable Migrantes / hombres  no debe ser mayor que el Total de Hombres",""))</f>
        <v xml:space="preserve"> * La variable Migrantes / hombres  no debe ser mayor que el Total de Hombres</v>
      </c>
      <c r="CF195" s="348" t="str">
        <f>IF(AND(F195&gt;0,AV195="")," * No olvide digitar la variable Migrantes  / Mujeres (Digite Cero si no tiene).",IF(AV195&gt;F195," * La variable Migrantes / Mujeres no debe ser mayor que el Total de Mujeres",""))</f>
        <v xml:space="preserve"> * La variable Migrantes / Mujeres no debe ser mayor que el Total de Mujeres</v>
      </c>
      <c r="CG195" s="354"/>
      <c r="CH195" s="354"/>
      <c r="CI195" s="354" t="str">
        <f t="shared" ref="CI195:CI197" si="189">IF(AND(E195&gt;0,AG195="")," * No olvide digitar la variable Niños, Niñas, adolescentes y jóvenes Mejor Niñez/ hombres (Digite Cero si no tiene).",IF(AG195&gt;E195," * La variable Niños, Niñas, adolescentes y jóvenes Mejor Niñez / hombres  no debe ser mayor que el Total de Hombres",""))</f>
        <v xml:space="preserve"> * La variable Niños, Niñas, adolescentes y jóvenes Mejor Niñez / hombres  no debe ser mayor que el Total de Hombres</v>
      </c>
      <c r="CJ195" s="354" t="str">
        <f t="shared" ref="CJ195:CJ197" si="190">IF(AND(F195&gt;0,AH195="")," * No olvide digitar la variable Niños, Niñas, adolescentes y jóvenes Mejor Niñez / Mujeres (Digite Cero si no tiene).",IF(AH195&gt;F195," * La variable Niños, Niñas, adolescentes y jóvenes Mejor Niñez / Mujeres no debe ser mayor que el Total de Mujeres",""))</f>
        <v xml:space="preserve"> * La variable Niños, Niñas, adolescentes y jóvenes Mejor Niñez / Mujeres no debe ser mayor que el Total de Mujeres</v>
      </c>
      <c r="CK195" s="354"/>
      <c r="CL195" s="354"/>
      <c r="CM195" s="306"/>
      <c r="CN195" s="306"/>
      <c r="CO195" s="306"/>
      <c r="CP195" s="306"/>
      <c r="CQ195" s="306"/>
      <c r="CR195" s="306"/>
      <c r="CS195" s="306"/>
      <c r="CT195" s="306"/>
      <c r="CU195" s="306"/>
      <c r="CV195" s="306"/>
      <c r="CW195" s="306"/>
      <c r="CX195" s="306"/>
      <c r="CY195" s="306"/>
      <c r="CZ195" s="306"/>
      <c r="DA195" s="306"/>
      <c r="DB195" s="306"/>
      <c r="DC195" s="352"/>
      <c r="DD195" s="352"/>
      <c r="DE195" s="352"/>
      <c r="DF195" s="352"/>
      <c r="DG195" s="352">
        <f t="shared" si="185"/>
        <v>1</v>
      </c>
      <c r="DH195" s="352">
        <f t="shared" si="186"/>
        <v>1</v>
      </c>
      <c r="DI195" s="352">
        <f t="shared" si="187"/>
        <v>1</v>
      </c>
      <c r="DJ195" s="352">
        <f t="shared" si="188"/>
        <v>1</v>
      </c>
      <c r="DK195" s="352"/>
      <c r="DL195" s="352"/>
      <c r="DM195" s="352"/>
      <c r="DN195" s="352"/>
      <c r="DO195" s="352"/>
      <c r="DP195" s="352"/>
      <c r="DQ195" s="352"/>
      <c r="DR195" s="352"/>
      <c r="DS195" s="352"/>
      <c r="DT195" s="352"/>
      <c r="DU195" s="352"/>
      <c r="DV195" s="352"/>
      <c r="DW195" s="352"/>
    </row>
    <row r="196" spans="1:127" ht="16.5" customHeight="1" x14ac:dyDescent="0.3">
      <c r="A196" s="1641" t="s">
        <v>1127</v>
      </c>
      <c r="B196" s="2071" t="s">
        <v>702</v>
      </c>
      <c r="C196" s="2072"/>
      <c r="D196" s="627" t="s">
        <v>1550</v>
      </c>
      <c r="E196" s="642" t="s">
        <v>1551</v>
      </c>
      <c r="F196" s="643" t="s">
        <v>1552</v>
      </c>
      <c r="G196" s="628" t="s">
        <v>1553</v>
      </c>
      <c r="H196" s="629" t="s">
        <v>1554</v>
      </c>
      <c r="I196" s="628" t="s">
        <v>1555</v>
      </c>
      <c r="J196" s="629" t="s">
        <v>1556</v>
      </c>
      <c r="K196" s="628" t="s">
        <v>1557</v>
      </c>
      <c r="L196" s="629" t="s">
        <v>1558</v>
      </c>
      <c r="M196" s="628" t="s">
        <v>1559</v>
      </c>
      <c r="N196" s="630" t="s">
        <v>1560</v>
      </c>
      <c r="O196" s="628" t="s">
        <v>1561</v>
      </c>
      <c r="P196" s="629" t="s">
        <v>1562</v>
      </c>
      <c r="Q196" s="628" t="s">
        <v>1563</v>
      </c>
      <c r="R196" s="629" t="s">
        <v>1564</v>
      </c>
      <c r="S196" s="631" t="s">
        <v>1565</v>
      </c>
      <c r="T196" s="629" t="s">
        <v>1566</v>
      </c>
      <c r="U196" s="628" t="s">
        <v>1567</v>
      </c>
      <c r="V196" s="630" t="s">
        <v>1568</v>
      </c>
      <c r="W196" s="628" t="s">
        <v>1569</v>
      </c>
      <c r="X196" s="629" t="s">
        <v>1570</v>
      </c>
      <c r="Y196" s="628" t="s">
        <v>1571</v>
      </c>
      <c r="Z196" s="629" t="s">
        <v>1572</v>
      </c>
      <c r="AA196" s="628" t="s">
        <v>1573</v>
      </c>
      <c r="AB196" s="629" t="s">
        <v>1574</v>
      </c>
      <c r="AC196" s="628" t="s">
        <v>1575</v>
      </c>
      <c r="AD196" s="941" t="s">
        <v>1576</v>
      </c>
      <c r="AE196" s="628" t="s">
        <v>1577</v>
      </c>
      <c r="AF196" s="629" t="s">
        <v>1578</v>
      </c>
      <c r="AG196" s="628" t="s">
        <v>1579</v>
      </c>
      <c r="AH196" s="630" t="s">
        <v>1580</v>
      </c>
      <c r="AI196" s="628" t="s">
        <v>1581</v>
      </c>
      <c r="AJ196" s="630" t="s">
        <v>1582</v>
      </c>
      <c r="AK196" s="628" t="s">
        <v>1583</v>
      </c>
      <c r="AL196" s="630" t="s">
        <v>1584</v>
      </c>
      <c r="AM196" s="628" t="s">
        <v>1585</v>
      </c>
      <c r="AN196" s="629" t="s">
        <v>1586</v>
      </c>
      <c r="AO196" s="631" t="s">
        <v>1587</v>
      </c>
      <c r="AP196" s="630" t="s">
        <v>1588</v>
      </c>
      <c r="AQ196" s="628" t="s">
        <v>1589</v>
      </c>
      <c r="AR196" s="1327" t="s">
        <v>1590</v>
      </c>
      <c r="AS196" s="632" t="s">
        <v>1591</v>
      </c>
      <c r="AT196" s="629" t="s">
        <v>1592</v>
      </c>
      <c r="AU196" s="628" t="s">
        <v>1593</v>
      </c>
      <c r="AV196" s="629" t="s">
        <v>1594</v>
      </c>
      <c r="AW196" s="1513" t="str">
        <f>CC196&amp;CD196&amp;CE196&amp;CF196</f>
        <v xml:space="preserve"> * La variable Pueblos Originarios / hombres  no debe ser mayor que el Total de Hombres. * La variable Pueblos Originarios/ Mujeres no debe ser mayor que el Total de Mujeres * La variable Migrantes / hombres  no debe ser mayor que el Total de Hombres * La variable Migrantes / Mujeres no debe ser mayor que el Total de Mujeres</v>
      </c>
      <c r="AX196" s="178"/>
      <c r="AY196" s="178"/>
      <c r="AZ196" s="178"/>
      <c r="BA196" s="178"/>
      <c r="BS196" s="960"/>
      <c r="BT196" s="960"/>
      <c r="BU196" s="960"/>
      <c r="BV196" s="960"/>
      <c r="CB196" s="354"/>
      <c r="CC196" s="348" t="str">
        <f t="shared" ref="CC196:CC197" si="191">IF(AND(E196&gt;0,AS196="")," * No olvide digitar la variable Pueblos Originarios / hombres (Digite Cero si no tiene).",IF(AS196&gt;E196," * La variable Pueblos Originarios / hombres  no debe ser mayor que el Total de Hombres.",""))</f>
        <v xml:space="preserve"> * La variable Pueblos Originarios / hombres  no debe ser mayor que el Total de Hombres.</v>
      </c>
      <c r="CD196" s="348" t="str">
        <f t="shared" ref="CD196:CD197" si="192">IF(AND(F196&gt;0,AT196="")," * No olvide digitar la variable Pueblos Originarios / Mujeres (Digite Cero si no tiene). Digite Cero si no tiene.",IF(AT196&gt;F196," * La variable Pueblos Originarios/ Mujeres no debe ser mayor que el Total de Mujeres",""))</f>
        <v xml:space="preserve"> * La variable Pueblos Originarios/ Mujeres no debe ser mayor que el Total de Mujeres</v>
      </c>
      <c r="CE196" s="348" t="str">
        <f t="shared" ref="CE196:CE197" si="193">IF(AND(E196&gt;0,AU196="")," * No olvide digitar la variable Migrantes / hombres (Digite Cero si no tiene).",IF(AU196&gt;E196," * La variable Migrantes / hombres  no debe ser mayor que el Total de Hombres",""))</f>
        <v xml:space="preserve"> * La variable Migrantes / hombres  no debe ser mayor que el Total de Hombres</v>
      </c>
      <c r="CF196" s="348" t="str">
        <f t="shared" ref="CF196" si="194">IF(AND(F196&gt;0,AV196="")," * No olvide digitar la variable Migrantes  / Mujeres (Digite Cero si no tiene).",IF(AV196&gt;F196," * La variable Migrantes / Mujeres no debe ser mayor que el Total de Mujeres",""))</f>
        <v xml:space="preserve"> * La variable Migrantes / Mujeres no debe ser mayor que el Total de Mujeres</v>
      </c>
      <c r="CG196" s="354"/>
      <c r="CH196" s="354"/>
      <c r="CI196" s="354" t="str">
        <f t="shared" si="189"/>
        <v xml:space="preserve"> * La variable Niños, Niñas, adolescentes y jóvenes Mejor Niñez / hombres  no debe ser mayor que el Total de Hombres</v>
      </c>
      <c r="CJ196" s="354" t="str">
        <f t="shared" si="190"/>
        <v xml:space="preserve"> * La variable Niños, Niñas, adolescentes y jóvenes Mejor Niñez / Mujeres no debe ser mayor que el Total de Mujeres</v>
      </c>
      <c r="CK196" s="354"/>
      <c r="CL196" s="354"/>
      <c r="CM196" s="306"/>
      <c r="CN196" s="306"/>
      <c r="CO196" s="306"/>
      <c r="CP196" s="306"/>
      <c r="CQ196" s="306"/>
      <c r="CR196" s="306"/>
      <c r="CS196" s="306"/>
      <c r="CT196" s="306"/>
      <c r="CU196" s="306"/>
      <c r="CV196" s="306"/>
      <c r="CW196" s="306"/>
      <c r="CX196" s="306"/>
      <c r="CY196" s="306"/>
      <c r="CZ196" s="306"/>
      <c r="DA196" s="306"/>
      <c r="DB196" s="306"/>
      <c r="DC196" s="352"/>
      <c r="DD196" s="352"/>
      <c r="DE196" s="352"/>
      <c r="DF196" s="352"/>
      <c r="DG196" s="352">
        <f t="shared" si="185"/>
        <v>1</v>
      </c>
      <c r="DH196" s="352">
        <f t="shared" si="186"/>
        <v>1</v>
      </c>
      <c r="DI196" s="352">
        <f t="shared" si="187"/>
        <v>1</v>
      </c>
      <c r="DJ196" s="352">
        <f t="shared" si="188"/>
        <v>1</v>
      </c>
      <c r="DK196" s="352"/>
      <c r="DL196" s="352"/>
      <c r="DM196" s="352"/>
      <c r="DN196" s="352"/>
      <c r="DO196" s="352"/>
      <c r="DP196" s="352"/>
      <c r="DQ196" s="352"/>
      <c r="DR196" s="352"/>
      <c r="DS196" s="352"/>
      <c r="DT196" s="352"/>
      <c r="DU196" s="352"/>
      <c r="DV196" s="352"/>
      <c r="DW196" s="352"/>
    </row>
    <row r="197" spans="1:127" ht="16.5" customHeight="1" x14ac:dyDescent="0.3">
      <c r="A197" s="1641" t="s">
        <v>1128</v>
      </c>
      <c r="B197" s="1908" t="s">
        <v>703</v>
      </c>
      <c r="C197" s="1909"/>
      <c r="D197" s="656" t="s">
        <v>1550</v>
      </c>
      <c r="E197" s="1226" t="s">
        <v>1551</v>
      </c>
      <c r="F197" s="1129" t="s">
        <v>1552</v>
      </c>
      <c r="G197" s="573" t="s">
        <v>1553</v>
      </c>
      <c r="H197" s="574" t="s">
        <v>1554</v>
      </c>
      <c r="I197" s="573" t="s">
        <v>1555</v>
      </c>
      <c r="J197" s="574" t="s">
        <v>1556</v>
      </c>
      <c r="K197" s="573" t="s">
        <v>1557</v>
      </c>
      <c r="L197" s="574" t="s">
        <v>1558</v>
      </c>
      <c r="M197" s="573" t="s">
        <v>1559</v>
      </c>
      <c r="N197" s="574" t="s">
        <v>1560</v>
      </c>
      <c r="O197" s="573" t="s">
        <v>1561</v>
      </c>
      <c r="P197" s="574" t="s">
        <v>1562</v>
      </c>
      <c r="Q197" s="573" t="s">
        <v>1563</v>
      </c>
      <c r="R197" s="574" t="s">
        <v>1564</v>
      </c>
      <c r="S197" s="573" t="s">
        <v>1565</v>
      </c>
      <c r="T197" s="574" t="s">
        <v>1566</v>
      </c>
      <c r="U197" s="573" t="s">
        <v>1567</v>
      </c>
      <c r="V197" s="574" t="s">
        <v>1568</v>
      </c>
      <c r="W197" s="573" t="s">
        <v>1569</v>
      </c>
      <c r="X197" s="574" t="s">
        <v>1570</v>
      </c>
      <c r="Y197" s="573" t="s">
        <v>1571</v>
      </c>
      <c r="Z197" s="574" t="s">
        <v>1572</v>
      </c>
      <c r="AA197" s="573" t="s">
        <v>1573</v>
      </c>
      <c r="AB197" s="574" t="s">
        <v>1574</v>
      </c>
      <c r="AC197" s="573" t="s">
        <v>1575</v>
      </c>
      <c r="AD197" s="574" t="s">
        <v>1576</v>
      </c>
      <c r="AE197" s="573" t="s">
        <v>1577</v>
      </c>
      <c r="AF197" s="574" t="s">
        <v>1578</v>
      </c>
      <c r="AG197" s="573" t="s">
        <v>1579</v>
      </c>
      <c r="AH197" s="574" t="s">
        <v>1580</v>
      </c>
      <c r="AI197" s="573" t="s">
        <v>1581</v>
      </c>
      <c r="AJ197" s="574" t="s">
        <v>1582</v>
      </c>
      <c r="AK197" s="573" t="s">
        <v>1583</v>
      </c>
      <c r="AL197" s="574" t="s">
        <v>1584</v>
      </c>
      <c r="AM197" s="573" t="s">
        <v>1585</v>
      </c>
      <c r="AN197" s="574" t="s">
        <v>1586</v>
      </c>
      <c r="AO197" s="578" t="s">
        <v>1587</v>
      </c>
      <c r="AP197" s="574" t="s">
        <v>1588</v>
      </c>
      <c r="AQ197" s="573" t="s">
        <v>1589</v>
      </c>
      <c r="AR197" s="1097" t="s">
        <v>1590</v>
      </c>
      <c r="AS197" s="624" t="s">
        <v>1591</v>
      </c>
      <c r="AT197" s="574" t="s">
        <v>1592</v>
      </c>
      <c r="AU197" s="573" t="s">
        <v>1593</v>
      </c>
      <c r="AV197" s="574" t="s">
        <v>1594</v>
      </c>
      <c r="AW197" s="1513" t="str">
        <f>CC197&amp;CD197&amp;CE197&amp;CF197</f>
        <v xml:space="preserve"> * La variable Pueblos Originarios / hombres  no debe ser mayor que el Total de Hombres. * La variable Pueblos Originarios/ Mujeres no debe ser mayor que el Total de Mujeres * La variable Migrantes / hombres  no debe ser mayor que el Total de Hombres * La variable Migrantes / Mujeres no debe ser mayor que el Total de Mujeres</v>
      </c>
      <c r="AX197" s="178"/>
      <c r="AY197" s="178"/>
      <c r="AZ197" s="178"/>
      <c r="BA197" s="178"/>
      <c r="BS197" s="960"/>
      <c r="BT197" s="960"/>
      <c r="BU197" s="960"/>
      <c r="BV197" s="960"/>
      <c r="CB197" s="354"/>
      <c r="CC197" s="348" t="str">
        <f t="shared" si="191"/>
        <v xml:space="preserve"> * La variable Pueblos Originarios / hombres  no debe ser mayor que el Total de Hombres.</v>
      </c>
      <c r="CD197" s="348" t="str">
        <f t="shared" si="192"/>
        <v xml:space="preserve"> * La variable Pueblos Originarios/ Mujeres no debe ser mayor que el Total de Mujeres</v>
      </c>
      <c r="CE197" s="348" t="str">
        <f t="shared" si="193"/>
        <v xml:space="preserve"> * La variable Migrantes / hombres  no debe ser mayor que el Total de Hombres</v>
      </c>
      <c r="CF197" s="348" t="str">
        <f>IF(AND(F197&gt;0,AV197="")," * No olvide digitar la variable Migrantes  / Mujeres (Digite Cero si no tiene).",IF(AV197&gt;F197," * La variable Migrantes / Mujeres no debe ser mayor que el Total de Mujeres",""))</f>
        <v xml:space="preserve"> * La variable Migrantes / Mujeres no debe ser mayor que el Total de Mujeres</v>
      </c>
      <c r="CG197" s="354"/>
      <c r="CH197" s="354"/>
      <c r="CI197" s="354" t="str">
        <f t="shared" si="189"/>
        <v xml:space="preserve"> * La variable Niños, Niñas, adolescentes y jóvenes Mejor Niñez / hombres  no debe ser mayor que el Total de Hombres</v>
      </c>
      <c r="CJ197" s="354" t="str">
        <f t="shared" si="190"/>
        <v xml:space="preserve"> * La variable Niños, Niñas, adolescentes y jóvenes Mejor Niñez / Mujeres no debe ser mayor que el Total de Mujeres</v>
      </c>
      <c r="CK197" s="354"/>
      <c r="CL197" s="354"/>
      <c r="CM197" s="306"/>
      <c r="CN197" s="306"/>
      <c r="CO197" s="306"/>
      <c r="CP197" s="306"/>
      <c r="CQ197" s="306"/>
      <c r="CR197" s="306"/>
      <c r="CS197" s="306"/>
      <c r="CT197" s="306"/>
      <c r="CU197" s="306"/>
      <c r="CV197" s="306"/>
      <c r="CW197" s="306"/>
      <c r="CX197" s="306"/>
      <c r="CY197" s="306"/>
      <c r="CZ197" s="306"/>
      <c r="DA197" s="306"/>
      <c r="DB197" s="306"/>
      <c r="DC197" s="352"/>
      <c r="DD197" s="352"/>
      <c r="DE197" s="352"/>
      <c r="DF197" s="352"/>
      <c r="DG197" s="352">
        <f t="shared" si="185"/>
        <v>1</v>
      </c>
      <c r="DH197" s="352">
        <f t="shared" si="186"/>
        <v>1</v>
      </c>
      <c r="DI197" s="352">
        <f t="shared" si="187"/>
        <v>1</v>
      </c>
      <c r="DJ197" s="352">
        <f t="shared" si="188"/>
        <v>1</v>
      </c>
      <c r="DK197" s="352"/>
      <c r="DL197" s="352"/>
      <c r="DM197" s="352"/>
      <c r="DN197" s="352"/>
      <c r="DO197" s="352"/>
      <c r="DP197" s="352"/>
      <c r="DQ197" s="352"/>
      <c r="DR197" s="352"/>
      <c r="DS197" s="352"/>
      <c r="DT197" s="352"/>
      <c r="DU197" s="352"/>
      <c r="DV197" s="352"/>
      <c r="DW197" s="352"/>
    </row>
    <row r="198" spans="1:127" ht="25.2" customHeight="1" x14ac:dyDescent="0.3">
      <c r="B198" s="1605" t="s">
        <v>752</v>
      </c>
      <c r="C198" s="960"/>
      <c r="D198" s="960"/>
      <c r="E198" s="960"/>
      <c r="F198" s="960"/>
      <c r="G198" s="960"/>
      <c r="H198" s="960"/>
      <c r="I198" s="960"/>
      <c r="J198" s="960"/>
      <c r="K198" s="960"/>
      <c r="L198" s="960"/>
      <c r="M198" s="960"/>
      <c r="N198" s="960"/>
      <c r="O198" s="960"/>
      <c r="P198" s="960"/>
      <c r="Q198" s="960"/>
      <c r="R198" s="960"/>
      <c r="S198" s="960"/>
      <c r="T198" s="960"/>
      <c r="U198" s="960"/>
      <c r="V198" s="960"/>
      <c r="W198" s="960"/>
      <c r="X198" s="960"/>
      <c r="Y198" s="960"/>
      <c r="Z198" s="960"/>
      <c r="AA198" s="960"/>
      <c r="AB198" s="960"/>
      <c r="AC198" s="960"/>
      <c r="AD198" s="960"/>
      <c r="AE198" s="960"/>
      <c r="AF198" s="960"/>
      <c r="AG198" s="960"/>
      <c r="AH198" s="960"/>
      <c r="AI198" s="960"/>
      <c r="AJ198" s="960"/>
      <c r="AK198" s="175"/>
      <c r="AL198" s="175"/>
      <c r="AM198" s="175"/>
      <c r="AN198" s="175"/>
      <c r="AO198" s="175"/>
      <c r="AP198" s="175"/>
      <c r="AQ198" s="175"/>
      <c r="AR198" s="175"/>
      <c r="AS198" s="175"/>
      <c r="AT198" s="175"/>
      <c r="AU198" s="175"/>
      <c r="AV198" s="175"/>
      <c r="AW198" s="175"/>
    </row>
    <row r="199" spans="1:127" x14ac:dyDescent="0.3">
      <c r="B199" s="1950" t="s">
        <v>728</v>
      </c>
      <c r="C199" s="1973"/>
      <c r="D199" s="1978" t="s">
        <v>13</v>
      </c>
      <c r="E199" s="1979"/>
      <c r="F199" s="1980"/>
      <c r="G199" s="1921" t="s">
        <v>729</v>
      </c>
      <c r="H199" s="1922"/>
      <c r="I199" s="1922"/>
      <c r="J199" s="1922"/>
      <c r="K199" s="1922"/>
      <c r="L199" s="1922"/>
      <c r="M199" s="1922"/>
      <c r="N199" s="1922"/>
      <c r="O199" s="1922"/>
      <c r="P199" s="1922"/>
      <c r="Q199" s="1922"/>
      <c r="R199" s="1922"/>
      <c r="S199" s="1922"/>
      <c r="T199" s="1922"/>
      <c r="U199" s="1922"/>
      <c r="V199" s="1922"/>
      <c r="W199" s="1922"/>
      <c r="X199" s="1922"/>
      <c r="Y199" s="1922"/>
      <c r="Z199" s="1922"/>
      <c r="AA199" s="2062" t="s">
        <v>15</v>
      </c>
      <c r="AB199" s="2053"/>
      <c r="AC199" s="2063" t="s">
        <v>804</v>
      </c>
      <c r="AD199" s="2053"/>
      <c r="AE199" s="2063" t="s">
        <v>730</v>
      </c>
      <c r="AF199" s="2053"/>
      <c r="AG199" s="2056" t="s">
        <v>686</v>
      </c>
      <c r="AH199" s="2053"/>
      <c r="AI199" s="319"/>
      <c r="AJ199" s="319"/>
      <c r="AK199" s="175"/>
      <c r="AL199" s="175"/>
      <c r="AM199" s="175"/>
      <c r="AN199" s="175"/>
      <c r="AO199" s="175"/>
      <c r="AP199" s="175"/>
      <c r="AQ199" s="175"/>
      <c r="AR199" s="175"/>
      <c r="AS199" s="175"/>
      <c r="AT199" s="175"/>
      <c r="AU199" s="175"/>
      <c r="AV199" s="175"/>
      <c r="AW199" s="175"/>
    </row>
    <row r="200" spans="1:127" x14ac:dyDescent="0.3">
      <c r="B200" s="2070"/>
      <c r="C200" s="1975"/>
      <c r="D200" s="1981"/>
      <c r="E200" s="1982"/>
      <c r="F200" s="1983"/>
      <c r="G200" s="1919" t="s">
        <v>731</v>
      </c>
      <c r="H200" s="1920"/>
      <c r="I200" s="1919" t="s">
        <v>732</v>
      </c>
      <c r="J200" s="1920"/>
      <c r="K200" s="1919" t="s">
        <v>733</v>
      </c>
      <c r="L200" s="1920"/>
      <c r="M200" s="1919" t="s">
        <v>734</v>
      </c>
      <c r="N200" s="1920"/>
      <c r="O200" s="1919" t="s">
        <v>735</v>
      </c>
      <c r="P200" s="1920"/>
      <c r="Q200" s="1919" t="s">
        <v>736</v>
      </c>
      <c r="R200" s="1920"/>
      <c r="S200" s="1919" t="s">
        <v>737</v>
      </c>
      <c r="T200" s="1920"/>
      <c r="U200" s="1919" t="s">
        <v>738</v>
      </c>
      <c r="V200" s="1920"/>
      <c r="W200" s="1919" t="s">
        <v>739</v>
      </c>
      <c r="X200" s="1920"/>
      <c r="Y200" s="1919" t="s">
        <v>740</v>
      </c>
      <c r="Z200" s="2073"/>
      <c r="AA200" s="2054"/>
      <c r="AB200" s="2055"/>
      <c r="AC200" s="2064"/>
      <c r="AD200" s="2055"/>
      <c r="AE200" s="2064"/>
      <c r="AF200" s="2055"/>
      <c r="AG200" s="2057"/>
      <c r="AH200" s="2055"/>
      <c r="AI200" s="319"/>
      <c r="AJ200" s="319"/>
      <c r="AK200" s="175"/>
      <c r="AL200" s="175"/>
      <c r="AM200" s="175"/>
      <c r="AN200" s="175"/>
      <c r="AO200" s="175"/>
      <c r="AP200" s="175"/>
      <c r="AQ200" s="175"/>
      <c r="AR200" s="175"/>
      <c r="AS200" s="175"/>
      <c r="AT200" s="175"/>
      <c r="AU200" s="175"/>
      <c r="AV200" s="175"/>
      <c r="AW200" s="175"/>
    </row>
    <row r="201" spans="1:127" x14ac:dyDescent="0.3">
      <c r="B201" s="1976"/>
      <c r="C201" s="1977"/>
      <c r="D201" s="91" t="s">
        <v>369</v>
      </c>
      <c r="E201" s="92" t="s">
        <v>31</v>
      </c>
      <c r="F201" s="1225" t="s">
        <v>94</v>
      </c>
      <c r="G201" s="1606" t="s">
        <v>31</v>
      </c>
      <c r="H201" s="1600" t="s">
        <v>94</v>
      </c>
      <c r="I201" s="1606" t="s">
        <v>31</v>
      </c>
      <c r="J201" s="1600" t="s">
        <v>94</v>
      </c>
      <c r="K201" s="1606" t="s">
        <v>31</v>
      </c>
      <c r="L201" s="1600" t="s">
        <v>94</v>
      </c>
      <c r="M201" s="1606" t="s">
        <v>31</v>
      </c>
      <c r="N201" s="1600" t="s">
        <v>94</v>
      </c>
      <c r="O201" s="1606" t="s">
        <v>31</v>
      </c>
      <c r="P201" s="1600" t="s">
        <v>94</v>
      </c>
      <c r="Q201" s="1606" t="s">
        <v>31</v>
      </c>
      <c r="R201" s="1600" t="s">
        <v>94</v>
      </c>
      <c r="S201" s="1606" t="s">
        <v>31</v>
      </c>
      <c r="T201" s="1600" t="s">
        <v>94</v>
      </c>
      <c r="U201" s="1606" t="s">
        <v>31</v>
      </c>
      <c r="V201" s="1600" t="s">
        <v>94</v>
      </c>
      <c r="W201" s="1606" t="s">
        <v>31</v>
      </c>
      <c r="X201" s="1600" t="s">
        <v>94</v>
      </c>
      <c r="Y201" s="1606" t="s">
        <v>31</v>
      </c>
      <c r="Z201" s="1607" t="s">
        <v>94</v>
      </c>
      <c r="AA201" s="350" t="s">
        <v>31</v>
      </c>
      <c r="AB201" s="1608" t="s">
        <v>94</v>
      </c>
      <c r="AC201" s="1609" t="s">
        <v>31</v>
      </c>
      <c r="AD201" s="1610" t="s">
        <v>94</v>
      </c>
      <c r="AE201" s="1609" t="s">
        <v>31</v>
      </c>
      <c r="AF201" s="1610" t="s">
        <v>94</v>
      </c>
      <c r="AG201" s="367" t="s">
        <v>31</v>
      </c>
      <c r="AH201" s="1590" t="s">
        <v>94</v>
      </c>
      <c r="AI201" s="61"/>
      <c r="AJ201" s="61"/>
      <c r="AK201" s="175"/>
      <c r="AL201" s="175"/>
      <c r="AM201" s="175"/>
      <c r="AN201" s="175"/>
      <c r="AO201" s="175"/>
      <c r="AP201" s="175"/>
      <c r="AQ201" s="175"/>
      <c r="AR201" s="175"/>
      <c r="AS201" s="175"/>
      <c r="AT201" s="175"/>
      <c r="AU201" s="175"/>
      <c r="AV201" s="175"/>
      <c r="AW201" s="175"/>
    </row>
    <row r="202" spans="1:127" ht="24.75" customHeight="1" thickBot="1" x14ac:dyDescent="0.35">
      <c r="A202" s="1645" t="s">
        <v>1605</v>
      </c>
      <c r="B202" s="2074" t="s">
        <v>741</v>
      </c>
      <c r="C202" s="2075"/>
      <c r="D202" s="1532" t="s">
        <v>1550</v>
      </c>
      <c r="E202" s="1533" t="s">
        <v>1551</v>
      </c>
      <c r="F202" s="1534" t="s">
        <v>1552</v>
      </c>
      <c r="G202" s="1535" t="s">
        <v>1553</v>
      </c>
      <c r="H202" s="1536" t="s">
        <v>1554</v>
      </c>
      <c r="I202" s="1535" t="s">
        <v>1555</v>
      </c>
      <c r="J202" s="1536" t="s">
        <v>1556</v>
      </c>
      <c r="K202" s="1535" t="s">
        <v>1557</v>
      </c>
      <c r="L202" s="1536" t="s">
        <v>1558</v>
      </c>
      <c r="M202" s="1535" t="s">
        <v>1559</v>
      </c>
      <c r="N202" s="1536" t="s">
        <v>1560</v>
      </c>
      <c r="O202" s="1535" t="s">
        <v>1561</v>
      </c>
      <c r="P202" s="1536" t="s">
        <v>1562</v>
      </c>
      <c r="Q202" s="1535" t="s">
        <v>1563</v>
      </c>
      <c r="R202" s="1536" t="s">
        <v>1564</v>
      </c>
      <c r="S202" s="1535" t="s">
        <v>1565</v>
      </c>
      <c r="T202" s="1536" t="s">
        <v>1566</v>
      </c>
      <c r="U202" s="1535" t="s">
        <v>1567</v>
      </c>
      <c r="V202" s="1536" t="s">
        <v>1568</v>
      </c>
      <c r="W202" s="1535" t="s">
        <v>1569</v>
      </c>
      <c r="X202" s="1536" t="s">
        <v>1570</v>
      </c>
      <c r="Y202" s="1535" t="s">
        <v>1571</v>
      </c>
      <c r="Z202" s="1537" t="s">
        <v>1572</v>
      </c>
      <c r="AA202" s="1538" t="s">
        <v>1573</v>
      </c>
      <c r="AB202" s="1536" t="s">
        <v>1574</v>
      </c>
      <c r="AC202" s="1535" t="s">
        <v>1575</v>
      </c>
      <c r="AD202" s="1536" t="s">
        <v>1576</v>
      </c>
      <c r="AE202" s="1535" t="s">
        <v>1577</v>
      </c>
      <c r="AF202" s="1536" t="s">
        <v>1578</v>
      </c>
      <c r="AG202" s="1535" t="s">
        <v>1579</v>
      </c>
      <c r="AH202" s="1536" t="s">
        <v>1580</v>
      </c>
      <c r="AI202" s="343" t="str">
        <f>CC202&amp;CD202&amp;CE202&amp;CF202&amp;CG202&amp;CH202&amp;CI202&amp;CJ202&amp;CK202&amp;CL202</f>
        <v xml:space="preserve"> * La variable Pueblos Originarios / hombres  no debe ser mayor que el Total de Hombres. * La variable Pueblos Originarios/ Mujeres no debe ser mayor que el Total de Mujeres * La variable Migrantes / hombres  no debe ser mayor que el Total de Hombres * La variable Migrantes / Mujeres no debe ser mayor que el Total de Mujeres * La variable Usuarios con Discapacidad / hombres  no debe ser mayor que el Total de Hombres * La variable Usuarios con Discapacidad / Mujeres no debe ser mayor que el Total de Mujeres * La variable Niños, Niñas, adolescentes y jóvenes Mejor Niñez / hombres  no debe ser mayor que el Total de Hombres * La variable Niños, Niñas, adolescentes y jóvenes Mejor Niñez / Mujeres no debe ser mayor que el Total de Mujeres</v>
      </c>
      <c r="AJ202" s="1539"/>
      <c r="AK202" s="343"/>
      <c r="AL202" s="960"/>
      <c r="AM202" s="960"/>
      <c r="AN202" s="960"/>
      <c r="AO202" s="960"/>
      <c r="AP202" s="960"/>
      <c r="AQ202" s="960"/>
      <c r="AR202" s="960"/>
      <c r="AS202" s="960"/>
      <c r="AT202" s="960"/>
      <c r="AU202" s="960"/>
      <c r="AV202" s="960"/>
      <c r="AW202" s="175"/>
      <c r="AX202" s="175"/>
      <c r="AY202" s="175"/>
      <c r="AZ202" s="175"/>
      <c r="BA202" s="175"/>
      <c r="BB202" s="175"/>
      <c r="BC202" s="175"/>
      <c r="BD202" s="175"/>
      <c r="BE202" s="175"/>
      <c r="BF202" s="175"/>
      <c r="BG202" s="175"/>
      <c r="BH202" s="175"/>
      <c r="BI202" s="175"/>
      <c r="BJ202" s="175"/>
      <c r="BK202" s="175"/>
      <c r="BL202" s="175"/>
      <c r="BM202" s="175"/>
      <c r="BN202" s="175"/>
      <c r="BO202" s="175"/>
      <c r="BP202" s="175"/>
      <c r="BQ202" s="175"/>
      <c r="BR202" s="175"/>
      <c r="CB202" s="354"/>
      <c r="CC202" s="348" t="str">
        <f>IF(AND(E202&gt;0,AA202="")," * No olvide digitar la variable Pueblos Originarios / hombres (Digite Cero si no tiene).",IF(AA202&gt;E202," * La variable Pueblos Originarios / hombres  no debe ser mayor que el Total de Hombres.",""))</f>
        <v xml:space="preserve"> * La variable Pueblos Originarios / hombres  no debe ser mayor que el Total de Hombres.</v>
      </c>
      <c r="CD202" s="348" t="str">
        <f>IF(AND(F202&gt;0,AB202="")," * No olvide digitar la variable Pueblos Originarios / Mujeres (Digite Cero si no tiene). Digite Cero si no tiene.",IF(AB202&gt;F202," * La variable Pueblos Originarios/ Mujeres no debe ser mayor que el Total de Mujeres",""))</f>
        <v xml:space="preserve"> * La variable Pueblos Originarios/ Mujeres no debe ser mayor que el Total de Mujeres</v>
      </c>
      <c r="CE202" s="348" t="str">
        <f>IF(AND(E202&gt;0,AC202="")," * No olvide digitar la variable Migrantes / hombres (Digite Cero si no tiene).",IF(AC202&gt;E202," * La variable Migrantes / hombres  no debe ser mayor que el Total de Hombres",""))</f>
        <v xml:space="preserve"> * La variable Migrantes / hombres  no debe ser mayor que el Total de Hombres</v>
      </c>
      <c r="CF202" s="348" t="str">
        <f>IF(AND(F202&gt;0,AD202="")," * No olvide digitar la variable Migrantes  / Mujeres (Digite Cero si no tiene).",IF(AD202&gt;F202," * La variable Migrantes / Mujeres no debe ser mayor que el Total de Mujeres",""))</f>
        <v xml:space="preserve"> * La variable Migrantes / Mujeres no debe ser mayor que el Total de Mujeres</v>
      </c>
      <c r="CG202" s="348" t="str">
        <f>IF(AND(E202&gt;0,AE202="")," * No olvide digitar la variable Usuarios con Discapacidad / hombres (Digite Cero si no tiene).",IF(AE202&gt;E202," * La variable Usuarios con Discapacidad / hombres  no debe ser mayor que el Total de Hombres",""))</f>
        <v xml:space="preserve"> * La variable Usuarios con Discapacidad / hombres  no debe ser mayor que el Total de Hombres</v>
      </c>
      <c r="CH202" s="348" t="str">
        <f>IF(AND(F202&gt;0,AF202="")," * No olvide digitar la variable Usuarios con Discapacidad  / Mujeres (Digite Cero si no tiene).",IF(AF202&gt;F202," * La variable Usuarios con Discapacidad / Mujeres no debe ser mayor que el Total de Mujeres",""))</f>
        <v xml:space="preserve"> * La variable Usuarios con Discapacidad / Mujeres no debe ser mayor que el Total de Mujeres</v>
      </c>
      <c r="CI202" s="348" t="str">
        <f>IF(AND(E202&gt;0,AG202="")," * No olvide digitar la variable Niños, Niñas, adolescentes y jóvenes Mejor Niñez/ hombres (Digite Cero si no tiene).",IF(AG202&gt;E202," * La variable Niños, Niñas, adolescentes y jóvenes Mejor Niñez / hombres  no debe ser mayor que el Total de Hombres",""))</f>
        <v xml:space="preserve"> * La variable Niños, Niñas, adolescentes y jóvenes Mejor Niñez / hombres  no debe ser mayor que el Total de Hombres</v>
      </c>
      <c r="CJ202" s="348" t="str">
        <f>IF(AND(F202&gt;0,AH202="")," * No olvide digitar la variable Niños, Niñas, adolescentes y jóvenes Mejor Niñez / Mujeres (Digite Cero si no tiene).",IF(AH202&gt;F202," * La variable Niños, Niñas, adolescentes y jóvenes Mejor Niñez / Mujeres no debe ser mayor que el Total de Mujeres",""))</f>
        <v xml:space="preserve"> * La variable Niños, Niñas, adolescentes y jóvenes Mejor Niñez / Mujeres no debe ser mayor que el Total de Mujeres</v>
      </c>
      <c r="CM202" s="175"/>
      <c r="CN202" s="175"/>
      <c r="CO202" s="175"/>
      <c r="CP202" s="175"/>
      <c r="CQ202" s="175"/>
      <c r="CR202" s="175"/>
      <c r="CS202" s="175"/>
      <c r="CT202" s="175"/>
      <c r="CU202" s="175"/>
      <c r="CV202" s="175"/>
      <c r="CW202" s="175"/>
      <c r="CX202" s="175"/>
      <c r="CY202" s="175"/>
      <c r="CZ202" s="175"/>
      <c r="DA202" s="175"/>
      <c r="DB202" s="175"/>
      <c r="DC202" s="352">
        <f>IF(AND(E202&gt;0,AA202=""),1,IF(AA202&gt;E202,1,0))</f>
        <v>1</v>
      </c>
      <c r="DD202" s="352">
        <f>IF(AND(F202&gt;0,AB202=""),1,IF(AB202&gt;F202,1,0))</f>
        <v>1</v>
      </c>
      <c r="DE202" s="352">
        <f>IF(AND(E202&gt;0,AC202=""),1,IF(AC202&gt;E202,1,0))</f>
        <v>1</v>
      </c>
      <c r="DF202" s="352"/>
      <c r="DG202" s="352">
        <f>IF(AND(F202&gt;0,AD202=""),1,IF(AD202&gt;F202,1,0))</f>
        <v>1</v>
      </c>
      <c r="DH202" s="352">
        <f>IF(AND(E202&gt;0,AE202=""),1,IF(AE202&gt;E202,1,0))</f>
        <v>1</v>
      </c>
      <c r="DI202" s="352">
        <f>IF(AND(F202&gt;0,AF202=""),1,IF(AF202&gt;F202,1,0))</f>
        <v>1</v>
      </c>
      <c r="DJ202" s="352">
        <f>IF(AND(E202&gt;0,AG202=""),1,IF(AG202&gt;E202,1,0))</f>
        <v>1</v>
      </c>
      <c r="DK202" s="352">
        <f>IF(AND(F202&gt;0,AH202=""),1,IF(AH202&gt;F202,1,0))</f>
        <v>1</v>
      </c>
      <c r="DL202" s="352"/>
      <c r="DM202" s="352"/>
      <c r="DN202" s="352"/>
      <c r="DO202" s="352"/>
      <c r="DP202" s="352"/>
      <c r="DQ202" s="352"/>
      <c r="DR202" s="352"/>
      <c r="DS202" s="352"/>
      <c r="DT202" s="352"/>
      <c r="DU202" s="352"/>
      <c r="DV202" s="352"/>
    </row>
    <row r="203" spans="1:127" ht="16.5" customHeight="1" thickTop="1" x14ac:dyDescent="0.25">
      <c r="A203" s="1641" t="s">
        <v>1130</v>
      </c>
      <c r="B203" s="1938" t="s">
        <v>742</v>
      </c>
      <c r="C203" s="1527" t="s">
        <v>743</v>
      </c>
      <c r="D203" s="603" t="s">
        <v>1550</v>
      </c>
      <c r="E203" s="646" t="s">
        <v>1551</v>
      </c>
      <c r="F203" s="647" t="s">
        <v>1552</v>
      </c>
      <c r="G203" s="1528" t="s">
        <v>1553</v>
      </c>
      <c r="H203" s="1529" t="s">
        <v>1554</v>
      </c>
      <c r="I203" s="1528" t="s">
        <v>1555</v>
      </c>
      <c r="J203" s="1529" t="s">
        <v>1556</v>
      </c>
      <c r="K203" s="1528" t="s">
        <v>1557</v>
      </c>
      <c r="L203" s="1529" t="s">
        <v>1558</v>
      </c>
      <c r="M203" s="1528" t="s">
        <v>1559</v>
      </c>
      <c r="N203" s="1529" t="s">
        <v>1560</v>
      </c>
      <c r="O203" s="1528" t="s">
        <v>1561</v>
      </c>
      <c r="P203" s="1529" t="s">
        <v>1562</v>
      </c>
      <c r="Q203" s="1528" t="s">
        <v>1563</v>
      </c>
      <c r="R203" s="1529" t="s">
        <v>1564</v>
      </c>
      <c r="S203" s="1528" t="s">
        <v>1565</v>
      </c>
      <c r="T203" s="1529" t="s">
        <v>1566</v>
      </c>
      <c r="U203" s="1528" t="s">
        <v>1567</v>
      </c>
      <c r="V203" s="1529" t="s">
        <v>1568</v>
      </c>
      <c r="W203" s="1528" t="s">
        <v>1569</v>
      </c>
      <c r="X203" s="1529" t="s">
        <v>1570</v>
      </c>
      <c r="Y203" s="1528" t="s">
        <v>1571</v>
      </c>
      <c r="Z203" s="1530" t="s">
        <v>1572</v>
      </c>
      <c r="AA203" s="1531" t="s">
        <v>1573</v>
      </c>
      <c r="AB203" s="1529" t="s">
        <v>1574</v>
      </c>
      <c r="AC203" s="1528" t="s">
        <v>1575</v>
      </c>
      <c r="AD203" s="1529" t="s">
        <v>1576</v>
      </c>
      <c r="AE203" s="1528" t="s">
        <v>1577</v>
      </c>
      <c r="AF203" s="1529" t="s">
        <v>1578</v>
      </c>
      <c r="AG203" s="1528" t="s">
        <v>1579</v>
      </c>
      <c r="AH203" s="1529" t="s">
        <v>1580</v>
      </c>
      <c r="AI203" s="343" t="str">
        <f>CC203&amp;CD203&amp;CE203&amp;CF203&amp;CG203&amp;CH203&amp;CI203&amp;CJ203&amp;CK203&amp;CL203</f>
        <v xml:space="preserve"> * La variable Pueblos Originarios / hombres  no debe ser mayor que el Total de Hombres. * La variable Pueblos Originarios/ Mujeres no debe ser mayor que el Total de Mujeres * La variable Migrantes / hombres  no debe ser mayor que el Total de Hombres * La variable Migrantes / Mujeres no debe ser mayor que el Total de Mujeres * La variable Usuarios con Discapacidad / hombres  no debe ser mayor que el Total de Hombres * La variable Usuarios con Discapacidad / Mujeres no debe ser mayor que el Total de Mujeres * La variable Niños, Niñas, adolescentes y jóvenes Mejor Niñez / hombres  no debe ser mayor que el Total de Hombres * La variable Niños, Niñas, adolescentes y jóvenes Mejor Niñez / Mujeres no debe ser mayor que el Total de Mujeres</v>
      </c>
      <c r="AJ203" s="1539"/>
      <c r="AL203" s="175"/>
      <c r="AM203" s="175"/>
      <c r="AN203" s="175"/>
      <c r="AO203" s="175"/>
      <c r="AP203" s="175"/>
      <c r="AQ203" s="175"/>
      <c r="AR203" s="175"/>
      <c r="AS203" s="175"/>
      <c r="AT203" s="175"/>
      <c r="AU203" s="175"/>
      <c r="AV203" s="175"/>
      <c r="AW203" s="175"/>
      <c r="AX203" s="175"/>
      <c r="AY203" s="175"/>
      <c r="AZ203" s="175"/>
      <c r="BA203" s="175"/>
      <c r="BB203" s="175"/>
      <c r="BC203" s="175"/>
      <c r="BD203" s="175"/>
      <c r="BE203" s="175"/>
      <c r="BF203" s="175"/>
      <c r="BG203" s="175"/>
      <c r="BH203" s="175"/>
      <c r="BI203" s="175"/>
      <c r="BJ203" s="175"/>
      <c r="BK203" s="175"/>
      <c r="BL203" s="175"/>
      <c r="BM203" s="175"/>
      <c r="BN203" s="175"/>
      <c r="BO203" s="175"/>
      <c r="BP203" s="175"/>
      <c r="BQ203" s="175"/>
      <c r="BR203" s="175"/>
      <c r="CB203" s="354"/>
      <c r="CC203" s="348" t="str">
        <f t="shared" ref="CC203:CC204" si="195">IF(AND(E203&gt;0,AA203="")," * No olvide digitar la variable Pueblos Originarios / hombres (Digite Cero si no tiene).",IF(AA203&gt;E203," * La variable Pueblos Originarios / hombres  no debe ser mayor que el Total de Hombres.",""))</f>
        <v xml:space="preserve"> * La variable Pueblos Originarios / hombres  no debe ser mayor que el Total de Hombres.</v>
      </c>
      <c r="CD203" s="348" t="str">
        <f t="shared" ref="CD203:CD204" si="196">IF(AND(F203&gt;0,AB203="")," * No olvide digitar la variable Pueblos Originarios / Mujeres (Digite Cero si no tiene). Digite Cero si no tiene.",IF(AB203&gt;F203," * La variable Pueblos Originarios/ Mujeres no debe ser mayor que el Total de Mujeres",""))</f>
        <v xml:space="preserve"> * La variable Pueblos Originarios/ Mujeres no debe ser mayor que el Total de Mujeres</v>
      </c>
      <c r="CE203" s="348" t="str">
        <f t="shared" ref="CE203:CE204" si="197">IF(AND(E203&gt;0,AC203="")," * No olvide digitar la variable Migrantes / hombres (Digite Cero si no tiene).",IF(AC203&gt;E203," * La variable Migrantes / hombres  no debe ser mayor que el Total de Hombres",""))</f>
        <v xml:space="preserve"> * La variable Migrantes / hombres  no debe ser mayor que el Total de Hombres</v>
      </c>
      <c r="CF203" s="348" t="str">
        <f t="shared" ref="CF203:CF204" si="198">IF(AND(F203&gt;0,AD203="")," * No olvide digitar la variable Migrantes  / Mujeres (Digite Cero si no tiene).",IF(AD203&gt;F203," * La variable Migrantes / Mujeres no debe ser mayor que el Total de Mujeres",""))</f>
        <v xml:space="preserve"> * La variable Migrantes / Mujeres no debe ser mayor que el Total de Mujeres</v>
      </c>
      <c r="CG203" s="348" t="str">
        <f t="shared" ref="CG203:CG204" si="199">IF(AND(E203&gt;0,AE203="")," * No olvide digitar la variable Usuarios con Discapacidad / hombres (Digite Cero si no tiene).",IF(AE203&gt;E203," * La variable Usuarios con Discapacidad / hombres  no debe ser mayor que el Total de Hombres",""))</f>
        <v xml:space="preserve"> * La variable Usuarios con Discapacidad / hombres  no debe ser mayor que el Total de Hombres</v>
      </c>
      <c r="CH203" s="348" t="str">
        <f t="shared" ref="CH203:CH204" si="200">IF(AND(F203&gt;0,AF203="")," * No olvide digitar la variable Usuarios con Discapacidad  / Mujeres (Digite Cero si no tiene).",IF(AF203&gt;F203," * La variable Usuarios con Discapacidad / Mujeres no debe ser mayor que el Total de Mujeres",""))</f>
        <v xml:space="preserve"> * La variable Usuarios con Discapacidad / Mujeres no debe ser mayor que el Total de Mujeres</v>
      </c>
      <c r="CI203" s="348" t="str">
        <f t="shared" ref="CI203:CI204" si="201">IF(AND(E203&gt;0,AG203="")," * No olvide digitar la variable Niños, Niñas, adolescentes y jóvenes Mejor Niñez/ hombres (Digite Cero si no tiene).",IF(AG203&gt;E203," * La variable Niños, Niñas, adolescentes y jóvenes Mejor Niñez / hombres  no debe ser mayor que el Total de Hombres",""))</f>
        <v xml:space="preserve"> * La variable Niños, Niñas, adolescentes y jóvenes Mejor Niñez / hombres  no debe ser mayor que el Total de Hombres</v>
      </c>
      <c r="CJ203" s="348" t="str">
        <f t="shared" ref="CJ203:CJ204" si="202">IF(AND(F203&gt;0,AH203="")," * No olvide digitar la variable Niños, Niñas, adolescentes y jóvenes Mejor Niñez / Mujeres (Digite Cero si no tiene).",IF(AH203&gt;F203," * La variable Niños, Niñas, adolescentes y jóvenes Mejor Niñez / Mujeres no debe ser mayor que el Total de Mujeres",""))</f>
        <v xml:space="preserve"> * La variable Niños, Niñas, adolescentes y jóvenes Mejor Niñez / Mujeres no debe ser mayor que el Total de Mujeres</v>
      </c>
      <c r="CM203" s="175"/>
      <c r="CN203" s="175"/>
      <c r="CO203" s="175"/>
      <c r="CP203" s="175"/>
      <c r="CQ203" s="175"/>
      <c r="CR203" s="175"/>
      <c r="CS203" s="175"/>
      <c r="CT203" s="175"/>
      <c r="CU203" s="175"/>
      <c r="CV203" s="175"/>
      <c r="CW203" s="175"/>
      <c r="CX203" s="175"/>
      <c r="CY203" s="175"/>
      <c r="CZ203" s="175"/>
      <c r="DA203" s="175"/>
      <c r="DB203" s="175"/>
      <c r="DC203" s="352">
        <f t="shared" ref="DC203:DC213" si="203">IF(AND(E203&gt;0,AA203=""),1,IF(AA203&gt;E203,1,0))</f>
        <v>1</v>
      </c>
      <c r="DD203" s="352">
        <f t="shared" ref="DD203:DD213" si="204">IF(AND(F203&gt;0,AB203=""),1,IF(AB203&gt;F203,1,0))</f>
        <v>1</v>
      </c>
      <c r="DE203" s="352">
        <f t="shared" ref="DE203:DE213" si="205">IF(AND(E203&gt;0,AC203=""),1,IF(AC203&gt;E203,1,0))</f>
        <v>1</v>
      </c>
      <c r="DF203" s="352"/>
      <c r="DG203" s="352">
        <f t="shared" ref="DG203:DG213" si="206">IF(AND(F203&gt;0,AD203=""),1,IF(AD203&gt;F203,1,0))</f>
        <v>1</v>
      </c>
      <c r="DH203" s="352">
        <f t="shared" ref="DH203:DH213" si="207">IF(AND(E203&gt;0,AE203=""),1,IF(AE203&gt;E203,1,0))</f>
        <v>1</v>
      </c>
      <c r="DI203" s="352">
        <f t="shared" ref="DI203:DI213" si="208">IF(AND(F203&gt;0,AF203=""),1,IF(AF203&gt;F203,1,0))</f>
        <v>1</v>
      </c>
      <c r="DJ203" s="352">
        <f t="shared" ref="DJ203:DJ213" si="209">IF(AND(E203&gt;0,AG203=""),1,IF(AG203&gt;E203,1,0))</f>
        <v>1</v>
      </c>
      <c r="DK203" s="352">
        <f t="shared" ref="DK203:DK213" si="210">IF(AND(F203&gt;0,AH203=""),1,IF(AH203&gt;F203,1,0))</f>
        <v>1</v>
      </c>
      <c r="DL203" s="352"/>
      <c r="DM203" s="352"/>
      <c r="DN203" s="352"/>
      <c r="DO203" s="352"/>
      <c r="DP203" s="352"/>
      <c r="DQ203" s="352"/>
      <c r="DR203" s="352"/>
      <c r="DS203" s="352"/>
      <c r="DT203" s="352"/>
      <c r="DU203" s="352"/>
      <c r="DV203" s="352"/>
    </row>
    <row r="204" spans="1:127" ht="16.5" customHeight="1" x14ac:dyDescent="0.3">
      <c r="A204" s="1641" t="s">
        <v>1131</v>
      </c>
      <c r="B204" s="1938"/>
      <c r="C204" s="1260" t="s">
        <v>744</v>
      </c>
      <c r="D204" s="572" t="s">
        <v>1550</v>
      </c>
      <c r="E204" s="1265" t="s">
        <v>1551</v>
      </c>
      <c r="F204" s="648" t="s">
        <v>1552</v>
      </c>
      <c r="G204" s="1462" t="s">
        <v>1553</v>
      </c>
      <c r="H204" s="1463" t="s">
        <v>1554</v>
      </c>
      <c r="I204" s="1462" t="s">
        <v>1555</v>
      </c>
      <c r="J204" s="1463" t="s">
        <v>1556</v>
      </c>
      <c r="K204" s="1462" t="s">
        <v>1557</v>
      </c>
      <c r="L204" s="1463" t="s">
        <v>1558</v>
      </c>
      <c r="M204" s="1462" t="s">
        <v>1559</v>
      </c>
      <c r="N204" s="1463" t="s">
        <v>1560</v>
      </c>
      <c r="O204" s="1462" t="s">
        <v>1561</v>
      </c>
      <c r="P204" s="1463" t="s">
        <v>1562</v>
      </c>
      <c r="Q204" s="1462" t="s">
        <v>1563</v>
      </c>
      <c r="R204" s="1463" t="s">
        <v>1564</v>
      </c>
      <c r="S204" s="1462" t="s">
        <v>1565</v>
      </c>
      <c r="T204" s="1463" t="s">
        <v>1566</v>
      </c>
      <c r="U204" s="1462" t="s">
        <v>1567</v>
      </c>
      <c r="V204" s="1463" t="s">
        <v>1568</v>
      </c>
      <c r="W204" s="1462" t="s">
        <v>1569</v>
      </c>
      <c r="X204" s="1463" t="s">
        <v>1570</v>
      </c>
      <c r="Y204" s="1462" t="s">
        <v>1571</v>
      </c>
      <c r="Z204" s="1464" t="s">
        <v>1572</v>
      </c>
      <c r="AA204" s="1465" t="s">
        <v>1573</v>
      </c>
      <c r="AB204" s="1463" t="s">
        <v>1574</v>
      </c>
      <c r="AC204" s="1462" t="s">
        <v>1575</v>
      </c>
      <c r="AD204" s="1463" t="s">
        <v>1576</v>
      </c>
      <c r="AE204" s="1462" t="s">
        <v>1577</v>
      </c>
      <c r="AF204" s="1463" t="s">
        <v>1578</v>
      </c>
      <c r="AG204" s="1462" t="s">
        <v>1579</v>
      </c>
      <c r="AH204" s="1463" t="s">
        <v>1580</v>
      </c>
      <c r="AI204" s="343" t="str">
        <f>CC204&amp;CD204&amp;CE204&amp;CF204&amp;CG204&amp;CH204&amp;CI204&amp;CJ204&amp;CK204&amp;CL204</f>
        <v xml:space="preserve"> * La variable Pueblos Originarios / hombres  no debe ser mayor que el Total de Hombres. * La variable Pueblos Originarios/ Mujeres no debe ser mayor que el Total de Mujeres * La variable Migrantes / hombres  no debe ser mayor que el Total de Hombres * La variable Migrantes / Mujeres no debe ser mayor que el Total de Mujeres * La variable Usuarios con Discapacidad / hombres  no debe ser mayor que el Total de Hombres * La variable Usuarios con Discapacidad / Mujeres no debe ser mayor que el Total de Mujeres * La variable Niños, Niñas, adolescentes y jóvenes Mejor Niñez / hombres  no debe ser mayor que el Total de Hombres * La variable Niños, Niñas, adolescentes y jóvenes Mejor Niñez / Mujeres no debe ser mayor que el Total de Mujeres</v>
      </c>
      <c r="AJ204" s="1539"/>
      <c r="CB204" s="354"/>
      <c r="CC204" s="348" t="str">
        <f t="shared" si="195"/>
        <v xml:space="preserve"> * La variable Pueblos Originarios / hombres  no debe ser mayor que el Total de Hombres.</v>
      </c>
      <c r="CD204" s="348" t="str">
        <f t="shared" si="196"/>
        <v xml:space="preserve"> * La variable Pueblos Originarios/ Mujeres no debe ser mayor que el Total de Mujeres</v>
      </c>
      <c r="CE204" s="348" t="str">
        <f t="shared" si="197"/>
        <v xml:space="preserve"> * La variable Migrantes / hombres  no debe ser mayor que el Total de Hombres</v>
      </c>
      <c r="CF204" s="348" t="str">
        <f t="shared" si="198"/>
        <v xml:space="preserve"> * La variable Migrantes / Mujeres no debe ser mayor que el Total de Mujeres</v>
      </c>
      <c r="CG204" s="348" t="str">
        <f t="shared" si="199"/>
        <v xml:space="preserve"> * La variable Usuarios con Discapacidad / hombres  no debe ser mayor que el Total de Hombres</v>
      </c>
      <c r="CH204" s="348" t="str">
        <f t="shared" si="200"/>
        <v xml:space="preserve"> * La variable Usuarios con Discapacidad / Mujeres no debe ser mayor que el Total de Mujeres</v>
      </c>
      <c r="CI204" s="348" t="str">
        <f t="shared" si="201"/>
        <v xml:space="preserve"> * La variable Niños, Niñas, adolescentes y jóvenes Mejor Niñez / hombres  no debe ser mayor que el Total de Hombres</v>
      </c>
      <c r="CJ204" s="348" t="str">
        <f t="shared" si="202"/>
        <v xml:space="preserve"> * La variable Niños, Niñas, adolescentes y jóvenes Mejor Niñez / Mujeres no debe ser mayor que el Total de Mujeres</v>
      </c>
      <c r="CM204" s="175"/>
      <c r="CN204" s="175"/>
      <c r="CO204" s="175"/>
      <c r="CP204" s="175"/>
      <c r="CQ204" s="175"/>
      <c r="CR204" s="175"/>
      <c r="CS204" s="175"/>
      <c r="CT204" s="175"/>
      <c r="CU204" s="175"/>
      <c r="CV204" s="175"/>
      <c r="CW204" s="175"/>
      <c r="CX204" s="175"/>
      <c r="CY204" s="175"/>
      <c r="CZ204" s="175"/>
      <c r="DA204" s="175"/>
      <c r="DB204" s="175"/>
      <c r="DC204" s="352">
        <f t="shared" si="203"/>
        <v>1</v>
      </c>
      <c r="DD204" s="352">
        <f t="shared" si="204"/>
        <v>1</v>
      </c>
      <c r="DE204" s="352">
        <f t="shared" si="205"/>
        <v>1</v>
      </c>
      <c r="DF204" s="352"/>
      <c r="DG204" s="352">
        <f t="shared" si="206"/>
        <v>1</v>
      </c>
      <c r="DH204" s="352">
        <f t="shared" si="207"/>
        <v>1</v>
      </c>
      <c r="DI204" s="352">
        <f t="shared" si="208"/>
        <v>1</v>
      </c>
      <c r="DJ204" s="352">
        <f t="shared" si="209"/>
        <v>1</v>
      </c>
      <c r="DK204" s="352">
        <f t="shared" si="210"/>
        <v>1</v>
      </c>
      <c r="DL204" s="352"/>
      <c r="DM204" s="352"/>
      <c r="DN204" s="352"/>
      <c r="DO204" s="352"/>
      <c r="DP204" s="352"/>
      <c r="DQ204" s="352"/>
      <c r="DR204" s="352"/>
      <c r="DS204" s="352"/>
      <c r="DT204" s="352"/>
      <c r="DU204" s="352"/>
      <c r="DV204" s="352"/>
    </row>
    <row r="205" spans="1:127" ht="16.5" customHeight="1" x14ac:dyDescent="0.3">
      <c r="A205" s="1629"/>
      <c r="B205" s="1939"/>
      <c r="C205" s="1232" t="s">
        <v>196</v>
      </c>
      <c r="D205" s="1231">
        <f>SUM(E205:F205)</f>
        <v>0</v>
      </c>
      <c r="E205" s="595">
        <f>+G205+I205+K205+M205+O205+Q205+S205+U205+W205+Y205</f>
        <v>0</v>
      </c>
      <c r="F205" s="1210">
        <f>+H205+J205+L205+N205+P205+R205+T205+V205+X205+Z205</f>
        <v>0</v>
      </c>
      <c r="G205" s="595">
        <f>SUM(G203:G204)</f>
        <v>0</v>
      </c>
      <c r="H205" s="1210">
        <f t="shared" ref="H205:AH205" si="211">SUM(H203:H204)</f>
        <v>0</v>
      </c>
      <c r="I205" s="595">
        <f t="shared" si="211"/>
        <v>0</v>
      </c>
      <c r="J205" s="1210">
        <f t="shared" si="211"/>
        <v>0</v>
      </c>
      <c r="K205" s="595">
        <f t="shared" si="211"/>
        <v>0</v>
      </c>
      <c r="L205" s="1210">
        <f t="shared" si="211"/>
        <v>0</v>
      </c>
      <c r="M205" s="595">
        <f t="shared" si="211"/>
        <v>0</v>
      </c>
      <c r="N205" s="1210">
        <f t="shared" si="211"/>
        <v>0</v>
      </c>
      <c r="O205" s="595">
        <f t="shared" si="211"/>
        <v>0</v>
      </c>
      <c r="P205" s="1210">
        <f t="shared" si="211"/>
        <v>0</v>
      </c>
      <c r="Q205" s="595">
        <f t="shared" si="211"/>
        <v>0</v>
      </c>
      <c r="R205" s="1210">
        <f t="shared" si="211"/>
        <v>0</v>
      </c>
      <c r="S205" s="595">
        <f t="shared" si="211"/>
        <v>0</v>
      </c>
      <c r="T205" s="1210">
        <f t="shared" si="211"/>
        <v>0</v>
      </c>
      <c r="U205" s="595">
        <f t="shared" si="211"/>
        <v>0</v>
      </c>
      <c r="V205" s="1210">
        <f t="shared" si="211"/>
        <v>0</v>
      </c>
      <c r="W205" s="595">
        <f t="shared" si="211"/>
        <v>0</v>
      </c>
      <c r="X205" s="1210">
        <f t="shared" si="211"/>
        <v>0</v>
      </c>
      <c r="Y205" s="595">
        <f t="shared" si="211"/>
        <v>0</v>
      </c>
      <c r="Z205" s="1264">
        <f t="shared" si="211"/>
        <v>0</v>
      </c>
      <c r="AA205" s="599">
        <f t="shared" si="211"/>
        <v>0</v>
      </c>
      <c r="AB205" s="1210">
        <f t="shared" si="211"/>
        <v>0</v>
      </c>
      <c r="AC205" s="595">
        <f t="shared" si="211"/>
        <v>0</v>
      </c>
      <c r="AD205" s="1210">
        <f t="shared" si="211"/>
        <v>0</v>
      </c>
      <c r="AE205" s="595">
        <f t="shared" si="211"/>
        <v>0</v>
      </c>
      <c r="AF205" s="1210">
        <f>SUM(AF203:AF204)</f>
        <v>0</v>
      </c>
      <c r="AG205" s="595">
        <f t="shared" si="211"/>
        <v>0</v>
      </c>
      <c r="AH205" s="604">
        <f t="shared" si="211"/>
        <v>0</v>
      </c>
      <c r="AI205" s="1513"/>
      <c r="AJ205" s="1540"/>
      <c r="CB205" s="354"/>
      <c r="CC205" s="354"/>
      <c r="CD205" s="354"/>
      <c r="CE205" s="354"/>
      <c r="CF205" s="354"/>
      <c r="CG205" s="354"/>
      <c r="CH205" s="354"/>
      <c r="CI205" s="354"/>
      <c r="CJ205" s="354"/>
      <c r="CM205" s="175"/>
      <c r="CN205" s="175"/>
      <c r="CO205" s="175"/>
      <c r="CP205" s="175"/>
      <c r="CQ205" s="175"/>
      <c r="CR205" s="175"/>
      <c r="CS205" s="175"/>
      <c r="CT205" s="175"/>
      <c r="CU205" s="175"/>
      <c r="CV205" s="175"/>
      <c r="CW205" s="175"/>
      <c r="CX205" s="175"/>
      <c r="CY205" s="175"/>
      <c r="CZ205" s="175"/>
      <c r="DA205" s="175"/>
      <c r="DB205" s="175"/>
      <c r="DC205" s="352">
        <f t="shared" si="203"/>
        <v>0</v>
      </c>
      <c r="DD205" s="352">
        <f t="shared" si="204"/>
        <v>0</v>
      </c>
      <c r="DE205" s="352">
        <f t="shared" si="205"/>
        <v>0</v>
      </c>
      <c r="DF205" s="352"/>
      <c r="DG205" s="352">
        <f t="shared" si="206"/>
        <v>0</v>
      </c>
      <c r="DH205" s="352">
        <f t="shared" si="207"/>
        <v>0</v>
      </c>
      <c r="DI205" s="352">
        <f t="shared" si="208"/>
        <v>0</v>
      </c>
      <c r="DJ205" s="352">
        <f t="shared" si="209"/>
        <v>0</v>
      </c>
      <c r="DK205" s="352">
        <f t="shared" si="210"/>
        <v>0</v>
      </c>
      <c r="DL205" s="352"/>
      <c r="DM205" s="352"/>
      <c r="DN205" s="352"/>
      <c r="DO205" s="352"/>
      <c r="DP205" s="352"/>
      <c r="DQ205" s="352"/>
      <c r="DR205" s="352"/>
      <c r="DS205" s="352"/>
      <c r="DT205" s="352"/>
      <c r="DU205" s="352"/>
      <c r="DV205" s="352"/>
    </row>
    <row r="206" spans="1:127" ht="18" customHeight="1" x14ac:dyDescent="0.3">
      <c r="A206" s="1641" t="s">
        <v>1132</v>
      </c>
      <c r="B206" s="1997" t="s">
        <v>745</v>
      </c>
      <c r="C206" s="1261">
        <v>0</v>
      </c>
      <c r="D206" s="581" t="s">
        <v>1550</v>
      </c>
      <c r="E206" s="640" t="s">
        <v>1551</v>
      </c>
      <c r="F206" s="641" t="s">
        <v>1552</v>
      </c>
      <c r="G206" s="1458" t="s">
        <v>1553</v>
      </c>
      <c r="H206" s="1459" t="s">
        <v>1554</v>
      </c>
      <c r="I206" s="1458" t="s">
        <v>1555</v>
      </c>
      <c r="J206" s="1459" t="s">
        <v>1556</v>
      </c>
      <c r="K206" s="1458" t="s">
        <v>1557</v>
      </c>
      <c r="L206" s="1459" t="s">
        <v>1558</v>
      </c>
      <c r="M206" s="1458" t="s">
        <v>1559</v>
      </c>
      <c r="N206" s="1459" t="s">
        <v>1560</v>
      </c>
      <c r="O206" s="1458" t="s">
        <v>1561</v>
      </c>
      <c r="P206" s="1459" t="s">
        <v>1562</v>
      </c>
      <c r="Q206" s="1458" t="s">
        <v>1563</v>
      </c>
      <c r="R206" s="1459" t="s">
        <v>1564</v>
      </c>
      <c r="S206" s="1458" t="s">
        <v>1565</v>
      </c>
      <c r="T206" s="1459" t="s">
        <v>1566</v>
      </c>
      <c r="U206" s="1458" t="s">
        <v>1567</v>
      </c>
      <c r="V206" s="1459" t="s">
        <v>1568</v>
      </c>
      <c r="W206" s="1458" t="s">
        <v>1569</v>
      </c>
      <c r="X206" s="1459" t="s">
        <v>1570</v>
      </c>
      <c r="Y206" s="1458" t="s">
        <v>1571</v>
      </c>
      <c r="Z206" s="1460" t="s">
        <v>1572</v>
      </c>
      <c r="AA206" s="1461" t="s">
        <v>1573</v>
      </c>
      <c r="AB206" s="1459" t="s">
        <v>1574</v>
      </c>
      <c r="AC206" s="1458" t="s">
        <v>1575</v>
      </c>
      <c r="AD206" s="1459" t="s">
        <v>1576</v>
      </c>
      <c r="AE206" s="1458" t="s">
        <v>1577</v>
      </c>
      <c r="AF206" s="1459" t="s">
        <v>1578</v>
      </c>
      <c r="AG206" s="1458" t="s">
        <v>1579</v>
      </c>
      <c r="AH206" s="1459" t="s">
        <v>1580</v>
      </c>
      <c r="AI206" s="343" t="str">
        <f t="shared" ref="AI206:AI211" si="212">CC206&amp;CD206&amp;CE206&amp;CF206&amp;CG206&amp;CH206&amp;CI206&amp;CJ206&amp;CK206&amp;CL206</f>
        <v xml:space="preserve"> * La variable Pueblos Originarios / hombres  no debe ser mayor que el Total de Hombres. * La variable Pueblos Originarios/ Mujeres no debe ser mayor que el Total de Mujeres * La variable Migrantes / hombres  no debe ser mayor que el Total de Hombres * La variable Migrantes / Mujeres no debe ser mayor que el Total de Mujeres * La variable Usuarios con Discapacidad / hombres  no debe ser mayor que el Total de Hombres * La variable Usuarios con Discapacidad / Mujeres no debe ser mayor que el Total de Mujeres * La variable Niños, Niñas, adolescentes y jóvenes Mejor Niñez / hombres  no debe ser mayor que el Total de Hombres * La variable Niños, Niñas, adolescentes y jóvenes Mejor Niñez / Mujeres no debe ser mayor que el Total de Mujeres</v>
      </c>
      <c r="AJ206" s="1539"/>
      <c r="CB206" s="354"/>
      <c r="CC206" s="348" t="str">
        <f t="shared" ref="CC206:CC211" si="213">IF(AND(E206&gt;0,AA206="")," * No olvide digitar la variable Pueblos Originarios / hombres (Digite Cero si no tiene).",IF(AA206&gt;E206," * La variable Pueblos Originarios / hombres  no debe ser mayor que el Total de Hombres.",""))</f>
        <v xml:space="preserve"> * La variable Pueblos Originarios / hombres  no debe ser mayor que el Total de Hombres.</v>
      </c>
      <c r="CD206" s="348" t="str">
        <f t="shared" ref="CD206:CD211" si="214">IF(AND(F206&gt;0,AB206="")," * No olvide digitar la variable Pueblos Originarios / Mujeres (Digite Cero si no tiene). Digite Cero si no tiene.",IF(AB206&gt;F206," * La variable Pueblos Originarios/ Mujeres no debe ser mayor que el Total de Mujeres",""))</f>
        <v xml:space="preserve"> * La variable Pueblos Originarios/ Mujeres no debe ser mayor que el Total de Mujeres</v>
      </c>
      <c r="CE206" s="348" t="str">
        <f t="shared" ref="CE206:CE211" si="215">IF(AND(E206&gt;0,AC206="")," * No olvide digitar la variable Migrantes / hombres (Digite Cero si no tiene).",IF(AC206&gt;E206," * La variable Migrantes / hombres  no debe ser mayor que el Total de Hombres",""))</f>
        <v xml:space="preserve"> * La variable Migrantes / hombres  no debe ser mayor que el Total de Hombres</v>
      </c>
      <c r="CF206" s="348" t="str">
        <f t="shared" ref="CF206:CF211" si="216">IF(AND(F206&gt;0,AD206="")," * No olvide digitar la variable Migrantes  / Mujeres (Digite Cero si no tiene).",IF(AD206&gt;F206," * La variable Migrantes / Mujeres no debe ser mayor que el Total de Mujeres",""))</f>
        <v xml:space="preserve"> * La variable Migrantes / Mujeres no debe ser mayor que el Total de Mujeres</v>
      </c>
      <c r="CG206" s="348" t="str">
        <f t="shared" ref="CG206:CG211" si="217">IF(AND(E206&gt;0,AE206="")," * No olvide digitar la variable Usuarios con Discapacidad / hombres (Digite Cero si no tiene).",IF(AE206&gt;E206," * La variable Usuarios con Discapacidad / hombres  no debe ser mayor que el Total de Hombres",""))</f>
        <v xml:space="preserve"> * La variable Usuarios con Discapacidad / hombres  no debe ser mayor que el Total de Hombres</v>
      </c>
      <c r="CH206" s="348" t="str">
        <f t="shared" ref="CH206:CH211" si="218">IF(AND(F206&gt;0,AF206="")," * No olvide digitar la variable Usuarios con Discapacidad  / Mujeres (Digite Cero si no tiene).",IF(AF206&gt;F206," * La variable Usuarios con Discapacidad / Mujeres no debe ser mayor que el Total de Mujeres",""))</f>
        <v xml:space="preserve"> * La variable Usuarios con Discapacidad / Mujeres no debe ser mayor que el Total de Mujeres</v>
      </c>
      <c r="CI206" s="348" t="str">
        <f t="shared" ref="CI206:CI211" si="219">IF(AND(E206&gt;0,AG206="")," * No olvide digitar la variable Niños, Niñas, adolescentes y jóvenes Mejor Niñez/ hombres (Digite Cero si no tiene).",IF(AG206&gt;E206," * La variable Niños, Niñas, adolescentes y jóvenes Mejor Niñez / hombres  no debe ser mayor que el Total de Hombres",""))</f>
        <v xml:space="preserve"> * La variable Niños, Niñas, adolescentes y jóvenes Mejor Niñez / hombres  no debe ser mayor que el Total de Hombres</v>
      </c>
      <c r="CJ206" s="348" t="str">
        <f t="shared" ref="CJ206:CJ211" si="220">IF(AND(F206&gt;0,AH206="")," * No olvide digitar la variable Niños, Niñas, adolescentes y jóvenes Mejor Niñez / Mujeres (Digite Cero si no tiene).",IF(AH206&gt;F206," * La variable Niños, Niñas, adolescentes y jóvenes Mejor Niñez / Mujeres no debe ser mayor que el Total de Mujeres",""))</f>
        <v xml:space="preserve"> * La variable Niños, Niñas, adolescentes y jóvenes Mejor Niñez / Mujeres no debe ser mayor que el Total de Mujeres</v>
      </c>
      <c r="CM206" s="175"/>
      <c r="CN206" s="175"/>
      <c r="CO206" s="175"/>
      <c r="CP206" s="175"/>
      <c r="CQ206" s="175"/>
      <c r="CR206" s="175"/>
      <c r="CS206" s="175"/>
      <c r="CT206" s="175"/>
      <c r="CU206" s="175"/>
      <c r="CV206" s="175"/>
      <c r="CW206" s="175"/>
      <c r="CX206" s="175"/>
      <c r="CY206" s="175"/>
      <c r="CZ206" s="175"/>
      <c r="DA206" s="175"/>
      <c r="DB206" s="175"/>
      <c r="DC206" s="352">
        <f t="shared" si="203"/>
        <v>1</v>
      </c>
      <c r="DD206" s="352">
        <f t="shared" si="204"/>
        <v>1</v>
      </c>
      <c r="DE206" s="352">
        <f t="shared" si="205"/>
        <v>1</v>
      </c>
      <c r="DF206" s="352"/>
      <c r="DG206" s="352">
        <f t="shared" si="206"/>
        <v>1</v>
      </c>
      <c r="DH206" s="352">
        <f t="shared" si="207"/>
        <v>1</v>
      </c>
      <c r="DI206" s="352">
        <f t="shared" si="208"/>
        <v>1</v>
      </c>
      <c r="DJ206" s="352">
        <f t="shared" si="209"/>
        <v>1</v>
      </c>
      <c r="DK206" s="352">
        <f t="shared" si="210"/>
        <v>1</v>
      </c>
      <c r="DL206" s="352"/>
      <c r="DM206" s="352"/>
      <c r="DN206" s="352"/>
      <c r="DO206" s="352"/>
      <c r="DP206" s="352"/>
      <c r="DQ206" s="352"/>
      <c r="DR206" s="352"/>
      <c r="DS206" s="352"/>
      <c r="DT206" s="352"/>
      <c r="DU206" s="352"/>
      <c r="DV206" s="352"/>
    </row>
    <row r="207" spans="1:127" ht="18" customHeight="1" x14ac:dyDescent="0.3">
      <c r="A207" s="1641" t="s">
        <v>1133</v>
      </c>
      <c r="B207" s="1938"/>
      <c r="C207" s="1262" t="s">
        <v>746</v>
      </c>
      <c r="D207" s="627" t="s">
        <v>1550</v>
      </c>
      <c r="E207" s="642" t="s">
        <v>1551</v>
      </c>
      <c r="F207" s="643" t="s">
        <v>1552</v>
      </c>
      <c r="G207" s="1466" t="s">
        <v>1553</v>
      </c>
      <c r="H207" s="1467" t="s">
        <v>1554</v>
      </c>
      <c r="I207" s="1466" t="s">
        <v>1555</v>
      </c>
      <c r="J207" s="1467" t="s">
        <v>1556</v>
      </c>
      <c r="K207" s="1466" t="s">
        <v>1557</v>
      </c>
      <c r="L207" s="1467" t="s">
        <v>1558</v>
      </c>
      <c r="M207" s="1466" t="s">
        <v>1559</v>
      </c>
      <c r="N207" s="1467" t="s">
        <v>1560</v>
      </c>
      <c r="O207" s="1466" t="s">
        <v>1561</v>
      </c>
      <c r="P207" s="1467" t="s">
        <v>1562</v>
      </c>
      <c r="Q207" s="1466" t="s">
        <v>1563</v>
      </c>
      <c r="R207" s="1467" t="s">
        <v>1564</v>
      </c>
      <c r="S207" s="1466" t="s">
        <v>1565</v>
      </c>
      <c r="T207" s="1467" t="s">
        <v>1566</v>
      </c>
      <c r="U207" s="1466" t="s">
        <v>1567</v>
      </c>
      <c r="V207" s="1467" t="s">
        <v>1568</v>
      </c>
      <c r="W207" s="1466" t="s">
        <v>1569</v>
      </c>
      <c r="X207" s="1467" t="s">
        <v>1570</v>
      </c>
      <c r="Y207" s="1466" t="s">
        <v>1571</v>
      </c>
      <c r="Z207" s="1468" t="s">
        <v>1572</v>
      </c>
      <c r="AA207" s="1469" t="s">
        <v>1573</v>
      </c>
      <c r="AB207" s="1467" t="s">
        <v>1574</v>
      </c>
      <c r="AC207" s="1466" t="s">
        <v>1575</v>
      </c>
      <c r="AD207" s="1467" t="s">
        <v>1576</v>
      </c>
      <c r="AE207" s="1466" t="s">
        <v>1577</v>
      </c>
      <c r="AF207" s="1467" t="s">
        <v>1578</v>
      </c>
      <c r="AG207" s="1466" t="s">
        <v>1579</v>
      </c>
      <c r="AH207" s="1467" t="s">
        <v>1580</v>
      </c>
      <c r="AI207" s="343" t="str">
        <f t="shared" si="212"/>
        <v xml:space="preserve"> * La variable Pueblos Originarios / hombres  no debe ser mayor que el Total de Hombres. * La variable Pueblos Originarios/ Mujeres no debe ser mayor que el Total de Mujeres * La variable Migrantes / hombres  no debe ser mayor que el Total de Hombres * La variable Migrantes / Mujeres no debe ser mayor que el Total de Mujeres * La variable Usuarios con Discapacidad / hombres  no debe ser mayor que el Total de Hombres * La variable Usuarios con Discapacidad / Mujeres no debe ser mayor que el Total de Mujeres * La variable Niños, Niñas, adolescentes y jóvenes Mejor Niñez / hombres  no debe ser mayor que el Total de Hombres * La variable Niños, Niñas, adolescentes y jóvenes Mejor Niñez / Mujeres no debe ser mayor que el Total de Mujeres</v>
      </c>
      <c r="AJ207" s="1539"/>
      <c r="CB207" s="354"/>
      <c r="CC207" s="348" t="str">
        <f t="shared" si="213"/>
        <v xml:space="preserve"> * La variable Pueblos Originarios / hombres  no debe ser mayor que el Total de Hombres.</v>
      </c>
      <c r="CD207" s="348" t="str">
        <f t="shared" si="214"/>
        <v xml:space="preserve"> * La variable Pueblos Originarios/ Mujeres no debe ser mayor que el Total de Mujeres</v>
      </c>
      <c r="CE207" s="348" t="str">
        <f t="shared" si="215"/>
        <v xml:space="preserve"> * La variable Migrantes / hombres  no debe ser mayor que el Total de Hombres</v>
      </c>
      <c r="CF207" s="348" t="str">
        <f t="shared" si="216"/>
        <v xml:space="preserve"> * La variable Migrantes / Mujeres no debe ser mayor que el Total de Mujeres</v>
      </c>
      <c r="CG207" s="348" t="str">
        <f t="shared" si="217"/>
        <v xml:space="preserve"> * La variable Usuarios con Discapacidad / hombres  no debe ser mayor que el Total de Hombres</v>
      </c>
      <c r="CH207" s="348" t="str">
        <f t="shared" si="218"/>
        <v xml:space="preserve"> * La variable Usuarios con Discapacidad / Mujeres no debe ser mayor que el Total de Mujeres</v>
      </c>
      <c r="CI207" s="348" t="str">
        <f t="shared" si="219"/>
        <v xml:space="preserve"> * La variable Niños, Niñas, adolescentes y jóvenes Mejor Niñez / hombres  no debe ser mayor que el Total de Hombres</v>
      </c>
      <c r="CJ207" s="348" t="str">
        <f t="shared" si="220"/>
        <v xml:space="preserve"> * La variable Niños, Niñas, adolescentes y jóvenes Mejor Niñez / Mujeres no debe ser mayor que el Total de Mujeres</v>
      </c>
      <c r="CM207" s="175"/>
      <c r="CN207" s="175"/>
      <c r="CO207" s="175"/>
      <c r="CP207" s="175"/>
      <c r="CQ207" s="175"/>
      <c r="CR207" s="175"/>
      <c r="CS207" s="175"/>
      <c r="CT207" s="175"/>
      <c r="CU207" s="175"/>
      <c r="CV207" s="175"/>
      <c r="CW207" s="175"/>
      <c r="CX207" s="175"/>
      <c r="CY207" s="175"/>
      <c r="CZ207" s="175"/>
      <c r="DA207" s="175"/>
      <c r="DB207" s="175"/>
      <c r="DC207" s="352">
        <f t="shared" si="203"/>
        <v>1</v>
      </c>
      <c r="DD207" s="352">
        <f t="shared" si="204"/>
        <v>1</v>
      </c>
      <c r="DE207" s="352">
        <f t="shared" si="205"/>
        <v>1</v>
      </c>
      <c r="DF207" s="352"/>
      <c r="DG207" s="352">
        <f t="shared" si="206"/>
        <v>1</v>
      </c>
      <c r="DH207" s="352">
        <f t="shared" si="207"/>
        <v>1</v>
      </c>
      <c r="DI207" s="352">
        <f t="shared" si="208"/>
        <v>1</v>
      </c>
      <c r="DJ207" s="352">
        <f t="shared" si="209"/>
        <v>1</v>
      </c>
      <c r="DK207" s="352">
        <f t="shared" si="210"/>
        <v>1</v>
      </c>
      <c r="DL207" s="352"/>
      <c r="DM207" s="352"/>
      <c r="DN207" s="352"/>
      <c r="DO207" s="352"/>
      <c r="DP207" s="352"/>
      <c r="DQ207" s="352"/>
      <c r="DR207" s="352"/>
      <c r="DS207" s="352"/>
      <c r="DT207" s="352"/>
      <c r="DU207" s="352"/>
      <c r="DV207" s="352"/>
    </row>
    <row r="208" spans="1:127" ht="18" customHeight="1" x14ac:dyDescent="0.3">
      <c r="A208" s="1641" t="s">
        <v>1134</v>
      </c>
      <c r="B208" s="1938"/>
      <c r="C208" s="1262" t="s">
        <v>747</v>
      </c>
      <c r="D208" s="627" t="s">
        <v>1550</v>
      </c>
      <c r="E208" s="642" t="s">
        <v>1551</v>
      </c>
      <c r="F208" s="643" t="s">
        <v>1552</v>
      </c>
      <c r="G208" s="1466" t="s">
        <v>1553</v>
      </c>
      <c r="H208" s="1467" t="s">
        <v>1554</v>
      </c>
      <c r="I208" s="1466" t="s">
        <v>1555</v>
      </c>
      <c r="J208" s="1467" t="s">
        <v>1556</v>
      </c>
      <c r="K208" s="1466" t="s">
        <v>1557</v>
      </c>
      <c r="L208" s="1467" t="s">
        <v>1558</v>
      </c>
      <c r="M208" s="1466" t="s">
        <v>1559</v>
      </c>
      <c r="N208" s="1467" t="s">
        <v>1560</v>
      </c>
      <c r="O208" s="1466" t="s">
        <v>1561</v>
      </c>
      <c r="P208" s="1467" t="s">
        <v>1562</v>
      </c>
      <c r="Q208" s="1466" t="s">
        <v>1563</v>
      </c>
      <c r="R208" s="1467" t="s">
        <v>1564</v>
      </c>
      <c r="S208" s="1466" t="s">
        <v>1565</v>
      </c>
      <c r="T208" s="1467" t="s">
        <v>1566</v>
      </c>
      <c r="U208" s="1466" t="s">
        <v>1567</v>
      </c>
      <c r="V208" s="1467" t="s">
        <v>1568</v>
      </c>
      <c r="W208" s="1466" t="s">
        <v>1569</v>
      </c>
      <c r="X208" s="1467" t="s">
        <v>1570</v>
      </c>
      <c r="Y208" s="1466" t="s">
        <v>1571</v>
      </c>
      <c r="Z208" s="1468" t="s">
        <v>1572</v>
      </c>
      <c r="AA208" s="1469" t="s">
        <v>1573</v>
      </c>
      <c r="AB208" s="1467" t="s">
        <v>1574</v>
      </c>
      <c r="AC208" s="1466" t="s">
        <v>1575</v>
      </c>
      <c r="AD208" s="1467" t="s">
        <v>1576</v>
      </c>
      <c r="AE208" s="1466" t="s">
        <v>1577</v>
      </c>
      <c r="AF208" s="1467" t="s">
        <v>1578</v>
      </c>
      <c r="AG208" s="1466" t="s">
        <v>1579</v>
      </c>
      <c r="AH208" s="1467" t="s">
        <v>1580</v>
      </c>
      <c r="AI208" s="343" t="str">
        <f t="shared" si="212"/>
        <v xml:space="preserve"> * La variable Pueblos Originarios / hombres  no debe ser mayor que el Total de Hombres. * La variable Pueblos Originarios/ Mujeres no debe ser mayor que el Total de Mujeres * La variable Migrantes / hombres  no debe ser mayor que el Total de Hombres * La variable Migrantes / Mujeres no debe ser mayor que el Total de Mujeres * La variable Usuarios con Discapacidad / hombres  no debe ser mayor que el Total de Hombres * La variable Usuarios con Discapacidad / Mujeres no debe ser mayor que el Total de Mujeres * La variable Niños, Niñas, adolescentes y jóvenes Mejor Niñez / hombres  no debe ser mayor que el Total de Hombres * La variable Niños, Niñas, adolescentes y jóvenes Mejor Niñez / Mujeres no debe ser mayor que el Total de Mujeres</v>
      </c>
      <c r="AJ208" s="1539"/>
      <c r="CB208" s="354"/>
      <c r="CC208" s="348" t="str">
        <f t="shared" si="213"/>
        <v xml:space="preserve"> * La variable Pueblos Originarios / hombres  no debe ser mayor que el Total de Hombres.</v>
      </c>
      <c r="CD208" s="348" t="str">
        <f t="shared" si="214"/>
        <v xml:space="preserve"> * La variable Pueblos Originarios/ Mujeres no debe ser mayor que el Total de Mujeres</v>
      </c>
      <c r="CE208" s="348" t="str">
        <f t="shared" si="215"/>
        <v xml:space="preserve"> * La variable Migrantes / hombres  no debe ser mayor que el Total de Hombres</v>
      </c>
      <c r="CF208" s="348" t="str">
        <f t="shared" si="216"/>
        <v xml:space="preserve"> * La variable Migrantes / Mujeres no debe ser mayor que el Total de Mujeres</v>
      </c>
      <c r="CG208" s="348" t="str">
        <f t="shared" si="217"/>
        <v xml:space="preserve"> * La variable Usuarios con Discapacidad / hombres  no debe ser mayor que el Total de Hombres</v>
      </c>
      <c r="CH208" s="348" t="str">
        <f t="shared" si="218"/>
        <v xml:space="preserve"> * La variable Usuarios con Discapacidad / Mujeres no debe ser mayor que el Total de Mujeres</v>
      </c>
      <c r="CI208" s="348" t="str">
        <f t="shared" si="219"/>
        <v xml:space="preserve"> * La variable Niños, Niñas, adolescentes y jóvenes Mejor Niñez / hombres  no debe ser mayor que el Total de Hombres</v>
      </c>
      <c r="CJ208" s="348" t="str">
        <f t="shared" si="220"/>
        <v xml:space="preserve"> * La variable Niños, Niñas, adolescentes y jóvenes Mejor Niñez / Mujeres no debe ser mayor que el Total de Mujeres</v>
      </c>
      <c r="CM208" s="175"/>
      <c r="CN208" s="175"/>
      <c r="CO208" s="175"/>
      <c r="CP208" s="175"/>
      <c r="CQ208" s="175"/>
      <c r="CR208" s="175"/>
      <c r="CS208" s="175"/>
      <c r="CT208" s="175"/>
      <c r="CU208" s="175"/>
      <c r="CV208" s="175"/>
      <c r="CW208" s="175"/>
      <c r="CX208" s="175"/>
      <c r="CY208" s="175"/>
      <c r="CZ208" s="175"/>
      <c r="DA208" s="175"/>
      <c r="DB208" s="175"/>
      <c r="DC208" s="352">
        <f t="shared" si="203"/>
        <v>1</v>
      </c>
      <c r="DD208" s="352">
        <f t="shared" si="204"/>
        <v>1</v>
      </c>
      <c r="DE208" s="352">
        <f t="shared" si="205"/>
        <v>1</v>
      </c>
      <c r="DF208" s="352"/>
      <c r="DG208" s="352">
        <f t="shared" si="206"/>
        <v>1</v>
      </c>
      <c r="DH208" s="352">
        <f t="shared" si="207"/>
        <v>1</v>
      </c>
      <c r="DI208" s="352">
        <f t="shared" si="208"/>
        <v>1</v>
      </c>
      <c r="DJ208" s="352">
        <f t="shared" si="209"/>
        <v>1</v>
      </c>
      <c r="DK208" s="352">
        <f t="shared" si="210"/>
        <v>1</v>
      </c>
      <c r="DL208" s="352"/>
      <c r="DM208" s="352"/>
      <c r="DN208" s="352"/>
      <c r="DO208" s="352"/>
      <c r="DP208" s="352"/>
      <c r="DQ208" s="352"/>
      <c r="DR208" s="352"/>
      <c r="DS208" s="352"/>
      <c r="DT208" s="352"/>
      <c r="DU208" s="352"/>
      <c r="DV208" s="352"/>
    </row>
    <row r="209" spans="1:126" ht="18" customHeight="1" x14ac:dyDescent="0.3">
      <c r="A209" s="1641" t="s">
        <v>1135</v>
      </c>
      <c r="B209" s="1938"/>
      <c r="C209" s="1262" t="s">
        <v>748</v>
      </c>
      <c r="D209" s="627" t="s">
        <v>1550</v>
      </c>
      <c r="E209" s="642" t="s">
        <v>1551</v>
      </c>
      <c r="F209" s="643" t="s">
        <v>1552</v>
      </c>
      <c r="G209" s="1466" t="s">
        <v>1553</v>
      </c>
      <c r="H209" s="1467" t="s">
        <v>1554</v>
      </c>
      <c r="I209" s="1466" t="s">
        <v>1555</v>
      </c>
      <c r="J209" s="1467" t="s">
        <v>1556</v>
      </c>
      <c r="K209" s="1466" t="s">
        <v>1557</v>
      </c>
      <c r="L209" s="1467" t="s">
        <v>1558</v>
      </c>
      <c r="M209" s="1466" t="s">
        <v>1559</v>
      </c>
      <c r="N209" s="1467" t="s">
        <v>1560</v>
      </c>
      <c r="O209" s="1466" t="s">
        <v>1561</v>
      </c>
      <c r="P209" s="1467" t="s">
        <v>1562</v>
      </c>
      <c r="Q209" s="1466" t="s">
        <v>1563</v>
      </c>
      <c r="R209" s="1467" t="s">
        <v>1564</v>
      </c>
      <c r="S209" s="1466" t="s">
        <v>1565</v>
      </c>
      <c r="T209" s="1467" t="s">
        <v>1566</v>
      </c>
      <c r="U209" s="1466" t="s">
        <v>1567</v>
      </c>
      <c r="V209" s="1467" t="s">
        <v>1568</v>
      </c>
      <c r="W209" s="1466" t="s">
        <v>1569</v>
      </c>
      <c r="X209" s="1467" t="s">
        <v>1570</v>
      </c>
      <c r="Y209" s="1466" t="s">
        <v>1571</v>
      </c>
      <c r="Z209" s="1468" t="s">
        <v>1572</v>
      </c>
      <c r="AA209" s="1469" t="s">
        <v>1573</v>
      </c>
      <c r="AB209" s="1467" t="s">
        <v>1574</v>
      </c>
      <c r="AC209" s="1466" t="s">
        <v>1575</v>
      </c>
      <c r="AD209" s="1467" t="s">
        <v>1576</v>
      </c>
      <c r="AE209" s="1466" t="s">
        <v>1577</v>
      </c>
      <c r="AF209" s="1467" t="s">
        <v>1578</v>
      </c>
      <c r="AG209" s="1466" t="s">
        <v>1579</v>
      </c>
      <c r="AH209" s="1467" t="s">
        <v>1580</v>
      </c>
      <c r="AI209" s="343" t="str">
        <f t="shared" si="212"/>
        <v xml:space="preserve"> * La variable Pueblos Originarios / hombres  no debe ser mayor que el Total de Hombres. * La variable Pueblos Originarios/ Mujeres no debe ser mayor que el Total de Mujeres * La variable Migrantes / hombres  no debe ser mayor que el Total de Hombres * La variable Migrantes / Mujeres no debe ser mayor que el Total de Mujeres * La variable Usuarios con Discapacidad / hombres  no debe ser mayor que el Total de Hombres * La variable Usuarios con Discapacidad / Mujeres no debe ser mayor que el Total de Mujeres * La variable Niños, Niñas, adolescentes y jóvenes Mejor Niñez / hombres  no debe ser mayor que el Total de Hombres * La variable Niños, Niñas, adolescentes y jóvenes Mejor Niñez / Mujeres no debe ser mayor que el Total de Mujeres</v>
      </c>
      <c r="AJ209" s="1539"/>
      <c r="CB209" s="354"/>
      <c r="CC209" s="348" t="str">
        <f t="shared" si="213"/>
        <v xml:space="preserve"> * La variable Pueblos Originarios / hombres  no debe ser mayor que el Total de Hombres.</v>
      </c>
      <c r="CD209" s="348" t="str">
        <f t="shared" si="214"/>
        <v xml:space="preserve"> * La variable Pueblos Originarios/ Mujeres no debe ser mayor que el Total de Mujeres</v>
      </c>
      <c r="CE209" s="348" t="str">
        <f t="shared" si="215"/>
        <v xml:space="preserve"> * La variable Migrantes / hombres  no debe ser mayor que el Total de Hombres</v>
      </c>
      <c r="CF209" s="348" t="str">
        <f t="shared" si="216"/>
        <v xml:space="preserve"> * La variable Migrantes / Mujeres no debe ser mayor que el Total de Mujeres</v>
      </c>
      <c r="CG209" s="348" t="str">
        <f t="shared" si="217"/>
        <v xml:space="preserve"> * La variable Usuarios con Discapacidad / hombres  no debe ser mayor que el Total de Hombres</v>
      </c>
      <c r="CH209" s="348" t="str">
        <f t="shared" si="218"/>
        <v xml:space="preserve"> * La variable Usuarios con Discapacidad / Mujeres no debe ser mayor que el Total de Mujeres</v>
      </c>
      <c r="CI209" s="348" t="str">
        <f t="shared" si="219"/>
        <v xml:space="preserve"> * La variable Niños, Niñas, adolescentes y jóvenes Mejor Niñez / hombres  no debe ser mayor que el Total de Hombres</v>
      </c>
      <c r="CJ209" s="348" t="str">
        <f t="shared" si="220"/>
        <v xml:space="preserve"> * La variable Niños, Niñas, adolescentes y jóvenes Mejor Niñez / Mujeres no debe ser mayor que el Total de Mujeres</v>
      </c>
      <c r="CM209" s="175"/>
      <c r="CN209" s="175"/>
      <c r="CO209" s="175"/>
      <c r="CP209" s="175"/>
      <c r="CQ209" s="175"/>
      <c r="CR209" s="175"/>
      <c r="CS209" s="175"/>
      <c r="CT209" s="175"/>
      <c r="CU209" s="175"/>
      <c r="CV209" s="175"/>
      <c r="CW209" s="175"/>
      <c r="CX209" s="175"/>
      <c r="CY209" s="175"/>
      <c r="CZ209" s="175"/>
      <c r="DA209" s="175"/>
      <c r="DB209" s="175"/>
      <c r="DC209" s="352">
        <f t="shared" si="203"/>
        <v>1</v>
      </c>
      <c r="DD209" s="352">
        <f t="shared" si="204"/>
        <v>1</v>
      </c>
      <c r="DE209" s="352">
        <f t="shared" si="205"/>
        <v>1</v>
      </c>
      <c r="DF209" s="352"/>
      <c r="DG209" s="352">
        <f t="shared" si="206"/>
        <v>1</v>
      </c>
      <c r="DH209" s="352">
        <f t="shared" si="207"/>
        <v>1</v>
      </c>
      <c r="DI209" s="352">
        <f t="shared" si="208"/>
        <v>1</v>
      </c>
      <c r="DJ209" s="352">
        <f t="shared" si="209"/>
        <v>1</v>
      </c>
      <c r="DK209" s="352">
        <f t="shared" si="210"/>
        <v>1</v>
      </c>
      <c r="DL209" s="352"/>
      <c r="DM209" s="352"/>
      <c r="DN209" s="352"/>
      <c r="DO209" s="352"/>
      <c r="DP209" s="352"/>
      <c r="DQ209" s="352"/>
      <c r="DR209" s="352"/>
      <c r="DS209" s="352"/>
      <c r="DT209" s="352"/>
      <c r="DU209" s="352"/>
      <c r="DV209" s="352"/>
    </row>
    <row r="210" spans="1:126" ht="18" customHeight="1" x14ac:dyDescent="0.3">
      <c r="A210" s="1641" t="s">
        <v>1136</v>
      </c>
      <c r="B210" s="1938"/>
      <c r="C210" s="1263" t="s">
        <v>749</v>
      </c>
      <c r="D210" s="656" t="s">
        <v>1550</v>
      </c>
      <c r="E210" s="1226" t="s">
        <v>1551</v>
      </c>
      <c r="F210" s="1129" t="s">
        <v>1552</v>
      </c>
      <c r="G210" s="1470" t="s">
        <v>1553</v>
      </c>
      <c r="H210" s="1471" t="s">
        <v>1554</v>
      </c>
      <c r="I210" s="1470" t="s">
        <v>1555</v>
      </c>
      <c r="J210" s="1471" t="s">
        <v>1556</v>
      </c>
      <c r="K210" s="1470" t="s">
        <v>1557</v>
      </c>
      <c r="L210" s="1471" t="s">
        <v>1558</v>
      </c>
      <c r="M210" s="1470" t="s">
        <v>1559</v>
      </c>
      <c r="N210" s="1471" t="s">
        <v>1560</v>
      </c>
      <c r="O210" s="1470" t="s">
        <v>1561</v>
      </c>
      <c r="P210" s="1471" t="s">
        <v>1562</v>
      </c>
      <c r="Q210" s="1470" t="s">
        <v>1563</v>
      </c>
      <c r="R210" s="1471" t="s">
        <v>1564</v>
      </c>
      <c r="S210" s="1470" t="s">
        <v>1565</v>
      </c>
      <c r="T210" s="1471" t="s">
        <v>1566</v>
      </c>
      <c r="U210" s="1470" t="s">
        <v>1567</v>
      </c>
      <c r="V210" s="1471" t="s">
        <v>1568</v>
      </c>
      <c r="W210" s="1470" t="s">
        <v>1569</v>
      </c>
      <c r="X210" s="1471" t="s">
        <v>1570</v>
      </c>
      <c r="Y210" s="1470" t="s">
        <v>1571</v>
      </c>
      <c r="Z210" s="1472" t="s">
        <v>1572</v>
      </c>
      <c r="AA210" s="1473" t="s">
        <v>1573</v>
      </c>
      <c r="AB210" s="1471" t="s">
        <v>1574</v>
      </c>
      <c r="AC210" s="1470" t="s">
        <v>1575</v>
      </c>
      <c r="AD210" s="1471" t="s">
        <v>1576</v>
      </c>
      <c r="AE210" s="1470" t="s">
        <v>1577</v>
      </c>
      <c r="AF210" s="1471" t="s">
        <v>1578</v>
      </c>
      <c r="AG210" s="1470" t="s">
        <v>1579</v>
      </c>
      <c r="AH210" s="1471" t="s">
        <v>1580</v>
      </c>
      <c r="AI210" s="343" t="str">
        <f t="shared" si="212"/>
        <v xml:space="preserve"> * La variable Pueblos Originarios / hombres  no debe ser mayor que el Total de Hombres. * La variable Pueblos Originarios/ Mujeres no debe ser mayor que el Total de Mujeres * La variable Migrantes / hombres  no debe ser mayor que el Total de Hombres * La variable Migrantes / Mujeres no debe ser mayor que el Total de Mujeres * La variable Usuarios con Discapacidad / hombres  no debe ser mayor que el Total de Hombres * La variable Usuarios con Discapacidad / Mujeres no debe ser mayor que el Total de Mujeres * La variable Niños, Niñas, adolescentes y jóvenes Mejor Niñez / hombres  no debe ser mayor que el Total de Hombres * La variable Niños, Niñas, adolescentes y jóvenes Mejor Niñez / Mujeres no debe ser mayor que el Total de Mujeres</v>
      </c>
      <c r="AJ210" s="1539"/>
      <c r="CB210" s="354"/>
      <c r="CC210" s="348" t="str">
        <f t="shared" si="213"/>
        <v xml:space="preserve"> * La variable Pueblos Originarios / hombres  no debe ser mayor que el Total de Hombres.</v>
      </c>
      <c r="CD210" s="348" t="str">
        <f t="shared" si="214"/>
        <v xml:space="preserve"> * La variable Pueblos Originarios/ Mujeres no debe ser mayor que el Total de Mujeres</v>
      </c>
      <c r="CE210" s="348" t="str">
        <f t="shared" si="215"/>
        <v xml:space="preserve"> * La variable Migrantes / hombres  no debe ser mayor que el Total de Hombres</v>
      </c>
      <c r="CF210" s="348" t="str">
        <f t="shared" si="216"/>
        <v xml:space="preserve"> * La variable Migrantes / Mujeres no debe ser mayor que el Total de Mujeres</v>
      </c>
      <c r="CG210" s="348" t="str">
        <f t="shared" si="217"/>
        <v xml:space="preserve"> * La variable Usuarios con Discapacidad / hombres  no debe ser mayor que el Total de Hombres</v>
      </c>
      <c r="CH210" s="348" t="str">
        <f t="shared" si="218"/>
        <v xml:space="preserve"> * La variable Usuarios con Discapacidad / Mujeres no debe ser mayor que el Total de Mujeres</v>
      </c>
      <c r="CI210" s="348" t="str">
        <f t="shared" si="219"/>
        <v xml:space="preserve"> * La variable Niños, Niñas, adolescentes y jóvenes Mejor Niñez / hombres  no debe ser mayor que el Total de Hombres</v>
      </c>
      <c r="CJ210" s="348" t="str">
        <f t="shared" si="220"/>
        <v xml:space="preserve"> * La variable Niños, Niñas, adolescentes y jóvenes Mejor Niñez / Mujeres no debe ser mayor que el Total de Mujeres</v>
      </c>
      <c r="CM210" s="175"/>
      <c r="CN210" s="175"/>
      <c r="CO210" s="175"/>
      <c r="CP210" s="175"/>
      <c r="CQ210" s="175"/>
      <c r="CR210" s="175"/>
      <c r="CS210" s="175"/>
      <c r="CT210" s="175"/>
      <c r="CU210" s="175"/>
      <c r="CV210" s="175"/>
      <c r="CW210" s="175"/>
      <c r="CX210" s="175"/>
      <c r="CY210" s="175"/>
      <c r="CZ210" s="175"/>
      <c r="DA210" s="175"/>
      <c r="DB210" s="175"/>
      <c r="DC210" s="352">
        <f t="shared" si="203"/>
        <v>1</v>
      </c>
      <c r="DD210" s="352">
        <f t="shared" si="204"/>
        <v>1</v>
      </c>
      <c r="DE210" s="352">
        <f t="shared" si="205"/>
        <v>1</v>
      </c>
      <c r="DF210" s="352"/>
      <c r="DG210" s="352">
        <f t="shared" si="206"/>
        <v>1</v>
      </c>
      <c r="DH210" s="352">
        <f t="shared" si="207"/>
        <v>1</v>
      </c>
      <c r="DI210" s="352">
        <f t="shared" si="208"/>
        <v>1</v>
      </c>
      <c r="DJ210" s="352">
        <f t="shared" si="209"/>
        <v>1</v>
      </c>
      <c r="DK210" s="352">
        <f t="shared" si="210"/>
        <v>1</v>
      </c>
      <c r="DL210" s="352"/>
      <c r="DM210" s="352"/>
      <c r="DN210" s="352"/>
      <c r="DO210" s="352"/>
      <c r="DP210" s="352"/>
      <c r="DQ210" s="352"/>
      <c r="DR210" s="352"/>
      <c r="DS210" s="352"/>
      <c r="DT210" s="352"/>
      <c r="DU210" s="352"/>
      <c r="DV210" s="352"/>
    </row>
    <row r="211" spans="1:126" ht="18" customHeight="1" x14ac:dyDescent="0.3">
      <c r="A211" s="1641" t="s">
        <v>1137</v>
      </c>
      <c r="B211" s="1938"/>
      <c r="C211" s="1233" t="s">
        <v>750</v>
      </c>
      <c r="D211" s="1231" t="s">
        <v>1550</v>
      </c>
      <c r="E211" s="595" t="s">
        <v>1551</v>
      </c>
      <c r="F211" s="1210" t="s">
        <v>1552</v>
      </c>
      <c r="G211" s="1474" t="s">
        <v>1553</v>
      </c>
      <c r="H211" s="1475" t="s">
        <v>1554</v>
      </c>
      <c r="I211" s="1474" t="s">
        <v>1555</v>
      </c>
      <c r="J211" s="1475" t="s">
        <v>1556</v>
      </c>
      <c r="K211" s="1474" t="s">
        <v>1557</v>
      </c>
      <c r="L211" s="1475" t="s">
        <v>1558</v>
      </c>
      <c r="M211" s="1474" t="s">
        <v>1559</v>
      </c>
      <c r="N211" s="1475" t="s">
        <v>1560</v>
      </c>
      <c r="O211" s="1474" t="s">
        <v>1561</v>
      </c>
      <c r="P211" s="1475" t="s">
        <v>1562</v>
      </c>
      <c r="Q211" s="1474" t="s">
        <v>1563</v>
      </c>
      <c r="R211" s="1475" t="s">
        <v>1564</v>
      </c>
      <c r="S211" s="1474" t="s">
        <v>1565</v>
      </c>
      <c r="T211" s="1475" t="s">
        <v>1566</v>
      </c>
      <c r="U211" s="1474" t="s">
        <v>1567</v>
      </c>
      <c r="V211" s="1475" t="s">
        <v>1568</v>
      </c>
      <c r="W211" s="1474" t="s">
        <v>1569</v>
      </c>
      <c r="X211" s="1475" t="s">
        <v>1570</v>
      </c>
      <c r="Y211" s="1474" t="s">
        <v>1571</v>
      </c>
      <c r="Z211" s="1476" t="s">
        <v>1572</v>
      </c>
      <c r="AA211" s="1477" t="s">
        <v>1573</v>
      </c>
      <c r="AB211" s="1475" t="s">
        <v>1574</v>
      </c>
      <c r="AC211" s="1474" t="s">
        <v>1575</v>
      </c>
      <c r="AD211" s="1475" t="s">
        <v>1576</v>
      </c>
      <c r="AE211" s="1474" t="s">
        <v>1577</v>
      </c>
      <c r="AF211" s="1475" t="s">
        <v>1578</v>
      </c>
      <c r="AG211" s="1474" t="s">
        <v>1579</v>
      </c>
      <c r="AH211" s="1541" t="s">
        <v>1580</v>
      </c>
      <c r="AI211" s="343" t="str">
        <f t="shared" si="212"/>
        <v xml:space="preserve"> * La variable Pueblos Originarios / hombres  no debe ser mayor que el Total de Hombres. * La variable Pueblos Originarios/ Mujeres no debe ser mayor que el Total de Mujeres * La variable Migrantes / hombres  no debe ser mayor que el Total de Hombres * La variable Migrantes / Mujeres no debe ser mayor que el Total de Mujeres * La variable Usuarios con Discapacidad / hombres  no debe ser mayor que el Total de Hombres * La variable Usuarios con Discapacidad / Mujeres no debe ser mayor que el Total de Mujeres * La variable Niños, Niñas, adolescentes y jóvenes Mejor Niñez / hombres  no debe ser mayor que el Total de Hombres * La variable Niños, Niñas, adolescentes y jóvenes Mejor Niñez / Mujeres no debe ser mayor que el Total de Mujeres</v>
      </c>
      <c r="AJ211" s="1539"/>
      <c r="CB211" s="354"/>
      <c r="CC211" s="348" t="str">
        <f t="shared" si="213"/>
        <v xml:space="preserve"> * La variable Pueblos Originarios / hombres  no debe ser mayor que el Total de Hombres.</v>
      </c>
      <c r="CD211" s="348" t="str">
        <f t="shared" si="214"/>
        <v xml:space="preserve"> * La variable Pueblos Originarios/ Mujeres no debe ser mayor que el Total de Mujeres</v>
      </c>
      <c r="CE211" s="348" t="str">
        <f t="shared" si="215"/>
        <v xml:space="preserve"> * La variable Migrantes / hombres  no debe ser mayor que el Total de Hombres</v>
      </c>
      <c r="CF211" s="348" t="str">
        <f t="shared" si="216"/>
        <v xml:space="preserve"> * La variable Migrantes / Mujeres no debe ser mayor que el Total de Mujeres</v>
      </c>
      <c r="CG211" s="348" t="str">
        <f t="shared" si="217"/>
        <v xml:space="preserve"> * La variable Usuarios con Discapacidad / hombres  no debe ser mayor que el Total de Hombres</v>
      </c>
      <c r="CH211" s="348" t="str">
        <f t="shared" si="218"/>
        <v xml:space="preserve"> * La variable Usuarios con Discapacidad / Mujeres no debe ser mayor que el Total de Mujeres</v>
      </c>
      <c r="CI211" s="348" t="str">
        <f t="shared" si="219"/>
        <v xml:space="preserve"> * La variable Niños, Niñas, adolescentes y jóvenes Mejor Niñez / hombres  no debe ser mayor que el Total de Hombres</v>
      </c>
      <c r="CJ211" s="348" t="str">
        <f t="shared" si="220"/>
        <v xml:space="preserve"> * La variable Niños, Niñas, adolescentes y jóvenes Mejor Niñez / Mujeres no debe ser mayor que el Total de Mujeres</v>
      </c>
      <c r="CM211" s="175"/>
      <c r="CN211" s="175"/>
      <c r="CO211" s="175"/>
      <c r="CP211" s="175"/>
      <c r="CQ211" s="175"/>
      <c r="CR211" s="175"/>
      <c r="CS211" s="175"/>
      <c r="CT211" s="175"/>
      <c r="CU211" s="175"/>
      <c r="CV211" s="175"/>
      <c r="CW211" s="175"/>
      <c r="CX211" s="175"/>
      <c r="CY211" s="175"/>
      <c r="CZ211" s="175"/>
      <c r="DA211" s="175"/>
      <c r="DB211" s="175"/>
      <c r="DC211" s="352">
        <f t="shared" si="203"/>
        <v>1</v>
      </c>
      <c r="DD211" s="352">
        <f t="shared" si="204"/>
        <v>1</v>
      </c>
      <c r="DE211" s="352">
        <f t="shared" si="205"/>
        <v>1</v>
      </c>
      <c r="DF211" s="352"/>
      <c r="DG211" s="352">
        <f t="shared" si="206"/>
        <v>1</v>
      </c>
      <c r="DH211" s="352">
        <f t="shared" si="207"/>
        <v>1</v>
      </c>
      <c r="DI211" s="352">
        <f t="shared" si="208"/>
        <v>1</v>
      </c>
      <c r="DJ211" s="352">
        <f t="shared" si="209"/>
        <v>1</v>
      </c>
      <c r="DK211" s="352">
        <f t="shared" si="210"/>
        <v>1</v>
      </c>
      <c r="DL211" s="352"/>
      <c r="DM211" s="352"/>
      <c r="DN211" s="352"/>
      <c r="DO211" s="352"/>
      <c r="DP211" s="352"/>
      <c r="DQ211" s="352"/>
      <c r="DR211" s="352"/>
      <c r="DS211" s="352"/>
      <c r="DT211" s="352"/>
      <c r="DU211" s="352"/>
      <c r="DV211" s="352"/>
    </row>
    <row r="212" spans="1:126" ht="18" customHeight="1" x14ac:dyDescent="0.3">
      <c r="A212" s="1629"/>
      <c r="B212" s="1938"/>
      <c r="C212" s="1234" t="s">
        <v>196</v>
      </c>
      <c r="D212" s="1231">
        <f t="shared" ref="D212" si="221">SUM(E212:F212)</f>
        <v>0</v>
      </c>
      <c r="E212" s="595">
        <f t="shared" ref="E212" si="222">+G212+I212+K212+M212+O212+Q212+S212+U212+W212+Y212</f>
        <v>0</v>
      </c>
      <c r="F212" s="1210">
        <f t="shared" ref="F212" si="223">+H212+J212+L212+N212+P212+R212+T212+V212+X212+Z212</f>
        <v>0</v>
      </c>
      <c r="G212" s="1328">
        <f>SUM(G206:G211)</f>
        <v>0</v>
      </c>
      <c r="H212" s="1329">
        <f t="shared" ref="H212:AH212" si="224">SUM(H206:H211)</f>
        <v>0</v>
      </c>
      <c r="I212" s="1328">
        <f t="shared" si="224"/>
        <v>0</v>
      </c>
      <c r="J212" s="1329">
        <f t="shared" si="224"/>
        <v>0</v>
      </c>
      <c r="K212" s="1328">
        <f t="shared" si="224"/>
        <v>0</v>
      </c>
      <c r="L212" s="1329">
        <f t="shared" si="224"/>
        <v>0</v>
      </c>
      <c r="M212" s="1328">
        <f t="shared" si="224"/>
        <v>0</v>
      </c>
      <c r="N212" s="1329">
        <f t="shared" si="224"/>
        <v>0</v>
      </c>
      <c r="O212" s="1328">
        <f t="shared" si="224"/>
        <v>0</v>
      </c>
      <c r="P212" s="1329">
        <f t="shared" si="224"/>
        <v>0</v>
      </c>
      <c r="Q212" s="1328">
        <f t="shared" si="224"/>
        <v>0</v>
      </c>
      <c r="R212" s="1329">
        <f t="shared" si="224"/>
        <v>0</v>
      </c>
      <c r="S212" s="1328">
        <f t="shared" si="224"/>
        <v>0</v>
      </c>
      <c r="T212" s="1329">
        <f t="shared" si="224"/>
        <v>0</v>
      </c>
      <c r="U212" s="1328">
        <f t="shared" si="224"/>
        <v>0</v>
      </c>
      <c r="V212" s="1329">
        <f t="shared" si="224"/>
        <v>0</v>
      </c>
      <c r="W212" s="1328">
        <f t="shared" si="224"/>
        <v>0</v>
      </c>
      <c r="X212" s="1329">
        <f t="shared" si="224"/>
        <v>0</v>
      </c>
      <c r="Y212" s="1328">
        <f t="shared" si="224"/>
        <v>0</v>
      </c>
      <c r="Z212" s="1330">
        <f t="shared" si="224"/>
        <v>0</v>
      </c>
      <c r="AA212" s="1331">
        <f t="shared" si="224"/>
        <v>0</v>
      </c>
      <c r="AB212" s="1329">
        <f t="shared" si="224"/>
        <v>0</v>
      </c>
      <c r="AC212" s="1328">
        <f t="shared" si="224"/>
        <v>0</v>
      </c>
      <c r="AD212" s="1329">
        <f t="shared" si="224"/>
        <v>0</v>
      </c>
      <c r="AE212" s="1328">
        <f t="shared" si="224"/>
        <v>0</v>
      </c>
      <c r="AF212" s="1329">
        <f t="shared" si="224"/>
        <v>0</v>
      </c>
      <c r="AG212" s="1542">
        <f t="shared" si="224"/>
        <v>0</v>
      </c>
      <c r="AH212" s="1543">
        <f t="shared" si="224"/>
        <v>0</v>
      </c>
      <c r="AI212" s="1513"/>
      <c r="AJ212" s="1540"/>
      <c r="CB212" s="354"/>
      <c r="CC212" s="354"/>
      <c r="CD212" s="354"/>
      <c r="CE212" s="354"/>
      <c r="CF212" s="354"/>
      <c r="CG212" s="354"/>
      <c r="CH212" s="354"/>
      <c r="CI212" s="354"/>
      <c r="CJ212" s="354"/>
      <c r="CM212" s="175"/>
      <c r="CN212" s="175"/>
      <c r="CO212" s="175"/>
      <c r="CP212" s="175"/>
      <c r="CQ212" s="175"/>
      <c r="CR212" s="175"/>
      <c r="CS212" s="175"/>
      <c r="CT212" s="175"/>
      <c r="CU212" s="175"/>
      <c r="CV212" s="175"/>
      <c r="CW212" s="175"/>
      <c r="CX212" s="175"/>
      <c r="CY212" s="175"/>
      <c r="CZ212" s="175"/>
      <c r="DA212" s="175"/>
      <c r="DB212" s="175"/>
      <c r="DC212" s="352">
        <f t="shared" si="203"/>
        <v>0</v>
      </c>
      <c r="DD212" s="352">
        <f t="shared" si="204"/>
        <v>0</v>
      </c>
      <c r="DE212" s="352">
        <f t="shared" si="205"/>
        <v>0</v>
      </c>
      <c r="DF212" s="352"/>
      <c r="DG212" s="352">
        <f t="shared" si="206"/>
        <v>0</v>
      </c>
      <c r="DH212" s="352">
        <f t="shared" si="207"/>
        <v>0</v>
      </c>
      <c r="DI212" s="352">
        <f t="shared" si="208"/>
        <v>0</v>
      </c>
      <c r="DJ212" s="352">
        <f t="shared" si="209"/>
        <v>0</v>
      </c>
      <c r="DK212" s="352">
        <f t="shared" si="210"/>
        <v>0</v>
      </c>
      <c r="DL212" s="352"/>
      <c r="DM212" s="352"/>
      <c r="DN212" s="352"/>
      <c r="DO212" s="352"/>
      <c r="DP212" s="352"/>
      <c r="DQ212" s="352"/>
      <c r="DR212" s="352"/>
      <c r="DS212" s="352"/>
      <c r="DT212" s="352"/>
      <c r="DU212" s="352"/>
      <c r="DV212" s="352"/>
    </row>
    <row r="213" spans="1:126" ht="18" customHeight="1" x14ac:dyDescent="0.3">
      <c r="A213" s="1641" t="s">
        <v>1138</v>
      </c>
      <c r="B213" s="2068" t="s">
        <v>751</v>
      </c>
      <c r="C213" s="2069"/>
      <c r="D213" s="1231" t="s">
        <v>1550</v>
      </c>
      <c r="E213" s="595" t="s">
        <v>1551</v>
      </c>
      <c r="F213" s="1210" t="s">
        <v>1552</v>
      </c>
      <c r="G213" s="1474" t="s">
        <v>1553</v>
      </c>
      <c r="H213" s="1475" t="s">
        <v>1554</v>
      </c>
      <c r="I213" s="1474" t="s">
        <v>1555</v>
      </c>
      <c r="J213" s="1475" t="s">
        <v>1556</v>
      </c>
      <c r="K213" s="1474" t="s">
        <v>1557</v>
      </c>
      <c r="L213" s="1475" t="s">
        <v>1558</v>
      </c>
      <c r="M213" s="1474" t="s">
        <v>1559</v>
      </c>
      <c r="N213" s="1475" t="s">
        <v>1560</v>
      </c>
      <c r="O213" s="1474" t="s">
        <v>1561</v>
      </c>
      <c r="P213" s="1475" t="s">
        <v>1562</v>
      </c>
      <c r="Q213" s="1474" t="s">
        <v>1563</v>
      </c>
      <c r="R213" s="1475" t="s">
        <v>1564</v>
      </c>
      <c r="S213" s="1474" t="s">
        <v>1565</v>
      </c>
      <c r="T213" s="1475" t="s">
        <v>1566</v>
      </c>
      <c r="U213" s="1474" t="s">
        <v>1567</v>
      </c>
      <c r="V213" s="1475" t="s">
        <v>1568</v>
      </c>
      <c r="W213" s="1474" t="s">
        <v>1569</v>
      </c>
      <c r="X213" s="1475" t="s">
        <v>1570</v>
      </c>
      <c r="Y213" s="1474" t="s">
        <v>1571</v>
      </c>
      <c r="Z213" s="1476" t="s">
        <v>1572</v>
      </c>
      <c r="AA213" s="1477" t="s">
        <v>1573</v>
      </c>
      <c r="AB213" s="1475" t="s">
        <v>1574</v>
      </c>
      <c r="AC213" s="1474" t="s">
        <v>1575</v>
      </c>
      <c r="AD213" s="1475" t="s">
        <v>1576</v>
      </c>
      <c r="AE213" s="1474" t="s">
        <v>1577</v>
      </c>
      <c r="AF213" s="1475" t="s">
        <v>1578</v>
      </c>
      <c r="AG213" s="1474" t="s">
        <v>1579</v>
      </c>
      <c r="AH213" s="1541" t="s">
        <v>1580</v>
      </c>
      <c r="AI213" s="343" t="str">
        <f>CC213&amp;CD213&amp;CE213&amp;CF213&amp;CG213&amp;CH213&amp;CI213&amp;CJ213&amp;CK213&amp;CL213</f>
        <v xml:space="preserve"> * La variable Pueblos Originarios / hombres  no debe ser mayor que el Total de Hombres. * La variable Pueblos Originarios/ Mujeres no debe ser mayor que el Total de Mujeres * La variable Migrantes / hombres  no debe ser mayor que el Total de Hombres * La variable Migrantes / Mujeres no debe ser mayor que el Total de Mujeres * La variable Usuarios con Discapacidad / hombres  no debe ser mayor que el Total de Hombres * La variable Usuarios con Discapacidad / Mujeres no debe ser mayor que el Total de Mujeres * La variable Niños, Niñas, adolescentes y jóvenes Mejor Niñez / hombres  no debe ser mayor que el Total de Hombres * La variable Niños, Niñas, adolescentes y jóvenes Mejor Niñez / Mujeres no debe ser mayor que el Total de Mujeres</v>
      </c>
      <c r="AJ213" s="1539"/>
      <c r="CB213" s="354"/>
      <c r="CC213" s="348" t="str">
        <f>IF(AND(E213&gt;0,AA213="")," * No olvide digitar la variable Pueblos Originarios / hombres (Digite Cero si no tiene).",IF(AA213&gt;E213," * La variable Pueblos Originarios / hombres  no debe ser mayor que el Total de Hombres.",""))</f>
        <v xml:space="preserve"> * La variable Pueblos Originarios / hombres  no debe ser mayor que el Total de Hombres.</v>
      </c>
      <c r="CD213" s="348" t="str">
        <f>IF(AND(F213&gt;0,AB213="")," * No olvide digitar la variable Pueblos Originarios / Mujeres (Digite Cero si no tiene). Digite Cero si no tiene.",IF(AB213&gt;F213," * La variable Pueblos Originarios/ Mujeres no debe ser mayor que el Total de Mujeres",""))</f>
        <v xml:space="preserve"> * La variable Pueblos Originarios/ Mujeres no debe ser mayor que el Total de Mujeres</v>
      </c>
      <c r="CE213" s="348" t="str">
        <f>IF(AND(E213&gt;0,AC213="")," * No olvide digitar la variable Migrantes / hombres (Digite Cero si no tiene).",IF(AC213&gt;E213," * La variable Migrantes / hombres  no debe ser mayor que el Total de Hombres",""))</f>
        <v xml:space="preserve"> * La variable Migrantes / hombres  no debe ser mayor que el Total de Hombres</v>
      </c>
      <c r="CF213" s="348" t="str">
        <f>IF(AND(F213&gt;0,AD213="")," * No olvide digitar la variable Migrantes  / Mujeres (Digite Cero si no tiene).",IF(AD213&gt;F213," * La variable Migrantes / Mujeres no debe ser mayor que el Total de Mujeres",""))</f>
        <v xml:space="preserve"> * La variable Migrantes / Mujeres no debe ser mayor que el Total de Mujeres</v>
      </c>
      <c r="CG213" s="348" t="str">
        <f>IF(AND(E213&gt;0,AE213="")," * No olvide digitar la variable Usuarios con Discapacidad / hombres (Digite Cero si no tiene).",IF(AE213&gt;E213," * La variable Usuarios con Discapacidad / hombres  no debe ser mayor que el Total de Hombres",""))</f>
        <v xml:space="preserve"> * La variable Usuarios con Discapacidad / hombres  no debe ser mayor que el Total de Hombres</v>
      </c>
      <c r="CH213" s="348" t="str">
        <f>IF(AND(F213&gt;0,AF213="")," * No olvide digitar la variable Usuarios con Discapacidad  / Mujeres (Digite Cero si no tiene).",IF(AF213&gt;F213," * La variable Usuarios con Discapacidad / Mujeres no debe ser mayor que el Total de Mujeres",""))</f>
        <v xml:space="preserve"> * La variable Usuarios con Discapacidad / Mujeres no debe ser mayor que el Total de Mujeres</v>
      </c>
      <c r="CI213" s="348" t="str">
        <f>IF(AND(E213&gt;0,AG213="")," * No olvide digitar la variable Niños, Niñas, adolescentes y jóvenes Mejor Niñez/ hombres (Digite Cero si no tiene).",IF(AG213&gt;E213," * La variable Niños, Niñas, adolescentes y jóvenes Mejor Niñez / hombres  no debe ser mayor que el Total de Hombres",""))</f>
        <v xml:space="preserve"> * La variable Niños, Niñas, adolescentes y jóvenes Mejor Niñez / hombres  no debe ser mayor que el Total de Hombres</v>
      </c>
      <c r="CJ213" s="348" t="str">
        <f>IF(AND(F213&gt;0,AH213="")," * No olvide digitar la variable Niños, Niñas, adolescentes y jóvenes Mejor Niñez / Mujeres (Digite Cero si no tiene).",IF(AH213&gt;F213," * La variable Niños, Niñas, adolescentes y jóvenes Mejor Niñez / Mujeres no debe ser mayor que el Total de Mujeres",""))</f>
        <v xml:space="preserve"> * La variable Niños, Niñas, adolescentes y jóvenes Mejor Niñez / Mujeres no debe ser mayor que el Total de Mujeres</v>
      </c>
      <c r="CM213" s="175"/>
      <c r="CN213" s="175"/>
      <c r="CO213" s="175"/>
      <c r="CP213" s="175"/>
      <c r="CQ213" s="175"/>
      <c r="CR213" s="175"/>
      <c r="CS213" s="175"/>
      <c r="CT213" s="175"/>
      <c r="CU213" s="175"/>
      <c r="CV213" s="175"/>
      <c r="CW213" s="175"/>
      <c r="CX213" s="175"/>
      <c r="CY213" s="175"/>
      <c r="CZ213" s="175"/>
      <c r="DA213" s="175"/>
      <c r="DB213" s="175"/>
      <c r="DC213" s="352">
        <f t="shared" si="203"/>
        <v>1</v>
      </c>
      <c r="DD213" s="352">
        <f t="shared" si="204"/>
        <v>1</v>
      </c>
      <c r="DE213" s="352">
        <f t="shared" si="205"/>
        <v>1</v>
      </c>
      <c r="DF213" s="352"/>
      <c r="DG213" s="352">
        <f t="shared" si="206"/>
        <v>1</v>
      </c>
      <c r="DH213" s="352">
        <f t="shared" si="207"/>
        <v>1</v>
      </c>
      <c r="DI213" s="352">
        <f t="shared" si="208"/>
        <v>1</v>
      </c>
      <c r="DJ213" s="352">
        <f t="shared" si="209"/>
        <v>1</v>
      </c>
      <c r="DK213" s="352">
        <f t="shared" si="210"/>
        <v>1</v>
      </c>
      <c r="DL213" s="352"/>
      <c r="DM213" s="352"/>
      <c r="DN213" s="352"/>
      <c r="DO213" s="352"/>
      <c r="DP213" s="352"/>
      <c r="DQ213" s="352"/>
      <c r="DR213" s="352"/>
      <c r="DS213" s="352"/>
      <c r="DT213" s="352"/>
      <c r="DU213" s="352"/>
      <c r="DV213" s="352"/>
    </row>
    <row r="214" spans="1:126" x14ac:dyDescent="0.3">
      <c r="B214" s="175"/>
      <c r="C214" s="175"/>
      <c r="D214" s="175"/>
      <c r="E214" s="175"/>
      <c r="F214" s="175"/>
      <c r="G214" s="175"/>
      <c r="H214" s="175"/>
      <c r="I214" s="175"/>
      <c r="J214" s="175"/>
      <c r="K214" s="175"/>
      <c r="L214" s="175"/>
      <c r="M214" s="175"/>
      <c r="N214" s="175"/>
      <c r="O214" s="175"/>
      <c r="P214" s="175"/>
      <c r="Q214" s="175"/>
      <c r="R214" s="175"/>
      <c r="S214" s="175"/>
      <c r="T214" s="175"/>
      <c r="U214" s="175"/>
      <c r="V214" s="175"/>
      <c r="W214" s="175"/>
      <c r="X214" s="175"/>
      <c r="Y214" s="175"/>
      <c r="Z214" s="175"/>
      <c r="AA214" s="175"/>
      <c r="AB214" s="175"/>
      <c r="AC214" s="175"/>
      <c r="AD214" s="175"/>
      <c r="AE214" s="175"/>
      <c r="AF214" s="175"/>
      <c r="AG214" s="175"/>
      <c r="AH214" s="175"/>
      <c r="AI214" s="175"/>
      <c r="AJ214" s="175"/>
      <c r="AK214" s="175"/>
      <c r="AL214" s="175"/>
      <c r="AM214" s="175"/>
      <c r="AN214" s="175"/>
      <c r="AO214" s="175"/>
      <c r="AP214" s="175"/>
      <c r="AQ214" s="175"/>
      <c r="AR214" s="175"/>
      <c r="AS214" s="175"/>
      <c r="AT214" s="175"/>
      <c r="AU214" s="175"/>
      <c r="AV214" s="175"/>
      <c r="AW214" s="175"/>
    </row>
    <row r="215" spans="1:126" x14ac:dyDescent="0.3">
      <c r="B215" s="175"/>
      <c r="C215" s="175"/>
      <c r="D215" s="175"/>
      <c r="E215" s="175"/>
      <c r="F215" s="175"/>
      <c r="G215" s="175"/>
      <c r="H215" s="175"/>
      <c r="I215" s="175"/>
      <c r="J215" s="175"/>
      <c r="K215" s="175"/>
      <c r="L215" s="175"/>
      <c r="M215" s="175"/>
      <c r="N215" s="175"/>
      <c r="O215" s="175"/>
      <c r="P215" s="175"/>
      <c r="Q215" s="175"/>
      <c r="R215" s="175"/>
      <c r="S215" s="175"/>
      <c r="T215" s="175"/>
      <c r="U215" s="175"/>
      <c r="V215" s="175"/>
      <c r="W215" s="175"/>
      <c r="X215" s="175"/>
      <c r="Y215" s="175"/>
      <c r="Z215" s="175"/>
      <c r="AA215" s="175"/>
      <c r="AB215" s="175"/>
      <c r="AC215" s="175"/>
      <c r="AD215" s="175"/>
      <c r="AE215" s="175"/>
      <c r="AF215" s="175"/>
      <c r="AG215" s="175"/>
      <c r="AH215" s="175"/>
      <c r="AI215" s="175"/>
      <c r="AJ215" s="175"/>
      <c r="AK215" s="175"/>
      <c r="AL215" s="175"/>
      <c r="AM215" s="175"/>
      <c r="AN215" s="175"/>
      <c r="AO215" s="175"/>
      <c r="AP215" s="175"/>
      <c r="AQ215" s="175"/>
      <c r="AR215" s="175"/>
      <c r="AS215" s="175"/>
      <c r="AT215" s="175"/>
      <c r="AU215" s="175"/>
      <c r="AV215" s="175"/>
      <c r="AW215" s="175"/>
    </row>
    <row r="216" spans="1:126" x14ac:dyDescent="0.3">
      <c r="B216" s="175"/>
      <c r="C216" s="175"/>
      <c r="D216" s="175"/>
      <c r="E216" s="175"/>
      <c r="F216" s="175"/>
      <c r="G216" s="175"/>
      <c r="H216" s="175"/>
      <c r="I216" s="175"/>
      <c r="J216" s="175"/>
      <c r="K216" s="175"/>
      <c r="L216" s="175"/>
      <c r="M216" s="175"/>
      <c r="N216" s="175"/>
      <c r="O216" s="175"/>
      <c r="P216" s="175"/>
      <c r="Q216" s="175"/>
      <c r="R216" s="175"/>
      <c r="S216" s="175"/>
      <c r="T216" s="175"/>
      <c r="U216" s="175"/>
      <c r="V216" s="175"/>
      <c r="W216" s="175"/>
      <c r="X216" s="175"/>
      <c r="Y216" s="175"/>
      <c r="Z216" s="175"/>
      <c r="AA216" s="175"/>
      <c r="AB216" s="175"/>
      <c r="AC216" s="175"/>
      <c r="AD216" s="175"/>
      <c r="AE216" s="175"/>
      <c r="AF216" s="175"/>
      <c r="AG216" s="175"/>
      <c r="AH216" s="175"/>
      <c r="AI216" s="175"/>
      <c r="AJ216" s="175"/>
      <c r="AK216" s="175"/>
      <c r="AL216" s="175"/>
      <c r="AM216" s="175"/>
      <c r="AN216" s="175"/>
      <c r="AO216" s="175"/>
      <c r="AP216" s="175"/>
      <c r="AQ216" s="175"/>
      <c r="AR216" s="175"/>
      <c r="AS216" s="175"/>
      <c r="AT216" s="175"/>
      <c r="AU216" s="175"/>
      <c r="AV216" s="175"/>
      <c r="AW216" s="175"/>
    </row>
    <row r="217" spans="1:126" x14ac:dyDescent="0.3">
      <c r="B217" s="175"/>
      <c r="C217" s="175"/>
      <c r="D217" s="175"/>
      <c r="E217" s="175"/>
      <c r="F217" s="175"/>
      <c r="G217" s="175"/>
      <c r="H217" s="175"/>
      <c r="I217" s="175"/>
      <c r="J217" s="175"/>
      <c r="K217" s="175"/>
      <c r="L217" s="175"/>
      <c r="M217" s="175"/>
      <c r="N217" s="175"/>
      <c r="O217" s="175"/>
      <c r="P217" s="175"/>
      <c r="Q217" s="175"/>
      <c r="R217" s="175"/>
      <c r="S217" s="175"/>
      <c r="T217" s="175"/>
      <c r="U217" s="175"/>
      <c r="V217" s="175"/>
      <c r="W217" s="175"/>
      <c r="X217" s="175"/>
      <c r="Y217" s="175"/>
      <c r="Z217" s="175"/>
      <c r="AA217" s="175"/>
      <c r="AB217" s="175"/>
      <c r="AC217" s="175"/>
      <c r="AD217" s="175"/>
      <c r="AE217" s="175"/>
      <c r="AF217" s="175"/>
      <c r="AG217" s="175"/>
      <c r="AH217" s="175"/>
      <c r="AI217" s="175"/>
      <c r="AJ217" s="175"/>
      <c r="AK217" s="175"/>
      <c r="AL217" s="175"/>
      <c r="AM217" s="175"/>
      <c r="AN217" s="175"/>
      <c r="AO217" s="175"/>
      <c r="AP217" s="175"/>
      <c r="AQ217" s="175"/>
      <c r="AR217" s="175"/>
      <c r="AS217" s="175"/>
      <c r="AT217" s="175"/>
      <c r="AU217" s="175"/>
      <c r="AV217" s="175"/>
      <c r="AW217" s="175"/>
    </row>
    <row r="218" spans="1:126" x14ac:dyDescent="0.3">
      <c r="B218" s="175"/>
      <c r="C218" s="175"/>
      <c r="D218" s="175"/>
      <c r="E218" s="175"/>
      <c r="F218" s="175"/>
      <c r="G218" s="175"/>
      <c r="H218" s="175"/>
      <c r="I218" s="175"/>
      <c r="J218" s="175"/>
      <c r="K218" s="175"/>
      <c r="L218" s="175"/>
      <c r="M218" s="175"/>
      <c r="N218" s="175"/>
      <c r="O218" s="175"/>
      <c r="P218" s="175"/>
      <c r="Q218" s="175"/>
      <c r="R218" s="175"/>
      <c r="S218" s="175"/>
      <c r="T218" s="175"/>
      <c r="U218" s="175"/>
      <c r="V218" s="175"/>
      <c r="W218" s="175"/>
      <c r="X218" s="175"/>
      <c r="Y218" s="175"/>
      <c r="Z218" s="175"/>
      <c r="AA218" s="175"/>
      <c r="AB218" s="175"/>
      <c r="AC218" s="175"/>
      <c r="AD218" s="175"/>
      <c r="AE218" s="175"/>
      <c r="AF218" s="175"/>
      <c r="AG218" s="175"/>
      <c r="AH218" s="175"/>
      <c r="AI218" s="175"/>
      <c r="AJ218" s="175"/>
      <c r="AK218" s="175"/>
      <c r="AL218" s="175"/>
      <c r="AM218" s="175"/>
      <c r="AN218" s="175"/>
      <c r="AO218" s="175"/>
      <c r="AP218" s="175"/>
      <c r="AQ218" s="175"/>
      <c r="AR218" s="175"/>
      <c r="AS218" s="175"/>
      <c r="AT218" s="175"/>
      <c r="AU218" s="175"/>
      <c r="AV218" s="175"/>
      <c r="AW218" s="175"/>
    </row>
    <row r="219" spans="1:126" x14ac:dyDescent="0.3">
      <c r="B219" s="1451" t="e">
        <f>SUM(D11:D39,D44:D73,D77:D104,D108:D111,D115:D116,D125,D134,D140,D145:D189,D194,D202,D205,D212,D213)</f>
        <v>#VALUE!</v>
      </c>
      <c r="C219" s="358" t="s">
        <v>317</v>
      </c>
      <c r="D219" s="175"/>
      <c r="E219" s="175"/>
      <c r="F219" s="175"/>
      <c r="G219" s="175"/>
      <c r="H219" s="175"/>
      <c r="I219" s="175"/>
      <c r="J219" s="175"/>
      <c r="K219" s="175"/>
      <c r="L219" s="175"/>
      <c r="M219" s="175"/>
      <c r="N219" s="175"/>
      <c r="O219" s="175"/>
      <c r="P219" s="175"/>
      <c r="Q219" s="175"/>
      <c r="R219" s="175"/>
      <c r="S219" s="175"/>
      <c r="T219" s="175"/>
      <c r="U219" s="175"/>
      <c r="V219" s="175"/>
      <c r="W219" s="175"/>
      <c r="X219" s="175"/>
      <c r="Y219" s="175"/>
      <c r="Z219" s="175"/>
      <c r="AA219" s="175"/>
      <c r="AB219" s="175"/>
      <c r="AC219" s="175"/>
      <c r="AD219" s="175"/>
      <c r="AE219" s="175"/>
      <c r="AF219" s="175"/>
      <c r="AG219" s="175"/>
      <c r="AH219" s="175"/>
      <c r="AI219" s="175"/>
      <c r="AJ219" s="175"/>
      <c r="AK219" s="175"/>
      <c r="AL219" s="175"/>
      <c r="AM219" s="175"/>
      <c r="AN219" s="175"/>
      <c r="AO219" s="175"/>
      <c r="AP219" s="175"/>
      <c r="AQ219" s="175"/>
      <c r="AR219" s="175"/>
      <c r="AS219" s="175"/>
      <c r="AT219" s="175"/>
      <c r="AU219" s="175"/>
      <c r="AV219" s="175"/>
      <c r="AW219" s="175"/>
    </row>
    <row r="220" spans="1:126" x14ac:dyDescent="0.3">
      <c r="B220" s="1451" t="e">
        <f>SUM(DC$11:DW213)</f>
        <v>#VALUE!</v>
      </c>
      <c r="C220" s="358" t="s">
        <v>318</v>
      </c>
      <c r="D220" s="175"/>
      <c r="E220" s="175"/>
      <c r="F220" s="175"/>
      <c r="G220" s="175"/>
      <c r="H220" s="175"/>
      <c r="I220" s="175"/>
      <c r="J220" s="175"/>
      <c r="K220" s="175"/>
      <c r="L220" s="175"/>
      <c r="M220" s="175"/>
      <c r="N220" s="175"/>
      <c r="O220" s="175"/>
      <c r="P220" s="175"/>
      <c r="Q220" s="175"/>
      <c r="R220" s="175"/>
      <c r="S220" s="175"/>
      <c r="T220" s="175"/>
      <c r="U220" s="175"/>
      <c r="V220" s="175"/>
      <c r="W220" s="175"/>
      <c r="X220" s="175"/>
      <c r="Y220" s="175"/>
      <c r="Z220" s="175"/>
      <c r="AA220" s="175"/>
      <c r="AB220" s="175"/>
      <c r="AC220" s="175"/>
      <c r="AD220" s="175"/>
      <c r="AE220" s="175"/>
      <c r="AF220" s="175"/>
      <c r="AG220" s="175"/>
      <c r="AH220" s="175"/>
      <c r="AI220" s="175"/>
      <c r="AJ220" s="175"/>
      <c r="AK220" s="175"/>
      <c r="AL220" s="175"/>
      <c r="AM220" s="175"/>
      <c r="AN220" s="175"/>
      <c r="AO220" s="175"/>
      <c r="AP220" s="175"/>
      <c r="AQ220" s="175"/>
      <c r="AR220" s="175"/>
      <c r="AS220" s="175"/>
      <c r="AT220" s="175"/>
      <c r="AU220" s="175"/>
      <c r="AV220" s="175"/>
      <c r="AW220" s="175"/>
    </row>
    <row r="221" spans="1:126" x14ac:dyDescent="0.3">
      <c r="B221" s="175"/>
      <c r="C221" s="175"/>
      <c r="D221" s="175"/>
      <c r="E221" s="175"/>
      <c r="F221" s="175"/>
      <c r="G221" s="175"/>
      <c r="H221" s="175"/>
      <c r="I221" s="175"/>
      <c r="J221" s="175"/>
      <c r="K221" s="175"/>
      <c r="L221" s="175"/>
      <c r="M221" s="175"/>
      <c r="N221" s="175"/>
      <c r="O221" s="175"/>
      <c r="P221" s="175"/>
      <c r="Q221" s="175"/>
      <c r="R221" s="175"/>
      <c r="S221" s="175"/>
      <c r="T221" s="175"/>
      <c r="U221" s="175"/>
      <c r="V221" s="175"/>
      <c r="W221" s="175"/>
      <c r="X221" s="175"/>
      <c r="Y221" s="175"/>
      <c r="Z221" s="175"/>
      <c r="AA221" s="175"/>
      <c r="AB221" s="175"/>
      <c r="AC221" s="175"/>
      <c r="AD221" s="175"/>
      <c r="AE221" s="175"/>
      <c r="AF221" s="175"/>
      <c r="AG221" s="175"/>
      <c r="AH221" s="175"/>
      <c r="AI221" s="175"/>
      <c r="AJ221" s="175"/>
      <c r="AK221" s="175"/>
      <c r="AL221" s="175"/>
      <c r="AM221" s="175"/>
      <c r="AN221" s="175"/>
      <c r="AO221" s="175"/>
      <c r="AP221" s="175"/>
      <c r="AQ221" s="175"/>
      <c r="AR221" s="175"/>
      <c r="AS221" s="175"/>
      <c r="AT221" s="175"/>
      <c r="AU221" s="175"/>
      <c r="AV221" s="175"/>
      <c r="AW221" s="175"/>
    </row>
    <row r="222" spans="1:126" x14ac:dyDescent="0.3">
      <c r="A222" s="175" t="s">
        <v>1140</v>
      </c>
      <c r="B222" s="175"/>
      <c r="C222" s="175"/>
      <c r="D222" s="175"/>
      <c r="E222" s="175"/>
      <c r="F222" s="175"/>
      <c r="G222" s="175"/>
      <c r="H222" s="175"/>
      <c r="I222" s="175"/>
      <c r="J222" s="175"/>
      <c r="K222" s="175"/>
      <c r="L222" s="175"/>
      <c r="M222" s="175"/>
      <c r="N222" s="175"/>
      <c r="O222" s="175"/>
      <c r="P222" s="175"/>
      <c r="Q222" s="175"/>
      <c r="R222" s="175"/>
      <c r="S222" s="175"/>
      <c r="T222" s="175"/>
      <c r="U222" s="175"/>
      <c r="V222" s="175"/>
      <c r="W222" s="175"/>
      <c r="X222" s="175"/>
      <c r="Y222" s="175"/>
      <c r="Z222" s="175"/>
      <c r="AA222" s="175"/>
      <c r="AB222" s="175"/>
      <c r="AC222" s="175"/>
      <c r="AD222" s="175"/>
      <c r="AE222" s="175"/>
      <c r="AF222" s="175"/>
      <c r="AG222" s="175"/>
      <c r="AH222" s="175"/>
      <c r="AI222" s="175"/>
      <c r="AJ222" s="175"/>
      <c r="AK222" s="175"/>
      <c r="AL222" s="175"/>
      <c r="AM222" s="175"/>
      <c r="AN222" s="175"/>
      <c r="AO222" s="175"/>
      <c r="AP222" s="175"/>
      <c r="AQ222" s="175"/>
      <c r="AR222" s="175"/>
      <c r="AS222" s="175"/>
      <c r="AT222" s="175"/>
      <c r="AU222" s="175"/>
      <c r="AV222" s="175"/>
      <c r="AW222" s="175"/>
    </row>
    <row r="223" spans="1:126" x14ac:dyDescent="0.3">
      <c r="A223" s="1641" t="s">
        <v>1045</v>
      </c>
      <c r="B223" s="175"/>
      <c r="C223" s="175"/>
      <c r="D223" s="175"/>
      <c r="E223" s="175"/>
      <c r="F223" s="175"/>
      <c r="G223" s="175"/>
      <c r="H223" s="175"/>
      <c r="I223" s="175"/>
      <c r="J223" s="175"/>
      <c r="K223" s="175"/>
      <c r="L223" s="175"/>
      <c r="M223" s="175"/>
      <c r="N223" s="175"/>
      <c r="O223" s="175"/>
      <c r="P223" s="175"/>
      <c r="Q223" s="175"/>
      <c r="R223" s="175"/>
      <c r="S223" s="175"/>
      <c r="T223" s="175"/>
      <c r="U223" s="175"/>
      <c r="V223" s="175"/>
      <c r="W223" s="175"/>
      <c r="X223" s="175"/>
      <c r="Y223" s="175"/>
      <c r="Z223" s="175"/>
      <c r="AA223" s="175"/>
      <c r="AB223" s="175"/>
      <c r="AC223" s="175"/>
      <c r="AD223" s="175"/>
      <c r="AE223" s="175"/>
      <c r="AF223" s="175"/>
      <c r="AG223" s="175"/>
      <c r="AH223" s="175"/>
      <c r="AI223" s="175"/>
      <c r="AJ223" s="175"/>
      <c r="AK223" s="175"/>
      <c r="AL223" s="175"/>
      <c r="AM223" s="175"/>
      <c r="AN223" s="175"/>
      <c r="AO223" s="175"/>
      <c r="AP223" s="175"/>
      <c r="AQ223" s="175"/>
      <c r="AR223" s="175"/>
      <c r="AS223" s="175"/>
      <c r="AT223" s="175"/>
      <c r="AU223" s="175"/>
      <c r="AV223" s="175"/>
      <c r="AW223" s="175"/>
    </row>
    <row r="224" spans="1:126" x14ac:dyDescent="0.3">
      <c r="A224" s="1641" t="s">
        <v>1051</v>
      </c>
    </row>
    <row r="225" spans="1:1" x14ac:dyDescent="0.3">
      <c r="A225" s="1641" t="s">
        <v>1057</v>
      </c>
    </row>
    <row r="226" spans="1:1" x14ac:dyDescent="0.3">
      <c r="A226" s="1641" t="s">
        <v>1063</v>
      </c>
    </row>
    <row r="228" spans="1:1" x14ac:dyDescent="0.3">
      <c r="A228" s="175" t="s">
        <v>1139</v>
      </c>
    </row>
    <row r="229" spans="1:1" x14ac:dyDescent="0.3">
      <c r="A229" s="1645" t="s">
        <v>1081</v>
      </c>
    </row>
    <row r="230" spans="1:1" x14ac:dyDescent="0.3">
      <c r="A230" s="1645" t="s">
        <v>1129</v>
      </c>
    </row>
    <row r="231" spans="1:1" x14ac:dyDescent="0.3">
      <c r="A231" s="1645" t="s">
        <v>1598</v>
      </c>
    </row>
    <row r="232" spans="1:1" x14ac:dyDescent="0.3">
      <c r="A232" s="1645" t="s">
        <v>1599</v>
      </c>
    </row>
    <row r="233" spans="1:1" x14ac:dyDescent="0.3">
      <c r="A233" s="1645" t="s">
        <v>1600</v>
      </c>
    </row>
    <row r="234" spans="1:1" x14ac:dyDescent="0.3">
      <c r="A234" s="1645" t="s">
        <v>1601</v>
      </c>
    </row>
    <row r="235" spans="1:1" x14ac:dyDescent="0.3">
      <c r="A235" s="1645" t="s">
        <v>1602</v>
      </c>
    </row>
    <row r="236" spans="1:1" x14ac:dyDescent="0.3">
      <c r="A236" s="1645" t="s">
        <v>1603</v>
      </c>
    </row>
    <row r="237" spans="1:1" x14ac:dyDescent="0.3">
      <c r="A237" s="1645" t="s">
        <v>1604</v>
      </c>
    </row>
    <row r="238" spans="1:1" x14ac:dyDescent="0.3">
      <c r="A238" s="1645" t="s">
        <v>1605</v>
      </c>
    </row>
  </sheetData>
  <dataConsolidate/>
  <mergeCells count="211">
    <mergeCell ref="AI8:AJ9"/>
    <mergeCell ref="AK8:AL9"/>
    <mergeCell ref="W9:X9"/>
    <mergeCell ref="Y9:Z9"/>
    <mergeCell ref="AA9:AB9"/>
    <mergeCell ref="AC9:AD9"/>
    <mergeCell ref="AG9:AH9"/>
    <mergeCell ref="B31:B38"/>
    <mergeCell ref="B202:C202"/>
    <mergeCell ref="AE199:AF200"/>
    <mergeCell ref="AG199:AH200"/>
    <mergeCell ref="G200:H200"/>
    <mergeCell ref="I200:J200"/>
    <mergeCell ref="K200:L200"/>
    <mergeCell ref="M200:N200"/>
    <mergeCell ref="O200:P200"/>
    <mergeCell ref="Q200:R200"/>
    <mergeCell ref="S200:T200"/>
    <mergeCell ref="U200:V200"/>
    <mergeCell ref="W200:X200"/>
    <mergeCell ref="Y200:Z200"/>
    <mergeCell ref="B154:C154"/>
    <mergeCell ref="B171:C171"/>
    <mergeCell ref="D199:F200"/>
    <mergeCell ref="B203:B205"/>
    <mergeCell ref="B206:B212"/>
    <mergeCell ref="B213:C213"/>
    <mergeCell ref="B166:C166"/>
    <mergeCell ref="B155:C155"/>
    <mergeCell ref="B173:C173"/>
    <mergeCell ref="B182:C182"/>
    <mergeCell ref="B164:C164"/>
    <mergeCell ref="B158:C158"/>
    <mergeCell ref="B163:C163"/>
    <mergeCell ref="B184:C184"/>
    <mergeCell ref="B185:C185"/>
    <mergeCell ref="B186:C186"/>
    <mergeCell ref="B187:C187"/>
    <mergeCell ref="B165:C165"/>
    <mergeCell ref="B179:C179"/>
    <mergeCell ref="B180:C180"/>
    <mergeCell ref="B199:C201"/>
    <mergeCell ref="B194:C194"/>
    <mergeCell ref="B195:C195"/>
    <mergeCell ref="B196:C196"/>
    <mergeCell ref="B197:C197"/>
    <mergeCell ref="B183:C183"/>
    <mergeCell ref="B169:C169"/>
    <mergeCell ref="G199:Z199"/>
    <mergeCell ref="AA199:AB200"/>
    <mergeCell ref="AC199:AD200"/>
    <mergeCell ref="B189:C189"/>
    <mergeCell ref="B156:C156"/>
    <mergeCell ref="B157:C157"/>
    <mergeCell ref="B181:C181"/>
    <mergeCell ref="B160:C160"/>
    <mergeCell ref="B175:C175"/>
    <mergeCell ref="B188:C188"/>
    <mergeCell ref="B159:C159"/>
    <mergeCell ref="B174:C174"/>
    <mergeCell ref="B178:C178"/>
    <mergeCell ref="D191:F192"/>
    <mergeCell ref="B177:C177"/>
    <mergeCell ref="B168:C168"/>
    <mergeCell ref="B170:C170"/>
    <mergeCell ref="B191:C193"/>
    <mergeCell ref="B172:C172"/>
    <mergeCell ref="B176:C176"/>
    <mergeCell ref="AS191:AT192"/>
    <mergeCell ref="AU191:AV192"/>
    <mergeCell ref="G192:H192"/>
    <mergeCell ref="I192:J192"/>
    <mergeCell ref="K192:L192"/>
    <mergeCell ref="M192:N192"/>
    <mergeCell ref="O192:P192"/>
    <mergeCell ref="Q192:R192"/>
    <mergeCell ref="S192:T192"/>
    <mergeCell ref="U192:V192"/>
    <mergeCell ref="W192:X192"/>
    <mergeCell ref="Y192:Z192"/>
    <mergeCell ref="AA192:AB192"/>
    <mergeCell ref="AC192:AD192"/>
    <mergeCell ref="AE192:AF192"/>
    <mergeCell ref="AG192:AH192"/>
    <mergeCell ref="AI192:AJ192"/>
    <mergeCell ref="AK192:AL192"/>
    <mergeCell ref="AM192:AN192"/>
    <mergeCell ref="AO192:AP192"/>
    <mergeCell ref="AQ192:AR192"/>
    <mergeCell ref="G191:AR191"/>
    <mergeCell ref="B145:C145"/>
    <mergeCell ref="B162:C162"/>
    <mergeCell ref="B131:C131"/>
    <mergeCell ref="D113:D114"/>
    <mergeCell ref="B120:C120"/>
    <mergeCell ref="B123:C123"/>
    <mergeCell ref="D118:D119"/>
    <mergeCell ref="B122:C122"/>
    <mergeCell ref="B118:C119"/>
    <mergeCell ref="B116:C116"/>
    <mergeCell ref="D127:F128"/>
    <mergeCell ref="B161:C161"/>
    <mergeCell ref="B115:C115"/>
    <mergeCell ref="B113:C114"/>
    <mergeCell ref="B125:C125"/>
    <mergeCell ref="B134:C134"/>
    <mergeCell ref="B153:C153"/>
    <mergeCell ref="B124:C124"/>
    <mergeCell ref="B121:C121"/>
    <mergeCell ref="B127:C129"/>
    <mergeCell ref="B130:C130"/>
    <mergeCell ref="B148:C148"/>
    <mergeCell ref="B147:C147"/>
    <mergeCell ref="B149:C149"/>
    <mergeCell ref="B150:C150"/>
    <mergeCell ref="B151:C151"/>
    <mergeCell ref="B152:C152"/>
    <mergeCell ref="B142:C144"/>
    <mergeCell ref="B167:C167"/>
    <mergeCell ref="B74:U74"/>
    <mergeCell ref="N106:N107"/>
    <mergeCell ref="O106:O107"/>
    <mergeCell ref="B84:B90"/>
    <mergeCell ref="B77:B83"/>
    <mergeCell ref="M106:M107"/>
    <mergeCell ref="H106:H107"/>
    <mergeCell ref="G106:G107"/>
    <mergeCell ref="B91:B97"/>
    <mergeCell ref="B106:C107"/>
    <mergeCell ref="D106:D107"/>
    <mergeCell ref="J106:J107"/>
    <mergeCell ref="B98:B104"/>
    <mergeCell ref="B132:C132"/>
    <mergeCell ref="L106:L107"/>
    <mergeCell ref="I106:I107"/>
    <mergeCell ref="K106:K107"/>
    <mergeCell ref="D136:D137"/>
    <mergeCell ref="B108:B111"/>
    <mergeCell ref="O42:P42"/>
    <mergeCell ref="B53:B59"/>
    <mergeCell ref="B60:B63"/>
    <mergeCell ref="S42:T42"/>
    <mergeCell ref="B41:C43"/>
    <mergeCell ref="Q42:R42"/>
    <mergeCell ref="I42:J42"/>
    <mergeCell ref="K42:L42"/>
    <mergeCell ref="M42:N42"/>
    <mergeCell ref="G41:T41"/>
    <mergeCell ref="B44:C44"/>
    <mergeCell ref="B45:B52"/>
    <mergeCell ref="D41:F42"/>
    <mergeCell ref="G42:H42"/>
    <mergeCell ref="B40:N40"/>
    <mergeCell ref="B18:B23"/>
    <mergeCell ref="B11:C11"/>
    <mergeCell ref="B12:B17"/>
    <mergeCell ref="B24:B30"/>
    <mergeCell ref="B6:Y6"/>
    <mergeCell ref="Q9:R9"/>
    <mergeCell ref="S9:T9"/>
    <mergeCell ref="I9:J9"/>
    <mergeCell ref="K9:L9"/>
    <mergeCell ref="M9:N9"/>
    <mergeCell ref="B8:C10"/>
    <mergeCell ref="G9:H9"/>
    <mergeCell ref="O9:P9"/>
    <mergeCell ref="D8:F9"/>
    <mergeCell ref="U9:V9"/>
    <mergeCell ref="B39:C39"/>
    <mergeCell ref="B136:C137"/>
    <mergeCell ref="AU142:AV143"/>
    <mergeCell ref="AI143:AJ143"/>
    <mergeCell ref="AO143:AP143"/>
    <mergeCell ref="AQ143:AR143"/>
    <mergeCell ref="AG143:AH143"/>
    <mergeCell ref="U143:V143"/>
    <mergeCell ref="W143:X143"/>
    <mergeCell ref="Y143:Z143"/>
    <mergeCell ref="AA143:AB143"/>
    <mergeCell ref="AC143:AD143"/>
    <mergeCell ref="AE143:AF143"/>
    <mergeCell ref="AK143:AL143"/>
    <mergeCell ref="AM143:AN143"/>
    <mergeCell ref="G142:AR142"/>
    <mergeCell ref="AS142:AT143"/>
    <mergeCell ref="Q143:R143"/>
    <mergeCell ref="S143:T143"/>
    <mergeCell ref="B133:C133"/>
    <mergeCell ref="D142:F143"/>
    <mergeCell ref="B76:C76"/>
    <mergeCell ref="E136:J136"/>
    <mergeCell ref="AE9:AF9"/>
    <mergeCell ref="G8:AH8"/>
    <mergeCell ref="B73:C73"/>
    <mergeCell ref="B64:B72"/>
    <mergeCell ref="B146:C146"/>
    <mergeCell ref="K128:L128"/>
    <mergeCell ref="G143:H143"/>
    <mergeCell ref="I143:J143"/>
    <mergeCell ref="K143:L143"/>
    <mergeCell ref="M143:N143"/>
    <mergeCell ref="O143:P143"/>
    <mergeCell ref="G127:L127"/>
    <mergeCell ref="M127:M129"/>
    <mergeCell ref="G128:H128"/>
    <mergeCell ref="I128:J128"/>
    <mergeCell ref="F106:F107"/>
    <mergeCell ref="E106:E107"/>
    <mergeCell ref="B140:C140"/>
    <mergeCell ref="B139:C139"/>
    <mergeCell ref="B138:C138"/>
  </mergeCells>
  <phoneticPr fontId="36" type="noConversion"/>
  <dataValidations count="2">
    <dataValidation allowBlank="1" showInputMessage="1" showErrorMessage="1" errorTitle="Error de ingreso" error="Debe ingresar sólo números enteros positivos." sqref="B219:C220 AM11:AM39" xr:uid="{00000000-0002-0000-0200-000000000000}"/>
    <dataValidation type="whole" operator="greaterThanOrEqual" allowBlank="1" showInputMessage="1" showErrorMessage="1" sqref="G44:T73 E77:H104 E108:L110 M109:O110 N108:O108 D115:D116 D120:D124 G130:M133 E138:J139 G203:AJ213 G195:AV197 G145:AV189 G39:AL39 G11:AL30 I31:AL38 AI202" xr:uid="{00000000-0002-0000-0200-000001000000}">
      <formula1>0</formula1>
    </dataValidation>
  </dataValidations>
  <pageMargins left="0.7" right="0.7" top="0.75" bottom="0.75" header="0.3" footer="0.3"/>
  <pageSetup orientation="portrait" r:id="rId1"/>
  <ignoredErrors>
    <ignoredError sqref="AJ14:AK14" formulaRange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S89"/>
  <sheetViews>
    <sheetView showGridLines="0" zoomScaleNormal="100" workbookViewId="0"/>
  </sheetViews>
  <sheetFormatPr baseColWidth="10" defaultColWidth="11.44140625" defaultRowHeight="14.4" x14ac:dyDescent="0.3"/>
  <cols>
    <col min="1" max="1" width="15.5546875" style="175" customWidth="1"/>
    <col min="2" max="3" width="33.5546875" style="175" customWidth="1"/>
    <col min="4" max="4" width="16.88671875" style="175" customWidth="1"/>
    <col min="5" max="5" width="14.33203125" style="175" customWidth="1"/>
    <col min="6" max="6" width="12.88671875" style="175" customWidth="1"/>
    <col min="7" max="7" width="13.88671875" style="175" customWidth="1"/>
    <col min="8" max="8" width="12.88671875" style="175" customWidth="1"/>
    <col min="9" max="9" width="12.5546875" style="175" customWidth="1"/>
    <col min="10" max="12" width="12.88671875" style="175" customWidth="1"/>
    <col min="13" max="13" width="10.5546875" style="175" customWidth="1"/>
    <col min="14" max="40" width="9.88671875" style="175" customWidth="1"/>
    <col min="41" max="41" width="11.44140625" style="175"/>
    <col min="42" max="42" width="11.44140625" style="55"/>
    <col min="43" max="43" width="11.44140625" style="175"/>
    <col min="44" max="46" width="11.33203125" style="175" customWidth="1"/>
    <col min="47" max="51" width="11.44140625" style="175" customWidth="1"/>
    <col min="52" max="52" width="11" style="175" customWidth="1"/>
    <col min="53" max="53" width="11" style="291" customWidth="1"/>
    <col min="54" max="68" width="11.44140625" style="960" customWidth="1"/>
    <col min="69" max="69" width="11" style="291" customWidth="1"/>
    <col min="70" max="70" width="11" style="175" customWidth="1"/>
    <col min="71" max="79" width="11.44140625" style="175" customWidth="1"/>
    <col min="80" max="94" width="11" style="175" hidden="1" customWidth="1"/>
    <col min="95" max="97" width="11.44140625" style="175" hidden="1" customWidth="1"/>
    <col min="98" max="131" width="11.44140625" style="175" customWidth="1"/>
    <col min="132" max="16384" width="11.44140625" style="175"/>
  </cols>
  <sheetData>
    <row r="1" spans="1:96" s="55" customFormat="1" ht="13.5" customHeight="1" x14ac:dyDescent="0.2">
      <c r="B1" s="120" t="s">
        <v>0</v>
      </c>
      <c r="BA1" s="307"/>
      <c r="BQ1" s="307"/>
      <c r="CB1" s="306"/>
      <c r="CC1" s="306"/>
      <c r="CD1" s="306"/>
      <c r="CE1" s="306"/>
      <c r="CF1" s="306"/>
      <c r="CG1" s="306"/>
      <c r="CH1" s="306"/>
      <c r="CI1" s="306"/>
      <c r="CJ1" s="306"/>
      <c r="CK1" s="306"/>
      <c r="CL1" s="306"/>
      <c r="CM1" s="306"/>
      <c r="CN1" s="306"/>
      <c r="CO1" s="306"/>
      <c r="CP1" s="306"/>
    </row>
    <row r="2" spans="1:96" s="55" customFormat="1" ht="13.5" customHeight="1" x14ac:dyDescent="0.2">
      <c r="B2" s="120" t="str">
        <f>CONCATENATE("COMUNA: ",NOMBRE!$B$2," - ","( ",NOMBRE!$C$2,NOMBRE!$D$2,NOMBRE!$E$2,NOMBRE!$F$2,NOMBRE!$G$2," )")</f>
        <v>COMUNA:  - (  )</v>
      </c>
      <c r="BA2" s="307"/>
      <c r="BQ2" s="307"/>
      <c r="CB2" s="306"/>
      <c r="CC2" s="306"/>
      <c r="CD2" s="306"/>
      <c r="CE2" s="306"/>
      <c r="CF2" s="306"/>
      <c r="CG2" s="306"/>
      <c r="CH2" s="306"/>
      <c r="CI2" s="306"/>
      <c r="CJ2" s="306"/>
      <c r="CK2" s="306"/>
      <c r="CL2" s="306"/>
      <c r="CM2" s="306"/>
      <c r="CN2" s="306"/>
      <c r="CO2" s="306"/>
      <c r="CP2" s="306"/>
    </row>
    <row r="3" spans="1:96" s="55" customFormat="1" ht="13.5" customHeight="1" x14ac:dyDescent="0.2">
      <c r="B3" s="120" t="str">
        <f>CONCATENATE("ESTABLECIMIENTO/ESTRATEGIA: ",NOMBRE!$B$3," - ","( ",NOMBRE!$C$3,NOMBRE!$D$3,NOMBRE!$E$3,NOMBRE!$F$3,NOMBRE!$G$3,NOMBRE!$H$3," )")</f>
        <v>ESTABLECIMIENTO/ESTRATEGIA:  - (  )</v>
      </c>
      <c r="E3" s="121"/>
      <c r="BA3" s="307"/>
      <c r="BQ3" s="307"/>
      <c r="CB3" s="306"/>
      <c r="CC3" s="306"/>
      <c r="CD3" s="306"/>
      <c r="CE3" s="306"/>
      <c r="CF3" s="306"/>
      <c r="CG3" s="306"/>
      <c r="CH3" s="306"/>
      <c r="CI3" s="306"/>
      <c r="CJ3" s="306"/>
      <c r="CK3" s="306"/>
      <c r="CL3" s="306"/>
      <c r="CM3" s="306"/>
      <c r="CN3" s="306"/>
      <c r="CO3" s="306"/>
      <c r="CP3" s="306"/>
    </row>
    <row r="4" spans="1:96" s="55" customFormat="1" ht="13.5" customHeight="1" x14ac:dyDescent="0.2">
      <c r="B4" s="120" t="str">
        <f>CONCATENATE("MES: ",NOMBRE!$B$6," - ","( ",NOMBRE!$C$6,NOMBRE!$D$6," )")</f>
        <v>MES:  - (  )</v>
      </c>
      <c r="BA4" s="307"/>
      <c r="BQ4" s="307"/>
      <c r="CB4" s="306"/>
      <c r="CC4" s="306"/>
      <c r="CD4" s="306"/>
      <c r="CE4" s="306"/>
      <c r="CF4" s="306"/>
      <c r="CG4" s="306"/>
      <c r="CH4" s="306"/>
      <c r="CI4" s="306"/>
      <c r="CJ4" s="306"/>
      <c r="CK4" s="306"/>
      <c r="CL4" s="306"/>
      <c r="CM4" s="306"/>
      <c r="CN4" s="306"/>
      <c r="CO4" s="306"/>
      <c r="CP4" s="306"/>
    </row>
    <row r="5" spans="1:96" s="55" customFormat="1" ht="13.5" customHeight="1" x14ac:dyDescent="0.2">
      <c r="B5" s="120" t="str">
        <f>CONCATENATE("AÑO: ",NOMBRE!$B$7)</f>
        <v>AÑO: 2023</v>
      </c>
      <c r="BA5" s="307"/>
      <c r="BQ5" s="307"/>
      <c r="CB5" s="306"/>
      <c r="CC5" s="306"/>
      <c r="CD5" s="306"/>
      <c r="CE5" s="306"/>
      <c r="CF5" s="306"/>
      <c r="CG5" s="306"/>
      <c r="CH5" s="306"/>
      <c r="CI5" s="306"/>
      <c r="CJ5" s="306"/>
      <c r="CK5" s="306"/>
      <c r="CL5" s="306"/>
      <c r="CM5" s="306"/>
      <c r="CN5" s="306"/>
      <c r="CO5" s="306"/>
      <c r="CP5" s="306"/>
    </row>
    <row r="6" spans="1:96" s="55" customFormat="1" ht="15" customHeight="1" x14ac:dyDescent="0.2">
      <c r="B6" s="120"/>
      <c r="BA6" s="307"/>
      <c r="BQ6" s="307"/>
      <c r="CB6" s="306"/>
      <c r="CC6" s="306"/>
      <c r="CD6" s="306"/>
      <c r="CE6" s="306"/>
      <c r="CF6" s="306"/>
      <c r="CG6" s="306"/>
      <c r="CH6" s="306"/>
      <c r="CI6" s="306"/>
      <c r="CJ6" s="306"/>
      <c r="CK6" s="306"/>
      <c r="CL6" s="306"/>
      <c r="CM6" s="306"/>
      <c r="CN6" s="306"/>
      <c r="CO6" s="306"/>
      <c r="CP6" s="306"/>
    </row>
    <row r="7" spans="1:96" ht="21.75" customHeight="1" x14ac:dyDescent="0.3">
      <c r="B7" s="2109" t="s">
        <v>530</v>
      </c>
      <c r="C7" s="2109"/>
      <c r="D7" s="2109"/>
      <c r="E7" s="2109"/>
      <c r="F7" s="2109"/>
      <c r="G7" s="2109"/>
      <c r="H7" s="2109"/>
      <c r="I7" s="2109"/>
      <c r="J7" s="2109"/>
      <c r="K7" s="2109"/>
      <c r="L7" s="2109"/>
      <c r="M7" s="2109"/>
      <c r="N7" s="2109"/>
      <c r="O7" s="2109"/>
      <c r="P7" s="2109"/>
      <c r="Q7" s="2109"/>
      <c r="R7" s="2109"/>
      <c r="S7" s="2109"/>
      <c r="T7" s="2109"/>
      <c r="U7" s="2109"/>
      <c r="V7" s="2109"/>
      <c r="W7" s="2109"/>
      <c r="X7" s="2109"/>
      <c r="Y7" s="2109"/>
      <c r="Z7" s="2109"/>
    </row>
    <row r="8" spans="1:96" ht="43.5" customHeight="1" x14ac:dyDescent="0.3">
      <c r="B8" s="432" t="s">
        <v>556</v>
      </c>
      <c r="C8" s="432"/>
      <c r="D8" s="431"/>
      <c r="E8" s="122"/>
      <c r="F8" s="122"/>
      <c r="G8" s="122"/>
      <c r="H8" s="122"/>
      <c r="I8" s="122"/>
      <c r="J8" s="122"/>
      <c r="K8" s="122"/>
      <c r="L8" s="123"/>
      <c r="M8" s="122"/>
      <c r="N8" s="122"/>
      <c r="O8" s="124"/>
      <c r="P8" s="124"/>
      <c r="AD8" s="355"/>
    </row>
    <row r="9" spans="1:96" ht="18.75" customHeight="1" x14ac:dyDescent="0.3">
      <c r="B9" s="2110" t="s">
        <v>125</v>
      </c>
      <c r="C9" s="2110"/>
      <c r="D9" s="1978" t="s">
        <v>13</v>
      </c>
      <c r="E9" s="1979"/>
      <c r="F9" s="1980"/>
      <c r="G9" s="2119" t="s">
        <v>126</v>
      </c>
      <c r="H9" s="2119"/>
      <c r="I9" s="2119"/>
      <c r="J9" s="2119"/>
      <c r="K9" s="2119"/>
      <c r="L9" s="2119"/>
      <c r="M9" s="2119"/>
      <c r="N9" s="2119"/>
      <c r="O9" s="2119"/>
      <c r="P9" s="2119"/>
      <c r="Q9" s="2119"/>
      <c r="R9" s="2119"/>
      <c r="S9" s="2119"/>
      <c r="T9" s="2119"/>
      <c r="U9" s="2119"/>
      <c r="V9" s="2119"/>
      <c r="W9" s="2119"/>
      <c r="X9" s="2119"/>
      <c r="Y9" s="2119"/>
      <c r="Z9" s="2119"/>
      <c r="AA9" s="2119"/>
      <c r="AB9" s="2119"/>
      <c r="AC9" s="2119"/>
      <c r="AD9" s="2119"/>
      <c r="AE9" s="2119"/>
      <c r="AF9" s="2119"/>
      <c r="AG9" s="2119"/>
      <c r="AH9" s="2119"/>
      <c r="AI9" s="2119"/>
      <c r="AJ9" s="2119"/>
      <c r="AK9" s="2119"/>
      <c r="AL9" s="2119"/>
      <c r="AM9" s="2119"/>
      <c r="AN9" s="2148"/>
      <c r="AO9" s="2159" t="s">
        <v>127</v>
      </c>
      <c r="AP9" s="2103" t="s">
        <v>15</v>
      </c>
      <c r="AQ9" s="2104"/>
      <c r="AR9" s="2155" t="s">
        <v>685</v>
      </c>
      <c r="AS9" s="2156"/>
    </row>
    <row r="10" spans="1:96" ht="20.25" customHeight="1" x14ac:dyDescent="0.3">
      <c r="B10" s="2111"/>
      <c r="C10" s="2111"/>
      <c r="D10" s="1981"/>
      <c r="E10" s="1982"/>
      <c r="F10" s="1983"/>
      <c r="G10" s="2100" t="s">
        <v>206</v>
      </c>
      <c r="H10" s="2113"/>
      <c r="I10" s="2100" t="s">
        <v>207</v>
      </c>
      <c r="J10" s="2113"/>
      <c r="K10" s="2100" t="s">
        <v>128</v>
      </c>
      <c r="L10" s="2113"/>
      <c r="M10" s="2112" t="s">
        <v>17</v>
      </c>
      <c r="N10" s="2112"/>
      <c r="O10" s="2112" t="s">
        <v>18</v>
      </c>
      <c r="P10" s="2112"/>
      <c r="Q10" s="2112" t="s">
        <v>19</v>
      </c>
      <c r="R10" s="2112"/>
      <c r="S10" s="2114" t="s">
        <v>20</v>
      </c>
      <c r="T10" s="2115"/>
      <c r="U10" s="2112" t="s">
        <v>21</v>
      </c>
      <c r="V10" s="2112"/>
      <c r="W10" s="2114" t="s">
        <v>22</v>
      </c>
      <c r="X10" s="2115"/>
      <c r="Y10" s="2112" t="s">
        <v>23</v>
      </c>
      <c r="Z10" s="2112"/>
      <c r="AA10" s="2114" t="s">
        <v>24</v>
      </c>
      <c r="AB10" s="2115"/>
      <c r="AC10" s="2112" t="s">
        <v>208</v>
      </c>
      <c r="AD10" s="2112"/>
      <c r="AE10" s="2114" t="s">
        <v>209</v>
      </c>
      <c r="AF10" s="2115"/>
      <c r="AG10" s="2117" t="s">
        <v>181</v>
      </c>
      <c r="AH10" s="2118"/>
      <c r="AI10" s="2117" t="s">
        <v>182</v>
      </c>
      <c r="AJ10" s="2118"/>
      <c r="AK10" s="2117" t="s">
        <v>183</v>
      </c>
      <c r="AL10" s="2118"/>
      <c r="AM10" s="2117" t="s">
        <v>195</v>
      </c>
      <c r="AN10" s="2162"/>
      <c r="AO10" s="2160"/>
      <c r="AP10" s="2105"/>
      <c r="AQ10" s="2106"/>
      <c r="AR10" s="2157"/>
      <c r="AS10" s="2158"/>
    </row>
    <row r="11" spans="1:96" ht="44.25" customHeight="1" x14ac:dyDescent="0.3">
      <c r="B11" s="2111"/>
      <c r="C11" s="2111"/>
      <c r="D11" s="125" t="s">
        <v>93</v>
      </c>
      <c r="E11" s="126" t="s">
        <v>31</v>
      </c>
      <c r="F11" s="127" t="s">
        <v>94</v>
      </c>
      <c r="G11" s="128" t="s">
        <v>31</v>
      </c>
      <c r="H11" s="127" t="s">
        <v>94</v>
      </c>
      <c r="I11" s="128" t="s">
        <v>31</v>
      </c>
      <c r="J11" s="127" t="s">
        <v>94</v>
      </c>
      <c r="K11" s="128" t="s">
        <v>31</v>
      </c>
      <c r="L11" s="127" t="s">
        <v>94</v>
      </c>
      <c r="M11" s="129" t="s">
        <v>31</v>
      </c>
      <c r="N11" s="130" t="s">
        <v>94</v>
      </c>
      <c r="O11" s="129" t="s">
        <v>31</v>
      </c>
      <c r="P11" s="130" t="s">
        <v>94</v>
      </c>
      <c r="Q11" s="129" t="s">
        <v>31</v>
      </c>
      <c r="R11" s="130" t="s">
        <v>94</v>
      </c>
      <c r="S11" s="356" t="s">
        <v>31</v>
      </c>
      <c r="T11" s="357" t="s">
        <v>94</v>
      </c>
      <c r="U11" s="129" t="s">
        <v>31</v>
      </c>
      <c r="V11" s="130" t="s">
        <v>94</v>
      </c>
      <c r="W11" s="356" t="s">
        <v>31</v>
      </c>
      <c r="X11" s="357" t="s">
        <v>94</v>
      </c>
      <c r="Y11" s="129" t="s">
        <v>31</v>
      </c>
      <c r="Z11" s="130" t="s">
        <v>94</v>
      </c>
      <c r="AA11" s="356" t="s">
        <v>31</v>
      </c>
      <c r="AB11" s="357" t="s">
        <v>94</v>
      </c>
      <c r="AC11" s="129" t="s">
        <v>31</v>
      </c>
      <c r="AD11" s="130" t="s">
        <v>94</v>
      </c>
      <c r="AE11" s="356" t="s">
        <v>31</v>
      </c>
      <c r="AF11" s="357" t="s">
        <v>94</v>
      </c>
      <c r="AG11" s="131" t="s">
        <v>129</v>
      </c>
      <c r="AH11" s="132" t="s">
        <v>94</v>
      </c>
      <c r="AI11" s="131" t="s">
        <v>129</v>
      </c>
      <c r="AJ11" s="132" t="s">
        <v>94</v>
      </c>
      <c r="AK11" s="131" t="s">
        <v>129</v>
      </c>
      <c r="AL11" s="132" t="s">
        <v>94</v>
      </c>
      <c r="AM11" s="131" t="s">
        <v>129</v>
      </c>
      <c r="AN11" s="133" t="s">
        <v>94</v>
      </c>
      <c r="AO11" s="2161"/>
      <c r="AP11" s="1251" t="s">
        <v>129</v>
      </c>
      <c r="AQ11" s="1252" t="s">
        <v>94</v>
      </c>
      <c r="AR11" s="172" t="s">
        <v>129</v>
      </c>
      <c r="AS11" s="132" t="s">
        <v>94</v>
      </c>
    </row>
    <row r="12" spans="1:96" ht="15" customHeight="1" x14ac:dyDescent="0.3">
      <c r="A12" s="1637" t="s">
        <v>1141</v>
      </c>
      <c r="B12" s="2121" t="s">
        <v>130</v>
      </c>
      <c r="C12" s="905" t="s">
        <v>112</v>
      </c>
      <c r="D12" s="663" t="s">
        <v>1550</v>
      </c>
      <c r="E12" s="678" t="s">
        <v>1551</v>
      </c>
      <c r="F12" s="679" t="s">
        <v>1552</v>
      </c>
      <c r="G12" s="680" t="s">
        <v>1553</v>
      </c>
      <c r="H12" s="681" t="s">
        <v>1554</v>
      </c>
      <c r="I12" s="724" t="s">
        <v>1555</v>
      </c>
      <c r="J12" s="725" t="s">
        <v>1556</v>
      </c>
      <c r="K12" s="724" t="s">
        <v>1557</v>
      </c>
      <c r="L12" s="725" t="s">
        <v>1558</v>
      </c>
      <c r="M12" s="724" t="s">
        <v>1559</v>
      </c>
      <c r="N12" s="725" t="s">
        <v>1560</v>
      </c>
      <c r="O12" s="724" t="s">
        <v>1561</v>
      </c>
      <c r="P12" s="725" t="s">
        <v>1562</v>
      </c>
      <c r="Q12" s="724" t="s">
        <v>1563</v>
      </c>
      <c r="R12" s="725" t="s">
        <v>1564</v>
      </c>
      <c r="S12" s="724" t="s">
        <v>1565</v>
      </c>
      <c r="T12" s="725" t="s">
        <v>1566</v>
      </c>
      <c r="U12" s="724" t="s">
        <v>1567</v>
      </c>
      <c r="V12" s="725" t="s">
        <v>1568</v>
      </c>
      <c r="W12" s="724" t="s">
        <v>1569</v>
      </c>
      <c r="X12" s="725" t="s">
        <v>1570</v>
      </c>
      <c r="Y12" s="724" t="s">
        <v>1571</v>
      </c>
      <c r="Z12" s="725" t="s">
        <v>1572</v>
      </c>
      <c r="AA12" s="724" t="s">
        <v>1573</v>
      </c>
      <c r="AB12" s="725" t="s">
        <v>1574</v>
      </c>
      <c r="AC12" s="724" t="s">
        <v>1575</v>
      </c>
      <c r="AD12" s="725" t="s">
        <v>1576</v>
      </c>
      <c r="AE12" s="724" t="s">
        <v>1577</v>
      </c>
      <c r="AF12" s="725" t="s">
        <v>1578</v>
      </c>
      <c r="AG12" s="724" t="s">
        <v>1579</v>
      </c>
      <c r="AH12" s="725" t="s">
        <v>1580</v>
      </c>
      <c r="AI12" s="724" t="s">
        <v>1581</v>
      </c>
      <c r="AJ12" s="725" t="s">
        <v>1582</v>
      </c>
      <c r="AK12" s="724" t="s">
        <v>1583</v>
      </c>
      <c r="AL12" s="725" t="s">
        <v>1584</v>
      </c>
      <c r="AM12" s="724" t="s">
        <v>1585</v>
      </c>
      <c r="AN12" s="909" t="s">
        <v>1586</v>
      </c>
      <c r="AO12" s="682" t="s">
        <v>1587</v>
      </c>
      <c r="AP12" s="699" t="s">
        <v>1588</v>
      </c>
      <c r="AQ12" s="681" t="s">
        <v>1589</v>
      </c>
      <c r="AR12" s="699" t="s">
        <v>1590</v>
      </c>
      <c r="AS12" s="681" t="s">
        <v>1591</v>
      </c>
      <c r="AT12" s="1514" t="str">
        <f>CB12&amp;CC12&amp;CD12&amp;CE12&amp;CF12&amp;CG12&amp;CH12&amp;CI12</f>
        <v>* La Población bajo control con Espirometría Vigente no debe ser mayor al Total de la Existencia de Población en Control.  * La variable Pueblos Originarios / Hombres no puede ser Mayor al Total. * La variable Pueblos Originarios / Mujeres no puede ser Mayor al Total. * La variable Migrantes / Hombres no puede ser Mayor al Total. * La variable Migrantes / Mujeres no puede ser Mayor al Total.</v>
      </c>
      <c r="AU12" s="960"/>
      <c r="AV12" s="960"/>
      <c r="AW12" s="960"/>
      <c r="AX12" s="960"/>
      <c r="AY12" s="960"/>
      <c r="AZ12" s="960"/>
      <c r="BA12" s="960"/>
      <c r="CB12" s="348" t="str">
        <f>IF($AO12&lt;=D12,"","* La Población bajo control con Espirometría Vigente no debe ser mayor al Total de la Existencia de Población en Control. ")</f>
        <v xml:space="preserve">* La Población bajo control con Espirometría Vigente no debe ser mayor al Total de la Existencia de Población en Control. </v>
      </c>
      <c r="CC12" s="348" t="str">
        <f>IF(AND(E12&gt;0,OR(AP12=""))," * No olvide digitar la variable Pueblos Originarios / Hombres (Digite Cero si no tiene).",IF(AP12&gt;E12," * La variable Pueblos Originarios / Hombres no puede ser Mayor al Total.",""))</f>
        <v xml:space="preserve"> * La variable Pueblos Originarios / Hombres no puede ser Mayor al Total.</v>
      </c>
      <c r="CD12" s="348" t="str">
        <f>IF(AND(F12&gt;0,OR(AQ12=""))," * No olvide digitar la variable Pueblos Originarios / Mujeres (Digite Cero si no tiene).",IF(AQ12&gt;F12," * La variable Pueblos Originarios / Mujeres no puede ser Mayor al Total.",""))</f>
        <v xml:space="preserve"> * La variable Pueblos Originarios / Mujeres no puede ser Mayor al Total.</v>
      </c>
      <c r="CE12" s="348" t="str">
        <f>IF(AND($E12&gt;0,OR(AR12=""))," * No olvide digitar la variable Migrantes / Hombres (Digite Cero si no tiene).",IF(AR12&gt;$E12," * La variable Migrantes / Hombres no puede ser Mayor al Total.",""))</f>
        <v xml:space="preserve"> * La variable Migrantes / Hombres no puede ser Mayor al Total.</v>
      </c>
      <c r="CF12" s="348" t="str">
        <f>IF(AND(F12&gt;0,OR(AS12=""))," * No olvide digitar la variable Migrantes / Mujeres (Digite Cero si no tiene).",IF(AS12&gt;F12," * La variable Migrantes / Mujeres no puede ser Mayor al Total.",""))</f>
        <v xml:space="preserve"> * La variable Migrantes / Mujeres no puede ser Mayor al Total.</v>
      </c>
      <c r="CG12" s="354"/>
      <c r="CH12" s="354"/>
      <c r="CI12" s="354"/>
      <c r="CJ12" s="358">
        <f>IF($AO12&lt;=$D12,0,1)</f>
        <v>1</v>
      </c>
      <c r="CK12" s="358">
        <f>IF($E12&gt;=$AP12,0,1)</f>
        <v>1</v>
      </c>
      <c r="CL12" s="358">
        <f>IF($F12&gt;=$AQ12,0,1)</f>
        <v>1</v>
      </c>
      <c r="CM12" s="358">
        <f>IF($E12&gt;=$AR12,0,1)</f>
        <v>1</v>
      </c>
      <c r="CN12" s="358">
        <f>IF($F12&gt;=$AS12,0,1)</f>
        <v>1</v>
      </c>
      <c r="CO12" s="358">
        <f>IF(AND($E12&lt;&gt;0,AP12=""),1,0)</f>
        <v>0</v>
      </c>
      <c r="CP12" s="358">
        <f>IF(AND($F12&lt;&gt;0,AQ12=""),1,0)</f>
        <v>0</v>
      </c>
      <c r="CQ12" s="358">
        <f>IF(AND($E12&lt;&gt;0,AR12=""),1,0)</f>
        <v>0</v>
      </c>
      <c r="CR12" s="358">
        <f>IF(AND($F12&lt;&gt;0,AS12=""),1,0)</f>
        <v>0</v>
      </c>
    </row>
    <row r="13" spans="1:96" ht="15" customHeight="1" x14ac:dyDescent="0.3">
      <c r="A13" s="1637" t="s">
        <v>1142</v>
      </c>
      <c r="B13" s="2122"/>
      <c r="C13" s="134" t="s">
        <v>113</v>
      </c>
      <c r="D13" s="671" t="s">
        <v>1550</v>
      </c>
      <c r="E13" s="683" t="s">
        <v>1551</v>
      </c>
      <c r="F13" s="667" t="s">
        <v>1552</v>
      </c>
      <c r="G13" s="684" t="s">
        <v>1553</v>
      </c>
      <c r="H13" s="685" t="s">
        <v>1554</v>
      </c>
      <c r="I13" s="862" t="s">
        <v>1555</v>
      </c>
      <c r="J13" s="863" t="s">
        <v>1556</v>
      </c>
      <c r="K13" s="727" t="s">
        <v>1557</v>
      </c>
      <c r="L13" s="728" t="s">
        <v>1558</v>
      </c>
      <c r="M13" s="862" t="s">
        <v>1559</v>
      </c>
      <c r="N13" s="863" t="s">
        <v>1560</v>
      </c>
      <c r="O13" s="862" t="s">
        <v>1561</v>
      </c>
      <c r="P13" s="863" t="s">
        <v>1562</v>
      </c>
      <c r="Q13" s="862" t="s">
        <v>1563</v>
      </c>
      <c r="R13" s="863" t="s">
        <v>1564</v>
      </c>
      <c r="S13" s="862" t="s">
        <v>1565</v>
      </c>
      <c r="T13" s="863" t="s">
        <v>1566</v>
      </c>
      <c r="U13" s="862" t="s">
        <v>1567</v>
      </c>
      <c r="V13" s="863" t="s">
        <v>1568</v>
      </c>
      <c r="W13" s="862" t="s">
        <v>1569</v>
      </c>
      <c r="X13" s="863" t="s">
        <v>1570</v>
      </c>
      <c r="Y13" s="862" t="s">
        <v>1571</v>
      </c>
      <c r="Z13" s="863" t="s">
        <v>1572</v>
      </c>
      <c r="AA13" s="862" t="s">
        <v>1573</v>
      </c>
      <c r="AB13" s="863" t="s">
        <v>1574</v>
      </c>
      <c r="AC13" s="862" t="s">
        <v>1575</v>
      </c>
      <c r="AD13" s="863" t="s">
        <v>1576</v>
      </c>
      <c r="AE13" s="862" t="s">
        <v>1577</v>
      </c>
      <c r="AF13" s="863" t="s">
        <v>1578</v>
      </c>
      <c r="AG13" s="862" t="s">
        <v>1579</v>
      </c>
      <c r="AH13" s="863" t="s">
        <v>1580</v>
      </c>
      <c r="AI13" s="862" t="s">
        <v>1581</v>
      </c>
      <c r="AJ13" s="863" t="s">
        <v>1582</v>
      </c>
      <c r="AK13" s="862" t="s">
        <v>1583</v>
      </c>
      <c r="AL13" s="863" t="s">
        <v>1584</v>
      </c>
      <c r="AM13" s="862" t="s">
        <v>1585</v>
      </c>
      <c r="AN13" s="910" t="s">
        <v>1586</v>
      </c>
      <c r="AO13" s="686" t="s">
        <v>1587</v>
      </c>
      <c r="AP13" s="740" t="s">
        <v>1588</v>
      </c>
      <c r="AQ13" s="685" t="s">
        <v>1589</v>
      </c>
      <c r="AR13" s="740" t="s">
        <v>1590</v>
      </c>
      <c r="AS13" s="685" t="s">
        <v>1591</v>
      </c>
      <c r="AT13" s="343" t="str">
        <f t="shared" ref="AT13:AT41" si="0">CB13&amp;CC13&amp;CD13&amp;CE13&amp;CF13&amp;CG13&amp;CH13&amp;CI13</f>
        <v>* La Población bajo control con Espirometría Vigente no debe ser mayor al Total de la Existencia de Población en Control.  * La variable Pueblos Originarios / Hombres no puede ser Mayor al Total. * La variable Pueblos Originarios / Mujeres no puede ser Mayor al Total. * La variable Migrantes / Hombres no puede ser Mayor al Total. * La variable Migrantes / Mujeres no puede ser Mayor al Total.</v>
      </c>
      <c r="CB13" s="348" t="str">
        <f t="shared" ref="CB13:CB18" si="1">IF($AO13&lt;=D13,"","* La Población bajo control con Espirometría Vigente no debe ser mayor al Total de la Existencia de Población en Control. ")</f>
        <v xml:space="preserve">* La Población bajo control con Espirometría Vigente no debe ser mayor al Total de la Existencia de Población en Control. </v>
      </c>
      <c r="CC13" s="348" t="str">
        <f t="shared" ref="CC13:CC19" si="2">IF(AND(E13&gt;0,OR(AP13=""))," * No olvide digitar la variable Pueblos Originarios / Hombres (Digite Cero si no tiene).",IF(AP13&gt;E13," * La variable Pueblos Originarios / Hombres no puede ser Mayor al Total.",""))</f>
        <v xml:space="preserve"> * La variable Pueblos Originarios / Hombres no puede ser Mayor al Total.</v>
      </c>
      <c r="CD13" s="348" t="str">
        <f t="shared" ref="CD13:CD19" si="3">IF(AND(F13&gt;0,OR(AQ13=""))," * No olvide digitar la variable Pueblos Originarios / Mujeres (Digite Cero si no tiene).",IF(AQ13&gt;F13," * La variable Pueblos Originarios / Mujeres no puede ser Mayor al Total.",""))</f>
        <v xml:space="preserve"> * La variable Pueblos Originarios / Mujeres no puede ser Mayor al Total.</v>
      </c>
      <c r="CE13" s="348" t="str">
        <f t="shared" ref="CE13:CE19" si="4">IF(AND($E13&gt;0,OR(AR13=""))," * No olvide digitar la variable Migrantes / Hombres (Digite Cero si no tiene).",IF(AR13&gt;$E13," * La variable Migrantes / Hombres no puede ser Mayor al Total.",""))</f>
        <v xml:space="preserve"> * La variable Migrantes / Hombres no puede ser Mayor al Total.</v>
      </c>
      <c r="CF13" s="348" t="str">
        <f t="shared" ref="CF13:CF19" si="5">IF(AND(F13&gt;0,OR(AS13=""))," * No olvide digitar la variable Migrantes / Mujeres (Digite Cero si no tiene).",IF(AS13&gt;F13," * La variable Migrantes / Mujeres no puede ser Mayor al Total.",""))</f>
        <v xml:space="preserve"> * La variable Migrantes / Mujeres no puede ser Mayor al Total.</v>
      </c>
      <c r="CG13" s="354"/>
      <c r="CH13" s="354"/>
      <c r="CI13" s="354"/>
      <c r="CJ13" s="358">
        <f t="shared" ref="CJ13:CJ19" si="6">IF($AO13&lt;=$D13,0,1)</f>
        <v>1</v>
      </c>
      <c r="CK13" s="358">
        <f t="shared" ref="CK13:CK41" si="7">IF($E13&gt;=$AP13,0,1)</f>
        <v>1</v>
      </c>
      <c r="CL13" s="358">
        <f t="shared" ref="CL13:CL41" si="8">IF($F13&gt;=$AQ13,0,1)</f>
        <v>1</v>
      </c>
      <c r="CM13" s="358">
        <f t="shared" ref="CM13:CM41" si="9">IF($E13&gt;=$AR13,0,1)</f>
        <v>1</v>
      </c>
      <c r="CN13" s="358">
        <f t="shared" ref="CN13:CN41" si="10">IF($F13&gt;=$AS13,0,1)</f>
        <v>1</v>
      </c>
      <c r="CO13" s="358">
        <f t="shared" ref="CO13:CO41" si="11">IF(AND($E13&lt;&gt;0,AP13=""),1,0)</f>
        <v>0</v>
      </c>
      <c r="CP13" s="358">
        <f t="shared" ref="CP13:CP41" si="12">IF(AND($F13&lt;&gt;0,AQ13=""),1,0)</f>
        <v>0</v>
      </c>
      <c r="CQ13" s="358">
        <f t="shared" ref="CQ13:CQ41" si="13">IF(AND($E13&lt;&gt;0,AR13=""),1,0)</f>
        <v>0</v>
      </c>
      <c r="CR13" s="358">
        <f t="shared" ref="CR13:CR41" si="14">IF(AND($F13&lt;&gt;0,AS13=""),1,0)</f>
        <v>0</v>
      </c>
    </row>
    <row r="14" spans="1:96" ht="15" customHeight="1" x14ac:dyDescent="0.3">
      <c r="A14" s="1637" t="s">
        <v>1143</v>
      </c>
      <c r="B14" s="2123"/>
      <c r="C14" s="135" t="s">
        <v>131</v>
      </c>
      <c r="D14" s="674" t="s">
        <v>1550</v>
      </c>
      <c r="E14" s="687" t="s">
        <v>1551</v>
      </c>
      <c r="F14" s="688" t="s">
        <v>1552</v>
      </c>
      <c r="G14" s="689" t="s">
        <v>1553</v>
      </c>
      <c r="H14" s="690" t="s">
        <v>1554</v>
      </c>
      <c r="I14" s="911" t="s">
        <v>1555</v>
      </c>
      <c r="J14" s="912" t="s">
        <v>1556</v>
      </c>
      <c r="K14" s="911" t="s">
        <v>1557</v>
      </c>
      <c r="L14" s="912" t="s">
        <v>1558</v>
      </c>
      <c r="M14" s="911" t="s">
        <v>1559</v>
      </c>
      <c r="N14" s="912" t="s">
        <v>1560</v>
      </c>
      <c r="O14" s="911" t="s">
        <v>1561</v>
      </c>
      <c r="P14" s="912" t="s">
        <v>1562</v>
      </c>
      <c r="Q14" s="911" t="s">
        <v>1563</v>
      </c>
      <c r="R14" s="912" t="s">
        <v>1564</v>
      </c>
      <c r="S14" s="911" t="s">
        <v>1565</v>
      </c>
      <c r="T14" s="912" t="s">
        <v>1566</v>
      </c>
      <c r="U14" s="911" t="s">
        <v>1567</v>
      </c>
      <c r="V14" s="912" t="s">
        <v>1568</v>
      </c>
      <c r="W14" s="911" t="s">
        <v>1569</v>
      </c>
      <c r="X14" s="912" t="s">
        <v>1570</v>
      </c>
      <c r="Y14" s="911" t="s">
        <v>1571</v>
      </c>
      <c r="Z14" s="912" t="s">
        <v>1572</v>
      </c>
      <c r="AA14" s="911" t="s">
        <v>1573</v>
      </c>
      <c r="AB14" s="912" t="s">
        <v>1574</v>
      </c>
      <c r="AC14" s="911" t="s">
        <v>1575</v>
      </c>
      <c r="AD14" s="912" t="s">
        <v>1576</v>
      </c>
      <c r="AE14" s="911" t="s">
        <v>1577</v>
      </c>
      <c r="AF14" s="912" t="s">
        <v>1578</v>
      </c>
      <c r="AG14" s="911" t="s">
        <v>1579</v>
      </c>
      <c r="AH14" s="912" t="s">
        <v>1580</v>
      </c>
      <c r="AI14" s="911" t="s">
        <v>1581</v>
      </c>
      <c r="AJ14" s="912" t="s">
        <v>1582</v>
      </c>
      <c r="AK14" s="911" t="s">
        <v>1583</v>
      </c>
      <c r="AL14" s="912" t="s">
        <v>1584</v>
      </c>
      <c r="AM14" s="911" t="s">
        <v>1585</v>
      </c>
      <c r="AN14" s="913" t="s">
        <v>1586</v>
      </c>
      <c r="AO14" s="691" t="s">
        <v>1587</v>
      </c>
      <c r="AP14" s="744" t="s">
        <v>1588</v>
      </c>
      <c r="AQ14" s="696" t="s">
        <v>1589</v>
      </c>
      <c r="AR14" s="744" t="s">
        <v>1590</v>
      </c>
      <c r="AS14" s="696" t="s">
        <v>1591</v>
      </c>
      <c r="AT14" s="343" t="str">
        <f t="shared" si="0"/>
        <v>* La Población bajo control con Espirometría Vigente no debe ser mayor al Total de la Existencia de Población en Control.  * La variable Pueblos Originarios / Hombres no puede ser Mayor al Total. * La variable Pueblos Originarios / Mujeres no puede ser Mayor al Total. * La variable Migrantes / Hombres no puede ser Mayor al Total. * La variable Migrantes / Mujeres no puede ser Mayor al Total.</v>
      </c>
      <c r="CB14" s="348" t="str">
        <f t="shared" si="1"/>
        <v xml:space="preserve">* La Población bajo control con Espirometría Vigente no debe ser mayor al Total de la Existencia de Población en Control. </v>
      </c>
      <c r="CC14" s="348" t="str">
        <f t="shared" si="2"/>
        <v xml:space="preserve"> * La variable Pueblos Originarios / Hombres no puede ser Mayor al Total.</v>
      </c>
      <c r="CD14" s="348" t="str">
        <f t="shared" si="3"/>
        <v xml:space="preserve"> * La variable Pueblos Originarios / Mujeres no puede ser Mayor al Total.</v>
      </c>
      <c r="CE14" s="348" t="str">
        <f t="shared" si="4"/>
        <v xml:space="preserve"> * La variable Migrantes / Hombres no puede ser Mayor al Total.</v>
      </c>
      <c r="CF14" s="348" t="str">
        <f t="shared" si="5"/>
        <v xml:space="preserve"> * La variable Migrantes / Mujeres no puede ser Mayor al Total.</v>
      </c>
      <c r="CG14" s="354"/>
      <c r="CH14" s="354"/>
      <c r="CI14" s="354"/>
      <c r="CJ14" s="358">
        <f t="shared" si="6"/>
        <v>1</v>
      </c>
      <c r="CK14" s="358">
        <f t="shared" si="7"/>
        <v>1</v>
      </c>
      <c r="CL14" s="358">
        <f t="shared" si="8"/>
        <v>1</v>
      </c>
      <c r="CM14" s="358">
        <f t="shared" si="9"/>
        <v>1</v>
      </c>
      <c r="CN14" s="358">
        <f t="shared" si="10"/>
        <v>1</v>
      </c>
      <c r="CO14" s="358">
        <f t="shared" si="11"/>
        <v>0</v>
      </c>
      <c r="CP14" s="358">
        <f t="shared" si="12"/>
        <v>0</v>
      </c>
      <c r="CQ14" s="358">
        <f t="shared" si="13"/>
        <v>0</v>
      </c>
      <c r="CR14" s="358">
        <f t="shared" si="14"/>
        <v>0</v>
      </c>
    </row>
    <row r="15" spans="1:96" ht="15" customHeight="1" x14ac:dyDescent="0.3">
      <c r="A15" s="1637" t="s">
        <v>1144</v>
      </c>
      <c r="B15" s="2124" t="s">
        <v>132</v>
      </c>
      <c r="C15" s="905" t="s">
        <v>112</v>
      </c>
      <c r="D15" s="663" t="s">
        <v>1550</v>
      </c>
      <c r="E15" s="678" t="s">
        <v>1551</v>
      </c>
      <c r="F15" s="679" t="s">
        <v>1552</v>
      </c>
      <c r="G15" s="680" t="s">
        <v>1553</v>
      </c>
      <c r="H15" s="681" t="s">
        <v>1554</v>
      </c>
      <c r="I15" s="680" t="s">
        <v>1555</v>
      </c>
      <c r="J15" s="681" t="s">
        <v>1556</v>
      </c>
      <c r="K15" s="680" t="s">
        <v>1557</v>
      </c>
      <c r="L15" s="681" t="s">
        <v>1558</v>
      </c>
      <c r="M15" s="680" t="s">
        <v>1559</v>
      </c>
      <c r="N15" s="681" t="s">
        <v>1560</v>
      </c>
      <c r="O15" s="680" t="s">
        <v>1561</v>
      </c>
      <c r="P15" s="681" t="s">
        <v>1562</v>
      </c>
      <c r="Q15" s="680" t="s">
        <v>1563</v>
      </c>
      <c r="R15" s="681" t="s">
        <v>1564</v>
      </c>
      <c r="S15" s="680" t="s">
        <v>1565</v>
      </c>
      <c r="T15" s="681" t="s">
        <v>1566</v>
      </c>
      <c r="U15" s="680" t="s">
        <v>1567</v>
      </c>
      <c r="V15" s="681" t="s">
        <v>1568</v>
      </c>
      <c r="W15" s="680" t="s">
        <v>1569</v>
      </c>
      <c r="X15" s="681" t="s">
        <v>1570</v>
      </c>
      <c r="Y15" s="680" t="s">
        <v>1571</v>
      </c>
      <c r="Z15" s="681" t="s">
        <v>1572</v>
      </c>
      <c r="AA15" s="680" t="s">
        <v>1573</v>
      </c>
      <c r="AB15" s="681" t="s">
        <v>1574</v>
      </c>
      <c r="AC15" s="680" t="s">
        <v>1575</v>
      </c>
      <c r="AD15" s="681" t="s">
        <v>1576</v>
      </c>
      <c r="AE15" s="680" t="s">
        <v>1577</v>
      </c>
      <c r="AF15" s="681" t="s">
        <v>1578</v>
      </c>
      <c r="AG15" s="680" t="s">
        <v>1579</v>
      </c>
      <c r="AH15" s="681" t="s">
        <v>1580</v>
      </c>
      <c r="AI15" s="680" t="s">
        <v>1581</v>
      </c>
      <c r="AJ15" s="681" t="s">
        <v>1582</v>
      </c>
      <c r="AK15" s="680" t="s">
        <v>1583</v>
      </c>
      <c r="AL15" s="681" t="s">
        <v>1584</v>
      </c>
      <c r="AM15" s="680" t="s">
        <v>1585</v>
      </c>
      <c r="AN15" s="692" t="s">
        <v>1586</v>
      </c>
      <c r="AO15" s="682" t="s">
        <v>1587</v>
      </c>
      <c r="AP15" s="699" t="s">
        <v>1588</v>
      </c>
      <c r="AQ15" s="681" t="s">
        <v>1589</v>
      </c>
      <c r="AR15" s="699" t="s">
        <v>1590</v>
      </c>
      <c r="AS15" s="681" t="s">
        <v>1591</v>
      </c>
      <c r="AT15" s="343" t="str">
        <f t="shared" si="0"/>
        <v>* La Población bajo control con Espirometría Vigente no debe ser mayor al Total de la Existencia de Población en Control.  * La variable Pueblos Originarios / Hombres no puede ser Mayor al Total. * La variable Pueblos Originarios / Mujeres no puede ser Mayor al Total. * La variable Migrantes / Hombres no puede ser Mayor al Total. * La variable Migrantes / Mujeres no puede ser Mayor al Total.</v>
      </c>
      <c r="CB15" s="348" t="str">
        <f t="shared" si="1"/>
        <v xml:space="preserve">* La Población bajo control con Espirometría Vigente no debe ser mayor al Total de la Existencia de Población en Control. </v>
      </c>
      <c r="CC15" s="348" t="str">
        <f t="shared" si="2"/>
        <v xml:space="preserve"> * La variable Pueblos Originarios / Hombres no puede ser Mayor al Total.</v>
      </c>
      <c r="CD15" s="348" t="str">
        <f t="shared" si="3"/>
        <v xml:space="preserve"> * La variable Pueblos Originarios / Mujeres no puede ser Mayor al Total.</v>
      </c>
      <c r="CE15" s="348" t="str">
        <f t="shared" si="4"/>
        <v xml:space="preserve"> * La variable Migrantes / Hombres no puede ser Mayor al Total.</v>
      </c>
      <c r="CF15" s="348" t="str">
        <f t="shared" si="5"/>
        <v xml:space="preserve"> * La variable Migrantes / Mujeres no puede ser Mayor al Total.</v>
      </c>
      <c r="CG15" s="354"/>
      <c r="CH15" s="354"/>
      <c r="CI15" s="354"/>
      <c r="CJ15" s="358">
        <f t="shared" si="6"/>
        <v>1</v>
      </c>
      <c r="CK15" s="358">
        <f t="shared" si="7"/>
        <v>1</v>
      </c>
      <c r="CL15" s="358">
        <f t="shared" si="8"/>
        <v>1</v>
      </c>
      <c r="CM15" s="358">
        <f t="shared" si="9"/>
        <v>1</v>
      </c>
      <c r="CN15" s="358">
        <f t="shared" si="10"/>
        <v>1</v>
      </c>
      <c r="CO15" s="358">
        <f t="shared" si="11"/>
        <v>0</v>
      </c>
      <c r="CP15" s="358">
        <f t="shared" si="12"/>
        <v>0</v>
      </c>
      <c r="CQ15" s="358">
        <f t="shared" si="13"/>
        <v>0</v>
      </c>
      <c r="CR15" s="358">
        <f t="shared" si="14"/>
        <v>0</v>
      </c>
    </row>
    <row r="16" spans="1:96" ht="15" customHeight="1" x14ac:dyDescent="0.3">
      <c r="A16" s="1637" t="s">
        <v>1145</v>
      </c>
      <c r="B16" s="2125"/>
      <c r="C16" s="134" t="s">
        <v>113</v>
      </c>
      <c r="D16" s="671" t="s">
        <v>1550</v>
      </c>
      <c r="E16" s="683" t="s">
        <v>1551</v>
      </c>
      <c r="F16" s="667" t="s">
        <v>1552</v>
      </c>
      <c r="G16" s="684" t="s">
        <v>1553</v>
      </c>
      <c r="H16" s="685" t="s">
        <v>1554</v>
      </c>
      <c r="I16" s="684" t="s">
        <v>1555</v>
      </c>
      <c r="J16" s="685" t="s">
        <v>1556</v>
      </c>
      <c r="K16" s="684" t="s">
        <v>1557</v>
      </c>
      <c r="L16" s="685" t="s">
        <v>1558</v>
      </c>
      <c r="M16" s="684" t="s">
        <v>1559</v>
      </c>
      <c r="N16" s="685" t="s">
        <v>1560</v>
      </c>
      <c r="O16" s="684" t="s">
        <v>1561</v>
      </c>
      <c r="P16" s="685" t="s">
        <v>1562</v>
      </c>
      <c r="Q16" s="684" t="s">
        <v>1563</v>
      </c>
      <c r="R16" s="685" t="s">
        <v>1564</v>
      </c>
      <c r="S16" s="684" t="s">
        <v>1565</v>
      </c>
      <c r="T16" s="685" t="s">
        <v>1566</v>
      </c>
      <c r="U16" s="684" t="s">
        <v>1567</v>
      </c>
      <c r="V16" s="685" t="s">
        <v>1568</v>
      </c>
      <c r="W16" s="684" t="s">
        <v>1569</v>
      </c>
      <c r="X16" s="685" t="s">
        <v>1570</v>
      </c>
      <c r="Y16" s="684" t="s">
        <v>1571</v>
      </c>
      <c r="Z16" s="685" t="s">
        <v>1572</v>
      </c>
      <c r="AA16" s="684" t="s">
        <v>1573</v>
      </c>
      <c r="AB16" s="685" t="s">
        <v>1574</v>
      </c>
      <c r="AC16" s="684" t="s">
        <v>1575</v>
      </c>
      <c r="AD16" s="685" t="s">
        <v>1576</v>
      </c>
      <c r="AE16" s="684" t="s">
        <v>1577</v>
      </c>
      <c r="AF16" s="685" t="s">
        <v>1578</v>
      </c>
      <c r="AG16" s="684" t="s">
        <v>1579</v>
      </c>
      <c r="AH16" s="685" t="s">
        <v>1580</v>
      </c>
      <c r="AI16" s="684" t="s">
        <v>1581</v>
      </c>
      <c r="AJ16" s="685" t="s">
        <v>1582</v>
      </c>
      <c r="AK16" s="684" t="s">
        <v>1583</v>
      </c>
      <c r="AL16" s="685" t="s">
        <v>1584</v>
      </c>
      <c r="AM16" s="684" t="s">
        <v>1585</v>
      </c>
      <c r="AN16" s="693" t="s">
        <v>1586</v>
      </c>
      <c r="AO16" s="686" t="s">
        <v>1587</v>
      </c>
      <c r="AP16" s="740" t="s">
        <v>1588</v>
      </c>
      <c r="AQ16" s="685" t="s">
        <v>1589</v>
      </c>
      <c r="AR16" s="740" t="s">
        <v>1590</v>
      </c>
      <c r="AS16" s="685" t="s">
        <v>1591</v>
      </c>
      <c r="AT16" s="343" t="str">
        <f t="shared" si="0"/>
        <v>* La Población bajo control con Espirometría Vigente no debe ser mayor al Total de la Existencia de Población en Control.  * La variable Pueblos Originarios / Hombres no puede ser Mayor al Total. * La variable Pueblos Originarios / Mujeres no puede ser Mayor al Total. * La variable Migrantes / Hombres no puede ser Mayor al Total. * La variable Migrantes / Mujeres no puede ser Mayor al Total.</v>
      </c>
      <c r="CB16" s="348" t="str">
        <f t="shared" si="1"/>
        <v xml:space="preserve">* La Población bajo control con Espirometría Vigente no debe ser mayor al Total de la Existencia de Población en Control. </v>
      </c>
      <c r="CC16" s="348" t="str">
        <f t="shared" si="2"/>
        <v xml:space="preserve"> * La variable Pueblos Originarios / Hombres no puede ser Mayor al Total.</v>
      </c>
      <c r="CD16" s="348" t="str">
        <f t="shared" si="3"/>
        <v xml:space="preserve"> * La variable Pueblos Originarios / Mujeres no puede ser Mayor al Total.</v>
      </c>
      <c r="CE16" s="348" t="str">
        <f t="shared" si="4"/>
        <v xml:space="preserve"> * La variable Migrantes / Hombres no puede ser Mayor al Total.</v>
      </c>
      <c r="CF16" s="348" t="str">
        <f t="shared" si="5"/>
        <v xml:space="preserve"> * La variable Migrantes / Mujeres no puede ser Mayor al Total.</v>
      </c>
      <c r="CG16" s="354"/>
      <c r="CH16" s="354"/>
      <c r="CI16" s="354"/>
      <c r="CJ16" s="358">
        <f t="shared" si="6"/>
        <v>1</v>
      </c>
      <c r="CK16" s="358">
        <f t="shared" si="7"/>
        <v>1</v>
      </c>
      <c r="CL16" s="358">
        <f t="shared" si="8"/>
        <v>1</v>
      </c>
      <c r="CM16" s="358">
        <f t="shared" si="9"/>
        <v>1</v>
      </c>
      <c r="CN16" s="358">
        <f t="shared" si="10"/>
        <v>1</v>
      </c>
      <c r="CO16" s="358">
        <f t="shared" si="11"/>
        <v>0</v>
      </c>
      <c r="CP16" s="358">
        <f t="shared" si="12"/>
        <v>0</v>
      </c>
      <c r="CQ16" s="358">
        <f t="shared" si="13"/>
        <v>0</v>
      </c>
      <c r="CR16" s="358">
        <f t="shared" si="14"/>
        <v>0</v>
      </c>
    </row>
    <row r="17" spans="1:96" ht="15" customHeight="1" x14ac:dyDescent="0.3">
      <c r="A17" s="1637" t="s">
        <v>1146</v>
      </c>
      <c r="B17" s="2126"/>
      <c r="C17" s="135" t="s">
        <v>131</v>
      </c>
      <c r="D17" s="694" t="s">
        <v>1550</v>
      </c>
      <c r="E17" s="677" t="s">
        <v>1551</v>
      </c>
      <c r="F17" s="670" t="s">
        <v>1552</v>
      </c>
      <c r="G17" s="689" t="s">
        <v>1553</v>
      </c>
      <c r="H17" s="690" t="s">
        <v>1554</v>
      </c>
      <c r="I17" s="695" t="s">
        <v>1555</v>
      </c>
      <c r="J17" s="696" t="s">
        <v>1556</v>
      </c>
      <c r="K17" s="695" t="s">
        <v>1557</v>
      </c>
      <c r="L17" s="696" t="s">
        <v>1558</v>
      </c>
      <c r="M17" s="695" t="s">
        <v>1559</v>
      </c>
      <c r="N17" s="696" t="s">
        <v>1560</v>
      </c>
      <c r="O17" s="695" t="s">
        <v>1561</v>
      </c>
      <c r="P17" s="696" t="s">
        <v>1562</v>
      </c>
      <c r="Q17" s="695" t="s">
        <v>1563</v>
      </c>
      <c r="R17" s="696" t="s">
        <v>1564</v>
      </c>
      <c r="S17" s="695" t="s">
        <v>1565</v>
      </c>
      <c r="T17" s="696" t="s">
        <v>1566</v>
      </c>
      <c r="U17" s="695" t="s">
        <v>1567</v>
      </c>
      <c r="V17" s="696" t="s">
        <v>1568</v>
      </c>
      <c r="W17" s="695" t="s">
        <v>1569</v>
      </c>
      <c r="X17" s="696" t="s">
        <v>1570</v>
      </c>
      <c r="Y17" s="695" t="s">
        <v>1571</v>
      </c>
      <c r="Z17" s="696" t="s">
        <v>1572</v>
      </c>
      <c r="AA17" s="695" t="s">
        <v>1573</v>
      </c>
      <c r="AB17" s="696" t="s">
        <v>1574</v>
      </c>
      <c r="AC17" s="695" t="s">
        <v>1575</v>
      </c>
      <c r="AD17" s="696" t="s">
        <v>1576</v>
      </c>
      <c r="AE17" s="695" t="s">
        <v>1577</v>
      </c>
      <c r="AF17" s="696" t="s">
        <v>1578</v>
      </c>
      <c r="AG17" s="695" t="s">
        <v>1579</v>
      </c>
      <c r="AH17" s="696" t="s">
        <v>1580</v>
      </c>
      <c r="AI17" s="695" t="s">
        <v>1581</v>
      </c>
      <c r="AJ17" s="696" t="s">
        <v>1582</v>
      </c>
      <c r="AK17" s="695" t="s">
        <v>1583</v>
      </c>
      <c r="AL17" s="696" t="s">
        <v>1584</v>
      </c>
      <c r="AM17" s="695" t="s">
        <v>1585</v>
      </c>
      <c r="AN17" s="697" t="s">
        <v>1586</v>
      </c>
      <c r="AO17" s="698" t="s">
        <v>1587</v>
      </c>
      <c r="AP17" s="703" t="s">
        <v>1588</v>
      </c>
      <c r="AQ17" s="690" t="s">
        <v>1589</v>
      </c>
      <c r="AR17" s="703" t="s">
        <v>1590</v>
      </c>
      <c r="AS17" s="690" t="s">
        <v>1591</v>
      </c>
      <c r="AT17" s="343" t="str">
        <f t="shared" si="0"/>
        <v>* La Población bajo control con Espirometría Vigente no debe ser mayor al Total de la Existencia de Población en Control.  * La variable Pueblos Originarios / Hombres no puede ser Mayor al Total. * La variable Pueblos Originarios / Mujeres no puede ser Mayor al Total. * La variable Migrantes / Hombres no puede ser Mayor al Total. * La variable Migrantes / Mujeres no puede ser Mayor al Total.</v>
      </c>
      <c r="CB17" s="348" t="str">
        <f t="shared" si="1"/>
        <v xml:space="preserve">* La Población bajo control con Espirometría Vigente no debe ser mayor al Total de la Existencia de Población en Control. </v>
      </c>
      <c r="CC17" s="348" t="str">
        <f t="shared" si="2"/>
        <v xml:space="preserve"> * La variable Pueblos Originarios / Hombres no puede ser Mayor al Total.</v>
      </c>
      <c r="CD17" s="348" t="str">
        <f t="shared" si="3"/>
        <v xml:space="preserve"> * La variable Pueblos Originarios / Mujeres no puede ser Mayor al Total.</v>
      </c>
      <c r="CE17" s="348" t="str">
        <f t="shared" si="4"/>
        <v xml:space="preserve"> * La variable Migrantes / Hombres no puede ser Mayor al Total.</v>
      </c>
      <c r="CF17" s="348" t="str">
        <f t="shared" si="5"/>
        <v xml:space="preserve"> * La variable Migrantes / Mujeres no puede ser Mayor al Total.</v>
      </c>
      <c r="CG17" s="354"/>
      <c r="CH17" s="354"/>
      <c r="CI17" s="354"/>
      <c r="CJ17" s="358">
        <f t="shared" si="6"/>
        <v>1</v>
      </c>
      <c r="CK17" s="358">
        <f t="shared" si="7"/>
        <v>1</v>
      </c>
      <c r="CL17" s="358">
        <f t="shared" si="8"/>
        <v>1</v>
      </c>
      <c r="CM17" s="358">
        <f t="shared" si="9"/>
        <v>1</v>
      </c>
      <c r="CN17" s="358">
        <f t="shared" si="10"/>
        <v>1</v>
      </c>
      <c r="CO17" s="358">
        <f t="shared" si="11"/>
        <v>0</v>
      </c>
      <c r="CP17" s="358">
        <f t="shared" si="12"/>
        <v>0</v>
      </c>
      <c r="CQ17" s="358">
        <f t="shared" si="13"/>
        <v>0</v>
      </c>
      <c r="CR17" s="358">
        <f t="shared" si="14"/>
        <v>0</v>
      </c>
    </row>
    <row r="18" spans="1:96" ht="22.5" customHeight="1" x14ac:dyDescent="0.3">
      <c r="A18" s="1637" t="s">
        <v>1147</v>
      </c>
      <c r="B18" s="2127" t="s">
        <v>133</v>
      </c>
      <c r="C18" s="136" t="s">
        <v>510</v>
      </c>
      <c r="D18" s="671" t="s">
        <v>1550</v>
      </c>
      <c r="E18" s="672" t="s">
        <v>1551</v>
      </c>
      <c r="F18" s="673" t="s">
        <v>1552</v>
      </c>
      <c r="G18" s="724" t="s">
        <v>1553</v>
      </c>
      <c r="H18" s="725" t="s">
        <v>1554</v>
      </c>
      <c r="I18" s="724" t="s">
        <v>1555</v>
      </c>
      <c r="J18" s="725" t="s">
        <v>1556</v>
      </c>
      <c r="K18" s="724" t="s">
        <v>1557</v>
      </c>
      <c r="L18" s="725" t="s">
        <v>1558</v>
      </c>
      <c r="M18" s="724" t="s">
        <v>1559</v>
      </c>
      <c r="N18" s="725" t="s">
        <v>1560</v>
      </c>
      <c r="O18" s="724" t="s">
        <v>1561</v>
      </c>
      <c r="P18" s="725" t="s">
        <v>1562</v>
      </c>
      <c r="Q18" s="724" t="s">
        <v>1563</v>
      </c>
      <c r="R18" s="725" t="s">
        <v>1564</v>
      </c>
      <c r="S18" s="724" t="s">
        <v>1565</v>
      </c>
      <c r="T18" s="725" t="s">
        <v>1566</v>
      </c>
      <c r="U18" s="724" t="s">
        <v>1567</v>
      </c>
      <c r="V18" s="725" t="s">
        <v>1568</v>
      </c>
      <c r="W18" s="680" t="s">
        <v>1569</v>
      </c>
      <c r="X18" s="681" t="s">
        <v>1570</v>
      </c>
      <c r="Y18" s="680" t="s">
        <v>1571</v>
      </c>
      <c r="Z18" s="681" t="s">
        <v>1572</v>
      </c>
      <c r="AA18" s="680" t="s">
        <v>1573</v>
      </c>
      <c r="AB18" s="681" t="s">
        <v>1574</v>
      </c>
      <c r="AC18" s="680" t="s">
        <v>1575</v>
      </c>
      <c r="AD18" s="681" t="s">
        <v>1576</v>
      </c>
      <c r="AE18" s="680" t="s">
        <v>1577</v>
      </c>
      <c r="AF18" s="681" t="s">
        <v>1578</v>
      </c>
      <c r="AG18" s="680" t="s">
        <v>1579</v>
      </c>
      <c r="AH18" s="681" t="s">
        <v>1580</v>
      </c>
      <c r="AI18" s="680" t="s">
        <v>1581</v>
      </c>
      <c r="AJ18" s="681" t="s">
        <v>1582</v>
      </c>
      <c r="AK18" s="680" t="s">
        <v>1583</v>
      </c>
      <c r="AL18" s="681" t="s">
        <v>1584</v>
      </c>
      <c r="AM18" s="680" t="s">
        <v>1585</v>
      </c>
      <c r="AN18" s="692" t="s">
        <v>1586</v>
      </c>
      <c r="AO18" s="682" t="s">
        <v>1587</v>
      </c>
      <c r="AP18" s="699" t="s">
        <v>1588</v>
      </c>
      <c r="AQ18" s="681" t="s">
        <v>1589</v>
      </c>
      <c r="AR18" s="699" t="s">
        <v>1590</v>
      </c>
      <c r="AS18" s="681" t="s">
        <v>1591</v>
      </c>
      <c r="AT18" s="343" t="str">
        <f t="shared" si="0"/>
        <v>* La Población bajo control con Espirometría Vigente no debe ser mayor al Total de la Existencia de Población en Control.  * La variable Pueblos Originarios / Hombres no puede ser Mayor al Total. * La variable Pueblos Originarios / Mujeres no puede ser Mayor al Total. * La variable Migrantes / Hombres no puede ser Mayor al Total. * La variable Migrantes / Mujeres no puede ser Mayor al Total.</v>
      </c>
      <c r="CB18" s="348" t="str">
        <f t="shared" si="1"/>
        <v xml:space="preserve">* La Población bajo control con Espirometría Vigente no debe ser mayor al Total de la Existencia de Población en Control. </v>
      </c>
      <c r="CC18" s="348" t="str">
        <f t="shared" si="2"/>
        <v xml:space="preserve"> * La variable Pueblos Originarios / Hombres no puede ser Mayor al Total.</v>
      </c>
      <c r="CD18" s="348" t="str">
        <f t="shared" si="3"/>
        <v xml:space="preserve"> * La variable Pueblos Originarios / Mujeres no puede ser Mayor al Total.</v>
      </c>
      <c r="CE18" s="348" t="str">
        <f t="shared" si="4"/>
        <v xml:space="preserve"> * La variable Migrantes / Hombres no puede ser Mayor al Total.</v>
      </c>
      <c r="CF18" s="348" t="str">
        <f t="shared" si="5"/>
        <v xml:space="preserve"> * La variable Migrantes / Mujeres no puede ser Mayor al Total.</v>
      </c>
      <c r="CG18" s="354"/>
      <c r="CH18" s="354"/>
      <c r="CI18" s="354"/>
      <c r="CJ18" s="358">
        <f t="shared" si="6"/>
        <v>1</v>
      </c>
      <c r="CK18" s="358">
        <f t="shared" si="7"/>
        <v>1</v>
      </c>
      <c r="CL18" s="358">
        <f t="shared" si="8"/>
        <v>1</v>
      </c>
      <c r="CM18" s="358">
        <f t="shared" si="9"/>
        <v>1</v>
      </c>
      <c r="CN18" s="358">
        <f t="shared" si="10"/>
        <v>1</v>
      </c>
      <c r="CO18" s="358">
        <f t="shared" si="11"/>
        <v>0</v>
      </c>
      <c r="CP18" s="358">
        <f t="shared" si="12"/>
        <v>0</v>
      </c>
      <c r="CQ18" s="358">
        <f t="shared" si="13"/>
        <v>0</v>
      </c>
      <c r="CR18" s="358">
        <f t="shared" si="14"/>
        <v>0</v>
      </c>
    </row>
    <row r="19" spans="1:96" ht="21" customHeight="1" x14ac:dyDescent="0.3">
      <c r="A19" s="1637" t="s">
        <v>1148</v>
      </c>
      <c r="B19" s="2123"/>
      <c r="C19" s="137" t="s">
        <v>511</v>
      </c>
      <c r="D19" s="668" t="s">
        <v>1550</v>
      </c>
      <c r="E19" s="677" t="s">
        <v>1551</v>
      </c>
      <c r="F19" s="670" t="s">
        <v>1552</v>
      </c>
      <c r="G19" s="730" t="s">
        <v>1553</v>
      </c>
      <c r="H19" s="731" t="s">
        <v>1554</v>
      </c>
      <c r="I19" s="730" t="s">
        <v>1555</v>
      </c>
      <c r="J19" s="731" t="s">
        <v>1556</v>
      </c>
      <c r="K19" s="730" t="s">
        <v>1557</v>
      </c>
      <c r="L19" s="731" t="s">
        <v>1558</v>
      </c>
      <c r="M19" s="730" t="s">
        <v>1559</v>
      </c>
      <c r="N19" s="731" t="s">
        <v>1560</v>
      </c>
      <c r="O19" s="730" t="s">
        <v>1561</v>
      </c>
      <c r="P19" s="731" t="s">
        <v>1562</v>
      </c>
      <c r="Q19" s="730" t="s">
        <v>1563</v>
      </c>
      <c r="R19" s="731" t="s">
        <v>1564</v>
      </c>
      <c r="S19" s="907" t="s">
        <v>1565</v>
      </c>
      <c r="T19" s="908" t="s">
        <v>1566</v>
      </c>
      <c r="U19" s="907" t="s">
        <v>1567</v>
      </c>
      <c r="V19" s="908" t="s">
        <v>1568</v>
      </c>
      <c r="W19" s="700" t="s">
        <v>1569</v>
      </c>
      <c r="X19" s="701" t="s">
        <v>1570</v>
      </c>
      <c r="Y19" s="700" t="s">
        <v>1571</v>
      </c>
      <c r="Z19" s="701" t="s">
        <v>1572</v>
      </c>
      <c r="AA19" s="700" t="s">
        <v>1573</v>
      </c>
      <c r="AB19" s="701" t="s">
        <v>1574</v>
      </c>
      <c r="AC19" s="700" t="s">
        <v>1575</v>
      </c>
      <c r="AD19" s="701" t="s">
        <v>1576</v>
      </c>
      <c r="AE19" s="700" t="s">
        <v>1577</v>
      </c>
      <c r="AF19" s="701" t="s">
        <v>1578</v>
      </c>
      <c r="AG19" s="700" t="s">
        <v>1579</v>
      </c>
      <c r="AH19" s="701" t="s">
        <v>1580</v>
      </c>
      <c r="AI19" s="700" t="s">
        <v>1581</v>
      </c>
      <c r="AJ19" s="701" t="s">
        <v>1582</v>
      </c>
      <c r="AK19" s="700" t="s">
        <v>1583</v>
      </c>
      <c r="AL19" s="701" t="s">
        <v>1584</v>
      </c>
      <c r="AM19" s="700" t="s">
        <v>1585</v>
      </c>
      <c r="AN19" s="702" t="s">
        <v>1586</v>
      </c>
      <c r="AO19" s="698" t="s">
        <v>1587</v>
      </c>
      <c r="AP19" s="703" t="s">
        <v>1588</v>
      </c>
      <c r="AQ19" s="690" t="s">
        <v>1589</v>
      </c>
      <c r="AR19" s="703" t="s">
        <v>1590</v>
      </c>
      <c r="AS19" s="690" t="s">
        <v>1591</v>
      </c>
      <c r="AT19" s="343" t="str">
        <f t="shared" si="0"/>
        <v>* La Población bajo control con Espirometría Vigente no debe ser mayor al Total de la Existencia de Población en Control.  * La variable Pueblos Originarios / Hombres no puede ser Mayor al Total. * La variable Pueblos Originarios / Mujeres no puede ser Mayor al Total. * La variable Migrantes / Hombres no puede ser Mayor al Total. * La variable Migrantes / Mujeres no puede ser Mayor al Total.</v>
      </c>
      <c r="CB19" s="348" t="str">
        <f>IF($AO19&lt;=D19,"","* La Población bajo control con Espirometría Vigente no debe ser mayor al Total de la Existencia de Población en Control. ")</f>
        <v xml:space="preserve">* La Población bajo control con Espirometría Vigente no debe ser mayor al Total de la Existencia de Población en Control. </v>
      </c>
      <c r="CC19" s="348" t="str">
        <f t="shared" si="2"/>
        <v xml:space="preserve"> * La variable Pueblos Originarios / Hombres no puede ser Mayor al Total.</v>
      </c>
      <c r="CD19" s="348" t="str">
        <f t="shared" si="3"/>
        <v xml:space="preserve"> * La variable Pueblos Originarios / Mujeres no puede ser Mayor al Total.</v>
      </c>
      <c r="CE19" s="348" t="str">
        <f t="shared" si="4"/>
        <v xml:space="preserve"> * La variable Migrantes / Hombres no puede ser Mayor al Total.</v>
      </c>
      <c r="CF19" s="348" t="str">
        <f t="shared" si="5"/>
        <v xml:space="preserve"> * La variable Migrantes / Mujeres no puede ser Mayor al Total.</v>
      </c>
      <c r="CG19" s="354"/>
      <c r="CH19" s="354"/>
      <c r="CI19" s="354"/>
      <c r="CJ19" s="358">
        <f t="shared" si="6"/>
        <v>1</v>
      </c>
      <c r="CK19" s="358">
        <f t="shared" si="7"/>
        <v>1</v>
      </c>
      <c r="CL19" s="358">
        <f t="shared" si="8"/>
        <v>1</v>
      </c>
      <c r="CM19" s="358">
        <f t="shared" si="9"/>
        <v>1</v>
      </c>
      <c r="CN19" s="358">
        <f t="shared" si="10"/>
        <v>1</v>
      </c>
      <c r="CO19" s="358">
        <f t="shared" si="11"/>
        <v>0</v>
      </c>
      <c r="CP19" s="358">
        <f t="shared" si="12"/>
        <v>0</v>
      </c>
      <c r="CQ19" s="358">
        <f t="shared" si="13"/>
        <v>0</v>
      </c>
      <c r="CR19" s="358">
        <f t="shared" si="14"/>
        <v>0</v>
      </c>
    </row>
    <row r="20" spans="1:96" ht="16.5" customHeight="1" x14ac:dyDescent="0.3">
      <c r="A20" s="1637" t="s">
        <v>1149</v>
      </c>
      <c r="B20" s="2120" t="s">
        <v>134</v>
      </c>
      <c r="C20" s="2120"/>
      <c r="D20" s="671" t="s">
        <v>1550</v>
      </c>
      <c r="E20" s="672" t="s">
        <v>1551</v>
      </c>
      <c r="F20" s="673" t="s">
        <v>1552</v>
      </c>
      <c r="G20" s="704" t="s">
        <v>1553</v>
      </c>
      <c r="H20" s="705" t="s">
        <v>1554</v>
      </c>
      <c r="I20" s="704" t="s">
        <v>1555</v>
      </c>
      <c r="J20" s="705" t="s">
        <v>1556</v>
      </c>
      <c r="K20" s="704" t="s">
        <v>1557</v>
      </c>
      <c r="L20" s="705" t="s">
        <v>1558</v>
      </c>
      <c r="M20" s="704" t="s">
        <v>1559</v>
      </c>
      <c r="N20" s="705" t="s">
        <v>1560</v>
      </c>
      <c r="O20" s="704" t="s">
        <v>1561</v>
      </c>
      <c r="P20" s="705" t="s">
        <v>1562</v>
      </c>
      <c r="Q20" s="704" t="s">
        <v>1563</v>
      </c>
      <c r="R20" s="705" t="s">
        <v>1564</v>
      </c>
      <c r="S20" s="704" t="s">
        <v>1565</v>
      </c>
      <c r="T20" s="705" t="s">
        <v>1566</v>
      </c>
      <c r="U20" s="704" t="s">
        <v>1567</v>
      </c>
      <c r="V20" s="705" t="s">
        <v>1568</v>
      </c>
      <c r="W20" s="704" t="s">
        <v>1569</v>
      </c>
      <c r="X20" s="705" t="s">
        <v>1570</v>
      </c>
      <c r="Y20" s="704" t="s">
        <v>1571</v>
      </c>
      <c r="Z20" s="705" t="s">
        <v>1572</v>
      </c>
      <c r="AA20" s="704" t="s">
        <v>1573</v>
      </c>
      <c r="AB20" s="705" t="s">
        <v>1574</v>
      </c>
      <c r="AC20" s="704" t="s">
        <v>1575</v>
      </c>
      <c r="AD20" s="705" t="s">
        <v>1576</v>
      </c>
      <c r="AE20" s="704" t="s">
        <v>1577</v>
      </c>
      <c r="AF20" s="705" t="s">
        <v>1578</v>
      </c>
      <c r="AG20" s="704" t="s">
        <v>1579</v>
      </c>
      <c r="AH20" s="705" t="s">
        <v>1580</v>
      </c>
      <c r="AI20" s="704" t="s">
        <v>1581</v>
      </c>
      <c r="AJ20" s="705" t="s">
        <v>1582</v>
      </c>
      <c r="AK20" s="704" t="s">
        <v>1583</v>
      </c>
      <c r="AL20" s="705" t="s">
        <v>1584</v>
      </c>
      <c r="AM20" s="704" t="s">
        <v>1585</v>
      </c>
      <c r="AN20" s="706" t="s">
        <v>1586</v>
      </c>
      <c r="AO20" s="707" t="s">
        <v>1587</v>
      </c>
      <c r="AP20" s="750" t="s">
        <v>1588</v>
      </c>
      <c r="AQ20" s="705" t="s">
        <v>1589</v>
      </c>
      <c r="AR20" s="750" t="s">
        <v>1590</v>
      </c>
      <c r="AS20" s="705" t="s">
        <v>1591</v>
      </c>
      <c r="AT20" s="343" t="str">
        <f t="shared" si="0"/>
        <v xml:space="preserve"> * La variable Pueblos Originarios / Hombres no puede ser Mayor al Total. * La variable Pueblos Originarios / Mujeres no puede ser Mayor al Total. * La variable Migrantes / Hombres no puede ser Mayor al Total. * La variable Migrantes / Mujeres no puede ser Mayor al Total.</v>
      </c>
      <c r="CB20" s="354"/>
      <c r="CC20" s="348" t="str">
        <f t="shared" ref="CC20:CC34" si="15">IF(AND(E20&gt;0,OR(AP20=""))," * No olvide digitar la variable Pueblos Originarios / Hombres (Digite Cero si no tiene).",IF(AP20&gt;E20," * La variable Pueblos Originarios / Hombres no puede ser Mayor al Total.",""))</f>
        <v xml:space="preserve"> * La variable Pueblos Originarios / Hombres no puede ser Mayor al Total.</v>
      </c>
      <c r="CD20" s="348" t="str">
        <f t="shared" ref="CD20:CD34" si="16">IF(AND(F20&gt;0,OR(AQ20=""))," * No olvide digitar la variable Pueblos Originarios / Mujeres (Digite Cero si no tiene).",IF(AQ20&gt;F20," * La variable Pueblos Originarios / Mujeres no puede ser Mayor al Total.",""))</f>
        <v xml:space="preserve"> * La variable Pueblos Originarios / Mujeres no puede ser Mayor al Total.</v>
      </c>
      <c r="CE20" s="348" t="str">
        <f t="shared" ref="CE20:CE34" si="17">IF(AND($E20&gt;0,OR(AR20=""))," * No olvide digitar la variable Migrantes / Hombres (Digite Cero si no tiene).",IF(AR20&gt;$E20," * La variable Migrantes / Hombres no puede ser Mayor al Total.",""))</f>
        <v xml:space="preserve"> * La variable Migrantes / Hombres no puede ser Mayor al Total.</v>
      </c>
      <c r="CF20" s="348" t="str">
        <f t="shared" ref="CF20:CF34" si="18">IF(AND(F20&gt;0,OR(AS20=""))," * No olvide digitar la variable Migrantes / Mujeres (Digite Cero si no tiene).",IF(AS20&gt;F20," * La variable Migrantes / Mujeres no puede ser Mayor al Total.",""))</f>
        <v xml:space="preserve"> * La variable Migrantes / Mujeres no puede ser Mayor al Total.</v>
      </c>
      <c r="CG20" s="354"/>
      <c r="CH20" s="354"/>
      <c r="CI20" s="354"/>
      <c r="CJ20" s="352"/>
      <c r="CK20" s="358">
        <f t="shared" si="7"/>
        <v>1</v>
      </c>
      <c r="CL20" s="358">
        <f t="shared" si="8"/>
        <v>1</v>
      </c>
      <c r="CM20" s="358">
        <f t="shared" si="9"/>
        <v>1</v>
      </c>
      <c r="CN20" s="358">
        <f t="shared" si="10"/>
        <v>1</v>
      </c>
      <c r="CO20" s="358">
        <f t="shared" si="11"/>
        <v>0</v>
      </c>
      <c r="CP20" s="358">
        <f t="shared" si="12"/>
        <v>0</v>
      </c>
      <c r="CQ20" s="358">
        <f t="shared" si="13"/>
        <v>0</v>
      </c>
      <c r="CR20" s="358">
        <f t="shared" si="14"/>
        <v>0</v>
      </c>
    </row>
    <row r="21" spans="1:96" ht="16.5" customHeight="1" x14ac:dyDescent="0.3">
      <c r="A21" s="1637" t="s">
        <v>1150</v>
      </c>
      <c r="B21" s="2000" t="s">
        <v>135</v>
      </c>
      <c r="C21" s="2001"/>
      <c r="D21" s="665" t="s">
        <v>1550</v>
      </c>
      <c r="E21" s="683" t="s">
        <v>1551</v>
      </c>
      <c r="F21" s="667" t="s">
        <v>1552</v>
      </c>
      <c r="G21" s="704" t="s">
        <v>1553</v>
      </c>
      <c r="H21" s="705" t="s">
        <v>1554</v>
      </c>
      <c r="I21" s="704" t="s">
        <v>1555</v>
      </c>
      <c r="J21" s="705" t="s">
        <v>1556</v>
      </c>
      <c r="K21" s="704" t="s">
        <v>1557</v>
      </c>
      <c r="L21" s="705" t="s">
        <v>1558</v>
      </c>
      <c r="M21" s="704" t="s">
        <v>1559</v>
      </c>
      <c r="N21" s="705" t="s">
        <v>1560</v>
      </c>
      <c r="O21" s="704" t="s">
        <v>1561</v>
      </c>
      <c r="P21" s="705" t="s">
        <v>1562</v>
      </c>
      <c r="Q21" s="704" t="s">
        <v>1563</v>
      </c>
      <c r="R21" s="705" t="s">
        <v>1564</v>
      </c>
      <c r="S21" s="704" t="s">
        <v>1565</v>
      </c>
      <c r="T21" s="705" t="s">
        <v>1566</v>
      </c>
      <c r="U21" s="704" t="s">
        <v>1567</v>
      </c>
      <c r="V21" s="705" t="s">
        <v>1568</v>
      </c>
      <c r="W21" s="704" t="s">
        <v>1569</v>
      </c>
      <c r="X21" s="705" t="s">
        <v>1570</v>
      </c>
      <c r="Y21" s="704" t="s">
        <v>1571</v>
      </c>
      <c r="Z21" s="705" t="s">
        <v>1572</v>
      </c>
      <c r="AA21" s="704" t="s">
        <v>1573</v>
      </c>
      <c r="AB21" s="705" t="s">
        <v>1574</v>
      </c>
      <c r="AC21" s="704" t="s">
        <v>1575</v>
      </c>
      <c r="AD21" s="705" t="s">
        <v>1576</v>
      </c>
      <c r="AE21" s="704" t="s">
        <v>1577</v>
      </c>
      <c r="AF21" s="705" t="s">
        <v>1578</v>
      </c>
      <c r="AG21" s="704" t="s">
        <v>1579</v>
      </c>
      <c r="AH21" s="705" t="s">
        <v>1580</v>
      </c>
      <c r="AI21" s="704" t="s">
        <v>1581</v>
      </c>
      <c r="AJ21" s="705" t="s">
        <v>1582</v>
      </c>
      <c r="AK21" s="704" t="s">
        <v>1583</v>
      </c>
      <c r="AL21" s="705" t="s">
        <v>1584</v>
      </c>
      <c r="AM21" s="704" t="s">
        <v>1585</v>
      </c>
      <c r="AN21" s="706" t="s">
        <v>1586</v>
      </c>
      <c r="AO21" s="708" t="s">
        <v>1587</v>
      </c>
      <c r="AP21" s="740" t="s">
        <v>1588</v>
      </c>
      <c r="AQ21" s="685" t="s">
        <v>1589</v>
      </c>
      <c r="AR21" s="740" t="s">
        <v>1590</v>
      </c>
      <c r="AS21" s="685" t="s">
        <v>1591</v>
      </c>
      <c r="AT21" s="343" t="str">
        <f t="shared" si="0"/>
        <v xml:space="preserve"> * La variable Pueblos Originarios / Hombres no puede ser Mayor al Total. * La variable Pueblos Originarios / Mujeres no puede ser Mayor al Total. * La variable Migrantes / Hombres no puede ser Mayor al Total. * La variable Migrantes / Mujeres no puede ser Mayor al Total.</v>
      </c>
      <c r="CB21" s="354"/>
      <c r="CC21" s="348" t="str">
        <f t="shared" si="15"/>
        <v xml:space="preserve"> * La variable Pueblos Originarios / Hombres no puede ser Mayor al Total.</v>
      </c>
      <c r="CD21" s="348" t="str">
        <f t="shared" si="16"/>
        <v xml:space="preserve"> * La variable Pueblos Originarios / Mujeres no puede ser Mayor al Total.</v>
      </c>
      <c r="CE21" s="348" t="str">
        <f t="shared" si="17"/>
        <v xml:space="preserve"> * La variable Migrantes / Hombres no puede ser Mayor al Total.</v>
      </c>
      <c r="CF21" s="348" t="str">
        <f t="shared" si="18"/>
        <v xml:space="preserve"> * La variable Migrantes / Mujeres no puede ser Mayor al Total.</v>
      </c>
      <c r="CG21" s="354"/>
      <c r="CH21" s="354"/>
      <c r="CI21" s="354"/>
      <c r="CJ21" s="352"/>
      <c r="CK21" s="358">
        <f t="shared" si="7"/>
        <v>1</v>
      </c>
      <c r="CL21" s="358">
        <f t="shared" si="8"/>
        <v>1</v>
      </c>
      <c r="CM21" s="358">
        <f t="shared" si="9"/>
        <v>1</v>
      </c>
      <c r="CN21" s="358">
        <f t="shared" si="10"/>
        <v>1</v>
      </c>
      <c r="CO21" s="358">
        <f t="shared" si="11"/>
        <v>0</v>
      </c>
      <c r="CP21" s="358">
        <f t="shared" si="12"/>
        <v>0</v>
      </c>
      <c r="CQ21" s="358">
        <f t="shared" si="13"/>
        <v>0</v>
      </c>
      <c r="CR21" s="358">
        <f t="shared" si="14"/>
        <v>0</v>
      </c>
    </row>
    <row r="22" spans="1:96" ht="16.5" customHeight="1" x14ac:dyDescent="0.3">
      <c r="A22" s="1637" t="s">
        <v>1151</v>
      </c>
      <c r="B22" s="2136" t="s">
        <v>355</v>
      </c>
      <c r="C22" s="2137"/>
      <c r="D22" s="665" t="s">
        <v>1550</v>
      </c>
      <c r="E22" s="683" t="s">
        <v>1551</v>
      </c>
      <c r="F22" s="667" t="s">
        <v>1552</v>
      </c>
      <c r="G22" s="704" t="s">
        <v>1553</v>
      </c>
      <c r="H22" s="705" t="s">
        <v>1554</v>
      </c>
      <c r="I22" s="704" t="s">
        <v>1555</v>
      </c>
      <c r="J22" s="705" t="s">
        <v>1556</v>
      </c>
      <c r="K22" s="704" t="s">
        <v>1557</v>
      </c>
      <c r="L22" s="705" t="s">
        <v>1558</v>
      </c>
      <c r="M22" s="704" t="s">
        <v>1559</v>
      </c>
      <c r="N22" s="705" t="s">
        <v>1560</v>
      </c>
      <c r="O22" s="704" t="s">
        <v>1561</v>
      </c>
      <c r="P22" s="705" t="s">
        <v>1562</v>
      </c>
      <c r="Q22" s="704" t="s">
        <v>1563</v>
      </c>
      <c r="R22" s="705" t="s">
        <v>1564</v>
      </c>
      <c r="S22" s="704" t="s">
        <v>1565</v>
      </c>
      <c r="T22" s="705" t="s">
        <v>1566</v>
      </c>
      <c r="U22" s="704" t="s">
        <v>1567</v>
      </c>
      <c r="V22" s="705" t="s">
        <v>1568</v>
      </c>
      <c r="W22" s="704" t="s">
        <v>1569</v>
      </c>
      <c r="X22" s="705" t="s">
        <v>1570</v>
      </c>
      <c r="Y22" s="704" t="s">
        <v>1571</v>
      </c>
      <c r="Z22" s="705" t="s">
        <v>1572</v>
      </c>
      <c r="AA22" s="704" t="s">
        <v>1573</v>
      </c>
      <c r="AB22" s="705" t="s">
        <v>1574</v>
      </c>
      <c r="AC22" s="704" t="s">
        <v>1575</v>
      </c>
      <c r="AD22" s="705" t="s">
        <v>1576</v>
      </c>
      <c r="AE22" s="704" t="s">
        <v>1577</v>
      </c>
      <c r="AF22" s="705" t="s">
        <v>1578</v>
      </c>
      <c r="AG22" s="704" t="s">
        <v>1579</v>
      </c>
      <c r="AH22" s="705" t="s">
        <v>1580</v>
      </c>
      <c r="AI22" s="704" t="s">
        <v>1581</v>
      </c>
      <c r="AJ22" s="705" t="s">
        <v>1582</v>
      </c>
      <c r="AK22" s="704" t="s">
        <v>1583</v>
      </c>
      <c r="AL22" s="705" t="s">
        <v>1584</v>
      </c>
      <c r="AM22" s="704" t="s">
        <v>1585</v>
      </c>
      <c r="AN22" s="706" t="s">
        <v>1586</v>
      </c>
      <c r="AO22" s="708" t="s">
        <v>1587</v>
      </c>
      <c r="AP22" s="740" t="s">
        <v>1588</v>
      </c>
      <c r="AQ22" s="685" t="s">
        <v>1589</v>
      </c>
      <c r="AR22" s="740" t="s">
        <v>1590</v>
      </c>
      <c r="AS22" s="685" t="s">
        <v>1591</v>
      </c>
      <c r="AT22" s="343" t="str">
        <f t="shared" si="0"/>
        <v xml:space="preserve"> * La variable Pueblos Originarios / Hombres no puede ser Mayor al Total. * La variable Pueblos Originarios / Mujeres no puede ser Mayor al Total. * La variable Migrantes / Hombres no puede ser Mayor al Total. * La variable Migrantes / Mujeres no puede ser Mayor al Total.</v>
      </c>
      <c r="CB22" s="354"/>
      <c r="CC22" s="348" t="str">
        <f t="shared" si="15"/>
        <v xml:space="preserve"> * La variable Pueblos Originarios / Hombres no puede ser Mayor al Total.</v>
      </c>
      <c r="CD22" s="348" t="str">
        <f t="shared" si="16"/>
        <v xml:space="preserve"> * La variable Pueblos Originarios / Mujeres no puede ser Mayor al Total.</v>
      </c>
      <c r="CE22" s="348" t="str">
        <f t="shared" si="17"/>
        <v xml:space="preserve"> * La variable Migrantes / Hombres no puede ser Mayor al Total.</v>
      </c>
      <c r="CF22" s="348" t="str">
        <f t="shared" si="18"/>
        <v xml:space="preserve"> * La variable Migrantes / Mujeres no puede ser Mayor al Total.</v>
      </c>
      <c r="CG22" s="354"/>
      <c r="CH22" s="354"/>
      <c r="CI22" s="354"/>
      <c r="CJ22" s="352"/>
      <c r="CK22" s="358">
        <f t="shared" si="7"/>
        <v>1</v>
      </c>
      <c r="CL22" s="358">
        <f t="shared" si="8"/>
        <v>1</v>
      </c>
      <c r="CM22" s="358">
        <f t="shared" si="9"/>
        <v>1</v>
      </c>
      <c r="CN22" s="358">
        <f t="shared" si="10"/>
        <v>1</v>
      </c>
      <c r="CO22" s="358">
        <f t="shared" si="11"/>
        <v>0</v>
      </c>
      <c r="CP22" s="358">
        <f t="shared" si="12"/>
        <v>0</v>
      </c>
      <c r="CQ22" s="358">
        <f t="shared" si="13"/>
        <v>0</v>
      </c>
      <c r="CR22" s="358">
        <f t="shared" si="14"/>
        <v>0</v>
      </c>
    </row>
    <row r="23" spans="1:96" ht="16.5" customHeight="1" x14ac:dyDescent="0.3">
      <c r="A23" s="1637" t="s">
        <v>1152</v>
      </c>
      <c r="B23" s="2138" t="s">
        <v>136</v>
      </c>
      <c r="C23" s="2139"/>
      <c r="D23" s="671" t="s">
        <v>1550</v>
      </c>
      <c r="E23" s="672" t="s">
        <v>1551</v>
      </c>
      <c r="F23" s="673" t="s">
        <v>1552</v>
      </c>
      <c r="G23" s="704" t="s">
        <v>1553</v>
      </c>
      <c r="H23" s="705" t="s">
        <v>1554</v>
      </c>
      <c r="I23" s="704" t="s">
        <v>1555</v>
      </c>
      <c r="J23" s="705" t="s">
        <v>1556</v>
      </c>
      <c r="K23" s="704" t="s">
        <v>1557</v>
      </c>
      <c r="L23" s="705" t="s">
        <v>1558</v>
      </c>
      <c r="M23" s="704" t="s">
        <v>1559</v>
      </c>
      <c r="N23" s="705" t="s">
        <v>1560</v>
      </c>
      <c r="O23" s="704" t="s">
        <v>1561</v>
      </c>
      <c r="P23" s="705" t="s">
        <v>1562</v>
      </c>
      <c r="Q23" s="704" t="s">
        <v>1563</v>
      </c>
      <c r="R23" s="705" t="s">
        <v>1564</v>
      </c>
      <c r="S23" s="704" t="s">
        <v>1565</v>
      </c>
      <c r="T23" s="705" t="s">
        <v>1566</v>
      </c>
      <c r="U23" s="704" t="s">
        <v>1567</v>
      </c>
      <c r="V23" s="705" t="s">
        <v>1568</v>
      </c>
      <c r="W23" s="704" t="s">
        <v>1569</v>
      </c>
      <c r="X23" s="705" t="s">
        <v>1570</v>
      </c>
      <c r="Y23" s="704" t="s">
        <v>1571</v>
      </c>
      <c r="Z23" s="705" t="s">
        <v>1572</v>
      </c>
      <c r="AA23" s="704" t="s">
        <v>1573</v>
      </c>
      <c r="AB23" s="705" t="s">
        <v>1574</v>
      </c>
      <c r="AC23" s="704" t="s">
        <v>1575</v>
      </c>
      <c r="AD23" s="705" t="s">
        <v>1576</v>
      </c>
      <c r="AE23" s="704" t="s">
        <v>1577</v>
      </c>
      <c r="AF23" s="705" t="s">
        <v>1578</v>
      </c>
      <c r="AG23" s="727" t="s">
        <v>1579</v>
      </c>
      <c r="AH23" s="728" t="s">
        <v>1580</v>
      </c>
      <c r="AI23" s="727" t="s">
        <v>1581</v>
      </c>
      <c r="AJ23" s="728" t="s">
        <v>1582</v>
      </c>
      <c r="AK23" s="727" t="s">
        <v>1583</v>
      </c>
      <c r="AL23" s="728" t="s">
        <v>1584</v>
      </c>
      <c r="AM23" s="727" t="s">
        <v>1585</v>
      </c>
      <c r="AN23" s="855" t="s">
        <v>1586</v>
      </c>
      <c r="AO23" s="708" t="s">
        <v>1587</v>
      </c>
      <c r="AP23" s="740" t="s">
        <v>1588</v>
      </c>
      <c r="AQ23" s="685" t="s">
        <v>1589</v>
      </c>
      <c r="AR23" s="740" t="s">
        <v>1590</v>
      </c>
      <c r="AS23" s="685" t="s">
        <v>1591</v>
      </c>
      <c r="AT23" s="343" t="str">
        <f t="shared" si="0"/>
        <v xml:space="preserve"> * La variable Pueblos Originarios / Hombres no puede ser Mayor al Total. * La variable Pueblos Originarios / Mujeres no puede ser Mayor al Total. * La variable Migrantes / Hombres no puede ser Mayor al Total. * La variable Migrantes / Mujeres no puede ser Mayor al Total.</v>
      </c>
      <c r="CB23" s="354"/>
      <c r="CC23" s="348" t="str">
        <f t="shared" si="15"/>
        <v xml:space="preserve"> * La variable Pueblos Originarios / Hombres no puede ser Mayor al Total.</v>
      </c>
      <c r="CD23" s="348" t="str">
        <f t="shared" si="16"/>
        <v xml:space="preserve"> * La variable Pueblos Originarios / Mujeres no puede ser Mayor al Total.</v>
      </c>
      <c r="CE23" s="348" t="str">
        <f t="shared" si="17"/>
        <v xml:space="preserve"> * La variable Migrantes / Hombres no puede ser Mayor al Total.</v>
      </c>
      <c r="CF23" s="348" t="str">
        <f t="shared" si="18"/>
        <v xml:space="preserve"> * La variable Migrantes / Mujeres no puede ser Mayor al Total.</v>
      </c>
      <c r="CG23" s="354"/>
      <c r="CH23" s="354"/>
      <c r="CI23" s="354"/>
      <c r="CJ23" s="352"/>
      <c r="CK23" s="358">
        <f t="shared" si="7"/>
        <v>1</v>
      </c>
      <c r="CL23" s="358">
        <f t="shared" si="8"/>
        <v>1</v>
      </c>
      <c r="CM23" s="358">
        <f t="shared" si="9"/>
        <v>1</v>
      </c>
      <c r="CN23" s="358">
        <f t="shared" si="10"/>
        <v>1</v>
      </c>
      <c r="CO23" s="358">
        <f t="shared" si="11"/>
        <v>0</v>
      </c>
      <c r="CP23" s="358">
        <f t="shared" si="12"/>
        <v>0</v>
      </c>
      <c r="CQ23" s="358">
        <f t="shared" si="13"/>
        <v>0</v>
      </c>
      <c r="CR23" s="358">
        <f t="shared" si="14"/>
        <v>0</v>
      </c>
    </row>
    <row r="24" spans="1:96" ht="16.5" customHeight="1" x14ac:dyDescent="0.3">
      <c r="A24" s="1637" t="s">
        <v>1153</v>
      </c>
      <c r="B24" s="2128" t="s">
        <v>137</v>
      </c>
      <c r="C24" s="2129"/>
      <c r="D24" s="665" t="s">
        <v>1550</v>
      </c>
      <c r="E24" s="683" t="s">
        <v>1551</v>
      </c>
      <c r="F24" s="667" t="s">
        <v>1552</v>
      </c>
      <c r="G24" s="704" t="s">
        <v>1553</v>
      </c>
      <c r="H24" s="705" t="s">
        <v>1554</v>
      </c>
      <c r="I24" s="704" t="s">
        <v>1555</v>
      </c>
      <c r="J24" s="705" t="s">
        <v>1556</v>
      </c>
      <c r="K24" s="704" t="s">
        <v>1557</v>
      </c>
      <c r="L24" s="705" t="s">
        <v>1558</v>
      </c>
      <c r="M24" s="704" t="s">
        <v>1559</v>
      </c>
      <c r="N24" s="705" t="s">
        <v>1560</v>
      </c>
      <c r="O24" s="704" t="s">
        <v>1561</v>
      </c>
      <c r="P24" s="705" t="s">
        <v>1562</v>
      </c>
      <c r="Q24" s="704" t="s">
        <v>1563</v>
      </c>
      <c r="R24" s="705" t="s">
        <v>1564</v>
      </c>
      <c r="S24" s="704" t="s">
        <v>1565</v>
      </c>
      <c r="T24" s="705" t="s">
        <v>1566</v>
      </c>
      <c r="U24" s="704" t="s">
        <v>1567</v>
      </c>
      <c r="V24" s="705" t="s">
        <v>1568</v>
      </c>
      <c r="W24" s="704" t="s">
        <v>1569</v>
      </c>
      <c r="X24" s="705" t="s">
        <v>1570</v>
      </c>
      <c r="Y24" s="704" t="s">
        <v>1571</v>
      </c>
      <c r="Z24" s="705" t="s">
        <v>1572</v>
      </c>
      <c r="AA24" s="704" t="s">
        <v>1573</v>
      </c>
      <c r="AB24" s="705" t="s">
        <v>1574</v>
      </c>
      <c r="AC24" s="704" t="s">
        <v>1575</v>
      </c>
      <c r="AD24" s="705" t="s">
        <v>1576</v>
      </c>
      <c r="AE24" s="704" t="s">
        <v>1577</v>
      </c>
      <c r="AF24" s="705" t="s">
        <v>1578</v>
      </c>
      <c r="AG24" s="704" t="s">
        <v>1579</v>
      </c>
      <c r="AH24" s="705" t="s">
        <v>1580</v>
      </c>
      <c r="AI24" s="704" t="s">
        <v>1581</v>
      </c>
      <c r="AJ24" s="705" t="s">
        <v>1582</v>
      </c>
      <c r="AK24" s="704" t="s">
        <v>1583</v>
      </c>
      <c r="AL24" s="705" t="s">
        <v>1584</v>
      </c>
      <c r="AM24" s="704" t="s">
        <v>1585</v>
      </c>
      <c r="AN24" s="706" t="s">
        <v>1586</v>
      </c>
      <c r="AO24" s="708" t="s">
        <v>1587</v>
      </c>
      <c r="AP24" s="740" t="s">
        <v>1588</v>
      </c>
      <c r="AQ24" s="685" t="s">
        <v>1589</v>
      </c>
      <c r="AR24" s="740" t="s">
        <v>1590</v>
      </c>
      <c r="AS24" s="685" t="s">
        <v>1591</v>
      </c>
      <c r="AT24" s="343" t="str">
        <f t="shared" si="0"/>
        <v xml:space="preserve"> * La variable Pueblos Originarios / Hombres no puede ser Mayor al Total. * La variable Pueblos Originarios / Mujeres no puede ser Mayor al Total. * La variable Migrantes / Hombres no puede ser Mayor al Total. * La variable Migrantes / Mujeres no puede ser Mayor al Total.</v>
      </c>
      <c r="CB24" s="354"/>
      <c r="CC24" s="348" t="str">
        <f t="shared" si="15"/>
        <v xml:space="preserve"> * La variable Pueblos Originarios / Hombres no puede ser Mayor al Total.</v>
      </c>
      <c r="CD24" s="348" t="str">
        <f t="shared" si="16"/>
        <v xml:space="preserve"> * La variable Pueblos Originarios / Mujeres no puede ser Mayor al Total.</v>
      </c>
      <c r="CE24" s="348" t="str">
        <f t="shared" si="17"/>
        <v xml:space="preserve"> * La variable Migrantes / Hombres no puede ser Mayor al Total.</v>
      </c>
      <c r="CF24" s="348" t="str">
        <f t="shared" si="18"/>
        <v xml:space="preserve"> * La variable Migrantes / Mujeres no puede ser Mayor al Total.</v>
      </c>
      <c r="CG24" s="354"/>
      <c r="CH24" s="354"/>
      <c r="CI24" s="354"/>
      <c r="CJ24" s="352"/>
      <c r="CK24" s="358">
        <f t="shared" si="7"/>
        <v>1</v>
      </c>
      <c r="CL24" s="358">
        <f t="shared" si="8"/>
        <v>1</v>
      </c>
      <c r="CM24" s="358">
        <f t="shared" si="9"/>
        <v>1</v>
      </c>
      <c r="CN24" s="358">
        <f t="shared" si="10"/>
        <v>1</v>
      </c>
      <c r="CO24" s="358">
        <f t="shared" si="11"/>
        <v>0</v>
      </c>
      <c r="CP24" s="358">
        <f t="shared" si="12"/>
        <v>0</v>
      </c>
      <c r="CQ24" s="358">
        <f t="shared" si="13"/>
        <v>0</v>
      </c>
      <c r="CR24" s="358">
        <f t="shared" si="14"/>
        <v>0</v>
      </c>
    </row>
    <row r="25" spans="1:96" ht="16.5" customHeight="1" x14ac:dyDescent="0.3">
      <c r="A25" s="1637" t="s">
        <v>1154</v>
      </c>
      <c r="B25" s="238" t="s">
        <v>417</v>
      </c>
      <c r="C25" s="906"/>
      <c r="D25" s="665" t="s">
        <v>1550</v>
      </c>
      <c r="E25" s="683" t="s">
        <v>1551</v>
      </c>
      <c r="F25" s="667" t="s">
        <v>1552</v>
      </c>
      <c r="G25" s="704" t="s">
        <v>1553</v>
      </c>
      <c r="H25" s="705" t="s">
        <v>1554</v>
      </c>
      <c r="I25" s="704" t="s">
        <v>1555</v>
      </c>
      <c r="J25" s="705" t="s">
        <v>1556</v>
      </c>
      <c r="K25" s="704" t="s">
        <v>1557</v>
      </c>
      <c r="L25" s="705" t="s">
        <v>1558</v>
      </c>
      <c r="M25" s="704" t="s">
        <v>1559</v>
      </c>
      <c r="N25" s="705" t="s">
        <v>1560</v>
      </c>
      <c r="O25" s="704" t="s">
        <v>1561</v>
      </c>
      <c r="P25" s="705" t="s">
        <v>1562</v>
      </c>
      <c r="Q25" s="704" t="s">
        <v>1563</v>
      </c>
      <c r="R25" s="705" t="s">
        <v>1564</v>
      </c>
      <c r="S25" s="704" t="s">
        <v>1565</v>
      </c>
      <c r="T25" s="705" t="s">
        <v>1566</v>
      </c>
      <c r="U25" s="704" t="s">
        <v>1567</v>
      </c>
      <c r="V25" s="705" t="s">
        <v>1568</v>
      </c>
      <c r="W25" s="704" t="s">
        <v>1569</v>
      </c>
      <c r="X25" s="705" t="s">
        <v>1570</v>
      </c>
      <c r="Y25" s="704" t="s">
        <v>1571</v>
      </c>
      <c r="Z25" s="705" t="s">
        <v>1572</v>
      </c>
      <c r="AA25" s="704" t="s">
        <v>1573</v>
      </c>
      <c r="AB25" s="705" t="s">
        <v>1574</v>
      </c>
      <c r="AC25" s="704" t="s">
        <v>1575</v>
      </c>
      <c r="AD25" s="705" t="s">
        <v>1576</v>
      </c>
      <c r="AE25" s="704" t="s">
        <v>1577</v>
      </c>
      <c r="AF25" s="705" t="s">
        <v>1578</v>
      </c>
      <c r="AG25" s="704" t="s">
        <v>1579</v>
      </c>
      <c r="AH25" s="705" t="s">
        <v>1580</v>
      </c>
      <c r="AI25" s="704" t="s">
        <v>1581</v>
      </c>
      <c r="AJ25" s="705" t="s">
        <v>1582</v>
      </c>
      <c r="AK25" s="704" t="s">
        <v>1583</v>
      </c>
      <c r="AL25" s="705" t="s">
        <v>1584</v>
      </c>
      <c r="AM25" s="704" t="s">
        <v>1585</v>
      </c>
      <c r="AN25" s="706" t="s">
        <v>1586</v>
      </c>
      <c r="AO25" s="708" t="s">
        <v>1587</v>
      </c>
      <c r="AP25" s="740" t="s">
        <v>1588</v>
      </c>
      <c r="AQ25" s="685" t="s">
        <v>1589</v>
      </c>
      <c r="AR25" s="740" t="s">
        <v>1590</v>
      </c>
      <c r="AS25" s="685" t="s">
        <v>1591</v>
      </c>
      <c r="AT25" s="343" t="str">
        <f t="shared" si="0"/>
        <v xml:space="preserve"> * La variable Pueblos Originarios / Hombres no puede ser Mayor al Total. * La variable Pueblos Originarios / Mujeres no puede ser Mayor al Total. * La variable Migrantes / Hombres no puede ser Mayor al Total. * La variable Migrantes / Mujeres no puede ser Mayor al Total.</v>
      </c>
      <c r="CB25" s="354"/>
      <c r="CC25" s="348" t="str">
        <f t="shared" si="15"/>
        <v xml:space="preserve"> * La variable Pueblos Originarios / Hombres no puede ser Mayor al Total.</v>
      </c>
      <c r="CD25" s="348" t="str">
        <f t="shared" si="16"/>
        <v xml:space="preserve"> * La variable Pueblos Originarios / Mujeres no puede ser Mayor al Total.</v>
      </c>
      <c r="CE25" s="348" t="str">
        <f t="shared" si="17"/>
        <v xml:space="preserve"> * La variable Migrantes / Hombres no puede ser Mayor al Total.</v>
      </c>
      <c r="CF25" s="348" t="str">
        <f t="shared" si="18"/>
        <v xml:space="preserve"> * La variable Migrantes / Mujeres no puede ser Mayor al Total.</v>
      </c>
      <c r="CG25" s="354"/>
      <c r="CH25" s="354"/>
      <c r="CI25" s="354"/>
      <c r="CJ25" s="352"/>
      <c r="CK25" s="358">
        <f t="shared" si="7"/>
        <v>1</v>
      </c>
      <c r="CL25" s="358">
        <f t="shared" si="8"/>
        <v>1</v>
      </c>
      <c r="CM25" s="358">
        <f t="shared" si="9"/>
        <v>1</v>
      </c>
      <c r="CN25" s="358">
        <f t="shared" si="10"/>
        <v>1</v>
      </c>
      <c r="CO25" s="358">
        <f t="shared" si="11"/>
        <v>0</v>
      </c>
      <c r="CP25" s="358">
        <f t="shared" si="12"/>
        <v>0</v>
      </c>
      <c r="CQ25" s="358">
        <f t="shared" si="13"/>
        <v>0</v>
      </c>
      <c r="CR25" s="358">
        <f t="shared" si="14"/>
        <v>0</v>
      </c>
    </row>
    <row r="26" spans="1:96" ht="16.5" customHeight="1" x14ac:dyDescent="0.3">
      <c r="A26" s="1637" t="s">
        <v>1155</v>
      </c>
      <c r="B26" s="2128" t="s">
        <v>138</v>
      </c>
      <c r="C26" s="2129"/>
      <c r="D26" s="665" t="s">
        <v>1550</v>
      </c>
      <c r="E26" s="683" t="s">
        <v>1551</v>
      </c>
      <c r="F26" s="667" t="s">
        <v>1552</v>
      </c>
      <c r="G26" s="704" t="s">
        <v>1553</v>
      </c>
      <c r="H26" s="705" t="s">
        <v>1554</v>
      </c>
      <c r="I26" s="704" t="s">
        <v>1555</v>
      </c>
      <c r="J26" s="705" t="s">
        <v>1556</v>
      </c>
      <c r="K26" s="704" t="s">
        <v>1557</v>
      </c>
      <c r="L26" s="705" t="s">
        <v>1558</v>
      </c>
      <c r="M26" s="704" t="s">
        <v>1559</v>
      </c>
      <c r="N26" s="705" t="s">
        <v>1560</v>
      </c>
      <c r="O26" s="704" t="s">
        <v>1561</v>
      </c>
      <c r="P26" s="705" t="s">
        <v>1562</v>
      </c>
      <c r="Q26" s="704" t="s">
        <v>1563</v>
      </c>
      <c r="R26" s="705" t="s">
        <v>1564</v>
      </c>
      <c r="S26" s="704" t="s">
        <v>1565</v>
      </c>
      <c r="T26" s="705" t="s">
        <v>1566</v>
      </c>
      <c r="U26" s="704" t="s">
        <v>1567</v>
      </c>
      <c r="V26" s="705" t="s">
        <v>1568</v>
      </c>
      <c r="W26" s="704" t="s">
        <v>1569</v>
      </c>
      <c r="X26" s="705" t="s">
        <v>1570</v>
      </c>
      <c r="Y26" s="704" t="s">
        <v>1571</v>
      </c>
      <c r="Z26" s="705" t="s">
        <v>1572</v>
      </c>
      <c r="AA26" s="704" t="s">
        <v>1573</v>
      </c>
      <c r="AB26" s="705" t="s">
        <v>1574</v>
      </c>
      <c r="AC26" s="704" t="s">
        <v>1575</v>
      </c>
      <c r="AD26" s="705" t="s">
        <v>1576</v>
      </c>
      <c r="AE26" s="704" t="s">
        <v>1577</v>
      </c>
      <c r="AF26" s="705" t="s">
        <v>1578</v>
      </c>
      <c r="AG26" s="704" t="s">
        <v>1579</v>
      </c>
      <c r="AH26" s="705" t="s">
        <v>1580</v>
      </c>
      <c r="AI26" s="704" t="s">
        <v>1581</v>
      </c>
      <c r="AJ26" s="705" t="s">
        <v>1582</v>
      </c>
      <c r="AK26" s="704" t="s">
        <v>1583</v>
      </c>
      <c r="AL26" s="705" t="s">
        <v>1584</v>
      </c>
      <c r="AM26" s="704" t="s">
        <v>1585</v>
      </c>
      <c r="AN26" s="706" t="s">
        <v>1586</v>
      </c>
      <c r="AO26" s="708" t="s">
        <v>1587</v>
      </c>
      <c r="AP26" s="740" t="s">
        <v>1588</v>
      </c>
      <c r="AQ26" s="685" t="s">
        <v>1589</v>
      </c>
      <c r="AR26" s="740" t="s">
        <v>1590</v>
      </c>
      <c r="AS26" s="685" t="s">
        <v>1591</v>
      </c>
      <c r="AT26" s="343" t="str">
        <f t="shared" si="0"/>
        <v xml:space="preserve"> * La variable Pueblos Originarios / Hombres no puede ser Mayor al Total. * La variable Pueblos Originarios / Mujeres no puede ser Mayor al Total. * La variable Migrantes / Hombres no puede ser Mayor al Total. * La variable Migrantes / Mujeres no puede ser Mayor al Total.</v>
      </c>
      <c r="CB26" s="354"/>
      <c r="CC26" s="348" t="str">
        <f t="shared" si="15"/>
        <v xml:space="preserve"> * La variable Pueblos Originarios / Hombres no puede ser Mayor al Total.</v>
      </c>
      <c r="CD26" s="348" t="str">
        <f t="shared" si="16"/>
        <v xml:space="preserve"> * La variable Pueblos Originarios / Mujeres no puede ser Mayor al Total.</v>
      </c>
      <c r="CE26" s="348" t="str">
        <f t="shared" si="17"/>
        <v xml:space="preserve"> * La variable Migrantes / Hombres no puede ser Mayor al Total.</v>
      </c>
      <c r="CF26" s="348" t="str">
        <f t="shared" si="18"/>
        <v xml:space="preserve"> * La variable Migrantes / Mujeres no puede ser Mayor al Total.</v>
      </c>
      <c r="CG26" s="354"/>
      <c r="CH26" s="354"/>
      <c r="CI26" s="354"/>
      <c r="CJ26" s="352"/>
      <c r="CK26" s="358">
        <f t="shared" si="7"/>
        <v>1</v>
      </c>
      <c r="CL26" s="358">
        <f t="shared" si="8"/>
        <v>1</v>
      </c>
      <c r="CM26" s="358">
        <f t="shared" si="9"/>
        <v>1</v>
      </c>
      <c r="CN26" s="358">
        <f t="shared" si="10"/>
        <v>1</v>
      </c>
      <c r="CO26" s="358">
        <f t="shared" si="11"/>
        <v>0</v>
      </c>
      <c r="CP26" s="358">
        <f t="shared" si="12"/>
        <v>0</v>
      </c>
      <c r="CQ26" s="358">
        <f t="shared" si="13"/>
        <v>0</v>
      </c>
      <c r="CR26" s="358">
        <f t="shared" si="14"/>
        <v>0</v>
      </c>
    </row>
    <row r="27" spans="1:96" ht="16.5" customHeight="1" x14ac:dyDescent="0.3">
      <c r="A27" s="1637" t="s">
        <v>1156</v>
      </c>
      <c r="B27" s="2128" t="s">
        <v>139</v>
      </c>
      <c r="C27" s="2142"/>
      <c r="D27" s="665" t="s">
        <v>1550</v>
      </c>
      <c r="E27" s="683" t="s">
        <v>1551</v>
      </c>
      <c r="F27" s="667" t="s">
        <v>1552</v>
      </c>
      <c r="G27" s="704" t="s">
        <v>1553</v>
      </c>
      <c r="H27" s="705" t="s">
        <v>1554</v>
      </c>
      <c r="I27" s="704" t="s">
        <v>1555</v>
      </c>
      <c r="J27" s="705" t="s">
        <v>1556</v>
      </c>
      <c r="K27" s="704" t="s">
        <v>1557</v>
      </c>
      <c r="L27" s="705" t="s">
        <v>1558</v>
      </c>
      <c r="M27" s="704" t="s">
        <v>1559</v>
      </c>
      <c r="N27" s="705" t="s">
        <v>1560</v>
      </c>
      <c r="O27" s="704" t="s">
        <v>1561</v>
      </c>
      <c r="P27" s="705" t="s">
        <v>1562</v>
      </c>
      <c r="Q27" s="704" t="s">
        <v>1563</v>
      </c>
      <c r="R27" s="705" t="s">
        <v>1564</v>
      </c>
      <c r="S27" s="704" t="s">
        <v>1565</v>
      </c>
      <c r="T27" s="705" t="s">
        <v>1566</v>
      </c>
      <c r="U27" s="704" t="s">
        <v>1567</v>
      </c>
      <c r="V27" s="705" t="s">
        <v>1568</v>
      </c>
      <c r="W27" s="704" t="s">
        <v>1569</v>
      </c>
      <c r="X27" s="705" t="s">
        <v>1570</v>
      </c>
      <c r="Y27" s="704" t="s">
        <v>1571</v>
      </c>
      <c r="Z27" s="705" t="s">
        <v>1572</v>
      </c>
      <c r="AA27" s="704" t="s">
        <v>1573</v>
      </c>
      <c r="AB27" s="705" t="s">
        <v>1574</v>
      </c>
      <c r="AC27" s="704" t="s">
        <v>1575</v>
      </c>
      <c r="AD27" s="705" t="s">
        <v>1576</v>
      </c>
      <c r="AE27" s="704" t="s">
        <v>1577</v>
      </c>
      <c r="AF27" s="705" t="s">
        <v>1578</v>
      </c>
      <c r="AG27" s="704" t="s">
        <v>1579</v>
      </c>
      <c r="AH27" s="705" t="s">
        <v>1580</v>
      </c>
      <c r="AI27" s="704" t="s">
        <v>1581</v>
      </c>
      <c r="AJ27" s="705" t="s">
        <v>1582</v>
      </c>
      <c r="AK27" s="704" t="s">
        <v>1583</v>
      </c>
      <c r="AL27" s="705" t="s">
        <v>1584</v>
      </c>
      <c r="AM27" s="704" t="s">
        <v>1585</v>
      </c>
      <c r="AN27" s="706" t="s">
        <v>1586</v>
      </c>
      <c r="AO27" s="708" t="s">
        <v>1587</v>
      </c>
      <c r="AP27" s="740" t="s">
        <v>1588</v>
      </c>
      <c r="AQ27" s="685" t="s">
        <v>1589</v>
      </c>
      <c r="AR27" s="740" t="s">
        <v>1590</v>
      </c>
      <c r="AS27" s="685" t="s">
        <v>1591</v>
      </c>
      <c r="AT27" s="343" t="str">
        <f t="shared" si="0"/>
        <v xml:space="preserve"> * La variable Pueblos Originarios / Hombres no puede ser Mayor al Total. * La variable Pueblos Originarios / Mujeres no puede ser Mayor al Total. * La variable Migrantes / Hombres no puede ser Mayor al Total. * La variable Migrantes / Mujeres no puede ser Mayor al Total.</v>
      </c>
      <c r="CB27" s="354"/>
      <c r="CC27" s="348" t="str">
        <f t="shared" si="15"/>
        <v xml:space="preserve"> * La variable Pueblos Originarios / Hombres no puede ser Mayor al Total.</v>
      </c>
      <c r="CD27" s="348" t="str">
        <f t="shared" si="16"/>
        <v xml:space="preserve"> * La variable Pueblos Originarios / Mujeres no puede ser Mayor al Total.</v>
      </c>
      <c r="CE27" s="348" t="str">
        <f t="shared" si="17"/>
        <v xml:space="preserve"> * La variable Migrantes / Hombres no puede ser Mayor al Total.</v>
      </c>
      <c r="CF27" s="348" t="str">
        <f t="shared" si="18"/>
        <v xml:space="preserve"> * La variable Migrantes / Mujeres no puede ser Mayor al Total.</v>
      </c>
      <c r="CG27" s="354"/>
      <c r="CH27" s="354"/>
      <c r="CI27" s="354"/>
      <c r="CJ27" s="352"/>
      <c r="CK27" s="358">
        <f t="shared" si="7"/>
        <v>1</v>
      </c>
      <c r="CL27" s="358">
        <f t="shared" si="8"/>
        <v>1</v>
      </c>
      <c r="CM27" s="358">
        <f t="shared" si="9"/>
        <v>1</v>
      </c>
      <c r="CN27" s="358">
        <f t="shared" si="10"/>
        <v>1</v>
      </c>
      <c r="CO27" s="358">
        <f t="shared" si="11"/>
        <v>0</v>
      </c>
      <c r="CP27" s="358">
        <f t="shared" si="12"/>
        <v>0</v>
      </c>
      <c r="CQ27" s="358">
        <f t="shared" si="13"/>
        <v>0</v>
      </c>
      <c r="CR27" s="358">
        <f t="shared" si="14"/>
        <v>0</v>
      </c>
    </row>
    <row r="28" spans="1:96" ht="16.5" customHeight="1" x14ac:dyDescent="0.3">
      <c r="A28" s="1637" t="s">
        <v>1157</v>
      </c>
      <c r="B28" s="2133" t="s">
        <v>140</v>
      </c>
      <c r="C28" s="2143"/>
      <c r="D28" s="665" t="s">
        <v>1550</v>
      </c>
      <c r="E28" s="683" t="s">
        <v>1551</v>
      </c>
      <c r="F28" s="667" t="s">
        <v>1552</v>
      </c>
      <c r="G28" s="704" t="s">
        <v>1553</v>
      </c>
      <c r="H28" s="705" t="s">
        <v>1554</v>
      </c>
      <c r="I28" s="704" t="s">
        <v>1555</v>
      </c>
      <c r="J28" s="705" t="s">
        <v>1556</v>
      </c>
      <c r="K28" s="704" t="s">
        <v>1557</v>
      </c>
      <c r="L28" s="705" t="s">
        <v>1558</v>
      </c>
      <c r="M28" s="704" t="s">
        <v>1559</v>
      </c>
      <c r="N28" s="705" t="s">
        <v>1560</v>
      </c>
      <c r="O28" s="704" t="s">
        <v>1561</v>
      </c>
      <c r="P28" s="705" t="s">
        <v>1562</v>
      </c>
      <c r="Q28" s="704" t="s">
        <v>1563</v>
      </c>
      <c r="R28" s="705" t="s">
        <v>1564</v>
      </c>
      <c r="S28" s="704" t="s">
        <v>1565</v>
      </c>
      <c r="T28" s="705" t="s">
        <v>1566</v>
      </c>
      <c r="U28" s="704" t="s">
        <v>1567</v>
      </c>
      <c r="V28" s="705" t="s">
        <v>1568</v>
      </c>
      <c r="W28" s="704" t="s">
        <v>1569</v>
      </c>
      <c r="X28" s="705" t="s">
        <v>1570</v>
      </c>
      <c r="Y28" s="704" t="s">
        <v>1571</v>
      </c>
      <c r="Z28" s="705" t="s">
        <v>1572</v>
      </c>
      <c r="AA28" s="704" t="s">
        <v>1573</v>
      </c>
      <c r="AB28" s="705" t="s">
        <v>1574</v>
      </c>
      <c r="AC28" s="704" t="s">
        <v>1575</v>
      </c>
      <c r="AD28" s="705" t="s">
        <v>1576</v>
      </c>
      <c r="AE28" s="704" t="s">
        <v>1577</v>
      </c>
      <c r="AF28" s="705" t="s">
        <v>1578</v>
      </c>
      <c r="AG28" s="704" t="s">
        <v>1579</v>
      </c>
      <c r="AH28" s="705" t="s">
        <v>1580</v>
      </c>
      <c r="AI28" s="704" t="s">
        <v>1581</v>
      </c>
      <c r="AJ28" s="705" t="s">
        <v>1582</v>
      </c>
      <c r="AK28" s="704" t="s">
        <v>1583</v>
      </c>
      <c r="AL28" s="705" t="s">
        <v>1584</v>
      </c>
      <c r="AM28" s="704" t="s">
        <v>1585</v>
      </c>
      <c r="AN28" s="706" t="s">
        <v>1586</v>
      </c>
      <c r="AO28" s="708" t="s">
        <v>1587</v>
      </c>
      <c r="AP28" s="740" t="s">
        <v>1588</v>
      </c>
      <c r="AQ28" s="685" t="s">
        <v>1589</v>
      </c>
      <c r="AR28" s="740" t="s">
        <v>1590</v>
      </c>
      <c r="AS28" s="685" t="s">
        <v>1591</v>
      </c>
      <c r="AT28" s="343" t="str">
        <f t="shared" si="0"/>
        <v xml:space="preserve"> * La variable Pueblos Originarios / Hombres no puede ser Mayor al Total. * La variable Pueblos Originarios / Mujeres no puede ser Mayor al Total. * La variable Migrantes / Hombres no puede ser Mayor al Total. * La variable Migrantes / Mujeres no puede ser Mayor al Total.</v>
      </c>
      <c r="CB28" s="354"/>
      <c r="CC28" s="348" t="str">
        <f t="shared" si="15"/>
        <v xml:space="preserve"> * La variable Pueblos Originarios / Hombres no puede ser Mayor al Total.</v>
      </c>
      <c r="CD28" s="348" t="str">
        <f t="shared" si="16"/>
        <v xml:space="preserve"> * La variable Pueblos Originarios / Mujeres no puede ser Mayor al Total.</v>
      </c>
      <c r="CE28" s="348" t="str">
        <f t="shared" si="17"/>
        <v xml:space="preserve"> * La variable Migrantes / Hombres no puede ser Mayor al Total.</v>
      </c>
      <c r="CF28" s="348" t="str">
        <f t="shared" si="18"/>
        <v xml:space="preserve"> * La variable Migrantes / Mujeres no puede ser Mayor al Total.</v>
      </c>
      <c r="CG28" s="354"/>
      <c r="CH28" s="354"/>
      <c r="CI28" s="354"/>
      <c r="CJ28" s="352"/>
      <c r="CK28" s="358">
        <f t="shared" si="7"/>
        <v>1</v>
      </c>
      <c r="CL28" s="358">
        <f t="shared" si="8"/>
        <v>1</v>
      </c>
      <c r="CM28" s="358">
        <f t="shared" si="9"/>
        <v>1</v>
      </c>
      <c r="CN28" s="358">
        <f t="shared" si="10"/>
        <v>1</v>
      </c>
      <c r="CO28" s="358">
        <f t="shared" si="11"/>
        <v>0</v>
      </c>
      <c r="CP28" s="358">
        <f t="shared" si="12"/>
        <v>0</v>
      </c>
      <c r="CQ28" s="358">
        <f t="shared" si="13"/>
        <v>0</v>
      </c>
      <c r="CR28" s="358">
        <f t="shared" si="14"/>
        <v>0</v>
      </c>
    </row>
    <row r="29" spans="1:96" ht="16.5" customHeight="1" x14ac:dyDescent="0.3">
      <c r="A29" s="1637" t="s">
        <v>1158</v>
      </c>
      <c r="B29" s="2133" t="s">
        <v>141</v>
      </c>
      <c r="C29" s="2134"/>
      <c r="D29" s="665" t="s">
        <v>1550</v>
      </c>
      <c r="E29" s="683" t="s">
        <v>1551</v>
      </c>
      <c r="F29" s="667" t="s">
        <v>1552</v>
      </c>
      <c r="G29" s="704" t="s">
        <v>1553</v>
      </c>
      <c r="H29" s="705" t="s">
        <v>1554</v>
      </c>
      <c r="I29" s="704" t="s">
        <v>1555</v>
      </c>
      <c r="J29" s="705" t="s">
        <v>1556</v>
      </c>
      <c r="K29" s="704" t="s">
        <v>1557</v>
      </c>
      <c r="L29" s="705" t="s">
        <v>1558</v>
      </c>
      <c r="M29" s="704" t="s">
        <v>1559</v>
      </c>
      <c r="N29" s="705" t="s">
        <v>1560</v>
      </c>
      <c r="O29" s="704" t="s">
        <v>1561</v>
      </c>
      <c r="P29" s="705" t="s">
        <v>1562</v>
      </c>
      <c r="Q29" s="704" t="s">
        <v>1563</v>
      </c>
      <c r="R29" s="705" t="s">
        <v>1564</v>
      </c>
      <c r="S29" s="704" t="s">
        <v>1565</v>
      </c>
      <c r="T29" s="705" t="s">
        <v>1566</v>
      </c>
      <c r="U29" s="704" t="s">
        <v>1567</v>
      </c>
      <c r="V29" s="705" t="s">
        <v>1568</v>
      </c>
      <c r="W29" s="704" t="s">
        <v>1569</v>
      </c>
      <c r="X29" s="705" t="s">
        <v>1570</v>
      </c>
      <c r="Y29" s="704" t="s">
        <v>1571</v>
      </c>
      <c r="Z29" s="705" t="s">
        <v>1572</v>
      </c>
      <c r="AA29" s="704" t="s">
        <v>1573</v>
      </c>
      <c r="AB29" s="705" t="s">
        <v>1574</v>
      </c>
      <c r="AC29" s="704" t="s">
        <v>1575</v>
      </c>
      <c r="AD29" s="705" t="s">
        <v>1576</v>
      </c>
      <c r="AE29" s="704" t="s">
        <v>1577</v>
      </c>
      <c r="AF29" s="705" t="s">
        <v>1578</v>
      </c>
      <c r="AG29" s="704" t="s">
        <v>1579</v>
      </c>
      <c r="AH29" s="705" t="s">
        <v>1580</v>
      </c>
      <c r="AI29" s="704" t="s">
        <v>1581</v>
      </c>
      <c r="AJ29" s="705" t="s">
        <v>1582</v>
      </c>
      <c r="AK29" s="704" t="s">
        <v>1583</v>
      </c>
      <c r="AL29" s="705" t="s">
        <v>1584</v>
      </c>
      <c r="AM29" s="704" t="s">
        <v>1585</v>
      </c>
      <c r="AN29" s="706" t="s">
        <v>1586</v>
      </c>
      <c r="AO29" s="708" t="s">
        <v>1587</v>
      </c>
      <c r="AP29" s="740" t="s">
        <v>1588</v>
      </c>
      <c r="AQ29" s="685" t="s">
        <v>1589</v>
      </c>
      <c r="AR29" s="740" t="s">
        <v>1590</v>
      </c>
      <c r="AS29" s="685" t="s">
        <v>1591</v>
      </c>
      <c r="AT29" s="343" t="str">
        <f t="shared" si="0"/>
        <v xml:space="preserve"> * La variable Pueblos Originarios / Hombres no puede ser Mayor al Total. * La variable Pueblos Originarios / Mujeres no puede ser Mayor al Total. * La variable Migrantes / Hombres no puede ser Mayor al Total. * La variable Migrantes / Mujeres no puede ser Mayor al Total.</v>
      </c>
      <c r="CB29" s="354"/>
      <c r="CC29" s="348" t="str">
        <f t="shared" si="15"/>
        <v xml:space="preserve"> * La variable Pueblos Originarios / Hombres no puede ser Mayor al Total.</v>
      </c>
      <c r="CD29" s="348" t="str">
        <f t="shared" si="16"/>
        <v xml:space="preserve"> * La variable Pueblos Originarios / Mujeres no puede ser Mayor al Total.</v>
      </c>
      <c r="CE29" s="348" t="str">
        <f t="shared" si="17"/>
        <v xml:space="preserve"> * La variable Migrantes / Hombres no puede ser Mayor al Total.</v>
      </c>
      <c r="CF29" s="348" t="str">
        <f t="shared" si="18"/>
        <v xml:space="preserve"> * La variable Migrantes / Mujeres no puede ser Mayor al Total.</v>
      </c>
      <c r="CG29" s="354"/>
      <c r="CH29" s="354"/>
      <c r="CI29" s="354"/>
      <c r="CJ29" s="352"/>
      <c r="CK29" s="358">
        <f t="shared" si="7"/>
        <v>1</v>
      </c>
      <c r="CL29" s="358">
        <f t="shared" si="8"/>
        <v>1</v>
      </c>
      <c r="CM29" s="358">
        <f t="shared" si="9"/>
        <v>1</v>
      </c>
      <c r="CN29" s="358">
        <f t="shared" si="10"/>
        <v>1</v>
      </c>
      <c r="CO29" s="358">
        <f t="shared" si="11"/>
        <v>0</v>
      </c>
      <c r="CP29" s="358">
        <f t="shared" si="12"/>
        <v>0</v>
      </c>
      <c r="CQ29" s="358">
        <f t="shared" si="13"/>
        <v>0</v>
      </c>
      <c r="CR29" s="358">
        <f t="shared" si="14"/>
        <v>0</v>
      </c>
    </row>
    <row r="30" spans="1:96" ht="16.5" customHeight="1" x14ac:dyDescent="0.3">
      <c r="A30" s="1637" t="s">
        <v>1159</v>
      </c>
      <c r="B30" s="2135" t="s">
        <v>142</v>
      </c>
      <c r="C30" s="2135"/>
      <c r="D30" s="665" t="s">
        <v>1550</v>
      </c>
      <c r="E30" s="683" t="s">
        <v>1551</v>
      </c>
      <c r="F30" s="667" t="s">
        <v>1552</v>
      </c>
      <c r="G30" s="704" t="s">
        <v>1553</v>
      </c>
      <c r="H30" s="705" t="s">
        <v>1554</v>
      </c>
      <c r="I30" s="704" t="s">
        <v>1555</v>
      </c>
      <c r="J30" s="705" t="s">
        <v>1556</v>
      </c>
      <c r="K30" s="704" t="s">
        <v>1557</v>
      </c>
      <c r="L30" s="705" t="s">
        <v>1558</v>
      </c>
      <c r="M30" s="704" t="s">
        <v>1559</v>
      </c>
      <c r="N30" s="705" t="s">
        <v>1560</v>
      </c>
      <c r="O30" s="704" t="s">
        <v>1561</v>
      </c>
      <c r="P30" s="705" t="s">
        <v>1562</v>
      </c>
      <c r="Q30" s="704" t="s">
        <v>1563</v>
      </c>
      <c r="R30" s="705" t="s">
        <v>1564</v>
      </c>
      <c r="S30" s="704" t="s">
        <v>1565</v>
      </c>
      <c r="T30" s="705" t="s">
        <v>1566</v>
      </c>
      <c r="U30" s="704" t="s">
        <v>1567</v>
      </c>
      <c r="V30" s="705" t="s">
        <v>1568</v>
      </c>
      <c r="W30" s="704" t="s">
        <v>1569</v>
      </c>
      <c r="X30" s="705" t="s">
        <v>1570</v>
      </c>
      <c r="Y30" s="704" t="s">
        <v>1571</v>
      </c>
      <c r="Z30" s="705" t="s">
        <v>1572</v>
      </c>
      <c r="AA30" s="704" t="s">
        <v>1573</v>
      </c>
      <c r="AB30" s="705" t="s">
        <v>1574</v>
      </c>
      <c r="AC30" s="704" t="s">
        <v>1575</v>
      </c>
      <c r="AD30" s="705" t="s">
        <v>1576</v>
      </c>
      <c r="AE30" s="704" t="s">
        <v>1577</v>
      </c>
      <c r="AF30" s="705" t="s">
        <v>1578</v>
      </c>
      <c r="AG30" s="704" t="s">
        <v>1579</v>
      </c>
      <c r="AH30" s="705" t="s">
        <v>1580</v>
      </c>
      <c r="AI30" s="704" t="s">
        <v>1581</v>
      </c>
      <c r="AJ30" s="705" t="s">
        <v>1582</v>
      </c>
      <c r="AK30" s="704" t="s">
        <v>1583</v>
      </c>
      <c r="AL30" s="705" t="s">
        <v>1584</v>
      </c>
      <c r="AM30" s="704" t="s">
        <v>1585</v>
      </c>
      <c r="AN30" s="706" t="s">
        <v>1586</v>
      </c>
      <c r="AO30" s="708" t="s">
        <v>1587</v>
      </c>
      <c r="AP30" s="740" t="s">
        <v>1588</v>
      </c>
      <c r="AQ30" s="685" t="s">
        <v>1589</v>
      </c>
      <c r="AR30" s="740" t="s">
        <v>1590</v>
      </c>
      <c r="AS30" s="685" t="s">
        <v>1591</v>
      </c>
      <c r="AT30" s="343" t="str">
        <f t="shared" si="0"/>
        <v xml:space="preserve"> * La variable Pueblos Originarios / Hombres no puede ser Mayor al Total. * La variable Pueblos Originarios / Mujeres no puede ser Mayor al Total. * La variable Migrantes / Hombres no puede ser Mayor al Total. * La variable Migrantes / Mujeres no puede ser Mayor al Total.</v>
      </c>
      <c r="CB30" s="354"/>
      <c r="CC30" s="348" t="str">
        <f t="shared" si="15"/>
        <v xml:space="preserve"> * La variable Pueblos Originarios / Hombres no puede ser Mayor al Total.</v>
      </c>
      <c r="CD30" s="348" t="str">
        <f t="shared" si="16"/>
        <v xml:space="preserve"> * La variable Pueblos Originarios / Mujeres no puede ser Mayor al Total.</v>
      </c>
      <c r="CE30" s="348" t="str">
        <f t="shared" si="17"/>
        <v xml:space="preserve"> * La variable Migrantes / Hombres no puede ser Mayor al Total.</v>
      </c>
      <c r="CF30" s="348" t="str">
        <f t="shared" si="18"/>
        <v xml:space="preserve"> * La variable Migrantes / Mujeres no puede ser Mayor al Total.</v>
      </c>
      <c r="CG30" s="354"/>
      <c r="CH30" s="354"/>
      <c r="CI30" s="354"/>
      <c r="CJ30" s="352"/>
      <c r="CK30" s="358">
        <f t="shared" si="7"/>
        <v>1</v>
      </c>
      <c r="CL30" s="358">
        <f t="shared" si="8"/>
        <v>1</v>
      </c>
      <c r="CM30" s="358">
        <f t="shared" si="9"/>
        <v>1</v>
      </c>
      <c r="CN30" s="358">
        <f t="shared" si="10"/>
        <v>1</v>
      </c>
      <c r="CO30" s="358">
        <f t="shared" si="11"/>
        <v>0</v>
      </c>
      <c r="CP30" s="358">
        <f t="shared" si="12"/>
        <v>0</v>
      </c>
      <c r="CQ30" s="358">
        <f t="shared" si="13"/>
        <v>0</v>
      </c>
      <c r="CR30" s="358">
        <f t="shared" si="14"/>
        <v>0</v>
      </c>
    </row>
    <row r="31" spans="1:96" ht="16.5" customHeight="1" x14ac:dyDescent="0.3">
      <c r="A31" s="1637" t="s">
        <v>1160</v>
      </c>
      <c r="B31" s="2130" t="s">
        <v>143</v>
      </c>
      <c r="C31" s="2130"/>
      <c r="D31" s="668" t="s">
        <v>1550</v>
      </c>
      <c r="E31" s="677" t="s">
        <v>1551</v>
      </c>
      <c r="F31" s="670" t="s">
        <v>1552</v>
      </c>
      <c r="G31" s="689" t="s">
        <v>1553</v>
      </c>
      <c r="H31" s="690" t="s">
        <v>1554</v>
      </c>
      <c r="I31" s="689" t="s">
        <v>1555</v>
      </c>
      <c r="J31" s="690" t="s">
        <v>1556</v>
      </c>
      <c r="K31" s="689" t="s">
        <v>1557</v>
      </c>
      <c r="L31" s="690" t="s">
        <v>1558</v>
      </c>
      <c r="M31" s="689" t="s">
        <v>1559</v>
      </c>
      <c r="N31" s="690" t="s">
        <v>1560</v>
      </c>
      <c r="O31" s="689" t="s">
        <v>1561</v>
      </c>
      <c r="P31" s="690" t="s">
        <v>1562</v>
      </c>
      <c r="Q31" s="689" t="s">
        <v>1563</v>
      </c>
      <c r="R31" s="690" t="s">
        <v>1564</v>
      </c>
      <c r="S31" s="689" t="s">
        <v>1565</v>
      </c>
      <c r="T31" s="690" t="s">
        <v>1566</v>
      </c>
      <c r="U31" s="689" t="s">
        <v>1567</v>
      </c>
      <c r="V31" s="690" t="s">
        <v>1568</v>
      </c>
      <c r="W31" s="689" t="s">
        <v>1569</v>
      </c>
      <c r="X31" s="690" t="s">
        <v>1570</v>
      </c>
      <c r="Y31" s="689" t="s">
        <v>1571</v>
      </c>
      <c r="Z31" s="690" t="s">
        <v>1572</v>
      </c>
      <c r="AA31" s="689" t="s">
        <v>1573</v>
      </c>
      <c r="AB31" s="690" t="s">
        <v>1574</v>
      </c>
      <c r="AC31" s="689" t="s">
        <v>1575</v>
      </c>
      <c r="AD31" s="690" t="s">
        <v>1576</v>
      </c>
      <c r="AE31" s="689" t="s">
        <v>1577</v>
      </c>
      <c r="AF31" s="690" t="s">
        <v>1578</v>
      </c>
      <c r="AG31" s="689" t="s">
        <v>1579</v>
      </c>
      <c r="AH31" s="690" t="s">
        <v>1580</v>
      </c>
      <c r="AI31" s="689" t="s">
        <v>1581</v>
      </c>
      <c r="AJ31" s="690" t="s">
        <v>1582</v>
      </c>
      <c r="AK31" s="689" t="s">
        <v>1583</v>
      </c>
      <c r="AL31" s="690" t="s">
        <v>1584</v>
      </c>
      <c r="AM31" s="689" t="s">
        <v>1585</v>
      </c>
      <c r="AN31" s="720" t="s">
        <v>1586</v>
      </c>
      <c r="AO31" s="1207" t="s">
        <v>1587</v>
      </c>
      <c r="AP31" s="703" t="s">
        <v>1588</v>
      </c>
      <c r="AQ31" s="690" t="s">
        <v>1589</v>
      </c>
      <c r="AR31" s="703" t="s">
        <v>1590</v>
      </c>
      <c r="AS31" s="690" t="s">
        <v>1591</v>
      </c>
      <c r="AT31" s="343" t="str">
        <f t="shared" si="0"/>
        <v xml:space="preserve"> * La variable Pueblos Originarios / Hombres no puede ser Mayor al Total. * La variable Pueblos Originarios / Mujeres no puede ser Mayor al Total. * La variable Migrantes / Hombres no puede ser Mayor al Total. * La variable Migrantes / Mujeres no puede ser Mayor al Total.</v>
      </c>
      <c r="CB31" s="354"/>
      <c r="CC31" s="348" t="str">
        <f t="shared" si="15"/>
        <v xml:space="preserve"> * La variable Pueblos Originarios / Hombres no puede ser Mayor al Total.</v>
      </c>
      <c r="CD31" s="348" t="str">
        <f t="shared" si="16"/>
        <v xml:space="preserve"> * La variable Pueblos Originarios / Mujeres no puede ser Mayor al Total.</v>
      </c>
      <c r="CE31" s="348" t="str">
        <f t="shared" si="17"/>
        <v xml:space="preserve"> * La variable Migrantes / Hombres no puede ser Mayor al Total.</v>
      </c>
      <c r="CF31" s="348" t="str">
        <f t="shared" si="18"/>
        <v xml:space="preserve"> * La variable Migrantes / Mujeres no puede ser Mayor al Total.</v>
      </c>
      <c r="CG31" s="354"/>
      <c r="CH31" s="354"/>
      <c r="CI31" s="354"/>
      <c r="CJ31" s="352"/>
      <c r="CK31" s="358">
        <f t="shared" si="7"/>
        <v>1</v>
      </c>
      <c r="CL31" s="358">
        <f t="shared" si="8"/>
        <v>1</v>
      </c>
      <c r="CM31" s="358">
        <f t="shared" si="9"/>
        <v>1</v>
      </c>
      <c r="CN31" s="358">
        <f t="shared" si="10"/>
        <v>1</v>
      </c>
      <c r="CO31" s="358">
        <f t="shared" si="11"/>
        <v>0</v>
      </c>
      <c r="CP31" s="358">
        <f t="shared" si="12"/>
        <v>0</v>
      </c>
      <c r="CQ31" s="358">
        <f t="shared" si="13"/>
        <v>0</v>
      </c>
      <c r="CR31" s="358">
        <f t="shared" si="14"/>
        <v>0</v>
      </c>
    </row>
    <row r="32" spans="1:96" ht="18" customHeight="1" x14ac:dyDescent="0.3">
      <c r="A32" s="1637" t="s">
        <v>1161</v>
      </c>
      <c r="B32" s="2140" t="s">
        <v>144</v>
      </c>
      <c r="C32" s="1206" t="s">
        <v>145</v>
      </c>
      <c r="D32" s="671" t="s">
        <v>1550</v>
      </c>
      <c r="E32" s="672" t="s">
        <v>1551</v>
      </c>
      <c r="F32" s="673" t="s">
        <v>1552</v>
      </c>
      <c r="G32" s="704" t="s">
        <v>1553</v>
      </c>
      <c r="H32" s="705" t="s">
        <v>1554</v>
      </c>
      <c r="I32" s="704" t="s">
        <v>1555</v>
      </c>
      <c r="J32" s="705" t="s">
        <v>1556</v>
      </c>
      <c r="K32" s="704" t="s">
        <v>1557</v>
      </c>
      <c r="L32" s="705" t="s">
        <v>1558</v>
      </c>
      <c r="M32" s="704" t="s">
        <v>1559</v>
      </c>
      <c r="N32" s="705" t="s">
        <v>1560</v>
      </c>
      <c r="O32" s="704" t="s">
        <v>1561</v>
      </c>
      <c r="P32" s="705" t="s">
        <v>1562</v>
      </c>
      <c r="Q32" s="704" t="s">
        <v>1563</v>
      </c>
      <c r="R32" s="705" t="s">
        <v>1564</v>
      </c>
      <c r="S32" s="704" t="s">
        <v>1565</v>
      </c>
      <c r="T32" s="705" t="s">
        <v>1566</v>
      </c>
      <c r="U32" s="704" t="s">
        <v>1567</v>
      </c>
      <c r="V32" s="705" t="s">
        <v>1568</v>
      </c>
      <c r="W32" s="704" t="s">
        <v>1569</v>
      </c>
      <c r="X32" s="705" t="s">
        <v>1570</v>
      </c>
      <c r="Y32" s="704" t="s">
        <v>1571</v>
      </c>
      <c r="Z32" s="705" t="s">
        <v>1572</v>
      </c>
      <c r="AA32" s="704" t="s">
        <v>1573</v>
      </c>
      <c r="AB32" s="705" t="s">
        <v>1574</v>
      </c>
      <c r="AC32" s="704" t="s">
        <v>1575</v>
      </c>
      <c r="AD32" s="705" t="s">
        <v>1576</v>
      </c>
      <c r="AE32" s="704" t="s">
        <v>1577</v>
      </c>
      <c r="AF32" s="705" t="s">
        <v>1578</v>
      </c>
      <c r="AG32" s="704" t="s">
        <v>1579</v>
      </c>
      <c r="AH32" s="705" t="s">
        <v>1580</v>
      </c>
      <c r="AI32" s="704" t="s">
        <v>1581</v>
      </c>
      <c r="AJ32" s="705" t="s">
        <v>1582</v>
      </c>
      <c r="AK32" s="704" t="s">
        <v>1583</v>
      </c>
      <c r="AL32" s="705" t="s">
        <v>1584</v>
      </c>
      <c r="AM32" s="704" t="s">
        <v>1585</v>
      </c>
      <c r="AN32" s="706" t="s">
        <v>1586</v>
      </c>
      <c r="AO32" s="707" t="s">
        <v>1587</v>
      </c>
      <c r="AP32" s="750" t="s">
        <v>1588</v>
      </c>
      <c r="AQ32" s="705" t="s">
        <v>1589</v>
      </c>
      <c r="AR32" s="750" t="s">
        <v>1590</v>
      </c>
      <c r="AS32" s="705" t="s">
        <v>1591</v>
      </c>
      <c r="AT32" s="343" t="str">
        <f t="shared" si="0"/>
        <v xml:space="preserve"> * La variable Pueblos Originarios / Hombres no puede ser Mayor al Total. * La variable Pueblos Originarios / Mujeres no puede ser Mayor al Total. * La variable Migrantes / Hombres no puede ser Mayor al Total. * La variable Migrantes / Mujeres no puede ser Mayor al Total.</v>
      </c>
      <c r="CB32" s="354"/>
      <c r="CC32" s="348" t="str">
        <f t="shared" si="15"/>
        <v xml:space="preserve"> * La variable Pueblos Originarios / Hombres no puede ser Mayor al Total.</v>
      </c>
      <c r="CD32" s="348" t="str">
        <f t="shared" si="16"/>
        <v xml:space="preserve"> * La variable Pueblos Originarios / Mujeres no puede ser Mayor al Total.</v>
      </c>
      <c r="CE32" s="348" t="str">
        <f t="shared" si="17"/>
        <v xml:space="preserve"> * La variable Migrantes / Hombres no puede ser Mayor al Total.</v>
      </c>
      <c r="CF32" s="348" t="str">
        <f t="shared" si="18"/>
        <v xml:space="preserve"> * La variable Migrantes / Mujeres no puede ser Mayor al Total.</v>
      </c>
      <c r="CG32" s="354"/>
      <c r="CH32" s="354"/>
      <c r="CI32" s="354"/>
      <c r="CJ32" s="352"/>
      <c r="CK32" s="358">
        <f t="shared" si="7"/>
        <v>1</v>
      </c>
      <c r="CL32" s="358">
        <f t="shared" si="8"/>
        <v>1</v>
      </c>
      <c r="CM32" s="358">
        <f t="shared" si="9"/>
        <v>1</v>
      </c>
      <c r="CN32" s="358">
        <f t="shared" si="10"/>
        <v>1</v>
      </c>
      <c r="CO32" s="358">
        <f t="shared" si="11"/>
        <v>0</v>
      </c>
      <c r="CP32" s="358">
        <f t="shared" si="12"/>
        <v>0</v>
      </c>
      <c r="CQ32" s="358">
        <f t="shared" si="13"/>
        <v>0</v>
      </c>
      <c r="CR32" s="358">
        <f t="shared" si="14"/>
        <v>0</v>
      </c>
    </row>
    <row r="33" spans="1:97" ht="18" customHeight="1" x14ac:dyDescent="0.3">
      <c r="A33" s="1637" t="s">
        <v>1162</v>
      </c>
      <c r="B33" s="2140"/>
      <c r="C33" s="138" t="s">
        <v>146</v>
      </c>
      <c r="D33" s="665" t="s">
        <v>1550</v>
      </c>
      <c r="E33" s="683" t="s">
        <v>1551</v>
      </c>
      <c r="F33" s="667" t="s">
        <v>1552</v>
      </c>
      <c r="G33" s="704" t="s">
        <v>1553</v>
      </c>
      <c r="H33" s="705" t="s">
        <v>1554</v>
      </c>
      <c r="I33" s="704" t="s">
        <v>1555</v>
      </c>
      <c r="J33" s="705" t="s">
        <v>1556</v>
      </c>
      <c r="K33" s="704" t="s">
        <v>1557</v>
      </c>
      <c r="L33" s="705" t="s">
        <v>1558</v>
      </c>
      <c r="M33" s="704" t="s">
        <v>1559</v>
      </c>
      <c r="N33" s="705" t="s">
        <v>1560</v>
      </c>
      <c r="O33" s="704" t="s">
        <v>1561</v>
      </c>
      <c r="P33" s="705" t="s">
        <v>1562</v>
      </c>
      <c r="Q33" s="704" t="s">
        <v>1563</v>
      </c>
      <c r="R33" s="705" t="s">
        <v>1564</v>
      </c>
      <c r="S33" s="704" t="s">
        <v>1565</v>
      </c>
      <c r="T33" s="705" t="s">
        <v>1566</v>
      </c>
      <c r="U33" s="704" t="s">
        <v>1567</v>
      </c>
      <c r="V33" s="705" t="s">
        <v>1568</v>
      </c>
      <c r="W33" s="704" t="s">
        <v>1569</v>
      </c>
      <c r="X33" s="705" t="s">
        <v>1570</v>
      </c>
      <c r="Y33" s="704" t="s">
        <v>1571</v>
      </c>
      <c r="Z33" s="705" t="s">
        <v>1572</v>
      </c>
      <c r="AA33" s="704" t="s">
        <v>1573</v>
      </c>
      <c r="AB33" s="705" t="s">
        <v>1574</v>
      </c>
      <c r="AC33" s="704" t="s">
        <v>1575</v>
      </c>
      <c r="AD33" s="705" t="s">
        <v>1576</v>
      </c>
      <c r="AE33" s="704" t="s">
        <v>1577</v>
      </c>
      <c r="AF33" s="705" t="s">
        <v>1578</v>
      </c>
      <c r="AG33" s="704" t="s">
        <v>1579</v>
      </c>
      <c r="AH33" s="705" t="s">
        <v>1580</v>
      </c>
      <c r="AI33" s="704" t="s">
        <v>1581</v>
      </c>
      <c r="AJ33" s="705" t="s">
        <v>1582</v>
      </c>
      <c r="AK33" s="704" t="s">
        <v>1583</v>
      </c>
      <c r="AL33" s="705" t="s">
        <v>1584</v>
      </c>
      <c r="AM33" s="704" t="s">
        <v>1585</v>
      </c>
      <c r="AN33" s="706" t="s">
        <v>1586</v>
      </c>
      <c r="AO33" s="708" t="s">
        <v>1587</v>
      </c>
      <c r="AP33" s="740" t="s">
        <v>1588</v>
      </c>
      <c r="AQ33" s="685" t="s">
        <v>1589</v>
      </c>
      <c r="AR33" s="740" t="s">
        <v>1590</v>
      </c>
      <c r="AS33" s="685" t="s">
        <v>1591</v>
      </c>
      <c r="AT33" s="343" t="str">
        <f t="shared" si="0"/>
        <v xml:space="preserve"> * La variable Pueblos Originarios / Hombres no puede ser Mayor al Total. * La variable Pueblos Originarios / Mujeres no puede ser Mayor al Total. * La variable Migrantes / Hombres no puede ser Mayor al Total. * La variable Migrantes / Mujeres no puede ser Mayor al Total.</v>
      </c>
      <c r="CB33" s="354"/>
      <c r="CC33" s="348" t="str">
        <f t="shared" si="15"/>
        <v xml:space="preserve"> * La variable Pueblos Originarios / Hombres no puede ser Mayor al Total.</v>
      </c>
      <c r="CD33" s="348" t="str">
        <f t="shared" si="16"/>
        <v xml:space="preserve"> * La variable Pueblos Originarios / Mujeres no puede ser Mayor al Total.</v>
      </c>
      <c r="CE33" s="348" t="str">
        <f t="shared" si="17"/>
        <v xml:space="preserve"> * La variable Migrantes / Hombres no puede ser Mayor al Total.</v>
      </c>
      <c r="CF33" s="348" t="str">
        <f t="shared" si="18"/>
        <v xml:space="preserve"> * La variable Migrantes / Mujeres no puede ser Mayor al Total.</v>
      </c>
      <c r="CG33" s="354"/>
      <c r="CH33" s="354"/>
      <c r="CI33" s="354"/>
      <c r="CJ33" s="352"/>
      <c r="CK33" s="358">
        <f t="shared" si="7"/>
        <v>1</v>
      </c>
      <c r="CL33" s="358">
        <f t="shared" si="8"/>
        <v>1</v>
      </c>
      <c r="CM33" s="358">
        <f t="shared" si="9"/>
        <v>1</v>
      </c>
      <c r="CN33" s="358">
        <f t="shared" si="10"/>
        <v>1</v>
      </c>
      <c r="CO33" s="358">
        <f t="shared" si="11"/>
        <v>0</v>
      </c>
      <c r="CP33" s="358">
        <f t="shared" si="12"/>
        <v>0</v>
      </c>
      <c r="CQ33" s="358">
        <f t="shared" si="13"/>
        <v>0</v>
      </c>
      <c r="CR33" s="358">
        <f t="shared" si="14"/>
        <v>0</v>
      </c>
    </row>
    <row r="34" spans="1:97" ht="24" customHeight="1" thickBot="1" x14ac:dyDescent="0.35">
      <c r="A34" s="1637" t="s">
        <v>1163</v>
      </c>
      <c r="B34" s="2141"/>
      <c r="C34" s="1311" t="s">
        <v>830</v>
      </c>
      <c r="D34" s="709" t="s">
        <v>1550</v>
      </c>
      <c r="E34" s="710" t="s">
        <v>1551</v>
      </c>
      <c r="F34" s="711" t="s">
        <v>1552</v>
      </c>
      <c r="G34" s="704" t="s">
        <v>1553</v>
      </c>
      <c r="H34" s="705" t="s">
        <v>1554</v>
      </c>
      <c r="I34" s="704" t="s">
        <v>1555</v>
      </c>
      <c r="J34" s="705" t="s">
        <v>1556</v>
      </c>
      <c r="K34" s="704" t="s">
        <v>1557</v>
      </c>
      <c r="L34" s="705" t="s">
        <v>1558</v>
      </c>
      <c r="M34" s="704" t="s">
        <v>1559</v>
      </c>
      <c r="N34" s="705" t="s">
        <v>1560</v>
      </c>
      <c r="O34" s="704" t="s">
        <v>1561</v>
      </c>
      <c r="P34" s="705" t="s">
        <v>1562</v>
      </c>
      <c r="Q34" s="704" t="s">
        <v>1563</v>
      </c>
      <c r="R34" s="705" t="s">
        <v>1564</v>
      </c>
      <c r="S34" s="704" t="s">
        <v>1565</v>
      </c>
      <c r="T34" s="705" t="s">
        <v>1566</v>
      </c>
      <c r="U34" s="704" t="s">
        <v>1567</v>
      </c>
      <c r="V34" s="705" t="s">
        <v>1568</v>
      </c>
      <c r="W34" s="704" t="s">
        <v>1569</v>
      </c>
      <c r="X34" s="705" t="s">
        <v>1570</v>
      </c>
      <c r="Y34" s="704" t="s">
        <v>1571</v>
      </c>
      <c r="Z34" s="705" t="s">
        <v>1572</v>
      </c>
      <c r="AA34" s="704" t="s">
        <v>1573</v>
      </c>
      <c r="AB34" s="705" t="s">
        <v>1574</v>
      </c>
      <c r="AC34" s="704" t="s">
        <v>1575</v>
      </c>
      <c r="AD34" s="705" t="s">
        <v>1576</v>
      </c>
      <c r="AE34" s="704" t="s">
        <v>1577</v>
      </c>
      <c r="AF34" s="705" t="s">
        <v>1578</v>
      </c>
      <c r="AG34" s="704" t="s">
        <v>1579</v>
      </c>
      <c r="AH34" s="705" t="s">
        <v>1580</v>
      </c>
      <c r="AI34" s="704" t="s">
        <v>1581</v>
      </c>
      <c r="AJ34" s="705" t="s">
        <v>1582</v>
      </c>
      <c r="AK34" s="704" t="s">
        <v>1583</v>
      </c>
      <c r="AL34" s="705" t="s">
        <v>1584</v>
      </c>
      <c r="AM34" s="704" t="s">
        <v>1585</v>
      </c>
      <c r="AN34" s="706" t="s">
        <v>1586</v>
      </c>
      <c r="AO34" s="712" t="s">
        <v>1587</v>
      </c>
      <c r="AP34" s="744" t="s">
        <v>1588</v>
      </c>
      <c r="AQ34" s="696" t="s">
        <v>1589</v>
      </c>
      <c r="AR34" s="744" t="s">
        <v>1590</v>
      </c>
      <c r="AS34" s="696" t="s">
        <v>1591</v>
      </c>
      <c r="AT34" s="343" t="e">
        <f t="shared" si="0"/>
        <v>#VALUE!</v>
      </c>
      <c r="CB34" s="354"/>
      <c r="CC34" s="348" t="str">
        <f t="shared" si="15"/>
        <v xml:space="preserve"> * La variable Pueblos Originarios / Hombres no puede ser Mayor al Total.</v>
      </c>
      <c r="CD34" s="348" t="str">
        <f t="shared" si="16"/>
        <v xml:space="preserve"> * La variable Pueblos Originarios / Mujeres no puede ser Mayor al Total.</v>
      </c>
      <c r="CE34" s="348" t="str">
        <f t="shared" si="17"/>
        <v xml:space="preserve"> * La variable Migrantes / Hombres no puede ser Mayor al Total.</v>
      </c>
      <c r="CF34" s="348" t="str">
        <f t="shared" si="18"/>
        <v xml:space="preserve"> * La variable Migrantes / Mujeres no puede ser Mayor al Total.</v>
      </c>
      <c r="CG34" s="348" t="e">
        <f>IF($D34&lt;=$D32+$D33,"","TOTAL PERSONAS CON LESIÓN POR PRESIÓN* no debe ser mayor que los Dependientes oncológicos + no Oncológicos. ")</f>
        <v>#VALUE!</v>
      </c>
      <c r="CH34" s="354"/>
      <c r="CI34" s="354"/>
      <c r="CJ34" s="352"/>
      <c r="CK34" s="358">
        <f t="shared" si="7"/>
        <v>1</v>
      </c>
      <c r="CL34" s="358">
        <f t="shared" si="8"/>
        <v>1</v>
      </c>
      <c r="CM34" s="358">
        <f t="shared" si="9"/>
        <v>1</v>
      </c>
      <c r="CN34" s="358">
        <f t="shared" si="10"/>
        <v>1</v>
      </c>
      <c r="CO34" s="358">
        <f t="shared" si="11"/>
        <v>0</v>
      </c>
      <c r="CP34" s="358">
        <f t="shared" si="12"/>
        <v>0</v>
      </c>
      <c r="CQ34" s="358">
        <f t="shared" si="13"/>
        <v>0</v>
      </c>
      <c r="CR34" s="358">
        <f t="shared" si="14"/>
        <v>0</v>
      </c>
    </row>
    <row r="35" spans="1:97" ht="19.5" customHeight="1" thickTop="1" x14ac:dyDescent="0.3">
      <c r="A35" s="1637" t="s">
        <v>1164</v>
      </c>
      <c r="B35" s="2131" t="s">
        <v>147</v>
      </c>
      <c r="C35" s="925" t="s">
        <v>148</v>
      </c>
      <c r="D35" s="713" t="s">
        <v>1550</v>
      </c>
      <c r="E35" s="714" t="s">
        <v>1551</v>
      </c>
      <c r="F35" s="715" t="s">
        <v>1552</v>
      </c>
      <c r="G35" s="716" t="s">
        <v>1553</v>
      </c>
      <c r="H35" s="717" t="s">
        <v>1554</v>
      </c>
      <c r="I35" s="716" t="s">
        <v>1555</v>
      </c>
      <c r="J35" s="717" t="s">
        <v>1556</v>
      </c>
      <c r="K35" s="716" t="s">
        <v>1557</v>
      </c>
      <c r="L35" s="717" t="s">
        <v>1558</v>
      </c>
      <c r="M35" s="716" t="s">
        <v>1559</v>
      </c>
      <c r="N35" s="717" t="s">
        <v>1560</v>
      </c>
      <c r="O35" s="716" t="s">
        <v>1561</v>
      </c>
      <c r="P35" s="717" t="s">
        <v>1562</v>
      </c>
      <c r="Q35" s="716" t="s">
        <v>1563</v>
      </c>
      <c r="R35" s="717" t="s">
        <v>1564</v>
      </c>
      <c r="S35" s="716" t="s">
        <v>1565</v>
      </c>
      <c r="T35" s="717" t="s">
        <v>1566</v>
      </c>
      <c r="U35" s="716" t="s">
        <v>1567</v>
      </c>
      <c r="V35" s="717" t="s">
        <v>1568</v>
      </c>
      <c r="W35" s="716" t="s">
        <v>1569</v>
      </c>
      <c r="X35" s="717" t="s">
        <v>1570</v>
      </c>
      <c r="Y35" s="716" t="s">
        <v>1571</v>
      </c>
      <c r="Z35" s="717" t="s">
        <v>1572</v>
      </c>
      <c r="AA35" s="716" t="s">
        <v>1573</v>
      </c>
      <c r="AB35" s="717" t="s">
        <v>1574</v>
      </c>
      <c r="AC35" s="716" t="s">
        <v>1575</v>
      </c>
      <c r="AD35" s="717" t="s">
        <v>1576</v>
      </c>
      <c r="AE35" s="716" t="s">
        <v>1577</v>
      </c>
      <c r="AF35" s="717" t="s">
        <v>1578</v>
      </c>
      <c r="AG35" s="716" t="s">
        <v>1579</v>
      </c>
      <c r="AH35" s="717" t="s">
        <v>1580</v>
      </c>
      <c r="AI35" s="716" t="s">
        <v>1581</v>
      </c>
      <c r="AJ35" s="717" t="s">
        <v>1582</v>
      </c>
      <c r="AK35" s="716" t="s">
        <v>1583</v>
      </c>
      <c r="AL35" s="717" t="s">
        <v>1584</v>
      </c>
      <c r="AM35" s="716" t="s">
        <v>1585</v>
      </c>
      <c r="AN35" s="718" t="s">
        <v>1586</v>
      </c>
      <c r="AO35" s="719" t="s">
        <v>1587</v>
      </c>
      <c r="AP35" s="914" t="s">
        <v>1588</v>
      </c>
      <c r="AQ35" s="717" t="s">
        <v>1589</v>
      </c>
      <c r="AR35" s="914" t="s">
        <v>1590</v>
      </c>
      <c r="AS35" s="717" t="s">
        <v>1591</v>
      </c>
      <c r="AT35" s="343" t="e">
        <f t="shared" si="0"/>
        <v>#VALUE!</v>
      </c>
      <c r="CB35" s="354"/>
      <c r="CC35" s="348" t="str">
        <f t="shared" ref="CC35:CC41" si="19">IF(AND(E35&gt;0,OR(AP35=""))," * No olvide digitar la variable Pueblos Originarios / Hombres (Digite Cero si no tiene).",IF(AP35&gt;E35," * La variable Pueblos Originarios / Hombres no puede ser Mayor al Total.",""))</f>
        <v xml:space="preserve"> * La variable Pueblos Originarios / Hombres no puede ser Mayor al Total.</v>
      </c>
      <c r="CD35" s="348" t="str">
        <f t="shared" ref="CD35:CD41" si="20">IF(AND(F35&gt;0,OR(AQ35=""))," * No olvide digitar la variable Pueblos Originarios / Mujeres (Digite Cero si no tiene).",IF(AQ35&gt;F35," * La variable Pueblos Originarios / Mujeres no puede ser Mayor al Total.",""))</f>
        <v xml:space="preserve"> * La variable Pueblos Originarios / Mujeres no puede ser Mayor al Total.</v>
      </c>
      <c r="CE35" s="348" t="str">
        <f t="shared" ref="CE35:CE41" si="21">IF(AND($E35&gt;0,OR(AR35=""))," * No olvide digitar la variable Migrantes / Hombres (Digite Cero si no tiene).",IF(AR35&gt;$E35," * La variable Migrantes / Hombres no puede ser Mayor al Total.",""))</f>
        <v xml:space="preserve"> * La variable Migrantes / Hombres no puede ser Mayor al Total.</v>
      </c>
      <c r="CF35" s="348" t="str">
        <f t="shared" ref="CF35:CF41" si="22">IF(AND(F35&gt;0,OR(AS35=""))," * No olvide digitar la variable Migrantes / Mujeres (Digite Cero si no tiene).",IF(AS35&gt;F35," * La variable Migrantes / Mujeres no puede ser Mayor al Total.",""))</f>
        <v xml:space="preserve"> * La variable Migrantes / Mujeres no puede ser Mayor al Total.</v>
      </c>
      <c r="CG35" s="348" t="e">
        <f>IF($D35&lt;=$D32+$D33,"","*Atención Domiciliaria por Dependencia Severa / Total Personas no debe ser mayor que los Dependencia Severa / oncológicos + no Oncológicos. ")</f>
        <v>#VALUE!</v>
      </c>
      <c r="CH35" s="354"/>
      <c r="CI35" s="354"/>
      <c r="CJ35" s="352"/>
      <c r="CK35" s="358">
        <f t="shared" si="7"/>
        <v>1</v>
      </c>
      <c r="CL35" s="358">
        <f t="shared" si="8"/>
        <v>1</v>
      </c>
      <c r="CM35" s="358">
        <f t="shared" si="9"/>
        <v>1</v>
      </c>
      <c r="CN35" s="358">
        <f t="shared" si="10"/>
        <v>1</v>
      </c>
      <c r="CO35" s="358">
        <f t="shared" si="11"/>
        <v>0</v>
      </c>
      <c r="CP35" s="358">
        <f>IF(AND($F35&lt;&gt;0,AQ35=""),1,0)</f>
        <v>0</v>
      </c>
      <c r="CQ35" s="358">
        <f t="shared" si="13"/>
        <v>0</v>
      </c>
      <c r="CR35" s="358">
        <f>IF(AND($F35&lt;&gt;0,AS35=""),1,0)</f>
        <v>0</v>
      </c>
      <c r="CS35" s="358" t="e">
        <f>IF($D35&lt;=$D32+D33,0,1)</f>
        <v>#VALUE!</v>
      </c>
    </row>
    <row r="36" spans="1:97" ht="19.5" customHeight="1" x14ac:dyDescent="0.3">
      <c r="A36" s="1637" t="s">
        <v>1165</v>
      </c>
      <c r="B36" s="2086"/>
      <c r="C36" s="1206" t="s">
        <v>145</v>
      </c>
      <c r="D36" s="665" t="s">
        <v>1550</v>
      </c>
      <c r="E36" s="683" t="s">
        <v>1551</v>
      </c>
      <c r="F36" s="667" t="s">
        <v>1552</v>
      </c>
      <c r="G36" s="684" t="s">
        <v>1553</v>
      </c>
      <c r="H36" s="685" t="s">
        <v>1554</v>
      </c>
      <c r="I36" s="684" t="s">
        <v>1555</v>
      </c>
      <c r="J36" s="685" t="s">
        <v>1556</v>
      </c>
      <c r="K36" s="684" t="s">
        <v>1557</v>
      </c>
      <c r="L36" s="685" t="s">
        <v>1558</v>
      </c>
      <c r="M36" s="684" t="s">
        <v>1559</v>
      </c>
      <c r="N36" s="685" t="s">
        <v>1560</v>
      </c>
      <c r="O36" s="684" t="s">
        <v>1561</v>
      </c>
      <c r="P36" s="685" t="s">
        <v>1562</v>
      </c>
      <c r="Q36" s="684" t="s">
        <v>1563</v>
      </c>
      <c r="R36" s="685" t="s">
        <v>1564</v>
      </c>
      <c r="S36" s="684" t="s">
        <v>1565</v>
      </c>
      <c r="T36" s="685" t="s">
        <v>1566</v>
      </c>
      <c r="U36" s="684" t="s">
        <v>1567</v>
      </c>
      <c r="V36" s="685" t="s">
        <v>1568</v>
      </c>
      <c r="W36" s="684" t="s">
        <v>1569</v>
      </c>
      <c r="X36" s="685" t="s">
        <v>1570</v>
      </c>
      <c r="Y36" s="684" t="s">
        <v>1571</v>
      </c>
      <c r="Z36" s="685" t="s">
        <v>1572</v>
      </c>
      <c r="AA36" s="684" t="s">
        <v>1573</v>
      </c>
      <c r="AB36" s="685" t="s">
        <v>1574</v>
      </c>
      <c r="AC36" s="684" t="s">
        <v>1575</v>
      </c>
      <c r="AD36" s="685" t="s">
        <v>1576</v>
      </c>
      <c r="AE36" s="684" t="s">
        <v>1577</v>
      </c>
      <c r="AF36" s="685" t="s">
        <v>1578</v>
      </c>
      <c r="AG36" s="684" t="s">
        <v>1579</v>
      </c>
      <c r="AH36" s="685" t="s">
        <v>1580</v>
      </c>
      <c r="AI36" s="684" t="s">
        <v>1581</v>
      </c>
      <c r="AJ36" s="685" t="s">
        <v>1582</v>
      </c>
      <c r="AK36" s="684" t="s">
        <v>1583</v>
      </c>
      <c r="AL36" s="685" t="s">
        <v>1584</v>
      </c>
      <c r="AM36" s="684" t="s">
        <v>1585</v>
      </c>
      <c r="AN36" s="693" t="s">
        <v>1586</v>
      </c>
      <c r="AO36" s="708" t="s">
        <v>1587</v>
      </c>
      <c r="AP36" s="740" t="s">
        <v>1588</v>
      </c>
      <c r="AQ36" s="685" t="s">
        <v>1589</v>
      </c>
      <c r="AR36" s="740" t="s">
        <v>1590</v>
      </c>
      <c r="AS36" s="685" t="s">
        <v>1591</v>
      </c>
      <c r="AT36" s="343" t="str">
        <f t="shared" si="0"/>
        <v xml:space="preserve"> * La variable Pueblos Originarios / Hombres no puede ser Mayor al Total. * La variable Pueblos Originarios / Mujeres no puede ser Mayor al Total. * La variable Migrantes / Hombres no puede ser Mayor al Total. * La variable Migrantes / Mujeres no puede ser Mayor al Total.</v>
      </c>
      <c r="CB36" s="354"/>
      <c r="CC36" s="348" t="str">
        <f t="shared" si="19"/>
        <v xml:space="preserve"> * La variable Pueblos Originarios / Hombres no puede ser Mayor al Total.</v>
      </c>
      <c r="CD36" s="348" t="str">
        <f t="shared" si="20"/>
        <v xml:space="preserve"> * La variable Pueblos Originarios / Mujeres no puede ser Mayor al Total.</v>
      </c>
      <c r="CE36" s="348" t="str">
        <f t="shared" si="21"/>
        <v xml:space="preserve"> * La variable Migrantes / Hombres no puede ser Mayor al Total.</v>
      </c>
      <c r="CF36" s="348" t="str">
        <f t="shared" si="22"/>
        <v xml:space="preserve"> * La variable Migrantes / Mujeres no puede ser Mayor al Total.</v>
      </c>
      <c r="CG36" s="348" t="str">
        <f>IF($D36&lt;=$D$35,"","* Atención Domiciliaria por Dependencia Severa: Total Oncológica no debe ser mayor al Total Personas. ")</f>
        <v/>
      </c>
      <c r="CH36" s="348" t="str">
        <f>IF($D36&lt;=$D32,"","* Atención Domiciliaria por Dependencia Severa: Total Oncológica no debe ser mayor a las personas con Dependencia Severa / Oncológica. ")</f>
        <v/>
      </c>
      <c r="CI36" s="354"/>
      <c r="CJ36" s="352"/>
      <c r="CK36" s="358">
        <f t="shared" si="7"/>
        <v>1</v>
      </c>
      <c r="CL36" s="358">
        <f t="shared" si="8"/>
        <v>1</v>
      </c>
      <c r="CM36" s="358">
        <f t="shared" si="9"/>
        <v>1</v>
      </c>
      <c r="CN36" s="358">
        <f t="shared" si="10"/>
        <v>1</v>
      </c>
      <c r="CO36" s="358">
        <f t="shared" si="11"/>
        <v>0</v>
      </c>
      <c r="CP36" s="358">
        <f t="shared" si="12"/>
        <v>0</v>
      </c>
      <c r="CQ36" s="358">
        <f>IF(AND($E36&lt;&gt;0,AR36=""),1,0)</f>
        <v>0</v>
      </c>
      <c r="CR36" s="358">
        <f>IF(AND($F36&lt;&gt;0,AS36=""),1,0)</f>
        <v>0</v>
      </c>
      <c r="CS36" s="358">
        <f>IF($D36&lt;=$D32,0,1)</f>
        <v>0</v>
      </c>
    </row>
    <row r="37" spans="1:97" ht="19.5" customHeight="1" x14ac:dyDescent="0.3">
      <c r="A37" s="1637" t="s">
        <v>1166</v>
      </c>
      <c r="B37" s="2086"/>
      <c r="C37" s="138" t="s">
        <v>146</v>
      </c>
      <c r="D37" s="665" t="s">
        <v>1550</v>
      </c>
      <c r="E37" s="683" t="s">
        <v>1551</v>
      </c>
      <c r="F37" s="667" t="s">
        <v>1552</v>
      </c>
      <c r="G37" s="684" t="s">
        <v>1553</v>
      </c>
      <c r="H37" s="685" t="s">
        <v>1554</v>
      </c>
      <c r="I37" s="684" t="s">
        <v>1555</v>
      </c>
      <c r="J37" s="685" t="s">
        <v>1556</v>
      </c>
      <c r="K37" s="684" t="s">
        <v>1557</v>
      </c>
      <c r="L37" s="685" t="s">
        <v>1558</v>
      </c>
      <c r="M37" s="684" t="s">
        <v>1559</v>
      </c>
      <c r="N37" s="685" t="s">
        <v>1560</v>
      </c>
      <c r="O37" s="684" t="s">
        <v>1561</v>
      </c>
      <c r="P37" s="685" t="s">
        <v>1562</v>
      </c>
      <c r="Q37" s="684" t="s">
        <v>1563</v>
      </c>
      <c r="R37" s="685" t="s">
        <v>1564</v>
      </c>
      <c r="S37" s="684" t="s">
        <v>1565</v>
      </c>
      <c r="T37" s="685" t="s">
        <v>1566</v>
      </c>
      <c r="U37" s="684" t="s">
        <v>1567</v>
      </c>
      <c r="V37" s="685" t="s">
        <v>1568</v>
      </c>
      <c r="W37" s="684" t="s">
        <v>1569</v>
      </c>
      <c r="X37" s="685" t="s">
        <v>1570</v>
      </c>
      <c r="Y37" s="684" t="s">
        <v>1571</v>
      </c>
      <c r="Z37" s="685" t="s">
        <v>1572</v>
      </c>
      <c r="AA37" s="684" t="s">
        <v>1573</v>
      </c>
      <c r="AB37" s="685" t="s">
        <v>1574</v>
      </c>
      <c r="AC37" s="684" t="s">
        <v>1575</v>
      </c>
      <c r="AD37" s="685" t="s">
        <v>1576</v>
      </c>
      <c r="AE37" s="684" t="s">
        <v>1577</v>
      </c>
      <c r="AF37" s="685" t="s">
        <v>1578</v>
      </c>
      <c r="AG37" s="684" t="s">
        <v>1579</v>
      </c>
      <c r="AH37" s="685" t="s">
        <v>1580</v>
      </c>
      <c r="AI37" s="684" t="s">
        <v>1581</v>
      </c>
      <c r="AJ37" s="685" t="s">
        <v>1582</v>
      </c>
      <c r="AK37" s="684" t="s">
        <v>1583</v>
      </c>
      <c r="AL37" s="685" t="s">
        <v>1584</v>
      </c>
      <c r="AM37" s="684" t="s">
        <v>1585</v>
      </c>
      <c r="AN37" s="693" t="s">
        <v>1586</v>
      </c>
      <c r="AO37" s="708" t="s">
        <v>1587</v>
      </c>
      <c r="AP37" s="740" t="s">
        <v>1588</v>
      </c>
      <c r="AQ37" s="685" t="s">
        <v>1589</v>
      </c>
      <c r="AR37" s="740" t="s">
        <v>1590</v>
      </c>
      <c r="AS37" s="685" t="s">
        <v>1591</v>
      </c>
      <c r="AT37" s="343" t="str">
        <f t="shared" si="0"/>
        <v xml:space="preserve"> * La variable Pueblos Originarios / Hombres no puede ser Mayor al Total. * La variable Pueblos Originarios / Mujeres no puede ser Mayor al Total. * La variable Migrantes / Hombres no puede ser Mayor al Total. * La variable Migrantes / Mujeres no puede ser Mayor al Total.</v>
      </c>
      <c r="CB37" s="354"/>
      <c r="CC37" s="348" t="str">
        <f t="shared" si="19"/>
        <v xml:space="preserve"> * La variable Pueblos Originarios / Hombres no puede ser Mayor al Total.</v>
      </c>
      <c r="CD37" s="348" t="str">
        <f t="shared" si="20"/>
        <v xml:space="preserve"> * La variable Pueblos Originarios / Mujeres no puede ser Mayor al Total.</v>
      </c>
      <c r="CE37" s="348" t="str">
        <f t="shared" si="21"/>
        <v xml:space="preserve"> * La variable Migrantes / Hombres no puede ser Mayor al Total.</v>
      </c>
      <c r="CF37" s="348" t="str">
        <f t="shared" si="22"/>
        <v xml:space="preserve"> * La variable Migrantes / Mujeres no puede ser Mayor al Total.</v>
      </c>
      <c r="CG37" s="348" t="str">
        <f>IF($D37&lt;=$D$35,"","* Atención Domiciliaria por Dependencia Severa: Total No Oncológica no debe ser mayor al Total Personas. ")</f>
        <v/>
      </c>
      <c r="CH37" s="348" t="str">
        <f>IF($D37&lt;=$D33,"","* Atención Domiciliaria por Dependencia Severa: Total No Oncológica no debe ser mayor a las personas con Dependencia Severa / No Oncológica. ")</f>
        <v/>
      </c>
      <c r="CI37" s="354"/>
      <c r="CJ37" s="352"/>
      <c r="CK37" s="358">
        <f t="shared" si="7"/>
        <v>1</v>
      </c>
      <c r="CL37" s="358">
        <f t="shared" si="8"/>
        <v>1</v>
      </c>
      <c r="CM37" s="358">
        <f t="shared" si="9"/>
        <v>1</v>
      </c>
      <c r="CN37" s="358">
        <f t="shared" si="10"/>
        <v>1</v>
      </c>
      <c r="CO37" s="358">
        <f t="shared" si="11"/>
        <v>0</v>
      </c>
      <c r="CP37" s="358">
        <f t="shared" si="12"/>
        <v>0</v>
      </c>
      <c r="CQ37" s="358">
        <f t="shared" si="13"/>
        <v>0</v>
      </c>
      <c r="CR37" s="358">
        <f t="shared" si="14"/>
        <v>0</v>
      </c>
      <c r="CS37" s="358">
        <f>IF($D37&lt;=$D33,0,1)</f>
        <v>0</v>
      </c>
    </row>
    <row r="38" spans="1:97" ht="19.5" customHeight="1" x14ac:dyDescent="0.3">
      <c r="A38" s="1637" t="s">
        <v>1167</v>
      </c>
      <c r="B38" s="2086"/>
      <c r="C38" s="138" t="s">
        <v>724</v>
      </c>
      <c r="D38" s="665" t="s">
        <v>1550</v>
      </c>
      <c r="E38" s="683" t="s">
        <v>1551</v>
      </c>
      <c r="F38" s="667" t="s">
        <v>1552</v>
      </c>
      <c r="G38" s="684" t="s">
        <v>1553</v>
      </c>
      <c r="H38" s="685" t="s">
        <v>1554</v>
      </c>
      <c r="I38" s="684" t="s">
        <v>1555</v>
      </c>
      <c r="J38" s="685" t="s">
        <v>1556</v>
      </c>
      <c r="K38" s="684" t="s">
        <v>1557</v>
      </c>
      <c r="L38" s="685" t="s">
        <v>1558</v>
      </c>
      <c r="M38" s="684" t="s">
        <v>1559</v>
      </c>
      <c r="N38" s="685" t="s">
        <v>1560</v>
      </c>
      <c r="O38" s="684" t="s">
        <v>1561</v>
      </c>
      <c r="P38" s="685" t="s">
        <v>1562</v>
      </c>
      <c r="Q38" s="684" t="s">
        <v>1563</v>
      </c>
      <c r="R38" s="685" t="s">
        <v>1564</v>
      </c>
      <c r="S38" s="684" t="s">
        <v>1565</v>
      </c>
      <c r="T38" s="685" t="s">
        <v>1566</v>
      </c>
      <c r="U38" s="684" t="s">
        <v>1567</v>
      </c>
      <c r="V38" s="685" t="s">
        <v>1568</v>
      </c>
      <c r="W38" s="684" t="s">
        <v>1569</v>
      </c>
      <c r="X38" s="685" t="s">
        <v>1570</v>
      </c>
      <c r="Y38" s="684" t="s">
        <v>1571</v>
      </c>
      <c r="Z38" s="685" t="s">
        <v>1572</v>
      </c>
      <c r="AA38" s="684" t="s">
        <v>1573</v>
      </c>
      <c r="AB38" s="685" t="s">
        <v>1574</v>
      </c>
      <c r="AC38" s="684" t="s">
        <v>1575</v>
      </c>
      <c r="AD38" s="685" t="s">
        <v>1576</v>
      </c>
      <c r="AE38" s="684" t="s">
        <v>1577</v>
      </c>
      <c r="AF38" s="685" t="s">
        <v>1578</v>
      </c>
      <c r="AG38" s="684" t="s">
        <v>1579</v>
      </c>
      <c r="AH38" s="685" t="s">
        <v>1580</v>
      </c>
      <c r="AI38" s="684" t="s">
        <v>1581</v>
      </c>
      <c r="AJ38" s="685" t="s">
        <v>1582</v>
      </c>
      <c r="AK38" s="684" t="s">
        <v>1583</v>
      </c>
      <c r="AL38" s="685" t="s">
        <v>1584</v>
      </c>
      <c r="AM38" s="684" t="s">
        <v>1585</v>
      </c>
      <c r="AN38" s="693" t="s">
        <v>1586</v>
      </c>
      <c r="AO38" s="708" t="s">
        <v>1587</v>
      </c>
      <c r="AP38" s="740" t="s">
        <v>1588</v>
      </c>
      <c r="AQ38" s="685" t="s">
        <v>1589</v>
      </c>
      <c r="AR38" s="740" t="s">
        <v>1590</v>
      </c>
      <c r="AS38" s="685" t="s">
        <v>1591</v>
      </c>
      <c r="AT38" s="343" t="str">
        <f t="shared" si="0"/>
        <v xml:space="preserve"> * La variable Pueblos Originarios / Hombres no puede ser Mayor al Total. * La variable Pueblos Originarios / Mujeres no puede ser Mayor al Total. * La variable Migrantes / Hombres no puede ser Mayor al Total. * La variable Migrantes / Mujeres no puede ser Mayor al Total.</v>
      </c>
      <c r="CB38" s="354"/>
      <c r="CC38" s="348" t="str">
        <f t="shared" si="19"/>
        <v xml:space="preserve"> * La variable Pueblos Originarios / Hombres no puede ser Mayor al Total.</v>
      </c>
      <c r="CD38" s="348" t="str">
        <f t="shared" si="20"/>
        <v xml:space="preserve"> * La variable Pueblos Originarios / Mujeres no puede ser Mayor al Total.</v>
      </c>
      <c r="CE38" s="348" t="str">
        <f t="shared" si="21"/>
        <v xml:space="preserve"> * La variable Migrantes / Hombres no puede ser Mayor al Total.</v>
      </c>
      <c r="CF38" s="348" t="str">
        <f t="shared" si="22"/>
        <v xml:space="preserve"> * La variable Migrantes / Mujeres no puede ser Mayor al Total.</v>
      </c>
      <c r="CG38" s="348" t="str">
        <f>IF($D38&lt;=$D$35,"","* Atención Domiciliaria por Dependencia Severa / Con Demencia no debe ser mayor al Total Personas. ")</f>
        <v/>
      </c>
      <c r="CH38" s="354"/>
      <c r="CI38" s="354"/>
      <c r="CJ38" s="352"/>
      <c r="CK38" s="358">
        <f t="shared" si="7"/>
        <v>1</v>
      </c>
      <c r="CL38" s="358">
        <f t="shared" si="8"/>
        <v>1</v>
      </c>
      <c r="CM38" s="358">
        <f t="shared" si="9"/>
        <v>1</v>
      </c>
      <c r="CN38" s="358">
        <f t="shared" si="10"/>
        <v>1</v>
      </c>
      <c r="CO38" s="358">
        <f t="shared" si="11"/>
        <v>0</v>
      </c>
      <c r="CP38" s="358">
        <f t="shared" si="12"/>
        <v>0</v>
      </c>
      <c r="CQ38" s="358">
        <f t="shared" si="13"/>
        <v>0</v>
      </c>
      <c r="CR38" s="358">
        <f>IF(AND($F38&lt;&gt;0,AS38=""),1,0)</f>
        <v>0</v>
      </c>
      <c r="CS38" s="352"/>
    </row>
    <row r="39" spans="1:97" ht="19.5" customHeight="1" x14ac:dyDescent="0.3">
      <c r="A39" s="1637" t="s">
        <v>1168</v>
      </c>
      <c r="B39" s="2086"/>
      <c r="C39" s="138" t="s">
        <v>811</v>
      </c>
      <c r="D39" s="665" t="s">
        <v>1550</v>
      </c>
      <c r="E39" s="683" t="s">
        <v>1551</v>
      </c>
      <c r="F39" s="667" t="s">
        <v>1552</v>
      </c>
      <c r="G39" s="684" t="s">
        <v>1553</v>
      </c>
      <c r="H39" s="685" t="s">
        <v>1554</v>
      </c>
      <c r="I39" s="684" t="s">
        <v>1555</v>
      </c>
      <c r="J39" s="685" t="s">
        <v>1556</v>
      </c>
      <c r="K39" s="684" t="s">
        <v>1557</v>
      </c>
      <c r="L39" s="685" t="s">
        <v>1558</v>
      </c>
      <c r="M39" s="684" t="s">
        <v>1559</v>
      </c>
      <c r="N39" s="685" t="s">
        <v>1560</v>
      </c>
      <c r="O39" s="684" t="s">
        <v>1561</v>
      </c>
      <c r="P39" s="685" t="s">
        <v>1562</v>
      </c>
      <c r="Q39" s="684" t="s">
        <v>1563</v>
      </c>
      <c r="R39" s="685" t="s">
        <v>1564</v>
      </c>
      <c r="S39" s="684" t="s">
        <v>1565</v>
      </c>
      <c r="T39" s="685" t="s">
        <v>1566</v>
      </c>
      <c r="U39" s="684" t="s">
        <v>1567</v>
      </c>
      <c r="V39" s="685" t="s">
        <v>1568</v>
      </c>
      <c r="W39" s="684" t="s">
        <v>1569</v>
      </c>
      <c r="X39" s="685" t="s">
        <v>1570</v>
      </c>
      <c r="Y39" s="684" t="s">
        <v>1571</v>
      </c>
      <c r="Z39" s="685" t="s">
        <v>1572</v>
      </c>
      <c r="AA39" s="684" t="s">
        <v>1573</v>
      </c>
      <c r="AB39" s="685" t="s">
        <v>1574</v>
      </c>
      <c r="AC39" s="684" t="s">
        <v>1575</v>
      </c>
      <c r="AD39" s="685" t="s">
        <v>1576</v>
      </c>
      <c r="AE39" s="684" t="s">
        <v>1577</v>
      </c>
      <c r="AF39" s="685" t="s">
        <v>1578</v>
      </c>
      <c r="AG39" s="684" t="s">
        <v>1579</v>
      </c>
      <c r="AH39" s="685" t="s">
        <v>1580</v>
      </c>
      <c r="AI39" s="684" t="s">
        <v>1581</v>
      </c>
      <c r="AJ39" s="685" t="s">
        <v>1582</v>
      </c>
      <c r="AK39" s="684" t="s">
        <v>1583</v>
      </c>
      <c r="AL39" s="685" t="s">
        <v>1584</v>
      </c>
      <c r="AM39" s="684" t="s">
        <v>1585</v>
      </c>
      <c r="AN39" s="693" t="s">
        <v>1586</v>
      </c>
      <c r="AO39" s="708" t="s">
        <v>1587</v>
      </c>
      <c r="AP39" s="740" t="s">
        <v>1588</v>
      </c>
      <c r="AQ39" s="685" t="s">
        <v>1589</v>
      </c>
      <c r="AR39" s="740" t="s">
        <v>1590</v>
      </c>
      <c r="AS39" s="685" t="s">
        <v>1591</v>
      </c>
      <c r="AT39" s="343" t="str">
        <f t="shared" si="0"/>
        <v xml:space="preserve"> * La variable Pueblos Originarios / Hombres no puede ser Mayor al Total. * La variable Pueblos Originarios / Mujeres no puede ser Mayor al Total. * La variable Migrantes / Hombres no puede ser Mayor al Total. * La variable Migrantes / Mujeres no puede ser Mayor al Total.</v>
      </c>
      <c r="CB39" s="354"/>
      <c r="CC39" s="348" t="str">
        <f t="shared" si="19"/>
        <v xml:space="preserve"> * La variable Pueblos Originarios / Hombres no puede ser Mayor al Total.</v>
      </c>
      <c r="CD39" s="348" t="str">
        <f t="shared" si="20"/>
        <v xml:space="preserve"> * La variable Pueblos Originarios / Mujeres no puede ser Mayor al Total.</v>
      </c>
      <c r="CE39" s="348" t="str">
        <f t="shared" si="21"/>
        <v xml:space="preserve"> * La variable Migrantes / Hombres no puede ser Mayor al Total.</v>
      </c>
      <c r="CF39" s="348" t="str">
        <f t="shared" si="22"/>
        <v xml:space="preserve"> * La variable Migrantes / Mujeres no puede ser Mayor al Total.</v>
      </c>
      <c r="CG39" s="348" t="str">
        <f>IF($D39&lt;=$D$35,"","* Atención Domiciliaria por Dependencia Severa / Total Institucionalizada no debe ser mayor al Total Personas. ")</f>
        <v/>
      </c>
      <c r="CH39" s="354"/>
      <c r="CI39" s="354"/>
      <c r="CJ39" s="352"/>
      <c r="CK39" s="358">
        <f t="shared" si="7"/>
        <v>1</v>
      </c>
      <c r="CL39" s="358">
        <f t="shared" si="8"/>
        <v>1</v>
      </c>
      <c r="CM39" s="358">
        <f t="shared" si="9"/>
        <v>1</v>
      </c>
      <c r="CN39" s="358">
        <f t="shared" si="10"/>
        <v>1</v>
      </c>
      <c r="CO39" s="358">
        <f t="shared" si="11"/>
        <v>0</v>
      </c>
      <c r="CP39" s="358">
        <f t="shared" si="12"/>
        <v>0</v>
      </c>
      <c r="CQ39" s="358">
        <f t="shared" si="13"/>
        <v>0</v>
      </c>
      <c r="CR39" s="358">
        <f t="shared" si="14"/>
        <v>0</v>
      </c>
      <c r="CS39" s="352"/>
    </row>
    <row r="40" spans="1:97" ht="23.25" customHeight="1" x14ac:dyDescent="0.3">
      <c r="A40" s="1637" t="s">
        <v>1169</v>
      </c>
      <c r="B40" s="2086"/>
      <c r="C40" s="138" t="s">
        <v>830</v>
      </c>
      <c r="D40" s="665" t="s">
        <v>1550</v>
      </c>
      <c r="E40" s="683" t="s">
        <v>1551</v>
      </c>
      <c r="F40" s="667" t="s">
        <v>1552</v>
      </c>
      <c r="G40" s="684" t="s">
        <v>1553</v>
      </c>
      <c r="H40" s="685" t="s">
        <v>1554</v>
      </c>
      <c r="I40" s="684" t="s">
        <v>1555</v>
      </c>
      <c r="J40" s="685" t="s">
        <v>1556</v>
      </c>
      <c r="K40" s="684" t="s">
        <v>1557</v>
      </c>
      <c r="L40" s="685" t="s">
        <v>1558</v>
      </c>
      <c r="M40" s="684" t="s">
        <v>1559</v>
      </c>
      <c r="N40" s="685" t="s">
        <v>1560</v>
      </c>
      <c r="O40" s="684" t="s">
        <v>1561</v>
      </c>
      <c r="P40" s="685" t="s">
        <v>1562</v>
      </c>
      <c r="Q40" s="684" t="s">
        <v>1563</v>
      </c>
      <c r="R40" s="685" t="s">
        <v>1564</v>
      </c>
      <c r="S40" s="684" t="s">
        <v>1565</v>
      </c>
      <c r="T40" s="685" t="s">
        <v>1566</v>
      </c>
      <c r="U40" s="684" t="s">
        <v>1567</v>
      </c>
      <c r="V40" s="685" t="s">
        <v>1568</v>
      </c>
      <c r="W40" s="684" t="s">
        <v>1569</v>
      </c>
      <c r="X40" s="685" t="s">
        <v>1570</v>
      </c>
      <c r="Y40" s="684" t="s">
        <v>1571</v>
      </c>
      <c r="Z40" s="685" t="s">
        <v>1572</v>
      </c>
      <c r="AA40" s="684" t="s">
        <v>1573</v>
      </c>
      <c r="AB40" s="685" t="s">
        <v>1574</v>
      </c>
      <c r="AC40" s="684" t="s">
        <v>1575</v>
      </c>
      <c r="AD40" s="685" t="s">
        <v>1576</v>
      </c>
      <c r="AE40" s="684" t="s">
        <v>1577</v>
      </c>
      <c r="AF40" s="685" t="s">
        <v>1578</v>
      </c>
      <c r="AG40" s="684" t="s">
        <v>1579</v>
      </c>
      <c r="AH40" s="685" t="s">
        <v>1580</v>
      </c>
      <c r="AI40" s="684" t="s">
        <v>1581</v>
      </c>
      <c r="AJ40" s="685" t="s">
        <v>1582</v>
      </c>
      <c r="AK40" s="684" t="s">
        <v>1583</v>
      </c>
      <c r="AL40" s="685" t="s">
        <v>1584</v>
      </c>
      <c r="AM40" s="684" t="s">
        <v>1585</v>
      </c>
      <c r="AN40" s="693" t="s">
        <v>1586</v>
      </c>
      <c r="AO40" s="708" t="s">
        <v>1587</v>
      </c>
      <c r="AP40" s="740" t="s">
        <v>1588</v>
      </c>
      <c r="AQ40" s="685" t="s">
        <v>1589</v>
      </c>
      <c r="AR40" s="740" t="s">
        <v>1590</v>
      </c>
      <c r="AS40" s="685" t="s">
        <v>1591</v>
      </c>
      <c r="AT40" s="343" t="str">
        <f t="shared" si="0"/>
        <v xml:space="preserve"> * La variable Pueblos Originarios / Hombres no puede ser Mayor al Total. * La variable Pueblos Originarios / Mujeres no puede ser Mayor al Total. * La variable Migrantes / Hombres no puede ser Mayor al Total. * La variable Migrantes / Mujeres no puede ser Mayor al Total.</v>
      </c>
      <c r="CB40" s="354"/>
      <c r="CC40" s="348" t="str">
        <f t="shared" si="19"/>
        <v xml:space="preserve"> * La variable Pueblos Originarios / Hombres no puede ser Mayor al Total.</v>
      </c>
      <c r="CD40" s="348" t="str">
        <f t="shared" si="20"/>
        <v xml:space="preserve"> * La variable Pueblos Originarios / Mujeres no puede ser Mayor al Total.</v>
      </c>
      <c r="CE40" s="348" t="str">
        <f t="shared" si="21"/>
        <v xml:space="preserve"> * La variable Migrantes / Hombres no puede ser Mayor al Total.</v>
      </c>
      <c r="CF40" s="348" t="str">
        <f t="shared" si="22"/>
        <v xml:space="preserve"> * La variable Migrantes / Mujeres no puede ser Mayor al Total.</v>
      </c>
      <c r="CG40" s="348" t="str">
        <f>IF($D40&lt;=$D35,"","* Atención Domiciliaria por Dependencia Severa / Total Personas con lesión por Presión no debe ser mayor al Total Personas. ")</f>
        <v/>
      </c>
      <c r="CH40" s="348" t="str">
        <f>IF($D40&lt;=$D34,"","* Atención Domiciliaria por Dependencia Severa: Total Personas con Lesión por Presión no debe ser mayor a las personas con Dependencia Severa / Total Personas con Lesión por Presión. ")</f>
        <v/>
      </c>
      <c r="CI40" s="354"/>
      <c r="CJ40" s="352"/>
      <c r="CK40" s="358">
        <f t="shared" si="7"/>
        <v>1</v>
      </c>
      <c r="CL40" s="358">
        <f t="shared" si="8"/>
        <v>1</v>
      </c>
      <c r="CM40" s="358">
        <f t="shared" si="9"/>
        <v>1</v>
      </c>
      <c r="CN40" s="358">
        <f t="shared" si="10"/>
        <v>1</v>
      </c>
      <c r="CO40" s="358">
        <f t="shared" si="11"/>
        <v>0</v>
      </c>
      <c r="CP40" s="358">
        <f>IF(AND($F40&lt;&gt;0,AQ40=""),1,0)</f>
        <v>0</v>
      </c>
      <c r="CQ40" s="358">
        <f t="shared" si="13"/>
        <v>0</v>
      </c>
      <c r="CR40" s="358">
        <f t="shared" si="14"/>
        <v>0</v>
      </c>
      <c r="CS40" s="358">
        <f>IF($D40&lt;=$D34,0,1)</f>
        <v>0</v>
      </c>
    </row>
    <row r="41" spans="1:97" ht="26.25" customHeight="1" x14ac:dyDescent="0.3">
      <c r="A41" s="1637" t="s">
        <v>1170</v>
      </c>
      <c r="B41" s="2088"/>
      <c r="C41" s="956" t="s">
        <v>557</v>
      </c>
      <c r="D41" s="694" t="s">
        <v>1550</v>
      </c>
      <c r="E41" s="857" t="s">
        <v>1551</v>
      </c>
      <c r="F41" s="926" t="s">
        <v>1552</v>
      </c>
      <c r="G41" s="700" t="s">
        <v>1553</v>
      </c>
      <c r="H41" s="701" t="s">
        <v>1554</v>
      </c>
      <c r="I41" s="700" t="s">
        <v>1555</v>
      </c>
      <c r="J41" s="701" t="s">
        <v>1556</v>
      </c>
      <c r="K41" s="700" t="s">
        <v>1557</v>
      </c>
      <c r="L41" s="701" t="s">
        <v>1558</v>
      </c>
      <c r="M41" s="700" t="s">
        <v>1559</v>
      </c>
      <c r="N41" s="701" t="s">
        <v>1560</v>
      </c>
      <c r="O41" s="700" t="s">
        <v>1561</v>
      </c>
      <c r="P41" s="701" t="s">
        <v>1562</v>
      </c>
      <c r="Q41" s="700" t="s">
        <v>1563</v>
      </c>
      <c r="R41" s="701" t="s">
        <v>1564</v>
      </c>
      <c r="S41" s="700" t="s">
        <v>1565</v>
      </c>
      <c r="T41" s="701" t="s">
        <v>1566</v>
      </c>
      <c r="U41" s="700" t="s">
        <v>1567</v>
      </c>
      <c r="V41" s="701" t="s">
        <v>1568</v>
      </c>
      <c r="W41" s="700" t="s">
        <v>1569</v>
      </c>
      <c r="X41" s="701" t="s">
        <v>1570</v>
      </c>
      <c r="Y41" s="700" t="s">
        <v>1571</v>
      </c>
      <c r="Z41" s="701" t="s">
        <v>1572</v>
      </c>
      <c r="AA41" s="700" t="s">
        <v>1573</v>
      </c>
      <c r="AB41" s="701" t="s">
        <v>1574</v>
      </c>
      <c r="AC41" s="700" t="s">
        <v>1575</v>
      </c>
      <c r="AD41" s="701" t="s">
        <v>1576</v>
      </c>
      <c r="AE41" s="700" t="s">
        <v>1577</v>
      </c>
      <c r="AF41" s="701" t="s">
        <v>1578</v>
      </c>
      <c r="AG41" s="700" t="s">
        <v>1579</v>
      </c>
      <c r="AH41" s="701" t="s">
        <v>1580</v>
      </c>
      <c r="AI41" s="700" t="s">
        <v>1581</v>
      </c>
      <c r="AJ41" s="701" t="s">
        <v>1582</v>
      </c>
      <c r="AK41" s="700" t="s">
        <v>1583</v>
      </c>
      <c r="AL41" s="701" t="s">
        <v>1584</v>
      </c>
      <c r="AM41" s="700" t="s">
        <v>1585</v>
      </c>
      <c r="AN41" s="702" t="s">
        <v>1586</v>
      </c>
      <c r="AO41" s="927" t="s">
        <v>1587</v>
      </c>
      <c r="AP41" s="761" t="s">
        <v>1588</v>
      </c>
      <c r="AQ41" s="701" t="s">
        <v>1589</v>
      </c>
      <c r="AR41" s="761" t="s">
        <v>1590</v>
      </c>
      <c r="AS41" s="701" t="s">
        <v>1591</v>
      </c>
      <c r="AT41" s="343" t="str">
        <f t="shared" si="0"/>
        <v xml:space="preserve"> * La variable Pueblos Originarios / Hombres no puede ser Mayor al Total. * La variable Pueblos Originarios / Mujeres no puede ser Mayor al Total. * La variable Migrantes / Hombres no puede ser Mayor al Total. * La variable Migrantes / Mujeres no puede ser Mayor al Total.</v>
      </c>
      <c r="CB41" s="354"/>
      <c r="CC41" s="348" t="str">
        <f t="shared" si="19"/>
        <v xml:space="preserve"> * La variable Pueblos Originarios / Hombres no puede ser Mayor al Total.</v>
      </c>
      <c r="CD41" s="348" t="str">
        <f t="shared" si="20"/>
        <v xml:space="preserve"> * La variable Pueblos Originarios / Mujeres no puede ser Mayor al Total.</v>
      </c>
      <c r="CE41" s="348" t="str">
        <f t="shared" si="21"/>
        <v xml:space="preserve"> * La variable Migrantes / Hombres no puede ser Mayor al Total.</v>
      </c>
      <c r="CF41" s="348" t="str">
        <f t="shared" si="22"/>
        <v xml:space="preserve"> * La variable Migrantes / Mujeres no puede ser Mayor al Total.</v>
      </c>
      <c r="CG41" s="348" t="str">
        <f>IF($D41&lt;=$D$35,"","Atención Domiciliaria por Dependencia Severa/ Con indicación de Nutrición Enteral Domiciliaria no debe ser mayor al Total Personas. ")</f>
        <v/>
      </c>
      <c r="CH41" s="354"/>
      <c r="CI41" s="354"/>
      <c r="CJ41" s="352"/>
      <c r="CK41" s="358">
        <f t="shared" si="7"/>
        <v>1</v>
      </c>
      <c r="CL41" s="358">
        <f t="shared" si="8"/>
        <v>1</v>
      </c>
      <c r="CM41" s="358">
        <f t="shared" si="9"/>
        <v>1</v>
      </c>
      <c r="CN41" s="358">
        <f t="shared" si="10"/>
        <v>1</v>
      </c>
      <c r="CO41" s="358">
        <f t="shared" si="11"/>
        <v>0</v>
      </c>
      <c r="CP41" s="358">
        <f t="shared" si="12"/>
        <v>0</v>
      </c>
      <c r="CQ41" s="358">
        <f t="shared" si="13"/>
        <v>0</v>
      </c>
      <c r="CR41" s="358">
        <f t="shared" si="14"/>
        <v>0</v>
      </c>
    </row>
    <row r="42" spans="1:97" ht="15.75" customHeight="1" x14ac:dyDescent="0.3">
      <c r="B42" s="139" t="s">
        <v>149</v>
      </c>
      <c r="C42" s="140"/>
      <c r="D42" s="139"/>
      <c r="E42" s="141"/>
      <c r="F42" s="141"/>
      <c r="G42" s="141"/>
      <c r="H42" s="141"/>
      <c r="I42" s="141"/>
      <c r="J42" s="141"/>
      <c r="K42" s="141"/>
      <c r="L42" s="141"/>
      <c r="M42" s="141"/>
      <c r="N42" s="141"/>
      <c r="O42" s="141"/>
      <c r="P42" s="141"/>
      <c r="Q42" s="141"/>
      <c r="R42" s="141"/>
      <c r="S42" s="141"/>
      <c r="T42" s="141"/>
      <c r="U42" s="141"/>
      <c r="V42" s="141"/>
      <c r="W42" s="141"/>
      <c r="X42" s="141"/>
      <c r="Y42" s="141"/>
      <c r="Z42" s="141"/>
      <c r="AA42" s="55"/>
      <c r="CB42" s="354"/>
      <c r="CC42" s="354"/>
      <c r="CD42" s="354"/>
      <c r="CE42" s="354"/>
      <c r="CF42" s="354"/>
      <c r="CG42" s="354"/>
      <c r="CH42" s="354"/>
      <c r="CI42" s="354"/>
      <c r="CJ42" s="352"/>
      <c r="CK42" s="352"/>
      <c r="CL42" s="352"/>
      <c r="CM42" s="352"/>
      <c r="CN42" s="352"/>
      <c r="CO42" s="352"/>
      <c r="CP42" s="352"/>
      <c r="CQ42" s="352"/>
      <c r="CR42" s="352"/>
    </row>
    <row r="43" spans="1:97" ht="32.25" customHeight="1" x14ac:dyDescent="0.3">
      <c r="B43" s="2144" t="s">
        <v>150</v>
      </c>
      <c r="C43" s="2144"/>
      <c r="D43" s="2144"/>
      <c r="E43" s="2144"/>
      <c r="F43" s="2144"/>
      <c r="G43" s="2144"/>
      <c r="H43" s="2144"/>
      <c r="I43" s="2144"/>
      <c r="J43" s="2144"/>
      <c r="K43" s="2144"/>
      <c r="L43" s="2144"/>
      <c r="M43" s="2144"/>
      <c r="N43" s="2144"/>
      <c r="O43" s="2144"/>
      <c r="P43" s="2144"/>
      <c r="Q43" s="2144"/>
      <c r="R43" s="2144"/>
      <c r="S43" s="2144"/>
      <c r="T43" s="2144"/>
      <c r="U43" s="2144"/>
      <c r="V43" s="2144"/>
      <c r="W43" s="2144"/>
      <c r="X43" s="2144"/>
      <c r="Y43" s="2144"/>
      <c r="Z43" s="2144"/>
      <c r="AA43" s="2144"/>
      <c r="AB43" s="2144"/>
      <c r="AC43" s="2144"/>
      <c r="AD43" s="2144"/>
      <c r="AE43" s="2144"/>
      <c r="AF43" s="2144"/>
      <c r="AG43" s="2144"/>
      <c r="AH43" s="2144"/>
      <c r="AI43" s="2144"/>
      <c r="AJ43" s="2144"/>
      <c r="AK43" s="2144"/>
      <c r="AL43" s="2144"/>
      <c r="AM43" s="2144"/>
      <c r="AN43" s="2144"/>
      <c r="AO43" s="2144"/>
      <c r="AP43" s="2144"/>
      <c r="AQ43" s="2144"/>
      <c r="CB43" s="354"/>
      <c r="CC43" s="354"/>
      <c r="CD43" s="354"/>
      <c r="CE43" s="354"/>
      <c r="CF43" s="354"/>
      <c r="CG43" s="354"/>
      <c r="CH43" s="354"/>
      <c r="CI43" s="354"/>
      <c r="CJ43" s="352"/>
      <c r="CK43" s="352"/>
      <c r="CL43" s="352"/>
      <c r="CM43" s="352"/>
      <c r="CN43" s="352"/>
      <c r="CO43" s="352"/>
      <c r="CP43" s="352"/>
      <c r="CQ43" s="352"/>
      <c r="CR43" s="352"/>
    </row>
    <row r="44" spans="1:97" ht="17.25" customHeight="1" x14ac:dyDescent="0.3">
      <c r="B44" s="2092" t="s">
        <v>151</v>
      </c>
      <c r="C44" s="1989" t="s">
        <v>494</v>
      </c>
      <c r="D44" s="1991" t="s">
        <v>31</v>
      </c>
      <c r="E44" s="2132" t="s">
        <v>94</v>
      </c>
      <c r="F44" s="2145" t="s">
        <v>147</v>
      </c>
      <c r="G44" s="2145"/>
      <c r="H44" s="2145"/>
      <c r="I44" s="2145"/>
      <c r="J44" s="2145"/>
      <c r="K44" s="2145"/>
      <c r="L44" s="2146"/>
      <c r="AP44" s="175"/>
      <c r="AT44" s="55"/>
      <c r="BA44" s="175"/>
      <c r="BB44" s="175"/>
      <c r="BC44" s="175"/>
      <c r="BD44" s="291"/>
      <c r="BQ44" s="960"/>
      <c r="BR44" s="960"/>
      <c r="BS44" s="960"/>
      <c r="BT44" s="291"/>
      <c r="CB44" s="354"/>
      <c r="CC44" s="354"/>
      <c r="CD44" s="354"/>
      <c r="CE44" s="354"/>
      <c r="CF44" s="354"/>
      <c r="CG44" s="354"/>
      <c r="CH44" s="354"/>
      <c r="CI44" s="354"/>
      <c r="CJ44" s="352"/>
      <c r="CK44" s="352"/>
      <c r="CL44" s="352"/>
      <c r="CM44" s="352"/>
      <c r="CN44" s="352"/>
      <c r="CO44" s="352"/>
      <c r="CP44" s="352"/>
      <c r="CQ44" s="352"/>
      <c r="CR44" s="352"/>
    </row>
    <row r="45" spans="1:97" ht="82.5" customHeight="1" x14ac:dyDescent="0.3">
      <c r="B45" s="2093"/>
      <c r="C45" s="1989"/>
      <c r="D45" s="1991"/>
      <c r="E45" s="2132"/>
      <c r="F45" s="1312" t="s">
        <v>714</v>
      </c>
      <c r="G45" s="1313" t="s">
        <v>461</v>
      </c>
      <c r="H45" s="1313" t="s">
        <v>687</v>
      </c>
      <c r="I45" s="1314" t="s">
        <v>462</v>
      </c>
      <c r="J45" s="1314" t="s">
        <v>688</v>
      </c>
      <c r="K45" s="1314" t="s">
        <v>689</v>
      </c>
      <c r="L45" s="1314" t="s">
        <v>690</v>
      </c>
      <c r="AP45" s="175"/>
      <c r="AT45" s="55"/>
      <c r="BA45" s="175"/>
      <c r="BB45" s="175"/>
      <c r="BC45" s="175"/>
      <c r="BD45" s="291"/>
      <c r="BQ45" s="960"/>
      <c r="BR45" s="960"/>
      <c r="BS45" s="960"/>
      <c r="BT45" s="291"/>
      <c r="CB45" s="354"/>
      <c r="CC45" s="354"/>
      <c r="CD45" s="354"/>
      <c r="CE45" s="354"/>
      <c r="CF45" s="354"/>
      <c r="CG45" s="354"/>
      <c r="CH45" s="354"/>
      <c r="CI45" s="354"/>
      <c r="CJ45" s="352"/>
      <c r="CK45" s="352"/>
      <c r="CL45" s="352"/>
      <c r="CM45" s="352"/>
      <c r="CN45" s="352"/>
      <c r="CO45" s="352"/>
      <c r="CP45" s="352"/>
      <c r="CQ45" s="352"/>
      <c r="CR45" s="352"/>
    </row>
    <row r="46" spans="1:97" ht="24" customHeight="1" x14ac:dyDescent="0.3">
      <c r="A46" s="1637" t="s">
        <v>1171</v>
      </c>
      <c r="B46" s="1315" t="s">
        <v>152</v>
      </c>
      <c r="C46" s="1504" t="s">
        <v>1550</v>
      </c>
      <c r="D46" s="836" t="s">
        <v>1551</v>
      </c>
      <c r="E46" s="1201" t="s">
        <v>1552</v>
      </c>
      <c r="F46" s="1200" t="s">
        <v>1553</v>
      </c>
      <c r="G46" s="1316" t="s">
        <v>1554</v>
      </c>
      <c r="H46" s="1316" t="s">
        <v>1555</v>
      </c>
      <c r="I46" s="837" t="s">
        <v>1556</v>
      </c>
      <c r="J46" s="837" t="s">
        <v>1557</v>
      </c>
      <c r="K46" s="837" t="s">
        <v>1558</v>
      </c>
      <c r="L46" s="837" t="s">
        <v>1559</v>
      </c>
      <c r="M46" s="343" t="str">
        <f>CB46&amp;CC46&amp;CD46&amp;CE46&amp;CF46&amp;CG46&amp;CH46&amp;CI46</f>
        <v xml:space="preserve"> * El Total de Cuidadoras/es capacitadas/os No debe ser mayor que el Total Número de cuidadores. * El Total de Cuidadoras/es con examen preventivo vigente No debe ser mayor que el Total Número de cuidadores. * El Total de Cuidadoras/es sin examen preventivo ingresado a programa de salud No debe ser mayor que el Total Número de cuidadores. * El Total de Cuidadoras/es con apoyo monetario No debe ser mayor que el Total Número de cuidadores. * El Total de Cuidadoras/es en espera de apoyo monetario No debe ser mayor que el Total Número de cuidadores. * El Total de Cuidadoras/es con evaluación anual de nivel de sobrecarga No debe ser mayor que el Total Número de cuidadores. * El Total de Cuidadoras/es mayores de 65 años No debe ser mayor que el Total Número de cuidadores.</v>
      </c>
      <c r="AO46" s="57"/>
      <c r="AP46" s="175"/>
      <c r="AT46" s="55"/>
      <c r="BA46" s="175"/>
      <c r="BB46" s="175"/>
      <c r="BC46" s="175"/>
      <c r="BD46" s="291"/>
      <c r="BQ46" s="960"/>
      <c r="BR46" s="960"/>
      <c r="BS46" s="960"/>
      <c r="BT46" s="291"/>
      <c r="CB46" s="348" t="str">
        <f>IF(F46&gt;C46," * El Total de Cuidadoras/es capacitadas/os No debe ser mayor que el Total Número de cuidadores.","")</f>
        <v xml:space="preserve"> * El Total de Cuidadoras/es capacitadas/os No debe ser mayor que el Total Número de cuidadores.</v>
      </c>
      <c r="CC46" s="348" t="str">
        <f>IF(G46&gt;C46," * El Total de Cuidadoras/es con examen preventivo vigente No debe ser mayor que el Total Número de cuidadores.","")</f>
        <v xml:space="preserve"> * El Total de Cuidadoras/es con examen preventivo vigente No debe ser mayor que el Total Número de cuidadores.</v>
      </c>
      <c r="CD46" s="348" t="str">
        <f>IF(H46&gt;C46," * El Total de Cuidadoras/es sin examen preventivo ingresado a programa de salud No debe ser mayor que el Total Número de cuidadores.","")</f>
        <v xml:space="preserve"> * El Total de Cuidadoras/es sin examen preventivo ingresado a programa de salud No debe ser mayor que el Total Número de cuidadores.</v>
      </c>
      <c r="CE46" s="348" t="str">
        <f>IF(I46&gt;C46," * El Total de Cuidadoras/es con apoyo monetario No debe ser mayor que el Total Número de cuidadores.","")</f>
        <v xml:space="preserve"> * El Total de Cuidadoras/es con apoyo monetario No debe ser mayor que el Total Número de cuidadores.</v>
      </c>
      <c r="CF46" s="348" t="str">
        <f>IF(J46&gt;C46," * El Total de Cuidadoras/es en espera de apoyo monetario No debe ser mayor que el Total Número de cuidadores.","")</f>
        <v xml:space="preserve"> * El Total de Cuidadoras/es en espera de apoyo monetario No debe ser mayor que el Total Número de cuidadores.</v>
      </c>
      <c r="CG46" s="348" t="str">
        <f>IF(K46&gt;C46," * El Total de Cuidadoras/es con evaluación anual de nivel de sobrecarga No debe ser mayor que el Total Número de cuidadores.","")</f>
        <v xml:space="preserve"> * El Total de Cuidadoras/es con evaluación anual de nivel de sobrecarga No debe ser mayor que el Total Número de cuidadores.</v>
      </c>
      <c r="CH46" s="348" t="str">
        <f>IF(L46&gt;C46," * El Total de Cuidadoras/es mayores de 65 años No debe ser mayor que el Total Número de cuidadores.","")</f>
        <v xml:space="preserve"> * El Total de Cuidadoras/es mayores de 65 años No debe ser mayor que el Total Número de cuidadores.</v>
      </c>
      <c r="CI46" s="354"/>
      <c r="CJ46" s="358">
        <f>IF(F46&gt;C46,1,0)</f>
        <v>1</v>
      </c>
      <c r="CK46" s="358">
        <f>IF(G46&gt;C46,1,0)</f>
        <v>1</v>
      </c>
      <c r="CL46" s="358">
        <f>IF(H46&gt;C46,1,0)</f>
        <v>1</v>
      </c>
      <c r="CM46" s="358">
        <f>IF(I46&gt;C46,1,0)</f>
        <v>1</v>
      </c>
      <c r="CN46" s="358">
        <f>IF(J46&gt;C46,1,0)</f>
        <v>1</v>
      </c>
      <c r="CO46" s="358">
        <f>IF(K46&gt;C46,1,0)</f>
        <v>1</v>
      </c>
      <c r="CP46" s="358">
        <f>IF(L46&gt;C46,1,0)</f>
        <v>1</v>
      </c>
    </row>
    <row r="47" spans="1:97" ht="30.6" customHeight="1" x14ac:dyDescent="0.3">
      <c r="B47" s="2116" t="s">
        <v>153</v>
      </c>
      <c r="C47" s="2116"/>
      <c r="D47" s="2116"/>
      <c r="E47" s="2116"/>
      <c r="F47" s="2116"/>
      <c r="G47" s="2116"/>
      <c r="H47" s="2116"/>
      <c r="I47" s="2116"/>
      <c r="J47" s="2116"/>
      <c r="K47" s="2116"/>
      <c r="L47" s="2116"/>
      <c r="M47" s="2116"/>
      <c r="N47" s="2116"/>
      <c r="O47" s="2116"/>
      <c r="P47" s="2116"/>
      <c r="Q47" s="2116"/>
      <c r="R47" s="2116"/>
      <c r="S47" s="2116"/>
      <c r="T47" s="2116"/>
      <c r="U47" s="2116"/>
      <c r="V47" s="2116"/>
      <c r="W47" s="2116"/>
      <c r="X47" s="2116"/>
      <c r="Y47" s="2116"/>
      <c r="Z47" s="2116"/>
      <c r="AA47" s="2116"/>
      <c r="AB47" s="2116"/>
      <c r="AC47" s="2116"/>
      <c r="AD47" s="2116"/>
      <c r="AE47" s="2116"/>
      <c r="AF47" s="2116"/>
      <c r="AG47" s="2116"/>
      <c r="AH47" s="2116"/>
      <c r="AI47" s="2116"/>
      <c r="AJ47" s="2116"/>
      <c r="AK47" s="2116"/>
      <c r="AL47" s="2116"/>
      <c r="AM47" s="2116"/>
      <c r="AN47" s="2116"/>
      <c r="CB47" s="354"/>
      <c r="CC47" s="354"/>
      <c r="CD47" s="354"/>
      <c r="CE47" s="354"/>
      <c r="CF47" s="354"/>
      <c r="CG47" s="354"/>
      <c r="CH47" s="354"/>
      <c r="CI47" s="354"/>
      <c r="CJ47" s="352"/>
      <c r="CK47" s="352"/>
      <c r="CL47" s="352"/>
      <c r="CM47" s="352"/>
      <c r="CN47" s="352"/>
      <c r="CO47" s="352"/>
      <c r="CP47" s="352"/>
    </row>
    <row r="48" spans="1:97" ht="21" customHeight="1" x14ac:dyDescent="0.3">
      <c r="B48" s="2083" t="s">
        <v>154</v>
      </c>
      <c r="C48" s="2084"/>
      <c r="D48" s="2154" t="s">
        <v>13</v>
      </c>
      <c r="E48" s="2154"/>
      <c r="F48" s="2154"/>
      <c r="G48" s="2119" t="s">
        <v>126</v>
      </c>
      <c r="H48" s="2119"/>
      <c r="I48" s="2119"/>
      <c r="J48" s="2119"/>
      <c r="K48" s="2119"/>
      <c r="L48" s="2119"/>
      <c r="M48" s="2119"/>
      <c r="N48" s="2119"/>
      <c r="O48" s="2119"/>
      <c r="P48" s="2119"/>
      <c r="Q48" s="2119"/>
      <c r="R48" s="2119"/>
      <c r="S48" s="2119"/>
      <c r="T48" s="2119"/>
      <c r="U48" s="2119"/>
      <c r="V48" s="2119"/>
      <c r="W48" s="2119"/>
      <c r="X48" s="2119"/>
      <c r="Y48" s="2119"/>
      <c r="Z48" s="2119"/>
      <c r="AA48" s="2119"/>
      <c r="AB48" s="2119"/>
      <c r="AC48" s="2119"/>
      <c r="AD48" s="2119"/>
      <c r="AE48" s="2119"/>
      <c r="AF48" s="2119"/>
      <c r="AG48" s="2119"/>
      <c r="AH48" s="2119"/>
      <c r="AI48" s="2119"/>
      <c r="AJ48" s="2119"/>
      <c r="AK48" s="2119"/>
      <c r="AL48" s="2119"/>
      <c r="AM48" s="2119"/>
      <c r="AN48" s="2119"/>
      <c r="CB48" s="354"/>
      <c r="CC48" s="354"/>
      <c r="CD48" s="354"/>
      <c r="CE48" s="354"/>
      <c r="CF48" s="354"/>
      <c r="CG48" s="354"/>
      <c r="CH48" s="354"/>
      <c r="CI48" s="354"/>
      <c r="CJ48" s="352"/>
      <c r="CK48" s="352"/>
      <c r="CL48" s="352"/>
      <c r="CM48" s="352"/>
      <c r="CN48" s="352"/>
      <c r="CO48" s="352"/>
    </row>
    <row r="49" spans="1:93" ht="18" customHeight="1" x14ac:dyDescent="0.3">
      <c r="B49" s="2085"/>
      <c r="C49" s="2086"/>
      <c r="D49" s="2154"/>
      <c r="E49" s="2154"/>
      <c r="F49" s="2154"/>
      <c r="G49" s="2148" t="s">
        <v>206</v>
      </c>
      <c r="H49" s="2149"/>
      <c r="I49" s="2148" t="s">
        <v>207</v>
      </c>
      <c r="J49" s="2149"/>
      <c r="K49" s="2148" t="s">
        <v>128</v>
      </c>
      <c r="L49" s="2149"/>
      <c r="M49" s="2112" t="s">
        <v>17</v>
      </c>
      <c r="N49" s="2112"/>
      <c r="O49" s="2112" t="s">
        <v>18</v>
      </c>
      <c r="P49" s="2112"/>
      <c r="Q49" s="2112" t="s">
        <v>19</v>
      </c>
      <c r="R49" s="2112"/>
      <c r="S49" s="2114" t="s">
        <v>20</v>
      </c>
      <c r="T49" s="2115"/>
      <c r="U49" s="2112" t="s">
        <v>21</v>
      </c>
      <c r="V49" s="2112"/>
      <c r="W49" s="2114" t="s">
        <v>22</v>
      </c>
      <c r="X49" s="2115"/>
      <c r="Y49" s="2112" t="s">
        <v>23</v>
      </c>
      <c r="Z49" s="2112"/>
      <c r="AA49" s="2114" t="s">
        <v>24</v>
      </c>
      <c r="AB49" s="2115"/>
      <c r="AC49" s="2112" t="s">
        <v>208</v>
      </c>
      <c r="AD49" s="2112"/>
      <c r="AE49" s="2114" t="s">
        <v>209</v>
      </c>
      <c r="AF49" s="2115"/>
      <c r="AG49" s="2117" t="s">
        <v>181</v>
      </c>
      <c r="AH49" s="2118"/>
      <c r="AI49" s="2117" t="s">
        <v>182</v>
      </c>
      <c r="AJ49" s="2118"/>
      <c r="AK49" s="2117" t="s">
        <v>183</v>
      </c>
      <c r="AL49" s="2118"/>
      <c r="AM49" s="2117" t="s">
        <v>195</v>
      </c>
      <c r="AN49" s="2118"/>
      <c r="CB49" s="354"/>
      <c r="CC49" s="354"/>
      <c r="CD49" s="354"/>
      <c r="CE49" s="354"/>
      <c r="CF49" s="354"/>
      <c r="CG49" s="354"/>
      <c r="CH49" s="354"/>
      <c r="CI49" s="354"/>
      <c r="CJ49" s="352"/>
      <c r="CK49" s="352"/>
      <c r="CL49" s="352"/>
      <c r="CM49" s="352"/>
      <c r="CN49" s="352"/>
      <c r="CO49" s="352"/>
    </row>
    <row r="50" spans="1:93" ht="32.4" customHeight="1" x14ac:dyDescent="0.3">
      <c r="B50" s="2087"/>
      <c r="C50" s="2088"/>
      <c r="D50" s="125" t="s">
        <v>93</v>
      </c>
      <c r="E50" s="126" t="s">
        <v>31</v>
      </c>
      <c r="F50" s="127" t="s">
        <v>94</v>
      </c>
      <c r="G50" s="128" t="s">
        <v>31</v>
      </c>
      <c r="H50" s="127" t="s">
        <v>94</v>
      </c>
      <c r="I50" s="128" t="s">
        <v>31</v>
      </c>
      <c r="J50" s="127" t="s">
        <v>94</v>
      </c>
      <c r="K50" s="128" t="s">
        <v>31</v>
      </c>
      <c r="L50" s="127" t="s">
        <v>94</v>
      </c>
      <c r="M50" s="129" t="s">
        <v>31</v>
      </c>
      <c r="N50" s="130" t="s">
        <v>94</v>
      </c>
      <c r="O50" s="129" t="s">
        <v>31</v>
      </c>
      <c r="P50" s="130" t="s">
        <v>94</v>
      </c>
      <c r="Q50" s="129" t="s">
        <v>31</v>
      </c>
      <c r="R50" s="130" t="s">
        <v>94</v>
      </c>
      <c r="S50" s="356" t="s">
        <v>31</v>
      </c>
      <c r="T50" s="357" t="s">
        <v>94</v>
      </c>
      <c r="U50" s="129" t="s">
        <v>31</v>
      </c>
      <c r="V50" s="130" t="s">
        <v>94</v>
      </c>
      <c r="W50" s="356" t="s">
        <v>31</v>
      </c>
      <c r="X50" s="357" t="s">
        <v>94</v>
      </c>
      <c r="Y50" s="129" t="s">
        <v>31</v>
      </c>
      <c r="Z50" s="130" t="s">
        <v>94</v>
      </c>
      <c r="AA50" s="356" t="s">
        <v>31</v>
      </c>
      <c r="AB50" s="357" t="s">
        <v>94</v>
      </c>
      <c r="AC50" s="129" t="s">
        <v>31</v>
      </c>
      <c r="AD50" s="130" t="s">
        <v>94</v>
      </c>
      <c r="AE50" s="356" t="s">
        <v>31</v>
      </c>
      <c r="AF50" s="357" t="s">
        <v>94</v>
      </c>
      <c r="AG50" s="131" t="s">
        <v>129</v>
      </c>
      <c r="AH50" s="132" t="s">
        <v>94</v>
      </c>
      <c r="AI50" s="131" t="s">
        <v>129</v>
      </c>
      <c r="AJ50" s="132" t="s">
        <v>94</v>
      </c>
      <c r="AK50" s="131" t="s">
        <v>129</v>
      </c>
      <c r="AL50" s="132" t="s">
        <v>94</v>
      </c>
      <c r="AM50" s="131" t="s">
        <v>129</v>
      </c>
      <c r="AN50" s="132" t="s">
        <v>94</v>
      </c>
      <c r="CB50" s="354"/>
      <c r="CC50" s="354"/>
      <c r="CD50" s="354"/>
      <c r="CE50" s="354"/>
      <c r="CF50" s="354"/>
      <c r="CG50" s="354"/>
      <c r="CH50" s="354"/>
      <c r="CI50" s="354"/>
      <c r="CJ50" s="352"/>
      <c r="CK50" s="352"/>
      <c r="CL50" s="352"/>
      <c r="CM50" s="352"/>
      <c r="CN50" s="352"/>
      <c r="CO50" s="352"/>
    </row>
    <row r="51" spans="1:93" ht="21" customHeight="1" x14ac:dyDescent="0.3">
      <c r="A51" s="1637" t="s">
        <v>1172</v>
      </c>
      <c r="B51" s="2089" t="s">
        <v>155</v>
      </c>
      <c r="C51" s="1115" t="s">
        <v>637</v>
      </c>
      <c r="D51" s="678" t="s">
        <v>1550</v>
      </c>
      <c r="E51" s="678" t="s">
        <v>1551</v>
      </c>
      <c r="F51" s="679" t="s">
        <v>1552</v>
      </c>
      <c r="G51" s="1104" t="s">
        <v>1553</v>
      </c>
      <c r="H51" s="1105" t="s">
        <v>1554</v>
      </c>
      <c r="I51" s="1106" t="s">
        <v>1555</v>
      </c>
      <c r="J51" s="1105" t="s">
        <v>1556</v>
      </c>
      <c r="K51" s="1106" t="s">
        <v>1557</v>
      </c>
      <c r="L51" s="1105" t="s">
        <v>1558</v>
      </c>
      <c r="M51" s="1106" t="s">
        <v>1559</v>
      </c>
      <c r="N51" s="1105" t="s">
        <v>1560</v>
      </c>
      <c r="O51" s="1106" t="s">
        <v>1561</v>
      </c>
      <c r="P51" s="1105" t="s">
        <v>1562</v>
      </c>
      <c r="Q51" s="1106" t="s">
        <v>1563</v>
      </c>
      <c r="R51" s="1105" t="s">
        <v>1564</v>
      </c>
      <c r="S51" s="1106" t="s">
        <v>1565</v>
      </c>
      <c r="T51" s="1105" t="s">
        <v>1566</v>
      </c>
      <c r="U51" s="1106" t="s">
        <v>1567</v>
      </c>
      <c r="V51" s="1105" t="s">
        <v>1568</v>
      </c>
      <c r="W51" s="1106" t="s">
        <v>1569</v>
      </c>
      <c r="X51" s="1105" t="s">
        <v>1570</v>
      </c>
      <c r="Y51" s="1106" t="s">
        <v>1571</v>
      </c>
      <c r="Z51" s="1105" t="s">
        <v>1572</v>
      </c>
      <c r="AA51" s="1106" t="s">
        <v>1573</v>
      </c>
      <c r="AB51" s="1105" t="s">
        <v>1574</v>
      </c>
      <c r="AC51" s="1106" t="s">
        <v>1575</v>
      </c>
      <c r="AD51" s="1105" t="s">
        <v>1576</v>
      </c>
      <c r="AE51" s="1106" t="s">
        <v>1577</v>
      </c>
      <c r="AF51" s="1105" t="s">
        <v>1578</v>
      </c>
      <c r="AG51" s="1106" t="s">
        <v>1579</v>
      </c>
      <c r="AH51" s="1105" t="s">
        <v>1580</v>
      </c>
      <c r="AI51" s="1106" t="s">
        <v>1581</v>
      </c>
      <c r="AJ51" s="1105" t="s">
        <v>1582</v>
      </c>
      <c r="AK51" s="1106" t="s">
        <v>1583</v>
      </c>
      <c r="AL51" s="1105" t="s">
        <v>1584</v>
      </c>
      <c r="AM51" s="1106" t="s">
        <v>1585</v>
      </c>
      <c r="AN51" s="1105" t="s">
        <v>1586</v>
      </c>
      <c r="AO51" s="1515"/>
      <c r="CB51" s="354"/>
      <c r="CC51" s="354"/>
      <c r="CD51" s="354"/>
      <c r="CE51" s="354"/>
      <c r="CF51" s="354"/>
      <c r="CG51" s="354"/>
      <c r="CH51" s="354"/>
      <c r="CI51" s="354"/>
      <c r="CJ51" s="352"/>
      <c r="CK51" s="352"/>
      <c r="CL51" s="352"/>
      <c r="CM51" s="352"/>
      <c r="CN51" s="352"/>
      <c r="CO51" s="352"/>
    </row>
    <row r="52" spans="1:93" ht="21" customHeight="1" x14ac:dyDescent="0.3">
      <c r="A52" s="1637" t="s">
        <v>1173</v>
      </c>
      <c r="B52" s="2090"/>
      <c r="C52" s="1116" t="s">
        <v>638</v>
      </c>
      <c r="D52" s="683" t="s">
        <v>1550</v>
      </c>
      <c r="E52" s="683" t="s">
        <v>1551</v>
      </c>
      <c r="F52" s="667" t="s">
        <v>1552</v>
      </c>
      <c r="G52" s="1107" t="s">
        <v>1553</v>
      </c>
      <c r="H52" s="1110" t="s">
        <v>1554</v>
      </c>
      <c r="I52" s="1109" t="s">
        <v>1555</v>
      </c>
      <c r="J52" s="1110" t="s">
        <v>1556</v>
      </c>
      <c r="K52" s="1109" t="s">
        <v>1557</v>
      </c>
      <c r="L52" s="1110" t="s">
        <v>1558</v>
      </c>
      <c r="M52" s="1109" t="s">
        <v>1559</v>
      </c>
      <c r="N52" s="1110" t="s">
        <v>1560</v>
      </c>
      <c r="O52" s="1109" t="s">
        <v>1561</v>
      </c>
      <c r="P52" s="1110" t="s">
        <v>1562</v>
      </c>
      <c r="Q52" s="1109" t="s">
        <v>1563</v>
      </c>
      <c r="R52" s="1110" t="s">
        <v>1564</v>
      </c>
      <c r="S52" s="1109" t="s">
        <v>1565</v>
      </c>
      <c r="T52" s="1110" t="s">
        <v>1566</v>
      </c>
      <c r="U52" s="1109" t="s">
        <v>1567</v>
      </c>
      <c r="V52" s="1110" t="s">
        <v>1568</v>
      </c>
      <c r="W52" s="1109" t="s">
        <v>1569</v>
      </c>
      <c r="X52" s="1110" t="s">
        <v>1570</v>
      </c>
      <c r="Y52" s="1109" t="s">
        <v>1571</v>
      </c>
      <c r="Z52" s="1110" t="s">
        <v>1572</v>
      </c>
      <c r="AA52" s="1109" t="s">
        <v>1573</v>
      </c>
      <c r="AB52" s="1110" t="s">
        <v>1574</v>
      </c>
      <c r="AC52" s="1109" t="s">
        <v>1575</v>
      </c>
      <c r="AD52" s="1110" t="s">
        <v>1576</v>
      </c>
      <c r="AE52" s="1109" t="s">
        <v>1577</v>
      </c>
      <c r="AF52" s="1110" t="s">
        <v>1578</v>
      </c>
      <c r="AG52" s="1109" t="s">
        <v>1579</v>
      </c>
      <c r="AH52" s="1110" t="s">
        <v>1580</v>
      </c>
      <c r="AI52" s="1109" t="s">
        <v>1581</v>
      </c>
      <c r="AJ52" s="1110" t="s">
        <v>1582</v>
      </c>
      <c r="AK52" s="1109" t="s">
        <v>1583</v>
      </c>
      <c r="AL52" s="1110" t="s">
        <v>1584</v>
      </c>
      <c r="AM52" s="1109" t="s">
        <v>1585</v>
      </c>
      <c r="AN52" s="1110" t="s">
        <v>1586</v>
      </c>
      <c r="AO52" s="1515"/>
      <c r="CB52" s="354"/>
      <c r="CC52" s="354"/>
      <c r="CD52" s="354"/>
      <c r="CE52" s="354"/>
      <c r="CF52" s="354"/>
      <c r="CG52" s="354"/>
      <c r="CH52" s="354"/>
      <c r="CI52" s="354"/>
      <c r="CJ52" s="352"/>
      <c r="CK52" s="352"/>
      <c r="CL52" s="352"/>
      <c r="CM52" s="352"/>
      <c r="CN52" s="352"/>
      <c r="CO52" s="352"/>
    </row>
    <row r="53" spans="1:93" ht="21" customHeight="1" x14ac:dyDescent="0.3">
      <c r="A53" s="1637" t="s">
        <v>1174</v>
      </c>
      <c r="B53" s="2090"/>
      <c r="C53" s="1116" t="s">
        <v>639</v>
      </c>
      <c r="D53" s="683" t="s">
        <v>1550</v>
      </c>
      <c r="E53" s="683" t="s">
        <v>1551</v>
      </c>
      <c r="F53" s="667" t="s">
        <v>1552</v>
      </c>
      <c r="G53" s="1107" t="s">
        <v>1553</v>
      </c>
      <c r="H53" s="1110" t="s">
        <v>1554</v>
      </c>
      <c r="I53" s="1109" t="s">
        <v>1555</v>
      </c>
      <c r="J53" s="1110" t="s">
        <v>1556</v>
      </c>
      <c r="K53" s="1109" t="s">
        <v>1557</v>
      </c>
      <c r="L53" s="1110" t="s">
        <v>1558</v>
      </c>
      <c r="M53" s="1109" t="s">
        <v>1559</v>
      </c>
      <c r="N53" s="1110" t="s">
        <v>1560</v>
      </c>
      <c r="O53" s="1109" t="s">
        <v>1561</v>
      </c>
      <c r="P53" s="1110" t="s">
        <v>1562</v>
      </c>
      <c r="Q53" s="1109" t="s">
        <v>1563</v>
      </c>
      <c r="R53" s="1110" t="s">
        <v>1564</v>
      </c>
      <c r="S53" s="1109" t="s">
        <v>1565</v>
      </c>
      <c r="T53" s="1110" t="s">
        <v>1566</v>
      </c>
      <c r="U53" s="1109" t="s">
        <v>1567</v>
      </c>
      <c r="V53" s="1110" t="s">
        <v>1568</v>
      </c>
      <c r="W53" s="1109" t="s">
        <v>1569</v>
      </c>
      <c r="X53" s="1110" t="s">
        <v>1570</v>
      </c>
      <c r="Y53" s="1109" t="s">
        <v>1571</v>
      </c>
      <c r="Z53" s="1110" t="s">
        <v>1572</v>
      </c>
      <c r="AA53" s="1109" t="s">
        <v>1573</v>
      </c>
      <c r="AB53" s="1110" t="s">
        <v>1574</v>
      </c>
      <c r="AC53" s="1109" t="s">
        <v>1575</v>
      </c>
      <c r="AD53" s="1110" t="s">
        <v>1576</v>
      </c>
      <c r="AE53" s="1109" t="s">
        <v>1577</v>
      </c>
      <c r="AF53" s="1110" t="s">
        <v>1578</v>
      </c>
      <c r="AG53" s="1109" t="s">
        <v>1579</v>
      </c>
      <c r="AH53" s="1110" t="s">
        <v>1580</v>
      </c>
      <c r="AI53" s="1109" t="s">
        <v>1581</v>
      </c>
      <c r="AJ53" s="1110" t="s">
        <v>1582</v>
      </c>
      <c r="AK53" s="1109" t="s">
        <v>1583</v>
      </c>
      <c r="AL53" s="1110" t="s">
        <v>1584</v>
      </c>
      <c r="AM53" s="1109" t="s">
        <v>1585</v>
      </c>
      <c r="AN53" s="1110" t="s">
        <v>1586</v>
      </c>
      <c r="AO53" s="1515"/>
      <c r="CB53" s="354"/>
      <c r="CC53" s="354"/>
      <c r="CD53" s="354"/>
      <c r="CE53" s="354"/>
      <c r="CF53" s="354"/>
      <c r="CG53" s="354"/>
      <c r="CH53" s="354"/>
      <c r="CI53" s="354"/>
      <c r="CJ53" s="352"/>
      <c r="CK53" s="352"/>
      <c r="CL53" s="352"/>
      <c r="CM53" s="352"/>
      <c r="CN53" s="352"/>
      <c r="CO53" s="352"/>
    </row>
    <row r="54" spans="1:93" ht="21" customHeight="1" x14ac:dyDescent="0.3">
      <c r="A54" s="1637" t="s">
        <v>1175</v>
      </c>
      <c r="B54" s="2091"/>
      <c r="C54" s="1117" t="s">
        <v>640</v>
      </c>
      <c r="D54" s="857" t="s">
        <v>1550</v>
      </c>
      <c r="E54" s="857" t="s">
        <v>1551</v>
      </c>
      <c r="F54" s="926" t="s">
        <v>1552</v>
      </c>
      <c r="G54" s="1108" t="s">
        <v>1553</v>
      </c>
      <c r="H54" s="1111" t="s">
        <v>1554</v>
      </c>
      <c r="I54" s="1108" t="s">
        <v>1555</v>
      </c>
      <c r="J54" s="1111" t="s">
        <v>1556</v>
      </c>
      <c r="K54" s="1108" t="s">
        <v>1557</v>
      </c>
      <c r="L54" s="1111" t="s">
        <v>1558</v>
      </c>
      <c r="M54" s="1108" t="s">
        <v>1559</v>
      </c>
      <c r="N54" s="1111" t="s">
        <v>1560</v>
      </c>
      <c r="O54" s="1108" t="s">
        <v>1561</v>
      </c>
      <c r="P54" s="1111" t="s">
        <v>1562</v>
      </c>
      <c r="Q54" s="1108" t="s">
        <v>1563</v>
      </c>
      <c r="R54" s="1111" t="s">
        <v>1564</v>
      </c>
      <c r="S54" s="1108" t="s">
        <v>1565</v>
      </c>
      <c r="T54" s="1111" t="s">
        <v>1566</v>
      </c>
      <c r="U54" s="1108" t="s">
        <v>1567</v>
      </c>
      <c r="V54" s="1111" t="s">
        <v>1568</v>
      </c>
      <c r="W54" s="1108" t="s">
        <v>1569</v>
      </c>
      <c r="X54" s="1111" t="s">
        <v>1570</v>
      </c>
      <c r="Y54" s="1108" t="s">
        <v>1571</v>
      </c>
      <c r="Z54" s="1111" t="s">
        <v>1572</v>
      </c>
      <c r="AA54" s="1108" t="s">
        <v>1573</v>
      </c>
      <c r="AB54" s="1111" t="s">
        <v>1574</v>
      </c>
      <c r="AC54" s="1108" t="s">
        <v>1575</v>
      </c>
      <c r="AD54" s="1111" t="s">
        <v>1576</v>
      </c>
      <c r="AE54" s="1108" t="s">
        <v>1577</v>
      </c>
      <c r="AF54" s="1111" t="s">
        <v>1578</v>
      </c>
      <c r="AG54" s="1108" t="s">
        <v>1579</v>
      </c>
      <c r="AH54" s="1111" t="s">
        <v>1580</v>
      </c>
      <c r="AI54" s="1108" t="s">
        <v>1581</v>
      </c>
      <c r="AJ54" s="1111" t="s">
        <v>1582</v>
      </c>
      <c r="AK54" s="1108" t="s">
        <v>1583</v>
      </c>
      <c r="AL54" s="1111" t="s">
        <v>1584</v>
      </c>
      <c r="AM54" s="1108" t="s">
        <v>1585</v>
      </c>
      <c r="AN54" s="1111" t="s">
        <v>1586</v>
      </c>
      <c r="AO54" s="1516"/>
      <c r="CB54" s="354"/>
      <c r="CC54" s="354"/>
      <c r="CD54" s="354"/>
      <c r="CE54" s="354"/>
      <c r="CF54" s="354"/>
      <c r="CG54" s="354"/>
      <c r="CH54" s="354"/>
      <c r="CI54" s="354"/>
      <c r="CJ54" s="352"/>
      <c r="CK54" s="352"/>
      <c r="CL54" s="352"/>
      <c r="CM54" s="352"/>
      <c r="CN54" s="352"/>
      <c r="CO54" s="352"/>
    </row>
    <row r="55" spans="1:93" ht="29.25" customHeight="1" x14ac:dyDescent="0.3">
      <c r="B55" s="2147" t="s">
        <v>323</v>
      </c>
      <c r="C55" s="2147"/>
      <c r="D55" s="2147"/>
      <c r="E55" s="2147"/>
      <c r="F55" s="2147"/>
      <c r="G55" s="2147"/>
      <c r="H55" s="2147"/>
      <c r="I55" s="2147"/>
      <c r="J55" s="2147"/>
      <c r="K55" s="2147"/>
      <c r="L55" s="2147"/>
      <c r="M55" s="2147"/>
      <c r="N55" s="2147"/>
      <c r="O55" s="2147"/>
      <c r="P55" s="2147"/>
      <c r="Q55" s="2147"/>
      <c r="R55" s="2147"/>
      <c r="S55" s="2147"/>
      <c r="T55" s="2147"/>
      <c r="U55" s="2147"/>
      <c r="V55" s="2147"/>
      <c r="W55" s="2147"/>
      <c r="X55" s="2147"/>
      <c r="Y55" s="2147"/>
      <c r="Z55" s="2147"/>
      <c r="AA55" s="2147"/>
      <c r="AB55" s="2147"/>
      <c r="AC55" s="2147"/>
      <c r="AD55" s="2147"/>
      <c r="AE55" s="2147"/>
      <c r="AF55" s="2147"/>
      <c r="AG55" s="2147"/>
      <c r="AH55" s="2147"/>
      <c r="AI55" s="2147"/>
      <c r="AJ55" s="2147"/>
      <c r="AK55" s="2147"/>
      <c r="AL55" s="2147"/>
      <c r="AM55" s="2147"/>
      <c r="AN55" s="2147"/>
      <c r="CB55" s="354"/>
      <c r="CC55" s="354"/>
      <c r="CD55" s="354"/>
      <c r="CE55" s="354"/>
      <c r="CF55" s="354"/>
      <c r="CG55" s="354"/>
      <c r="CH55" s="354"/>
      <c r="CI55" s="354"/>
      <c r="CJ55" s="352"/>
      <c r="CK55" s="352"/>
      <c r="CL55" s="352"/>
      <c r="CM55" s="352"/>
      <c r="CN55" s="352"/>
      <c r="CO55" s="352"/>
    </row>
    <row r="56" spans="1:93" x14ac:dyDescent="0.3">
      <c r="B56" s="2152" t="s">
        <v>125</v>
      </c>
      <c r="C56" s="2152"/>
      <c r="D56" s="1978" t="s">
        <v>13</v>
      </c>
      <c r="E56" s="1979"/>
      <c r="F56" s="1980"/>
      <c r="G56" s="2153" t="s">
        <v>126</v>
      </c>
      <c r="H56" s="2153"/>
      <c r="I56" s="2153"/>
      <c r="J56" s="2153"/>
      <c r="K56" s="2153"/>
      <c r="L56" s="2153"/>
      <c r="M56" s="2153"/>
      <c r="N56" s="2153"/>
      <c r="O56" s="2153"/>
      <c r="P56" s="2153"/>
      <c r="Q56" s="2153"/>
      <c r="R56" s="2153"/>
      <c r="S56" s="2153"/>
      <c r="T56" s="2153"/>
      <c r="U56" s="2153"/>
      <c r="V56" s="2153"/>
      <c r="W56" s="2153"/>
      <c r="X56" s="2153"/>
      <c r="Y56" s="2153"/>
      <c r="Z56" s="2153"/>
      <c r="AA56" s="2153"/>
      <c r="AB56" s="2153"/>
      <c r="AC56" s="2153"/>
      <c r="AD56" s="2153"/>
      <c r="AE56" s="2153"/>
      <c r="AF56" s="2153"/>
      <c r="AG56" s="2153"/>
      <c r="AH56" s="2153"/>
      <c r="AI56" s="2153"/>
      <c r="AJ56" s="2153"/>
      <c r="AK56" s="2153"/>
      <c r="AL56" s="2153"/>
      <c r="AM56" s="2153"/>
      <c r="AN56" s="2153"/>
      <c r="CB56" s="354"/>
      <c r="CC56" s="354"/>
      <c r="CD56" s="354"/>
      <c r="CE56" s="354"/>
      <c r="CF56" s="354"/>
      <c r="CG56" s="354"/>
      <c r="CH56" s="354"/>
      <c r="CI56" s="354"/>
      <c r="CJ56" s="352"/>
      <c r="CK56" s="352"/>
      <c r="CL56" s="352"/>
      <c r="CM56" s="352"/>
      <c r="CN56" s="352"/>
      <c r="CO56" s="352"/>
    </row>
    <row r="57" spans="1:93" ht="25.5" customHeight="1" x14ac:dyDescent="0.3">
      <c r="B57" s="2152"/>
      <c r="C57" s="2152"/>
      <c r="D57" s="1981"/>
      <c r="E57" s="1982"/>
      <c r="F57" s="1983"/>
      <c r="G57" s="2148" t="s">
        <v>206</v>
      </c>
      <c r="H57" s="2149"/>
      <c r="I57" s="2148" t="s">
        <v>207</v>
      </c>
      <c r="J57" s="2149"/>
      <c r="K57" s="2148" t="s">
        <v>128</v>
      </c>
      <c r="L57" s="2149"/>
      <c r="M57" s="2112" t="s">
        <v>17</v>
      </c>
      <c r="N57" s="2112"/>
      <c r="O57" s="2112" t="s">
        <v>18</v>
      </c>
      <c r="P57" s="2112"/>
      <c r="Q57" s="2112" t="s">
        <v>19</v>
      </c>
      <c r="R57" s="2112"/>
      <c r="S57" s="2114" t="s">
        <v>20</v>
      </c>
      <c r="T57" s="2115"/>
      <c r="U57" s="2112" t="s">
        <v>21</v>
      </c>
      <c r="V57" s="2112"/>
      <c r="W57" s="2114" t="s">
        <v>22</v>
      </c>
      <c r="X57" s="2115"/>
      <c r="Y57" s="2112" t="s">
        <v>23</v>
      </c>
      <c r="Z57" s="2112"/>
      <c r="AA57" s="2114" t="s">
        <v>24</v>
      </c>
      <c r="AB57" s="2115"/>
      <c r="AC57" s="2112" t="s">
        <v>208</v>
      </c>
      <c r="AD57" s="2112"/>
      <c r="AE57" s="2114" t="s">
        <v>209</v>
      </c>
      <c r="AF57" s="2115"/>
      <c r="AG57" s="2117" t="s">
        <v>181</v>
      </c>
      <c r="AH57" s="2118"/>
      <c r="AI57" s="2117" t="s">
        <v>182</v>
      </c>
      <c r="AJ57" s="2118"/>
      <c r="AK57" s="2117" t="s">
        <v>183</v>
      </c>
      <c r="AL57" s="2118"/>
      <c r="AM57" s="2117" t="s">
        <v>195</v>
      </c>
      <c r="AN57" s="2118"/>
      <c r="CB57" s="354"/>
      <c r="CC57" s="354"/>
      <c r="CD57" s="354"/>
      <c r="CE57" s="354"/>
      <c r="CF57" s="354"/>
      <c r="CG57" s="354"/>
      <c r="CH57" s="354"/>
      <c r="CI57" s="354"/>
      <c r="CJ57" s="352"/>
      <c r="CK57" s="352"/>
      <c r="CL57" s="352"/>
      <c r="CM57" s="352"/>
      <c r="CN57" s="352"/>
      <c r="CO57" s="352"/>
    </row>
    <row r="58" spans="1:93" ht="36.75" customHeight="1" x14ac:dyDescent="0.3">
      <c r="B58" s="2152"/>
      <c r="C58" s="2152"/>
      <c r="D58" s="142" t="s">
        <v>93</v>
      </c>
      <c r="E58" s="126" t="s">
        <v>31</v>
      </c>
      <c r="F58" s="127" t="s">
        <v>94</v>
      </c>
      <c r="G58" s="143" t="s">
        <v>31</v>
      </c>
      <c r="H58" s="144" t="s">
        <v>94</v>
      </c>
      <c r="I58" s="143" t="s">
        <v>31</v>
      </c>
      <c r="J58" s="144" t="s">
        <v>94</v>
      </c>
      <c r="K58" s="143" t="s">
        <v>31</v>
      </c>
      <c r="L58" s="144" t="s">
        <v>94</v>
      </c>
      <c r="M58" s="145" t="s">
        <v>31</v>
      </c>
      <c r="N58" s="146" t="s">
        <v>94</v>
      </c>
      <c r="O58" s="145" t="s">
        <v>31</v>
      </c>
      <c r="P58" s="146" t="s">
        <v>94</v>
      </c>
      <c r="Q58" s="145" t="s">
        <v>31</v>
      </c>
      <c r="R58" s="146" t="s">
        <v>94</v>
      </c>
      <c r="S58" s="356" t="s">
        <v>31</v>
      </c>
      <c r="T58" s="357" t="s">
        <v>94</v>
      </c>
      <c r="U58" s="145" t="s">
        <v>31</v>
      </c>
      <c r="V58" s="146" t="s">
        <v>94</v>
      </c>
      <c r="W58" s="356" t="s">
        <v>31</v>
      </c>
      <c r="X58" s="357" t="s">
        <v>94</v>
      </c>
      <c r="Y58" s="145" t="s">
        <v>31</v>
      </c>
      <c r="Z58" s="146" t="s">
        <v>94</v>
      </c>
      <c r="AA58" s="356" t="s">
        <v>31</v>
      </c>
      <c r="AB58" s="357" t="s">
        <v>94</v>
      </c>
      <c r="AC58" s="145" t="s">
        <v>31</v>
      </c>
      <c r="AD58" s="146" t="s">
        <v>94</v>
      </c>
      <c r="AE58" s="356" t="s">
        <v>31</v>
      </c>
      <c r="AF58" s="357" t="s">
        <v>94</v>
      </c>
      <c r="AG58" s="131" t="s">
        <v>129</v>
      </c>
      <c r="AH58" s="132" t="s">
        <v>94</v>
      </c>
      <c r="AI58" s="131" t="s">
        <v>129</v>
      </c>
      <c r="AJ58" s="132" t="s">
        <v>94</v>
      </c>
      <c r="AK58" s="131" t="s">
        <v>129</v>
      </c>
      <c r="AL58" s="132" t="s">
        <v>94</v>
      </c>
      <c r="AM58" s="131" t="s">
        <v>129</v>
      </c>
      <c r="AN58" s="132" t="s">
        <v>94</v>
      </c>
      <c r="CB58" s="354"/>
      <c r="CC58" s="354"/>
      <c r="CD58" s="354"/>
      <c r="CE58" s="354"/>
      <c r="CF58" s="354"/>
      <c r="CG58" s="354"/>
      <c r="CH58" s="354"/>
      <c r="CI58" s="354"/>
      <c r="CJ58" s="352"/>
      <c r="CK58" s="352"/>
      <c r="CL58" s="352"/>
      <c r="CM58" s="352"/>
      <c r="CN58" s="352"/>
      <c r="CO58" s="352"/>
    </row>
    <row r="59" spans="1:93" ht="21" customHeight="1" x14ac:dyDescent="0.3">
      <c r="A59" s="1637" t="s">
        <v>1176</v>
      </c>
      <c r="B59" s="2150" t="s">
        <v>132</v>
      </c>
      <c r="C59" s="147" t="s">
        <v>324</v>
      </c>
      <c r="D59" s="663" t="s">
        <v>1550</v>
      </c>
      <c r="E59" s="664" t="s">
        <v>1551</v>
      </c>
      <c r="F59" s="664" t="s">
        <v>1552</v>
      </c>
      <c r="G59" s="680" t="s">
        <v>1553</v>
      </c>
      <c r="H59" s="705" t="s">
        <v>1554</v>
      </c>
      <c r="I59" s="680" t="s">
        <v>1555</v>
      </c>
      <c r="J59" s="705" t="s">
        <v>1556</v>
      </c>
      <c r="K59" s="680" t="s">
        <v>1557</v>
      </c>
      <c r="L59" s="705" t="s">
        <v>1558</v>
      </c>
      <c r="M59" s="704" t="s">
        <v>1559</v>
      </c>
      <c r="N59" s="705" t="s">
        <v>1560</v>
      </c>
      <c r="O59" s="680" t="s">
        <v>1561</v>
      </c>
      <c r="P59" s="723" t="s">
        <v>1562</v>
      </c>
      <c r="Q59" s="680" t="s">
        <v>1563</v>
      </c>
      <c r="R59" s="723" t="s">
        <v>1564</v>
      </c>
      <c r="S59" s="680" t="s">
        <v>1565</v>
      </c>
      <c r="T59" s="723" t="s">
        <v>1566</v>
      </c>
      <c r="U59" s="680" t="s">
        <v>1567</v>
      </c>
      <c r="V59" s="723" t="s">
        <v>1568</v>
      </c>
      <c r="W59" s="680" t="s">
        <v>1569</v>
      </c>
      <c r="X59" s="723" t="s">
        <v>1570</v>
      </c>
      <c r="Y59" s="680" t="s">
        <v>1571</v>
      </c>
      <c r="Z59" s="723" t="s">
        <v>1572</v>
      </c>
      <c r="AA59" s="680" t="s">
        <v>1573</v>
      </c>
      <c r="AB59" s="723" t="s">
        <v>1574</v>
      </c>
      <c r="AC59" s="680" t="s">
        <v>1575</v>
      </c>
      <c r="AD59" s="723" t="s">
        <v>1576</v>
      </c>
      <c r="AE59" s="680" t="s">
        <v>1577</v>
      </c>
      <c r="AF59" s="723" t="s">
        <v>1578</v>
      </c>
      <c r="AG59" s="680" t="s">
        <v>1579</v>
      </c>
      <c r="AH59" s="723" t="s">
        <v>1580</v>
      </c>
      <c r="AI59" s="680" t="s">
        <v>1581</v>
      </c>
      <c r="AJ59" s="723" t="s">
        <v>1582</v>
      </c>
      <c r="AK59" s="680" t="s">
        <v>1583</v>
      </c>
      <c r="AL59" s="723" t="s">
        <v>1584</v>
      </c>
      <c r="AM59" s="680" t="s">
        <v>1585</v>
      </c>
      <c r="AN59" s="723" t="s">
        <v>1586</v>
      </c>
      <c r="AO59" s="343" t="str">
        <f>CB59&amp;CC59&amp;CD59&amp;CE59&amp;CF59&amp;CG59&amp;CH59&amp;CI59</f>
        <v/>
      </c>
      <c r="CB59" s="354"/>
      <c r="CC59" s="354"/>
      <c r="CD59" s="354"/>
      <c r="CE59" s="354"/>
      <c r="CF59" s="354"/>
      <c r="CG59" s="354"/>
      <c r="CH59" s="354"/>
      <c r="CI59" s="354"/>
      <c r="CJ59" s="352"/>
      <c r="CK59" s="352"/>
      <c r="CL59" s="352"/>
      <c r="CM59" s="352"/>
      <c r="CN59" s="352"/>
      <c r="CO59" s="352"/>
    </row>
    <row r="60" spans="1:93" ht="21" customHeight="1" x14ac:dyDescent="0.3">
      <c r="A60" s="1637" t="s">
        <v>1177</v>
      </c>
      <c r="B60" s="2079"/>
      <c r="C60" s="148" t="s">
        <v>325</v>
      </c>
      <c r="D60" s="665" t="s">
        <v>1550</v>
      </c>
      <c r="E60" s="666" t="s">
        <v>1551</v>
      </c>
      <c r="F60" s="667" t="s">
        <v>1552</v>
      </c>
      <c r="G60" s="704" t="s">
        <v>1553</v>
      </c>
      <c r="H60" s="705" t="s">
        <v>1554</v>
      </c>
      <c r="I60" s="704" t="s">
        <v>1555</v>
      </c>
      <c r="J60" s="705" t="s">
        <v>1556</v>
      </c>
      <c r="K60" s="704" t="s">
        <v>1557</v>
      </c>
      <c r="L60" s="705" t="s">
        <v>1558</v>
      </c>
      <c r="M60" s="704" t="s">
        <v>1559</v>
      </c>
      <c r="N60" s="705" t="s">
        <v>1560</v>
      </c>
      <c r="O60" s="704" t="s">
        <v>1561</v>
      </c>
      <c r="P60" s="723" t="s">
        <v>1562</v>
      </c>
      <c r="Q60" s="704" t="s">
        <v>1563</v>
      </c>
      <c r="R60" s="723" t="s">
        <v>1564</v>
      </c>
      <c r="S60" s="704" t="s">
        <v>1565</v>
      </c>
      <c r="T60" s="723" t="s">
        <v>1566</v>
      </c>
      <c r="U60" s="704" t="s">
        <v>1567</v>
      </c>
      <c r="V60" s="723" t="s">
        <v>1568</v>
      </c>
      <c r="W60" s="704" t="s">
        <v>1569</v>
      </c>
      <c r="X60" s="723" t="s">
        <v>1570</v>
      </c>
      <c r="Y60" s="704" t="s">
        <v>1571</v>
      </c>
      <c r="Z60" s="723" t="s">
        <v>1572</v>
      </c>
      <c r="AA60" s="704" t="s">
        <v>1573</v>
      </c>
      <c r="AB60" s="723" t="s">
        <v>1574</v>
      </c>
      <c r="AC60" s="704" t="s">
        <v>1575</v>
      </c>
      <c r="AD60" s="723" t="s">
        <v>1576</v>
      </c>
      <c r="AE60" s="704" t="s">
        <v>1577</v>
      </c>
      <c r="AF60" s="723" t="s">
        <v>1578</v>
      </c>
      <c r="AG60" s="704" t="s">
        <v>1579</v>
      </c>
      <c r="AH60" s="723" t="s">
        <v>1580</v>
      </c>
      <c r="AI60" s="704" t="s">
        <v>1581</v>
      </c>
      <c r="AJ60" s="723" t="s">
        <v>1582</v>
      </c>
      <c r="AK60" s="704" t="s">
        <v>1583</v>
      </c>
      <c r="AL60" s="723" t="s">
        <v>1584</v>
      </c>
      <c r="AM60" s="704" t="s">
        <v>1585</v>
      </c>
      <c r="AN60" s="723" t="s">
        <v>1586</v>
      </c>
      <c r="AO60" s="343" t="str">
        <f t="shared" ref="AO60:AO65" si="23">CB60&amp;CC60&amp;CD60&amp;CE60&amp;CF60&amp;CG60&amp;CH60&amp;CI60</f>
        <v/>
      </c>
      <c r="CB60" s="354"/>
      <c r="CC60" s="354"/>
      <c r="CD60" s="354"/>
      <c r="CE60" s="354"/>
      <c r="CF60" s="354"/>
      <c r="CG60" s="354"/>
      <c r="CH60" s="354"/>
      <c r="CI60" s="354"/>
      <c r="CJ60" s="352"/>
      <c r="CK60" s="352"/>
      <c r="CL60" s="352"/>
      <c r="CM60" s="352"/>
      <c r="CN60" s="352"/>
      <c r="CO60" s="352"/>
    </row>
    <row r="61" spans="1:93" ht="21" customHeight="1" x14ac:dyDescent="0.3">
      <c r="A61" s="1637" t="s">
        <v>1178</v>
      </c>
      <c r="B61" s="2079"/>
      <c r="C61" s="148" t="s">
        <v>326</v>
      </c>
      <c r="D61" s="665" t="s">
        <v>1550</v>
      </c>
      <c r="E61" s="666" t="s">
        <v>1551</v>
      </c>
      <c r="F61" s="667" t="s">
        <v>1552</v>
      </c>
      <c r="G61" s="704" t="s">
        <v>1553</v>
      </c>
      <c r="H61" s="705" t="s">
        <v>1554</v>
      </c>
      <c r="I61" s="704" t="s">
        <v>1555</v>
      </c>
      <c r="J61" s="705" t="s">
        <v>1556</v>
      </c>
      <c r="K61" s="704" t="s">
        <v>1557</v>
      </c>
      <c r="L61" s="705" t="s">
        <v>1558</v>
      </c>
      <c r="M61" s="704" t="s">
        <v>1559</v>
      </c>
      <c r="N61" s="705" t="s">
        <v>1560</v>
      </c>
      <c r="O61" s="704" t="s">
        <v>1561</v>
      </c>
      <c r="P61" s="723" t="s">
        <v>1562</v>
      </c>
      <c r="Q61" s="704" t="s">
        <v>1563</v>
      </c>
      <c r="R61" s="723" t="s">
        <v>1564</v>
      </c>
      <c r="S61" s="704" t="s">
        <v>1565</v>
      </c>
      <c r="T61" s="723" t="s">
        <v>1566</v>
      </c>
      <c r="U61" s="704" t="s">
        <v>1567</v>
      </c>
      <c r="V61" s="723" t="s">
        <v>1568</v>
      </c>
      <c r="W61" s="704" t="s">
        <v>1569</v>
      </c>
      <c r="X61" s="723" t="s">
        <v>1570</v>
      </c>
      <c r="Y61" s="704" t="s">
        <v>1571</v>
      </c>
      <c r="Z61" s="723" t="s">
        <v>1572</v>
      </c>
      <c r="AA61" s="704" t="s">
        <v>1573</v>
      </c>
      <c r="AB61" s="723" t="s">
        <v>1574</v>
      </c>
      <c r="AC61" s="704" t="s">
        <v>1575</v>
      </c>
      <c r="AD61" s="723" t="s">
        <v>1576</v>
      </c>
      <c r="AE61" s="704" t="s">
        <v>1577</v>
      </c>
      <c r="AF61" s="723" t="s">
        <v>1578</v>
      </c>
      <c r="AG61" s="704" t="s">
        <v>1579</v>
      </c>
      <c r="AH61" s="723" t="s">
        <v>1580</v>
      </c>
      <c r="AI61" s="704" t="s">
        <v>1581</v>
      </c>
      <c r="AJ61" s="723" t="s">
        <v>1582</v>
      </c>
      <c r="AK61" s="704" t="s">
        <v>1583</v>
      </c>
      <c r="AL61" s="723" t="s">
        <v>1584</v>
      </c>
      <c r="AM61" s="704" t="s">
        <v>1585</v>
      </c>
      <c r="AN61" s="723" t="s">
        <v>1586</v>
      </c>
      <c r="AO61" s="343" t="str">
        <f t="shared" si="23"/>
        <v/>
      </c>
      <c r="CB61" s="354"/>
      <c r="CC61" s="354"/>
      <c r="CD61" s="354"/>
      <c r="CE61" s="354"/>
      <c r="CF61" s="354"/>
      <c r="CG61" s="354"/>
      <c r="CH61" s="354"/>
      <c r="CI61" s="354"/>
      <c r="CJ61" s="352"/>
      <c r="CK61" s="352"/>
      <c r="CL61" s="352"/>
      <c r="CM61" s="352"/>
      <c r="CN61" s="352"/>
      <c r="CO61" s="352"/>
    </row>
    <row r="62" spans="1:93" ht="21" customHeight="1" x14ac:dyDescent="0.3">
      <c r="A62" s="1637" t="s">
        <v>1179</v>
      </c>
      <c r="B62" s="1865"/>
      <c r="C62" s="148" t="s">
        <v>327</v>
      </c>
      <c r="D62" s="668" t="s">
        <v>1550</v>
      </c>
      <c r="E62" s="669" t="s">
        <v>1551</v>
      </c>
      <c r="F62" s="670" t="s">
        <v>1552</v>
      </c>
      <c r="G62" s="704" t="s">
        <v>1553</v>
      </c>
      <c r="H62" s="705" t="s">
        <v>1554</v>
      </c>
      <c r="I62" s="704" t="s">
        <v>1555</v>
      </c>
      <c r="J62" s="705" t="s">
        <v>1556</v>
      </c>
      <c r="K62" s="704" t="s">
        <v>1557</v>
      </c>
      <c r="L62" s="705" t="s">
        <v>1558</v>
      </c>
      <c r="M62" s="704" t="s">
        <v>1559</v>
      </c>
      <c r="N62" s="705" t="s">
        <v>1560</v>
      </c>
      <c r="O62" s="700" t="s">
        <v>1561</v>
      </c>
      <c r="P62" s="723" t="s">
        <v>1562</v>
      </c>
      <c r="Q62" s="704" t="s">
        <v>1563</v>
      </c>
      <c r="R62" s="723" t="s">
        <v>1564</v>
      </c>
      <c r="S62" s="704" t="s">
        <v>1565</v>
      </c>
      <c r="T62" s="723" t="s">
        <v>1566</v>
      </c>
      <c r="U62" s="704" t="s">
        <v>1567</v>
      </c>
      <c r="V62" s="723" t="s">
        <v>1568</v>
      </c>
      <c r="W62" s="704" t="s">
        <v>1569</v>
      </c>
      <c r="X62" s="723" t="s">
        <v>1570</v>
      </c>
      <c r="Y62" s="704" t="s">
        <v>1571</v>
      </c>
      <c r="Z62" s="723" t="s">
        <v>1572</v>
      </c>
      <c r="AA62" s="704" t="s">
        <v>1573</v>
      </c>
      <c r="AB62" s="723" t="s">
        <v>1574</v>
      </c>
      <c r="AC62" s="704" t="s">
        <v>1575</v>
      </c>
      <c r="AD62" s="723" t="s">
        <v>1576</v>
      </c>
      <c r="AE62" s="704" t="s">
        <v>1577</v>
      </c>
      <c r="AF62" s="723" t="s">
        <v>1578</v>
      </c>
      <c r="AG62" s="704" t="s">
        <v>1579</v>
      </c>
      <c r="AH62" s="723" t="s">
        <v>1580</v>
      </c>
      <c r="AI62" s="704" t="s">
        <v>1581</v>
      </c>
      <c r="AJ62" s="723" t="s">
        <v>1582</v>
      </c>
      <c r="AK62" s="704" t="s">
        <v>1583</v>
      </c>
      <c r="AL62" s="723" t="s">
        <v>1584</v>
      </c>
      <c r="AM62" s="704" t="s">
        <v>1585</v>
      </c>
      <c r="AN62" s="723" t="s">
        <v>1586</v>
      </c>
      <c r="AO62" s="343" t="str">
        <f t="shared" si="23"/>
        <v/>
      </c>
      <c r="CB62" s="354"/>
      <c r="CC62" s="348" t="str">
        <f>IF(SUM(D15:D17)&gt;=SUM(D59:D62),"","* El total de Asma Bronquial en ambos sexo no puede ser mayor al total de Asma Bronquial de ambos sexo de la Sección A. ")</f>
        <v/>
      </c>
      <c r="CD62" s="354"/>
      <c r="CE62" s="354"/>
      <c r="CF62" s="354"/>
      <c r="CG62" s="354"/>
      <c r="CH62" s="354"/>
      <c r="CI62" s="354"/>
      <c r="CJ62" s="358">
        <f>IF(SUM(D15:D17)&gt;=SUM(D59:D62),0,1)</f>
        <v>0</v>
      </c>
      <c r="CK62" s="352"/>
      <c r="CL62" s="352"/>
      <c r="CM62" s="352"/>
      <c r="CN62" s="352"/>
      <c r="CO62" s="352"/>
    </row>
    <row r="63" spans="1:93" ht="21" customHeight="1" x14ac:dyDescent="0.3">
      <c r="A63" s="1637" t="s">
        <v>1180</v>
      </c>
      <c r="B63" s="2150" t="s">
        <v>133</v>
      </c>
      <c r="C63" s="149" t="s">
        <v>328</v>
      </c>
      <c r="D63" s="671" t="s">
        <v>1550</v>
      </c>
      <c r="E63" s="672" t="s">
        <v>1551</v>
      </c>
      <c r="F63" s="673" t="s">
        <v>1552</v>
      </c>
      <c r="G63" s="724" t="s">
        <v>1553</v>
      </c>
      <c r="H63" s="725" t="s">
        <v>1554</v>
      </c>
      <c r="I63" s="724" t="s">
        <v>1555</v>
      </c>
      <c r="J63" s="725" t="s">
        <v>1556</v>
      </c>
      <c r="K63" s="724" t="s">
        <v>1557</v>
      </c>
      <c r="L63" s="725" t="s">
        <v>1558</v>
      </c>
      <c r="M63" s="724" t="s">
        <v>1559</v>
      </c>
      <c r="N63" s="725" t="s">
        <v>1560</v>
      </c>
      <c r="O63" s="724" t="s">
        <v>1561</v>
      </c>
      <c r="P63" s="726" t="s">
        <v>1562</v>
      </c>
      <c r="Q63" s="724" t="s">
        <v>1563</v>
      </c>
      <c r="R63" s="726" t="s">
        <v>1564</v>
      </c>
      <c r="S63" s="724" t="s">
        <v>1565</v>
      </c>
      <c r="T63" s="726" t="s">
        <v>1566</v>
      </c>
      <c r="U63" s="724" t="s">
        <v>1567</v>
      </c>
      <c r="V63" s="726" t="s">
        <v>1568</v>
      </c>
      <c r="W63" s="704" t="s">
        <v>1569</v>
      </c>
      <c r="X63" s="723" t="s">
        <v>1570</v>
      </c>
      <c r="Y63" s="704" t="s">
        <v>1571</v>
      </c>
      <c r="Z63" s="723" t="s">
        <v>1572</v>
      </c>
      <c r="AA63" s="704" t="s">
        <v>1573</v>
      </c>
      <c r="AB63" s="723" t="s">
        <v>1574</v>
      </c>
      <c r="AC63" s="704" t="s">
        <v>1575</v>
      </c>
      <c r="AD63" s="723" t="s">
        <v>1576</v>
      </c>
      <c r="AE63" s="704" t="s">
        <v>1577</v>
      </c>
      <c r="AF63" s="723" t="s">
        <v>1578</v>
      </c>
      <c r="AG63" s="704" t="s">
        <v>1579</v>
      </c>
      <c r="AH63" s="723" t="s">
        <v>1580</v>
      </c>
      <c r="AI63" s="704" t="s">
        <v>1581</v>
      </c>
      <c r="AJ63" s="723" t="s">
        <v>1582</v>
      </c>
      <c r="AK63" s="704" t="s">
        <v>1583</v>
      </c>
      <c r="AL63" s="723" t="s">
        <v>1584</v>
      </c>
      <c r="AM63" s="704" t="s">
        <v>1585</v>
      </c>
      <c r="AN63" s="723" t="s">
        <v>1586</v>
      </c>
      <c r="AO63" s="343" t="str">
        <f t="shared" si="23"/>
        <v/>
      </c>
      <c r="CB63" s="354"/>
      <c r="CC63" s="354"/>
      <c r="CD63" s="354"/>
      <c r="CE63" s="354"/>
      <c r="CF63" s="354"/>
      <c r="CG63" s="354"/>
      <c r="CH63" s="354"/>
      <c r="CI63" s="354"/>
      <c r="CJ63" s="352"/>
      <c r="CK63" s="352"/>
      <c r="CL63" s="352"/>
      <c r="CM63" s="352"/>
      <c r="CN63" s="352"/>
      <c r="CO63" s="352"/>
    </row>
    <row r="64" spans="1:93" ht="21" customHeight="1" x14ac:dyDescent="0.3">
      <c r="A64" s="1637" t="s">
        <v>1181</v>
      </c>
      <c r="B64" s="2151"/>
      <c r="C64" s="134" t="s">
        <v>329</v>
      </c>
      <c r="D64" s="674" t="s">
        <v>1550</v>
      </c>
      <c r="E64" s="675" t="s">
        <v>1551</v>
      </c>
      <c r="F64" s="676" t="s">
        <v>1552</v>
      </c>
      <c r="G64" s="727" t="s">
        <v>1553</v>
      </c>
      <c r="H64" s="728" t="s">
        <v>1554</v>
      </c>
      <c r="I64" s="727" t="s">
        <v>1555</v>
      </c>
      <c r="J64" s="728" t="s">
        <v>1556</v>
      </c>
      <c r="K64" s="727" t="s">
        <v>1557</v>
      </c>
      <c r="L64" s="728" t="s">
        <v>1558</v>
      </c>
      <c r="M64" s="727" t="s">
        <v>1559</v>
      </c>
      <c r="N64" s="728" t="s">
        <v>1560</v>
      </c>
      <c r="O64" s="727" t="s">
        <v>1561</v>
      </c>
      <c r="P64" s="729" t="s">
        <v>1562</v>
      </c>
      <c r="Q64" s="727" t="s">
        <v>1563</v>
      </c>
      <c r="R64" s="729" t="s">
        <v>1564</v>
      </c>
      <c r="S64" s="727" t="s">
        <v>1565</v>
      </c>
      <c r="T64" s="729" t="s">
        <v>1566</v>
      </c>
      <c r="U64" s="727" t="s">
        <v>1567</v>
      </c>
      <c r="V64" s="729" t="s">
        <v>1568</v>
      </c>
      <c r="W64" s="704" t="s">
        <v>1569</v>
      </c>
      <c r="X64" s="723" t="s">
        <v>1570</v>
      </c>
      <c r="Y64" s="704" t="s">
        <v>1571</v>
      </c>
      <c r="Z64" s="723" t="s">
        <v>1572</v>
      </c>
      <c r="AA64" s="704" t="s">
        <v>1573</v>
      </c>
      <c r="AB64" s="723" t="s">
        <v>1574</v>
      </c>
      <c r="AC64" s="704" t="s">
        <v>1575</v>
      </c>
      <c r="AD64" s="723" t="s">
        <v>1576</v>
      </c>
      <c r="AE64" s="704" t="s">
        <v>1577</v>
      </c>
      <c r="AF64" s="723" t="s">
        <v>1578</v>
      </c>
      <c r="AG64" s="704" t="s">
        <v>1579</v>
      </c>
      <c r="AH64" s="723" t="s">
        <v>1580</v>
      </c>
      <c r="AI64" s="704" t="s">
        <v>1581</v>
      </c>
      <c r="AJ64" s="723" t="s">
        <v>1582</v>
      </c>
      <c r="AK64" s="704" t="s">
        <v>1583</v>
      </c>
      <c r="AL64" s="723" t="s">
        <v>1584</v>
      </c>
      <c r="AM64" s="704" t="s">
        <v>1585</v>
      </c>
      <c r="AN64" s="723" t="s">
        <v>1586</v>
      </c>
      <c r="AO64" s="343" t="str">
        <f t="shared" si="23"/>
        <v/>
      </c>
      <c r="CB64" s="354"/>
      <c r="CC64" s="354"/>
      <c r="CD64" s="354"/>
      <c r="CE64" s="354"/>
      <c r="CF64" s="354"/>
      <c r="CG64" s="354"/>
      <c r="CH64" s="354"/>
      <c r="CI64" s="354"/>
      <c r="CJ64" s="352"/>
      <c r="CK64" s="352"/>
      <c r="CL64" s="352"/>
      <c r="CM64" s="352"/>
      <c r="CN64" s="352"/>
      <c r="CO64" s="352"/>
    </row>
    <row r="65" spans="1:93" ht="21" customHeight="1" x14ac:dyDescent="0.3">
      <c r="A65" s="1637" t="s">
        <v>1182</v>
      </c>
      <c r="B65" s="1865"/>
      <c r="C65" s="150" t="s">
        <v>327</v>
      </c>
      <c r="D65" s="668" t="s">
        <v>1550</v>
      </c>
      <c r="E65" s="677" t="s">
        <v>1551</v>
      </c>
      <c r="F65" s="670" t="s">
        <v>1552</v>
      </c>
      <c r="G65" s="730" t="s">
        <v>1553</v>
      </c>
      <c r="H65" s="731" t="s">
        <v>1554</v>
      </c>
      <c r="I65" s="730" t="s">
        <v>1555</v>
      </c>
      <c r="J65" s="731" t="s">
        <v>1556</v>
      </c>
      <c r="K65" s="730" t="s">
        <v>1557</v>
      </c>
      <c r="L65" s="731" t="s">
        <v>1558</v>
      </c>
      <c r="M65" s="730" t="s">
        <v>1559</v>
      </c>
      <c r="N65" s="731" t="s">
        <v>1560</v>
      </c>
      <c r="O65" s="730" t="s">
        <v>1561</v>
      </c>
      <c r="P65" s="732" t="s">
        <v>1562</v>
      </c>
      <c r="Q65" s="730" t="s">
        <v>1563</v>
      </c>
      <c r="R65" s="732" t="s">
        <v>1564</v>
      </c>
      <c r="S65" s="730" t="s">
        <v>1565</v>
      </c>
      <c r="T65" s="732" t="s">
        <v>1566</v>
      </c>
      <c r="U65" s="730" t="s">
        <v>1567</v>
      </c>
      <c r="V65" s="732" t="s">
        <v>1568</v>
      </c>
      <c r="W65" s="689" t="s">
        <v>1569</v>
      </c>
      <c r="X65" s="733" t="s">
        <v>1570</v>
      </c>
      <c r="Y65" s="689" t="s">
        <v>1571</v>
      </c>
      <c r="Z65" s="733" t="s">
        <v>1572</v>
      </c>
      <c r="AA65" s="689" t="s">
        <v>1573</v>
      </c>
      <c r="AB65" s="733" t="s">
        <v>1574</v>
      </c>
      <c r="AC65" s="689" t="s">
        <v>1575</v>
      </c>
      <c r="AD65" s="733" t="s">
        <v>1576</v>
      </c>
      <c r="AE65" s="689" t="s">
        <v>1577</v>
      </c>
      <c r="AF65" s="733" t="s">
        <v>1578</v>
      </c>
      <c r="AG65" s="689" t="s">
        <v>1579</v>
      </c>
      <c r="AH65" s="733" t="s">
        <v>1580</v>
      </c>
      <c r="AI65" s="689" t="s">
        <v>1581</v>
      </c>
      <c r="AJ65" s="733" t="s">
        <v>1582</v>
      </c>
      <c r="AK65" s="689" t="s">
        <v>1583</v>
      </c>
      <c r="AL65" s="733" t="s">
        <v>1584</v>
      </c>
      <c r="AM65" s="689" t="s">
        <v>1585</v>
      </c>
      <c r="AN65" s="733" t="s">
        <v>1586</v>
      </c>
      <c r="AO65" s="343" t="str">
        <f t="shared" si="23"/>
        <v/>
      </c>
      <c r="CB65" s="354"/>
      <c r="CC65" s="348" t="str">
        <f>IF(SUM(D63:D65)&gt;SUM(D18:D19),"* El total de EPOC en ambos sexos no puede ser superior al total de EPOC en ambos sexos de la sección A. ","")</f>
        <v/>
      </c>
      <c r="CD65" s="354"/>
      <c r="CE65" s="354"/>
      <c r="CF65" s="354"/>
      <c r="CG65" s="354"/>
      <c r="CH65" s="354"/>
      <c r="CI65" s="354"/>
      <c r="CJ65" s="358">
        <f>IF(SUM(D63:D65)&gt;SUM(D18:D19),1,0)</f>
        <v>0</v>
      </c>
      <c r="CK65" s="352"/>
      <c r="CL65" s="352"/>
      <c r="CM65" s="352"/>
      <c r="CN65" s="352"/>
      <c r="CO65" s="352"/>
    </row>
    <row r="66" spans="1:93" ht="27.6" customHeight="1" x14ac:dyDescent="0.3">
      <c r="B66" s="1133" t="s">
        <v>623</v>
      </c>
      <c r="C66" s="1134"/>
      <c r="D66" s="960"/>
      <c r="E66" s="960"/>
      <c r="F66" s="960"/>
      <c r="G66" s="960"/>
      <c r="H66" s="960"/>
      <c r="I66" s="960"/>
      <c r="J66" s="960"/>
      <c r="K66" s="960"/>
      <c r="L66" s="960"/>
      <c r="M66" s="960"/>
      <c r="N66" s="960"/>
      <c r="O66" s="960"/>
      <c r="P66" s="960"/>
      <c r="Q66" s="960"/>
      <c r="R66" s="960"/>
      <c r="S66" s="960"/>
      <c r="T66" s="960"/>
      <c r="U66" s="960"/>
      <c r="V66" s="960"/>
      <c r="W66" s="960"/>
      <c r="X66" s="960"/>
      <c r="Y66" s="960"/>
      <c r="Z66" s="960"/>
      <c r="AA66" s="960"/>
      <c r="AB66" s="960"/>
      <c r="AC66" s="960"/>
      <c r="AD66" s="960"/>
      <c r="AE66" s="960"/>
      <c r="AF66" s="960"/>
      <c r="AG66" s="960"/>
      <c r="AH66" s="960"/>
      <c r="AI66" s="960"/>
      <c r="AJ66" s="960"/>
      <c r="AK66" s="960"/>
      <c r="AL66" s="960"/>
      <c r="AM66" s="960"/>
      <c r="AO66" s="343"/>
      <c r="CB66" s="354"/>
      <c r="CC66" s="354"/>
      <c r="CD66" s="354"/>
      <c r="CE66" s="354"/>
      <c r="CF66" s="354"/>
      <c r="CG66" s="354"/>
      <c r="CH66" s="354"/>
      <c r="CI66" s="354"/>
      <c r="CJ66" s="352"/>
      <c r="CK66" s="352"/>
      <c r="CL66" s="352"/>
      <c r="CM66" s="352"/>
      <c r="CN66" s="352"/>
      <c r="CO66" s="352"/>
    </row>
    <row r="67" spans="1:93" x14ac:dyDescent="0.3">
      <c r="B67" s="2076" t="s">
        <v>641</v>
      </c>
      <c r="C67" s="2107" t="s">
        <v>642</v>
      </c>
      <c r="D67" s="2108" t="s">
        <v>13</v>
      </c>
      <c r="E67" s="2108"/>
      <c r="F67" s="2108"/>
      <c r="G67" s="2094" t="s">
        <v>126</v>
      </c>
      <c r="H67" s="2095"/>
      <c r="I67" s="2095"/>
      <c r="J67" s="2095"/>
      <c r="K67" s="2095"/>
      <c r="L67" s="2095"/>
      <c r="M67" s="2095"/>
      <c r="N67" s="2095"/>
      <c r="O67" s="2095"/>
      <c r="P67" s="2095"/>
      <c r="Q67" s="2095"/>
      <c r="R67" s="2095"/>
      <c r="S67" s="2095"/>
      <c r="T67" s="2095"/>
      <c r="U67" s="2095"/>
      <c r="V67" s="2095"/>
      <c r="W67" s="2095"/>
      <c r="X67" s="2095"/>
      <c r="Y67" s="2095"/>
      <c r="Z67" s="2095"/>
      <c r="AA67" s="2095"/>
      <c r="AB67" s="2095"/>
      <c r="AC67" s="2095"/>
      <c r="AD67" s="2095"/>
      <c r="AE67" s="2095"/>
      <c r="AF67" s="2095"/>
      <c r="AG67" s="2095"/>
      <c r="AH67" s="2095"/>
      <c r="AI67" s="2095"/>
      <c r="AJ67" s="2095"/>
      <c r="AK67" s="2095"/>
      <c r="AL67" s="2095"/>
      <c r="AM67" s="2095"/>
      <c r="AN67" s="2096"/>
      <c r="AO67" s="343"/>
      <c r="AP67" s="175"/>
      <c r="AQ67" s="55"/>
      <c r="BA67" s="175"/>
      <c r="BB67" s="291"/>
      <c r="BQ67" s="960"/>
      <c r="BR67" s="291"/>
    </row>
    <row r="68" spans="1:93" ht="19.5" customHeight="1" x14ac:dyDescent="0.3">
      <c r="B68" s="2077"/>
      <c r="C68" s="2107"/>
      <c r="D68" s="2108"/>
      <c r="E68" s="2108"/>
      <c r="F68" s="2108"/>
      <c r="G68" s="2100" t="s">
        <v>206</v>
      </c>
      <c r="H68" s="2101"/>
      <c r="I68" s="2100" t="s">
        <v>624</v>
      </c>
      <c r="J68" s="2101"/>
      <c r="K68" s="2102" t="s">
        <v>625</v>
      </c>
      <c r="L68" s="2102"/>
      <c r="M68" s="2100" t="s">
        <v>626</v>
      </c>
      <c r="N68" s="2101"/>
      <c r="O68" s="2099" t="s">
        <v>627</v>
      </c>
      <c r="P68" s="2099"/>
      <c r="Q68" s="2099" t="s">
        <v>19</v>
      </c>
      <c r="R68" s="2099"/>
      <c r="S68" s="2099" t="s">
        <v>20</v>
      </c>
      <c r="T68" s="2099"/>
      <c r="U68" s="2099" t="s">
        <v>21</v>
      </c>
      <c r="V68" s="2099"/>
      <c r="W68" s="2097" t="s">
        <v>628</v>
      </c>
      <c r="X68" s="2098"/>
      <c r="Y68" s="2099" t="s">
        <v>629</v>
      </c>
      <c r="Z68" s="2099"/>
      <c r="AA68" s="2097" t="s">
        <v>630</v>
      </c>
      <c r="AB68" s="2098"/>
      <c r="AC68" s="2099" t="s">
        <v>631</v>
      </c>
      <c r="AD68" s="2099"/>
      <c r="AE68" s="2097" t="s">
        <v>632</v>
      </c>
      <c r="AF68" s="2098"/>
      <c r="AG68" s="2099" t="s">
        <v>633</v>
      </c>
      <c r="AH68" s="2099"/>
      <c r="AI68" s="2097" t="s">
        <v>634</v>
      </c>
      <c r="AJ68" s="2098"/>
      <c r="AK68" s="2099" t="s">
        <v>635</v>
      </c>
      <c r="AL68" s="2099"/>
      <c r="AM68" s="2097" t="s">
        <v>636</v>
      </c>
      <c r="AN68" s="2098"/>
      <c r="AO68" s="343"/>
      <c r="AP68" s="175"/>
      <c r="AQ68" s="55"/>
      <c r="BA68" s="175"/>
      <c r="BB68" s="291"/>
      <c r="BQ68" s="960"/>
      <c r="BR68" s="291"/>
    </row>
    <row r="69" spans="1:93" ht="18" customHeight="1" x14ac:dyDescent="0.3">
      <c r="B69" s="2078"/>
      <c r="C69" s="2107"/>
      <c r="D69" s="1135" t="s">
        <v>367</v>
      </c>
      <c r="E69" s="1136" t="s">
        <v>31</v>
      </c>
      <c r="F69" s="1137" t="s">
        <v>94</v>
      </c>
      <c r="G69" s="1041" t="s">
        <v>31</v>
      </c>
      <c r="H69" s="357" t="s">
        <v>94</v>
      </c>
      <c r="I69" s="1041" t="s">
        <v>31</v>
      </c>
      <c r="J69" s="357" t="s">
        <v>94</v>
      </c>
      <c r="K69" s="1041" t="s">
        <v>31</v>
      </c>
      <c r="L69" s="357" t="s">
        <v>94</v>
      </c>
      <c r="M69" s="1041" t="s">
        <v>31</v>
      </c>
      <c r="N69" s="357" t="s">
        <v>94</v>
      </c>
      <c r="O69" s="1041" t="s">
        <v>31</v>
      </c>
      <c r="P69" s="357" t="s">
        <v>94</v>
      </c>
      <c r="Q69" s="1041" t="s">
        <v>31</v>
      </c>
      <c r="R69" s="357" t="s">
        <v>94</v>
      </c>
      <c r="S69" s="1041" t="s">
        <v>31</v>
      </c>
      <c r="T69" s="357" t="s">
        <v>94</v>
      </c>
      <c r="U69" s="1041" t="s">
        <v>31</v>
      </c>
      <c r="V69" s="357" t="s">
        <v>94</v>
      </c>
      <c r="W69" s="1041" t="s">
        <v>31</v>
      </c>
      <c r="X69" s="357" t="s">
        <v>94</v>
      </c>
      <c r="Y69" s="1041" t="s">
        <v>31</v>
      </c>
      <c r="Z69" s="357" t="s">
        <v>94</v>
      </c>
      <c r="AA69" s="1041" t="s">
        <v>31</v>
      </c>
      <c r="AB69" s="357" t="s">
        <v>94</v>
      </c>
      <c r="AC69" s="1041" t="s">
        <v>31</v>
      </c>
      <c r="AD69" s="357" t="s">
        <v>94</v>
      </c>
      <c r="AE69" s="1041" t="s">
        <v>31</v>
      </c>
      <c r="AF69" s="357" t="s">
        <v>94</v>
      </c>
      <c r="AG69" s="1041" t="s">
        <v>31</v>
      </c>
      <c r="AH69" s="357" t="s">
        <v>94</v>
      </c>
      <c r="AI69" s="1041" t="s">
        <v>31</v>
      </c>
      <c r="AJ69" s="357" t="s">
        <v>94</v>
      </c>
      <c r="AK69" s="1041" t="s">
        <v>31</v>
      </c>
      <c r="AL69" s="357" t="s">
        <v>94</v>
      </c>
      <c r="AM69" s="1041" t="s">
        <v>31</v>
      </c>
      <c r="AN69" s="1035" t="s">
        <v>94</v>
      </c>
      <c r="AO69" s="343"/>
      <c r="AP69" s="175"/>
      <c r="AQ69" s="55"/>
      <c r="BA69" s="175"/>
      <c r="BB69" s="291"/>
      <c r="BQ69" s="960"/>
      <c r="BR69" s="291"/>
    </row>
    <row r="70" spans="1:93" ht="24" customHeight="1" x14ac:dyDescent="0.3">
      <c r="A70" s="1637" t="s">
        <v>1183</v>
      </c>
      <c r="B70" s="1864" t="s">
        <v>133</v>
      </c>
      <c r="C70" s="1213" t="s">
        <v>645</v>
      </c>
      <c r="D70" s="1440" t="s">
        <v>1550</v>
      </c>
      <c r="E70" s="1441" t="s">
        <v>1551</v>
      </c>
      <c r="F70" s="1442" t="s">
        <v>1552</v>
      </c>
      <c r="G70" s="1494" t="s">
        <v>1553</v>
      </c>
      <c r="H70" s="1495" t="s">
        <v>1554</v>
      </c>
      <c r="I70" s="1494" t="s">
        <v>1555</v>
      </c>
      <c r="J70" s="1495" t="s">
        <v>1556</v>
      </c>
      <c r="K70" s="1494" t="s">
        <v>1557</v>
      </c>
      <c r="L70" s="1495" t="s">
        <v>1558</v>
      </c>
      <c r="M70" s="1494" t="s">
        <v>1559</v>
      </c>
      <c r="N70" s="1495" t="s">
        <v>1560</v>
      </c>
      <c r="O70" s="1494" t="s">
        <v>1561</v>
      </c>
      <c r="P70" s="1495" t="s">
        <v>1562</v>
      </c>
      <c r="Q70" s="1494" t="s">
        <v>1563</v>
      </c>
      <c r="R70" s="1495" t="s">
        <v>1564</v>
      </c>
      <c r="S70" s="1494" t="s">
        <v>1565</v>
      </c>
      <c r="T70" s="1495" t="s">
        <v>1566</v>
      </c>
      <c r="U70" s="1494" t="s">
        <v>1567</v>
      </c>
      <c r="V70" s="1495" t="s">
        <v>1568</v>
      </c>
      <c r="W70" s="498" t="s">
        <v>1569</v>
      </c>
      <c r="X70" s="1102" t="s">
        <v>1570</v>
      </c>
      <c r="Y70" s="498" t="s">
        <v>1571</v>
      </c>
      <c r="Z70" s="1102" t="s">
        <v>1572</v>
      </c>
      <c r="AA70" s="498" t="s">
        <v>1573</v>
      </c>
      <c r="AB70" s="1102" t="s">
        <v>1574</v>
      </c>
      <c r="AC70" s="498" t="s">
        <v>1575</v>
      </c>
      <c r="AD70" s="1102" t="s">
        <v>1576</v>
      </c>
      <c r="AE70" s="498" t="s">
        <v>1577</v>
      </c>
      <c r="AF70" s="1102" t="s">
        <v>1578</v>
      </c>
      <c r="AG70" s="498" t="s">
        <v>1579</v>
      </c>
      <c r="AH70" s="1102" t="s">
        <v>1580</v>
      </c>
      <c r="AI70" s="498" t="s">
        <v>1581</v>
      </c>
      <c r="AJ70" s="1102" t="s">
        <v>1582</v>
      </c>
      <c r="AK70" s="498" t="s">
        <v>1583</v>
      </c>
      <c r="AL70" s="1102" t="s">
        <v>1584</v>
      </c>
      <c r="AM70" s="510" t="s">
        <v>1585</v>
      </c>
      <c r="AN70" s="1102" t="s">
        <v>1586</v>
      </c>
      <c r="AO70" s="343"/>
      <c r="AP70" s="175"/>
      <c r="AQ70" s="55"/>
      <c r="BA70" s="175"/>
      <c r="BB70" s="291"/>
      <c r="BQ70" s="960"/>
      <c r="BR70" s="291"/>
    </row>
    <row r="71" spans="1:93" ht="24" customHeight="1" x14ac:dyDescent="0.3">
      <c r="A71" s="1637" t="s">
        <v>1184</v>
      </c>
      <c r="B71" s="2079"/>
      <c r="C71" s="1211" t="s">
        <v>643</v>
      </c>
      <c r="D71" s="1443" t="s">
        <v>1550</v>
      </c>
      <c r="E71" s="1444" t="s">
        <v>1551</v>
      </c>
      <c r="F71" s="1445" t="s">
        <v>1552</v>
      </c>
      <c r="G71" s="1496" t="s">
        <v>1553</v>
      </c>
      <c r="H71" s="1497" t="s">
        <v>1554</v>
      </c>
      <c r="I71" s="1496" t="s">
        <v>1555</v>
      </c>
      <c r="J71" s="1497" t="s">
        <v>1556</v>
      </c>
      <c r="K71" s="1496" t="s">
        <v>1557</v>
      </c>
      <c r="L71" s="1497" t="s">
        <v>1558</v>
      </c>
      <c r="M71" s="1496" t="s">
        <v>1559</v>
      </c>
      <c r="N71" s="1497" t="s">
        <v>1560</v>
      </c>
      <c r="O71" s="1496" t="s">
        <v>1561</v>
      </c>
      <c r="P71" s="1497" t="s">
        <v>1562</v>
      </c>
      <c r="Q71" s="1496" t="s">
        <v>1563</v>
      </c>
      <c r="R71" s="1497" t="s">
        <v>1564</v>
      </c>
      <c r="S71" s="1496" t="s">
        <v>1565</v>
      </c>
      <c r="T71" s="1497" t="s">
        <v>1566</v>
      </c>
      <c r="U71" s="1496" t="s">
        <v>1567</v>
      </c>
      <c r="V71" s="1497" t="s">
        <v>1568</v>
      </c>
      <c r="W71" s="513" t="s">
        <v>1569</v>
      </c>
      <c r="X71" s="569" t="s">
        <v>1570</v>
      </c>
      <c r="Y71" s="513" t="s">
        <v>1571</v>
      </c>
      <c r="Z71" s="569" t="s">
        <v>1572</v>
      </c>
      <c r="AA71" s="513" t="s">
        <v>1573</v>
      </c>
      <c r="AB71" s="569" t="s">
        <v>1574</v>
      </c>
      <c r="AC71" s="513" t="s">
        <v>1575</v>
      </c>
      <c r="AD71" s="569" t="s">
        <v>1576</v>
      </c>
      <c r="AE71" s="513" t="s">
        <v>1577</v>
      </c>
      <c r="AF71" s="569" t="s">
        <v>1578</v>
      </c>
      <c r="AG71" s="513" t="s">
        <v>1579</v>
      </c>
      <c r="AH71" s="569" t="s">
        <v>1580</v>
      </c>
      <c r="AI71" s="513" t="s">
        <v>1581</v>
      </c>
      <c r="AJ71" s="569" t="s">
        <v>1582</v>
      </c>
      <c r="AK71" s="513" t="s">
        <v>1583</v>
      </c>
      <c r="AL71" s="569" t="s">
        <v>1584</v>
      </c>
      <c r="AM71" s="513" t="s">
        <v>1585</v>
      </c>
      <c r="AN71" s="569" t="s">
        <v>1586</v>
      </c>
      <c r="AO71" s="343"/>
      <c r="AP71" s="175"/>
      <c r="AQ71" s="55"/>
      <c r="BA71" s="175"/>
      <c r="BB71" s="291"/>
      <c r="BQ71" s="960"/>
      <c r="BR71" s="291"/>
    </row>
    <row r="72" spans="1:93" ht="24" customHeight="1" x14ac:dyDescent="0.3">
      <c r="A72" s="1637" t="s">
        <v>1185</v>
      </c>
      <c r="B72" s="1865"/>
      <c r="C72" s="1212" t="s">
        <v>644</v>
      </c>
      <c r="D72" s="1446" t="s">
        <v>1550</v>
      </c>
      <c r="E72" s="1447" t="s">
        <v>1551</v>
      </c>
      <c r="F72" s="1433" t="s">
        <v>1552</v>
      </c>
      <c r="G72" s="1498" t="s">
        <v>1553</v>
      </c>
      <c r="H72" s="1499" t="s">
        <v>1554</v>
      </c>
      <c r="I72" s="1498" t="s">
        <v>1555</v>
      </c>
      <c r="J72" s="1499" t="s">
        <v>1556</v>
      </c>
      <c r="K72" s="1498" t="s">
        <v>1557</v>
      </c>
      <c r="L72" s="1499" t="s">
        <v>1558</v>
      </c>
      <c r="M72" s="1498" t="s">
        <v>1559</v>
      </c>
      <c r="N72" s="1499" t="s">
        <v>1560</v>
      </c>
      <c r="O72" s="1498" t="s">
        <v>1561</v>
      </c>
      <c r="P72" s="1499" t="s">
        <v>1562</v>
      </c>
      <c r="Q72" s="1498" t="s">
        <v>1563</v>
      </c>
      <c r="R72" s="1499" t="s">
        <v>1564</v>
      </c>
      <c r="S72" s="1498" t="s">
        <v>1565</v>
      </c>
      <c r="T72" s="1499" t="s">
        <v>1566</v>
      </c>
      <c r="U72" s="1498" t="s">
        <v>1567</v>
      </c>
      <c r="V72" s="1499" t="s">
        <v>1568</v>
      </c>
      <c r="W72" s="503" t="s">
        <v>1569</v>
      </c>
      <c r="X72" s="1101" t="s">
        <v>1570</v>
      </c>
      <c r="Y72" s="503" t="s">
        <v>1571</v>
      </c>
      <c r="Z72" s="1101" t="s">
        <v>1572</v>
      </c>
      <c r="AA72" s="503" t="s">
        <v>1573</v>
      </c>
      <c r="AB72" s="1101" t="s">
        <v>1574</v>
      </c>
      <c r="AC72" s="503" t="s">
        <v>1575</v>
      </c>
      <c r="AD72" s="1101" t="s">
        <v>1576</v>
      </c>
      <c r="AE72" s="503" t="s">
        <v>1577</v>
      </c>
      <c r="AF72" s="1101" t="s">
        <v>1578</v>
      </c>
      <c r="AG72" s="503" t="s">
        <v>1579</v>
      </c>
      <c r="AH72" s="1101" t="s">
        <v>1580</v>
      </c>
      <c r="AI72" s="503" t="s">
        <v>1581</v>
      </c>
      <c r="AJ72" s="1101" t="s">
        <v>1582</v>
      </c>
      <c r="AK72" s="503" t="s">
        <v>1583</v>
      </c>
      <c r="AL72" s="1101" t="s">
        <v>1584</v>
      </c>
      <c r="AM72" s="503" t="s">
        <v>1585</v>
      </c>
      <c r="AN72" s="1101" t="s">
        <v>1586</v>
      </c>
      <c r="AO72" s="343"/>
      <c r="AP72" s="175"/>
      <c r="AQ72" s="55"/>
      <c r="BA72" s="175"/>
      <c r="BB72" s="291"/>
      <c r="BQ72" s="960"/>
      <c r="BR72" s="291"/>
    </row>
    <row r="73" spans="1:93" ht="24" customHeight="1" x14ac:dyDescent="0.3">
      <c r="A73" s="1637" t="s">
        <v>1186</v>
      </c>
      <c r="B73" s="1864" t="s">
        <v>132</v>
      </c>
      <c r="C73" s="1213" t="s">
        <v>645</v>
      </c>
      <c r="D73" s="1440" t="s">
        <v>1550</v>
      </c>
      <c r="E73" s="1441" t="s">
        <v>1551</v>
      </c>
      <c r="F73" s="1442" t="s">
        <v>1552</v>
      </c>
      <c r="G73" s="498" t="s">
        <v>1553</v>
      </c>
      <c r="H73" s="567" t="s">
        <v>1554</v>
      </c>
      <c r="I73" s="498" t="s">
        <v>1555</v>
      </c>
      <c r="J73" s="567" t="s">
        <v>1556</v>
      </c>
      <c r="K73" s="498" t="s">
        <v>1557</v>
      </c>
      <c r="L73" s="567" t="s">
        <v>1558</v>
      </c>
      <c r="M73" s="498" t="s">
        <v>1559</v>
      </c>
      <c r="N73" s="567" t="s">
        <v>1560</v>
      </c>
      <c r="O73" s="498" t="s">
        <v>1561</v>
      </c>
      <c r="P73" s="567" t="s">
        <v>1562</v>
      </c>
      <c r="Q73" s="498" t="s">
        <v>1563</v>
      </c>
      <c r="R73" s="567" t="s">
        <v>1564</v>
      </c>
      <c r="S73" s="498" t="s">
        <v>1565</v>
      </c>
      <c r="T73" s="567" t="s">
        <v>1566</v>
      </c>
      <c r="U73" s="498" t="s">
        <v>1567</v>
      </c>
      <c r="V73" s="567" t="s">
        <v>1568</v>
      </c>
      <c r="W73" s="498" t="s">
        <v>1569</v>
      </c>
      <c r="X73" s="567" t="s">
        <v>1570</v>
      </c>
      <c r="Y73" s="498" t="s">
        <v>1571</v>
      </c>
      <c r="Z73" s="567" t="s">
        <v>1572</v>
      </c>
      <c r="AA73" s="498" t="s">
        <v>1573</v>
      </c>
      <c r="AB73" s="567" t="s">
        <v>1574</v>
      </c>
      <c r="AC73" s="498" t="s">
        <v>1575</v>
      </c>
      <c r="AD73" s="567" t="s">
        <v>1576</v>
      </c>
      <c r="AE73" s="498" t="s">
        <v>1577</v>
      </c>
      <c r="AF73" s="567" t="s">
        <v>1578</v>
      </c>
      <c r="AG73" s="498" t="s">
        <v>1579</v>
      </c>
      <c r="AH73" s="567" t="s">
        <v>1580</v>
      </c>
      <c r="AI73" s="498" t="s">
        <v>1581</v>
      </c>
      <c r="AJ73" s="567" t="s">
        <v>1582</v>
      </c>
      <c r="AK73" s="498" t="s">
        <v>1583</v>
      </c>
      <c r="AL73" s="567" t="s">
        <v>1584</v>
      </c>
      <c r="AM73" s="498" t="s">
        <v>1585</v>
      </c>
      <c r="AN73" s="567" t="s">
        <v>1586</v>
      </c>
      <c r="AO73" s="343"/>
      <c r="AP73" s="175"/>
      <c r="AQ73" s="55"/>
      <c r="BA73" s="175"/>
      <c r="BB73" s="291"/>
      <c r="BQ73" s="960"/>
      <c r="BR73" s="291"/>
    </row>
    <row r="74" spans="1:93" ht="24" customHeight="1" x14ac:dyDescent="0.3">
      <c r="A74" s="1637" t="s">
        <v>1187</v>
      </c>
      <c r="B74" s="2079"/>
      <c r="C74" s="1211" t="s">
        <v>643</v>
      </c>
      <c r="D74" s="1448" t="s">
        <v>1550</v>
      </c>
      <c r="E74" s="1449" t="s">
        <v>1551</v>
      </c>
      <c r="F74" s="1450" t="s">
        <v>1552</v>
      </c>
      <c r="G74" s="513" t="s">
        <v>1553</v>
      </c>
      <c r="H74" s="569" t="s">
        <v>1554</v>
      </c>
      <c r="I74" s="513" t="s">
        <v>1555</v>
      </c>
      <c r="J74" s="569" t="s">
        <v>1556</v>
      </c>
      <c r="K74" s="513" t="s">
        <v>1557</v>
      </c>
      <c r="L74" s="569" t="s">
        <v>1558</v>
      </c>
      <c r="M74" s="513" t="s">
        <v>1559</v>
      </c>
      <c r="N74" s="569" t="s">
        <v>1560</v>
      </c>
      <c r="O74" s="513" t="s">
        <v>1561</v>
      </c>
      <c r="P74" s="569" t="s">
        <v>1562</v>
      </c>
      <c r="Q74" s="513" t="s">
        <v>1563</v>
      </c>
      <c r="R74" s="569" t="s">
        <v>1564</v>
      </c>
      <c r="S74" s="513" t="s">
        <v>1565</v>
      </c>
      <c r="T74" s="569" t="s">
        <v>1566</v>
      </c>
      <c r="U74" s="513" t="s">
        <v>1567</v>
      </c>
      <c r="V74" s="569" t="s">
        <v>1568</v>
      </c>
      <c r="W74" s="513" t="s">
        <v>1569</v>
      </c>
      <c r="X74" s="569" t="s">
        <v>1570</v>
      </c>
      <c r="Y74" s="513" t="s">
        <v>1571</v>
      </c>
      <c r="Z74" s="569" t="s">
        <v>1572</v>
      </c>
      <c r="AA74" s="513" t="s">
        <v>1573</v>
      </c>
      <c r="AB74" s="569" t="s">
        <v>1574</v>
      </c>
      <c r="AC74" s="513" t="s">
        <v>1575</v>
      </c>
      <c r="AD74" s="569" t="s">
        <v>1576</v>
      </c>
      <c r="AE74" s="513" t="s">
        <v>1577</v>
      </c>
      <c r="AF74" s="569" t="s">
        <v>1578</v>
      </c>
      <c r="AG74" s="513" t="s">
        <v>1579</v>
      </c>
      <c r="AH74" s="569" t="s">
        <v>1580</v>
      </c>
      <c r="AI74" s="513" t="s">
        <v>1581</v>
      </c>
      <c r="AJ74" s="569" t="s">
        <v>1582</v>
      </c>
      <c r="AK74" s="513" t="s">
        <v>1583</v>
      </c>
      <c r="AL74" s="569" t="s">
        <v>1584</v>
      </c>
      <c r="AM74" s="513" t="s">
        <v>1585</v>
      </c>
      <c r="AN74" s="569" t="s">
        <v>1586</v>
      </c>
      <c r="AO74" s="343"/>
      <c r="AP74" s="175"/>
      <c r="AQ74" s="55"/>
      <c r="BA74" s="175"/>
      <c r="BB74" s="291"/>
      <c r="BQ74" s="960"/>
      <c r="BR74" s="291"/>
    </row>
    <row r="75" spans="1:93" ht="24" customHeight="1" x14ac:dyDescent="0.3">
      <c r="A75" s="1637" t="s">
        <v>1188</v>
      </c>
      <c r="B75" s="1865"/>
      <c r="C75" s="1212" t="s">
        <v>644</v>
      </c>
      <c r="D75" s="1446" t="s">
        <v>1550</v>
      </c>
      <c r="E75" s="1447" t="s">
        <v>1551</v>
      </c>
      <c r="F75" s="1433" t="s">
        <v>1552</v>
      </c>
      <c r="G75" s="503" t="s">
        <v>1553</v>
      </c>
      <c r="H75" s="1101" t="s">
        <v>1554</v>
      </c>
      <c r="I75" s="503" t="s">
        <v>1555</v>
      </c>
      <c r="J75" s="1101" t="s">
        <v>1556</v>
      </c>
      <c r="K75" s="503" t="s">
        <v>1557</v>
      </c>
      <c r="L75" s="1101" t="s">
        <v>1558</v>
      </c>
      <c r="M75" s="503" t="s">
        <v>1559</v>
      </c>
      <c r="N75" s="1101" t="s">
        <v>1560</v>
      </c>
      <c r="O75" s="503" t="s">
        <v>1561</v>
      </c>
      <c r="P75" s="1101" t="s">
        <v>1562</v>
      </c>
      <c r="Q75" s="503" t="s">
        <v>1563</v>
      </c>
      <c r="R75" s="1101" t="s">
        <v>1564</v>
      </c>
      <c r="S75" s="503" t="s">
        <v>1565</v>
      </c>
      <c r="T75" s="1101" t="s">
        <v>1566</v>
      </c>
      <c r="U75" s="503" t="s">
        <v>1567</v>
      </c>
      <c r="V75" s="1101" t="s">
        <v>1568</v>
      </c>
      <c r="W75" s="503" t="s">
        <v>1569</v>
      </c>
      <c r="X75" s="1101" t="s">
        <v>1570</v>
      </c>
      <c r="Y75" s="503" t="s">
        <v>1571</v>
      </c>
      <c r="Z75" s="1101" t="s">
        <v>1572</v>
      </c>
      <c r="AA75" s="503" t="s">
        <v>1573</v>
      </c>
      <c r="AB75" s="1101" t="s">
        <v>1574</v>
      </c>
      <c r="AC75" s="503" t="s">
        <v>1575</v>
      </c>
      <c r="AD75" s="1101" t="s">
        <v>1576</v>
      </c>
      <c r="AE75" s="503" t="s">
        <v>1577</v>
      </c>
      <c r="AF75" s="1101" t="s">
        <v>1578</v>
      </c>
      <c r="AG75" s="503" t="s">
        <v>1579</v>
      </c>
      <c r="AH75" s="1101" t="s">
        <v>1580</v>
      </c>
      <c r="AI75" s="503" t="s">
        <v>1581</v>
      </c>
      <c r="AJ75" s="1101" t="s">
        <v>1582</v>
      </c>
      <c r="AK75" s="503" t="s">
        <v>1583</v>
      </c>
      <c r="AL75" s="1101" t="s">
        <v>1584</v>
      </c>
      <c r="AM75" s="503" t="s">
        <v>1585</v>
      </c>
      <c r="AN75" s="1101" t="s">
        <v>1586</v>
      </c>
      <c r="AO75" s="343"/>
      <c r="AP75" s="175"/>
      <c r="AQ75" s="55"/>
      <c r="BA75" s="175"/>
      <c r="BB75" s="291"/>
      <c r="BQ75" s="960"/>
      <c r="BR75" s="291"/>
    </row>
    <row r="76" spans="1:93" ht="24" customHeight="1" x14ac:dyDescent="0.3">
      <c r="A76" s="1637" t="s">
        <v>1189</v>
      </c>
      <c r="B76" s="2080" t="s">
        <v>647</v>
      </c>
      <c r="C76" s="1213" t="s">
        <v>645</v>
      </c>
      <c r="D76" s="1440" t="s">
        <v>1550</v>
      </c>
      <c r="E76" s="1441" t="s">
        <v>1551</v>
      </c>
      <c r="F76" s="1442" t="s">
        <v>1552</v>
      </c>
      <c r="G76" s="498" t="s">
        <v>1553</v>
      </c>
      <c r="H76" s="1102" t="s">
        <v>1554</v>
      </c>
      <c r="I76" s="498" t="s">
        <v>1555</v>
      </c>
      <c r="J76" s="1102" t="s">
        <v>1556</v>
      </c>
      <c r="K76" s="498" t="s">
        <v>1557</v>
      </c>
      <c r="L76" s="1102" t="s">
        <v>1558</v>
      </c>
      <c r="M76" s="498" t="s">
        <v>1559</v>
      </c>
      <c r="N76" s="1102" t="s">
        <v>1560</v>
      </c>
      <c r="O76" s="498" t="s">
        <v>1561</v>
      </c>
      <c r="P76" s="1102" t="s">
        <v>1562</v>
      </c>
      <c r="Q76" s="498" t="s">
        <v>1563</v>
      </c>
      <c r="R76" s="1102" t="s">
        <v>1564</v>
      </c>
      <c r="S76" s="498" t="s">
        <v>1565</v>
      </c>
      <c r="T76" s="1102" t="s">
        <v>1566</v>
      </c>
      <c r="U76" s="498" t="s">
        <v>1567</v>
      </c>
      <c r="V76" s="1102" t="s">
        <v>1568</v>
      </c>
      <c r="W76" s="498" t="s">
        <v>1569</v>
      </c>
      <c r="X76" s="1102" t="s">
        <v>1570</v>
      </c>
      <c r="Y76" s="498" t="s">
        <v>1571</v>
      </c>
      <c r="Z76" s="1102" t="s">
        <v>1572</v>
      </c>
      <c r="AA76" s="498" t="s">
        <v>1573</v>
      </c>
      <c r="AB76" s="1102" t="s">
        <v>1574</v>
      </c>
      <c r="AC76" s="498" t="s">
        <v>1575</v>
      </c>
      <c r="AD76" s="1102" t="s">
        <v>1576</v>
      </c>
      <c r="AE76" s="498" t="s">
        <v>1577</v>
      </c>
      <c r="AF76" s="1102" t="s">
        <v>1578</v>
      </c>
      <c r="AG76" s="498" t="s">
        <v>1579</v>
      </c>
      <c r="AH76" s="1102" t="s">
        <v>1580</v>
      </c>
      <c r="AI76" s="498" t="s">
        <v>1581</v>
      </c>
      <c r="AJ76" s="1102" t="s">
        <v>1582</v>
      </c>
      <c r="AK76" s="498" t="s">
        <v>1583</v>
      </c>
      <c r="AL76" s="1102" t="s">
        <v>1584</v>
      </c>
      <c r="AM76" s="510" t="s">
        <v>1585</v>
      </c>
      <c r="AN76" s="1102" t="s">
        <v>1586</v>
      </c>
      <c r="AO76" s="343"/>
      <c r="AP76" s="175"/>
      <c r="AQ76" s="55"/>
      <c r="BA76" s="175"/>
      <c r="BB76" s="291"/>
      <c r="BQ76" s="960"/>
      <c r="BR76" s="291"/>
    </row>
    <row r="77" spans="1:93" ht="24" customHeight="1" x14ac:dyDescent="0.3">
      <c r="A77" s="1637" t="s">
        <v>1190</v>
      </c>
      <c r="B77" s="2081"/>
      <c r="C77" s="1211" t="s">
        <v>880</v>
      </c>
      <c r="D77" s="1443" t="s">
        <v>1550</v>
      </c>
      <c r="E77" s="1444" t="s">
        <v>1551</v>
      </c>
      <c r="F77" s="1445" t="s">
        <v>1552</v>
      </c>
      <c r="G77" s="517" t="s">
        <v>1553</v>
      </c>
      <c r="H77" s="652" t="s">
        <v>1554</v>
      </c>
      <c r="I77" s="517" t="s">
        <v>1555</v>
      </c>
      <c r="J77" s="652" t="s">
        <v>1556</v>
      </c>
      <c r="K77" s="517" t="s">
        <v>1557</v>
      </c>
      <c r="L77" s="652" t="s">
        <v>1558</v>
      </c>
      <c r="M77" s="517" t="s">
        <v>1559</v>
      </c>
      <c r="N77" s="652" t="s">
        <v>1560</v>
      </c>
      <c r="O77" s="517" t="s">
        <v>1561</v>
      </c>
      <c r="P77" s="652" t="s">
        <v>1562</v>
      </c>
      <c r="Q77" s="517" t="s">
        <v>1563</v>
      </c>
      <c r="R77" s="652" t="s">
        <v>1564</v>
      </c>
      <c r="S77" s="517" t="s">
        <v>1565</v>
      </c>
      <c r="T77" s="652" t="s">
        <v>1566</v>
      </c>
      <c r="U77" s="517" t="s">
        <v>1567</v>
      </c>
      <c r="V77" s="652" t="s">
        <v>1568</v>
      </c>
      <c r="W77" s="517" t="s">
        <v>1569</v>
      </c>
      <c r="X77" s="652" t="s">
        <v>1570</v>
      </c>
      <c r="Y77" s="517" t="s">
        <v>1571</v>
      </c>
      <c r="Z77" s="652" t="s">
        <v>1572</v>
      </c>
      <c r="AA77" s="517" t="s">
        <v>1573</v>
      </c>
      <c r="AB77" s="652" t="s">
        <v>1574</v>
      </c>
      <c r="AC77" s="517" t="s">
        <v>1575</v>
      </c>
      <c r="AD77" s="652" t="s">
        <v>1576</v>
      </c>
      <c r="AE77" s="517" t="s">
        <v>1577</v>
      </c>
      <c r="AF77" s="652" t="s">
        <v>1578</v>
      </c>
      <c r="AG77" s="517" t="s">
        <v>1579</v>
      </c>
      <c r="AH77" s="652" t="s">
        <v>1580</v>
      </c>
      <c r="AI77" s="517" t="s">
        <v>1581</v>
      </c>
      <c r="AJ77" s="652" t="s">
        <v>1582</v>
      </c>
      <c r="AK77" s="517" t="s">
        <v>1583</v>
      </c>
      <c r="AL77" s="652" t="s">
        <v>1584</v>
      </c>
      <c r="AM77" s="517" t="s">
        <v>1585</v>
      </c>
      <c r="AN77" s="652" t="s">
        <v>1586</v>
      </c>
      <c r="AO77" s="343"/>
      <c r="AP77" s="175"/>
      <c r="AQ77" s="55"/>
      <c r="BA77" s="175"/>
      <c r="BB77" s="291"/>
      <c r="BQ77" s="960"/>
      <c r="BR77" s="291"/>
    </row>
    <row r="78" spans="1:93" ht="24" customHeight="1" x14ac:dyDescent="0.3">
      <c r="A78" s="1637" t="s">
        <v>1191</v>
      </c>
      <c r="B78" s="2082"/>
      <c r="C78" s="1212" t="s">
        <v>644</v>
      </c>
      <c r="D78" s="1446" t="s">
        <v>1550</v>
      </c>
      <c r="E78" s="1447" t="s">
        <v>1551</v>
      </c>
      <c r="F78" s="1433" t="s">
        <v>1552</v>
      </c>
      <c r="G78" s="504" t="s">
        <v>1553</v>
      </c>
      <c r="H78" s="570" t="s">
        <v>1554</v>
      </c>
      <c r="I78" s="504" t="s">
        <v>1555</v>
      </c>
      <c r="J78" s="570" t="s">
        <v>1556</v>
      </c>
      <c r="K78" s="504" t="s">
        <v>1557</v>
      </c>
      <c r="L78" s="570" t="s">
        <v>1558</v>
      </c>
      <c r="M78" s="504" t="s">
        <v>1559</v>
      </c>
      <c r="N78" s="570" t="s">
        <v>1560</v>
      </c>
      <c r="O78" s="504" t="s">
        <v>1561</v>
      </c>
      <c r="P78" s="570" t="s">
        <v>1562</v>
      </c>
      <c r="Q78" s="504" t="s">
        <v>1563</v>
      </c>
      <c r="R78" s="570" t="s">
        <v>1564</v>
      </c>
      <c r="S78" s="504" t="s">
        <v>1565</v>
      </c>
      <c r="T78" s="570" t="s">
        <v>1566</v>
      </c>
      <c r="U78" s="504" t="s">
        <v>1567</v>
      </c>
      <c r="V78" s="570" t="s">
        <v>1568</v>
      </c>
      <c r="W78" s="504" t="s">
        <v>1569</v>
      </c>
      <c r="X78" s="570" t="s">
        <v>1570</v>
      </c>
      <c r="Y78" s="504" t="s">
        <v>1571</v>
      </c>
      <c r="Z78" s="570" t="s">
        <v>1572</v>
      </c>
      <c r="AA78" s="504" t="s">
        <v>1573</v>
      </c>
      <c r="AB78" s="570" t="s">
        <v>1574</v>
      </c>
      <c r="AC78" s="504" t="s">
        <v>1575</v>
      </c>
      <c r="AD78" s="570" t="s">
        <v>1576</v>
      </c>
      <c r="AE78" s="504" t="s">
        <v>1577</v>
      </c>
      <c r="AF78" s="570" t="s">
        <v>1578</v>
      </c>
      <c r="AG78" s="504" t="s">
        <v>1579</v>
      </c>
      <c r="AH78" s="570" t="s">
        <v>1580</v>
      </c>
      <c r="AI78" s="504" t="s">
        <v>1581</v>
      </c>
      <c r="AJ78" s="570" t="s">
        <v>1582</v>
      </c>
      <c r="AK78" s="504" t="s">
        <v>1583</v>
      </c>
      <c r="AL78" s="570" t="s">
        <v>1584</v>
      </c>
      <c r="AM78" s="504" t="s">
        <v>1585</v>
      </c>
      <c r="AN78" s="570" t="s">
        <v>1586</v>
      </c>
      <c r="AO78" s="343"/>
      <c r="AP78" s="175"/>
      <c r="AQ78" s="55"/>
      <c r="BA78" s="175"/>
      <c r="BB78" s="291"/>
      <c r="BQ78" s="960"/>
      <c r="BR78" s="291"/>
    </row>
    <row r="87" spans="2:69" ht="14.4" hidden="1" customHeight="1" x14ac:dyDescent="0.2">
      <c r="B87" s="1181">
        <f>SUM(D12:D41,C46,D51:D54,D59:D65,D70:D78)</f>
        <v>0</v>
      </c>
      <c r="C87" s="348" t="s">
        <v>317</v>
      </c>
      <c r="BA87" s="175"/>
      <c r="BB87" s="175"/>
      <c r="BC87" s="175"/>
      <c r="BD87" s="175"/>
      <c r="BE87" s="175"/>
      <c r="BF87" s="175"/>
      <c r="BG87" s="175"/>
      <c r="BH87" s="175"/>
      <c r="BI87" s="175"/>
      <c r="BJ87" s="175"/>
      <c r="BK87" s="175"/>
      <c r="BL87" s="175"/>
      <c r="BM87" s="175"/>
      <c r="BN87" s="175"/>
      <c r="BO87" s="175"/>
      <c r="BP87" s="175"/>
      <c r="BQ87" s="175"/>
    </row>
    <row r="88" spans="2:69" ht="14.4" hidden="1" customHeight="1" x14ac:dyDescent="0.2">
      <c r="B88" s="1181" t="e">
        <f>SUM(CJ12:CS66)</f>
        <v>#VALUE!</v>
      </c>
      <c r="C88" s="348" t="s">
        <v>318</v>
      </c>
      <c r="BA88" s="175"/>
      <c r="BB88" s="175"/>
      <c r="BC88" s="175"/>
      <c r="BD88" s="175"/>
      <c r="BE88" s="175"/>
      <c r="BF88" s="175"/>
      <c r="BG88" s="175"/>
      <c r="BH88" s="175"/>
      <c r="BI88" s="175"/>
      <c r="BJ88" s="175"/>
      <c r="BK88" s="175"/>
      <c r="BL88" s="175"/>
      <c r="BM88" s="175"/>
      <c r="BN88" s="175"/>
      <c r="BO88" s="175"/>
      <c r="BP88" s="175"/>
      <c r="BQ88" s="175"/>
    </row>
    <row r="89" spans="2:69" ht="14.4" customHeight="1" x14ac:dyDescent="0.3"/>
  </sheetData>
  <mergeCells count="115">
    <mergeCell ref="AR9:AS10"/>
    <mergeCell ref="G49:H49"/>
    <mergeCell ref="Y57:Z57"/>
    <mergeCell ref="AA57:AB57"/>
    <mergeCell ref="AK57:AL57"/>
    <mergeCell ref="AM57:AN57"/>
    <mergeCell ref="S49:T49"/>
    <mergeCell ref="W57:X57"/>
    <mergeCell ref="AG49:AH49"/>
    <mergeCell ref="AI49:AJ49"/>
    <mergeCell ref="AO9:AO11"/>
    <mergeCell ref="I10:J10"/>
    <mergeCell ref="K10:L10"/>
    <mergeCell ref="M10:N10"/>
    <mergeCell ref="O10:P10"/>
    <mergeCell ref="AG10:AH10"/>
    <mergeCell ref="AI10:AJ10"/>
    <mergeCell ref="G9:AN9"/>
    <mergeCell ref="AK10:AL10"/>
    <mergeCell ref="S10:T10"/>
    <mergeCell ref="AM10:AN10"/>
    <mergeCell ref="Q10:R10"/>
    <mergeCell ref="AE10:AF10"/>
    <mergeCell ref="AA10:AB10"/>
    <mergeCell ref="M49:N49"/>
    <mergeCell ref="B55:AN55"/>
    <mergeCell ref="K49:L49"/>
    <mergeCell ref="B63:B65"/>
    <mergeCell ref="AC57:AD57"/>
    <mergeCell ref="AE57:AF57"/>
    <mergeCell ref="I57:J57"/>
    <mergeCell ref="K57:L57"/>
    <mergeCell ref="M57:N57"/>
    <mergeCell ref="O57:P57"/>
    <mergeCell ref="Q57:R57"/>
    <mergeCell ref="S57:T57"/>
    <mergeCell ref="U57:V57"/>
    <mergeCell ref="B59:B62"/>
    <mergeCell ref="G57:H57"/>
    <mergeCell ref="I49:J49"/>
    <mergeCell ref="AG57:AH57"/>
    <mergeCell ref="AI57:AJ57"/>
    <mergeCell ref="B56:C58"/>
    <mergeCell ref="D56:F57"/>
    <mergeCell ref="G56:AN56"/>
    <mergeCell ref="AE49:AF49"/>
    <mergeCell ref="D48:F49"/>
    <mergeCell ref="B12:B14"/>
    <mergeCell ref="B15:B17"/>
    <mergeCell ref="B18:B19"/>
    <mergeCell ref="B26:C26"/>
    <mergeCell ref="B31:C31"/>
    <mergeCell ref="B21:C21"/>
    <mergeCell ref="B35:B41"/>
    <mergeCell ref="E44:E45"/>
    <mergeCell ref="B29:C29"/>
    <mergeCell ref="B30:C30"/>
    <mergeCell ref="B22:C22"/>
    <mergeCell ref="B23:C23"/>
    <mergeCell ref="B24:C24"/>
    <mergeCell ref="B32:B34"/>
    <mergeCell ref="B27:C27"/>
    <mergeCell ref="B28:C28"/>
    <mergeCell ref="B43:AQ43"/>
    <mergeCell ref="F44:L44"/>
    <mergeCell ref="C44:C45"/>
    <mergeCell ref="D44:D45"/>
    <mergeCell ref="AK68:AL68"/>
    <mergeCell ref="AP9:AQ10"/>
    <mergeCell ref="C67:C69"/>
    <mergeCell ref="D67:F68"/>
    <mergeCell ref="B7:Z7"/>
    <mergeCell ref="B9:C11"/>
    <mergeCell ref="D9:F10"/>
    <mergeCell ref="U10:V10"/>
    <mergeCell ref="G10:H10"/>
    <mergeCell ref="Y10:Z10"/>
    <mergeCell ref="W10:X10"/>
    <mergeCell ref="B47:AN47"/>
    <mergeCell ref="O49:P49"/>
    <mergeCell ref="AK49:AL49"/>
    <mergeCell ref="Y49:Z49"/>
    <mergeCell ref="U49:V49"/>
    <mergeCell ref="W49:X49"/>
    <mergeCell ref="AA49:AB49"/>
    <mergeCell ref="Q49:R49"/>
    <mergeCell ref="AM49:AN49"/>
    <mergeCell ref="G48:AN48"/>
    <mergeCell ref="AC49:AD49"/>
    <mergeCell ref="AC10:AD10"/>
    <mergeCell ref="B20:C20"/>
    <mergeCell ref="B67:B69"/>
    <mergeCell ref="B70:B72"/>
    <mergeCell ref="B73:B75"/>
    <mergeCell ref="B76:B78"/>
    <mergeCell ref="B48:C50"/>
    <mergeCell ref="B51:B54"/>
    <mergeCell ref="B44:B45"/>
    <mergeCell ref="G67:AN67"/>
    <mergeCell ref="AM68:AN68"/>
    <mergeCell ref="S68:T68"/>
    <mergeCell ref="U68:V68"/>
    <mergeCell ref="G68:H68"/>
    <mergeCell ref="I68:J68"/>
    <mergeCell ref="K68:L68"/>
    <mergeCell ref="M68:N68"/>
    <mergeCell ref="O68:P68"/>
    <mergeCell ref="Q68:R68"/>
    <mergeCell ref="W68:X68"/>
    <mergeCell ref="Y68:Z68"/>
    <mergeCell ref="AA68:AB68"/>
    <mergeCell ref="AC68:AD68"/>
    <mergeCell ref="AE68:AF68"/>
    <mergeCell ref="AG68:AH68"/>
    <mergeCell ref="AI68:AJ68"/>
  </mergeCells>
  <phoneticPr fontId="26" type="noConversion"/>
  <dataValidations count="2">
    <dataValidation allowBlank="1" showInputMessage="1" showErrorMessage="1" errorTitle=" Error de ingreso" error="Debe ingresar sólo números enteros positivos." sqref="C51:C1048576 B70 B73 B76 B79:B1048576 B51 B55:B67 G45:L45 B46:B48 CS44:XFD46 B1:B44 G55:AN58 D44:F45 D47:F1048576 G79:AN1048576 G66:AN69 G47:AN50 C44:C47 C1:F43 G42:AS43 G1:AS11 AT1:CB43 CC1:CF11 CC42:CF43 N44:CO44 M45:CO46 AO47:XFD1048576 CG1:XFD43" xr:uid="{00000000-0002-0000-0300-000000000000}"/>
    <dataValidation type="whole" operator="greaterThanOrEqual" allowBlank="1" showInputMessage="1" showErrorMessage="1" errorTitle=" Error de ingreso" error="Debe ingresar sólo números enteros positivos." sqref="G12:AS41 D46:L46 G51:AN54 G59:AN65 G70:AN78" xr:uid="{00000000-0002-0000-0300-000001000000}">
      <formula1>0</formula1>
    </dataValidation>
  </dataValidations>
  <pageMargins left="0.70866141732283472" right="0.70866141732283472" top="0.74803149606299213" bottom="0.74803149606299213" header="0.31496062992125984" footer="0.31496062992125984"/>
  <pageSetup scale="50" pageOrder="overThenDown" orientation="landscape" r:id="rId1"/>
  <rowBreaks count="1" manualBreakCount="1">
    <brk id="42" max="16383" man="1"/>
  </rowBreaks>
  <colBreaks count="1" manualBreakCount="1">
    <brk id="20" max="1048575" man="1"/>
  </colBreaks>
  <ignoredErrors>
    <ignoredError sqref="CP12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DT102"/>
  <sheetViews>
    <sheetView showGridLines="0" zoomScaleNormal="100" workbookViewId="0"/>
  </sheetViews>
  <sheetFormatPr baseColWidth="10" defaultColWidth="11.44140625" defaultRowHeight="10.199999999999999" x14ac:dyDescent="0.2"/>
  <cols>
    <col min="1" max="1" width="14.88671875" style="175" customWidth="1"/>
    <col min="2" max="2" width="32.33203125" style="175" customWidth="1"/>
    <col min="3" max="3" width="52.5546875" style="175" customWidth="1"/>
    <col min="4" max="4" width="12.5546875" style="175" customWidth="1"/>
    <col min="5" max="5" width="10.109375" style="175" customWidth="1"/>
    <col min="6" max="6" width="9.6640625" style="175" customWidth="1"/>
    <col min="7" max="37" width="8.88671875" style="175" customWidth="1"/>
    <col min="38" max="38" width="9.5546875" style="175" customWidth="1"/>
    <col min="39" max="39" width="16.44140625" style="175" customWidth="1"/>
    <col min="40" max="40" width="22" style="175" customWidth="1"/>
    <col min="41" max="50" width="11.44140625" style="175" customWidth="1"/>
    <col min="51" max="51" width="10.88671875" style="175" customWidth="1"/>
    <col min="52" max="53" width="11.44140625" style="175" customWidth="1"/>
    <col min="54" max="124" width="16.44140625" style="175" hidden="1" customWidth="1"/>
    <col min="125" max="125" width="16.44140625" style="175" customWidth="1"/>
    <col min="126" max="131" width="11.44140625" style="175" customWidth="1"/>
    <col min="132" max="16384" width="11.44140625" style="175"/>
  </cols>
  <sheetData>
    <row r="1" spans="1:124" s="55" customFormat="1" ht="13.5" customHeight="1" x14ac:dyDescent="0.2">
      <c r="B1" s="120" t="s">
        <v>0</v>
      </c>
      <c r="BB1" s="306"/>
      <c r="BC1" s="306"/>
      <c r="BD1" s="306"/>
      <c r="BE1" s="306"/>
      <c r="BF1" s="306"/>
      <c r="BG1" s="306"/>
      <c r="BH1" s="306"/>
      <c r="BI1" s="306"/>
      <c r="BJ1" s="306"/>
      <c r="BK1" s="306"/>
      <c r="BL1" s="306"/>
      <c r="BM1" s="306"/>
      <c r="BN1" s="306"/>
      <c r="BO1" s="306"/>
      <c r="BP1" s="306"/>
      <c r="BQ1" s="306"/>
      <c r="BR1" s="306"/>
      <c r="BS1" s="306"/>
      <c r="BT1" s="306"/>
      <c r="BU1" s="306"/>
      <c r="BV1" s="306"/>
      <c r="BW1" s="306"/>
      <c r="BX1" s="306"/>
      <c r="BY1" s="306"/>
      <c r="BZ1" s="306"/>
      <c r="CA1" s="306"/>
      <c r="CB1" s="306"/>
      <c r="CC1" s="306"/>
      <c r="CD1" s="306"/>
      <c r="CE1" s="306"/>
      <c r="CF1" s="306"/>
      <c r="CG1" s="306"/>
      <c r="CH1" s="306"/>
      <c r="CI1" s="306"/>
      <c r="CJ1" s="306"/>
      <c r="CK1" s="306"/>
      <c r="CL1" s="306"/>
      <c r="CM1" s="306"/>
      <c r="CN1" s="306"/>
      <c r="CO1" s="306"/>
      <c r="CP1" s="306"/>
      <c r="CQ1" s="306"/>
      <c r="CR1" s="306"/>
      <c r="CS1" s="306"/>
      <c r="CT1" s="306"/>
      <c r="CU1" s="306"/>
      <c r="CV1" s="306"/>
      <c r="CW1" s="306"/>
      <c r="CX1" s="306"/>
      <c r="CY1" s="306"/>
      <c r="CZ1" s="306"/>
      <c r="DA1" s="306"/>
      <c r="DB1" s="306"/>
      <c r="DC1" s="306"/>
      <c r="DD1" s="306"/>
      <c r="DE1" s="306"/>
      <c r="DF1" s="306"/>
      <c r="DG1" s="306"/>
      <c r="DH1" s="306"/>
      <c r="DI1" s="306"/>
      <c r="DJ1" s="306"/>
      <c r="DK1" s="306"/>
      <c r="DL1" s="306"/>
      <c r="DM1" s="306"/>
      <c r="DN1" s="306"/>
      <c r="DO1" s="306"/>
      <c r="DP1" s="306"/>
      <c r="DQ1" s="306"/>
      <c r="DR1" s="306"/>
      <c r="DS1" s="306"/>
      <c r="DT1" s="306"/>
    </row>
    <row r="2" spans="1:124" s="55" customFormat="1" ht="13.5" customHeight="1" x14ac:dyDescent="0.2">
      <c r="B2" s="120" t="str">
        <f>CONCATENATE("COMUNA: ",NOMBRE!$B$2," - ","( ",NOMBRE!$C$2,NOMBRE!$D$2,NOMBRE!$E$2,NOMBRE!$F$2,NOMBRE!$G$2," )")</f>
        <v>COMUNA:  - (  )</v>
      </c>
      <c r="BB2" s="306"/>
      <c r="BC2" s="306"/>
      <c r="BD2" s="306"/>
      <c r="BE2" s="306"/>
      <c r="BF2" s="306"/>
      <c r="BG2" s="306"/>
      <c r="BH2" s="306"/>
      <c r="BI2" s="306"/>
      <c r="BJ2" s="306"/>
      <c r="BK2" s="306"/>
      <c r="BL2" s="306"/>
      <c r="BM2" s="306"/>
      <c r="BN2" s="306"/>
      <c r="BO2" s="306"/>
      <c r="BP2" s="306"/>
      <c r="BQ2" s="306"/>
      <c r="BR2" s="306"/>
      <c r="BS2" s="306"/>
      <c r="BT2" s="306"/>
      <c r="BU2" s="306"/>
      <c r="BV2" s="306"/>
      <c r="BW2" s="306"/>
      <c r="BX2" s="306"/>
      <c r="BY2" s="306"/>
      <c r="BZ2" s="306"/>
      <c r="CA2" s="306"/>
      <c r="CB2" s="306"/>
      <c r="CC2" s="306"/>
      <c r="CD2" s="306"/>
      <c r="CE2" s="306"/>
      <c r="CF2" s="306"/>
      <c r="CG2" s="306"/>
      <c r="CH2" s="306"/>
      <c r="CI2" s="306"/>
      <c r="CJ2" s="306"/>
      <c r="CK2" s="306"/>
      <c r="CL2" s="306"/>
      <c r="CM2" s="306"/>
      <c r="CN2" s="306"/>
      <c r="CO2" s="306"/>
      <c r="CP2" s="306"/>
      <c r="CQ2" s="306"/>
      <c r="CR2" s="306"/>
      <c r="CS2" s="306"/>
      <c r="CT2" s="306"/>
      <c r="CU2" s="306"/>
      <c r="CV2" s="306"/>
      <c r="CW2" s="306"/>
      <c r="CX2" s="306"/>
      <c r="CY2" s="306"/>
      <c r="CZ2" s="306"/>
      <c r="DA2" s="306"/>
      <c r="DB2" s="306"/>
      <c r="DC2" s="306"/>
      <c r="DD2" s="306"/>
      <c r="DE2" s="306"/>
      <c r="DF2" s="306"/>
      <c r="DG2" s="306"/>
      <c r="DH2" s="306"/>
      <c r="DI2" s="306"/>
      <c r="DJ2" s="306"/>
      <c r="DK2" s="306"/>
      <c r="DL2" s="306"/>
      <c r="DM2" s="306"/>
      <c r="DN2" s="306"/>
      <c r="DO2" s="306"/>
      <c r="DP2" s="306"/>
      <c r="DQ2" s="306"/>
      <c r="DR2" s="306"/>
      <c r="DS2" s="306"/>
      <c r="DT2" s="306"/>
    </row>
    <row r="3" spans="1:124" s="55" customFormat="1" ht="13.5" customHeight="1" x14ac:dyDescent="0.2">
      <c r="B3" s="120" t="str">
        <f>CONCATENATE("ESTABLECIMIENTO/ESTRATEGIA: ",NOMBRE!$B$3," - ","( ",NOMBRE!$C$3,NOMBRE!$D$3,NOMBRE!$E$3,NOMBRE!$F$3,NOMBRE!$G$3,NOMBRE!$H$3," )")</f>
        <v>ESTABLECIMIENTO/ESTRATEGIA:  - (  )</v>
      </c>
      <c r="E3" s="121"/>
      <c r="BB3" s="306"/>
      <c r="BC3" s="306"/>
      <c r="BD3" s="306"/>
      <c r="BE3" s="306"/>
      <c r="BF3" s="306"/>
      <c r="BG3" s="306"/>
      <c r="BH3" s="306"/>
      <c r="BI3" s="306"/>
      <c r="BJ3" s="306"/>
      <c r="BK3" s="306"/>
      <c r="BL3" s="306"/>
      <c r="BM3" s="306"/>
      <c r="BN3" s="306"/>
      <c r="BO3" s="306"/>
      <c r="BP3" s="306"/>
      <c r="BQ3" s="306"/>
      <c r="BR3" s="306"/>
      <c r="BS3" s="306"/>
      <c r="BT3" s="306"/>
      <c r="BU3" s="306"/>
      <c r="BV3" s="306"/>
      <c r="BW3" s="306"/>
      <c r="BX3" s="306"/>
      <c r="BY3" s="306"/>
      <c r="BZ3" s="306"/>
      <c r="CA3" s="306"/>
      <c r="CB3" s="306"/>
      <c r="CC3" s="306"/>
      <c r="CD3" s="306"/>
      <c r="CE3" s="306"/>
      <c r="CF3" s="306"/>
      <c r="CG3" s="306"/>
      <c r="CH3" s="306"/>
      <c r="CI3" s="306"/>
      <c r="CJ3" s="306"/>
      <c r="CK3" s="306"/>
      <c r="CL3" s="306"/>
      <c r="CM3" s="306"/>
      <c r="CN3" s="306"/>
      <c r="CO3" s="306"/>
      <c r="CP3" s="306"/>
      <c r="CQ3" s="306"/>
      <c r="CR3" s="306"/>
      <c r="CS3" s="306"/>
      <c r="CT3" s="306"/>
      <c r="CU3" s="306"/>
      <c r="CV3" s="306"/>
      <c r="CW3" s="306"/>
      <c r="CX3" s="306"/>
      <c r="CY3" s="306"/>
      <c r="CZ3" s="306"/>
      <c r="DA3" s="306"/>
      <c r="DB3" s="306"/>
      <c r="DC3" s="306"/>
      <c r="DD3" s="306"/>
      <c r="DE3" s="306"/>
      <c r="DF3" s="306"/>
      <c r="DG3" s="306"/>
      <c r="DH3" s="306"/>
      <c r="DI3" s="306"/>
      <c r="DJ3" s="306"/>
      <c r="DK3" s="306"/>
      <c r="DL3" s="306"/>
      <c r="DM3" s="306"/>
      <c r="DN3" s="306"/>
      <c r="DO3" s="306"/>
      <c r="DP3" s="306"/>
      <c r="DQ3" s="306"/>
      <c r="DR3" s="306"/>
      <c r="DS3" s="306"/>
      <c r="DT3" s="306"/>
    </row>
    <row r="4" spans="1:124" s="55" customFormat="1" ht="13.5" customHeight="1" x14ac:dyDescent="0.2">
      <c r="B4" s="120" t="str">
        <f>CONCATENATE("MES: ",NOMBRE!$B$6," - ","( ",NOMBRE!$C$6,NOMBRE!$D$6," )")</f>
        <v>MES:  - (  )</v>
      </c>
      <c r="BB4" s="306"/>
      <c r="BC4" s="306"/>
      <c r="BD4" s="306"/>
      <c r="BE4" s="306"/>
      <c r="BF4" s="306"/>
      <c r="BG4" s="306"/>
      <c r="BH4" s="306"/>
      <c r="BI4" s="306"/>
      <c r="BJ4" s="306"/>
      <c r="BK4" s="306"/>
      <c r="BL4" s="306"/>
      <c r="BM4" s="306"/>
      <c r="BN4" s="306"/>
      <c r="BO4" s="306"/>
      <c r="BP4" s="306"/>
      <c r="BQ4" s="306"/>
      <c r="BR4" s="306"/>
      <c r="BS4" s="306"/>
      <c r="BT4" s="306"/>
      <c r="BU4" s="306"/>
      <c r="BV4" s="306"/>
      <c r="BW4" s="306"/>
      <c r="BX4" s="306"/>
      <c r="BY4" s="306"/>
      <c r="BZ4" s="306"/>
      <c r="CA4" s="306"/>
      <c r="CB4" s="306"/>
      <c r="CC4" s="306"/>
      <c r="CD4" s="306"/>
      <c r="CE4" s="306"/>
      <c r="CF4" s="306"/>
      <c r="CG4" s="306"/>
      <c r="CH4" s="306"/>
      <c r="CI4" s="306"/>
      <c r="CJ4" s="306"/>
      <c r="CK4" s="306"/>
      <c r="CL4" s="306"/>
      <c r="CM4" s="306"/>
      <c r="CN4" s="306"/>
      <c r="CO4" s="306"/>
      <c r="CP4" s="306"/>
      <c r="CQ4" s="306"/>
      <c r="CR4" s="306"/>
      <c r="CS4" s="306"/>
      <c r="CT4" s="306"/>
      <c r="CU4" s="306"/>
      <c r="CV4" s="306"/>
      <c r="CW4" s="306"/>
      <c r="CX4" s="306"/>
      <c r="CY4" s="306"/>
      <c r="CZ4" s="306"/>
      <c r="DA4" s="306"/>
      <c r="DB4" s="306"/>
      <c r="DC4" s="306"/>
      <c r="DD4" s="306"/>
      <c r="DE4" s="306"/>
      <c r="DF4" s="306"/>
      <c r="DG4" s="306"/>
      <c r="DH4" s="306"/>
      <c r="DI4" s="306"/>
      <c r="DJ4" s="306"/>
      <c r="DK4" s="306"/>
      <c r="DL4" s="306"/>
      <c r="DM4" s="306"/>
      <c r="DN4" s="306"/>
      <c r="DO4" s="306"/>
      <c r="DP4" s="306"/>
      <c r="DQ4" s="306"/>
      <c r="DR4" s="306"/>
      <c r="DS4" s="306"/>
      <c r="DT4" s="306"/>
    </row>
    <row r="5" spans="1:124" s="55" customFormat="1" ht="13.5" customHeight="1" x14ac:dyDescent="0.2">
      <c r="B5" s="120" t="str">
        <f>CONCATENATE("AÑO: ",NOMBRE!$B$7)</f>
        <v>AÑO: 2023</v>
      </c>
      <c r="BB5" s="306"/>
      <c r="BC5" s="306"/>
      <c r="BD5" s="306"/>
      <c r="BE5" s="306"/>
      <c r="BF5" s="306"/>
      <c r="BG5" s="306"/>
      <c r="BH5" s="306"/>
      <c r="BI5" s="306"/>
      <c r="BJ5" s="306"/>
      <c r="BK5" s="306"/>
      <c r="BL5" s="306"/>
      <c r="BM5" s="306"/>
      <c r="BN5" s="306"/>
      <c r="BO5" s="306"/>
      <c r="BP5" s="306"/>
      <c r="BQ5" s="306"/>
      <c r="BR5" s="306"/>
      <c r="BS5" s="306"/>
      <c r="BT5" s="306"/>
      <c r="BU5" s="306"/>
      <c r="BV5" s="306"/>
      <c r="BW5" s="306"/>
      <c r="BX5" s="306"/>
      <c r="BY5" s="306"/>
      <c r="BZ5" s="306"/>
      <c r="CA5" s="306"/>
      <c r="CB5" s="306"/>
      <c r="CC5" s="306"/>
      <c r="CD5" s="306"/>
      <c r="CE5" s="306"/>
      <c r="CF5" s="306"/>
      <c r="CG5" s="306"/>
      <c r="CH5" s="306"/>
      <c r="CI5" s="306"/>
      <c r="CJ5" s="306"/>
      <c r="CK5" s="306"/>
      <c r="CL5" s="306"/>
      <c r="CM5" s="306"/>
      <c r="CN5" s="306"/>
      <c r="CO5" s="306"/>
      <c r="CP5" s="306"/>
      <c r="CQ5" s="306"/>
      <c r="CR5" s="306"/>
      <c r="CS5" s="306"/>
      <c r="CT5" s="306"/>
      <c r="CU5" s="306"/>
      <c r="CV5" s="306"/>
      <c r="CW5" s="306"/>
      <c r="CX5" s="306"/>
      <c r="CY5" s="306"/>
      <c r="CZ5" s="306"/>
      <c r="DA5" s="306"/>
      <c r="DB5" s="306"/>
      <c r="DC5" s="306"/>
      <c r="DD5" s="306"/>
      <c r="DE5" s="306"/>
      <c r="DF5" s="306"/>
      <c r="DG5" s="306"/>
      <c r="DH5" s="306"/>
      <c r="DI5" s="306"/>
      <c r="DJ5" s="306"/>
      <c r="DK5" s="306"/>
      <c r="DL5" s="306"/>
      <c r="DM5" s="306"/>
      <c r="DN5" s="306"/>
      <c r="DO5" s="306"/>
      <c r="DP5" s="306"/>
      <c r="DQ5" s="306"/>
      <c r="DR5" s="306"/>
      <c r="DS5" s="306"/>
      <c r="DT5" s="306"/>
    </row>
    <row r="6" spans="1:124" s="55" customFormat="1" ht="15" customHeight="1" x14ac:dyDescent="0.2">
      <c r="B6" s="151"/>
      <c r="AA6" s="175"/>
      <c r="BB6" s="306"/>
      <c r="BC6" s="306"/>
      <c r="BD6" s="306"/>
      <c r="BE6" s="306"/>
      <c r="BF6" s="306"/>
      <c r="BG6" s="306"/>
      <c r="BH6" s="306"/>
      <c r="BI6" s="306"/>
      <c r="BJ6" s="306"/>
      <c r="BK6" s="306"/>
      <c r="BL6" s="306"/>
      <c r="BM6" s="306"/>
      <c r="BN6" s="306"/>
      <c r="BO6" s="306"/>
      <c r="BP6" s="306"/>
      <c r="BQ6" s="306"/>
      <c r="BR6" s="306"/>
      <c r="BS6" s="306"/>
      <c r="BT6" s="306"/>
      <c r="BU6" s="306"/>
      <c r="BV6" s="306"/>
      <c r="BW6" s="306"/>
      <c r="BX6" s="306"/>
      <c r="BY6" s="306"/>
      <c r="BZ6" s="306"/>
      <c r="CA6" s="306"/>
      <c r="CB6" s="306"/>
      <c r="CC6" s="306"/>
      <c r="CD6" s="306"/>
      <c r="CE6" s="306"/>
      <c r="CF6" s="306"/>
      <c r="CG6" s="306"/>
      <c r="CH6" s="306"/>
      <c r="CI6" s="306"/>
      <c r="CJ6" s="306"/>
      <c r="CK6" s="306"/>
      <c r="CL6" s="306"/>
      <c r="CM6" s="306"/>
      <c r="CN6" s="306"/>
      <c r="CO6" s="306"/>
      <c r="CP6" s="306"/>
      <c r="CQ6" s="306"/>
      <c r="CR6" s="306"/>
      <c r="CS6" s="306"/>
      <c r="CT6" s="306"/>
      <c r="CU6" s="306"/>
      <c r="CV6" s="306"/>
      <c r="CW6" s="306"/>
      <c r="CX6" s="306"/>
      <c r="CY6" s="306"/>
      <c r="CZ6" s="306"/>
      <c r="DA6" s="306"/>
      <c r="DB6" s="306"/>
      <c r="DC6" s="306"/>
      <c r="DD6" s="306"/>
      <c r="DE6" s="306"/>
      <c r="DF6" s="306"/>
      <c r="DG6" s="306"/>
      <c r="DH6" s="306"/>
      <c r="DI6" s="306"/>
      <c r="DJ6" s="306"/>
      <c r="DK6" s="306"/>
      <c r="DL6" s="306"/>
      <c r="DM6" s="306"/>
      <c r="DN6" s="306"/>
      <c r="DO6" s="306"/>
      <c r="DP6" s="306"/>
      <c r="DQ6" s="306"/>
      <c r="DR6" s="306"/>
      <c r="DS6" s="306"/>
      <c r="DT6" s="306"/>
    </row>
    <row r="7" spans="1:124" ht="21.75" customHeight="1" x14ac:dyDescent="0.2">
      <c r="B7" s="2177" t="s">
        <v>503</v>
      </c>
      <c r="C7" s="2177"/>
      <c r="D7" s="2177"/>
      <c r="E7" s="2177"/>
      <c r="F7" s="2177"/>
      <c r="G7" s="2177"/>
      <c r="H7" s="2177"/>
      <c r="I7" s="2177"/>
      <c r="J7" s="2177"/>
      <c r="K7" s="2177"/>
      <c r="L7" s="2177"/>
      <c r="M7" s="2177"/>
      <c r="N7" s="2177"/>
      <c r="O7" s="2177"/>
      <c r="P7" s="2177"/>
      <c r="Q7" s="2177"/>
      <c r="R7" s="2177"/>
      <c r="S7" s="2177"/>
      <c r="T7" s="2177"/>
      <c r="U7" s="2177"/>
      <c r="V7" s="2177"/>
      <c r="BB7" s="354"/>
      <c r="BC7" s="354"/>
      <c r="BD7" s="354"/>
      <c r="BE7" s="354"/>
      <c r="BF7" s="354"/>
      <c r="BG7" s="354"/>
      <c r="BH7" s="354"/>
      <c r="BI7" s="354"/>
      <c r="BJ7" s="354"/>
      <c r="BK7" s="354"/>
      <c r="BL7" s="354"/>
      <c r="BM7" s="354"/>
      <c r="BN7" s="354"/>
      <c r="BO7" s="354"/>
      <c r="BP7" s="354"/>
      <c r="BQ7" s="354"/>
      <c r="BR7" s="354"/>
      <c r="BS7" s="354"/>
      <c r="BT7" s="354"/>
      <c r="BU7" s="354"/>
      <c r="BV7" s="354"/>
      <c r="BW7" s="354"/>
      <c r="BX7" s="354"/>
      <c r="BY7" s="354"/>
      <c r="BZ7" s="354"/>
      <c r="CA7" s="354"/>
      <c r="CB7" s="354"/>
      <c r="CC7" s="354"/>
      <c r="CD7" s="354"/>
      <c r="CE7" s="354"/>
      <c r="CF7" s="354"/>
      <c r="CG7" s="354"/>
      <c r="CH7" s="354"/>
      <c r="CI7" s="354"/>
      <c r="CJ7" s="354"/>
      <c r="CK7" s="354"/>
      <c r="CL7" s="354"/>
      <c r="CM7" s="354"/>
      <c r="CN7" s="354"/>
      <c r="CO7" s="354"/>
      <c r="CP7" s="354"/>
      <c r="CQ7" s="354"/>
      <c r="CR7" s="354"/>
      <c r="CS7" s="354"/>
      <c r="CT7" s="354"/>
      <c r="CU7" s="354"/>
      <c r="CV7" s="354"/>
      <c r="CW7" s="354"/>
      <c r="CX7" s="354"/>
      <c r="CY7" s="354"/>
      <c r="CZ7" s="354"/>
      <c r="DA7" s="354"/>
      <c r="DB7" s="354"/>
      <c r="DC7" s="354"/>
      <c r="DD7" s="354"/>
      <c r="DE7" s="354"/>
      <c r="DF7" s="354"/>
      <c r="DG7" s="354"/>
      <c r="DH7" s="354"/>
      <c r="DI7" s="354"/>
      <c r="DJ7" s="354"/>
      <c r="DK7" s="354"/>
      <c r="DL7" s="354"/>
      <c r="DM7" s="354"/>
      <c r="DN7" s="354"/>
      <c r="DO7" s="354"/>
      <c r="DP7" s="354"/>
      <c r="DQ7" s="354"/>
      <c r="DR7" s="354"/>
      <c r="DS7" s="354"/>
      <c r="DT7" s="354"/>
    </row>
    <row r="8" spans="1:124" ht="43.5" customHeight="1" x14ac:dyDescent="0.3">
      <c r="B8" s="442" t="s">
        <v>156</v>
      </c>
      <c r="C8" s="442"/>
      <c r="D8" s="433"/>
      <c r="E8" s="433"/>
      <c r="F8" s="433"/>
      <c r="G8" s="433"/>
      <c r="H8" s="433"/>
      <c r="I8" s="433"/>
      <c r="J8" s="433"/>
      <c r="K8" s="433"/>
      <c r="L8" s="433"/>
      <c r="M8" s="433"/>
      <c r="N8" s="433"/>
      <c r="O8" s="153"/>
      <c r="P8" s="433"/>
      <c r="Q8" s="433"/>
      <c r="R8" s="141"/>
      <c r="U8" s="434"/>
      <c r="BB8" s="354"/>
      <c r="BC8" s="354"/>
      <c r="BD8" s="354"/>
      <c r="BE8" s="354"/>
      <c r="BF8" s="354"/>
      <c r="BG8" s="354"/>
      <c r="BH8" s="354"/>
      <c r="BI8" s="354"/>
      <c r="BJ8" s="354"/>
      <c r="BK8" s="354"/>
      <c r="BL8" s="354"/>
      <c r="BM8" s="354"/>
      <c r="BN8" s="354"/>
      <c r="BO8" s="354"/>
      <c r="BP8" s="354"/>
      <c r="BQ8" s="354"/>
      <c r="BR8" s="354"/>
      <c r="BS8" s="354"/>
      <c r="BT8" s="354"/>
      <c r="BU8" s="354"/>
      <c r="BV8" s="354"/>
      <c r="BW8" s="354"/>
      <c r="BX8" s="354"/>
      <c r="BY8" s="354"/>
      <c r="BZ8" s="354"/>
      <c r="CA8" s="354"/>
      <c r="CB8" s="354"/>
      <c r="CC8" s="354"/>
      <c r="CD8" s="354"/>
      <c r="CE8" s="354"/>
      <c r="CF8" s="354"/>
      <c r="CG8" s="354"/>
      <c r="CH8" s="354"/>
      <c r="CI8" s="354"/>
      <c r="CJ8" s="354"/>
      <c r="CK8" s="354"/>
      <c r="CL8" s="354"/>
      <c r="CM8" s="354"/>
      <c r="CN8" s="354"/>
      <c r="CO8" s="354"/>
      <c r="CP8" s="354"/>
      <c r="CQ8" s="354"/>
      <c r="CR8" s="354"/>
      <c r="CS8" s="354"/>
      <c r="CT8" s="354"/>
      <c r="CU8" s="354"/>
      <c r="CV8" s="354"/>
      <c r="CW8" s="354"/>
      <c r="CX8" s="354"/>
      <c r="CY8" s="354"/>
      <c r="CZ8" s="354"/>
      <c r="DA8" s="354"/>
      <c r="DB8" s="354"/>
      <c r="DC8" s="354"/>
      <c r="DD8" s="354"/>
      <c r="DE8" s="354"/>
      <c r="DF8" s="354"/>
      <c r="DG8" s="354"/>
      <c r="DH8" s="354"/>
      <c r="DI8" s="354"/>
      <c r="DJ8" s="354"/>
      <c r="DK8" s="354"/>
      <c r="DL8" s="354"/>
      <c r="DM8" s="354"/>
      <c r="DN8" s="354"/>
      <c r="DO8" s="354"/>
      <c r="DP8" s="354"/>
      <c r="DQ8" s="354"/>
      <c r="DR8" s="354"/>
      <c r="DS8" s="354"/>
      <c r="DT8" s="354"/>
    </row>
    <row r="9" spans="1:124" ht="13.5" customHeight="1" x14ac:dyDescent="0.2">
      <c r="B9" s="2178" t="s">
        <v>151</v>
      </c>
      <c r="C9" s="2179"/>
      <c r="D9" s="2184" t="s">
        <v>196</v>
      </c>
      <c r="E9" s="2185"/>
      <c r="F9" s="2179"/>
      <c r="G9" s="2148" t="s">
        <v>126</v>
      </c>
      <c r="H9" s="2187"/>
      <c r="I9" s="2187"/>
      <c r="J9" s="2187"/>
      <c r="K9" s="2187"/>
      <c r="L9" s="2187"/>
      <c r="M9" s="2187"/>
      <c r="N9" s="2187"/>
      <c r="O9" s="2187"/>
      <c r="P9" s="2187"/>
      <c r="Q9" s="2187"/>
      <c r="R9" s="2187"/>
      <c r="S9" s="2187"/>
      <c r="T9" s="2187"/>
      <c r="U9" s="2187"/>
      <c r="V9" s="2187"/>
      <c r="W9" s="2187"/>
      <c r="X9" s="2187"/>
      <c r="Y9" s="2187"/>
      <c r="Z9" s="2187"/>
      <c r="AA9" s="2187"/>
      <c r="AB9" s="2187"/>
      <c r="AC9" s="2187"/>
      <c r="AD9" s="2187"/>
      <c r="AE9" s="2187"/>
      <c r="AF9" s="2187"/>
      <c r="AG9" s="2187"/>
      <c r="AH9" s="2187"/>
      <c r="AI9" s="2238" t="s">
        <v>15</v>
      </c>
      <c r="AJ9" s="1864"/>
      <c r="AK9" s="1864" t="s">
        <v>804</v>
      </c>
      <c r="AL9" s="1864"/>
      <c r="AM9" s="2053" t="s">
        <v>157</v>
      </c>
      <c r="AN9" s="359"/>
      <c r="AO9" s="319"/>
      <c r="AP9" s="319"/>
      <c r="AQ9" s="319"/>
      <c r="AR9" s="319"/>
      <c r="AS9" s="319"/>
      <c r="AT9" s="319"/>
      <c r="AU9" s="319"/>
      <c r="AV9" s="319"/>
      <c r="AW9" s="319"/>
      <c r="AX9" s="319"/>
      <c r="AY9" s="319"/>
      <c r="AZ9" s="319"/>
      <c r="BA9" s="319"/>
      <c r="BB9" s="360"/>
      <c r="BC9" s="360"/>
      <c r="BD9" s="354"/>
      <c r="BE9" s="2165" t="s">
        <v>15</v>
      </c>
      <c r="BF9" s="2165"/>
      <c r="BG9" s="2165" t="s">
        <v>465</v>
      </c>
      <c r="BH9" s="2165"/>
      <c r="BI9" s="2165" t="s">
        <v>157</v>
      </c>
      <c r="BJ9" s="354"/>
      <c r="BK9" s="2165" t="s">
        <v>15</v>
      </c>
      <c r="BL9" s="2165" t="s">
        <v>465</v>
      </c>
      <c r="BM9" s="354"/>
      <c r="BN9" s="354"/>
      <c r="BO9" s="354"/>
      <c r="BP9" s="354"/>
      <c r="BQ9" s="354"/>
      <c r="BR9" s="354"/>
      <c r="BS9" s="354"/>
      <c r="BT9" s="354"/>
      <c r="BU9" s="354"/>
      <c r="BV9" s="354"/>
      <c r="BW9" s="354"/>
      <c r="BX9" s="354"/>
      <c r="BY9" s="354"/>
      <c r="BZ9" s="354"/>
      <c r="CA9" s="354"/>
      <c r="CB9" s="354"/>
      <c r="CC9" s="354"/>
      <c r="CD9" s="354"/>
      <c r="CE9" s="354"/>
      <c r="CF9" s="354"/>
      <c r="CG9" s="354"/>
      <c r="CH9" s="354"/>
      <c r="CI9" s="354"/>
      <c r="CJ9" s="354"/>
      <c r="CK9" s="354"/>
      <c r="CL9" s="354"/>
      <c r="CM9" s="354"/>
      <c r="CN9" s="354"/>
      <c r="CO9" s="354"/>
      <c r="CP9" s="354"/>
      <c r="CQ9" s="354"/>
      <c r="CR9" s="354"/>
      <c r="CS9" s="354"/>
      <c r="CT9" s="354"/>
      <c r="CU9" s="354"/>
      <c r="CV9" s="354"/>
      <c r="CW9" s="354"/>
      <c r="CX9" s="354"/>
      <c r="CY9" s="354"/>
      <c r="CZ9" s="354"/>
      <c r="DA9" s="354"/>
      <c r="DB9" s="354"/>
      <c r="DC9" s="354"/>
      <c r="DD9" s="354"/>
      <c r="DE9" s="354"/>
      <c r="DF9" s="354"/>
      <c r="DG9" s="354"/>
      <c r="DH9" s="354"/>
      <c r="DI9" s="354"/>
      <c r="DJ9" s="354"/>
      <c r="DK9" s="354"/>
      <c r="DL9" s="354"/>
      <c r="DM9" s="354"/>
      <c r="DN9" s="354"/>
      <c r="DO9" s="354"/>
      <c r="DP9" s="354"/>
      <c r="DQ9" s="354"/>
      <c r="DR9" s="354"/>
      <c r="DS9" s="354"/>
      <c r="DT9" s="354"/>
    </row>
    <row r="10" spans="1:124" ht="18.75" customHeight="1" x14ac:dyDescent="0.2">
      <c r="B10" s="2180"/>
      <c r="C10" s="2181"/>
      <c r="D10" s="2182"/>
      <c r="E10" s="2186"/>
      <c r="F10" s="2183"/>
      <c r="G10" s="2188" t="s">
        <v>17</v>
      </c>
      <c r="H10" s="2189"/>
      <c r="I10" s="2188" t="s">
        <v>18</v>
      </c>
      <c r="J10" s="2189"/>
      <c r="K10" s="2112" t="s">
        <v>19</v>
      </c>
      <c r="L10" s="2112"/>
      <c r="M10" s="2114" t="s">
        <v>20</v>
      </c>
      <c r="N10" s="2115"/>
      <c r="O10" s="2112" t="s">
        <v>21</v>
      </c>
      <c r="P10" s="2112"/>
      <c r="Q10" s="2114" t="s">
        <v>22</v>
      </c>
      <c r="R10" s="2115"/>
      <c r="S10" s="2112" t="s">
        <v>23</v>
      </c>
      <c r="T10" s="2112"/>
      <c r="U10" s="2114" t="s">
        <v>24</v>
      </c>
      <c r="V10" s="2115"/>
      <c r="W10" s="2112" t="s">
        <v>208</v>
      </c>
      <c r="X10" s="2112"/>
      <c r="Y10" s="2114" t="s">
        <v>209</v>
      </c>
      <c r="Z10" s="2115"/>
      <c r="AA10" s="2117" t="s">
        <v>181</v>
      </c>
      <c r="AB10" s="2118"/>
      <c r="AC10" s="2117" t="s">
        <v>182</v>
      </c>
      <c r="AD10" s="2118"/>
      <c r="AE10" s="2117" t="s">
        <v>183</v>
      </c>
      <c r="AF10" s="2118"/>
      <c r="AG10" s="2117" t="s">
        <v>195</v>
      </c>
      <c r="AH10" s="2162"/>
      <c r="AI10" s="2239"/>
      <c r="AJ10" s="1865"/>
      <c r="AK10" s="1865"/>
      <c r="AL10" s="1865"/>
      <c r="AM10" s="2176"/>
      <c r="AN10" s="336"/>
      <c r="AO10" s="336"/>
      <c r="AP10" s="319"/>
      <c r="AQ10" s="319"/>
      <c r="AR10" s="319"/>
      <c r="AS10" s="319"/>
      <c r="AT10" s="319"/>
      <c r="AU10" s="319"/>
      <c r="AV10" s="319"/>
      <c r="AW10" s="319"/>
      <c r="AX10" s="319"/>
      <c r="AY10" s="319"/>
      <c r="AZ10" s="319"/>
      <c r="BA10" s="319"/>
      <c r="BB10" s="360"/>
      <c r="BC10" s="360"/>
      <c r="BD10" s="354"/>
      <c r="BE10" s="2165"/>
      <c r="BF10" s="2165"/>
      <c r="BG10" s="2165"/>
      <c r="BH10" s="2165"/>
      <c r="BI10" s="2165"/>
      <c r="BJ10" s="354"/>
      <c r="BK10" s="2165"/>
      <c r="BL10" s="2165"/>
      <c r="BM10" s="354"/>
      <c r="BN10" s="354"/>
      <c r="BO10" s="354"/>
      <c r="BP10" s="354"/>
      <c r="BQ10" s="354"/>
      <c r="BR10" s="354"/>
      <c r="BS10" s="354"/>
      <c r="BT10" s="354"/>
      <c r="BU10" s="354"/>
      <c r="BV10" s="354"/>
      <c r="BW10" s="354"/>
      <c r="BX10" s="354"/>
      <c r="BY10" s="354"/>
      <c r="BZ10" s="354"/>
      <c r="CA10" s="354"/>
      <c r="CB10" s="354"/>
      <c r="CC10" s="354"/>
      <c r="CD10" s="354"/>
      <c r="CE10" s="354"/>
      <c r="CF10" s="354"/>
      <c r="CG10" s="354"/>
      <c r="CH10" s="354"/>
      <c r="CI10" s="354"/>
      <c r="CJ10" s="354"/>
      <c r="CK10" s="354"/>
      <c r="CL10" s="354"/>
      <c r="CM10" s="354"/>
      <c r="CN10" s="354"/>
      <c r="CO10" s="354"/>
      <c r="CP10" s="354"/>
      <c r="CQ10" s="354"/>
      <c r="CR10" s="354"/>
      <c r="CS10" s="354"/>
      <c r="CT10" s="354"/>
      <c r="CU10" s="354"/>
      <c r="CV10" s="354"/>
      <c r="CW10" s="354"/>
      <c r="CX10" s="354"/>
      <c r="CY10" s="354"/>
      <c r="CZ10" s="354"/>
      <c r="DA10" s="354"/>
      <c r="DB10" s="354"/>
      <c r="DC10" s="354"/>
      <c r="DD10" s="354"/>
      <c r="DE10" s="354"/>
      <c r="DF10" s="354"/>
      <c r="DG10" s="354"/>
      <c r="DH10" s="354"/>
      <c r="DI10" s="354"/>
      <c r="DJ10" s="354"/>
      <c r="DK10" s="354"/>
      <c r="DL10" s="354"/>
      <c r="DM10" s="354"/>
      <c r="DN10" s="354"/>
      <c r="DO10" s="354"/>
      <c r="DP10" s="354"/>
      <c r="DQ10" s="354"/>
      <c r="DR10" s="354"/>
      <c r="DS10" s="354"/>
      <c r="DT10" s="354"/>
    </row>
    <row r="11" spans="1:124" ht="23.25" customHeight="1" x14ac:dyDescent="0.2">
      <c r="B11" s="2182"/>
      <c r="C11" s="2183"/>
      <c r="D11" s="125" t="s">
        <v>369</v>
      </c>
      <c r="E11" s="152" t="s">
        <v>31</v>
      </c>
      <c r="F11" s="330" t="s">
        <v>94</v>
      </c>
      <c r="G11" s="145" t="s">
        <v>31</v>
      </c>
      <c r="H11" s="330" t="s">
        <v>94</v>
      </c>
      <c r="I11" s="145" t="s">
        <v>31</v>
      </c>
      <c r="J11" s="330" t="s">
        <v>94</v>
      </c>
      <c r="K11" s="145" t="s">
        <v>31</v>
      </c>
      <c r="L11" s="330" t="s">
        <v>94</v>
      </c>
      <c r="M11" s="145" t="s">
        <v>31</v>
      </c>
      <c r="N11" s="330" t="s">
        <v>94</v>
      </c>
      <c r="O11" s="145" t="s">
        <v>31</v>
      </c>
      <c r="P11" s="330" t="s">
        <v>94</v>
      </c>
      <c r="Q11" s="145" t="s">
        <v>31</v>
      </c>
      <c r="R11" s="330" t="s">
        <v>94</v>
      </c>
      <c r="S11" s="145" t="s">
        <v>31</v>
      </c>
      <c r="T11" s="330" t="s">
        <v>94</v>
      </c>
      <c r="U11" s="145" t="s">
        <v>31</v>
      </c>
      <c r="V11" s="330" t="s">
        <v>94</v>
      </c>
      <c r="W11" s="145" t="s">
        <v>31</v>
      </c>
      <c r="X11" s="330" t="s">
        <v>94</v>
      </c>
      <c r="Y11" s="145" t="s">
        <v>31</v>
      </c>
      <c r="Z11" s="330" t="s">
        <v>94</v>
      </c>
      <c r="AA11" s="145" t="s">
        <v>129</v>
      </c>
      <c r="AB11" s="330" t="s">
        <v>94</v>
      </c>
      <c r="AC11" s="145" t="s">
        <v>129</v>
      </c>
      <c r="AD11" s="330" t="s">
        <v>94</v>
      </c>
      <c r="AE11" s="145" t="s">
        <v>129</v>
      </c>
      <c r="AF11" s="330" t="s">
        <v>94</v>
      </c>
      <c r="AG11" s="131" t="s">
        <v>129</v>
      </c>
      <c r="AH11" s="133" t="s">
        <v>94</v>
      </c>
      <c r="AI11" s="1052" t="s">
        <v>31</v>
      </c>
      <c r="AJ11" s="1053" t="s">
        <v>94</v>
      </c>
      <c r="AK11" s="1053" t="s">
        <v>31</v>
      </c>
      <c r="AL11" s="1053" t="s">
        <v>94</v>
      </c>
      <c r="AM11" s="2055"/>
      <c r="AN11" s="153"/>
      <c r="AO11" s="153"/>
      <c r="AP11" s="319"/>
      <c r="AQ11" s="319"/>
      <c r="AR11" s="319"/>
      <c r="AS11" s="319"/>
      <c r="AT11" s="319"/>
      <c r="AU11" s="319"/>
      <c r="AV11" s="319"/>
      <c r="AW11" s="319"/>
      <c r="AX11" s="319"/>
      <c r="AY11" s="319"/>
      <c r="AZ11" s="319"/>
      <c r="BA11" s="319"/>
      <c r="BB11" s="360"/>
      <c r="BC11" s="360"/>
      <c r="BD11" s="354"/>
      <c r="BE11" s="901" t="s">
        <v>31</v>
      </c>
      <c r="BF11" s="901" t="s">
        <v>94</v>
      </c>
      <c r="BG11" s="901" t="s">
        <v>31</v>
      </c>
      <c r="BH11" s="901" t="s">
        <v>94</v>
      </c>
      <c r="BI11" s="2165"/>
      <c r="BJ11" s="354"/>
      <c r="BK11" s="899" t="s">
        <v>540</v>
      </c>
      <c r="BL11" s="899" t="s">
        <v>540</v>
      </c>
      <c r="BM11" s="354"/>
      <c r="BN11" s="354"/>
      <c r="BO11" s="354"/>
      <c r="BP11" s="354"/>
      <c r="BQ11" s="354"/>
      <c r="BR11" s="354"/>
      <c r="BS11" s="354"/>
      <c r="BT11" s="354"/>
      <c r="BU11" s="354"/>
      <c r="BV11" s="354"/>
      <c r="BW11" s="354"/>
      <c r="BX11" s="354"/>
      <c r="BY11" s="354"/>
      <c r="BZ11" s="354"/>
      <c r="CA11" s="354"/>
      <c r="CB11" s="354"/>
      <c r="CC11" s="354"/>
      <c r="CD11" s="354"/>
      <c r="CE11" s="354"/>
      <c r="CF11" s="354"/>
      <c r="CG11" s="354"/>
      <c r="CH11" s="354"/>
      <c r="CI11" s="354"/>
      <c r="CJ11" s="354"/>
      <c r="CK11" s="354"/>
      <c r="CL11" s="354"/>
      <c r="CM11" s="354"/>
      <c r="CN11" s="354"/>
      <c r="CO11" s="354"/>
      <c r="CP11" s="354"/>
      <c r="CQ11" s="354"/>
      <c r="CR11" s="354"/>
      <c r="CS11" s="354"/>
      <c r="CT11" s="354"/>
      <c r="CU11" s="354"/>
      <c r="CV11" s="354"/>
      <c r="CW11" s="354"/>
      <c r="CX11" s="354"/>
      <c r="CY11" s="354"/>
      <c r="CZ11" s="354"/>
      <c r="DA11" s="354"/>
      <c r="DB11" s="354"/>
      <c r="DC11" s="354"/>
      <c r="DD11" s="354"/>
      <c r="DE11" s="354"/>
      <c r="DF11" s="354"/>
      <c r="DG11" s="354"/>
      <c r="DH11" s="354"/>
      <c r="DI11" s="354"/>
      <c r="DJ11" s="354"/>
      <c r="DK11" s="354"/>
      <c r="DL11" s="354"/>
      <c r="DM11" s="354"/>
      <c r="DN11" s="354"/>
      <c r="DO11" s="354"/>
      <c r="DP11" s="354"/>
      <c r="DQ11" s="354"/>
      <c r="DR11" s="354"/>
      <c r="DS11" s="354"/>
      <c r="DT11" s="354"/>
    </row>
    <row r="12" spans="1:124" ht="22.5" customHeight="1" x14ac:dyDescent="0.25">
      <c r="A12" s="1641" t="s">
        <v>1192</v>
      </c>
      <c r="B12" s="2236" t="s">
        <v>158</v>
      </c>
      <c r="C12" s="2237"/>
      <c r="D12" s="721" t="s">
        <v>1550</v>
      </c>
      <c r="E12" s="734" t="s">
        <v>1551</v>
      </c>
      <c r="F12" s="735" t="s">
        <v>1552</v>
      </c>
      <c r="G12" s="721" t="s">
        <v>1553</v>
      </c>
      <c r="H12" s="735" t="s">
        <v>1554</v>
      </c>
      <c r="I12" s="721" t="s">
        <v>1555</v>
      </c>
      <c r="J12" s="735" t="s">
        <v>1556</v>
      </c>
      <c r="K12" s="721" t="s">
        <v>1557</v>
      </c>
      <c r="L12" s="735" t="s">
        <v>1558</v>
      </c>
      <c r="M12" s="721" t="s">
        <v>1559</v>
      </c>
      <c r="N12" s="735" t="s">
        <v>1560</v>
      </c>
      <c r="O12" s="721" t="s">
        <v>1561</v>
      </c>
      <c r="P12" s="735" t="s">
        <v>1562</v>
      </c>
      <c r="Q12" s="721" t="s">
        <v>1563</v>
      </c>
      <c r="R12" s="735" t="s">
        <v>1564</v>
      </c>
      <c r="S12" s="721" t="s">
        <v>1565</v>
      </c>
      <c r="T12" s="735" t="s">
        <v>1566</v>
      </c>
      <c r="U12" s="721" t="s">
        <v>1567</v>
      </c>
      <c r="V12" s="735" t="s">
        <v>1568</v>
      </c>
      <c r="W12" s="721" t="s">
        <v>1569</v>
      </c>
      <c r="X12" s="735" t="s">
        <v>1570</v>
      </c>
      <c r="Y12" s="721" t="s">
        <v>1571</v>
      </c>
      <c r="Z12" s="735" t="s">
        <v>1572</v>
      </c>
      <c r="AA12" s="721" t="s">
        <v>1573</v>
      </c>
      <c r="AB12" s="735" t="s">
        <v>1574</v>
      </c>
      <c r="AC12" s="721" t="s">
        <v>1575</v>
      </c>
      <c r="AD12" s="735" t="s">
        <v>1576</v>
      </c>
      <c r="AE12" s="721" t="s">
        <v>1577</v>
      </c>
      <c r="AF12" s="735" t="s">
        <v>1578</v>
      </c>
      <c r="AG12" s="721" t="s">
        <v>1579</v>
      </c>
      <c r="AH12" s="736" t="s">
        <v>1580</v>
      </c>
      <c r="AI12" s="755" t="s">
        <v>1581</v>
      </c>
      <c r="AJ12" s="1054" t="s">
        <v>1582</v>
      </c>
      <c r="AK12" s="1054" t="s">
        <v>1583</v>
      </c>
      <c r="AL12" s="1054" t="s">
        <v>1584</v>
      </c>
      <c r="AM12" s="1046" t="s">
        <v>1585</v>
      </c>
      <c r="AN12" s="1507"/>
      <c r="AO12" s="124"/>
      <c r="BB12" s="354"/>
      <c r="BC12" s="354"/>
      <c r="BD12" s="354"/>
      <c r="BE12" s="354"/>
      <c r="BF12" s="354"/>
      <c r="BG12" s="354"/>
      <c r="BH12" s="354"/>
      <c r="BI12" s="354"/>
      <c r="BJ12" s="354"/>
      <c r="BK12" s="354"/>
      <c r="BL12" s="354"/>
      <c r="BM12" s="354"/>
      <c r="BN12" s="354"/>
      <c r="BO12" s="354"/>
      <c r="BP12" s="354"/>
      <c r="BQ12" s="354"/>
      <c r="BR12" s="354"/>
      <c r="BS12" s="354"/>
      <c r="BT12" s="354"/>
      <c r="BU12" s="354"/>
      <c r="BV12" s="354"/>
      <c r="BW12" s="354"/>
      <c r="BX12" s="354"/>
      <c r="BY12" s="354"/>
      <c r="BZ12" s="354"/>
      <c r="CA12" s="354"/>
      <c r="CB12" s="354"/>
      <c r="CC12" s="354"/>
      <c r="CD12" s="354"/>
      <c r="CE12" s="354"/>
      <c r="CF12" s="354"/>
      <c r="CG12" s="354"/>
      <c r="CH12" s="354"/>
      <c r="CI12" s="354"/>
      <c r="CJ12" s="354"/>
      <c r="CK12" s="354"/>
      <c r="CL12" s="354"/>
      <c r="CM12" s="354"/>
      <c r="CN12" s="354"/>
      <c r="CO12" s="354"/>
      <c r="CP12" s="354"/>
      <c r="CQ12" s="354"/>
      <c r="CR12" s="354"/>
      <c r="CS12" s="354"/>
      <c r="CT12" s="354"/>
      <c r="CU12" s="354"/>
      <c r="CV12" s="354"/>
      <c r="CW12" s="354"/>
      <c r="CX12" s="354"/>
      <c r="CY12" s="354"/>
      <c r="CZ12" s="354"/>
      <c r="DA12" s="354"/>
      <c r="DB12" s="354"/>
      <c r="DC12" s="354"/>
      <c r="DD12" s="354"/>
      <c r="DE12" s="354"/>
      <c r="DF12" s="354"/>
      <c r="DG12" s="354"/>
      <c r="DH12" s="354"/>
      <c r="DI12" s="354"/>
      <c r="DJ12" s="354"/>
      <c r="DK12" s="354"/>
      <c r="DL12" s="354"/>
      <c r="DM12" s="354"/>
      <c r="DN12" s="354"/>
      <c r="DO12" s="354"/>
      <c r="DP12" s="354"/>
      <c r="DQ12" s="354"/>
      <c r="DR12" s="354"/>
      <c r="DS12" s="354"/>
      <c r="DT12" s="354"/>
    </row>
    <row r="13" spans="1:124" ht="22.5" customHeight="1" x14ac:dyDescent="0.25">
      <c r="A13" s="1641" t="s">
        <v>1193</v>
      </c>
      <c r="B13" s="2202" t="s">
        <v>159</v>
      </c>
      <c r="C13" s="154" t="s">
        <v>160</v>
      </c>
      <c r="D13" s="671" t="s">
        <v>1550</v>
      </c>
      <c r="E13" s="737" t="s">
        <v>1551</v>
      </c>
      <c r="F13" s="738" t="s">
        <v>1552</v>
      </c>
      <c r="G13" s="680" t="s">
        <v>1553</v>
      </c>
      <c r="H13" s="681" t="s">
        <v>1554</v>
      </c>
      <c r="I13" s="680" t="s">
        <v>1555</v>
      </c>
      <c r="J13" s="681" t="s">
        <v>1556</v>
      </c>
      <c r="K13" s="680" t="s">
        <v>1557</v>
      </c>
      <c r="L13" s="681" t="s">
        <v>1558</v>
      </c>
      <c r="M13" s="680" t="s">
        <v>1559</v>
      </c>
      <c r="N13" s="681" t="s">
        <v>1560</v>
      </c>
      <c r="O13" s="680" t="s">
        <v>1561</v>
      </c>
      <c r="P13" s="681" t="s">
        <v>1562</v>
      </c>
      <c r="Q13" s="680" t="s">
        <v>1563</v>
      </c>
      <c r="R13" s="681" t="s">
        <v>1564</v>
      </c>
      <c r="S13" s="680" t="s">
        <v>1565</v>
      </c>
      <c r="T13" s="681" t="s">
        <v>1566</v>
      </c>
      <c r="U13" s="680" t="s">
        <v>1567</v>
      </c>
      <c r="V13" s="681" t="s">
        <v>1568</v>
      </c>
      <c r="W13" s="680" t="s">
        <v>1569</v>
      </c>
      <c r="X13" s="681" t="s">
        <v>1570</v>
      </c>
      <c r="Y13" s="680" t="s">
        <v>1571</v>
      </c>
      <c r="Z13" s="681" t="s">
        <v>1572</v>
      </c>
      <c r="AA13" s="680" t="s">
        <v>1573</v>
      </c>
      <c r="AB13" s="681" t="s">
        <v>1574</v>
      </c>
      <c r="AC13" s="680" t="s">
        <v>1575</v>
      </c>
      <c r="AD13" s="681" t="s">
        <v>1576</v>
      </c>
      <c r="AE13" s="680" t="s">
        <v>1577</v>
      </c>
      <c r="AF13" s="681" t="s">
        <v>1578</v>
      </c>
      <c r="AG13" s="680" t="s">
        <v>1579</v>
      </c>
      <c r="AH13" s="692" t="s">
        <v>1580</v>
      </c>
      <c r="AI13" s="1055" t="s">
        <v>1581</v>
      </c>
      <c r="AJ13" s="1056" t="s">
        <v>1582</v>
      </c>
      <c r="AK13" s="1056" t="s">
        <v>1583</v>
      </c>
      <c r="AL13" s="1056" t="s">
        <v>1584</v>
      </c>
      <c r="AM13" s="1047" t="s">
        <v>1585</v>
      </c>
      <c r="AN13" s="1507" t="str">
        <f xml:space="preserve"> BE13 &amp; BF13 &amp; BG13 &amp; BH13 &amp; BI13 &amp; BK13 &amp; BL13</f>
        <v xml:space="preserve">* Pueblos Originarios-Hombres no debe ser mayor al Total de personas en PSCV. * Pueblos Originarios-Mujeres no debe ser mayor al Total de personas en PSCV. * Población Migrantes-Hombres no debe ser mayor al Total de personas en PSCV. * Población Migrantes-Mujeres no debe ser mayor al Total de personas en PSCV. * El numero de Personas en PSCV de ambos sexo debe ser igua al total de detección y prevención de la progresión de la enfermedad renal crónica de ambos sexo. </v>
      </c>
      <c r="AO13" s="124"/>
      <c r="BB13" s="354"/>
      <c r="BC13" s="354"/>
      <c r="BD13" s="354"/>
      <c r="BE13" s="348" t="str">
        <f>IF($E13&gt;=$AI13,"","* Pueblos Originarios-Hombres no debe ser mayor al Total de personas en PSCV. ")</f>
        <v xml:space="preserve">* Pueblos Originarios-Hombres no debe ser mayor al Total de personas en PSCV. </v>
      </c>
      <c r="BF13" s="348" t="str">
        <f t="shared" ref="BF13:BF28" si="0">IF($F13&gt;=$AJ13,"","* Pueblos Originarios-Mujeres no debe ser mayor al Total de personas en PSCV. ")</f>
        <v xml:space="preserve">* Pueblos Originarios-Mujeres no debe ser mayor al Total de personas en PSCV. </v>
      </c>
      <c r="BG13" s="348" t="str">
        <f>IF($E13&gt;=$AK13,"","* Población Migrantes-Hombres no debe ser mayor al Total de personas en PSCV. ")</f>
        <v xml:space="preserve">* Población Migrantes-Hombres no debe ser mayor al Total de personas en PSCV. </v>
      </c>
      <c r="BH13" s="348" t="str">
        <f>IF($F13&gt;=$AL13,"","* Población Migrantes-Mujeres no debe ser mayor al Total de personas en PSCV. ")</f>
        <v xml:space="preserve">* Población Migrantes-Mujeres no debe ser mayor al Total de personas en PSCV. </v>
      </c>
      <c r="BI13" s="348" t="str">
        <f>IF(D12&lt;&gt;D29, "* El numero de Personas en PSCV de ambos sexo debe ser igua al total de detección y prevención de la progresión de la enfermedad renal crónica de ambos sexo. ","")</f>
        <v xml:space="preserve">* El numero de Personas en PSCV de ambos sexo debe ser igua al total de detección y prevención de la progresión de la enfermedad renal crónica de ambos sexo. </v>
      </c>
      <c r="BJ13" s="354"/>
      <c r="BK13" s="348" t="str">
        <f t="shared" ref="BK13:BK28" si="1">IF(AND(E13&lt;&gt;0,AI13=""),"* No olvide escribir en la celda de 'Pueblos Originarios' (Digite CERO si no tiene). ",IF(AND(F13&lt;&gt;0,AJ13=""),"* No olvide escribir en la celda de 'Pueblos Originarios' (Digite CERO si no tiene). ",""))</f>
        <v/>
      </c>
      <c r="BL13" s="348" t="str">
        <f t="shared" ref="BL13:BL28" si="2">IF(AND(E13&lt;&gt;0,AK13=""),"* No olvide escribir en la celda de 'Población Migrantes' (Digite CERO si no tiene). ",IF(AND(F13&lt;&gt;0,AL13=""),"* No olvide escribir en la celda de 'Población Migrantes' (Digite CERO si no tiene). ",""))</f>
        <v/>
      </c>
      <c r="BM13" s="354"/>
      <c r="BN13" s="354"/>
      <c r="BO13" s="354"/>
      <c r="BP13" s="354"/>
      <c r="BQ13" s="354"/>
      <c r="BR13" s="354"/>
      <c r="BS13" s="354"/>
      <c r="BT13" s="354"/>
      <c r="BU13" s="354"/>
      <c r="BV13" s="354"/>
      <c r="BW13" s="354"/>
      <c r="BX13" s="354"/>
      <c r="BY13" s="354"/>
      <c r="BZ13" s="354"/>
      <c r="CA13" s="354"/>
      <c r="CB13" s="354"/>
      <c r="CC13" s="354"/>
      <c r="CD13" s="354"/>
      <c r="CE13" s="354"/>
      <c r="CF13" s="354"/>
      <c r="CG13" s="354"/>
      <c r="CH13" s="354"/>
      <c r="CI13" s="354"/>
      <c r="CJ13" s="354"/>
      <c r="CK13" s="354"/>
      <c r="CL13" s="354"/>
      <c r="CM13" s="352"/>
      <c r="CN13" s="352"/>
      <c r="CO13" s="358">
        <f>IF(AI13&lt;=E13,0,1)</f>
        <v>1</v>
      </c>
      <c r="CP13" s="358">
        <f>IF(AJ13&gt;=F13,0,1)</f>
        <v>0</v>
      </c>
      <c r="CQ13" s="358">
        <f>IF(AK13&lt;=E13,0,1)</f>
        <v>1</v>
      </c>
      <c r="CR13" s="358">
        <f>IF(AL13&lt;=F13,0,1)</f>
        <v>1</v>
      </c>
      <c r="CS13" s="358">
        <f>IF(D12&lt;&gt;D29, 1,0)</f>
        <v>1</v>
      </c>
      <c r="CT13" s="352"/>
      <c r="CU13" s="352"/>
      <c r="CV13" s="352"/>
      <c r="CW13" s="358">
        <f>IF(AND(E15&lt;&gt;0,AI15=""),1,IF(AND(F15&lt;&gt;0,AJ15=""),1,0))</f>
        <v>0</v>
      </c>
      <c r="CX13" s="358">
        <f>IF(AND(E15&lt;&gt;0,AK15=""),1,IF(AND(F15&lt;&gt;0,AL15=""),1,0))</f>
        <v>0</v>
      </c>
      <c r="CY13" s="352"/>
      <c r="CZ13" s="352"/>
      <c r="DA13" s="352"/>
      <c r="DB13" s="352"/>
      <c r="DC13" s="352"/>
      <c r="DD13" s="352"/>
      <c r="DE13" s="352"/>
      <c r="DF13" s="352"/>
      <c r="DG13" s="352"/>
      <c r="DH13" s="352"/>
      <c r="DI13" s="352"/>
      <c r="DJ13" s="352"/>
      <c r="DK13" s="352"/>
      <c r="DL13" s="352"/>
      <c r="DM13" s="352"/>
      <c r="DN13" s="352"/>
      <c r="DO13" s="352"/>
      <c r="DP13" s="352"/>
      <c r="DQ13" s="352"/>
      <c r="DR13" s="352"/>
      <c r="DS13" s="352"/>
      <c r="DT13" s="352"/>
    </row>
    <row r="14" spans="1:124" ht="22.5" customHeight="1" x14ac:dyDescent="0.25">
      <c r="A14" s="1641" t="s">
        <v>1194</v>
      </c>
      <c r="B14" s="2202"/>
      <c r="C14" s="155" t="s">
        <v>113</v>
      </c>
      <c r="D14" s="665" t="s">
        <v>1550</v>
      </c>
      <c r="E14" s="666" t="s">
        <v>1551</v>
      </c>
      <c r="F14" s="739" t="s">
        <v>1552</v>
      </c>
      <c r="G14" s="704" t="s">
        <v>1553</v>
      </c>
      <c r="H14" s="705" t="s">
        <v>1554</v>
      </c>
      <c r="I14" s="704" t="s">
        <v>1555</v>
      </c>
      <c r="J14" s="705" t="s">
        <v>1556</v>
      </c>
      <c r="K14" s="704" t="s">
        <v>1557</v>
      </c>
      <c r="L14" s="705" t="s">
        <v>1558</v>
      </c>
      <c r="M14" s="704" t="s">
        <v>1559</v>
      </c>
      <c r="N14" s="705" t="s">
        <v>1560</v>
      </c>
      <c r="O14" s="704" t="s">
        <v>1561</v>
      </c>
      <c r="P14" s="705" t="s">
        <v>1562</v>
      </c>
      <c r="Q14" s="704" t="s">
        <v>1563</v>
      </c>
      <c r="R14" s="705" t="s">
        <v>1564</v>
      </c>
      <c r="S14" s="704" t="s">
        <v>1565</v>
      </c>
      <c r="T14" s="705" t="s">
        <v>1566</v>
      </c>
      <c r="U14" s="704" t="s">
        <v>1567</v>
      </c>
      <c r="V14" s="705" t="s">
        <v>1568</v>
      </c>
      <c r="W14" s="704" t="s">
        <v>1569</v>
      </c>
      <c r="X14" s="705" t="s">
        <v>1570</v>
      </c>
      <c r="Y14" s="704" t="s">
        <v>1571</v>
      </c>
      <c r="Z14" s="705" t="s">
        <v>1572</v>
      </c>
      <c r="AA14" s="704" t="s">
        <v>1573</v>
      </c>
      <c r="AB14" s="705" t="s">
        <v>1574</v>
      </c>
      <c r="AC14" s="704" t="s">
        <v>1575</v>
      </c>
      <c r="AD14" s="705" t="s">
        <v>1576</v>
      </c>
      <c r="AE14" s="704" t="s">
        <v>1577</v>
      </c>
      <c r="AF14" s="705" t="s">
        <v>1578</v>
      </c>
      <c r="AG14" s="704" t="s">
        <v>1579</v>
      </c>
      <c r="AH14" s="706" t="s">
        <v>1580</v>
      </c>
      <c r="AI14" s="752" t="s">
        <v>1581</v>
      </c>
      <c r="AJ14" s="1057" t="s">
        <v>1582</v>
      </c>
      <c r="AK14" s="1057" t="s">
        <v>1583</v>
      </c>
      <c r="AL14" s="1057" t="s">
        <v>1584</v>
      </c>
      <c r="AM14" s="1048" t="s">
        <v>1585</v>
      </c>
      <c r="AN14" s="1507" t="str">
        <f t="shared" ref="AN14:AN21" si="3" xml:space="preserve"> BE14 &amp; BF14 &amp; BG14 &amp; BH14 &amp; BK14 &amp; BL14</f>
        <v xml:space="preserve">* Pueblos Originarios-Hombres no debe ser mayor al Total de personas en PSCV. * Pueblos Originarios-Mujeres no debe ser mayor al Total de personas en PSCV. * Población Migrantes-Hombres no debe ser mayor al Total de personas en PSCV. * Población Migrantes-Mujeres no debe ser mayor al Total de personas en PSCV. </v>
      </c>
      <c r="AO14" s="124"/>
      <c r="BB14" s="354"/>
      <c r="BC14" s="354"/>
      <c r="BD14" s="354"/>
      <c r="BE14" s="348" t="str">
        <f t="shared" ref="BE14:BE28" si="4">IF($E14&gt;=$AI14,"","* Pueblos Originarios-Hombres no debe ser mayor al Total de personas en PSCV. ")</f>
        <v xml:space="preserve">* Pueblos Originarios-Hombres no debe ser mayor al Total de personas en PSCV. </v>
      </c>
      <c r="BF14" s="348" t="str">
        <f t="shared" si="0"/>
        <v xml:space="preserve">* Pueblos Originarios-Mujeres no debe ser mayor al Total de personas en PSCV. </v>
      </c>
      <c r="BG14" s="348" t="str">
        <f t="shared" ref="BG14:BG28" si="5">IF($E14&gt;=$AK14,"","* Población Migrantes-Hombres no debe ser mayor al Total de personas en PSCV. ")</f>
        <v xml:space="preserve">* Población Migrantes-Hombres no debe ser mayor al Total de personas en PSCV. </v>
      </c>
      <c r="BH14" s="348" t="str">
        <f t="shared" ref="BH14:BH28" si="6">IF($F14&gt;=$AL14,"","* Población Migrantes-Mujeres no debe ser mayor al Total de personas en PSCV. ")</f>
        <v xml:space="preserve">* Población Migrantes-Mujeres no debe ser mayor al Total de personas en PSCV. </v>
      </c>
      <c r="BI14" s="354"/>
      <c r="BJ14" s="354"/>
      <c r="BK14" s="348" t="str">
        <f t="shared" si="1"/>
        <v/>
      </c>
      <c r="BL14" s="348" t="str">
        <f t="shared" si="2"/>
        <v/>
      </c>
      <c r="BM14" s="354"/>
      <c r="BN14" s="354"/>
      <c r="BO14" s="354"/>
      <c r="BP14" s="354"/>
      <c r="BQ14" s="354"/>
      <c r="BR14" s="354"/>
      <c r="BS14" s="354"/>
      <c r="BT14" s="354"/>
      <c r="BU14" s="354"/>
      <c r="BV14" s="354"/>
      <c r="BW14" s="354"/>
      <c r="BX14" s="354"/>
      <c r="BY14" s="354"/>
      <c r="BZ14" s="354"/>
      <c r="CA14" s="354"/>
      <c r="CB14" s="354"/>
      <c r="CC14" s="354"/>
      <c r="CD14" s="354"/>
      <c r="CE14" s="354"/>
      <c r="CF14" s="354"/>
      <c r="CG14" s="354"/>
      <c r="CH14" s="354"/>
      <c r="CI14" s="354"/>
      <c r="CJ14" s="354"/>
      <c r="CK14" s="354"/>
      <c r="CL14" s="354"/>
      <c r="CM14" s="352"/>
      <c r="CN14" s="352"/>
      <c r="CO14" s="358">
        <f t="shared" ref="CO14:CO28" si="7">IF(AI14&lt;=E14,0,1)</f>
        <v>1</v>
      </c>
      <c r="CP14" s="358">
        <f t="shared" ref="CP14:CP28" si="8">IF(AJ14&gt;=F14,0,1)</f>
        <v>0</v>
      </c>
      <c r="CQ14" s="358">
        <f t="shared" ref="CQ14:CQ28" si="9">IF(AK14&lt;=E14,0,1)</f>
        <v>1</v>
      </c>
      <c r="CR14" s="358">
        <f t="shared" ref="CR14:CR28" si="10">IF(AL14&lt;=F14,0,1)</f>
        <v>1</v>
      </c>
      <c r="CS14" s="352"/>
      <c r="CT14" s="352"/>
      <c r="CU14" s="352"/>
      <c r="CV14" s="352"/>
      <c r="CW14" s="358">
        <f t="shared" ref="CW14:CW21" si="11">IF(AND(E16&lt;&gt;0,AI16=""),1,IF(AND(F16&lt;&gt;0,AJ16=""),1,0))</f>
        <v>0</v>
      </c>
      <c r="CX14" s="358">
        <f t="shared" ref="CX14:CX21" si="12">IF(AND(E16&lt;&gt;0,AK16=""),1,IF(AND(F16&lt;&gt;0,AL16=""),1,0))</f>
        <v>0</v>
      </c>
      <c r="CY14" s="352"/>
      <c r="CZ14" s="352"/>
      <c r="DA14" s="352"/>
      <c r="DB14" s="352"/>
      <c r="DC14" s="352"/>
      <c r="DD14" s="352"/>
      <c r="DE14" s="352"/>
      <c r="DF14" s="352"/>
      <c r="DG14" s="352"/>
      <c r="DH14" s="352"/>
      <c r="DI14" s="352"/>
      <c r="DJ14" s="352"/>
      <c r="DK14" s="352"/>
      <c r="DL14" s="352"/>
      <c r="DM14" s="352"/>
      <c r="DN14" s="352"/>
      <c r="DO14" s="352"/>
      <c r="DP14" s="352"/>
      <c r="DQ14" s="352"/>
      <c r="DR14" s="352"/>
      <c r="DS14" s="352"/>
      <c r="DT14" s="352"/>
    </row>
    <row r="15" spans="1:124" ht="22.5" customHeight="1" x14ac:dyDescent="0.25">
      <c r="A15" s="1641" t="s">
        <v>1195</v>
      </c>
      <c r="B15" s="2202"/>
      <c r="C15" s="1177" t="s">
        <v>322</v>
      </c>
      <c r="D15" s="668" t="s">
        <v>1550</v>
      </c>
      <c r="E15" s="669" t="s">
        <v>1551</v>
      </c>
      <c r="F15" s="741" t="s">
        <v>1552</v>
      </c>
      <c r="G15" s="700" t="s">
        <v>1553</v>
      </c>
      <c r="H15" s="701" t="s">
        <v>1554</v>
      </c>
      <c r="I15" s="700" t="s">
        <v>1555</v>
      </c>
      <c r="J15" s="701" t="s">
        <v>1556</v>
      </c>
      <c r="K15" s="700" t="s">
        <v>1557</v>
      </c>
      <c r="L15" s="701" t="s">
        <v>1558</v>
      </c>
      <c r="M15" s="700" t="s">
        <v>1559</v>
      </c>
      <c r="N15" s="701" t="s">
        <v>1560</v>
      </c>
      <c r="O15" s="700" t="s">
        <v>1561</v>
      </c>
      <c r="P15" s="701" t="s">
        <v>1562</v>
      </c>
      <c r="Q15" s="700" t="s">
        <v>1563</v>
      </c>
      <c r="R15" s="701" t="s">
        <v>1564</v>
      </c>
      <c r="S15" s="700" t="s">
        <v>1565</v>
      </c>
      <c r="T15" s="701" t="s">
        <v>1566</v>
      </c>
      <c r="U15" s="700" t="s">
        <v>1567</v>
      </c>
      <c r="V15" s="701" t="s">
        <v>1568</v>
      </c>
      <c r="W15" s="700" t="s">
        <v>1569</v>
      </c>
      <c r="X15" s="701" t="s">
        <v>1570</v>
      </c>
      <c r="Y15" s="700" t="s">
        <v>1571</v>
      </c>
      <c r="Z15" s="701" t="s">
        <v>1572</v>
      </c>
      <c r="AA15" s="700" t="s">
        <v>1573</v>
      </c>
      <c r="AB15" s="701" t="s">
        <v>1574</v>
      </c>
      <c r="AC15" s="700" t="s">
        <v>1575</v>
      </c>
      <c r="AD15" s="701" t="s">
        <v>1576</v>
      </c>
      <c r="AE15" s="700" t="s">
        <v>1577</v>
      </c>
      <c r="AF15" s="701" t="s">
        <v>1578</v>
      </c>
      <c r="AG15" s="700" t="s">
        <v>1579</v>
      </c>
      <c r="AH15" s="702" t="s">
        <v>1580</v>
      </c>
      <c r="AI15" s="1058" t="s">
        <v>1581</v>
      </c>
      <c r="AJ15" s="1059" t="s">
        <v>1582</v>
      </c>
      <c r="AK15" s="1059" t="s">
        <v>1583</v>
      </c>
      <c r="AL15" s="1059" t="s">
        <v>1584</v>
      </c>
      <c r="AM15" s="1049" t="s">
        <v>1585</v>
      </c>
      <c r="AN15" s="1507" t="str">
        <f t="shared" si="3"/>
        <v xml:space="preserve">* Pueblos Originarios-Hombres no debe ser mayor al Total de personas en PSCV. * Pueblos Originarios-Mujeres no debe ser mayor al Total de personas en PSCV. * Población Migrantes-Hombres no debe ser mayor al Total de personas en PSCV. * Población Migrantes-Mujeres no debe ser mayor al Total de personas en PSCV. </v>
      </c>
      <c r="AO15" s="124"/>
      <c r="BB15" s="354"/>
      <c r="BC15" s="354"/>
      <c r="BD15" s="354"/>
      <c r="BE15" s="348" t="str">
        <f t="shared" si="4"/>
        <v xml:space="preserve">* Pueblos Originarios-Hombres no debe ser mayor al Total de personas en PSCV. </v>
      </c>
      <c r="BF15" s="348" t="str">
        <f t="shared" si="0"/>
        <v xml:space="preserve">* Pueblos Originarios-Mujeres no debe ser mayor al Total de personas en PSCV. </v>
      </c>
      <c r="BG15" s="348" t="str">
        <f t="shared" si="5"/>
        <v xml:space="preserve">* Población Migrantes-Hombres no debe ser mayor al Total de personas en PSCV. </v>
      </c>
      <c r="BH15" s="348" t="str">
        <f t="shared" si="6"/>
        <v xml:space="preserve">* Población Migrantes-Mujeres no debe ser mayor al Total de personas en PSCV. </v>
      </c>
      <c r="BI15" s="354"/>
      <c r="BJ15" s="354"/>
      <c r="BK15" s="348" t="str">
        <f t="shared" si="1"/>
        <v/>
      </c>
      <c r="BL15" s="348" t="str">
        <f t="shared" si="2"/>
        <v/>
      </c>
      <c r="BM15" s="354"/>
      <c r="BN15" s="354"/>
      <c r="BO15" s="354"/>
      <c r="BP15" s="354"/>
      <c r="BQ15" s="354"/>
      <c r="BR15" s="354"/>
      <c r="BS15" s="354"/>
      <c r="BT15" s="354"/>
      <c r="BU15" s="354"/>
      <c r="BV15" s="354"/>
      <c r="BW15" s="354"/>
      <c r="BX15" s="354"/>
      <c r="BY15" s="354"/>
      <c r="BZ15" s="354"/>
      <c r="CA15" s="354"/>
      <c r="CB15" s="354"/>
      <c r="CC15" s="354"/>
      <c r="CD15" s="354"/>
      <c r="CE15" s="354"/>
      <c r="CF15" s="354"/>
      <c r="CG15" s="354"/>
      <c r="CH15" s="354"/>
      <c r="CI15" s="354"/>
      <c r="CJ15" s="354"/>
      <c r="CK15" s="354"/>
      <c r="CL15" s="354"/>
      <c r="CM15" s="352"/>
      <c r="CN15" s="352"/>
      <c r="CO15" s="358">
        <f t="shared" si="7"/>
        <v>1</v>
      </c>
      <c r="CP15" s="358">
        <f t="shared" si="8"/>
        <v>0</v>
      </c>
      <c r="CQ15" s="358">
        <f t="shared" si="9"/>
        <v>1</v>
      </c>
      <c r="CR15" s="358">
        <f t="shared" si="10"/>
        <v>1</v>
      </c>
      <c r="CS15" s="352"/>
      <c r="CT15" s="352"/>
      <c r="CU15" s="352"/>
      <c r="CV15" s="352"/>
      <c r="CW15" s="358">
        <f t="shared" si="11"/>
        <v>0</v>
      </c>
      <c r="CX15" s="358">
        <f t="shared" si="12"/>
        <v>0</v>
      </c>
      <c r="CY15" s="352"/>
      <c r="CZ15" s="352"/>
      <c r="DA15" s="352"/>
      <c r="DB15" s="352"/>
      <c r="DC15" s="352"/>
      <c r="DD15" s="352"/>
      <c r="DE15" s="352"/>
      <c r="DF15" s="352"/>
      <c r="DG15" s="352"/>
      <c r="DH15" s="352"/>
      <c r="DI15" s="352"/>
      <c r="DJ15" s="352"/>
      <c r="DK15" s="352"/>
      <c r="DL15" s="352"/>
      <c r="DM15" s="352"/>
      <c r="DN15" s="352"/>
      <c r="DO15" s="352"/>
      <c r="DP15" s="352"/>
      <c r="DQ15" s="352"/>
      <c r="DR15" s="352"/>
      <c r="DS15" s="352"/>
      <c r="DT15" s="352"/>
    </row>
    <row r="16" spans="1:124" ht="22.5" customHeight="1" x14ac:dyDescent="0.25">
      <c r="A16" s="1641" t="s">
        <v>1196</v>
      </c>
      <c r="B16" s="2190" t="s">
        <v>161</v>
      </c>
      <c r="C16" s="1176" t="s">
        <v>657</v>
      </c>
      <c r="D16" s="663" t="s">
        <v>1550</v>
      </c>
      <c r="E16" s="664" t="s">
        <v>1551</v>
      </c>
      <c r="F16" s="742" t="s">
        <v>1552</v>
      </c>
      <c r="G16" s="680" t="s">
        <v>1553</v>
      </c>
      <c r="H16" s="681" t="s">
        <v>1554</v>
      </c>
      <c r="I16" s="680" t="s">
        <v>1555</v>
      </c>
      <c r="J16" s="681" t="s">
        <v>1556</v>
      </c>
      <c r="K16" s="680" t="s">
        <v>1557</v>
      </c>
      <c r="L16" s="681" t="s">
        <v>1558</v>
      </c>
      <c r="M16" s="680" t="s">
        <v>1559</v>
      </c>
      <c r="N16" s="681" t="s">
        <v>1560</v>
      </c>
      <c r="O16" s="680" t="s">
        <v>1561</v>
      </c>
      <c r="P16" s="681" t="s">
        <v>1562</v>
      </c>
      <c r="Q16" s="680" t="s">
        <v>1563</v>
      </c>
      <c r="R16" s="681" t="s">
        <v>1564</v>
      </c>
      <c r="S16" s="680" t="s">
        <v>1565</v>
      </c>
      <c r="T16" s="681" t="s">
        <v>1566</v>
      </c>
      <c r="U16" s="680" t="s">
        <v>1567</v>
      </c>
      <c r="V16" s="681" t="s">
        <v>1568</v>
      </c>
      <c r="W16" s="680" t="s">
        <v>1569</v>
      </c>
      <c r="X16" s="681" t="s">
        <v>1570</v>
      </c>
      <c r="Y16" s="680" t="s">
        <v>1571</v>
      </c>
      <c r="Z16" s="681" t="s">
        <v>1572</v>
      </c>
      <c r="AA16" s="680" t="s">
        <v>1573</v>
      </c>
      <c r="AB16" s="681" t="s">
        <v>1574</v>
      </c>
      <c r="AC16" s="680" t="s">
        <v>1575</v>
      </c>
      <c r="AD16" s="681" t="s">
        <v>1576</v>
      </c>
      <c r="AE16" s="680" t="s">
        <v>1577</v>
      </c>
      <c r="AF16" s="681" t="s">
        <v>1578</v>
      </c>
      <c r="AG16" s="680" t="s">
        <v>1579</v>
      </c>
      <c r="AH16" s="692" t="s">
        <v>1580</v>
      </c>
      <c r="AI16" s="1055" t="s">
        <v>1581</v>
      </c>
      <c r="AJ16" s="1056" t="s">
        <v>1582</v>
      </c>
      <c r="AK16" s="1056" t="s">
        <v>1583</v>
      </c>
      <c r="AL16" s="1056" t="s">
        <v>1584</v>
      </c>
      <c r="AM16" s="1050" t="s">
        <v>1585</v>
      </c>
      <c r="AN16" s="1507" t="str">
        <f t="shared" si="3"/>
        <v xml:space="preserve">* Pueblos Originarios-Hombres no debe ser mayor al Total de personas en PSCV. * Pueblos Originarios-Mujeres no debe ser mayor al Total de personas en PSCV. * Población Migrantes-Hombres no debe ser mayor al Total de personas en PSCV. * Población Migrantes-Mujeres no debe ser mayor al Total de personas en PSCV. </v>
      </c>
      <c r="AO16" s="124"/>
      <c r="BB16" s="354"/>
      <c r="BC16" s="354"/>
      <c r="BD16" s="354"/>
      <c r="BE16" s="348" t="str">
        <f t="shared" si="4"/>
        <v xml:space="preserve">* Pueblos Originarios-Hombres no debe ser mayor al Total de personas en PSCV. </v>
      </c>
      <c r="BF16" s="348" t="str">
        <f t="shared" si="0"/>
        <v xml:space="preserve">* Pueblos Originarios-Mujeres no debe ser mayor al Total de personas en PSCV. </v>
      </c>
      <c r="BG16" s="348" t="str">
        <f t="shared" si="5"/>
        <v xml:space="preserve">* Población Migrantes-Hombres no debe ser mayor al Total de personas en PSCV. </v>
      </c>
      <c r="BH16" s="348" t="str">
        <f t="shared" si="6"/>
        <v xml:space="preserve">* Población Migrantes-Mujeres no debe ser mayor al Total de personas en PSCV. </v>
      </c>
      <c r="BI16" s="354"/>
      <c r="BJ16" s="354"/>
      <c r="BK16" s="348" t="str">
        <f t="shared" si="1"/>
        <v/>
      </c>
      <c r="BL16" s="348" t="str">
        <f t="shared" si="2"/>
        <v/>
      </c>
      <c r="BM16" s="354"/>
      <c r="BN16" s="354"/>
      <c r="BO16" s="354"/>
      <c r="BP16" s="354"/>
      <c r="BQ16" s="354"/>
      <c r="BR16" s="354"/>
      <c r="BS16" s="354"/>
      <c r="BT16" s="354"/>
      <c r="BU16" s="354"/>
      <c r="BV16" s="354"/>
      <c r="BW16" s="354"/>
      <c r="BX16" s="354"/>
      <c r="BY16" s="354"/>
      <c r="BZ16" s="354"/>
      <c r="CA16" s="354"/>
      <c r="CB16" s="354"/>
      <c r="CC16" s="354"/>
      <c r="CD16" s="354"/>
      <c r="CE16" s="354"/>
      <c r="CF16" s="354"/>
      <c r="CG16" s="354"/>
      <c r="CH16" s="354"/>
      <c r="CI16" s="354"/>
      <c r="CJ16" s="354"/>
      <c r="CK16" s="354"/>
      <c r="CL16" s="354"/>
      <c r="CM16" s="352"/>
      <c r="CN16" s="352"/>
      <c r="CO16" s="358">
        <f>IF(AI16&lt;=E16,0,1)</f>
        <v>1</v>
      </c>
      <c r="CP16" s="358">
        <f t="shared" si="8"/>
        <v>0</v>
      </c>
      <c r="CQ16" s="358">
        <f t="shared" si="9"/>
        <v>1</v>
      </c>
      <c r="CR16" s="358">
        <f t="shared" si="10"/>
        <v>1</v>
      </c>
      <c r="CS16" s="352"/>
      <c r="CT16" s="352"/>
      <c r="CU16" s="352"/>
      <c r="CV16" s="352"/>
      <c r="CW16" s="358">
        <f t="shared" si="11"/>
        <v>0</v>
      </c>
      <c r="CX16" s="358">
        <f t="shared" si="12"/>
        <v>0</v>
      </c>
      <c r="CY16" s="352"/>
      <c r="CZ16" s="352"/>
      <c r="DA16" s="352"/>
      <c r="DB16" s="352"/>
      <c r="DC16" s="352"/>
      <c r="DD16" s="352"/>
      <c r="DE16" s="352"/>
      <c r="DF16" s="352"/>
      <c r="DG16" s="352"/>
      <c r="DH16" s="352"/>
      <c r="DI16" s="352"/>
      <c r="DJ16" s="352"/>
      <c r="DK16" s="352"/>
      <c r="DL16" s="352"/>
      <c r="DM16" s="352"/>
      <c r="DN16" s="352"/>
      <c r="DO16" s="352"/>
      <c r="DP16" s="352"/>
      <c r="DQ16" s="352"/>
      <c r="DR16" s="352"/>
      <c r="DS16" s="352"/>
      <c r="DT16" s="352"/>
    </row>
    <row r="17" spans="1:124" ht="22.5" customHeight="1" x14ac:dyDescent="0.25">
      <c r="A17" s="1641" t="s">
        <v>1197</v>
      </c>
      <c r="B17" s="2191"/>
      <c r="C17" s="157" t="s">
        <v>678</v>
      </c>
      <c r="D17" s="665" t="s">
        <v>1550</v>
      </c>
      <c r="E17" s="666" t="s">
        <v>1551</v>
      </c>
      <c r="F17" s="743" t="s">
        <v>1552</v>
      </c>
      <c r="G17" s="684" t="s">
        <v>1553</v>
      </c>
      <c r="H17" s="685" t="s">
        <v>1554</v>
      </c>
      <c r="I17" s="684" t="s">
        <v>1555</v>
      </c>
      <c r="J17" s="685" t="s">
        <v>1556</v>
      </c>
      <c r="K17" s="684" t="s">
        <v>1557</v>
      </c>
      <c r="L17" s="685" t="s">
        <v>1558</v>
      </c>
      <c r="M17" s="684" t="s">
        <v>1559</v>
      </c>
      <c r="N17" s="685" t="s">
        <v>1560</v>
      </c>
      <c r="O17" s="684" t="s">
        <v>1561</v>
      </c>
      <c r="P17" s="685" t="s">
        <v>1562</v>
      </c>
      <c r="Q17" s="684" t="s">
        <v>1563</v>
      </c>
      <c r="R17" s="685" t="s">
        <v>1564</v>
      </c>
      <c r="S17" s="684" t="s">
        <v>1565</v>
      </c>
      <c r="T17" s="685" t="s">
        <v>1566</v>
      </c>
      <c r="U17" s="684" t="s">
        <v>1567</v>
      </c>
      <c r="V17" s="685" t="s">
        <v>1568</v>
      </c>
      <c r="W17" s="684" t="s">
        <v>1569</v>
      </c>
      <c r="X17" s="685" t="s">
        <v>1570</v>
      </c>
      <c r="Y17" s="684" t="s">
        <v>1571</v>
      </c>
      <c r="Z17" s="685" t="s">
        <v>1572</v>
      </c>
      <c r="AA17" s="684" t="s">
        <v>1573</v>
      </c>
      <c r="AB17" s="685" t="s">
        <v>1574</v>
      </c>
      <c r="AC17" s="684" t="s">
        <v>1575</v>
      </c>
      <c r="AD17" s="685" t="s">
        <v>1576</v>
      </c>
      <c r="AE17" s="684" t="s">
        <v>1577</v>
      </c>
      <c r="AF17" s="685" t="s">
        <v>1578</v>
      </c>
      <c r="AG17" s="684" t="s">
        <v>1579</v>
      </c>
      <c r="AH17" s="693" t="s">
        <v>1580</v>
      </c>
      <c r="AI17" s="752" t="s">
        <v>1581</v>
      </c>
      <c r="AJ17" s="1057" t="s">
        <v>1582</v>
      </c>
      <c r="AK17" s="1060" t="s">
        <v>1583</v>
      </c>
      <c r="AL17" s="1057" t="s">
        <v>1584</v>
      </c>
      <c r="AM17" s="1048" t="s">
        <v>1585</v>
      </c>
      <c r="AN17" s="1507" t="str">
        <f t="shared" si="3"/>
        <v xml:space="preserve">* Pueblos Originarios-Hombres no debe ser mayor al Total de personas en PSCV. * Pueblos Originarios-Mujeres no debe ser mayor al Total de personas en PSCV. * Población Migrantes-Hombres no debe ser mayor al Total de personas en PSCV. * Población Migrantes-Mujeres no debe ser mayor al Total de personas en PSCV. </v>
      </c>
      <c r="AO17" s="124"/>
      <c r="BB17" s="354"/>
      <c r="BC17" s="354"/>
      <c r="BD17" s="354"/>
      <c r="BE17" s="348" t="str">
        <f t="shared" si="4"/>
        <v xml:space="preserve">* Pueblos Originarios-Hombres no debe ser mayor al Total de personas en PSCV. </v>
      </c>
      <c r="BF17" s="348" t="str">
        <f t="shared" si="0"/>
        <v xml:space="preserve">* Pueblos Originarios-Mujeres no debe ser mayor al Total de personas en PSCV. </v>
      </c>
      <c r="BG17" s="348" t="str">
        <f t="shared" si="5"/>
        <v xml:space="preserve">* Población Migrantes-Hombres no debe ser mayor al Total de personas en PSCV. </v>
      </c>
      <c r="BH17" s="348" t="str">
        <f t="shared" si="6"/>
        <v xml:space="preserve">* Población Migrantes-Mujeres no debe ser mayor al Total de personas en PSCV. </v>
      </c>
      <c r="BI17" s="354"/>
      <c r="BJ17" s="354"/>
      <c r="BK17" s="348" t="str">
        <f t="shared" si="1"/>
        <v/>
      </c>
      <c r="BL17" s="348" t="str">
        <f t="shared" si="2"/>
        <v/>
      </c>
      <c r="BM17" s="354"/>
      <c r="BN17" s="354"/>
      <c r="BO17" s="354"/>
      <c r="BP17" s="354"/>
      <c r="BQ17" s="354"/>
      <c r="BR17" s="354"/>
      <c r="BS17" s="354"/>
      <c r="BT17" s="354"/>
      <c r="BU17" s="354"/>
      <c r="BV17" s="354"/>
      <c r="BW17" s="354"/>
      <c r="BX17" s="354"/>
      <c r="BY17" s="354"/>
      <c r="BZ17" s="354"/>
      <c r="CA17" s="354"/>
      <c r="CB17" s="354"/>
      <c r="CC17" s="354"/>
      <c r="CD17" s="354"/>
      <c r="CE17" s="354"/>
      <c r="CF17" s="354"/>
      <c r="CG17" s="354"/>
      <c r="CH17" s="354"/>
      <c r="CI17" s="354"/>
      <c r="CJ17" s="354"/>
      <c r="CK17" s="354"/>
      <c r="CL17" s="354"/>
      <c r="CM17" s="352"/>
      <c r="CN17" s="352"/>
      <c r="CO17" s="358">
        <f t="shared" si="7"/>
        <v>1</v>
      </c>
      <c r="CP17" s="358">
        <f t="shared" si="8"/>
        <v>0</v>
      </c>
      <c r="CQ17" s="358">
        <f t="shared" si="9"/>
        <v>1</v>
      </c>
      <c r="CR17" s="358">
        <f t="shared" si="10"/>
        <v>1</v>
      </c>
      <c r="CS17" s="352"/>
      <c r="CT17" s="352"/>
      <c r="CU17" s="352"/>
      <c r="CV17" s="352"/>
      <c r="CW17" s="358">
        <f t="shared" si="11"/>
        <v>0</v>
      </c>
      <c r="CX17" s="358">
        <f t="shared" si="12"/>
        <v>0</v>
      </c>
      <c r="CY17" s="352"/>
      <c r="CZ17" s="352"/>
      <c r="DA17" s="352"/>
      <c r="DB17" s="352"/>
      <c r="DC17" s="352"/>
      <c r="DD17" s="352"/>
      <c r="DE17" s="352"/>
      <c r="DF17" s="352"/>
      <c r="DG17" s="352"/>
      <c r="DH17" s="352"/>
      <c r="DI17" s="352"/>
      <c r="DJ17" s="352"/>
      <c r="DK17" s="352"/>
      <c r="DL17" s="352"/>
      <c r="DM17" s="352"/>
      <c r="DN17" s="352"/>
      <c r="DO17" s="352"/>
      <c r="DP17" s="352"/>
      <c r="DQ17" s="352"/>
      <c r="DR17" s="352"/>
      <c r="DS17" s="352"/>
      <c r="DT17" s="352"/>
    </row>
    <row r="18" spans="1:124" ht="22.5" customHeight="1" x14ac:dyDescent="0.25">
      <c r="A18" s="1641" t="s">
        <v>1198</v>
      </c>
      <c r="B18" s="2191"/>
      <c r="C18" s="157" t="s">
        <v>658</v>
      </c>
      <c r="D18" s="665" t="s">
        <v>1550</v>
      </c>
      <c r="E18" s="666" t="s">
        <v>1551</v>
      </c>
      <c r="F18" s="743" t="s">
        <v>1552</v>
      </c>
      <c r="G18" s="684" t="s">
        <v>1553</v>
      </c>
      <c r="H18" s="685" t="s">
        <v>1554</v>
      </c>
      <c r="I18" s="684" t="s">
        <v>1555</v>
      </c>
      <c r="J18" s="685" t="s">
        <v>1556</v>
      </c>
      <c r="K18" s="684" t="s">
        <v>1557</v>
      </c>
      <c r="L18" s="685" t="s">
        <v>1558</v>
      </c>
      <c r="M18" s="684" t="s">
        <v>1559</v>
      </c>
      <c r="N18" s="685" t="s">
        <v>1560</v>
      </c>
      <c r="O18" s="684" t="s">
        <v>1561</v>
      </c>
      <c r="P18" s="685" t="s">
        <v>1562</v>
      </c>
      <c r="Q18" s="684" t="s">
        <v>1563</v>
      </c>
      <c r="R18" s="685" t="s">
        <v>1564</v>
      </c>
      <c r="S18" s="684" t="s">
        <v>1565</v>
      </c>
      <c r="T18" s="685" t="s">
        <v>1566</v>
      </c>
      <c r="U18" s="684" t="s">
        <v>1567</v>
      </c>
      <c r="V18" s="685" t="s">
        <v>1568</v>
      </c>
      <c r="W18" s="684" t="s">
        <v>1569</v>
      </c>
      <c r="X18" s="685" t="s">
        <v>1570</v>
      </c>
      <c r="Y18" s="684" t="s">
        <v>1571</v>
      </c>
      <c r="Z18" s="685" t="s">
        <v>1572</v>
      </c>
      <c r="AA18" s="684" t="s">
        <v>1573</v>
      </c>
      <c r="AB18" s="685" t="s">
        <v>1574</v>
      </c>
      <c r="AC18" s="684" t="s">
        <v>1575</v>
      </c>
      <c r="AD18" s="685" t="s">
        <v>1576</v>
      </c>
      <c r="AE18" s="684" t="s">
        <v>1577</v>
      </c>
      <c r="AF18" s="685" t="s">
        <v>1578</v>
      </c>
      <c r="AG18" s="684" t="s">
        <v>1579</v>
      </c>
      <c r="AH18" s="693" t="s">
        <v>1580</v>
      </c>
      <c r="AI18" s="752" t="s">
        <v>1581</v>
      </c>
      <c r="AJ18" s="1057" t="s">
        <v>1582</v>
      </c>
      <c r="AK18" s="1057" t="s">
        <v>1583</v>
      </c>
      <c r="AL18" s="1057" t="s">
        <v>1584</v>
      </c>
      <c r="AM18" s="1048" t="s">
        <v>1585</v>
      </c>
      <c r="AN18" s="1507" t="str">
        <f t="shared" si="3"/>
        <v xml:space="preserve">* Pueblos Originarios-Hombres no debe ser mayor al Total de personas en PSCV. * Pueblos Originarios-Mujeres no debe ser mayor al Total de personas en PSCV. * Población Migrantes-Hombres no debe ser mayor al Total de personas en PSCV. * Población Migrantes-Mujeres no debe ser mayor al Total de personas en PSCV. </v>
      </c>
      <c r="AO18" s="124"/>
      <c r="BB18" s="354"/>
      <c r="BC18" s="354"/>
      <c r="BD18" s="354"/>
      <c r="BE18" s="348" t="str">
        <f t="shared" si="4"/>
        <v xml:space="preserve">* Pueblos Originarios-Hombres no debe ser mayor al Total de personas en PSCV. </v>
      </c>
      <c r="BF18" s="348" t="str">
        <f t="shared" si="0"/>
        <v xml:space="preserve">* Pueblos Originarios-Mujeres no debe ser mayor al Total de personas en PSCV. </v>
      </c>
      <c r="BG18" s="348" t="str">
        <f t="shared" si="5"/>
        <v xml:space="preserve">* Población Migrantes-Hombres no debe ser mayor al Total de personas en PSCV. </v>
      </c>
      <c r="BH18" s="348" t="str">
        <f t="shared" si="6"/>
        <v xml:space="preserve">* Población Migrantes-Mujeres no debe ser mayor al Total de personas en PSCV. </v>
      </c>
      <c r="BI18" s="354"/>
      <c r="BJ18" s="354"/>
      <c r="BK18" s="348" t="str">
        <f t="shared" si="1"/>
        <v/>
      </c>
      <c r="BL18" s="348" t="str">
        <f t="shared" si="2"/>
        <v/>
      </c>
      <c r="BM18" s="354"/>
      <c r="BN18" s="354"/>
      <c r="BO18" s="354"/>
      <c r="BP18" s="354"/>
      <c r="BQ18" s="354"/>
      <c r="BR18" s="354"/>
      <c r="BS18" s="354"/>
      <c r="BT18" s="354"/>
      <c r="BU18" s="354"/>
      <c r="BV18" s="354"/>
      <c r="BW18" s="354"/>
      <c r="BX18" s="354"/>
      <c r="BY18" s="354"/>
      <c r="BZ18" s="354"/>
      <c r="CA18" s="354"/>
      <c r="CB18" s="354"/>
      <c r="CC18" s="354"/>
      <c r="CD18" s="354"/>
      <c r="CE18" s="354"/>
      <c r="CF18" s="354"/>
      <c r="CG18" s="354"/>
      <c r="CH18" s="354"/>
      <c r="CI18" s="354"/>
      <c r="CJ18" s="354"/>
      <c r="CK18" s="354"/>
      <c r="CL18" s="354"/>
      <c r="CM18" s="352"/>
      <c r="CN18" s="352"/>
      <c r="CO18" s="358">
        <f t="shared" si="7"/>
        <v>1</v>
      </c>
      <c r="CP18" s="358">
        <f t="shared" si="8"/>
        <v>0</v>
      </c>
      <c r="CQ18" s="358">
        <f t="shared" si="9"/>
        <v>1</v>
      </c>
      <c r="CR18" s="358">
        <f t="shared" si="10"/>
        <v>1</v>
      </c>
      <c r="CS18" s="352"/>
      <c r="CT18" s="352"/>
      <c r="CU18" s="352"/>
      <c r="CV18" s="352"/>
      <c r="CW18" s="358">
        <f t="shared" si="11"/>
        <v>0</v>
      </c>
      <c r="CX18" s="358">
        <f t="shared" si="12"/>
        <v>0</v>
      </c>
      <c r="CY18" s="352"/>
      <c r="CZ18" s="352"/>
      <c r="DA18" s="352"/>
      <c r="DB18" s="352"/>
      <c r="DC18" s="352"/>
      <c r="DD18" s="352"/>
      <c r="DE18" s="352"/>
      <c r="DF18" s="352"/>
      <c r="DG18" s="352"/>
      <c r="DH18" s="352"/>
      <c r="DI18" s="352"/>
      <c r="DJ18" s="352"/>
      <c r="DK18" s="352"/>
      <c r="DL18" s="352"/>
      <c r="DM18" s="352"/>
      <c r="DN18" s="352"/>
      <c r="DO18" s="352"/>
      <c r="DP18" s="352"/>
      <c r="DQ18" s="352"/>
      <c r="DR18" s="352"/>
      <c r="DS18" s="352"/>
      <c r="DT18" s="352"/>
    </row>
    <row r="19" spans="1:124" ht="22.5" customHeight="1" x14ac:dyDescent="0.25">
      <c r="A19" s="1641" t="s">
        <v>1199</v>
      </c>
      <c r="B19" s="2191"/>
      <c r="C19" s="157" t="s">
        <v>340</v>
      </c>
      <c r="D19" s="665" t="s">
        <v>1550</v>
      </c>
      <c r="E19" s="666" t="s">
        <v>1551</v>
      </c>
      <c r="F19" s="743" t="s">
        <v>1552</v>
      </c>
      <c r="G19" s="727" t="s">
        <v>1553</v>
      </c>
      <c r="H19" s="863" t="s">
        <v>1554</v>
      </c>
      <c r="I19" s="727" t="s">
        <v>1555</v>
      </c>
      <c r="J19" s="863" t="s">
        <v>1556</v>
      </c>
      <c r="K19" s="727" t="s">
        <v>1557</v>
      </c>
      <c r="L19" s="863" t="s">
        <v>1558</v>
      </c>
      <c r="M19" s="727" t="s">
        <v>1559</v>
      </c>
      <c r="N19" s="863" t="s">
        <v>1560</v>
      </c>
      <c r="O19" s="727" t="s">
        <v>1561</v>
      </c>
      <c r="P19" s="863" t="s">
        <v>1562</v>
      </c>
      <c r="Q19" s="727" t="s">
        <v>1563</v>
      </c>
      <c r="R19" s="863" t="s">
        <v>1564</v>
      </c>
      <c r="S19" s="727" t="s">
        <v>1565</v>
      </c>
      <c r="T19" s="863" t="s">
        <v>1566</v>
      </c>
      <c r="U19" s="727" t="s">
        <v>1567</v>
      </c>
      <c r="V19" s="863" t="s">
        <v>1568</v>
      </c>
      <c r="W19" s="704" t="s">
        <v>1569</v>
      </c>
      <c r="X19" s="705" t="s">
        <v>1570</v>
      </c>
      <c r="Y19" s="704" t="s">
        <v>1571</v>
      </c>
      <c r="Z19" s="705" t="s">
        <v>1572</v>
      </c>
      <c r="AA19" s="704" t="s">
        <v>1573</v>
      </c>
      <c r="AB19" s="705" t="s">
        <v>1574</v>
      </c>
      <c r="AC19" s="704" t="s">
        <v>1575</v>
      </c>
      <c r="AD19" s="705" t="s">
        <v>1576</v>
      </c>
      <c r="AE19" s="704" t="s">
        <v>1577</v>
      </c>
      <c r="AF19" s="705" t="s">
        <v>1578</v>
      </c>
      <c r="AG19" s="704" t="s">
        <v>1579</v>
      </c>
      <c r="AH19" s="706" t="s">
        <v>1580</v>
      </c>
      <c r="AI19" s="752" t="s">
        <v>1581</v>
      </c>
      <c r="AJ19" s="1057" t="s">
        <v>1582</v>
      </c>
      <c r="AK19" s="1060" t="s">
        <v>1583</v>
      </c>
      <c r="AL19" s="1057" t="s">
        <v>1584</v>
      </c>
      <c r="AM19" s="1048" t="s">
        <v>1585</v>
      </c>
      <c r="AN19" s="1507" t="str">
        <f t="shared" si="3"/>
        <v xml:space="preserve">* Pueblos Originarios-Hombres no debe ser mayor al Total de personas en PSCV. * Pueblos Originarios-Mujeres no debe ser mayor al Total de personas en PSCV. * Población Migrantes-Hombres no debe ser mayor al Total de personas en PSCV. * Población Migrantes-Mujeres no debe ser mayor al Total de personas en PSCV. </v>
      </c>
      <c r="AO19" s="124"/>
      <c r="BB19" s="354"/>
      <c r="BC19" s="354"/>
      <c r="BD19" s="354"/>
      <c r="BE19" s="348" t="str">
        <f t="shared" si="4"/>
        <v xml:space="preserve">* Pueblos Originarios-Hombres no debe ser mayor al Total de personas en PSCV. </v>
      </c>
      <c r="BF19" s="348" t="str">
        <f t="shared" si="0"/>
        <v xml:space="preserve">* Pueblos Originarios-Mujeres no debe ser mayor al Total de personas en PSCV. </v>
      </c>
      <c r="BG19" s="348" t="str">
        <f t="shared" si="5"/>
        <v xml:space="preserve">* Población Migrantes-Hombres no debe ser mayor al Total de personas en PSCV. </v>
      </c>
      <c r="BH19" s="348" t="str">
        <f t="shared" si="6"/>
        <v xml:space="preserve">* Población Migrantes-Mujeres no debe ser mayor al Total de personas en PSCV. </v>
      </c>
      <c r="BI19" s="354"/>
      <c r="BJ19" s="354"/>
      <c r="BK19" s="348" t="str">
        <f t="shared" si="1"/>
        <v/>
      </c>
      <c r="BL19" s="348" t="str">
        <f t="shared" si="2"/>
        <v/>
      </c>
      <c r="BM19" s="354"/>
      <c r="BN19" s="354"/>
      <c r="BO19" s="354"/>
      <c r="BP19" s="354"/>
      <c r="BQ19" s="354"/>
      <c r="BR19" s="354"/>
      <c r="BS19" s="354"/>
      <c r="BT19" s="354"/>
      <c r="BU19" s="354"/>
      <c r="BV19" s="354"/>
      <c r="BW19" s="354"/>
      <c r="BX19" s="354"/>
      <c r="BY19" s="354"/>
      <c r="BZ19" s="354"/>
      <c r="CA19" s="354"/>
      <c r="CB19" s="354"/>
      <c r="CC19" s="354"/>
      <c r="CD19" s="354"/>
      <c r="CE19" s="354"/>
      <c r="CF19" s="354"/>
      <c r="CG19" s="354"/>
      <c r="CH19" s="354"/>
      <c r="CI19" s="354"/>
      <c r="CJ19" s="354"/>
      <c r="CK19" s="354"/>
      <c r="CL19" s="354"/>
      <c r="CM19" s="352"/>
      <c r="CN19" s="352"/>
      <c r="CO19" s="358">
        <f t="shared" si="7"/>
        <v>1</v>
      </c>
      <c r="CP19" s="358">
        <f t="shared" si="8"/>
        <v>0</v>
      </c>
      <c r="CQ19" s="358">
        <f t="shared" si="9"/>
        <v>1</v>
      </c>
      <c r="CR19" s="358">
        <f t="shared" si="10"/>
        <v>1</v>
      </c>
      <c r="CS19" s="352"/>
      <c r="CT19" s="352"/>
      <c r="CU19" s="352"/>
      <c r="CV19" s="352"/>
      <c r="CW19" s="358">
        <f t="shared" si="11"/>
        <v>0</v>
      </c>
      <c r="CX19" s="358">
        <f t="shared" si="12"/>
        <v>0</v>
      </c>
      <c r="CY19" s="352"/>
      <c r="CZ19" s="352"/>
      <c r="DA19" s="352"/>
      <c r="DB19" s="352"/>
      <c r="DC19" s="352"/>
      <c r="DD19" s="352"/>
      <c r="DE19" s="352"/>
      <c r="DF19" s="352"/>
      <c r="DG19" s="352"/>
      <c r="DH19" s="352"/>
      <c r="DI19" s="352"/>
      <c r="DJ19" s="352"/>
      <c r="DK19" s="352"/>
      <c r="DL19" s="352"/>
      <c r="DM19" s="352"/>
      <c r="DN19" s="352"/>
      <c r="DO19" s="352"/>
      <c r="DP19" s="352"/>
      <c r="DQ19" s="352"/>
      <c r="DR19" s="352"/>
      <c r="DS19" s="352"/>
      <c r="DT19" s="352"/>
    </row>
    <row r="20" spans="1:124" ht="22.5" customHeight="1" x14ac:dyDescent="0.25">
      <c r="A20" s="1641" t="s">
        <v>1200</v>
      </c>
      <c r="B20" s="2191"/>
      <c r="C20" s="158" t="s">
        <v>341</v>
      </c>
      <c r="D20" s="665" t="s">
        <v>1550</v>
      </c>
      <c r="E20" s="666" t="s">
        <v>1551</v>
      </c>
      <c r="F20" s="743" t="s">
        <v>1552</v>
      </c>
      <c r="G20" s="745" t="s">
        <v>1553</v>
      </c>
      <c r="H20" s="746" t="s">
        <v>1554</v>
      </c>
      <c r="I20" s="745" t="s">
        <v>1555</v>
      </c>
      <c r="J20" s="746" t="s">
        <v>1556</v>
      </c>
      <c r="K20" s="745" t="s">
        <v>1557</v>
      </c>
      <c r="L20" s="746" t="s">
        <v>1558</v>
      </c>
      <c r="M20" s="745" t="s">
        <v>1559</v>
      </c>
      <c r="N20" s="746" t="s">
        <v>1560</v>
      </c>
      <c r="O20" s="745" t="s">
        <v>1561</v>
      </c>
      <c r="P20" s="746" t="s">
        <v>1562</v>
      </c>
      <c r="Q20" s="745" t="s">
        <v>1563</v>
      </c>
      <c r="R20" s="746" t="s">
        <v>1564</v>
      </c>
      <c r="S20" s="745" t="s">
        <v>1565</v>
      </c>
      <c r="T20" s="746" t="s">
        <v>1566</v>
      </c>
      <c r="U20" s="745" t="s">
        <v>1567</v>
      </c>
      <c r="V20" s="746" t="s">
        <v>1568</v>
      </c>
      <c r="W20" s="745" t="s">
        <v>1569</v>
      </c>
      <c r="X20" s="746" t="s">
        <v>1570</v>
      </c>
      <c r="Y20" s="745" t="s">
        <v>1571</v>
      </c>
      <c r="Z20" s="746" t="s">
        <v>1572</v>
      </c>
      <c r="AA20" s="745" t="s">
        <v>1573</v>
      </c>
      <c r="AB20" s="746" t="s">
        <v>1574</v>
      </c>
      <c r="AC20" s="745" t="s">
        <v>1575</v>
      </c>
      <c r="AD20" s="746" t="s">
        <v>1576</v>
      </c>
      <c r="AE20" s="745" t="s">
        <v>1577</v>
      </c>
      <c r="AF20" s="746" t="s">
        <v>1578</v>
      </c>
      <c r="AG20" s="745" t="s">
        <v>1579</v>
      </c>
      <c r="AH20" s="747" t="s">
        <v>1580</v>
      </c>
      <c r="AI20" s="1061" t="s">
        <v>1581</v>
      </c>
      <c r="AJ20" s="1062" t="s">
        <v>1582</v>
      </c>
      <c r="AK20" s="1057" t="s">
        <v>1583</v>
      </c>
      <c r="AL20" s="1057" t="s">
        <v>1584</v>
      </c>
      <c r="AM20" s="1048" t="s">
        <v>1585</v>
      </c>
      <c r="AN20" s="1507" t="str">
        <f t="shared" si="3"/>
        <v xml:space="preserve">* Pueblos Originarios-Hombres no debe ser mayor al Total de personas en PSCV. * Pueblos Originarios-Mujeres no debe ser mayor al Total de personas en PSCV. * Población Migrantes-Hombres no debe ser mayor al Total de personas en PSCV. * Población Migrantes-Mujeres no debe ser mayor al Total de personas en PSCV. </v>
      </c>
      <c r="AO20" s="124"/>
      <c r="BB20" s="354"/>
      <c r="BC20" s="354"/>
      <c r="BD20" s="354"/>
      <c r="BE20" s="348" t="str">
        <f t="shared" si="4"/>
        <v xml:space="preserve">* Pueblos Originarios-Hombres no debe ser mayor al Total de personas en PSCV. </v>
      </c>
      <c r="BF20" s="348" t="str">
        <f t="shared" si="0"/>
        <v xml:space="preserve">* Pueblos Originarios-Mujeres no debe ser mayor al Total de personas en PSCV. </v>
      </c>
      <c r="BG20" s="348" t="str">
        <f t="shared" si="5"/>
        <v xml:space="preserve">* Población Migrantes-Hombres no debe ser mayor al Total de personas en PSCV. </v>
      </c>
      <c r="BH20" s="348" t="str">
        <f t="shared" si="6"/>
        <v xml:space="preserve">* Población Migrantes-Mujeres no debe ser mayor al Total de personas en PSCV. </v>
      </c>
      <c r="BI20" s="354"/>
      <c r="BJ20" s="354"/>
      <c r="BK20" s="348" t="str">
        <f t="shared" si="1"/>
        <v/>
      </c>
      <c r="BL20" s="348" t="str">
        <f t="shared" si="2"/>
        <v/>
      </c>
      <c r="BM20" s="354"/>
      <c r="BN20" s="354"/>
      <c r="BO20" s="354"/>
      <c r="BP20" s="354"/>
      <c r="BQ20" s="354"/>
      <c r="BR20" s="354"/>
      <c r="BS20" s="354"/>
      <c r="BT20" s="354"/>
      <c r="BU20" s="354"/>
      <c r="BV20" s="354"/>
      <c r="BW20" s="354"/>
      <c r="BX20" s="354"/>
      <c r="BY20" s="354"/>
      <c r="BZ20" s="354"/>
      <c r="CA20" s="354"/>
      <c r="CB20" s="354"/>
      <c r="CC20" s="354"/>
      <c r="CD20" s="354"/>
      <c r="CE20" s="354"/>
      <c r="CF20" s="354"/>
      <c r="CG20" s="354"/>
      <c r="CH20" s="354"/>
      <c r="CI20" s="354"/>
      <c r="CJ20" s="354"/>
      <c r="CK20" s="354"/>
      <c r="CL20" s="354"/>
      <c r="CM20" s="352"/>
      <c r="CN20" s="352"/>
      <c r="CO20" s="358">
        <f t="shared" si="7"/>
        <v>1</v>
      </c>
      <c r="CP20" s="358">
        <f t="shared" si="8"/>
        <v>0</v>
      </c>
      <c r="CQ20" s="358">
        <f t="shared" si="9"/>
        <v>1</v>
      </c>
      <c r="CR20" s="358">
        <f t="shared" si="10"/>
        <v>1</v>
      </c>
      <c r="CS20" s="352"/>
      <c r="CT20" s="352"/>
      <c r="CU20" s="352"/>
      <c r="CV20" s="352"/>
      <c r="CW20" s="358">
        <f t="shared" si="11"/>
        <v>0</v>
      </c>
      <c r="CX20" s="358">
        <f t="shared" si="12"/>
        <v>0</v>
      </c>
      <c r="CY20" s="352"/>
      <c r="CZ20" s="352"/>
      <c r="DA20" s="352"/>
      <c r="DB20" s="352"/>
      <c r="DC20" s="352"/>
      <c r="DD20" s="352"/>
      <c r="DE20" s="352"/>
      <c r="DF20" s="352"/>
      <c r="DG20" s="352"/>
      <c r="DH20" s="352"/>
      <c r="DI20" s="352"/>
      <c r="DJ20" s="352"/>
      <c r="DK20" s="352"/>
      <c r="DL20" s="352"/>
      <c r="DM20" s="352"/>
      <c r="DN20" s="352"/>
      <c r="DO20" s="352"/>
      <c r="DP20" s="352"/>
      <c r="DQ20" s="352"/>
      <c r="DR20" s="352"/>
      <c r="DS20" s="352"/>
      <c r="DT20" s="352"/>
    </row>
    <row r="21" spans="1:124" ht="22.5" customHeight="1" x14ac:dyDescent="0.25">
      <c r="A21" s="1641" t="s">
        <v>1201</v>
      </c>
      <c r="B21" s="2192"/>
      <c r="C21" s="159" t="s">
        <v>671</v>
      </c>
      <c r="D21" s="668" t="s">
        <v>1550</v>
      </c>
      <c r="E21" s="669" t="s">
        <v>1551</v>
      </c>
      <c r="F21" s="741" t="s">
        <v>1552</v>
      </c>
      <c r="G21" s="689" t="s">
        <v>1553</v>
      </c>
      <c r="H21" s="690" t="s">
        <v>1554</v>
      </c>
      <c r="I21" s="689" t="s">
        <v>1555</v>
      </c>
      <c r="J21" s="690" t="s">
        <v>1556</v>
      </c>
      <c r="K21" s="689" t="s">
        <v>1557</v>
      </c>
      <c r="L21" s="690" t="s">
        <v>1558</v>
      </c>
      <c r="M21" s="689" t="s">
        <v>1559</v>
      </c>
      <c r="N21" s="690" t="s">
        <v>1560</v>
      </c>
      <c r="O21" s="689" t="s">
        <v>1561</v>
      </c>
      <c r="P21" s="690" t="s">
        <v>1562</v>
      </c>
      <c r="Q21" s="689" t="s">
        <v>1563</v>
      </c>
      <c r="R21" s="690" t="s">
        <v>1564</v>
      </c>
      <c r="S21" s="689" t="s">
        <v>1565</v>
      </c>
      <c r="T21" s="690" t="s">
        <v>1566</v>
      </c>
      <c r="U21" s="689" t="s">
        <v>1567</v>
      </c>
      <c r="V21" s="690" t="s">
        <v>1568</v>
      </c>
      <c r="W21" s="689" t="s">
        <v>1569</v>
      </c>
      <c r="X21" s="690" t="s">
        <v>1570</v>
      </c>
      <c r="Y21" s="689" t="s">
        <v>1571</v>
      </c>
      <c r="Z21" s="690" t="s">
        <v>1572</v>
      </c>
      <c r="AA21" s="689" t="s">
        <v>1573</v>
      </c>
      <c r="AB21" s="690" t="s">
        <v>1574</v>
      </c>
      <c r="AC21" s="689" t="s">
        <v>1575</v>
      </c>
      <c r="AD21" s="690" t="s">
        <v>1576</v>
      </c>
      <c r="AE21" s="689" t="s">
        <v>1577</v>
      </c>
      <c r="AF21" s="690" t="s">
        <v>1578</v>
      </c>
      <c r="AG21" s="689" t="s">
        <v>1579</v>
      </c>
      <c r="AH21" s="720" t="s">
        <v>1580</v>
      </c>
      <c r="AI21" s="1058" t="s">
        <v>1581</v>
      </c>
      <c r="AJ21" s="1059" t="s">
        <v>1582</v>
      </c>
      <c r="AK21" s="1059" t="s">
        <v>1583</v>
      </c>
      <c r="AL21" s="1059" t="s">
        <v>1584</v>
      </c>
      <c r="AM21" s="748" t="s">
        <v>1585</v>
      </c>
      <c r="AN21" s="1507" t="str">
        <f t="shared" si="3"/>
        <v xml:space="preserve">* Pueblos Originarios-Hombres no debe ser mayor al Total de personas en PSCV. * Pueblos Originarios-Mujeres no debe ser mayor al Total de personas en PSCV. * Población Migrantes-Hombres no debe ser mayor al Total de personas en PSCV. * Población Migrantes-Mujeres no debe ser mayor al Total de personas en PSCV. </v>
      </c>
      <c r="AO21" s="124"/>
      <c r="BB21" s="354"/>
      <c r="BC21" s="354"/>
      <c r="BD21" s="354"/>
      <c r="BE21" s="348" t="str">
        <f t="shared" si="4"/>
        <v xml:space="preserve">* Pueblos Originarios-Hombres no debe ser mayor al Total de personas en PSCV. </v>
      </c>
      <c r="BF21" s="348" t="str">
        <f t="shared" si="0"/>
        <v xml:space="preserve">* Pueblos Originarios-Mujeres no debe ser mayor al Total de personas en PSCV. </v>
      </c>
      <c r="BG21" s="348" t="str">
        <f t="shared" si="5"/>
        <v xml:space="preserve">* Población Migrantes-Hombres no debe ser mayor al Total de personas en PSCV. </v>
      </c>
      <c r="BH21" s="348" t="str">
        <f t="shared" si="6"/>
        <v xml:space="preserve">* Población Migrantes-Mujeres no debe ser mayor al Total de personas en PSCV. </v>
      </c>
      <c r="BI21" s="354"/>
      <c r="BJ21" s="354"/>
      <c r="BK21" s="348" t="str">
        <f t="shared" si="1"/>
        <v/>
      </c>
      <c r="BL21" s="348" t="str">
        <f t="shared" si="2"/>
        <v/>
      </c>
      <c r="BM21" s="354"/>
      <c r="BN21" s="354"/>
      <c r="BO21" s="354"/>
      <c r="BP21" s="354"/>
      <c r="BQ21" s="354"/>
      <c r="BR21" s="354"/>
      <c r="BS21" s="354"/>
      <c r="BT21" s="354"/>
      <c r="BU21" s="354"/>
      <c r="BV21" s="354"/>
      <c r="BW21" s="354"/>
      <c r="BX21" s="354"/>
      <c r="BY21" s="354"/>
      <c r="BZ21" s="354"/>
      <c r="CA21" s="354"/>
      <c r="CB21" s="354"/>
      <c r="CC21" s="354"/>
      <c r="CD21" s="354"/>
      <c r="CE21" s="354"/>
      <c r="CF21" s="354"/>
      <c r="CG21" s="354"/>
      <c r="CH21" s="354"/>
      <c r="CI21" s="354"/>
      <c r="CJ21" s="354"/>
      <c r="CK21" s="354"/>
      <c r="CL21" s="354"/>
      <c r="CM21" s="352"/>
      <c r="CN21" s="352"/>
      <c r="CO21" s="358">
        <f t="shared" si="7"/>
        <v>1</v>
      </c>
      <c r="CP21" s="358">
        <f t="shared" si="8"/>
        <v>0</v>
      </c>
      <c r="CQ21" s="358">
        <f t="shared" si="9"/>
        <v>1</v>
      </c>
      <c r="CR21" s="358">
        <f t="shared" si="10"/>
        <v>1</v>
      </c>
      <c r="CS21" s="352"/>
      <c r="CT21" s="352"/>
      <c r="CU21" s="352"/>
      <c r="CV21" s="352"/>
      <c r="CW21" s="358">
        <f t="shared" si="11"/>
        <v>0</v>
      </c>
      <c r="CX21" s="358">
        <f t="shared" si="12"/>
        <v>0</v>
      </c>
      <c r="CY21" s="352"/>
      <c r="CZ21" s="352"/>
      <c r="DA21" s="352"/>
      <c r="DB21" s="352"/>
      <c r="DC21" s="352"/>
      <c r="DD21" s="352"/>
      <c r="DE21" s="352"/>
      <c r="DF21" s="352"/>
      <c r="DG21" s="352"/>
      <c r="DH21" s="352"/>
      <c r="DI21" s="352"/>
      <c r="DJ21" s="352"/>
      <c r="DK21" s="352"/>
      <c r="DL21" s="352"/>
      <c r="DM21" s="352"/>
      <c r="DN21" s="352"/>
      <c r="DO21" s="352"/>
      <c r="DP21" s="352"/>
      <c r="DQ21" s="352"/>
      <c r="DR21" s="352"/>
      <c r="DS21" s="352"/>
      <c r="DT21" s="352"/>
    </row>
    <row r="22" spans="1:124" ht="22.5" customHeight="1" x14ac:dyDescent="0.25">
      <c r="A22" s="1641" t="s">
        <v>1202</v>
      </c>
      <c r="B22" s="2202" t="s">
        <v>669</v>
      </c>
      <c r="C22" s="160" t="s">
        <v>162</v>
      </c>
      <c r="D22" s="671" t="s">
        <v>1550</v>
      </c>
      <c r="E22" s="737" t="s">
        <v>1551</v>
      </c>
      <c r="F22" s="749" t="s">
        <v>1552</v>
      </c>
      <c r="G22" s="704" t="s">
        <v>1553</v>
      </c>
      <c r="H22" s="705" t="s">
        <v>1554</v>
      </c>
      <c r="I22" s="704" t="s">
        <v>1555</v>
      </c>
      <c r="J22" s="705" t="s">
        <v>1556</v>
      </c>
      <c r="K22" s="704" t="s">
        <v>1557</v>
      </c>
      <c r="L22" s="705" t="s">
        <v>1558</v>
      </c>
      <c r="M22" s="704" t="s">
        <v>1559</v>
      </c>
      <c r="N22" s="705" t="s">
        <v>1560</v>
      </c>
      <c r="O22" s="704" t="s">
        <v>1561</v>
      </c>
      <c r="P22" s="705" t="s">
        <v>1562</v>
      </c>
      <c r="Q22" s="704" t="s">
        <v>1563</v>
      </c>
      <c r="R22" s="705" t="s">
        <v>1564</v>
      </c>
      <c r="S22" s="704" t="s">
        <v>1565</v>
      </c>
      <c r="T22" s="705" t="s">
        <v>1566</v>
      </c>
      <c r="U22" s="704" t="s">
        <v>1567</v>
      </c>
      <c r="V22" s="705" t="s">
        <v>1568</v>
      </c>
      <c r="W22" s="704" t="s">
        <v>1569</v>
      </c>
      <c r="X22" s="705" t="s">
        <v>1570</v>
      </c>
      <c r="Y22" s="704" t="s">
        <v>1571</v>
      </c>
      <c r="Z22" s="705" t="s">
        <v>1572</v>
      </c>
      <c r="AA22" s="704" t="s">
        <v>1573</v>
      </c>
      <c r="AB22" s="705" t="s">
        <v>1574</v>
      </c>
      <c r="AC22" s="704" t="s">
        <v>1575</v>
      </c>
      <c r="AD22" s="705" t="s">
        <v>1576</v>
      </c>
      <c r="AE22" s="704" t="s">
        <v>1577</v>
      </c>
      <c r="AF22" s="705" t="s">
        <v>1578</v>
      </c>
      <c r="AG22" s="704" t="s">
        <v>1579</v>
      </c>
      <c r="AH22" s="706" t="s">
        <v>1580</v>
      </c>
      <c r="AI22" s="751" t="s">
        <v>1581</v>
      </c>
      <c r="AJ22" s="1063" t="s">
        <v>1582</v>
      </c>
      <c r="AK22" s="1063" t="s">
        <v>1583</v>
      </c>
      <c r="AL22" s="1063" t="s">
        <v>1584</v>
      </c>
      <c r="AM22" s="723" t="s">
        <v>1585</v>
      </c>
      <c r="AN22" s="1507" t="str">
        <f t="shared" ref="AN22:AN28" si="13" xml:space="preserve"> BE22 &amp; BF22 &amp; BI22 &amp; BG22 &amp; BH22 &amp; BK22 &amp; BL22</f>
        <v xml:space="preserve">* Pueblos Originarios-Hombres no debe ser mayor al Total de personas en PSCV. * Pueblos Originarios-Mujeres no debe ser mayor al Total de personas en PSCV. * Personas diabéticas 'Sin enfermedad renal' no debe ser mayor que el Total pacientes evaluados. * Población Migrantes-Hombres no debe ser mayor al Total de personas en PSCV. * Población Migrantes-Mujeres no debe ser mayor al Total de personas en PSCV. </v>
      </c>
      <c r="AO22" s="124"/>
      <c r="AP22" s="124"/>
      <c r="AQ22" s="124"/>
      <c r="AR22" s="124"/>
      <c r="AS22" s="124"/>
      <c r="AT22" s="124"/>
      <c r="AU22" s="124"/>
      <c r="AV22" s="124"/>
      <c r="AW22" s="124"/>
      <c r="AX22" s="124"/>
      <c r="AY22" s="124"/>
      <c r="AZ22" s="124"/>
      <c r="BA22" s="124"/>
      <c r="BB22" s="310"/>
      <c r="BC22" s="310"/>
      <c r="BD22" s="354"/>
      <c r="BE22" s="348" t="str">
        <f t="shared" si="4"/>
        <v xml:space="preserve">* Pueblos Originarios-Hombres no debe ser mayor al Total de personas en PSCV. </v>
      </c>
      <c r="BF22" s="348" t="str">
        <f t="shared" si="0"/>
        <v xml:space="preserve">* Pueblos Originarios-Mujeres no debe ser mayor al Total de personas en PSCV. </v>
      </c>
      <c r="BG22" s="348" t="str">
        <f t="shared" si="5"/>
        <v xml:space="preserve">* Población Migrantes-Hombres no debe ser mayor al Total de personas en PSCV. </v>
      </c>
      <c r="BH22" s="348" t="str">
        <f t="shared" si="6"/>
        <v xml:space="preserve">* Población Migrantes-Mujeres no debe ser mayor al Total de personas en PSCV. </v>
      </c>
      <c r="BI22" s="348" t="str">
        <f>IF($AM22&lt;=$D22,"","* Personas diabéticas 'Sin enfermedad renal' no debe ser mayor que el Total pacientes evaluados. ")</f>
        <v xml:space="preserve">* Personas diabéticas 'Sin enfermedad renal' no debe ser mayor que el Total pacientes evaluados. </v>
      </c>
      <c r="BJ22" s="354"/>
      <c r="BK22" s="348" t="str">
        <f t="shared" si="1"/>
        <v/>
      </c>
      <c r="BL22" s="348" t="str">
        <f t="shared" si="2"/>
        <v/>
      </c>
      <c r="BM22" s="354"/>
      <c r="BN22" s="354"/>
      <c r="BO22" s="354"/>
      <c r="BP22" s="354"/>
      <c r="BQ22" s="354"/>
      <c r="BR22" s="354"/>
      <c r="BS22" s="354"/>
      <c r="BT22" s="354"/>
      <c r="BU22" s="354"/>
      <c r="BV22" s="354"/>
      <c r="BW22" s="354"/>
      <c r="BX22" s="354"/>
      <c r="BY22" s="354"/>
      <c r="BZ22" s="354"/>
      <c r="CA22" s="354"/>
      <c r="CB22" s="354"/>
      <c r="CC22" s="354"/>
      <c r="CD22" s="354"/>
      <c r="CE22" s="354"/>
      <c r="CF22" s="354"/>
      <c r="CG22" s="354"/>
      <c r="CH22" s="354"/>
      <c r="CI22" s="354"/>
      <c r="CJ22" s="354"/>
      <c r="CK22" s="354"/>
      <c r="CL22" s="354"/>
      <c r="CM22" s="352"/>
      <c r="CN22" s="352"/>
      <c r="CO22" s="358">
        <f t="shared" si="7"/>
        <v>1</v>
      </c>
      <c r="CP22" s="358">
        <f t="shared" si="8"/>
        <v>0</v>
      </c>
      <c r="CQ22" s="358">
        <f t="shared" si="9"/>
        <v>1</v>
      </c>
      <c r="CR22" s="358">
        <f t="shared" si="10"/>
        <v>1</v>
      </c>
      <c r="CS22" s="358">
        <f>IF($AM22&lt;=$D22,0,1)</f>
        <v>1</v>
      </c>
      <c r="CT22" s="352"/>
      <c r="CU22" s="352"/>
      <c r="CV22" s="352"/>
      <c r="CW22" s="358">
        <f>IF(AND(E25&lt;&gt;0,AI25=""),1,IF(AND(F25&lt;&gt;0,AJ25=""),1,0))</f>
        <v>0</v>
      </c>
      <c r="CX22" s="358">
        <f>IF(AND(E25&lt;&gt;0,AK25=""),1,IF(AND(F25&lt;&gt;0,AL25=""),1,0))</f>
        <v>0</v>
      </c>
      <c r="CY22" s="352"/>
      <c r="CZ22" s="352"/>
      <c r="DA22" s="352"/>
      <c r="DB22" s="352"/>
      <c r="DC22" s="352"/>
      <c r="DD22" s="352"/>
      <c r="DE22" s="352"/>
      <c r="DF22" s="352"/>
      <c r="DG22" s="352"/>
      <c r="DH22" s="352"/>
      <c r="DI22" s="352"/>
      <c r="DJ22" s="352"/>
      <c r="DK22" s="352"/>
      <c r="DL22" s="352"/>
      <c r="DM22" s="352"/>
      <c r="DN22" s="352"/>
      <c r="DO22" s="352"/>
      <c r="DP22" s="352"/>
      <c r="DQ22" s="352"/>
      <c r="DR22" s="352"/>
      <c r="DS22" s="352"/>
      <c r="DT22" s="352"/>
    </row>
    <row r="23" spans="1:124" ht="22.5" customHeight="1" x14ac:dyDescent="0.25">
      <c r="A23" s="1641" t="s">
        <v>1203</v>
      </c>
      <c r="B23" s="2202"/>
      <c r="C23" s="1179" t="s">
        <v>672</v>
      </c>
      <c r="D23" s="665" t="s">
        <v>1550</v>
      </c>
      <c r="E23" s="666" t="s">
        <v>1551</v>
      </c>
      <c r="F23" s="743" t="s">
        <v>1552</v>
      </c>
      <c r="G23" s="684" t="s">
        <v>1553</v>
      </c>
      <c r="H23" s="685" t="s">
        <v>1554</v>
      </c>
      <c r="I23" s="684" t="s">
        <v>1555</v>
      </c>
      <c r="J23" s="685" t="s">
        <v>1556</v>
      </c>
      <c r="K23" s="684" t="s">
        <v>1557</v>
      </c>
      <c r="L23" s="685" t="s">
        <v>1558</v>
      </c>
      <c r="M23" s="684" t="s">
        <v>1559</v>
      </c>
      <c r="N23" s="685" t="s">
        <v>1560</v>
      </c>
      <c r="O23" s="684" t="s">
        <v>1561</v>
      </c>
      <c r="P23" s="685" t="s">
        <v>1562</v>
      </c>
      <c r="Q23" s="684" t="s">
        <v>1563</v>
      </c>
      <c r="R23" s="685" t="s">
        <v>1564</v>
      </c>
      <c r="S23" s="684" t="s">
        <v>1565</v>
      </c>
      <c r="T23" s="685" t="s">
        <v>1566</v>
      </c>
      <c r="U23" s="684" t="s">
        <v>1567</v>
      </c>
      <c r="V23" s="685" t="s">
        <v>1568</v>
      </c>
      <c r="W23" s="684" t="s">
        <v>1569</v>
      </c>
      <c r="X23" s="685" t="s">
        <v>1570</v>
      </c>
      <c r="Y23" s="684" t="s">
        <v>1571</v>
      </c>
      <c r="Z23" s="685" t="s">
        <v>1572</v>
      </c>
      <c r="AA23" s="684" t="s">
        <v>1573</v>
      </c>
      <c r="AB23" s="685" t="s">
        <v>1574</v>
      </c>
      <c r="AC23" s="684" t="s">
        <v>1575</v>
      </c>
      <c r="AD23" s="685" t="s">
        <v>1576</v>
      </c>
      <c r="AE23" s="684" t="s">
        <v>1577</v>
      </c>
      <c r="AF23" s="685" t="s">
        <v>1578</v>
      </c>
      <c r="AG23" s="684" t="s">
        <v>1579</v>
      </c>
      <c r="AH23" s="693" t="s">
        <v>1580</v>
      </c>
      <c r="AI23" s="752" t="s">
        <v>1581</v>
      </c>
      <c r="AJ23" s="1057" t="s">
        <v>1582</v>
      </c>
      <c r="AK23" s="1060" t="s">
        <v>1583</v>
      </c>
      <c r="AL23" s="1057" t="s">
        <v>1584</v>
      </c>
      <c r="AM23" s="853" t="s">
        <v>1585</v>
      </c>
      <c r="AN23" s="1507" t="str">
        <f t="shared" si="13"/>
        <v xml:space="preserve">* Pueblos Originarios-Hombres no debe ser mayor al Total de personas en PSCV. * Pueblos Originarios-Mujeres no debe ser mayor al Total de personas en PSCV. * Personas diabéticas 'Etapa G1 no debe ser mayor que el Total pacientes evaluados. * Población Migrantes-Hombres no debe ser mayor al Total de personas en PSCV. * Población Migrantes-Mujeres no debe ser mayor al Total de personas en PSCV. </v>
      </c>
      <c r="AO23" s="124"/>
      <c r="AP23" s="124"/>
      <c r="AQ23" s="124"/>
      <c r="AR23" s="124"/>
      <c r="AS23" s="124"/>
      <c r="AT23" s="124"/>
      <c r="AU23" s="124"/>
      <c r="AV23" s="124"/>
      <c r="AW23" s="124"/>
      <c r="AX23" s="124"/>
      <c r="AY23" s="124"/>
      <c r="AZ23" s="124"/>
      <c r="BA23" s="124"/>
      <c r="BB23" s="310"/>
      <c r="BC23" s="310"/>
      <c r="BD23" s="354"/>
      <c r="BE23" s="348" t="str">
        <f t="shared" si="4"/>
        <v xml:space="preserve">* Pueblos Originarios-Hombres no debe ser mayor al Total de personas en PSCV. </v>
      </c>
      <c r="BF23" s="348" t="str">
        <f t="shared" si="0"/>
        <v xml:space="preserve">* Pueblos Originarios-Mujeres no debe ser mayor al Total de personas en PSCV. </v>
      </c>
      <c r="BG23" s="348" t="str">
        <f t="shared" si="5"/>
        <v xml:space="preserve">* Población Migrantes-Hombres no debe ser mayor al Total de personas en PSCV. </v>
      </c>
      <c r="BH23" s="348" t="str">
        <f t="shared" si="6"/>
        <v xml:space="preserve">* Población Migrantes-Mujeres no debe ser mayor al Total de personas en PSCV. </v>
      </c>
      <c r="BI23" s="348" t="str">
        <f>IF($AM23&lt;=$D23,"","* Personas diabéticas 'Etapa G1 no debe ser mayor que el Total pacientes evaluados. ")</f>
        <v xml:space="preserve">* Personas diabéticas 'Etapa G1 no debe ser mayor que el Total pacientes evaluados. </v>
      </c>
      <c r="BJ23" s="354"/>
      <c r="BK23" s="348" t="str">
        <f t="shared" si="1"/>
        <v/>
      </c>
      <c r="BL23" s="348" t="str">
        <f t="shared" si="2"/>
        <v/>
      </c>
      <c r="BM23" s="354"/>
      <c r="BN23" s="354"/>
      <c r="BO23" s="354"/>
      <c r="BP23" s="354"/>
      <c r="BQ23" s="354"/>
      <c r="BR23" s="354"/>
      <c r="BS23" s="354"/>
      <c r="BT23" s="354"/>
      <c r="BU23" s="354"/>
      <c r="BV23" s="354"/>
      <c r="BW23" s="354"/>
      <c r="BX23" s="354"/>
      <c r="BY23" s="354"/>
      <c r="BZ23" s="354"/>
      <c r="CA23" s="354"/>
      <c r="CB23" s="354"/>
      <c r="CC23" s="354"/>
      <c r="CD23" s="354"/>
      <c r="CE23" s="354"/>
      <c r="CF23" s="354"/>
      <c r="CG23" s="354"/>
      <c r="CH23" s="354"/>
      <c r="CI23" s="354"/>
      <c r="CJ23" s="354"/>
      <c r="CK23" s="354"/>
      <c r="CL23" s="354"/>
      <c r="CM23" s="352"/>
      <c r="CN23" s="352"/>
      <c r="CO23" s="358">
        <f t="shared" si="7"/>
        <v>1</v>
      </c>
      <c r="CP23" s="358">
        <f t="shared" si="8"/>
        <v>0</v>
      </c>
      <c r="CQ23" s="358">
        <f t="shared" si="9"/>
        <v>1</v>
      </c>
      <c r="CR23" s="358">
        <f t="shared" si="10"/>
        <v>1</v>
      </c>
      <c r="CS23" s="358">
        <f t="shared" ref="CS23:CS28" si="14">IF($AM23&lt;=$D23,0,1)</f>
        <v>1</v>
      </c>
      <c r="CT23" s="352"/>
      <c r="CU23" s="352"/>
      <c r="CV23" s="352"/>
      <c r="CW23" s="358">
        <f>IF(AND(E26&lt;&gt;0,AI26=""),1,IF(AND(F26&lt;&gt;0,AJ26=""),1,0))</f>
        <v>0</v>
      </c>
      <c r="CX23" s="358">
        <f>IF(AND(E26&lt;&gt;0,AK26=""),1,IF(AND(F26&lt;&gt;0,AL26=""),1,0))</f>
        <v>0</v>
      </c>
      <c r="CY23" s="352"/>
      <c r="CZ23" s="352"/>
      <c r="DA23" s="352"/>
      <c r="DB23" s="352"/>
      <c r="DC23" s="352"/>
      <c r="DD23" s="352"/>
      <c r="DE23" s="352"/>
      <c r="DF23" s="352"/>
      <c r="DG23" s="352"/>
      <c r="DH23" s="352"/>
      <c r="DI23" s="352"/>
      <c r="DJ23" s="352"/>
      <c r="DK23" s="352"/>
      <c r="DL23" s="352"/>
      <c r="DM23" s="352"/>
      <c r="DN23" s="352"/>
      <c r="DO23" s="352"/>
      <c r="DP23" s="352"/>
      <c r="DQ23" s="352"/>
      <c r="DR23" s="352"/>
      <c r="DS23" s="352"/>
      <c r="DT23" s="352"/>
    </row>
    <row r="24" spans="1:124" ht="22.5" customHeight="1" x14ac:dyDescent="0.25">
      <c r="A24" s="1641" t="s">
        <v>1204</v>
      </c>
      <c r="B24" s="2202"/>
      <c r="C24" s="1179" t="s">
        <v>673</v>
      </c>
      <c r="D24" s="665" t="s">
        <v>1550</v>
      </c>
      <c r="E24" s="666" t="s">
        <v>1551</v>
      </c>
      <c r="F24" s="743" t="s">
        <v>1552</v>
      </c>
      <c r="G24" s="684" t="s">
        <v>1553</v>
      </c>
      <c r="H24" s="685" t="s">
        <v>1554</v>
      </c>
      <c r="I24" s="684" t="s">
        <v>1555</v>
      </c>
      <c r="J24" s="685" t="s">
        <v>1556</v>
      </c>
      <c r="K24" s="684" t="s">
        <v>1557</v>
      </c>
      <c r="L24" s="685" t="s">
        <v>1558</v>
      </c>
      <c r="M24" s="684" t="s">
        <v>1559</v>
      </c>
      <c r="N24" s="685" t="s">
        <v>1560</v>
      </c>
      <c r="O24" s="684" t="s">
        <v>1561</v>
      </c>
      <c r="P24" s="685" t="s">
        <v>1562</v>
      </c>
      <c r="Q24" s="684" t="s">
        <v>1563</v>
      </c>
      <c r="R24" s="685" t="s">
        <v>1564</v>
      </c>
      <c r="S24" s="684" t="s">
        <v>1565</v>
      </c>
      <c r="T24" s="685" t="s">
        <v>1566</v>
      </c>
      <c r="U24" s="684" t="s">
        <v>1567</v>
      </c>
      <c r="V24" s="685" t="s">
        <v>1568</v>
      </c>
      <c r="W24" s="684" t="s">
        <v>1569</v>
      </c>
      <c r="X24" s="685" t="s">
        <v>1570</v>
      </c>
      <c r="Y24" s="684" t="s">
        <v>1571</v>
      </c>
      <c r="Z24" s="685" t="s">
        <v>1572</v>
      </c>
      <c r="AA24" s="684" t="s">
        <v>1573</v>
      </c>
      <c r="AB24" s="685" t="s">
        <v>1574</v>
      </c>
      <c r="AC24" s="684" t="s">
        <v>1575</v>
      </c>
      <c r="AD24" s="685" t="s">
        <v>1576</v>
      </c>
      <c r="AE24" s="684" t="s">
        <v>1577</v>
      </c>
      <c r="AF24" s="685" t="s">
        <v>1578</v>
      </c>
      <c r="AG24" s="684" t="s">
        <v>1579</v>
      </c>
      <c r="AH24" s="693" t="s">
        <v>1580</v>
      </c>
      <c r="AI24" s="752" t="s">
        <v>1581</v>
      </c>
      <c r="AJ24" s="1057" t="s">
        <v>1582</v>
      </c>
      <c r="AK24" s="1060" t="s">
        <v>1583</v>
      </c>
      <c r="AL24" s="1057" t="s">
        <v>1584</v>
      </c>
      <c r="AM24" s="853" t="s">
        <v>1585</v>
      </c>
      <c r="AN24" s="1507" t="str">
        <f xml:space="preserve"> BE24 &amp; BF24 &amp; BI24 &amp; BG24 &amp; BH24 &amp; BK24 &amp; BL24</f>
        <v xml:space="preserve">* Pueblos Originarios-Hombres no debe ser mayor al Total de personas en PSCV. * Pueblos Originarios-Mujeres no debe ser mayor al Total de personas en PSCV. * Personas diabéticas 'Etapa G2' no debe ser mayor que el Total pacientes evaluados. * Población Migrantes-Hombres no debe ser mayor al Total de personas en PSCV. * Población Migrantes-Mujeres no debe ser mayor al Total de personas en PSCV. </v>
      </c>
      <c r="AO24" s="124"/>
      <c r="AP24" s="124"/>
      <c r="AQ24" s="124"/>
      <c r="AR24" s="124"/>
      <c r="AS24" s="124"/>
      <c r="AT24" s="124"/>
      <c r="AU24" s="124"/>
      <c r="AV24" s="124"/>
      <c r="AW24" s="124"/>
      <c r="AX24" s="124"/>
      <c r="AY24" s="124"/>
      <c r="AZ24" s="124"/>
      <c r="BA24" s="124"/>
      <c r="BB24" s="310"/>
      <c r="BC24" s="310"/>
      <c r="BD24" s="354"/>
      <c r="BE24" s="348" t="str">
        <f>IF($E24&gt;=$AI24,"","* Pueblos Originarios-Hombres no debe ser mayor al Total de personas en PSCV. ")</f>
        <v xml:space="preserve">* Pueblos Originarios-Hombres no debe ser mayor al Total de personas en PSCV. </v>
      </c>
      <c r="BF24" s="348" t="str">
        <f t="shared" si="0"/>
        <v xml:space="preserve">* Pueblos Originarios-Mujeres no debe ser mayor al Total de personas en PSCV. </v>
      </c>
      <c r="BG24" s="348" t="str">
        <f t="shared" si="5"/>
        <v xml:space="preserve">* Población Migrantes-Hombres no debe ser mayor al Total de personas en PSCV. </v>
      </c>
      <c r="BH24" s="348" t="str">
        <f>IF($F24&gt;=$AL24,"","* Población Migrantes-Mujeres no debe ser mayor al Total de personas en PSCV. ")</f>
        <v xml:space="preserve">* Población Migrantes-Mujeres no debe ser mayor al Total de personas en PSCV. </v>
      </c>
      <c r="BI24" s="348" t="str">
        <f>IF($AM24&lt;=$D24,"","* Personas diabéticas 'Etapa G2' no debe ser mayor que el Total pacientes evaluados. ")</f>
        <v xml:space="preserve">* Personas diabéticas 'Etapa G2' no debe ser mayor que el Total pacientes evaluados. </v>
      </c>
      <c r="BJ24" s="354"/>
      <c r="BK24" s="348" t="str">
        <f t="shared" ref="BK24" si="15">IF(AND(E24&lt;&gt;0,AI24=""),"* No olvide escribir en la celda de 'Pueblos Originarios' (Digite CERO si no tiene). ",IF(AND(F24&lt;&gt;0,AJ24=""),"* No olvide escribir en la celda de 'Pueblos Originarios' (Digite CERO si no tiene). ",""))</f>
        <v/>
      </c>
      <c r="BL24" s="348" t="str">
        <f t="shared" ref="BL24" si="16">IF(AND(E24&lt;&gt;0,AK24=""),"* No olvide escribir en la celda de 'Población Migrantes' (Digite CERO si no tiene). ",IF(AND(F24&lt;&gt;0,AL24=""),"* No olvide escribir en la celda de 'Población Migrantes' (Digite CERO si no tiene). ",""))</f>
        <v/>
      </c>
      <c r="BM24" s="354"/>
      <c r="BN24" s="354"/>
      <c r="BO24" s="354"/>
      <c r="BP24" s="354"/>
      <c r="BQ24" s="354"/>
      <c r="BR24" s="354"/>
      <c r="BS24" s="354"/>
      <c r="BT24" s="354"/>
      <c r="BU24" s="354"/>
      <c r="BV24" s="354"/>
      <c r="BW24" s="354"/>
      <c r="BX24" s="354"/>
      <c r="BY24" s="354"/>
      <c r="BZ24" s="354"/>
      <c r="CA24" s="354"/>
      <c r="CB24" s="354"/>
      <c r="CC24" s="354"/>
      <c r="CD24" s="354"/>
      <c r="CE24" s="354"/>
      <c r="CF24" s="354"/>
      <c r="CG24" s="354"/>
      <c r="CH24" s="354"/>
      <c r="CI24" s="354"/>
      <c r="CJ24" s="354"/>
      <c r="CK24" s="354"/>
      <c r="CL24" s="354"/>
      <c r="CM24" s="352"/>
      <c r="CN24" s="352"/>
      <c r="CO24" s="358">
        <f t="shared" si="7"/>
        <v>1</v>
      </c>
      <c r="CP24" s="358">
        <f t="shared" si="8"/>
        <v>0</v>
      </c>
      <c r="CQ24" s="358">
        <f t="shared" si="9"/>
        <v>1</v>
      </c>
      <c r="CR24" s="358">
        <f t="shared" si="10"/>
        <v>1</v>
      </c>
      <c r="CS24" s="358">
        <f t="shared" si="14"/>
        <v>1</v>
      </c>
      <c r="CT24" s="352"/>
      <c r="CU24" s="352"/>
      <c r="CV24" s="352"/>
      <c r="CW24" s="358">
        <f>IF(AND(E24&lt;&gt;0,AI24=""),1,IF(AND(F24&lt;&gt;0,AJ24=""),1,0))</f>
        <v>0</v>
      </c>
      <c r="CX24" s="358">
        <f>IF(AND(E24&lt;&gt;0,AK24=""),1,IF(AND(F24&lt;&gt;0,AL24=""),1,0))</f>
        <v>0</v>
      </c>
      <c r="CY24" s="352"/>
      <c r="CZ24" s="352"/>
      <c r="DA24" s="352"/>
      <c r="DB24" s="352"/>
      <c r="DC24" s="352"/>
      <c r="DD24" s="352"/>
      <c r="DE24" s="352"/>
      <c r="DF24" s="352"/>
      <c r="DG24" s="352"/>
      <c r="DH24" s="352"/>
      <c r="DI24" s="352"/>
      <c r="DJ24" s="352"/>
      <c r="DK24" s="352"/>
      <c r="DL24" s="352"/>
      <c r="DM24" s="352"/>
      <c r="DN24" s="352"/>
      <c r="DO24" s="352"/>
      <c r="DP24" s="352"/>
      <c r="DQ24" s="352"/>
      <c r="DR24" s="352"/>
      <c r="DS24" s="352"/>
      <c r="DT24" s="352"/>
    </row>
    <row r="25" spans="1:124" ht="22.5" customHeight="1" x14ac:dyDescent="0.25">
      <c r="A25" s="1641" t="s">
        <v>1205</v>
      </c>
      <c r="B25" s="2202"/>
      <c r="C25" s="1179" t="s">
        <v>674</v>
      </c>
      <c r="D25" s="665" t="s">
        <v>1550</v>
      </c>
      <c r="E25" s="666" t="s">
        <v>1551</v>
      </c>
      <c r="F25" s="743" t="s">
        <v>1552</v>
      </c>
      <c r="G25" s="684" t="s">
        <v>1553</v>
      </c>
      <c r="H25" s="685" t="s">
        <v>1554</v>
      </c>
      <c r="I25" s="684" t="s">
        <v>1555</v>
      </c>
      <c r="J25" s="685" t="s">
        <v>1556</v>
      </c>
      <c r="K25" s="684" t="s">
        <v>1557</v>
      </c>
      <c r="L25" s="685" t="s">
        <v>1558</v>
      </c>
      <c r="M25" s="684" t="s">
        <v>1559</v>
      </c>
      <c r="N25" s="685" t="s">
        <v>1560</v>
      </c>
      <c r="O25" s="684" t="s">
        <v>1561</v>
      </c>
      <c r="P25" s="685" t="s">
        <v>1562</v>
      </c>
      <c r="Q25" s="684" t="s">
        <v>1563</v>
      </c>
      <c r="R25" s="685" t="s">
        <v>1564</v>
      </c>
      <c r="S25" s="684" t="s">
        <v>1565</v>
      </c>
      <c r="T25" s="685" t="s">
        <v>1566</v>
      </c>
      <c r="U25" s="684" t="s">
        <v>1567</v>
      </c>
      <c r="V25" s="685" t="s">
        <v>1568</v>
      </c>
      <c r="W25" s="684" t="s">
        <v>1569</v>
      </c>
      <c r="X25" s="685" t="s">
        <v>1570</v>
      </c>
      <c r="Y25" s="684" t="s">
        <v>1571</v>
      </c>
      <c r="Z25" s="685" t="s">
        <v>1572</v>
      </c>
      <c r="AA25" s="684" t="s">
        <v>1573</v>
      </c>
      <c r="AB25" s="685" t="s">
        <v>1574</v>
      </c>
      <c r="AC25" s="684" t="s">
        <v>1575</v>
      </c>
      <c r="AD25" s="685" t="s">
        <v>1576</v>
      </c>
      <c r="AE25" s="684" t="s">
        <v>1577</v>
      </c>
      <c r="AF25" s="685" t="s">
        <v>1578</v>
      </c>
      <c r="AG25" s="684" t="s">
        <v>1579</v>
      </c>
      <c r="AH25" s="693" t="s">
        <v>1580</v>
      </c>
      <c r="AI25" s="752" t="s">
        <v>1581</v>
      </c>
      <c r="AJ25" s="1057" t="s">
        <v>1582</v>
      </c>
      <c r="AK25" s="1057" t="s">
        <v>1583</v>
      </c>
      <c r="AL25" s="1057" t="s">
        <v>1584</v>
      </c>
      <c r="AM25" s="853" t="s">
        <v>1585</v>
      </c>
      <c r="AN25" s="1507" t="str">
        <f t="shared" si="13"/>
        <v xml:space="preserve">* Pueblos Originarios-Hombres no debe ser mayor al Total de personas en PSCV. * Pueblos Originarios-Mujeres no debe ser mayor al Total de personas en PSCV. * Personas diabéticas 'Etapa G3a' no debe ser mayor que el Total pacientes evaluados. * Población Migrantes-Hombres no debe ser mayor al Total de personas en PSCV. * Población Migrantes-Mujeres no debe ser mayor al Total de personas en PSCV. </v>
      </c>
      <c r="AO25" s="124"/>
      <c r="AP25" s="124"/>
      <c r="AQ25" s="124"/>
      <c r="AR25" s="124"/>
      <c r="AS25" s="124"/>
      <c r="AT25" s="124"/>
      <c r="AU25" s="124"/>
      <c r="AV25" s="124"/>
      <c r="AW25" s="124"/>
      <c r="AX25" s="124"/>
      <c r="AY25" s="124"/>
      <c r="AZ25" s="124"/>
      <c r="BA25" s="124"/>
      <c r="BB25" s="310"/>
      <c r="BC25" s="310"/>
      <c r="BD25" s="354"/>
      <c r="BE25" s="348" t="str">
        <f t="shared" si="4"/>
        <v xml:space="preserve">* Pueblos Originarios-Hombres no debe ser mayor al Total de personas en PSCV. </v>
      </c>
      <c r="BF25" s="348" t="str">
        <f t="shared" si="0"/>
        <v xml:space="preserve">* Pueblos Originarios-Mujeres no debe ser mayor al Total de personas en PSCV. </v>
      </c>
      <c r="BG25" s="348" t="str">
        <f t="shared" si="5"/>
        <v xml:space="preserve">* Población Migrantes-Hombres no debe ser mayor al Total de personas en PSCV. </v>
      </c>
      <c r="BH25" s="348" t="str">
        <f t="shared" si="6"/>
        <v xml:space="preserve">* Población Migrantes-Mujeres no debe ser mayor al Total de personas en PSCV. </v>
      </c>
      <c r="BI25" s="348" t="str">
        <f>IF($AM25&lt;=$D25,"","* Personas diabéticas 'Etapa G3a' no debe ser mayor que el Total pacientes evaluados. ")</f>
        <v xml:space="preserve">* Personas diabéticas 'Etapa G3a' no debe ser mayor que el Total pacientes evaluados. </v>
      </c>
      <c r="BJ25" s="354"/>
      <c r="BK25" s="348" t="str">
        <f t="shared" si="1"/>
        <v/>
      </c>
      <c r="BL25" s="348" t="str">
        <f t="shared" si="2"/>
        <v/>
      </c>
      <c r="BM25" s="354"/>
      <c r="BN25" s="354"/>
      <c r="BO25" s="354"/>
      <c r="BP25" s="354"/>
      <c r="BQ25" s="354"/>
      <c r="BR25" s="354"/>
      <c r="BS25" s="354"/>
      <c r="BT25" s="354"/>
      <c r="BU25" s="354"/>
      <c r="BV25" s="354"/>
      <c r="BW25" s="354"/>
      <c r="BX25" s="354"/>
      <c r="BY25" s="354"/>
      <c r="BZ25" s="354"/>
      <c r="CA25" s="354"/>
      <c r="CB25" s="354"/>
      <c r="CC25" s="354"/>
      <c r="CD25" s="354"/>
      <c r="CE25" s="354"/>
      <c r="CF25" s="354"/>
      <c r="CG25" s="354"/>
      <c r="CH25" s="354"/>
      <c r="CI25" s="354"/>
      <c r="CJ25" s="354"/>
      <c r="CK25" s="354"/>
      <c r="CL25" s="354"/>
      <c r="CM25" s="352"/>
      <c r="CN25" s="352"/>
      <c r="CO25" s="358">
        <f t="shared" si="7"/>
        <v>1</v>
      </c>
      <c r="CP25" s="358">
        <f t="shared" si="8"/>
        <v>0</v>
      </c>
      <c r="CQ25" s="358">
        <f t="shared" si="9"/>
        <v>1</v>
      </c>
      <c r="CR25" s="358">
        <f t="shared" si="10"/>
        <v>1</v>
      </c>
      <c r="CS25" s="358">
        <f t="shared" si="14"/>
        <v>1</v>
      </c>
      <c r="CT25" s="352"/>
      <c r="CU25" s="352"/>
      <c r="CV25" s="352"/>
      <c r="CW25" s="358">
        <f>IF(AND(E25&lt;&gt;0,AI25=""),1,IF(AND(F25&lt;&gt;0,AJ25=""),1,0))</f>
        <v>0</v>
      </c>
      <c r="CX25" s="358">
        <f>IF(AND(E25&lt;&gt;0,AK25=""),1,IF(AND(F25&lt;&gt;0,AL25=""),1,0))</f>
        <v>0</v>
      </c>
      <c r="CY25" s="352"/>
      <c r="CZ25" s="352"/>
      <c r="DA25" s="352"/>
      <c r="DB25" s="352"/>
      <c r="DC25" s="352"/>
      <c r="DD25" s="352"/>
      <c r="DE25" s="352"/>
      <c r="DF25" s="352"/>
      <c r="DG25" s="352"/>
      <c r="DH25" s="352"/>
      <c r="DI25" s="352"/>
      <c r="DJ25" s="352"/>
      <c r="DK25" s="352"/>
      <c r="DL25" s="352"/>
      <c r="DM25" s="352"/>
      <c r="DN25" s="352"/>
      <c r="DO25" s="352"/>
      <c r="DP25" s="352"/>
      <c r="DQ25" s="352"/>
      <c r="DR25" s="352"/>
      <c r="DS25" s="352"/>
      <c r="DT25" s="352"/>
    </row>
    <row r="26" spans="1:124" ht="22.5" customHeight="1" x14ac:dyDescent="0.25">
      <c r="A26" s="1641" t="s">
        <v>1206</v>
      </c>
      <c r="B26" s="2202"/>
      <c r="C26" s="1179" t="s">
        <v>675</v>
      </c>
      <c r="D26" s="665" t="s">
        <v>1550</v>
      </c>
      <c r="E26" s="666" t="s">
        <v>1551</v>
      </c>
      <c r="F26" s="743" t="s">
        <v>1552</v>
      </c>
      <c r="G26" s="684" t="s">
        <v>1553</v>
      </c>
      <c r="H26" s="685" t="s">
        <v>1554</v>
      </c>
      <c r="I26" s="684" t="s">
        <v>1555</v>
      </c>
      <c r="J26" s="685" t="s">
        <v>1556</v>
      </c>
      <c r="K26" s="684" t="s">
        <v>1557</v>
      </c>
      <c r="L26" s="685" t="s">
        <v>1558</v>
      </c>
      <c r="M26" s="684" t="s">
        <v>1559</v>
      </c>
      <c r="N26" s="685" t="s">
        <v>1560</v>
      </c>
      <c r="O26" s="684" t="s">
        <v>1561</v>
      </c>
      <c r="P26" s="685" t="s">
        <v>1562</v>
      </c>
      <c r="Q26" s="684" t="s">
        <v>1563</v>
      </c>
      <c r="R26" s="685" t="s">
        <v>1564</v>
      </c>
      <c r="S26" s="684" t="s">
        <v>1565</v>
      </c>
      <c r="T26" s="685" t="s">
        <v>1566</v>
      </c>
      <c r="U26" s="684" t="s">
        <v>1567</v>
      </c>
      <c r="V26" s="685" t="s">
        <v>1568</v>
      </c>
      <c r="W26" s="684" t="s">
        <v>1569</v>
      </c>
      <c r="X26" s="685" t="s">
        <v>1570</v>
      </c>
      <c r="Y26" s="684" t="s">
        <v>1571</v>
      </c>
      <c r="Z26" s="685" t="s">
        <v>1572</v>
      </c>
      <c r="AA26" s="684" t="s">
        <v>1573</v>
      </c>
      <c r="AB26" s="685" t="s">
        <v>1574</v>
      </c>
      <c r="AC26" s="684" t="s">
        <v>1575</v>
      </c>
      <c r="AD26" s="685" t="s">
        <v>1576</v>
      </c>
      <c r="AE26" s="684" t="s">
        <v>1577</v>
      </c>
      <c r="AF26" s="685" t="s">
        <v>1578</v>
      </c>
      <c r="AG26" s="684" t="s">
        <v>1579</v>
      </c>
      <c r="AH26" s="693" t="s">
        <v>1580</v>
      </c>
      <c r="AI26" s="752" t="s">
        <v>1581</v>
      </c>
      <c r="AJ26" s="1057" t="s">
        <v>1582</v>
      </c>
      <c r="AK26" s="1060" t="s">
        <v>1583</v>
      </c>
      <c r="AL26" s="1057" t="s">
        <v>1584</v>
      </c>
      <c r="AM26" s="853" t="s">
        <v>1585</v>
      </c>
      <c r="AN26" s="1507" t="str">
        <f t="shared" si="13"/>
        <v xml:space="preserve">* Pueblos Originarios-Hombres no debe ser mayor al Total de personas en PSCV. * Pueblos Originarios-Mujeres no debe ser mayor al Total de personas en PSCV. * Personas diabéticas 'Etapa G3b' no debe ser mayor que el Total pacientes evaluados. * Población Migrantes-Hombres no debe ser mayor al Total de personas en PSCV. * Población Migrantes-Mujeres no debe ser mayor al Total de personas en PSCV. </v>
      </c>
      <c r="AO26" s="124"/>
      <c r="AP26" s="124"/>
      <c r="AQ26" s="124"/>
      <c r="AR26" s="124"/>
      <c r="AS26" s="124"/>
      <c r="AT26" s="124"/>
      <c r="AU26" s="124"/>
      <c r="AV26" s="124"/>
      <c r="AW26" s="124"/>
      <c r="AX26" s="124"/>
      <c r="AY26" s="124"/>
      <c r="AZ26" s="124"/>
      <c r="BA26" s="124"/>
      <c r="BB26" s="310"/>
      <c r="BC26" s="310"/>
      <c r="BD26" s="354"/>
      <c r="BE26" s="348" t="str">
        <f t="shared" si="4"/>
        <v xml:space="preserve">* Pueblos Originarios-Hombres no debe ser mayor al Total de personas en PSCV. </v>
      </c>
      <c r="BF26" s="348" t="str">
        <f t="shared" si="0"/>
        <v xml:space="preserve">* Pueblos Originarios-Mujeres no debe ser mayor al Total de personas en PSCV. </v>
      </c>
      <c r="BG26" s="348" t="str">
        <f t="shared" si="5"/>
        <v xml:space="preserve">* Población Migrantes-Hombres no debe ser mayor al Total de personas en PSCV. </v>
      </c>
      <c r="BH26" s="348" t="str">
        <f t="shared" si="6"/>
        <v xml:space="preserve">* Población Migrantes-Mujeres no debe ser mayor al Total de personas en PSCV. </v>
      </c>
      <c r="BI26" s="348" t="str">
        <f>IF($AM26&lt;=$D26,"","* Personas diabéticas 'Etapa G3b' no debe ser mayor que el Total pacientes evaluados. ")</f>
        <v xml:space="preserve">* Personas diabéticas 'Etapa G3b' no debe ser mayor que el Total pacientes evaluados. </v>
      </c>
      <c r="BJ26" s="354"/>
      <c r="BK26" s="348" t="str">
        <f t="shared" si="1"/>
        <v/>
      </c>
      <c r="BL26" s="348" t="str">
        <f t="shared" si="2"/>
        <v/>
      </c>
      <c r="BM26" s="354"/>
      <c r="BN26" s="354"/>
      <c r="BO26" s="354"/>
      <c r="BP26" s="354"/>
      <c r="BQ26" s="354"/>
      <c r="BR26" s="354"/>
      <c r="BS26" s="354"/>
      <c r="BT26" s="354"/>
      <c r="BU26" s="354"/>
      <c r="BV26" s="354"/>
      <c r="BW26" s="354"/>
      <c r="BX26" s="354"/>
      <c r="BY26" s="354"/>
      <c r="BZ26" s="354"/>
      <c r="CA26" s="354"/>
      <c r="CB26" s="354"/>
      <c r="CC26" s="354"/>
      <c r="CD26" s="354"/>
      <c r="CE26" s="354"/>
      <c r="CF26" s="354"/>
      <c r="CG26" s="354"/>
      <c r="CH26" s="354"/>
      <c r="CI26" s="354"/>
      <c r="CJ26" s="354"/>
      <c r="CK26" s="354"/>
      <c r="CL26" s="354"/>
      <c r="CM26" s="352"/>
      <c r="CN26" s="352"/>
      <c r="CO26" s="358">
        <f t="shared" si="7"/>
        <v>1</v>
      </c>
      <c r="CP26" s="358">
        <f t="shared" si="8"/>
        <v>0</v>
      </c>
      <c r="CQ26" s="358">
        <f t="shared" si="9"/>
        <v>1</v>
      </c>
      <c r="CR26" s="358">
        <f t="shared" si="10"/>
        <v>1</v>
      </c>
      <c r="CS26" s="358">
        <f t="shared" si="14"/>
        <v>1</v>
      </c>
      <c r="CT26" s="352"/>
      <c r="CU26" s="352"/>
      <c r="CV26" s="352"/>
      <c r="CW26" s="358">
        <f t="shared" ref="CW26:CW28" si="17">IF(AND(E26&lt;&gt;0,AI26=""),1,IF(AND(F26&lt;&gt;0,AJ26=""),1,0))</f>
        <v>0</v>
      </c>
      <c r="CX26" s="358">
        <f t="shared" ref="CX26:CX28" si="18">IF(AND(E26&lt;&gt;0,AK26=""),1,IF(AND(F26&lt;&gt;0,AL26=""),1,0))</f>
        <v>0</v>
      </c>
      <c r="CY26" s="352"/>
      <c r="CZ26" s="352"/>
      <c r="DA26" s="352"/>
      <c r="DB26" s="352"/>
      <c r="DC26" s="352"/>
      <c r="DD26" s="352"/>
      <c r="DE26" s="352"/>
      <c r="DF26" s="352"/>
      <c r="DG26" s="352"/>
      <c r="DH26" s="352"/>
      <c r="DI26" s="352"/>
      <c r="DJ26" s="352"/>
      <c r="DK26" s="352"/>
      <c r="DL26" s="352"/>
      <c r="DM26" s="352"/>
      <c r="DN26" s="352"/>
      <c r="DO26" s="352"/>
      <c r="DP26" s="352"/>
      <c r="DQ26" s="352"/>
      <c r="DR26" s="352"/>
      <c r="DS26" s="352"/>
      <c r="DT26" s="352"/>
    </row>
    <row r="27" spans="1:124" ht="22.5" customHeight="1" x14ac:dyDescent="0.25">
      <c r="A27" s="1641" t="s">
        <v>1207</v>
      </c>
      <c r="B27" s="2202"/>
      <c r="C27" s="1179" t="s">
        <v>676</v>
      </c>
      <c r="D27" s="665" t="s">
        <v>1550</v>
      </c>
      <c r="E27" s="666" t="s">
        <v>1551</v>
      </c>
      <c r="F27" s="743" t="s">
        <v>1552</v>
      </c>
      <c r="G27" s="684" t="s">
        <v>1553</v>
      </c>
      <c r="H27" s="685" t="s">
        <v>1554</v>
      </c>
      <c r="I27" s="684" t="s">
        <v>1555</v>
      </c>
      <c r="J27" s="685" t="s">
        <v>1556</v>
      </c>
      <c r="K27" s="684" t="s">
        <v>1557</v>
      </c>
      <c r="L27" s="685" t="s">
        <v>1558</v>
      </c>
      <c r="M27" s="684" t="s">
        <v>1559</v>
      </c>
      <c r="N27" s="685" t="s">
        <v>1560</v>
      </c>
      <c r="O27" s="684" t="s">
        <v>1561</v>
      </c>
      <c r="P27" s="685" t="s">
        <v>1562</v>
      </c>
      <c r="Q27" s="684" t="s">
        <v>1563</v>
      </c>
      <c r="R27" s="685" t="s">
        <v>1564</v>
      </c>
      <c r="S27" s="684" t="s">
        <v>1565</v>
      </c>
      <c r="T27" s="685" t="s">
        <v>1566</v>
      </c>
      <c r="U27" s="684" t="s">
        <v>1567</v>
      </c>
      <c r="V27" s="685" t="s">
        <v>1568</v>
      </c>
      <c r="W27" s="684" t="s">
        <v>1569</v>
      </c>
      <c r="X27" s="685" t="s">
        <v>1570</v>
      </c>
      <c r="Y27" s="684" t="s">
        <v>1571</v>
      </c>
      <c r="Z27" s="685" t="s">
        <v>1572</v>
      </c>
      <c r="AA27" s="684" t="s">
        <v>1573</v>
      </c>
      <c r="AB27" s="685" t="s">
        <v>1574</v>
      </c>
      <c r="AC27" s="684" t="s">
        <v>1575</v>
      </c>
      <c r="AD27" s="685" t="s">
        <v>1576</v>
      </c>
      <c r="AE27" s="684" t="s">
        <v>1577</v>
      </c>
      <c r="AF27" s="685" t="s">
        <v>1578</v>
      </c>
      <c r="AG27" s="684" t="s">
        <v>1579</v>
      </c>
      <c r="AH27" s="693" t="s">
        <v>1580</v>
      </c>
      <c r="AI27" s="752" t="s">
        <v>1581</v>
      </c>
      <c r="AJ27" s="1057" t="s">
        <v>1582</v>
      </c>
      <c r="AK27" s="1057" t="s">
        <v>1583</v>
      </c>
      <c r="AL27" s="1057" t="s">
        <v>1584</v>
      </c>
      <c r="AM27" s="853" t="s">
        <v>1585</v>
      </c>
      <c r="AN27" s="1507" t="str">
        <f t="shared" si="13"/>
        <v xml:space="preserve">* Pueblos Originarios-Hombres no debe ser mayor al Total de personas en PSCV. * Pueblos Originarios-Mujeres no debe ser mayor al Total de personas en PSCV. * Personas diabéticas 'Etapa G4' no debe ser mayor que el Total pacientes evaluados. * Población Migrantes-Hombres no debe ser mayor al Total de personas en PSCV. * Población Migrantes-Mujeres no debe ser mayor al Total de personas en PSCV. </v>
      </c>
      <c r="AO27" s="124"/>
      <c r="AP27" s="124"/>
      <c r="AQ27" s="124"/>
      <c r="AR27" s="124"/>
      <c r="AS27" s="124"/>
      <c r="AT27" s="124"/>
      <c r="AU27" s="124"/>
      <c r="AV27" s="124"/>
      <c r="AW27" s="124"/>
      <c r="AX27" s="124"/>
      <c r="AY27" s="124"/>
      <c r="AZ27" s="124"/>
      <c r="BA27" s="124"/>
      <c r="BB27" s="310"/>
      <c r="BC27" s="310"/>
      <c r="BD27" s="354"/>
      <c r="BE27" s="348" t="str">
        <f t="shared" si="4"/>
        <v xml:space="preserve">* Pueblos Originarios-Hombres no debe ser mayor al Total de personas en PSCV. </v>
      </c>
      <c r="BF27" s="348" t="str">
        <f t="shared" si="0"/>
        <v xml:space="preserve">* Pueblos Originarios-Mujeres no debe ser mayor al Total de personas en PSCV. </v>
      </c>
      <c r="BG27" s="348" t="str">
        <f t="shared" si="5"/>
        <v xml:space="preserve">* Población Migrantes-Hombres no debe ser mayor al Total de personas en PSCV. </v>
      </c>
      <c r="BH27" s="348" t="str">
        <f t="shared" si="6"/>
        <v xml:space="preserve">* Población Migrantes-Mujeres no debe ser mayor al Total de personas en PSCV. </v>
      </c>
      <c r="BI27" s="348" t="str">
        <f>IF($AM27&lt;=$D27,"","* Personas diabéticas 'Etapa G4' no debe ser mayor que el Total pacientes evaluados. ")</f>
        <v xml:space="preserve">* Personas diabéticas 'Etapa G4' no debe ser mayor que el Total pacientes evaluados. </v>
      </c>
      <c r="BJ27" s="354"/>
      <c r="BK27" s="348" t="str">
        <f t="shared" si="1"/>
        <v/>
      </c>
      <c r="BL27" s="348" t="str">
        <f t="shared" si="2"/>
        <v/>
      </c>
      <c r="BM27" s="354"/>
      <c r="BN27" s="354"/>
      <c r="BO27" s="354"/>
      <c r="BP27" s="354"/>
      <c r="BQ27" s="354"/>
      <c r="BR27" s="354"/>
      <c r="BS27" s="354"/>
      <c r="BT27" s="354"/>
      <c r="BU27" s="354"/>
      <c r="BV27" s="354"/>
      <c r="BW27" s="354"/>
      <c r="BX27" s="354"/>
      <c r="BY27" s="354"/>
      <c r="BZ27" s="354"/>
      <c r="CA27" s="354"/>
      <c r="CB27" s="354"/>
      <c r="CC27" s="354"/>
      <c r="CD27" s="354"/>
      <c r="CE27" s="354"/>
      <c r="CF27" s="354"/>
      <c r="CG27" s="354"/>
      <c r="CH27" s="354"/>
      <c r="CI27" s="354"/>
      <c r="CJ27" s="354"/>
      <c r="CK27" s="354"/>
      <c r="CL27" s="354"/>
      <c r="CM27" s="352"/>
      <c r="CN27" s="352"/>
      <c r="CO27" s="358">
        <f t="shared" si="7"/>
        <v>1</v>
      </c>
      <c r="CP27" s="358">
        <f t="shared" si="8"/>
        <v>0</v>
      </c>
      <c r="CQ27" s="358">
        <f t="shared" si="9"/>
        <v>1</v>
      </c>
      <c r="CR27" s="358">
        <f t="shared" si="10"/>
        <v>1</v>
      </c>
      <c r="CS27" s="358">
        <f t="shared" si="14"/>
        <v>1</v>
      </c>
      <c r="CT27" s="352"/>
      <c r="CU27" s="352"/>
      <c r="CV27" s="352"/>
      <c r="CW27" s="358">
        <f t="shared" si="17"/>
        <v>0</v>
      </c>
      <c r="CX27" s="358">
        <f t="shared" si="18"/>
        <v>0</v>
      </c>
      <c r="CY27" s="352"/>
      <c r="CZ27" s="352"/>
      <c r="DA27" s="352"/>
      <c r="DB27" s="352"/>
      <c r="DC27" s="352"/>
      <c r="DD27" s="352"/>
      <c r="DE27" s="352"/>
      <c r="DF27" s="352"/>
      <c r="DG27" s="352"/>
      <c r="DH27" s="352"/>
      <c r="DI27" s="352"/>
      <c r="DJ27" s="352"/>
      <c r="DK27" s="352"/>
      <c r="DL27" s="352"/>
      <c r="DM27" s="352"/>
      <c r="DN27" s="352"/>
      <c r="DO27" s="352"/>
      <c r="DP27" s="352"/>
      <c r="DQ27" s="352"/>
      <c r="DR27" s="352"/>
      <c r="DS27" s="352"/>
      <c r="DT27" s="352"/>
    </row>
    <row r="28" spans="1:124" ht="22.5" customHeight="1" x14ac:dyDescent="0.25">
      <c r="A28" s="1641" t="s">
        <v>1208</v>
      </c>
      <c r="B28" s="2202"/>
      <c r="C28" s="161" t="s">
        <v>677</v>
      </c>
      <c r="D28" s="668" t="s">
        <v>1550</v>
      </c>
      <c r="E28" s="669" t="s">
        <v>1551</v>
      </c>
      <c r="F28" s="753" t="s">
        <v>1552</v>
      </c>
      <c r="G28" s="689" t="s">
        <v>1553</v>
      </c>
      <c r="H28" s="690" t="s">
        <v>1554</v>
      </c>
      <c r="I28" s="689" t="s">
        <v>1555</v>
      </c>
      <c r="J28" s="690" t="s">
        <v>1556</v>
      </c>
      <c r="K28" s="689" t="s">
        <v>1557</v>
      </c>
      <c r="L28" s="690" t="s">
        <v>1558</v>
      </c>
      <c r="M28" s="689" t="s">
        <v>1559</v>
      </c>
      <c r="N28" s="690" t="s">
        <v>1560</v>
      </c>
      <c r="O28" s="689" t="s">
        <v>1561</v>
      </c>
      <c r="P28" s="690" t="s">
        <v>1562</v>
      </c>
      <c r="Q28" s="689" t="s">
        <v>1563</v>
      </c>
      <c r="R28" s="690" t="s">
        <v>1564</v>
      </c>
      <c r="S28" s="689" t="s">
        <v>1565</v>
      </c>
      <c r="T28" s="690" t="s">
        <v>1566</v>
      </c>
      <c r="U28" s="689" t="s">
        <v>1567</v>
      </c>
      <c r="V28" s="690" t="s">
        <v>1568</v>
      </c>
      <c r="W28" s="689" t="s">
        <v>1569</v>
      </c>
      <c r="X28" s="690" t="s">
        <v>1570</v>
      </c>
      <c r="Y28" s="689" t="s">
        <v>1571</v>
      </c>
      <c r="Z28" s="690" t="s">
        <v>1572</v>
      </c>
      <c r="AA28" s="689" t="s">
        <v>1573</v>
      </c>
      <c r="AB28" s="690" t="s">
        <v>1574</v>
      </c>
      <c r="AC28" s="689" t="s">
        <v>1575</v>
      </c>
      <c r="AD28" s="690" t="s">
        <v>1576</v>
      </c>
      <c r="AE28" s="689" t="s">
        <v>1577</v>
      </c>
      <c r="AF28" s="690" t="s">
        <v>1578</v>
      </c>
      <c r="AG28" s="689" t="s">
        <v>1579</v>
      </c>
      <c r="AH28" s="720" t="s">
        <v>1580</v>
      </c>
      <c r="AI28" s="1058" t="s">
        <v>1581</v>
      </c>
      <c r="AJ28" s="1059" t="s">
        <v>1582</v>
      </c>
      <c r="AK28" s="1060" t="s">
        <v>1583</v>
      </c>
      <c r="AL28" s="1057" t="s">
        <v>1584</v>
      </c>
      <c r="AM28" s="856" t="s">
        <v>1585</v>
      </c>
      <c r="AN28" s="1507" t="str">
        <f t="shared" si="13"/>
        <v xml:space="preserve">* Pueblos Originarios-Hombres no debe ser mayor al Total de personas en PSCV. * Pueblos Originarios-Mujeres no debe ser mayor al Total de personas en PSCV. * Personas diabéticas 'Etapa G5' no debe ser mayor que el Total pacientes evaluados. * Población Migrantes-Hombres no debe ser mayor al Total de personas en PSCV. * Población Migrantes-Mujeres no debe ser mayor al Total de personas en PSCV. </v>
      </c>
      <c r="AO28" s="124"/>
      <c r="AP28" s="124"/>
      <c r="AQ28" s="124"/>
      <c r="AR28" s="124"/>
      <c r="AS28" s="124"/>
      <c r="AT28" s="124"/>
      <c r="AU28" s="124"/>
      <c r="AV28" s="124"/>
      <c r="AW28" s="124"/>
      <c r="AX28" s="124"/>
      <c r="AY28" s="124"/>
      <c r="AZ28" s="124"/>
      <c r="BA28" s="124"/>
      <c r="BB28" s="310"/>
      <c r="BC28" s="310"/>
      <c r="BD28" s="354"/>
      <c r="BE28" s="348" t="str">
        <f t="shared" si="4"/>
        <v xml:space="preserve">* Pueblos Originarios-Hombres no debe ser mayor al Total de personas en PSCV. </v>
      </c>
      <c r="BF28" s="348" t="str">
        <f t="shared" si="0"/>
        <v xml:space="preserve">* Pueblos Originarios-Mujeres no debe ser mayor al Total de personas en PSCV. </v>
      </c>
      <c r="BG28" s="348" t="str">
        <f t="shared" si="5"/>
        <v xml:space="preserve">* Población Migrantes-Hombres no debe ser mayor al Total de personas en PSCV. </v>
      </c>
      <c r="BH28" s="348" t="str">
        <f t="shared" si="6"/>
        <v xml:space="preserve">* Población Migrantes-Mujeres no debe ser mayor al Total de personas en PSCV. </v>
      </c>
      <c r="BI28" s="348" t="str">
        <f>IF($AM28&lt;=$D28,"","* Personas diabéticas 'Etapa G5' no debe ser mayor que el Total pacientes evaluados. ")</f>
        <v xml:space="preserve">* Personas diabéticas 'Etapa G5' no debe ser mayor que el Total pacientes evaluados. </v>
      </c>
      <c r="BJ28" s="354"/>
      <c r="BK28" s="348" t="str">
        <f t="shared" si="1"/>
        <v/>
      </c>
      <c r="BL28" s="348" t="str">
        <f t="shared" si="2"/>
        <v/>
      </c>
      <c r="BM28" s="354"/>
      <c r="BN28" s="354"/>
      <c r="BO28" s="354"/>
      <c r="BP28" s="354"/>
      <c r="BQ28" s="354"/>
      <c r="BR28" s="354"/>
      <c r="BS28" s="354"/>
      <c r="BT28" s="354"/>
      <c r="BU28" s="354"/>
      <c r="BV28" s="354"/>
      <c r="BW28" s="354"/>
      <c r="BX28" s="354"/>
      <c r="BY28" s="354"/>
      <c r="BZ28" s="354"/>
      <c r="CA28" s="354"/>
      <c r="CB28" s="354"/>
      <c r="CC28" s="354"/>
      <c r="CD28" s="354"/>
      <c r="CE28" s="354"/>
      <c r="CF28" s="354"/>
      <c r="CG28" s="354"/>
      <c r="CH28" s="354"/>
      <c r="CI28" s="354"/>
      <c r="CJ28" s="354"/>
      <c r="CK28" s="354"/>
      <c r="CL28" s="354"/>
      <c r="CM28" s="352"/>
      <c r="CN28" s="352"/>
      <c r="CO28" s="358">
        <f t="shared" si="7"/>
        <v>1</v>
      </c>
      <c r="CP28" s="358">
        <f t="shared" si="8"/>
        <v>0</v>
      </c>
      <c r="CQ28" s="358">
        <f t="shared" si="9"/>
        <v>1</v>
      </c>
      <c r="CR28" s="358">
        <f t="shared" si="10"/>
        <v>1</v>
      </c>
      <c r="CS28" s="358">
        <f t="shared" si="14"/>
        <v>1</v>
      </c>
      <c r="CT28" s="352"/>
      <c r="CU28" s="352"/>
      <c r="CV28" s="352"/>
      <c r="CW28" s="358">
        <f t="shared" si="17"/>
        <v>0</v>
      </c>
      <c r="CX28" s="358">
        <f t="shared" si="18"/>
        <v>0</v>
      </c>
      <c r="CY28" s="352"/>
      <c r="CZ28" s="352"/>
      <c r="DA28" s="352"/>
      <c r="DB28" s="352"/>
      <c r="DC28" s="352"/>
      <c r="DD28" s="352"/>
      <c r="DE28" s="352"/>
      <c r="DF28" s="352"/>
      <c r="DG28" s="352"/>
      <c r="DH28" s="352"/>
      <c r="DI28" s="352"/>
      <c r="DJ28" s="352"/>
      <c r="DK28" s="352"/>
      <c r="DL28" s="352"/>
      <c r="DM28" s="352"/>
      <c r="DN28" s="352"/>
      <c r="DO28" s="352"/>
      <c r="DP28" s="352"/>
      <c r="DQ28" s="352"/>
      <c r="DR28" s="352"/>
      <c r="DS28" s="352"/>
      <c r="DT28" s="352"/>
    </row>
    <row r="29" spans="1:124" ht="22.5" customHeight="1" x14ac:dyDescent="0.2">
      <c r="A29" s="1629"/>
      <c r="B29" s="2202"/>
      <c r="C29" s="161" t="s">
        <v>13</v>
      </c>
      <c r="D29" s="668">
        <f>SUM(E29:F29)</f>
        <v>0</v>
      </c>
      <c r="E29" s="669">
        <f>+G29+I29+K29+M29+O29+Q29+S29+U29+W29+Y29+AA29+AC29+AE29+AG29</f>
        <v>0</v>
      </c>
      <c r="F29" s="753">
        <f>+H29+J29+L29+N29+P29+R29+T29+V29+X29+Z29+AB29+AD29+AF29+AH29</f>
        <v>0</v>
      </c>
      <c r="G29" s="721">
        <f>SUM(G22:G28)</f>
        <v>0</v>
      </c>
      <c r="H29" s="722">
        <f t="shared" ref="H29:AL29" si="19">SUM(H22:H28)</f>
        <v>0</v>
      </c>
      <c r="I29" s="721">
        <f t="shared" si="19"/>
        <v>0</v>
      </c>
      <c r="J29" s="722">
        <f t="shared" si="19"/>
        <v>0</v>
      </c>
      <c r="K29" s="721">
        <f t="shared" si="19"/>
        <v>0</v>
      </c>
      <c r="L29" s="722">
        <f t="shared" si="19"/>
        <v>0</v>
      </c>
      <c r="M29" s="721">
        <f t="shared" si="19"/>
        <v>0</v>
      </c>
      <c r="N29" s="722">
        <f t="shared" si="19"/>
        <v>0</v>
      </c>
      <c r="O29" s="721">
        <f t="shared" si="19"/>
        <v>0</v>
      </c>
      <c r="P29" s="722">
        <f t="shared" si="19"/>
        <v>0</v>
      </c>
      <c r="Q29" s="721">
        <f t="shared" si="19"/>
        <v>0</v>
      </c>
      <c r="R29" s="722">
        <f t="shared" si="19"/>
        <v>0</v>
      </c>
      <c r="S29" s="721">
        <f t="shared" si="19"/>
        <v>0</v>
      </c>
      <c r="T29" s="722">
        <f t="shared" si="19"/>
        <v>0</v>
      </c>
      <c r="U29" s="721">
        <f t="shared" si="19"/>
        <v>0</v>
      </c>
      <c r="V29" s="722">
        <f t="shared" si="19"/>
        <v>0</v>
      </c>
      <c r="W29" s="721">
        <f t="shared" si="19"/>
        <v>0</v>
      </c>
      <c r="X29" s="722">
        <f t="shared" si="19"/>
        <v>0</v>
      </c>
      <c r="Y29" s="721">
        <f t="shared" si="19"/>
        <v>0</v>
      </c>
      <c r="Z29" s="722">
        <f t="shared" si="19"/>
        <v>0</v>
      </c>
      <c r="AA29" s="721">
        <f t="shared" si="19"/>
        <v>0</v>
      </c>
      <c r="AB29" s="722">
        <f t="shared" si="19"/>
        <v>0</v>
      </c>
      <c r="AC29" s="721">
        <f t="shared" si="19"/>
        <v>0</v>
      </c>
      <c r="AD29" s="722">
        <f t="shared" si="19"/>
        <v>0</v>
      </c>
      <c r="AE29" s="721">
        <f t="shared" si="19"/>
        <v>0</v>
      </c>
      <c r="AF29" s="722">
        <f t="shared" si="19"/>
        <v>0</v>
      </c>
      <c r="AG29" s="721">
        <f t="shared" si="19"/>
        <v>0</v>
      </c>
      <c r="AH29" s="754">
        <f t="shared" si="19"/>
        <v>0</v>
      </c>
      <c r="AI29" s="755">
        <f t="shared" si="19"/>
        <v>0</v>
      </c>
      <c r="AJ29" s="1054">
        <f t="shared" si="19"/>
        <v>0</v>
      </c>
      <c r="AK29" s="1054">
        <f t="shared" si="19"/>
        <v>0</v>
      </c>
      <c r="AL29" s="1054">
        <f t="shared" si="19"/>
        <v>0</v>
      </c>
      <c r="AM29" s="1051">
        <f>SUM(AM22:AM28)</f>
        <v>0</v>
      </c>
      <c r="AN29" s="1507"/>
      <c r="AO29" s="124"/>
      <c r="AP29" s="124"/>
      <c r="AQ29" s="124"/>
      <c r="AR29" s="124"/>
      <c r="AS29" s="124"/>
      <c r="AT29" s="124"/>
      <c r="AU29" s="124"/>
      <c r="AV29" s="124"/>
      <c r="AW29" s="124"/>
      <c r="AX29" s="124"/>
      <c r="AY29" s="124"/>
      <c r="AZ29" s="124"/>
      <c r="BA29" s="124"/>
      <c r="BB29" s="310"/>
      <c r="BC29" s="310"/>
      <c r="BD29" s="354"/>
      <c r="BE29" s="354"/>
      <c r="BF29" s="354"/>
      <c r="BG29" s="354"/>
      <c r="BH29" s="354"/>
      <c r="BI29" s="354"/>
      <c r="BJ29" s="354"/>
      <c r="BK29" s="354"/>
      <c r="BL29" s="354"/>
      <c r="BM29" s="354"/>
      <c r="BN29" s="354"/>
      <c r="BO29" s="354"/>
      <c r="BP29" s="354"/>
      <c r="BQ29" s="354"/>
      <c r="BR29" s="354"/>
      <c r="BS29" s="354"/>
      <c r="BT29" s="354"/>
      <c r="BU29" s="354"/>
      <c r="BV29" s="354"/>
      <c r="BW29" s="354"/>
      <c r="BX29" s="354"/>
      <c r="BY29" s="354"/>
      <c r="BZ29" s="354"/>
      <c r="CA29" s="354"/>
      <c r="CB29" s="354"/>
      <c r="CC29" s="354"/>
      <c r="CD29" s="354"/>
      <c r="CE29" s="354"/>
      <c r="CF29" s="354"/>
      <c r="CG29" s="354"/>
      <c r="CH29" s="354"/>
      <c r="CI29" s="354"/>
      <c r="CJ29" s="354"/>
      <c r="CK29" s="354"/>
      <c r="CL29" s="354"/>
      <c r="CM29" s="352"/>
      <c r="CN29" s="352"/>
      <c r="CO29" s="352"/>
      <c r="CP29" s="352"/>
      <c r="CQ29" s="352"/>
      <c r="CR29" s="352"/>
      <c r="CS29" s="352"/>
      <c r="CT29" s="352"/>
      <c r="CU29" s="352"/>
      <c r="CV29" s="352"/>
      <c r="CW29" s="352"/>
      <c r="CX29" s="352"/>
      <c r="CY29" s="352"/>
      <c r="CZ29" s="352"/>
      <c r="DA29" s="352"/>
      <c r="DB29" s="352"/>
      <c r="DC29" s="352"/>
      <c r="DD29" s="352"/>
      <c r="DE29" s="352"/>
      <c r="DF29" s="352"/>
      <c r="DG29" s="352"/>
      <c r="DH29" s="352"/>
      <c r="DI29" s="352"/>
      <c r="DJ29" s="352"/>
      <c r="DK29" s="352"/>
      <c r="DL29" s="352"/>
      <c r="DM29" s="352"/>
      <c r="DN29" s="352"/>
      <c r="DO29" s="352"/>
      <c r="DP29" s="352"/>
      <c r="DQ29" s="352"/>
      <c r="DR29" s="352"/>
      <c r="DS29" s="352"/>
      <c r="DT29" s="352"/>
    </row>
    <row r="30" spans="1:124" ht="32.25" customHeight="1" x14ac:dyDescent="0.3">
      <c r="B30" s="2203" t="s">
        <v>163</v>
      </c>
      <c r="C30" s="2203"/>
      <c r="D30" s="435"/>
      <c r="E30" s="436"/>
      <c r="F30" s="436"/>
      <c r="G30" s="436"/>
      <c r="H30" s="436"/>
      <c r="I30" s="436"/>
      <c r="J30" s="436"/>
      <c r="K30" s="436"/>
      <c r="L30" s="436"/>
      <c r="M30" s="436"/>
      <c r="N30" s="436"/>
      <c r="O30" s="436"/>
      <c r="P30" s="436"/>
      <c r="Q30" s="433"/>
      <c r="R30" s="433"/>
      <c r="S30" s="433"/>
      <c r="T30" s="433"/>
      <c r="U30" s="434"/>
      <c r="BB30" s="354"/>
      <c r="BC30" s="354"/>
      <c r="BD30" s="354"/>
      <c r="BE30" s="354"/>
      <c r="BF30" s="354"/>
      <c r="BG30" s="354"/>
      <c r="BH30" s="354"/>
      <c r="BI30" s="354"/>
      <c r="BJ30" s="354"/>
      <c r="BK30" s="354"/>
      <c r="BL30" s="354"/>
      <c r="BM30" s="354"/>
      <c r="BN30" s="354"/>
      <c r="BO30" s="354"/>
      <c r="BP30" s="354"/>
      <c r="BQ30" s="354"/>
      <c r="BR30" s="354"/>
      <c r="BS30" s="354"/>
      <c r="BT30" s="354"/>
      <c r="BU30" s="354"/>
      <c r="BV30" s="354"/>
      <c r="BW30" s="354"/>
      <c r="BX30" s="354"/>
      <c r="BY30" s="354"/>
      <c r="BZ30" s="354"/>
      <c r="CA30" s="354"/>
      <c r="CB30" s="354"/>
      <c r="CC30" s="354"/>
      <c r="CD30" s="354"/>
      <c r="CE30" s="354"/>
      <c r="CF30" s="354"/>
      <c r="CG30" s="354"/>
      <c r="CH30" s="354"/>
      <c r="CI30" s="354"/>
      <c r="CJ30" s="354"/>
      <c r="CK30" s="354"/>
      <c r="CL30" s="354"/>
      <c r="CM30" s="352"/>
      <c r="CN30" s="352"/>
      <c r="CO30" s="352"/>
      <c r="CP30" s="352"/>
      <c r="CQ30" s="352"/>
      <c r="CR30" s="352"/>
      <c r="CS30" s="352"/>
      <c r="CT30" s="352"/>
      <c r="CU30" s="352"/>
      <c r="CV30" s="352"/>
      <c r="CW30" s="352"/>
      <c r="CX30" s="352"/>
      <c r="CY30" s="352"/>
      <c r="CZ30" s="352"/>
      <c r="DA30" s="352"/>
      <c r="DB30" s="352"/>
      <c r="DC30" s="352"/>
      <c r="DD30" s="352"/>
      <c r="DE30" s="352"/>
      <c r="DF30" s="352"/>
      <c r="DG30" s="352"/>
      <c r="DH30" s="352"/>
      <c r="DI30" s="352"/>
      <c r="DJ30" s="352"/>
      <c r="DK30" s="352"/>
      <c r="DL30" s="352"/>
      <c r="DM30" s="352"/>
      <c r="DN30" s="352"/>
      <c r="DO30" s="352"/>
      <c r="DP30" s="352"/>
      <c r="DQ30" s="352"/>
      <c r="DR30" s="352"/>
      <c r="DS30" s="352"/>
      <c r="DT30" s="352"/>
    </row>
    <row r="31" spans="1:124" ht="13.65" customHeight="1" x14ac:dyDescent="0.2">
      <c r="B31" s="2190" t="s">
        <v>151</v>
      </c>
      <c r="C31" s="2190"/>
      <c r="D31" s="2184" t="s">
        <v>196</v>
      </c>
      <c r="E31" s="2185"/>
      <c r="F31" s="2179"/>
      <c r="G31" s="2148" t="s">
        <v>126</v>
      </c>
      <c r="H31" s="2205"/>
      <c r="I31" s="2205"/>
      <c r="J31" s="2205"/>
      <c r="K31" s="2205"/>
      <c r="L31" s="2205"/>
      <c r="M31" s="2205"/>
      <c r="N31" s="2205"/>
      <c r="O31" s="2205"/>
      <c r="P31" s="2205"/>
      <c r="Q31" s="2205"/>
      <c r="R31" s="2205"/>
      <c r="S31" s="2205"/>
      <c r="T31" s="2205"/>
      <c r="U31" s="2205"/>
      <c r="V31" s="2205"/>
      <c r="W31" s="2205"/>
      <c r="X31" s="2205"/>
      <c r="Y31" s="2205"/>
      <c r="Z31" s="2205"/>
      <c r="AA31" s="2205"/>
      <c r="AB31" s="2205"/>
      <c r="AC31" s="2205"/>
      <c r="AD31" s="2205"/>
      <c r="AE31" s="2205"/>
      <c r="AF31" s="2205"/>
      <c r="AG31" s="2205"/>
      <c r="AH31" s="2206"/>
      <c r="AI31" s="2062" t="s">
        <v>15</v>
      </c>
      <c r="AJ31" s="2053"/>
      <c r="AK31" s="2063" t="s">
        <v>804</v>
      </c>
      <c r="AL31" s="2053"/>
      <c r="BB31" s="354"/>
      <c r="BC31" s="354"/>
      <c r="BD31" s="354"/>
      <c r="BE31" s="354"/>
      <c r="BF31" s="354"/>
      <c r="BG31" s="354"/>
      <c r="BH31" s="354"/>
      <c r="BI31" s="354"/>
      <c r="BJ31" s="354"/>
      <c r="BK31" s="354"/>
      <c r="BL31" s="354"/>
      <c r="BM31" s="354"/>
      <c r="BN31" s="354"/>
      <c r="BO31" s="354"/>
      <c r="BP31" s="354"/>
      <c r="BQ31" s="354"/>
      <c r="BR31" s="354"/>
      <c r="BS31" s="354"/>
      <c r="BT31" s="354"/>
      <c r="BU31" s="354"/>
      <c r="BV31" s="354"/>
      <c r="BW31" s="354"/>
      <c r="BX31" s="354"/>
      <c r="BY31" s="354"/>
      <c r="BZ31" s="354"/>
      <c r="CA31" s="354"/>
      <c r="CB31" s="354"/>
      <c r="CC31" s="354"/>
      <c r="CD31" s="354"/>
      <c r="CE31" s="354"/>
      <c r="CF31" s="354"/>
      <c r="CG31" s="354"/>
      <c r="CH31" s="354"/>
      <c r="CI31" s="354"/>
      <c r="CJ31" s="354"/>
      <c r="CK31" s="354"/>
      <c r="CL31" s="354"/>
      <c r="CM31" s="352"/>
      <c r="CN31" s="352"/>
      <c r="CO31" s="352"/>
      <c r="CP31" s="352"/>
      <c r="CQ31" s="352"/>
      <c r="CR31" s="352"/>
      <c r="CS31" s="352"/>
      <c r="CT31" s="352"/>
      <c r="CU31" s="352"/>
      <c r="CV31" s="352"/>
      <c r="CW31" s="352"/>
      <c r="CX31" s="352"/>
      <c r="CY31" s="352"/>
      <c r="CZ31" s="352"/>
      <c r="DA31" s="352"/>
      <c r="DB31" s="352"/>
      <c r="DC31" s="352"/>
      <c r="DD31" s="352"/>
      <c r="DE31" s="352"/>
      <c r="DF31" s="352"/>
      <c r="DG31" s="352"/>
      <c r="DH31" s="352"/>
      <c r="DI31" s="352"/>
      <c r="DJ31" s="352"/>
      <c r="DK31" s="352"/>
      <c r="DL31" s="352"/>
      <c r="DM31" s="352"/>
      <c r="DN31" s="352"/>
      <c r="DO31" s="352"/>
      <c r="DP31" s="352"/>
      <c r="DQ31" s="352"/>
      <c r="DR31" s="352"/>
      <c r="DS31" s="352"/>
      <c r="DT31" s="352"/>
    </row>
    <row r="32" spans="1:124" ht="18" customHeight="1" x14ac:dyDescent="0.2">
      <c r="B32" s="2191"/>
      <c r="C32" s="2191"/>
      <c r="D32" s="2182"/>
      <c r="E32" s="2186"/>
      <c r="F32" s="2183"/>
      <c r="G32" s="2188" t="s">
        <v>17</v>
      </c>
      <c r="H32" s="2195"/>
      <c r="I32" s="2214" t="s">
        <v>18</v>
      </c>
      <c r="J32" s="2215"/>
      <c r="K32" s="2112" t="s">
        <v>19</v>
      </c>
      <c r="L32" s="2112"/>
      <c r="M32" s="2114" t="s">
        <v>20</v>
      </c>
      <c r="N32" s="2169"/>
      <c r="O32" s="2112" t="s">
        <v>21</v>
      </c>
      <c r="P32" s="2112"/>
      <c r="Q32" s="2114" t="s">
        <v>22</v>
      </c>
      <c r="R32" s="2169"/>
      <c r="S32" s="2112" t="s">
        <v>23</v>
      </c>
      <c r="T32" s="2112"/>
      <c r="U32" s="2114" t="s">
        <v>24</v>
      </c>
      <c r="V32" s="2169"/>
      <c r="W32" s="2112" t="s">
        <v>208</v>
      </c>
      <c r="X32" s="2112"/>
      <c r="Y32" s="2114" t="s">
        <v>209</v>
      </c>
      <c r="Z32" s="2169"/>
      <c r="AA32" s="2117" t="s">
        <v>181</v>
      </c>
      <c r="AB32" s="2166"/>
      <c r="AC32" s="2117" t="s">
        <v>182</v>
      </c>
      <c r="AD32" s="2166"/>
      <c r="AE32" s="2117" t="s">
        <v>183</v>
      </c>
      <c r="AF32" s="2166"/>
      <c r="AG32" s="2117" t="s">
        <v>195</v>
      </c>
      <c r="AH32" s="2240"/>
      <c r="AI32" s="2054"/>
      <c r="AJ32" s="2055"/>
      <c r="AK32" s="2064"/>
      <c r="AL32" s="2055"/>
      <c r="BB32" s="354"/>
      <c r="BC32" s="354"/>
      <c r="BD32" s="354"/>
      <c r="BE32" s="354"/>
      <c r="BF32" s="354"/>
      <c r="BG32" s="311"/>
      <c r="BH32" s="311"/>
      <c r="BI32" s="312"/>
      <c r="BJ32" s="312"/>
      <c r="BK32" s="311"/>
      <c r="BL32" s="311"/>
      <c r="BM32" s="317"/>
      <c r="BN32" s="317"/>
      <c r="BO32" s="311"/>
      <c r="BP32" s="311"/>
      <c r="BQ32" s="317"/>
      <c r="BR32" s="317"/>
      <c r="BS32" s="311"/>
      <c r="BT32" s="311"/>
      <c r="BU32" s="317"/>
      <c r="BV32" s="317"/>
      <c r="BW32" s="311"/>
      <c r="BX32" s="311"/>
      <c r="BY32" s="317"/>
      <c r="BZ32" s="317"/>
      <c r="CA32" s="318"/>
      <c r="CB32" s="318"/>
      <c r="CC32" s="318"/>
      <c r="CD32" s="318"/>
      <c r="CE32" s="318"/>
      <c r="CF32" s="318"/>
      <c r="CG32" s="318"/>
      <c r="CH32" s="318"/>
      <c r="CI32" s="354"/>
      <c r="CJ32" s="354"/>
      <c r="CK32" s="354"/>
      <c r="CL32" s="354"/>
      <c r="CM32" s="352"/>
      <c r="CN32" s="352"/>
      <c r="CO32" s="352"/>
      <c r="CP32" s="352"/>
      <c r="CQ32" s="437"/>
      <c r="CR32" s="437"/>
      <c r="CS32" s="438"/>
      <c r="CT32" s="438"/>
      <c r="CU32" s="437"/>
      <c r="CV32" s="437"/>
      <c r="CW32" s="407"/>
      <c r="CX32" s="407"/>
      <c r="CY32" s="437"/>
      <c r="CZ32" s="437"/>
      <c r="DA32" s="407"/>
      <c r="DB32" s="407"/>
      <c r="DC32" s="437"/>
      <c r="DD32" s="437"/>
      <c r="DE32" s="407"/>
      <c r="DF32" s="407"/>
      <c r="DG32" s="437"/>
      <c r="DH32" s="437"/>
      <c r="DI32" s="407"/>
      <c r="DJ32" s="407"/>
      <c r="DK32" s="439"/>
      <c r="DL32" s="439"/>
      <c r="DM32" s="439"/>
      <c r="DN32" s="439"/>
      <c r="DO32" s="439"/>
      <c r="DP32" s="439"/>
      <c r="DQ32" s="439"/>
      <c r="DR32" s="439"/>
      <c r="DS32" s="352"/>
      <c r="DT32" s="352"/>
    </row>
    <row r="33" spans="1:124" ht="21.75" customHeight="1" x14ac:dyDescent="0.2">
      <c r="B33" s="2191"/>
      <c r="C33" s="2192"/>
      <c r="D33" s="125" t="s">
        <v>369</v>
      </c>
      <c r="E33" s="1409" t="s">
        <v>31</v>
      </c>
      <c r="F33" s="1416" t="s">
        <v>94</v>
      </c>
      <c r="G33" s="145" t="s">
        <v>31</v>
      </c>
      <c r="H33" s="1416" t="s">
        <v>94</v>
      </c>
      <c r="I33" s="145" t="s">
        <v>31</v>
      </c>
      <c r="J33" s="1416" t="s">
        <v>94</v>
      </c>
      <c r="K33" s="145" t="s">
        <v>31</v>
      </c>
      <c r="L33" s="1416" t="s">
        <v>94</v>
      </c>
      <c r="M33" s="145" t="s">
        <v>31</v>
      </c>
      <c r="N33" s="1416" t="s">
        <v>94</v>
      </c>
      <c r="O33" s="145" t="s">
        <v>31</v>
      </c>
      <c r="P33" s="1416" t="s">
        <v>94</v>
      </c>
      <c r="Q33" s="145" t="s">
        <v>31</v>
      </c>
      <c r="R33" s="1416" t="s">
        <v>94</v>
      </c>
      <c r="S33" s="145" t="s">
        <v>31</v>
      </c>
      <c r="T33" s="1416" t="s">
        <v>94</v>
      </c>
      <c r="U33" s="145" t="s">
        <v>31</v>
      </c>
      <c r="V33" s="1416" t="s">
        <v>94</v>
      </c>
      <c r="W33" s="145" t="s">
        <v>31</v>
      </c>
      <c r="X33" s="1416" t="s">
        <v>94</v>
      </c>
      <c r="Y33" s="145" t="s">
        <v>31</v>
      </c>
      <c r="Z33" s="1416" t="s">
        <v>94</v>
      </c>
      <c r="AA33" s="145" t="s">
        <v>129</v>
      </c>
      <c r="AB33" s="1416" t="s">
        <v>94</v>
      </c>
      <c r="AC33" s="145" t="s">
        <v>129</v>
      </c>
      <c r="AD33" s="1416" t="s">
        <v>94</v>
      </c>
      <c r="AE33" s="145" t="s">
        <v>129</v>
      </c>
      <c r="AF33" s="1416" t="s">
        <v>94</v>
      </c>
      <c r="AG33" s="131" t="s">
        <v>129</v>
      </c>
      <c r="AH33" s="133" t="s">
        <v>94</v>
      </c>
      <c r="AI33" s="1410" t="s">
        <v>31</v>
      </c>
      <c r="AJ33" s="1408" t="s">
        <v>94</v>
      </c>
      <c r="AK33" s="1401" t="s">
        <v>31</v>
      </c>
      <c r="AL33" s="1408" t="s">
        <v>94</v>
      </c>
      <c r="BB33" s="354"/>
      <c r="BC33" s="354"/>
      <c r="BD33" s="354"/>
      <c r="BE33" s="354"/>
      <c r="BF33" s="354"/>
      <c r="BG33" s="313"/>
      <c r="BH33" s="313"/>
      <c r="BI33" s="313"/>
      <c r="BJ33" s="313"/>
      <c r="BK33" s="313"/>
      <c r="BL33" s="313"/>
      <c r="BM33" s="313"/>
      <c r="BN33" s="313"/>
      <c r="BO33" s="313"/>
      <c r="BP33" s="313"/>
      <c r="BQ33" s="313"/>
      <c r="BR33" s="313"/>
      <c r="BS33" s="313"/>
      <c r="BT33" s="313"/>
      <c r="BU33" s="313"/>
      <c r="BV33" s="313"/>
      <c r="BW33" s="313"/>
      <c r="BX33" s="313"/>
      <c r="BY33" s="313"/>
      <c r="BZ33" s="313"/>
      <c r="CA33" s="313"/>
      <c r="CB33" s="313"/>
      <c r="CC33" s="313"/>
      <c r="CD33" s="313"/>
      <c r="CE33" s="313"/>
      <c r="CF33" s="313"/>
      <c r="CG33" s="313"/>
      <c r="CH33" s="313"/>
      <c r="CI33" s="354"/>
      <c r="CJ33" s="354"/>
      <c r="CK33" s="354"/>
      <c r="CL33" s="354"/>
      <c r="CM33" s="352"/>
      <c r="CN33" s="352"/>
      <c r="CO33" s="352"/>
      <c r="CP33" s="352"/>
      <c r="CQ33" s="440"/>
      <c r="CR33" s="440"/>
      <c r="CS33" s="440"/>
      <c r="CT33" s="440"/>
      <c r="CU33" s="440"/>
      <c r="CV33" s="440"/>
      <c r="CW33" s="440"/>
      <c r="CX33" s="440"/>
      <c r="CY33" s="440"/>
      <c r="CZ33" s="440"/>
      <c r="DA33" s="440"/>
      <c r="DB33" s="440"/>
      <c r="DC33" s="440"/>
      <c r="DD33" s="440"/>
      <c r="DE33" s="440"/>
      <c r="DF33" s="440"/>
      <c r="DG33" s="440"/>
      <c r="DH33" s="440"/>
      <c r="DI33" s="440"/>
      <c r="DJ33" s="440"/>
      <c r="DK33" s="440"/>
      <c r="DL33" s="440"/>
      <c r="DM33" s="440"/>
      <c r="DN33" s="440"/>
      <c r="DO33" s="440"/>
      <c r="DP33" s="440"/>
      <c r="DQ33" s="440"/>
      <c r="DR33" s="440"/>
      <c r="DS33" s="352"/>
      <c r="DT33" s="352"/>
    </row>
    <row r="34" spans="1:124" ht="25.5" customHeight="1" x14ac:dyDescent="0.25">
      <c r="A34" s="1641" t="s">
        <v>1209</v>
      </c>
      <c r="B34" s="2199" t="s">
        <v>164</v>
      </c>
      <c r="C34" s="156" t="s">
        <v>165</v>
      </c>
      <c r="D34" s="663" t="s">
        <v>1550</v>
      </c>
      <c r="E34" s="664" t="s">
        <v>1551</v>
      </c>
      <c r="F34" s="1411" t="s">
        <v>1552</v>
      </c>
      <c r="G34" s="680" t="s">
        <v>1553</v>
      </c>
      <c r="H34" s="681" t="s">
        <v>1554</v>
      </c>
      <c r="I34" s="680" t="s">
        <v>1555</v>
      </c>
      <c r="J34" s="681" t="s">
        <v>1556</v>
      </c>
      <c r="K34" s="680" t="s">
        <v>1557</v>
      </c>
      <c r="L34" s="756" t="s">
        <v>1558</v>
      </c>
      <c r="M34" s="680" t="s">
        <v>1559</v>
      </c>
      <c r="N34" s="681" t="s">
        <v>1560</v>
      </c>
      <c r="O34" s="680" t="s">
        <v>1561</v>
      </c>
      <c r="P34" s="681" t="s">
        <v>1562</v>
      </c>
      <c r="Q34" s="680" t="s">
        <v>1563</v>
      </c>
      <c r="R34" s="756" t="s">
        <v>1564</v>
      </c>
      <c r="S34" s="680" t="s">
        <v>1565</v>
      </c>
      <c r="T34" s="681" t="s">
        <v>1566</v>
      </c>
      <c r="U34" s="680" t="s">
        <v>1567</v>
      </c>
      <c r="V34" s="681" t="s">
        <v>1568</v>
      </c>
      <c r="W34" s="680" t="s">
        <v>1569</v>
      </c>
      <c r="X34" s="681" t="s">
        <v>1570</v>
      </c>
      <c r="Y34" s="680" t="s">
        <v>1571</v>
      </c>
      <c r="Z34" s="681" t="s">
        <v>1572</v>
      </c>
      <c r="AA34" s="680" t="s">
        <v>1573</v>
      </c>
      <c r="AB34" s="681" t="s">
        <v>1574</v>
      </c>
      <c r="AC34" s="680" t="s">
        <v>1575</v>
      </c>
      <c r="AD34" s="681" t="s">
        <v>1576</v>
      </c>
      <c r="AE34" s="680" t="s">
        <v>1577</v>
      </c>
      <c r="AF34" s="681" t="s">
        <v>1578</v>
      </c>
      <c r="AG34" s="1421" t="s">
        <v>1579</v>
      </c>
      <c r="AH34" s="1422" t="s">
        <v>1580</v>
      </c>
      <c r="AI34" s="699" t="s">
        <v>1581</v>
      </c>
      <c r="AJ34" s="681" t="s">
        <v>1582</v>
      </c>
      <c r="AK34" s="757" t="s">
        <v>1583</v>
      </c>
      <c r="AL34" s="681" t="s">
        <v>1584</v>
      </c>
      <c r="AM34" s="1507" t="str">
        <f xml:space="preserve"> BE34 &amp; BF34 &amp; BI34 &amp; BJ34 &amp; BK34 &amp; BL34 &amp; BM34 &amp; BN34 &amp; BO34 &amp; BP34 &amp; BQ34 &amp; BR34 &amp; BS34 &amp; BT34 &amp; BU34 &amp; BV34 &amp; BW34 &amp; BX34 &amp; BY34 &amp; BZ34 &amp; CA34 &amp; CB34 &amp; CC34 &amp; CD34 &amp; CE34 &amp; CF34 &amp; CG34 &amp; CI34 &amp; CJ34 &amp; CH34 &amp; BG34 &amp; BH34 &amp; BC34 &amp; BD34</f>
        <v xml:space="preserve">* Pueblos Originarios-Hombres no debe ser mayor al Total de personas Hombres. * Pueblos Originarios-Mujeres no debe ser mayor al Total de personas Mujeres. * Población Migrantes-Hombres no debe ser mayor al Total de personas Hombres. * Pueblos Originarios-Mujeres no debe ser mayor al Total de personas Mujeres. </v>
      </c>
      <c r="BB34" s="354"/>
      <c r="BC34" s="348" t="str">
        <f>IF(AND(E34&lt;&gt;0,AI34=""),"* No olvide escribir en la celda de 'Pueblos Originarios' (Digite CERO si no tiene). ",IF(AND(F34&lt;&gt;0,AJ34=""),"* No olvide escribir en la celda de 'Pueblos Originarios' (Digite CERO si no tiene). ",""))</f>
        <v/>
      </c>
      <c r="BD34" s="348" t="str">
        <f t="shared" ref="BD34:BD42" si="20">IF(AND(E34&lt;&gt;0,AK34=""),"* No olvide escribir en la celda de 'Población Migrantes' (Digite CERO si no tiene). ",IF(AND(F34&lt;&gt;0,AL34=""),"* No olvide escribir en la celda de 'Población Migrantes' (Digite CERO si no tiene). ",""))</f>
        <v/>
      </c>
      <c r="BE34" s="348" t="str">
        <f>IF($E$34&gt;=$AI$34,"","* Pueblos Originarios-Hombres no debe ser mayor al Total de personas Hombres. ")</f>
        <v xml:space="preserve">* Pueblos Originarios-Hombres no debe ser mayor al Total de personas Hombres. </v>
      </c>
      <c r="BF34" s="348" t="str">
        <f>IF($F$34&gt;=$AJ$34,"","* Pueblos Originarios-Mujeres no debe ser mayor al Total de personas Mujeres. ")</f>
        <v xml:space="preserve">* Pueblos Originarios-Mujeres no debe ser mayor al Total de personas Mujeres. </v>
      </c>
      <c r="BG34" s="348" t="str">
        <f t="shared" ref="BG34:BG42" si="21">IF($E34&gt;=$AK34,"","* Población Migrantes-Hombres no debe ser mayor al Total de personas Hombres. ")</f>
        <v xml:space="preserve">* Población Migrantes-Hombres no debe ser mayor al Total de personas Hombres. </v>
      </c>
      <c r="BH34" s="348" t="str">
        <f t="shared" ref="BH34:BH42" si="22">IF($F34&gt;=$AL34,"","* Pueblos Originarios-Mujeres no debe ser mayor al Total de personas Mujeres. ")</f>
        <v xml:space="preserve">* Pueblos Originarios-Mujeres no debe ser mayor al Total de personas Mujeres. </v>
      </c>
      <c r="BI34" s="348" t="str">
        <f>IF($G$34&lt;=$G$16,"","* Pacientes 15 a 19 años (Hombres) con PA&lt;140/90 mmHg debe ser menor o igual a Hipertensos en Sección A. ")</f>
        <v/>
      </c>
      <c r="BJ34" s="348" t="str">
        <f>IF($H$34&lt;=$H$16,"","* Pacientes 15 a 19 años (Mujeres) con PA&lt;140/90 mmHg debe ser menor o igual a Hipertensos en Sección A. ")</f>
        <v/>
      </c>
      <c r="BK34" s="348" t="str">
        <f>IF($I$34&lt;=$I$16,"","* Pacientes 20 a 24 años (Hombres) con PA&lt;140/90 mmHg debe ser menor o igual a Hipertensos en Sección A. ")</f>
        <v/>
      </c>
      <c r="BL34" s="348" t="str">
        <f>IF($J$34&lt;=$J$16,"","* Pacientes 20 a 24 años (Mujeres) con PA&lt;140/90 mmHg debe ser menor o igual a Hipertensos en Sección A. ")</f>
        <v/>
      </c>
      <c r="BM34" s="348" t="str">
        <f>IF($K$34&lt;=$K$16,"","* Pacientes 25 a 29 años (Hombres) con PA&lt;140/90 mmHg debe ser menor o igual a Hipertensos en Sección A. ")</f>
        <v/>
      </c>
      <c r="BN34" s="348" t="str">
        <f>IF($L$34&lt;=$L$16,"","* Pacientes 25 a 29 años (Mujeres) con PA&lt;140/90 mmHg debe ser menor o igual a Hipertensos en Sección A. ")</f>
        <v/>
      </c>
      <c r="BO34" s="348" t="str">
        <f>IF($M$34&lt;=$M$16,"","* Pacientes 30 a 34 años (Hombres) con PA&lt;140/90 mmHg debe ser menor o igual a Hipertensos en Sección A. ")</f>
        <v/>
      </c>
      <c r="BP34" s="348" t="str">
        <f>IF($N$34&lt;=$N$16,"","* Pacientes 30 a 34 años (Mujeres) con PA&lt;140/90 mmHg debe ser menor o igual a Hipertensos en Sección A. ")</f>
        <v/>
      </c>
      <c r="BQ34" s="348" t="str">
        <f>IF($O$34&lt;=$O$16,"","* Pacientes 35 a 39 años (Hombres) con PA&lt;140/90 mmHg debe ser menor o igual a Hipertensos en Sección A. ")</f>
        <v/>
      </c>
      <c r="BR34" s="348" t="str">
        <f>IF($P$34&lt;=$P$16,"","* Pacientes 35 a 39 años (Mujeres) con PA&lt;140/90 mmHg debe ser menor o igual a Hipertensos en Sección A. ")</f>
        <v/>
      </c>
      <c r="BS34" s="348" t="str">
        <f>IF($Q$34&lt;=$Q$16,"","* Pacientes 40 a 44 años (Hombres) con PA&lt;140/90 mmHg debe ser menor o igual a Hipertensos en Sección A. ")</f>
        <v/>
      </c>
      <c r="BT34" s="348" t="str">
        <f>IF($R$34&lt;=$R$16,"","* Pacientes 40 a 44 años (Mujeres) con PA&lt;140/90 mmHg debe ser menor o igual a Hipertensos en Sección A. ")</f>
        <v/>
      </c>
      <c r="BU34" s="348" t="str">
        <f>IF($S$34&lt;=$S$16,"","* Pacientes 45 a 49 años (Hombres) con PA&lt;140/90 mmHg debe ser menor o igual a Hipertensos en Sección A. ")</f>
        <v/>
      </c>
      <c r="BV34" s="348" t="str">
        <f>IF($T$34&lt;=$T$16,"","* Pacientes 45 a 49 años (Mujeres) con PA&lt;140/90 mmHg debe ser menor o igual a Hipertensos en Sección A. ")</f>
        <v/>
      </c>
      <c r="BW34" s="348" t="str">
        <f>IF($U$34&lt;=$U$16,"","* Pacientes 50 a 54 años (Hombres) con PA&lt;140/90 mmHg debe ser menor o igual a Hipertensos en Sección A. ")</f>
        <v/>
      </c>
      <c r="BX34" s="348" t="str">
        <f>IF($V$34&lt;=$V$16,"","* Pacientes 50 a 54 años (Mujeres) con PA&lt;140/90 mmHg debe ser menor o igual a Hipertensos en Sección A. ")</f>
        <v/>
      </c>
      <c r="BY34" s="348" t="str">
        <f>IF($W$34&lt;=$W$16,"","* Pacientes 55 a 59 años (Hombres) con PA&lt;140/90 mmHg debe ser menor o igual a Hipertensos en Sección A. ")</f>
        <v/>
      </c>
      <c r="BZ34" s="348" t="str">
        <f>IF($X$34&lt;=$X$16,"","* Pacientes 55 a 59 años (Mujeres) con PA&lt;140/90 mmHg debe ser menor o igual a Hipertensos en Sección A. ")</f>
        <v/>
      </c>
      <c r="CA34" s="348" t="str">
        <f>IF($Y$34&lt;=$Y$16,"","* Pacientes 60 a 64 años (Hombres) con PA&lt;140/90 mmHg debe ser menor o igual a Hipertensos en Sección A. ")</f>
        <v/>
      </c>
      <c r="CB34" s="348" t="str">
        <f>IF($Z$34&lt;=$Z$16,"","* Pacientes 60 a 64 años (Mujeres) con PA&lt;140/90 mmHg debe ser menor o igual a Hipertensos en Sección A. ")</f>
        <v/>
      </c>
      <c r="CC34" s="348" t="str">
        <f>IF($AA$34&lt;=$AA$16,"","* Pacientes 65 a 69 años (Hombres) con PA&lt;140/90 mmHg debe ser menor o igual a Hipertensos en Sección A. ")</f>
        <v/>
      </c>
      <c r="CD34" s="348" t="str">
        <f>IF($AB$34&lt;=$AB$16,"","* Pacientes 65 a 69 años (Mujeres) con PA&lt;140/90 mmHg debe ser menor o igual a Hipertensos en Sección A. ")</f>
        <v/>
      </c>
      <c r="CE34" s="348" t="str">
        <f>IF($AC$34&lt;=$AC$16,"","* Pacientes 70 a 74 años (Hombres) con PA&lt;140/90 mmHg debe ser menor o igual a Hipertensos en Sección A. ")</f>
        <v/>
      </c>
      <c r="CF34" s="348" t="str">
        <f>IF($AD$34&lt;=$AD$16,"","* Pacientes 70 a 74 años (Mujeres) con PA&lt;140/90 mmHg debe ser menor o igual a Hipertensos en Sección A. ")</f>
        <v/>
      </c>
      <c r="CG34" s="348" t="str">
        <f>IF($AE$34&lt;=$AE$16,"","* Pacientes 75 a 79 años (Hombres) con PA&lt;140/90 mmHg debe ser menor o igual a Hipertensos en Sección A. ")</f>
        <v/>
      </c>
      <c r="CH34" s="348" t="str">
        <f>IF($AF$34&lt;=$AF$16,"","* Pacientes 75 a 79 años (Mujeres) con PA&lt;140/90 mmHg debe ser menor o igual a Hipertensos en Sección A. ")</f>
        <v/>
      </c>
      <c r="CI34" s="348" t="str">
        <f>IF($AG$34&lt;=$AG$16,"","* Pacientes 80 y más años (Hombres) con PA&lt;140/90 mmHg debe ser menor o igual a Hipertensos en Sección A. ")</f>
        <v/>
      </c>
      <c r="CJ34" s="348" t="str">
        <f>IF($AH$34&lt;=$AH$16,"","* Pacientes 80 y más años (Mujeres) con PA&lt;140/90 mmHg debe ser menor o igual a Hipertensos en Sección A. ")</f>
        <v/>
      </c>
      <c r="CK34" s="354"/>
      <c r="CL34" s="354"/>
      <c r="CM34" s="358">
        <f>IF(AND(E34&lt;&gt;0,AI34=""),1,IF(AND(F34&lt;&gt;0,AJ34=""),1,0))</f>
        <v>0</v>
      </c>
      <c r="CN34" s="358">
        <f>IF(AND(E34&lt;&gt;0,AK34=""),1,IF(AND(F34&lt;&gt;0,AL34=""),1,0))</f>
        <v>0</v>
      </c>
      <c r="CO34" s="358">
        <f>IF($E$34&gt;=$AI$34,0,1)</f>
        <v>1</v>
      </c>
      <c r="CP34" s="358">
        <f>IF($F$34&gt;=$AJ$34,0,1)</f>
        <v>1</v>
      </c>
      <c r="CQ34" s="358">
        <f t="shared" ref="CQ34:CQ42" si="23">IF($E34&gt;=$AK34,0,1)</f>
        <v>1</v>
      </c>
      <c r="CR34" s="358">
        <f>IF($F34&gt;=$AL34,0,1)</f>
        <v>1</v>
      </c>
      <c r="CS34" s="358">
        <f t="shared" ref="CS34:DT34" si="24">IF(G$34&lt;=G$16,0,1)</f>
        <v>0</v>
      </c>
      <c r="CT34" s="358">
        <f t="shared" si="24"/>
        <v>0</v>
      </c>
      <c r="CU34" s="358">
        <f t="shared" si="24"/>
        <v>0</v>
      </c>
      <c r="CV34" s="358">
        <f t="shared" si="24"/>
        <v>0</v>
      </c>
      <c r="CW34" s="358">
        <f t="shared" si="24"/>
        <v>0</v>
      </c>
      <c r="CX34" s="358">
        <f t="shared" si="24"/>
        <v>0</v>
      </c>
      <c r="CY34" s="358">
        <f>IF(M$34&lt;=M$16,0,1)</f>
        <v>0</v>
      </c>
      <c r="CZ34" s="358">
        <f t="shared" si="24"/>
        <v>0</v>
      </c>
      <c r="DA34" s="358">
        <f t="shared" si="24"/>
        <v>0</v>
      </c>
      <c r="DB34" s="358">
        <f t="shared" si="24"/>
        <v>0</v>
      </c>
      <c r="DC34" s="358">
        <f t="shared" si="24"/>
        <v>0</v>
      </c>
      <c r="DD34" s="358">
        <f t="shared" si="24"/>
        <v>0</v>
      </c>
      <c r="DE34" s="358">
        <f t="shared" si="24"/>
        <v>0</v>
      </c>
      <c r="DF34" s="358">
        <f t="shared" si="24"/>
        <v>0</v>
      </c>
      <c r="DG34" s="358">
        <f t="shared" si="24"/>
        <v>0</v>
      </c>
      <c r="DH34" s="358">
        <f t="shared" si="24"/>
        <v>0</v>
      </c>
      <c r="DI34" s="358">
        <f t="shared" si="24"/>
        <v>0</v>
      </c>
      <c r="DJ34" s="358">
        <f t="shared" si="24"/>
        <v>0</v>
      </c>
      <c r="DK34" s="358">
        <f t="shared" si="24"/>
        <v>0</v>
      </c>
      <c r="DL34" s="358">
        <f t="shared" si="24"/>
        <v>0</v>
      </c>
      <c r="DM34" s="358">
        <f t="shared" si="24"/>
        <v>0</v>
      </c>
      <c r="DN34" s="358">
        <f t="shared" si="24"/>
        <v>0</v>
      </c>
      <c r="DO34" s="358">
        <f t="shared" si="24"/>
        <v>0</v>
      </c>
      <c r="DP34" s="358">
        <f t="shared" si="24"/>
        <v>0</v>
      </c>
      <c r="DQ34" s="358">
        <f t="shared" si="24"/>
        <v>0</v>
      </c>
      <c r="DR34" s="358">
        <f t="shared" si="24"/>
        <v>0</v>
      </c>
      <c r="DS34" s="358">
        <f t="shared" si="24"/>
        <v>0</v>
      </c>
      <c r="DT34" s="358">
        <f t="shared" si="24"/>
        <v>0</v>
      </c>
    </row>
    <row r="35" spans="1:124" ht="25.5" customHeight="1" x14ac:dyDescent="0.25">
      <c r="A35" s="1641" t="s">
        <v>1210</v>
      </c>
      <c r="B35" s="1865"/>
      <c r="C35" s="239" t="s">
        <v>362</v>
      </c>
      <c r="D35" s="694" t="s">
        <v>1550</v>
      </c>
      <c r="E35" s="1412" t="s">
        <v>1551</v>
      </c>
      <c r="F35" s="1413" t="s">
        <v>1552</v>
      </c>
      <c r="G35" s="730" t="s">
        <v>1553</v>
      </c>
      <c r="H35" s="1423" t="s">
        <v>1554</v>
      </c>
      <c r="I35" s="730" t="s">
        <v>1555</v>
      </c>
      <c r="J35" s="732" t="s">
        <v>1556</v>
      </c>
      <c r="K35" s="730" t="s">
        <v>1557</v>
      </c>
      <c r="L35" s="732" t="s">
        <v>1558</v>
      </c>
      <c r="M35" s="730" t="s">
        <v>1559</v>
      </c>
      <c r="N35" s="731" t="s">
        <v>1560</v>
      </c>
      <c r="O35" s="730" t="s">
        <v>1561</v>
      </c>
      <c r="P35" s="731" t="s">
        <v>1562</v>
      </c>
      <c r="Q35" s="730" t="s">
        <v>1563</v>
      </c>
      <c r="R35" s="732" t="s">
        <v>1564</v>
      </c>
      <c r="S35" s="730" t="s">
        <v>1565</v>
      </c>
      <c r="T35" s="731" t="s">
        <v>1566</v>
      </c>
      <c r="U35" s="730" t="s">
        <v>1567</v>
      </c>
      <c r="V35" s="731" t="s">
        <v>1568</v>
      </c>
      <c r="W35" s="730" t="s">
        <v>1569</v>
      </c>
      <c r="X35" s="731" t="s">
        <v>1570</v>
      </c>
      <c r="Y35" s="730" t="s">
        <v>1571</v>
      </c>
      <c r="Z35" s="731" t="s">
        <v>1572</v>
      </c>
      <c r="AA35" s="730" t="s">
        <v>1573</v>
      </c>
      <c r="AB35" s="731" t="s">
        <v>1574</v>
      </c>
      <c r="AC35" s="730" t="s">
        <v>1575</v>
      </c>
      <c r="AD35" s="731" t="s">
        <v>1576</v>
      </c>
      <c r="AE35" s="730" t="s">
        <v>1577</v>
      </c>
      <c r="AF35" s="731" t="s">
        <v>1578</v>
      </c>
      <c r="AG35" s="758" t="s">
        <v>1579</v>
      </c>
      <c r="AH35" s="702" t="s">
        <v>1580</v>
      </c>
      <c r="AI35" s="703" t="s">
        <v>1581</v>
      </c>
      <c r="AJ35" s="690" t="s">
        <v>1582</v>
      </c>
      <c r="AK35" s="759" t="s">
        <v>1583</v>
      </c>
      <c r="AL35" s="690" t="s">
        <v>1584</v>
      </c>
      <c r="AM35" s="1507" t="str">
        <f xml:space="preserve"> BE35 &amp; BF35 &amp; BG35 &amp; BH35 &amp; BC35 &amp; BD35</f>
        <v xml:space="preserve">* Pueblos Originarios-Hombres no debe ser mayor al Total de personas Hombres. * Pueblos Originarios-Mujeres no debe ser mayor al Total de personas Mujeres. * Población Migrantes-Hombres no debe ser mayor al Total de personas Hombres. * Pueblos Originarios-Mujeres no debe ser mayor al Total de personas Mujeres. </v>
      </c>
      <c r="BB35" s="354"/>
      <c r="BC35" s="348" t="str">
        <f t="shared" ref="BC35:BC42" si="25">IF(AND(E35&lt;&gt;0,AI35=""),"* No olvide escribir en la celda de 'Pueblos Originarios' (Digite CERO si no tiene). ",IF(AND(F35&lt;&gt;0,AJ35=""),"* No olvide escribir en la celda de 'Pueblos Originarios' (Digite CERO si no tiene). ",""))</f>
        <v/>
      </c>
      <c r="BD35" s="348" t="str">
        <f t="shared" si="20"/>
        <v/>
      </c>
      <c r="BE35" s="348" t="str">
        <f>IF($E$35&gt;=$AI$35,"","* Pueblos Originarios-Hombres no debe ser mayor al Total de personas Hombres. ")</f>
        <v xml:space="preserve">* Pueblos Originarios-Hombres no debe ser mayor al Total de personas Hombres. </v>
      </c>
      <c r="BF35" s="348" t="str">
        <f>IF($F$35&gt;=$AJ$35,"","* Pueblos Originarios-Mujeres no debe ser mayor al Total de personas Mujeres. ")</f>
        <v xml:space="preserve">* Pueblos Originarios-Mujeres no debe ser mayor al Total de personas Mujeres. </v>
      </c>
      <c r="BG35" s="348" t="str">
        <f t="shared" si="21"/>
        <v xml:space="preserve">* Población Migrantes-Hombres no debe ser mayor al Total de personas Hombres. </v>
      </c>
      <c r="BH35" s="348" t="str">
        <f t="shared" si="22"/>
        <v xml:space="preserve">* Pueblos Originarios-Mujeres no debe ser mayor al Total de personas Mujeres. </v>
      </c>
      <c r="BI35" s="354"/>
      <c r="BJ35" s="354"/>
      <c r="BK35" s="354"/>
      <c r="BL35" s="354"/>
      <c r="BM35" s="354"/>
      <c r="BN35" s="354"/>
      <c r="BO35" s="354"/>
      <c r="BP35" s="354"/>
      <c r="BQ35" s="354"/>
      <c r="BR35" s="354"/>
      <c r="BS35" s="354"/>
      <c r="BT35" s="354"/>
      <c r="BU35" s="354"/>
      <c r="BV35" s="354"/>
      <c r="BW35" s="354"/>
      <c r="BX35" s="354"/>
      <c r="BY35" s="354"/>
      <c r="BZ35" s="354"/>
      <c r="CA35" s="354"/>
      <c r="CB35" s="354"/>
      <c r="CC35" s="354"/>
      <c r="CD35" s="354"/>
      <c r="CE35" s="354"/>
      <c r="CF35" s="354"/>
      <c r="CG35" s="354"/>
      <c r="CH35" s="354"/>
      <c r="CI35" s="354"/>
      <c r="CJ35" s="354"/>
      <c r="CK35" s="354"/>
      <c r="CL35" s="354"/>
      <c r="CM35" s="358">
        <f t="shared" ref="CM35:CM42" si="26">IF(AND(E35&lt;&gt;0,AI35=""),1,IF(AND(F35&lt;&gt;0,AJ35=""),1,0))</f>
        <v>0</v>
      </c>
      <c r="CN35" s="358">
        <f t="shared" ref="CN35:CN42" si="27">IF(AND(E35&lt;&gt;0,AK35=""),1,IF(AND(F35&lt;&gt;0,AL35=""),1,0))</f>
        <v>0</v>
      </c>
      <c r="CO35" s="358">
        <f>IF($E$35&gt;=$AI$35,0,1)</f>
        <v>1</v>
      </c>
      <c r="CP35" s="358">
        <f>IF($F$35&gt;=$AJ$35,0,1)</f>
        <v>1</v>
      </c>
      <c r="CQ35" s="358">
        <f t="shared" si="23"/>
        <v>1</v>
      </c>
      <c r="CR35" s="358">
        <f>IF($F35&gt;=$AL35,0,1)</f>
        <v>1</v>
      </c>
      <c r="CS35" s="352"/>
      <c r="CT35" s="352"/>
      <c r="CU35" s="352"/>
      <c r="CV35" s="352"/>
      <c r="CW35" s="352"/>
      <c r="CX35" s="352"/>
      <c r="CY35" s="352"/>
      <c r="CZ35" s="352"/>
      <c r="DA35" s="352"/>
      <c r="DB35" s="352"/>
      <c r="DC35" s="352"/>
      <c r="DD35" s="352"/>
      <c r="DE35" s="352"/>
      <c r="DF35" s="352"/>
      <c r="DG35" s="352"/>
      <c r="DH35" s="352"/>
      <c r="DI35" s="352"/>
      <c r="DJ35" s="352"/>
      <c r="DK35" s="352"/>
      <c r="DL35" s="352"/>
      <c r="DM35" s="352"/>
      <c r="DN35" s="352"/>
      <c r="DO35" s="352"/>
      <c r="DP35" s="352"/>
      <c r="DQ35" s="352"/>
      <c r="DR35" s="352"/>
      <c r="DS35" s="352"/>
      <c r="DT35" s="352"/>
    </row>
    <row r="36" spans="1:124" ht="25.5" customHeight="1" x14ac:dyDescent="0.25">
      <c r="A36" s="1641" t="s">
        <v>1211</v>
      </c>
      <c r="B36" s="2204" t="s">
        <v>166</v>
      </c>
      <c r="C36" s="162" t="s">
        <v>167</v>
      </c>
      <c r="D36" s="663" t="s">
        <v>1550</v>
      </c>
      <c r="E36" s="664" t="s">
        <v>1551</v>
      </c>
      <c r="F36" s="742" t="s">
        <v>1552</v>
      </c>
      <c r="G36" s="680" t="s">
        <v>1553</v>
      </c>
      <c r="H36" s="681" t="s">
        <v>1554</v>
      </c>
      <c r="I36" s="680" t="s">
        <v>1555</v>
      </c>
      <c r="J36" s="681" t="s">
        <v>1556</v>
      </c>
      <c r="K36" s="680" t="s">
        <v>1557</v>
      </c>
      <c r="L36" s="681" t="s">
        <v>1558</v>
      </c>
      <c r="M36" s="680" t="s">
        <v>1559</v>
      </c>
      <c r="N36" s="681" t="s">
        <v>1560</v>
      </c>
      <c r="O36" s="680" t="s">
        <v>1561</v>
      </c>
      <c r="P36" s="681" t="s">
        <v>1562</v>
      </c>
      <c r="Q36" s="680" t="s">
        <v>1563</v>
      </c>
      <c r="R36" s="681" t="s">
        <v>1564</v>
      </c>
      <c r="S36" s="680" t="s">
        <v>1565</v>
      </c>
      <c r="T36" s="681" t="s">
        <v>1566</v>
      </c>
      <c r="U36" s="680" t="s">
        <v>1567</v>
      </c>
      <c r="V36" s="681" t="s">
        <v>1568</v>
      </c>
      <c r="W36" s="680" t="s">
        <v>1569</v>
      </c>
      <c r="X36" s="681" t="s">
        <v>1570</v>
      </c>
      <c r="Y36" s="680" t="s">
        <v>1571</v>
      </c>
      <c r="Z36" s="681" t="s">
        <v>1572</v>
      </c>
      <c r="AA36" s="680" t="s">
        <v>1573</v>
      </c>
      <c r="AB36" s="681" t="s">
        <v>1574</v>
      </c>
      <c r="AC36" s="680" t="s">
        <v>1575</v>
      </c>
      <c r="AD36" s="681" t="s">
        <v>1576</v>
      </c>
      <c r="AE36" s="680" t="s">
        <v>1577</v>
      </c>
      <c r="AF36" s="681" t="s">
        <v>1578</v>
      </c>
      <c r="AG36" s="1421" t="s">
        <v>1579</v>
      </c>
      <c r="AH36" s="1421" t="s">
        <v>1580</v>
      </c>
      <c r="AI36" s="699" t="s">
        <v>1581</v>
      </c>
      <c r="AJ36" s="681" t="s">
        <v>1582</v>
      </c>
      <c r="AK36" s="757" t="s">
        <v>1583</v>
      </c>
      <c r="AL36" s="681" t="s">
        <v>1584</v>
      </c>
      <c r="AM36" s="1507" t="str">
        <f xml:space="preserve"> BE36 &amp; BF36 &amp; BI36 &amp; BJ36 &amp; BK36 &amp; BL36 &amp; BM36 &amp; BN36 &amp; BO36 &amp; BP36 &amp; BQ36 &amp; BR36 &amp; BS36 &amp; BT36 &amp; BU36 &amp; BV36 &amp; BW36 &amp; BX36 &amp; BY36 &amp; BZ36 &amp; CA36 &amp; CB36 &amp; CC36 &amp; CD36 &amp; CE36 &amp; CF36 &amp; CG36 &amp; CI36 &amp; CJ36 &amp; CH36 &amp; BG36 &amp; BH36 &amp; BC36 &amp; BD36</f>
        <v xml:space="preserve">* Pueblos Originarios-Hombres no debe ser mayor al Total de personas Hombres. * Pueblos Originarios-Mujeres no debe ser mayor al Total de personas Mujeres. * Población Migrantes-Hombres no debe ser mayor al Total de personas Hombres. * Pueblos Originarios-Mujeres no debe ser mayor al Total de personas Mujeres. </v>
      </c>
      <c r="BB36" s="354"/>
      <c r="BC36" s="348" t="str">
        <f t="shared" si="25"/>
        <v/>
      </c>
      <c r="BD36" s="348" t="str">
        <f t="shared" si="20"/>
        <v/>
      </c>
      <c r="BE36" s="348" t="str">
        <f>IF($E$36&gt;=$AI$36,"","* Pueblos Originarios-Hombres no debe ser mayor al Total de personas Hombres. ")</f>
        <v xml:space="preserve">* Pueblos Originarios-Hombres no debe ser mayor al Total de personas Hombres. </v>
      </c>
      <c r="BF36" s="348" t="str">
        <f>IF($F$36&gt;=$AJ$36,"","* Pueblos Originarios-Mujeres no debe ser mayor al Total de personas Mujeres. ")</f>
        <v xml:space="preserve">* Pueblos Originarios-Mujeres no debe ser mayor al Total de personas Mujeres. </v>
      </c>
      <c r="BG36" s="348" t="str">
        <f t="shared" si="21"/>
        <v xml:space="preserve">* Población Migrantes-Hombres no debe ser mayor al Total de personas Hombres. </v>
      </c>
      <c r="BH36" s="348" t="str">
        <f t="shared" si="22"/>
        <v xml:space="preserve">* Pueblos Originarios-Mujeres no debe ser mayor al Total de personas Mujeres. </v>
      </c>
      <c r="BI36" s="348" t="str">
        <f>IF($G$36&lt;=$G$17,"","* Pacientes 15 a 19 años (Hombres) con HbA1C&lt;7% debe ser menor o igual a Diabéticos en Sección A. ")</f>
        <v/>
      </c>
      <c r="BJ36" s="348" t="str">
        <f>IF($H$36&lt;=$H$17,"","* Pacientes 15 a 19 años (Mujeres) con HbA1C&lt;7% debe ser menor o igual a Diabéticos en Sección A. ")</f>
        <v/>
      </c>
      <c r="BK36" s="348" t="str">
        <f>IF($I$36&lt;=$I$17,"","* Pacientes 20 a 24 años (Hombres) con HbA1C&lt;7% debe ser menor o igual a Diabéticos en Sección A. ")</f>
        <v/>
      </c>
      <c r="BL36" s="348" t="str">
        <f>IF($J$36&lt;=$J$17,"","* Pacientes 20 a 24 años (Mujeres) con HbA1C&lt;7% debe ser menor o igual a Diabéticos en Sección A. ")</f>
        <v/>
      </c>
      <c r="BM36" s="348" t="str">
        <f>IF($K$36&lt;=$K$17,"","* Pacientes 25 a 29 años (Hombres) con HbA1C&lt;7% debe ser menor o igual a Diabéticos en Sección A. ")</f>
        <v/>
      </c>
      <c r="BN36" s="348" t="str">
        <f>IF($L$36&lt;=$L$17,"","* Pacientes 25 a 29 años (Mujeres) con HbA1C&lt;7% debe ser menor o igual a Diabéticos en Sección A. ")</f>
        <v/>
      </c>
      <c r="BO36" s="348" t="str">
        <f>IF($M$36&lt;=$M$17,"","* Pacientes 30 a 34 años (Hombres) con HbA1C&lt;7% debe ser menor o igual a Diabéticos en Sección A. ")</f>
        <v/>
      </c>
      <c r="BP36" s="348" t="str">
        <f>IF($N$36&lt;=$N$17,"","* Pacientes 30 a 34 años (Mujeres) con HbA1C&lt;7% debe ser menor o igual a Diabéticos en Sección A. ")</f>
        <v/>
      </c>
      <c r="BQ36" s="348" t="str">
        <f>IF($O$36&lt;=$O$17,"","* Pacientes 35 a 39 años (Hombres) con HbA1C&lt;7% debe ser menor o igual a Diabéticos en Sección A. ")</f>
        <v/>
      </c>
      <c r="BR36" s="348" t="str">
        <f>IF($P$36&lt;=$P$17,"","* Pacientes 35 a 39 años (Mujeres) con HbA1C&lt;7% debe ser menor o igual a Diabéticos en Sección A. ")</f>
        <v/>
      </c>
      <c r="BS36" s="348" t="str">
        <f>IF($Q$36&lt;=$Q$17,"","* Pacientes 40 a 44 años (Hombres) con HbA1C&lt;7% debe ser menor o igual a Diabéticos en Sección A. ")</f>
        <v/>
      </c>
      <c r="BT36" s="348" t="str">
        <f>IF($R$36&lt;=$R$17,"","* Pacientes 40 a 44 años (Mujeres) con HbA1C&lt;7% debe ser menor o igual a Diabéticos en Sección A. ")</f>
        <v/>
      </c>
      <c r="BU36" s="348" t="str">
        <f>IF($S$36&lt;=$S$17,"","* Pacientes 45 a 49 años (Hombres) con HbA1C&lt;7% debe ser menor o igual a Diabéticos en Sección A. ")</f>
        <v/>
      </c>
      <c r="BV36" s="348" t="str">
        <f>IF($T$36&lt;=$T$17,"","* Pacientes 45 a 49 años (Mujeres) con HbA1C&lt;7% debe ser menor o igual a Diabéticos en Sección A. ")</f>
        <v/>
      </c>
      <c r="BW36" s="348" t="str">
        <f>IF($U$36&lt;=$U$17,"","* Pacientes 50 a 54 años (Hombres) con HbA1C&lt;7% debe ser menor o igual a Diabéticos en Sección A. ")</f>
        <v/>
      </c>
      <c r="BX36" s="348" t="str">
        <f>IF($V$36&lt;=$V$17,"","* Pacientes 50 a 54 años (Mujeres) con HbA1C&lt;7% debe ser menor o igual a Diabéticos en Sección A. ")</f>
        <v/>
      </c>
      <c r="BY36" s="348" t="str">
        <f>IF($W$36&lt;=$W$17,"","* Pacientes 55 a 59 años (Hombres) con HbA1C&lt;7% debe ser menor o igual a Diabéticos en Sección A. ")</f>
        <v/>
      </c>
      <c r="BZ36" s="348" t="str">
        <f>IF($X$36&lt;=$X$17,"","* Pacientes 55 a 59 años (Mujeres) con HbA1C&lt;7% debe ser menor o igual a Diabéticos en Sección A. ")</f>
        <v/>
      </c>
      <c r="CA36" s="348" t="str">
        <f>IF($Y$36&lt;=$Y$17,"","* Pacientes 60 a 64 años (Hombres) con HbA1C&lt;7% debe ser menor o igual a Diabéticos en Sección A. ")</f>
        <v/>
      </c>
      <c r="CB36" s="348" t="str">
        <f>IF($Z$36&lt;=$Z$17,"","* Pacientes 60 a 64 años (Mujeres) con HbA1C&lt;7% debe ser menor o igual a Diabéticos en Sección A. ")</f>
        <v/>
      </c>
      <c r="CC36" s="348" t="str">
        <f>IF($AA$36&lt;=$AA$17,"","* Pacientes 65 a 69 años (Hombres) con HbA1C&lt;7% debe ser menor o igual a Diabéticos en Sección A. ")</f>
        <v/>
      </c>
      <c r="CD36" s="348" t="str">
        <f>IF($AB$36&lt;=$AB$17,"","* Pacientes 65 a 69 años (Mujeres) con HbA1C&lt;7% debe ser menor o igual a Diabéticos en Sección A. ")</f>
        <v/>
      </c>
      <c r="CE36" s="348" t="str">
        <f>IF($AC$36&lt;=$AC$17,"","* Pacientes 70 a 74 años (Hombres) con HbA1C&lt;7% debe ser menor o igual a Diabéticos en Sección A. ")</f>
        <v/>
      </c>
      <c r="CF36" s="348" t="str">
        <f>IF($AD$36&lt;=$AD$17,"","* Pacientes 70 a 74 años (Mujeres) con HbA1C&lt;7% debe ser menor o igual a Diabéticos en Sección A. ")</f>
        <v/>
      </c>
      <c r="CG36" s="348" t="str">
        <f>IF($AE$36&lt;=$AE$17,"","* Pacientes 75 a 79 años (Hombres) con HbA1C&lt;7% debe ser menor o igual a Diabéticos en Sección A. ")</f>
        <v/>
      </c>
      <c r="CH36" s="348" t="str">
        <f>IF($AF$36&lt;=$AF$17,"","* Pacientes 75 a 79 años (Mujeres) con HbA1C&lt;7% debe ser menor o igual a Diabéticos en Sección A. ")</f>
        <v/>
      </c>
      <c r="CI36" s="348" t="str">
        <f>IF($AG$36&lt;=$AG$17,"","* Pacientes 80 y más años (Hombres) con HbA1C&lt;7% debe ser menor o igual a Diabéticos en Sección A. ")</f>
        <v/>
      </c>
      <c r="CJ36" s="348" t="str">
        <f>IF($AH$37&lt;=$AH$17,"","* Pacientes 80 y más años (Mujeres) con HbA1C&lt;8% debe ser menor o igual a Diabéticos en Sección A. ")</f>
        <v/>
      </c>
      <c r="CK36" s="354"/>
      <c r="CL36" s="354"/>
      <c r="CM36" s="358">
        <f t="shared" si="26"/>
        <v>0</v>
      </c>
      <c r="CN36" s="358">
        <f t="shared" si="27"/>
        <v>0</v>
      </c>
      <c r="CO36" s="358">
        <f>IF($E$36&gt;=$AI$36,0,1)</f>
        <v>1</v>
      </c>
      <c r="CP36" s="358">
        <f>IF($F$36&gt;=$AJ$36,0,1)</f>
        <v>1</v>
      </c>
      <c r="CQ36" s="358">
        <f t="shared" si="23"/>
        <v>1</v>
      </c>
      <c r="CR36" s="358">
        <f>IF($F36&gt;=$AL36,0,1)</f>
        <v>1</v>
      </c>
      <c r="CS36" s="358">
        <f t="shared" ref="CS36:DT36" si="28">IF(G$36&lt;=G$17,0,1)</f>
        <v>0</v>
      </c>
      <c r="CT36" s="358">
        <f t="shared" si="28"/>
        <v>0</v>
      </c>
      <c r="CU36" s="358">
        <f t="shared" si="28"/>
        <v>0</v>
      </c>
      <c r="CV36" s="358">
        <f t="shared" si="28"/>
        <v>0</v>
      </c>
      <c r="CW36" s="358">
        <f t="shared" si="28"/>
        <v>0</v>
      </c>
      <c r="CX36" s="358">
        <f t="shared" si="28"/>
        <v>0</v>
      </c>
      <c r="CY36" s="358">
        <f t="shared" si="28"/>
        <v>0</v>
      </c>
      <c r="CZ36" s="358">
        <f t="shared" si="28"/>
        <v>0</v>
      </c>
      <c r="DA36" s="358">
        <f t="shared" si="28"/>
        <v>0</v>
      </c>
      <c r="DB36" s="358">
        <f t="shared" si="28"/>
        <v>0</v>
      </c>
      <c r="DC36" s="358">
        <f t="shared" si="28"/>
        <v>0</v>
      </c>
      <c r="DD36" s="358">
        <f t="shared" si="28"/>
        <v>0</v>
      </c>
      <c r="DE36" s="358">
        <f t="shared" si="28"/>
        <v>0</v>
      </c>
      <c r="DF36" s="358">
        <f t="shared" si="28"/>
        <v>0</v>
      </c>
      <c r="DG36" s="358">
        <f t="shared" si="28"/>
        <v>0</v>
      </c>
      <c r="DH36" s="358">
        <f t="shared" si="28"/>
        <v>0</v>
      </c>
      <c r="DI36" s="358">
        <f t="shared" si="28"/>
        <v>0</v>
      </c>
      <c r="DJ36" s="358">
        <f t="shared" si="28"/>
        <v>0</v>
      </c>
      <c r="DK36" s="358">
        <f t="shared" si="28"/>
        <v>0</v>
      </c>
      <c r="DL36" s="358">
        <f t="shared" si="28"/>
        <v>0</v>
      </c>
      <c r="DM36" s="358">
        <f t="shared" si="28"/>
        <v>0</v>
      </c>
      <c r="DN36" s="358">
        <f t="shared" si="28"/>
        <v>0</v>
      </c>
      <c r="DO36" s="358">
        <f t="shared" si="28"/>
        <v>0</v>
      </c>
      <c r="DP36" s="358">
        <f t="shared" si="28"/>
        <v>0</v>
      </c>
      <c r="DQ36" s="358">
        <f t="shared" si="28"/>
        <v>0</v>
      </c>
      <c r="DR36" s="358">
        <f t="shared" si="28"/>
        <v>0</v>
      </c>
      <c r="DS36" s="358">
        <f t="shared" si="28"/>
        <v>0</v>
      </c>
      <c r="DT36" s="358">
        <f t="shared" si="28"/>
        <v>0</v>
      </c>
    </row>
    <row r="37" spans="1:124" ht="25.5" customHeight="1" x14ac:dyDescent="0.25">
      <c r="A37" s="1641" t="s">
        <v>1212</v>
      </c>
      <c r="B37" s="2191"/>
      <c r="C37" s="240" t="s">
        <v>363</v>
      </c>
      <c r="D37" s="674" t="s">
        <v>1550</v>
      </c>
      <c r="E37" s="1414" t="s">
        <v>1551</v>
      </c>
      <c r="F37" s="1402" t="s">
        <v>1552</v>
      </c>
      <c r="G37" s="727" t="s">
        <v>1553</v>
      </c>
      <c r="H37" s="854" t="s">
        <v>1554</v>
      </c>
      <c r="I37" s="727" t="s">
        <v>1555</v>
      </c>
      <c r="J37" s="729" t="s">
        <v>1556</v>
      </c>
      <c r="K37" s="727" t="s">
        <v>1557</v>
      </c>
      <c r="L37" s="729" t="s">
        <v>1558</v>
      </c>
      <c r="M37" s="727" t="s">
        <v>1559</v>
      </c>
      <c r="N37" s="728" t="s">
        <v>1560</v>
      </c>
      <c r="O37" s="727" t="s">
        <v>1561</v>
      </c>
      <c r="P37" s="728" t="s">
        <v>1562</v>
      </c>
      <c r="Q37" s="727" t="s">
        <v>1563</v>
      </c>
      <c r="R37" s="729" t="s">
        <v>1564</v>
      </c>
      <c r="S37" s="727" t="s">
        <v>1565</v>
      </c>
      <c r="T37" s="728" t="s">
        <v>1566</v>
      </c>
      <c r="U37" s="727" t="s">
        <v>1567</v>
      </c>
      <c r="V37" s="728" t="s">
        <v>1568</v>
      </c>
      <c r="W37" s="727" t="s">
        <v>1569</v>
      </c>
      <c r="X37" s="728" t="s">
        <v>1570</v>
      </c>
      <c r="Y37" s="727" t="s">
        <v>1571</v>
      </c>
      <c r="Z37" s="728" t="s">
        <v>1572</v>
      </c>
      <c r="AA37" s="727" t="s">
        <v>1573</v>
      </c>
      <c r="AB37" s="728" t="s">
        <v>1574</v>
      </c>
      <c r="AC37" s="727" t="s">
        <v>1575</v>
      </c>
      <c r="AD37" s="728" t="s">
        <v>1576</v>
      </c>
      <c r="AE37" s="727" t="s">
        <v>1577</v>
      </c>
      <c r="AF37" s="728" t="s">
        <v>1578</v>
      </c>
      <c r="AG37" s="760" t="s">
        <v>1579</v>
      </c>
      <c r="AH37" s="693" t="s">
        <v>1580</v>
      </c>
      <c r="AI37" s="740" t="s">
        <v>1581</v>
      </c>
      <c r="AJ37" s="685" t="s">
        <v>1582</v>
      </c>
      <c r="AK37" s="760" t="s">
        <v>1583</v>
      </c>
      <c r="AL37" s="685" t="s">
        <v>1584</v>
      </c>
      <c r="AM37" s="1507" t="str">
        <f xml:space="preserve"> BE37 &amp; BF37 &amp; BG37 &amp; BH37 &amp; BC37 &amp; BD37</f>
        <v xml:space="preserve">* Pueblos Originarios-Hombres no debe ser mayor al Total de personas Hombres. * Pueblos Originarios-Mujeres no debe ser mayor al Total de personas Mujeres. * Población Migrantes-Hombres no debe ser mayor al Total de personas Hombres. * Pueblos Originarios-Mujeres no debe ser mayor al Total de personas Mujeres. </v>
      </c>
      <c r="BB37" s="354"/>
      <c r="BC37" s="348" t="str">
        <f t="shared" si="25"/>
        <v/>
      </c>
      <c r="BD37" s="348" t="str">
        <f t="shared" si="20"/>
        <v/>
      </c>
      <c r="BE37" s="348" t="str">
        <f>IF($E$37&gt;=$AI$37,"","* Pueblos Originarios-Hombres no debe ser mayor al Total de personas Hombres. ")</f>
        <v xml:space="preserve">* Pueblos Originarios-Hombres no debe ser mayor al Total de personas Hombres. </v>
      </c>
      <c r="BF37" s="348" t="str">
        <f>IF($F$37&gt;=$AJ$37,"","* Pueblos Originarios-Mujeres no debe ser mayor al Total de personas Mujeres. ")</f>
        <v xml:space="preserve">* Pueblos Originarios-Mujeres no debe ser mayor al Total de personas Mujeres. </v>
      </c>
      <c r="BG37" s="348" t="str">
        <f t="shared" si="21"/>
        <v xml:space="preserve">* Población Migrantes-Hombres no debe ser mayor al Total de personas Hombres. </v>
      </c>
      <c r="BH37" s="348" t="str">
        <f t="shared" si="22"/>
        <v xml:space="preserve">* Pueblos Originarios-Mujeres no debe ser mayor al Total de personas Mujeres. </v>
      </c>
      <c r="BI37" s="354"/>
      <c r="BJ37" s="354"/>
      <c r="BK37" s="354"/>
      <c r="BL37" s="354"/>
      <c r="BM37" s="354"/>
      <c r="BN37" s="354"/>
      <c r="BO37" s="354"/>
      <c r="BP37" s="354"/>
      <c r="BQ37" s="354"/>
      <c r="BR37" s="354"/>
      <c r="BS37" s="354"/>
      <c r="BT37" s="354"/>
      <c r="BU37" s="354"/>
      <c r="BV37" s="354"/>
      <c r="BW37" s="354"/>
      <c r="BX37" s="354"/>
      <c r="BY37" s="354"/>
      <c r="BZ37" s="354"/>
      <c r="CA37" s="354"/>
      <c r="CB37" s="354"/>
      <c r="CC37" s="354"/>
      <c r="CD37" s="354"/>
      <c r="CE37" s="354"/>
      <c r="CF37" s="354"/>
      <c r="CG37" s="354"/>
      <c r="CH37" s="354"/>
      <c r="CI37" s="354"/>
      <c r="CJ37" s="354"/>
      <c r="CK37" s="354"/>
      <c r="CL37" s="354"/>
      <c r="CM37" s="358">
        <f t="shared" si="26"/>
        <v>0</v>
      </c>
      <c r="CN37" s="358">
        <f t="shared" si="27"/>
        <v>0</v>
      </c>
      <c r="CO37" s="358">
        <f>IF($E$37&gt;=$AI$37,0,1)</f>
        <v>1</v>
      </c>
      <c r="CP37" s="358">
        <f>IF($F$37&gt;=$AJ$37,0,1)</f>
        <v>1</v>
      </c>
      <c r="CQ37" s="358">
        <f>IF($E37&gt;=$AK37,0,1)</f>
        <v>1</v>
      </c>
      <c r="CR37" s="358">
        <f>IF($F37&gt;=$AL37,0,1)</f>
        <v>1</v>
      </c>
      <c r="CS37" s="352"/>
      <c r="CT37" s="352"/>
      <c r="CU37" s="352"/>
      <c r="CV37" s="352"/>
      <c r="CW37" s="352"/>
      <c r="CX37" s="352"/>
      <c r="CY37" s="352"/>
      <c r="CZ37" s="352"/>
      <c r="DA37" s="352"/>
      <c r="DB37" s="352"/>
      <c r="DC37" s="352"/>
      <c r="DD37" s="352"/>
      <c r="DE37" s="352"/>
      <c r="DF37" s="352"/>
      <c r="DG37" s="352"/>
      <c r="DH37" s="352"/>
      <c r="DI37" s="352"/>
      <c r="DJ37" s="352"/>
      <c r="DK37" s="352"/>
      <c r="DL37" s="352"/>
      <c r="DM37" s="352"/>
      <c r="DN37" s="352"/>
      <c r="DO37" s="352"/>
      <c r="DP37" s="352"/>
      <c r="DQ37" s="352"/>
      <c r="DR37" s="352"/>
      <c r="DS37" s="352"/>
      <c r="DT37" s="352"/>
    </row>
    <row r="38" spans="1:124" ht="25.5" customHeight="1" x14ac:dyDescent="0.25">
      <c r="A38" s="1641" t="s">
        <v>1213</v>
      </c>
      <c r="B38" s="2192"/>
      <c r="C38" s="1079" t="s">
        <v>342</v>
      </c>
      <c r="D38" s="668" t="s">
        <v>1550</v>
      </c>
      <c r="E38" s="669" t="s">
        <v>1551</v>
      </c>
      <c r="F38" s="753" t="s">
        <v>1552</v>
      </c>
      <c r="G38" s="689" t="s">
        <v>1553</v>
      </c>
      <c r="H38" s="690" t="s">
        <v>1554</v>
      </c>
      <c r="I38" s="689" t="s">
        <v>1555</v>
      </c>
      <c r="J38" s="690" t="s">
        <v>1556</v>
      </c>
      <c r="K38" s="689" t="s">
        <v>1557</v>
      </c>
      <c r="L38" s="690" t="s">
        <v>1558</v>
      </c>
      <c r="M38" s="689" t="s">
        <v>1559</v>
      </c>
      <c r="N38" s="690" t="s">
        <v>1560</v>
      </c>
      <c r="O38" s="689" t="s">
        <v>1561</v>
      </c>
      <c r="P38" s="690" t="s">
        <v>1562</v>
      </c>
      <c r="Q38" s="689" t="s">
        <v>1563</v>
      </c>
      <c r="R38" s="690" t="s">
        <v>1564</v>
      </c>
      <c r="S38" s="689" t="s">
        <v>1565</v>
      </c>
      <c r="T38" s="690" t="s">
        <v>1566</v>
      </c>
      <c r="U38" s="689" t="s">
        <v>1567</v>
      </c>
      <c r="V38" s="690" t="s">
        <v>1568</v>
      </c>
      <c r="W38" s="689" t="s">
        <v>1569</v>
      </c>
      <c r="X38" s="690" t="s">
        <v>1570</v>
      </c>
      <c r="Y38" s="689" t="s">
        <v>1571</v>
      </c>
      <c r="Z38" s="690" t="s">
        <v>1572</v>
      </c>
      <c r="AA38" s="689" t="s">
        <v>1573</v>
      </c>
      <c r="AB38" s="690" t="s">
        <v>1574</v>
      </c>
      <c r="AC38" s="689" t="s">
        <v>1575</v>
      </c>
      <c r="AD38" s="690" t="s">
        <v>1576</v>
      </c>
      <c r="AE38" s="689" t="s">
        <v>1577</v>
      </c>
      <c r="AF38" s="690" t="s">
        <v>1578</v>
      </c>
      <c r="AG38" s="759" t="s">
        <v>1579</v>
      </c>
      <c r="AH38" s="764" t="s">
        <v>1580</v>
      </c>
      <c r="AI38" s="703" t="s">
        <v>1581</v>
      </c>
      <c r="AJ38" s="690" t="s">
        <v>1582</v>
      </c>
      <c r="AK38" s="759" t="s">
        <v>1583</v>
      </c>
      <c r="AL38" s="690" t="s">
        <v>1584</v>
      </c>
      <c r="AM38" s="1507" t="str">
        <f xml:space="preserve"> BE38 &amp; BF38 &amp; BI38 &amp; BJ38 &amp; BK38 &amp; BL38 &amp; BM38 &amp; BN38 &amp; BO38 &amp; BP38 &amp; BQ38 &amp; BR38 &amp; BS38 &amp; BT38 &amp; BU38 &amp; BV38 &amp; BW38 &amp; BX38 &amp; BY38 &amp; BZ38 &amp; CA38 &amp; CB38 &amp; CC38 &amp; CD38 &amp; CE38 &amp; CF38 &amp; CG38 &amp; CI38 &amp; CJ38 &amp; CH38 &amp; BG38 &amp; BH38 &amp; BC38 &amp; BD38</f>
        <v xml:space="preserve">* Pueblos Originarios-Hombres no debe ser mayor al Total de personas Hombres. * Pueblos Originarios-Mujeres no debe ser mayor al Total de personas Mujeres. * Población Migrantes-Hombres no debe ser mayor al Total de personas Hombres. * Pueblos Originarios-Mujeres no debe ser mayor al Total de personas Mujeres. </v>
      </c>
      <c r="BB38" s="354"/>
      <c r="BC38" s="348" t="str">
        <f t="shared" si="25"/>
        <v/>
      </c>
      <c r="BD38" s="348" t="str">
        <f t="shared" si="20"/>
        <v/>
      </c>
      <c r="BE38" s="348" t="str">
        <f>IF($E$38&gt;=$AI$38,"","* Pueblos Originarios-Hombres no debe ser mayor al Total de personas Hombres. ")</f>
        <v xml:space="preserve">* Pueblos Originarios-Hombres no debe ser mayor al Total de personas Hombres. </v>
      </c>
      <c r="BF38" s="348" t="str">
        <f>IF($F$38&gt;=$AJ$38,"","* Pueblos Originarios-Mujeres no debe ser mayor al Total de personas Mujeres. ")</f>
        <v xml:space="preserve">* Pueblos Originarios-Mujeres no debe ser mayor al Total de personas Mujeres. </v>
      </c>
      <c r="BG38" s="348" t="str">
        <f t="shared" si="21"/>
        <v xml:space="preserve">* Población Migrantes-Hombres no debe ser mayor al Total de personas Hombres. </v>
      </c>
      <c r="BH38" s="348" t="str">
        <f t="shared" si="22"/>
        <v xml:space="preserve">* Pueblos Originarios-Mujeres no debe ser mayor al Total de personas Mujeres. </v>
      </c>
      <c r="BI38" s="348" t="str">
        <f>IF($G$38&lt;=$G$36,"","* Pacientes 15 a 19 años (Hombres) con HbA1C&lt;7% - PA&lt;140/90mmHg debe ser menor o igual a los con HbA1C&lt;7%. ")</f>
        <v/>
      </c>
      <c r="BJ38" s="348" t="str">
        <f>IF($H$38&lt;=$H$36,"","* Pacientes 15 a 19 años (Mujeres) con HbA1C&lt;7% - PA&lt;140/90mmHg debe ser menor o igual a los con HbA1C&lt;7%. ")</f>
        <v/>
      </c>
      <c r="BK38" s="348" t="str">
        <f>IF($I$38&lt;=$I$36,"","* Pacientes 20 a 24 años (Hombres) con HbA1C&lt;7% - PA&lt;140/90mmHg debe ser menor o igual a los con HbA1C&lt;7%. ")</f>
        <v/>
      </c>
      <c r="BL38" s="348" t="str">
        <f>IF($J$38&lt;=$J$36,"","* Pacientes 20 a 24 años (Mujeres) con HbA1C&lt;7% - PA&lt;140/90mmHg debe ser menor o igual a los con HbA1C&lt;7%. ")</f>
        <v/>
      </c>
      <c r="BM38" s="348" t="str">
        <f>IF($K$38&lt;=$K$36,"","* Pacientes 25 a 29 años (Hombres) con HbA1C&lt;7% - PA&lt;140/90mmHg debe ser menor o igual a los con HbA1C&lt;7%. ")</f>
        <v/>
      </c>
      <c r="BN38" s="348" t="str">
        <f>IF($L$38&lt;=$L$36,"","* Pacientes 25 a 29 años (Mujeres) con HbA1C&lt;7% - PA&lt;140/90mmHg debe ser menor o igual a los con HbA1C&lt;7%. ")</f>
        <v/>
      </c>
      <c r="BO38" s="348" t="str">
        <f>IF($M$38&lt;=$M$36,"","* Pacientes 30 a 34 años (Hombres) con HbA1C&lt;7% - PA&lt;140/90mmHg debe ser menor o igual a los con HbA1C&lt;7%. ")</f>
        <v/>
      </c>
      <c r="BP38" s="348" t="str">
        <f>IF($N$38&lt;=$N$36,"","* Pacientes 30 a 34 años (Mujeres) con HbA1C&lt;7% - PA&lt;140/90mmHg debe ser menor o igual a los con HbA1C&lt;7%. ")</f>
        <v/>
      </c>
      <c r="BQ38" s="348" t="str">
        <f>IF($O$38&lt;=$O$36,"","* Pacientes 35 a 39 años (Hombres) con HbA1C&lt;7% - PA&lt;140/90mmHg debe ser menor o igual a los con HbA1C&lt;7%. ")</f>
        <v/>
      </c>
      <c r="BR38" s="348" t="str">
        <f>IF($P$38&lt;=$P$36,"","* Pacientes 35 a 39 años (Mujeres) con HbA1C&lt;7% - PA&lt;140/90mmHg debe ser menor o igual a los con HbA1C&lt;7%. ")</f>
        <v/>
      </c>
      <c r="BS38" s="348" t="str">
        <f>IF($Q$38&lt;=$Q$36,"","* Pacientes 40 a 44 años (Hombres) con HbA1C&lt;7% - PA&lt;140/90mmHg debe ser menor o igual a los con HbA1C&lt;7%. ")</f>
        <v/>
      </c>
      <c r="BT38" s="348" t="str">
        <f>IF($R$38&lt;=$R$36,"","* Pacientes 40 a 44 años (Mujeres) con HbA1C&lt;7% - PA&lt;140/90mmHg debe ser menor o igual a los con HbA1C&lt;7%. ")</f>
        <v/>
      </c>
      <c r="BU38" s="348" t="str">
        <f>IF($S$38&lt;=$S$36,"","* Pacientes 45 a 49 años (Hombres) con HbA1C&lt;7% - PA&lt;140/90mmHg debe ser menor o igual a los con HbA1C&lt;7%. ")</f>
        <v/>
      </c>
      <c r="BV38" s="348" t="str">
        <f>IF($T$38&lt;=$T$36,"","* Pacientes 45 a 49 años (Mujeres) con HbA1C&lt;7% - PA&lt;140/90mmHg debe ser menor o igual a los con HbA1C&lt;7%. ")</f>
        <v/>
      </c>
      <c r="BW38" s="348" t="str">
        <f>IF($U$38&lt;=$U$36,"","* Pacientes 50 a 54 años (Hombres) con HbA1C&lt;7% - PA&lt;140/90mmHg debe ser menor o igual a los con HbA1C&lt;7%. ")</f>
        <v/>
      </c>
      <c r="BX38" s="348" t="str">
        <f>IF($V$38&lt;=$V$36,"","* Pacientes 50 a 54 años (Mujeres) con HbA1C&lt;7% - PA&lt;140/90mmHg debe ser menor o igual a los con HbA1C&lt;7%. ")</f>
        <v/>
      </c>
      <c r="BY38" s="348" t="str">
        <f>IF($W$38&lt;=$W$36,"","* Pacientes 55 a 59 años (Hombres) con HbA1C&lt;7% - PA&lt;140/90mmHg debe ser menor o igual a los con HbA1C&lt;7%. ")</f>
        <v/>
      </c>
      <c r="BZ38" s="348" t="str">
        <f>IF($X$38&lt;=$X$36,"","* Pacientes 55 a 59 años (Mujeres) con HbA1C&lt;7% - PA&lt;140/90mmHg debe ser menor o igual a los con HbA1C&lt;7%. ")</f>
        <v/>
      </c>
      <c r="CA38" s="348" t="str">
        <f>IF($Y$38&lt;=$Y$36,"","* Pacientes 60 a 64 años (Hombres) con HbA1C&lt;7% - PA&lt;140/90mmHg debe ser menor o igual a los con HbA1C&lt;7%. ")</f>
        <v/>
      </c>
      <c r="CB38" s="348" t="str">
        <f>IF($Z$38&lt;=$Z$36,"","* Pacientes 60 a 64 años (Mujeres) con HbA1C&lt;7% - PA&lt;140/90mmHg debe ser menor o igual a los con HbA1C&lt;7%. ")</f>
        <v/>
      </c>
      <c r="CC38" s="348" t="str">
        <f>IF($AA$38&lt;=$AA$36,"","* Pacientes 65 a 69 años (Hombres) con HbA1C&lt;7% - PA&lt;140/90mmHg debe ser menor o igual a los con HbA1C&lt;7%. ")</f>
        <v/>
      </c>
      <c r="CD38" s="348" t="str">
        <f>IF($AB$38&lt;=$AB$36,"","* Pacientes 65 a 69 años (Mujeres) con HbA1C&lt;7% - PA&lt;140/90mmHg debe ser menor o igual a los con HbA1C&lt;7%. ")</f>
        <v/>
      </c>
      <c r="CE38" s="348" t="str">
        <f>IF($AC$38&lt;=$AC$36,"","* Pacientes 70 a 74 años (Hombres) con HbA1C&lt;7% - PA&lt;140/90mmHg debe ser menor o igual a los con HbA1C&lt;7%. ")</f>
        <v/>
      </c>
      <c r="CF38" s="348" t="str">
        <f>IF($AD$38&lt;=$AD$36,"","* Pacientes 70 a 74 años (Mujeres) con HbA1C&lt;7% - PA&lt;140/90mmHg debe ser menor o igual a los con HbA1C&lt;7%. ")</f>
        <v/>
      </c>
      <c r="CG38" s="348" t="str">
        <f>IF($AE$38&lt;=$AE$36,"","* Pacientes 75 a 79 años (Hombres) con HbA1C&lt;7% - PA&lt;140/90mmHg debe ser menor o igual a los con HbA1C&lt;7%. ")</f>
        <v/>
      </c>
      <c r="CH38" s="348" t="str">
        <f>IF($AF$38&lt;=$AF$36,"","* Pacientes 75 a 79 años (Mujeres) con HbA1C&lt;7% - PA&lt;140/70mmHg debe ser menor o igual a los con HbA1C&lt;7%. ")</f>
        <v/>
      </c>
      <c r="CI38" s="354"/>
      <c r="CJ38" s="354"/>
      <c r="CK38" s="354"/>
      <c r="CL38" s="354"/>
      <c r="CM38" s="358">
        <f t="shared" si="26"/>
        <v>0</v>
      </c>
      <c r="CN38" s="358">
        <f t="shared" si="27"/>
        <v>0</v>
      </c>
      <c r="CO38" s="358">
        <f>IF($E$38&gt;=$AI$38,0,1)</f>
        <v>1</v>
      </c>
      <c r="CP38" s="358">
        <f>IF($F$38&gt;=$AJ$38,0,1)</f>
        <v>1</v>
      </c>
      <c r="CQ38" s="358">
        <f t="shared" si="23"/>
        <v>1</v>
      </c>
      <c r="CR38" s="358">
        <f>IF($F38&gt;=$AL38,0,1)</f>
        <v>1</v>
      </c>
      <c r="CS38" s="358">
        <f t="shared" ref="CS38:DR38" si="29">IF(G$38&lt;=G$36,0,1)</f>
        <v>0</v>
      </c>
      <c r="CT38" s="358">
        <f t="shared" si="29"/>
        <v>0</v>
      </c>
      <c r="CU38" s="358">
        <f t="shared" si="29"/>
        <v>0</v>
      </c>
      <c r="CV38" s="358">
        <f t="shared" si="29"/>
        <v>0</v>
      </c>
      <c r="CW38" s="358">
        <f t="shared" si="29"/>
        <v>0</v>
      </c>
      <c r="CX38" s="358">
        <f t="shared" si="29"/>
        <v>0</v>
      </c>
      <c r="CY38" s="358">
        <f t="shared" si="29"/>
        <v>0</v>
      </c>
      <c r="CZ38" s="358">
        <f t="shared" si="29"/>
        <v>0</v>
      </c>
      <c r="DA38" s="358">
        <f t="shared" si="29"/>
        <v>0</v>
      </c>
      <c r="DB38" s="358">
        <f t="shared" si="29"/>
        <v>0</v>
      </c>
      <c r="DC38" s="358">
        <f t="shared" si="29"/>
        <v>0</v>
      </c>
      <c r="DD38" s="358">
        <f t="shared" si="29"/>
        <v>0</v>
      </c>
      <c r="DE38" s="358">
        <f t="shared" si="29"/>
        <v>0</v>
      </c>
      <c r="DF38" s="358">
        <f t="shared" si="29"/>
        <v>0</v>
      </c>
      <c r="DG38" s="358">
        <f t="shared" si="29"/>
        <v>0</v>
      </c>
      <c r="DH38" s="358">
        <f t="shared" si="29"/>
        <v>0</v>
      </c>
      <c r="DI38" s="358">
        <f t="shared" si="29"/>
        <v>0</v>
      </c>
      <c r="DJ38" s="358">
        <f t="shared" si="29"/>
        <v>0</v>
      </c>
      <c r="DK38" s="358">
        <f t="shared" si="29"/>
        <v>0</v>
      </c>
      <c r="DL38" s="358">
        <f t="shared" si="29"/>
        <v>0</v>
      </c>
      <c r="DM38" s="358">
        <f t="shared" si="29"/>
        <v>0</v>
      </c>
      <c r="DN38" s="358">
        <f t="shared" si="29"/>
        <v>0</v>
      </c>
      <c r="DO38" s="358">
        <f t="shared" si="29"/>
        <v>0</v>
      </c>
      <c r="DP38" s="358">
        <f t="shared" si="29"/>
        <v>0</v>
      </c>
      <c r="DQ38" s="358">
        <f t="shared" si="29"/>
        <v>0</v>
      </c>
      <c r="DR38" s="358">
        <f t="shared" si="29"/>
        <v>0</v>
      </c>
      <c r="DS38" s="352"/>
      <c r="DT38" s="352"/>
    </row>
    <row r="39" spans="1:124" ht="27.75" customHeight="1" x14ac:dyDescent="0.25">
      <c r="A39" s="1641" t="s">
        <v>1214</v>
      </c>
      <c r="B39" s="1138" t="s">
        <v>614</v>
      </c>
      <c r="C39" s="329" t="s">
        <v>504</v>
      </c>
      <c r="D39" s="694" t="s">
        <v>1550</v>
      </c>
      <c r="E39" s="1412" t="s">
        <v>1551</v>
      </c>
      <c r="F39" s="1415" t="s">
        <v>1552</v>
      </c>
      <c r="G39" s="700" t="s">
        <v>1553</v>
      </c>
      <c r="H39" s="701" t="s">
        <v>1554</v>
      </c>
      <c r="I39" s="700" t="s">
        <v>1555</v>
      </c>
      <c r="J39" s="701" t="s">
        <v>1556</v>
      </c>
      <c r="K39" s="700" t="s">
        <v>1557</v>
      </c>
      <c r="L39" s="701" t="s">
        <v>1558</v>
      </c>
      <c r="M39" s="700" t="s">
        <v>1559</v>
      </c>
      <c r="N39" s="701" t="s">
        <v>1560</v>
      </c>
      <c r="O39" s="700" t="s">
        <v>1561</v>
      </c>
      <c r="P39" s="701" t="s">
        <v>1562</v>
      </c>
      <c r="Q39" s="700" t="s">
        <v>1563</v>
      </c>
      <c r="R39" s="701" t="s">
        <v>1564</v>
      </c>
      <c r="S39" s="700" t="s">
        <v>1565</v>
      </c>
      <c r="T39" s="701" t="s">
        <v>1566</v>
      </c>
      <c r="U39" s="700" t="s">
        <v>1567</v>
      </c>
      <c r="V39" s="701" t="s">
        <v>1568</v>
      </c>
      <c r="W39" s="700" t="s">
        <v>1569</v>
      </c>
      <c r="X39" s="701" t="s">
        <v>1570</v>
      </c>
      <c r="Y39" s="700" t="s">
        <v>1571</v>
      </c>
      <c r="Z39" s="701" t="s">
        <v>1572</v>
      </c>
      <c r="AA39" s="700" t="s">
        <v>1573</v>
      </c>
      <c r="AB39" s="701" t="s">
        <v>1574</v>
      </c>
      <c r="AC39" s="700" t="s">
        <v>1575</v>
      </c>
      <c r="AD39" s="701" t="s">
        <v>1576</v>
      </c>
      <c r="AE39" s="700" t="s">
        <v>1577</v>
      </c>
      <c r="AF39" s="701" t="s">
        <v>1578</v>
      </c>
      <c r="AG39" s="758" t="s">
        <v>1579</v>
      </c>
      <c r="AH39" s="702" t="s">
        <v>1580</v>
      </c>
      <c r="AI39" s="761" t="s">
        <v>1581</v>
      </c>
      <c r="AJ39" s="701" t="s">
        <v>1582</v>
      </c>
      <c r="AK39" s="758" t="s">
        <v>1583</v>
      </c>
      <c r="AL39" s="701" t="s">
        <v>1584</v>
      </c>
      <c r="AM39" s="1507" t="str">
        <f xml:space="preserve"> BE39 &amp; BF39 &amp; BI39 &amp; BJ39 &amp; BK39 &amp; BL39 &amp; BM39 &amp; BN39 &amp; BO39 &amp; BP39 &amp; BQ39 &amp; BR39 &amp; BS39 &amp; BT39 &amp; BU39 &amp; BV39 &amp; BW39 &amp; BX39 &amp; BY39 &amp; BZ39 &amp; CA39 &amp; CB39 &amp; CC39 &amp; CD39 &amp; CE39 &amp; CF39 &amp; CG39 &amp; CI39 &amp; CJ39 &amp; CH39 &amp; BG39 &amp; BH39 &amp; BC39 &amp; BD39</f>
        <v xml:space="preserve">* Pueblos Originarios-Hombres no debe ser mayor al Total de personas Hombres. * Pueblos Originarios-Mujeres no debe ser mayor al Total de personas Mujeres. * Población Migrantes-Hombres no debe ser mayor al Total de personas Hombres. * Pueblos Originarios-Mujeres no debe ser mayor al Total de personas Mujeres. </v>
      </c>
      <c r="BB39" s="354"/>
      <c r="BC39" s="348" t="str">
        <f t="shared" si="25"/>
        <v/>
      </c>
      <c r="BD39" s="348" t="str">
        <f t="shared" si="20"/>
        <v/>
      </c>
      <c r="BE39" s="348" t="str">
        <f>IF($E$39&gt;=$AI$39,"","* Pueblos Originarios-Hombres no debe ser mayor al Total de personas Hombres. ")</f>
        <v xml:space="preserve">* Pueblos Originarios-Hombres no debe ser mayor al Total de personas Hombres. </v>
      </c>
      <c r="BF39" s="348" t="str">
        <f>IF($F$39&gt;=$AJ$39,"","* Pueblos Originarios-Mujeres no debe ser mayor al Total de personas Mujeres. ")</f>
        <v xml:space="preserve">* Pueblos Originarios-Mujeres no debe ser mayor al Total de personas Mujeres. </v>
      </c>
      <c r="BG39" s="348" t="str">
        <f t="shared" si="21"/>
        <v xml:space="preserve">* Población Migrantes-Hombres no debe ser mayor al Total de personas Hombres. </v>
      </c>
      <c r="BH39" s="348" t="str">
        <f t="shared" si="22"/>
        <v xml:space="preserve">* Pueblos Originarios-Mujeres no debe ser mayor al Total de personas Mujeres. </v>
      </c>
      <c r="BI39" s="348" t="str">
        <f>IF($G$39&lt;=$G$15,"","* Pacientes 15 a 19 años (Hombres) con RCV Alto con Colesterol LDL &lt;100 mg/dl no debe ser mayor al Total RCV Alto de Sección A. ")</f>
        <v/>
      </c>
      <c r="BJ39" s="348" t="str">
        <f>IF($H$39&lt;=$H$15,"","* Pacientes 15 a 19 años (Mujeres) con RCV Alto con Colesterol LDL &lt;100 mg/dl no debe ser mayor al Total RCV Alto de Sección A. ")</f>
        <v/>
      </c>
      <c r="BK39" s="348" t="str">
        <f>IF($I$39&lt;=+$I$15,"","* Pacientes 20 a 24 años (Hombres) con RCV Alto con Colesterol LDL &lt;100 mg/dl no debe ser mayor al Total RCV Alto de Sección A. ")</f>
        <v/>
      </c>
      <c r="BL39" s="348" t="str">
        <f>IF($J$39&lt;=+$J$15,"","* Pacientes 20 a 24 años (Mujeres) con RCV Alto con Colesterol LDL &lt;100 mg/dl no debe ser mayor al Total RCV Alto de Sección A. ")</f>
        <v/>
      </c>
      <c r="BM39" s="348" t="str">
        <f>IF($K$39&lt;=+$K$15,"","* Pacientes 25 a 29 años (Hombres) con RCV Alto con Colesterol LDL &lt;100 mg/dl no debe ser mayor al Total RCV Alto de Sección A. ")</f>
        <v/>
      </c>
      <c r="BN39" s="348" t="str">
        <f>IF($L$39&lt;=+$L$15,"","* Pacientes 25 a 29 años (Mujeres) con RCV Alto con Colesterol LDL &lt;100 mg/dl no debe ser mayor al Total RCV Alto de Sección A. ")</f>
        <v/>
      </c>
      <c r="BO39" s="348" t="str">
        <f>IF($M$39&lt;=+$M$15,"","* Pacientes 30 a 34 años (Hombres) con RCV Alto con Colesterol LDL &lt;100 mg/dl no debe ser mayor al Total RCV Alto de Sección A. ")</f>
        <v/>
      </c>
      <c r="BP39" s="348" t="str">
        <f>IF($N$39&lt;=+$N$15,"","* Pacientes 30 a 34 años (Mujeres) con RCV Alto con Colesterol LDL &lt;100 mg/dl no debe ser mayor al Total RCV Alto de Sección A. ")</f>
        <v/>
      </c>
      <c r="BQ39" s="348" t="str">
        <f>IF($O$39&lt;=+$O$15,"","* Pacientes 35 a 39 años (Hombres) con RCV Alto con Colesterol LDL &lt;100 mg/dl no debe ser mayor al Total RCV Alto de Sección A. ")</f>
        <v/>
      </c>
      <c r="BR39" s="348" t="str">
        <f>IF($P$39&lt;=+$P$15,"","* Pacientes 35 a 39 años (Mujeres) con RCV Alto con Colesterol LDL &lt;100 mg/dl no debe ser mayor al Total RCV Alto de Sección A. ")</f>
        <v/>
      </c>
      <c r="BS39" s="348" t="str">
        <f>IF($Q$39&lt;=+$Q$15,"","* Pacientes 40 a 44 años (Hombres) con RCV Alto con Colesterol LDL &lt;100 mg/dl no debe ser mayor al Total RCV Alto de Sección A. ")</f>
        <v/>
      </c>
      <c r="BT39" s="348" t="str">
        <f>IF($R$39&lt;=+$R$15,"","* Pacientes 40 a 44 años (Mujeres) con RCV Alto con Colesterol LDL &lt;100 mg/dl no debe ser mayor al Total RCV Alto de Sección A. ")</f>
        <v/>
      </c>
      <c r="BU39" s="348" t="str">
        <f>IF($S$39&lt;=+$S$15,"","* Pacientes 45 a 49 años (Hombres) con RCV Alto con Colesterol LDL &lt;100 mg/dl no debe ser mayor al Total RCV Alto de Sección A. ")</f>
        <v/>
      </c>
      <c r="BV39" s="348" t="str">
        <f>IF($T$39&lt;=+$T$15,"","* Pacientes 45 a 49 años (Mujeres) con RCV Alto con Colesterol LDL &lt;100 mg/dl no debe ser mayor al Total RCV Alto de Sección A. ")</f>
        <v/>
      </c>
      <c r="BW39" s="348" t="str">
        <f>IF($U$39&lt;=+$U$15,"","* Pacientes 50 a 54 años (Hombres) con RCV Alto con Colesterol LDL &lt;100 mg/dl no debe ser mayor al Total RCV Alto de Sección A. ")</f>
        <v/>
      </c>
      <c r="BX39" s="348" t="str">
        <f>IF($V$39&lt;=+$V$15,"","* Pacientes 50 a 54 años (Mujeres) con RCV Alto con Colesterol LDL &lt;100 mg/dl no debe ser mayor al Total RCV Alto de Sección A. ")</f>
        <v/>
      </c>
      <c r="BY39" s="348" t="str">
        <f>IF($W$39&lt;=+$W$15,"","* Pacientes 55 a 59 años (Hombres) con RCV Alto con Colesterol LDL &lt;100 mg/dl no debe ser mayor al Total RCV Alto de Sección A. ")</f>
        <v/>
      </c>
      <c r="BZ39" s="348" t="str">
        <f>IF($X$39&lt;=+$X$15,"","* Pacientes 55 a 59 años (Mujeres) con RCV Alto con Colesterol LDL &lt;100 mg/dl no debe ser mayor al Total RCV Alto de Sección A. ")</f>
        <v/>
      </c>
      <c r="CA39" s="348" t="str">
        <f>IF($Y$39&lt;=+$Y$15,"","* Pacientes 60 a 64 años (Hombres) con RCV Alto con Colesterol LDL &lt;100 mg/dl no debe ser mayor al Total RCV Alto de Sección A. ")</f>
        <v/>
      </c>
      <c r="CB39" s="348" t="str">
        <f>IF($Z$39&lt;=+$Z$15,"","* Pacientes 60 a 64 años (Mujeres) con RCV Alto con Colesterol LDL &lt;100 mg/dl no debe ser mayor al Total RCV Alto de Sección A. ")</f>
        <v/>
      </c>
      <c r="CC39" s="348" t="str">
        <f>IF($AA$39&lt;=+$AA$15,"","* Pacientes 65 a 69 años (Hombres) con RCV Alto con Colesterol LDL &lt;100 mg/dl no debe ser mayor al Total RCV Alto de Sección A. ")</f>
        <v/>
      </c>
      <c r="CD39" s="348" t="str">
        <f>IF($AB$39&lt;=+$AB$15,"","* Pacientes 65 a 69 años (Mujeres) con RCV Alto con Colesterol LDL &lt;100 mg/dl no debe ser mayor al Total RCV Alto de Sección A. ")</f>
        <v/>
      </c>
      <c r="CE39" s="348" t="str">
        <f>IF($AC$39&lt;=+$AC$15,"","* Pacientes 70 a 74 años (Hombres) con RCV Alto con Colesterol LDL &lt;100 mg/dl no debe ser mayor al Total RCV Alto de Sección A. ")</f>
        <v/>
      </c>
      <c r="CF39" s="348" t="str">
        <f>IF($AD$39&lt;=+$AD$15,"","* Pacientes 70 a 74 años (Mujeres) con RCV Alto con Colesterol LDL &lt;100 mg/dl no debe ser mayor al Total RCV Alto de Sección A. ")</f>
        <v/>
      </c>
      <c r="CG39" s="348" t="str">
        <f>IF($AE$39&lt;=+$AE$15,"","* Pacientes 75 a 79 años (Hombres) con RCV Alto con Colesterol LDL &lt;100 mg/dl no debe ser mayor al Total RCV Alto de Sección A. ")</f>
        <v/>
      </c>
      <c r="CH39" s="348" t="str">
        <f>IF($AF$39&lt;=+$AF$15,"","* Pacientes 75 a 79 años (Mujeres) con RCV Alto con Colesterol LDL &lt;100 mg/dl no debe ser mayor al Total RCV Alto de Sección A. ")</f>
        <v/>
      </c>
      <c r="CI39" s="348" t="str">
        <f>IF($AG$39&lt;=+$AG$15,"","* Pacientes 80 y más años (Hombres) con RCV Alto con Colesterol LDL &lt;100 mg/dl no debe ser mayor al Total RCV Alto de Sección A. ")</f>
        <v/>
      </c>
      <c r="CJ39" s="348" t="str">
        <f>IF($AH$39&lt;=+$AH$15,"","* Pacientes 80 y más años (Mujeres) con RCV Alto con Colesterol LDL &lt;100 mg/dl no debe ser mayor al Total RCV Alto de Sección A. ")</f>
        <v/>
      </c>
      <c r="CK39" s="354"/>
      <c r="CL39" s="354"/>
      <c r="CM39" s="358">
        <f t="shared" si="26"/>
        <v>0</v>
      </c>
      <c r="CN39" s="358">
        <f t="shared" si="27"/>
        <v>0</v>
      </c>
      <c r="CO39" s="358">
        <f>IF($E$39&gt;=$AI$39,0,1)</f>
        <v>1</v>
      </c>
      <c r="CP39" s="358">
        <f>IF($F$39&gt;=$AJ$39,0,1)</f>
        <v>1</v>
      </c>
      <c r="CQ39" s="358">
        <f t="shared" si="23"/>
        <v>1</v>
      </c>
      <c r="CR39" s="358">
        <f>IF($F39&gt;=$AK39,0,1)</f>
        <v>1</v>
      </c>
      <c r="CS39" s="358">
        <f t="shared" ref="CS39:DT39" si="30">IF(G$39&lt;=+G$15,0,1)</f>
        <v>0</v>
      </c>
      <c r="CT39" s="358">
        <f t="shared" si="30"/>
        <v>0</v>
      </c>
      <c r="CU39" s="358">
        <f t="shared" si="30"/>
        <v>0</v>
      </c>
      <c r="CV39" s="358">
        <f t="shared" si="30"/>
        <v>0</v>
      </c>
      <c r="CW39" s="358">
        <f t="shared" si="30"/>
        <v>0</v>
      </c>
      <c r="CX39" s="358">
        <f t="shared" si="30"/>
        <v>0</v>
      </c>
      <c r="CY39" s="358">
        <f t="shared" si="30"/>
        <v>0</v>
      </c>
      <c r="CZ39" s="358">
        <f t="shared" si="30"/>
        <v>0</v>
      </c>
      <c r="DA39" s="358">
        <f t="shared" si="30"/>
        <v>0</v>
      </c>
      <c r="DB39" s="358">
        <f t="shared" si="30"/>
        <v>0</v>
      </c>
      <c r="DC39" s="358">
        <f t="shared" si="30"/>
        <v>0</v>
      </c>
      <c r="DD39" s="358">
        <f t="shared" si="30"/>
        <v>0</v>
      </c>
      <c r="DE39" s="358">
        <f t="shared" si="30"/>
        <v>0</v>
      </c>
      <c r="DF39" s="358">
        <f t="shared" si="30"/>
        <v>0</v>
      </c>
      <c r="DG39" s="358">
        <f t="shared" si="30"/>
        <v>0</v>
      </c>
      <c r="DH39" s="358">
        <f t="shared" si="30"/>
        <v>0</v>
      </c>
      <c r="DI39" s="358">
        <f t="shared" si="30"/>
        <v>0</v>
      </c>
      <c r="DJ39" s="358">
        <f t="shared" si="30"/>
        <v>0</v>
      </c>
      <c r="DK39" s="358">
        <f t="shared" si="30"/>
        <v>0</v>
      </c>
      <c r="DL39" s="358">
        <f t="shared" si="30"/>
        <v>0</v>
      </c>
      <c r="DM39" s="358">
        <f t="shared" si="30"/>
        <v>0</v>
      </c>
      <c r="DN39" s="358">
        <f t="shared" si="30"/>
        <v>0</v>
      </c>
      <c r="DO39" s="358">
        <f t="shared" si="30"/>
        <v>0</v>
      </c>
      <c r="DP39" s="358">
        <f t="shared" si="30"/>
        <v>0</v>
      </c>
      <c r="DQ39" s="358">
        <f t="shared" si="30"/>
        <v>0</v>
      </c>
      <c r="DR39" s="358">
        <f t="shared" si="30"/>
        <v>0</v>
      </c>
      <c r="DS39" s="358">
        <f t="shared" si="30"/>
        <v>0</v>
      </c>
      <c r="DT39" s="358">
        <f t="shared" si="30"/>
        <v>0</v>
      </c>
    </row>
    <row r="40" spans="1:124" ht="23.25" customHeight="1" x14ac:dyDescent="0.25">
      <c r="A40" s="1641" t="s">
        <v>1215</v>
      </c>
      <c r="B40" s="2196" t="s">
        <v>168</v>
      </c>
      <c r="C40" s="1139" t="s">
        <v>613</v>
      </c>
      <c r="D40" s="671" t="s">
        <v>1550</v>
      </c>
      <c r="E40" s="737" t="s">
        <v>1551</v>
      </c>
      <c r="F40" s="749" t="s">
        <v>1552</v>
      </c>
      <c r="G40" s="704" t="s">
        <v>1553</v>
      </c>
      <c r="H40" s="705" t="s">
        <v>1554</v>
      </c>
      <c r="I40" s="704" t="s">
        <v>1555</v>
      </c>
      <c r="J40" s="705" t="s">
        <v>1556</v>
      </c>
      <c r="K40" s="704" t="s">
        <v>1557</v>
      </c>
      <c r="L40" s="705" t="s">
        <v>1558</v>
      </c>
      <c r="M40" s="704" t="s">
        <v>1559</v>
      </c>
      <c r="N40" s="705" t="s">
        <v>1560</v>
      </c>
      <c r="O40" s="704" t="s">
        <v>1561</v>
      </c>
      <c r="P40" s="705" t="s">
        <v>1562</v>
      </c>
      <c r="Q40" s="704" t="s">
        <v>1563</v>
      </c>
      <c r="R40" s="705" t="s">
        <v>1564</v>
      </c>
      <c r="S40" s="704" t="s">
        <v>1565</v>
      </c>
      <c r="T40" s="705" t="s">
        <v>1566</v>
      </c>
      <c r="U40" s="704" t="s">
        <v>1567</v>
      </c>
      <c r="V40" s="705" t="s">
        <v>1568</v>
      </c>
      <c r="W40" s="704" t="s">
        <v>1569</v>
      </c>
      <c r="X40" s="705" t="s">
        <v>1570</v>
      </c>
      <c r="Y40" s="704" t="s">
        <v>1571</v>
      </c>
      <c r="Z40" s="705" t="s">
        <v>1572</v>
      </c>
      <c r="AA40" s="704" t="s">
        <v>1573</v>
      </c>
      <c r="AB40" s="705" t="s">
        <v>1574</v>
      </c>
      <c r="AC40" s="704" t="s">
        <v>1575</v>
      </c>
      <c r="AD40" s="705" t="s">
        <v>1576</v>
      </c>
      <c r="AE40" s="704" t="s">
        <v>1577</v>
      </c>
      <c r="AF40" s="705" t="s">
        <v>1578</v>
      </c>
      <c r="AG40" s="762" t="s">
        <v>1579</v>
      </c>
      <c r="AH40" s="763" t="s">
        <v>1580</v>
      </c>
      <c r="AI40" s="699" t="s">
        <v>1581</v>
      </c>
      <c r="AJ40" s="681" t="s">
        <v>1582</v>
      </c>
      <c r="AK40" s="757" t="s">
        <v>1583</v>
      </c>
      <c r="AL40" s="681" t="s">
        <v>1584</v>
      </c>
      <c r="AM40" s="1507" t="e">
        <f xml:space="preserve"> BE40 &amp; BF40 &amp; BI40 &amp; BJ40 &amp; BK40 &amp; BL40 &amp; BM40 &amp; BN40 &amp; BO40 &amp; BP40 &amp; BQ40 &amp; BR40 &amp; BS40 &amp; BT40 &amp; BU40 &amp; BV40 &amp; BW40 &amp; BX40 &amp; BY40 &amp; BZ40 &amp; CA40 &amp; CB40 &amp; CC40 &amp; CD40 &amp; CE40 &amp; CF40 &amp; CG40 &amp; CI40 &amp; CJ40 &amp; CH40 &amp; BG40 &amp; BH40 &amp; BC40 &amp; BD40</f>
        <v>#VALUE!</v>
      </c>
      <c r="BB40" s="354"/>
      <c r="BC40" s="348" t="str">
        <f t="shared" si="25"/>
        <v/>
      </c>
      <c r="BD40" s="348" t="str">
        <f t="shared" si="20"/>
        <v/>
      </c>
      <c r="BE40" s="348" t="str">
        <f>IF($E$40&gt;=$AI$40,"","* Pueblos Originarios-Hombres no debe ser mayor al Total de personas Hombres. ")</f>
        <v xml:space="preserve">* Pueblos Originarios-Hombres no debe ser mayor al Total de personas Hombres. </v>
      </c>
      <c r="BF40" s="348" t="str">
        <f>IF($F$40&gt;=$AJ$40,"","* Pueblos Originarios-Mujeres no debe ser mayor al Total de personas Mujeres. ")</f>
        <v xml:space="preserve">* Pueblos Originarios-Mujeres no debe ser mayor al Total de personas Mujeres. </v>
      </c>
      <c r="BG40" s="348" t="str">
        <f t="shared" si="21"/>
        <v xml:space="preserve">* Población Migrantes-Hombres no debe ser mayor al Total de personas Hombres. </v>
      </c>
      <c r="BH40" s="348" t="str">
        <f t="shared" si="22"/>
        <v xml:space="preserve">* Pueblos Originarios-Mujeres no debe ser mayor al Total de personas Mujeres. </v>
      </c>
      <c r="BI40" s="348" t="e">
        <f>IF($G$40&lt;=$G$20+$G$21,"","* Pacientes 15 a 19 años (Hombres) con con antecedentes ECV con tto. Antiagregante plaquetario no debe ser mayor al Total Población con Antecedentes de IAM y ECV de Sección A. ")</f>
        <v>#VALUE!</v>
      </c>
      <c r="BJ40" s="348" t="e">
        <f>IF($H$40&lt;=$H$20+$H$21,"","* Pacientes 15 a 19 años (Mujeres) con con antecedentes ECV con tto. Antiagregante plaquetario no debe ser mayor al Total Población con Antecedentes de IAM y ECV de Sección A. ")</f>
        <v>#VALUE!</v>
      </c>
      <c r="BK40" s="348" t="e">
        <f>IF($I$40&lt;=$I$20+$I$21,"","* Pacientes 20 a 24 años (Hombres) con con antecedentes ECV con tto. Antiagregante plaquetario no debe ser mayor al Total Población con Antecedentes de IAM y ECV de Sección A. ")</f>
        <v>#VALUE!</v>
      </c>
      <c r="BL40" s="348" t="e">
        <f>IF($J$40&lt;=$J$20+$J$21,"","* Pacientes 20 a 24 años (Mujeres) con con antecedentes ECV con tto. Antiagregante plaquetario no debe ser mayor al Total Población con Antecedentes de IAM y ECV de Sección A. ")</f>
        <v>#VALUE!</v>
      </c>
      <c r="BM40" s="348" t="e">
        <f>IF($K$40&lt;=$K$20+$K$21,"","* Pacientes 25 a 29 años (Hombres) con con antecedentes ECV con tto. Antiagregante plaquetario no debe ser mayor al Total Población con Antecedentes de IAM y ECV de Sección A. ")</f>
        <v>#VALUE!</v>
      </c>
      <c r="BN40" s="348" t="e">
        <f>IF($L$40&lt;=$L$20+$L$21,"","* Pacientes 25 a 29 años (Mujeres) con con antecedentes ECV con tto. Antiagregante plaquetario no debe ser mayor al Total Población con Antecedentes de IAM y ECV de Sección A. ")</f>
        <v>#VALUE!</v>
      </c>
      <c r="BO40" s="348" t="e">
        <f>IF($M$40&lt;=$M$20+$M$21,"","* Pacientes 30 a 34 años (Hombres) con con antecedentes ECV con tto. Antiagregante plaquetario no debe ser mayor al Total Población con Antecedentes de IAM y ECV de Sección A. ")</f>
        <v>#VALUE!</v>
      </c>
      <c r="BP40" s="348" t="e">
        <f>IF($N$40&lt;=$N$20+$N$21,"","* Pacientes 30 a 34 años (Mujeres) con con antecedentes ECV con tto. Antiagregante plaquetario no debe ser mayor al Total Población con Antecedentes de IAM y ECV de Sección A. ")</f>
        <v>#VALUE!</v>
      </c>
      <c r="BQ40" s="348" t="e">
        <f>IF($O$40&lt;=$O$20+$O$21,"","* Pacientes 35 a 39 años (Hombres) con con antecedentes ECV con tto. Antiagregante plaquetario no debe ser mayor al Total Población con Antecedentes de IAM y ECV de Sección A. ")</f>
        <v>#VALUE!</v>
      </c>
      <c r="BR40" s="348" t="e">
        <f>IF($P$40&lt;=$P$20+$P$21,"","* Pacientes 35 a 39 años (Mujeres) con con antecedentes ECV con tto. Antiagregante plaquetario no debe ser mayor al Total Población con Antecedentes de IAM y ECV de Sección A. ")</f>
        <v>#VALUE!</v>
      </c>
      <c r="BS40" s="348" t="e">
        <f>IF($Q$40&lt;=$Q$20+$Q$21,"","* Pacientes 40 a 44 años (Hombres) con con antecedentes ECV con tto.Antiagregante plaquetario no debe ser mayor al Total Población con Antecedentes de IAM y ECV de Sección A. ")</f>
        <v>#VALUE!</v>
      </c>
      <c r="BT40" s="348" t="e">
        <f>IF($R$40&lt;=$R$20+$R$21,"","* Pacientes 40 a 44 años (Mujeres) con con antecedentes ECV con tto. Antiagregante plaquetario no debe ser mayor al Total Población con Antecedentes de IAM y ECV de Sección A. ")</f>
        <v>#VALUE!</v>
      </c>
      <c r="BU40" s="348" t="e">
        <f>IF($S$40&lt;=$S$20+$S$21,"","* Pacientes 45 a 49 años (Hombres) con con antecedentes ECV con tto.Antiagregante plaquetario no debe ser mayor al Total Población con Antecedentes de IAM y ECV de Sección A. ")</f>
        <v>#VALUE!</v>
      </c>
      <c r="BV40" s="348" t="e">
        <f>IF($T$40&lt;=$T$20+$T$21,"","* Pacientes 45 a 49 años (Mujeres) con con antecedentes ECV con tto. Antiagregante plaquetario no debe ser mayor al Total Población con Antecedentes de IAM y ECV de Sección A. ")</f>
        <v>#VALUE!</v>
      </c>
      <c r="BW40" s="348" t="e">
        <f>IF($U$40&lt;=$U$20+$U$21,"","* Pacientes 50 a 54 años (Hombres) con con antecedentes ECV con tto. Antiagregante plaquetario no debe ser mayor al Total Población con Antecedentes de IAM y ECV de Sección A. ")</f>
        <v>#VALUE!</v>
      </c>
      <c r="BX40" s="348" t="e">
        <f>IF($V$40&lt;=$V$20+$V$21,"","* Pacientes 50 a 54 años (Mujeres) con con antecedentes ECV con tto. Antiagregante plaquetario no debe ser mayor al Total Población con Antecedentes de IAM y ECV de Sección A. ")</f>
        <v>#VALUE!</v>
      </c>
      <c r="BY40" s="348" t="e">
        <f>IF($W$40&lt;=$W$20+$W$21,"","* Pacientes 55 a 59 años (Hombres) con con antecedentes ECV con tto. Antiagregante plaquetario no debe ser mayor al Total Población con Antecedentes de IAM y ECV de Sección A. ")</f>
        <v>#VALUE!</v>
      </c>
      <c r="BZ40" s="348" t="e">
        <f>IF($X$40&lt;=$X$20+$X$21,"","* Pacientes 55 a 59 años (Mujeres) con con antecedentes ECV con tto. Antiagregante plaquetario no debe ser mayor al Total Población con Antecedentes de IAM y ECV de Sección A. ")</f>
        <v>#VALUE!</v>
      </c>
      <c r="CA40" s="348" t="e">
        <f>IF($Y$40&lt;=$Y$20+$Y$21,"","* Pacientes 60 a 64 años (Hombres) con con antecedentes ECV con tto. Antiagregante plaquetario no debe ser mayor al Total Población con Antecedentes de IAM y ECV de Sección A. ")</f>
        <v>#VALUE!</v>
      </c>
      <c r="CB40" s="348" t="e">
        <f>IF($Z$40&lt;=$Z$20+$Z$21,"","* Pacientes 60 a 64 años (Mujeres) con con antecedentes ECV con tto. Antiagregante plaquetario no debe ser mayor al Total Población con Antecedentes de IAM y ECV de Sección A. ")</f>
        <v>#VALUE!</v>
      </c>
      <c r="CC40" s="348" t="e">
        <f>IF($AA$40&lt;=$AA$20+$AA$21,"","* Pacientes 65 a 69 años (Hombres) con con antecedentes ECV con tto. Antiagregante plaquetario no debe ser mayor al Total Población con Antecedentes de IAM y ECV de Sección A. ")</f>
        <v>#VALUE!</v>
      </c>
      <c r="CD40" s="348" t="e">
        <f>IF($AB$40&lt;=$AB$20+$AB$21,"","* Pacientes 65 a 69 años (Mujeres) con con antecedentes ECV con tto. Antiagregante plaquetario no debe ser mayor al Total Población con Antecedentes de IAM y ECV de Sección A. ")</f>
        <v>#VALUE!</v>
      </c>
      <c r="CE40" s="348" t="e">
        <f>IF($AC$40&lt;=$AC$20+$AC$21,"","* Pacientes 70 a 74 años (Hombres) con con antecedentes ECV con tto. Antiagregante plaquetario no debe ser mayor al Total Población con Antecedentes de IAM y ECV de Sección A. ")</f>
        <v>#VALUE!</v>
      </c>
      <c r="CF40" s="348" t="e">
        <f>IF($AD$40&lt;=$AD$20+$AD$21,"","* Pacientes 70 a 74 años (Mujeres) con con antecedentes ECV con tto. Antiagregante plaquetario no debe ser mayor al Total Población con Antecedentes de IAM y ECV de Sección A. ")</f>
        <v>#VALUE!</v>
      </c>
      <c r="CG40" s="348" t="e">
        <f>IF($AE$40&lt;=$AE$20+$AE$21,"","* Pacientes 75 a 79 años (Hombres) con con antecedentes ECV con tto. Antiagregante plaquetario no debe ser mayor al Total Población con Antecedentes de IAM y ECV de Sección A. ")</f>
        <v>#VALUE!</v>
      </c>
      <c r="CH40" s="348" t="e">
        <f>IF($AF$40&lt;=$AF$20+$AF$21,"","* Pacientes 75 a 79 años (Mujeres) con con antecedentes ECV con tto. Antiagregante plaquetario no debe ser mayor al Total Población con Antecedentes de IAM y ECV de Sección A. ")</f>
        <v>#VALUE!</v>
      </c>
      <c r="CI40" s="348" t="e">
        <f>IF($AG$40&lt;=$AG$20+$AG$21,"","* Pacientes 80 y más años (Hombres) con con antecedentes ECV con tto. Antiagregante plaquetario no debe ser mayor al Total Población con Antecedentes de IAM y ECV de Sección A. ")</f>
        <v>#VALUE!</v>
      </c>
      <c r="CJ40" s="348" t="e">
        <f>IF($AH$40&lt;=$AH$20+$AH$21,"","* Pacientes 80 y más años (Mujeres) con con antecedentes ECV con tto. Antiagregante plaquetario no debe ser mayor al Total Población con Antecedentes de IAM y ECV de Sección A. ")</f>
        <v>#VALUE!</v>
      </c>
      <c r="CK40" s="354"/>
      <c r="CL40" s="354"/>
      <c r="CM40" s="358">
        <f t="shared" si="26"/>
        <v>0</v>
      </c>
      <c r="CN40" s="358">
        <f t="shared" si="27"/>
        <v>0</v>
      </c>
      <c r="CO40" s="358">
        <f>IF($E$40&gt;=$AI$40,0,1)</f>
        <v>1</v>
      </c>
      <c r="CP40" s="358">
        <f>IF($F$40&gt;=$AJ$40,0,1)</f>
        <v>1</v>
      </c>
      <c r="CQ40" s="358">
        <f t="shared" si="23"/>
        <v>1</v>
      </c>
      <c r="CR40" s="358">
        <f>IF($F40&gt;=$AK40,0,1)</f>
        <v>1</v>
      </c>
      <c r="CS40" s="358" t="e">
        <f t="shared" ref="CS40:DB41" si="31">IF(G40&lt;=G$20+G$21,0,1)</f>
        <v>#VALUE!</v>
      </c>
      <c r="CT40" s="358" t="e">
        <f t="shared" si="31"/>
        <v>#VALUE!</v>
      </c>
      <c r="CU40" s="358" t="e">
        <f t="shared" si="31"/>
        <v>#VALUE!</v>
      </c>
      <c r="CV40" s="358" t="e">
        <f t="shared" si="31"/>
        <v>#VALUE!</v>
      </c>
      <c r="CW40" s="358" t="e">
        <f t="shared" si="31"/>
        <v>#VALUE!</v>
      </c>
      <c r="CX40" s="358" t="e">
        <f t="shared" si="31"/>
        <v>#VALUE!</v>
      </c>
      <c r="CY40" s="358" t="e">
        <f t="shared" si="31"/>
        <v>#VALUE!</v>
      </c>
      <c r="CZ40" s="358" t="e">
        <f t="shared" si="31"/>
        <v>#VALUE!</v>
      </c>
      <c r="DA40" s="358" t="e">
        <f t="shared" si="31"/>
        <v>#VALUE!</v>
      </c>
      <c r="DB40" s="358" t="e">
        <f t="shared" si="31"/>
        <v>#VALUE!</v>
      </c>
      <c r="DC40" s="358" t="e">
        <f t="shared" ref="DC40:DL41" si="32">IF(Q40&lt;=Q$20+Q$21,0,1)</f>
        <v>#VALUE!</v>
      </c>
      <c r="DD40" s="358" t="e">
        <f t="shared" si="32"/>
        <v>#VALUE!</v>
      </c>
      <c r="DE40" s="358" t="e">
        <f t="shared" si="32"/>
        <v>#VALUE!</v>
      </c>
      <c r="DF40" s="358" t="e">
        <f t="shared" si="32"/>
        <v>#VALUE!</v>
      </c>
      <c r="DG40" s="358" t="e">
        <f t="shared" si="32"/>
        <v>#VALUE!</v>
      </c>
      <c r="DH40" s="358" t="e">
        <f t="shared" si="32"/>
        <v>#VALUE!</v>
      </c>
      <c r="DI40" s="358" t="e">
        <f t="shared" si="32"/>
        <v>#VALUE!</v>
      </c>
      <c r="DJ40" s="358" t="e">
        <f t="shared" si="32"/>
        <v>#VALUE!</v>
      </c>
      <c r="DK40" s="358" t="e">
        <f t="shared" si="32"/>
        <v>#VALUE!</v>
      </c>
      <c r="DL40" s="358" t="e">
        <f t="shared" si="32"/>
        <v>#VALUE!</v>
      </c>
      <c r="DM40" s="358" t="e">
        <f t="shared" ref="DM40:DT41" si="33">IF(AA40&lt;=AA$20+AA$21,0,1)</f>
        <v>#VALUE!</v>
      </c>
      <c r="DN40" s="358" t="e">
        <f t="shared" si="33"/>
        <v>#VALUE!</v>
      </c>
      <c r="DO40" s="358" t="e">
        <f t="shared" si="33"/>
        <v>#VALUE!</v>
      </c>
      <c r="DP40" s="358" t="e">
        <f t="shared" si="33"/>
        <v>#VALUE!</v>
      </c>
      <c r="DQ40" s="358" t="e">
        <f t="shared" si="33"/>
        <v>#VALUE!</v>
      </c>
      <c r="DR40" s="358" t="e">
        <f t="shared" si="33"/>
        <v>#VALUE!</v>
      </c>
      <c r="DS40" s="358" t="e">
        <f t="shared" si="33"/>
        <v>#VALUE!</v>
      </c>
      <c r="DT40" s="358" t="e">
        <f t="shared" si="33"/>
        <v>#VALUE!</v>
      </c>
    </row>
    <row r="41" spans="1:124" ht="23.25" customHeight="1" x14ac:dyDescent="0.25">
      <c r="A41" s="1641" t="s">
        <v>1216</v>
      </c>
      <c r="B41" s="2197"/>
      <c r="C41" s="1139" t="s">
        <v>169</v>
      </c>
      <c r="D41" s="674" t="s">
        <v>1550</v>
      </c>
      <c r="E41" s="1414" t="s">
        <v>1551</v>
      </c>
      <c r="F41" s="1402" t="s">
        <v>1552</v>
      </c>
      <c r="G41" s="745" t="s">
        <v>1553</v>
      </c>
      <c r="H41" s="746" t="s">
        <v>1554</v>
      </c>
      <c r="I41" s="745" t="s">
        <v>1555</v>
      </c>
      <c r="J41" s="746" t="s">
        <v>1556</v>
      </c>
      <c r="K41" s="745" t="s">
        <v>1557</v>
      </c>
      <c r="L41" s="746" t="s">
        <v>1558</v>
      </c>
      <c r="M41" s="745" t="s">
        <v>1559</v>
      </c>
      <c r="N41" s="746" t="s">
        <v>1560</v>
      </c>
      <c r="O41" s="745" t="s">
        <v>1561</v>
      </c>
      <c r="P41" s="746" t="s">
        <v>1562</v>
      </c>
      <c r="Q41" s="745" t="s">
        <v>1563</v>
      </c>
      <c r="R41" s="746" t="s">
        <v>1564</v>
      </c>
      <c r="S41" s="745" t="s">
        <v>1565</v>
      </c>
      <c r="T41" s="746" t="s">
        <v>1566</v>
      </c>
      <c r="U41" s="745" t="s">
        <v>1567</v>
      </c>
      <c r="V41" s="746" t="s">
        <v>1568</v>
      </c>
      <c r="W41" s="745" t="s">
        <v>1569</v>
      </c>
      <c r="X41" s="746" t="s">
        <v>1570</v>
      </c>
      <c r="Y41" s="745" t="s">
        <v>1571</v>
      </c>
      <c r="Z41" s="746" t="s">
        <v>1572</v>
      </c>
      <c r="AA41" s="745" t="s">
        <v>1573</v>
      </c>
      <c r="AB41" s="746" t="s">
        <v>1574</v>
      </c>
      <c r="AC41" s="745" t="s">
        <v>1575</v>
      </c>
      <c r="AD41" s="746" t="s">
        <v>1576</v>
      </c>
      <c r="AE41" s="745" t="s">
        <v>1577</v>
      </c>
      <c r="AF41" s="746" t="s">
        <v>1578</v>
      </c>
      <c r="AG41" s="1072" t="s">
        <v>1579</v>
      </c>
      <c r="AH41" s="920" t="s">
        <v>1580</v>
      </c>
      <c r="AI41" s="1417" t="s">
        <v>1581</v>
      </c>
      <c r="AJ41" s="746" t="s">
        <v>1582</v>
      </c>
      <c r="AK41" s="1072" t="s">
        <v>1583</v>
      </c>
      <c r="AL41" s="746" t="s">
        <v>1584</v>
      </c>
      <c r="AM41" s="1507" t="e">
        <f xml:space="preserve"> BE41 &amp; BF41 &amp; BI41 &amp; BJ41 &amp; BK41 &amp; BL41 &amp; BM41 &amp; BN41 &amp; BO41 &amp; BP41 &amp; BQ41 &amp; BR41 &amp; BS41 &amp; BT41 &amp; BU41 &amp; BV41 &amp; BW41 &amp; BX41 &amp; BY41 &amp; BZ41 &amp; CA41 &amp; CB41 &amp; CC41 &amp; CD41 &amp; CE41 &amp; CF41 &amp; CG41 &amp; CI41 &amp; CJ41 &amp; CH41 &amp; BG41 &amp; BH41 &amp; BC41 &amp; BD41</f>
        <v>#VALUE!</v>
      </c>
      <c r="BB41" s="354"/>
      <c r="BC41" s="348" t="str">
        <f t="shared" ref="BC41" si="34">IF(AND(E41&lt;&gt;0,AI41=""),"* No olvide escribir en la celda de 'Pueblos Originarios' (Digite CERO si no tiene). ",IF(AND(F41&lt;&gt;0,AJ41=""),"* No olvide escribir en la celda de 'Pueblos Originarios' (Digite CERO si no tiene). ",""))</f>
        <v/>
      </c>
      <c r="BD41" s="348" t="str">
        <f t="shared" ref="BD41" si="35">IF(AND(E41&lt;&gt;0,AK41=""),"* No olvide escribir en la celda de 'Población Migrantes' (Digite CERO si no tiene). ",IF(AND(F41&lt;&gt;0,AL41=""),"* No olvide escribir en la celda de 'Población Migrantes' (Digite CERO si no tiene). ",""))</f>
        <v/>
      </c>
      <c r="BE41" s="348" t="str">
        <f>IF($E41&gt;=$AI41,"","* Pueblos Originarios-Hombres no debe ser mayor al Total de personas Hombres. ")</f>
        <v xml:space="preserve">* Pueblos Originarios-Hombres no debe ser mayor al Total de personas Hombres. </v>
      </c>
      <c r="BF41" s="348" t="str">
        <f>IF($F41&gt;=$AJ41,"","* Pueblos Originarios-Mujeres no debe ser mayor al Total de personas Mujeres. ")</f>
        <v xml:space="preserve">* Pueblos Originarios-Mujeres no debe ser mayor al Total de personas Mujeres. </v>
      </c>
      <c r="BG41" s="348" t="str">
        <f t="shared" si="21"/>
        <v xml:space="preserve">* Población Migrantes-Hombres no debe ser mayor al Total de personas Hombres. </v>
      </c>
      <c r="BH41" s="348" t="str">
        <f t="shared" si="22"/>
        <v xml:space="preserve">* Pueblos Originarios-Mujeres no debe ser mayor al Total de personas Mujeres. </v>
      </c>
      <c r="BI41" s="348" t="e">
        <f>IF($G41&lt;=$G$20+$G$21,"","* Pacientes 15 a 19 años (Hombres) con con antecedentes ECV con Estatina no debe ser mayor al Total Población con Antecedentes de IAM y ECV de Sección A. ")</f>
        <v>#VALUE!</v>
      </c>
      <c r="BJ41" s="348" t="e">
        <f>IF($H41&lt;=$H$20+$H$21,"","* Pacientes 15 a 19 años (Mujeres) con con antecedentes ECV con Estatina no debe ser mayor al Total Población con Antecedentes de IAM y ECV de Sección A. ")</f>
        <v>#VALUE!</v>
      </c>
      <c r="BK41" s="348" t="e">
        <f>IF($I41&lt;=$I$20+$I$21,"","* Pacientes 20 a 24 años (Hombres) con con antecedentes ECV con Estatina no debe ser mayor al Total Población con Antecedentes de IAM y ECV de Sección A. ")</f>
        <v>#VALUE!</v>
      </c>
      <c r="BL41" s="348" t="e">
        <f>IF($J41&lt;=$J$20+$J$21,"","* Pacientes 20 a 24 años (Mujeres) con con antecedentes ECV con Estatina no debe ser mayor al Total Población con Antecedentes de IAM y ECV de Sección A. ")</f>
        <v>#VALUE!</v>
      </c>
      <c r="BM41" s="348" t="e">
        <f>IF($K41&lt;=$K$20+$K$21,"","* Pacientes 25 a 29 años (Hombres) con con antecedentes ECV con Estatina no debe ser mayor al Total Población con Antecedentes de IAM y ECV de Sección A. ")</f>
        <v>#VALUE!</v>
      </c>
      <c r="BN41" s="348" t="e">
        <f>IF($L41&lt;=$L$20+$L$21,"","* Pacientes 25 a 29 años (Mujeres) con con antecedentes ECV con Estatina no debe ser mayor al Total Población con Antecedentes de IAM y ECV de Sección A. ")</f>
        <v>#VALUE!</v>
      </c>
      <c r="BO41" s="348" t="e">
        <f>IF($M41&lt;=$M$20+$M$21,"","* Pacientes 30 a 34 años (Hombres) con con antecedentes ECV con Estatina no debe ser mayor al Total Población con Antecedentes de IAM y ECV de Sección A. ")</f>
        <v>#VALUE!</v>
      </c>
      <c r="BP41" s="348" t="e">
        <f>IF($N41&lt;=$N$20+$N$21,"","* Pacientes 30 a 34 años (Mujeres) con con antecedentes ECV con Estatina no debe ser mayor al Total Población con Antecedentes de IAM y ECV de Sección A. ")</f>
        <v>#VALUE!</v>
      </c>
      <c r="BQ41" s="348" t="e">
        <f>IF($O41&lt;=$O$20+$O$21,"","* Pacientes 35 a 39 años (Hombres) con con antecedentes ECV con Estatina no debe ser mayor al Total Población con Antecedentes de IAM y ECV de Sección A. ")</f>
        <v>#VALUE!</v>
      </c>
      <c r="BR41" s="348" t="e">
        <f>IF($P41&lt;=$P$20+$P$21,"","* Pacientes 35 a 39 años (Mujeres) con con antecedentes ECV con Estatina no debe ser mayor al Total Población con Antecedentes de IAM y ECV de Sección A. ")</f>
        <v>#VALUE!</v>
      </c>
      <c r="BS41" s="348" t="e">
        <f>IF($Q41&lt;=$Q$20+$Q$21,"","* Pacientes 40 a 44 años (Hombres) con con antecedentes ECV con Estatina no debe ser mayor al Total Población con Antecedentes de IAM y ECV de Sección A. ")</f>
        <v>#VALUE!</v>
      </c>
      <c r="BT41" s="348" t="e">
        <f>IF($R41&lt;=$R$20+$R$21,"","* Pacientes 40 a 44 años (Mujeres) con con antecedentes ECV con Estatina no debe ser mayor al Total Población con Antecedentes de IAM y ECV de Sección A. ")</f>
        <v>#VALUE!</v>
      </c>
      <c r="BU41" s="348" t="e">
        <f>IF($S41&lt;=$S$20+$S$21,"","* Pacientes 45 a 49 años (Hombres) con con antecedentes ECV con Estatina no debe ser mayor al Total Población con Antecedentes de IAM y ECV de Sección A. ")</f>
        <v>#VALUE!</v>
      </c>
      <c r="BV41" s="348" t="e">
        <f>IF($T41&lt;=$T$20+$T$21,"","* Pacientes 45 a 49 años (Mujeres) con con antecedentes ECV con Estatina no debe ser mayor al Total Población con Antecedentes de IAM y ECV de Sección A. ")</f>
        <v>#VALUE!</v>
      </c>
      <c r="BW41" s="348" t="e">
        <f>IF($U41&lt;=$U$20+$U$21,"","* Pacientes 50 a 54 años (Hombres) con con antecedentes ECV con Estatina no debe ser mayor al Total Población con Antecedentes de IAM y ECV de Sección A. ")</f>
        <v>#VALUE!</v>
      </c>
      <c r="BX41" s="348" t="e">
        <f>IF($V41&lt;=$V$20+$V$21,"","* Pacientes 50 a 54 años (Mujeres) con con antecedentes ECV con Estatina no debe ser mayor al Total Población con Antecedentes de IAM y ECV de Sección A. ")</f>
        <v>#VALUE!</v>
      </c>
      <c r="BY41" s="348" t="e">
        <f>IF($W41&lt;=$W$20+$W$21,"","* Pacientes 55 a 59 años (Hombres) con con antecedentes ECV con Estatina no debe ser mayor al Total Población con Antecedentes de IAM y ECV de Sección A. ")</f>
        <v>#VALUE!</v>
      </c>
      <c r="BZ41" s="348" t="e">
        <f>IF($X41&lt;=$X$20+$X$21,"","* Pacientes 55 a 59 años (Mujeres) con con antecedentes ECV con Estatina no debe ser mayor al Total Población con Antecedentes de IAM y ECV de Sección A. ")</f>
        <v>#VALUE!</v>
      </c>
      <c r="CA41" s="348" t="e">
        <f>IF($Y41&lt;=$Y$20+$Y$21,"","* Pacientes 60 a 64 años (Hombres) con con antecedentes ECV con Estatina no debe ser mayor al Total Población con Antecedentes de IAM y ECV de Sección A. ")</f>
        <v>#VALUE!</v>
      </c>
      <c r="CB41" s="348" t="e">
        <f>IF($Z41&lt;=$Z$20+$Z$21,"","* Pacientes 60 a 64 años (Mujeres) con con antecedentes ECV con Estatina no debe ser mayor al Total Población con Antecedentes de IAM y ECV de Sección A. ")</f>
        <v>#VALUE!</v>
      </c>
      <c r="CC41" s="348" t="e">
        <f>IF($AA41&lt;=$AA$20+$AA$21,"","* Pacientes 65 a 69 años (Hombres) con con antecedentes ECV con Estatina no debe ser mayor al Total Población con Antecedentes de IAM y ECV de Sección A. ")</f>
        <v>#VALUE!</v>
      </c>
      <c r="CD41" s="348" t="e">
        <f>IF($AB41&lt;=$AB$20+$AB$21,"","* Pacientes 65 a 69 años (Mujeres) con con antecedentes ECV con Estatina no debe ser mayor al Total Población con Antecedentes de IAM y ECV de Sección A. ")</f>
        <v>#VALUE!</v>
      </c>
      <c r="CE41" s="348" t="e">
        <f>IF($AC41&lt;=$AC$20+$AC$21,"","* Pacientes 70 a 74 años (Hombres) con con antecedentes ECV con Estatina no debe ser mayor al Total Población con Antecedentes de IAM y ECV de Sección A. ")</f>
        <v>#VALUE!</v>
      </c>
      <c r="CF41" s="348" t="e">
        <f>IF($AD41&lt;=$AD$20+$AD$21,"","* Pacientes 70 a 74 años (Mujeres) con con antecedentes ECV con Estatina no debe ser mayor al Total Población con Antecedentes de IAM y ECV de Sección A. ")</f>
        <v>#VALUE!</v>
      </c>
      <c r="CG41" s="348" t="e">
        <f>IF($AE41&lt;=$AE$20+$AE$21,"","* Pacientes 75 a 79 años (Hombres) con con antecedentes ECV con Estatina no debe ser mayor al Total Población con Antecedentes de IAM y ECV de Sección A. ")</f>
        <v>#VALUE!</v>
      </c>
      <c r="CH41" s="348" t="e">
        <f>IF($AF41&lt;=$AF$20+$AF$21,"","* Pacientes 75 a 79 años (Mujeres) con con antecedentes ECV con Estatina no debe ser mayor al Total Población con Antecedentes de IAM y ECV de Sección A. ")</f>
        <v>#VALUE!</v>
      </c>
      <c r="CI41" s="348" t="e">
        <f>IF($AG41&lt;=$AG$20+$AG$21,"","* Pacientes 80 y más años (Hombres) con con antecedentes ECV con Estatina no debe ser mayor al Total Población con Antecedentes de IAM y ECV de Sección A. ")</f>
        <v>#VALUE!</v>
      </c>
      <c r="CJ41" s="348" t="e">
        <f>IF($AH41&lt;=$AH$20+$AH$21,"","* Pacientes 80 y más años (Mujeres) con con antecedentes ECV con Estatina no debe ser mayor al Total Población con Antecedentes de IAM y ECV de Sección A. ")</f>
        <v>#VALUE!</v>
      </c>
      <c r="CK41" s="354"/>
      <c r="CL41" s="354"/>
      <c r="CM41" s="358">
        <f t="shared" ref="CM41" si="36">IF(AND(E41&lt;&gt;0,AI41=""),1,IF(AND(F41&lt;&gt;0,AJ41=""),1,0))</f>
        <v>0</v>
      </c>
      <c r="CN41" s="358">
        <f t="shared" ref="CN41" si="37">IF(AND(E41&lt;&gt;0,AK41=""),1,IF(AND(F41&lt;&gt;0,AL41=""),1,0))</f>
        <v>0</v>
      </c>
      <c r="CO41" s="358">
        <f>IF($E$42&gt;=$AI$42,0,1)</f>
        <v>1</v>
      </c>
      <c r="CP41" s="358">
        <f>IF($F$42&gt;=$AJ$42,0,1)</f>
        <v>1</v>
      </c>
      <c r="CQ41" s="358">
        <f t="shared" si="23"/>
        <v>1</v>
      </c>
      <c r="CR41" s="358">
        <f>IF($F41&gt;=$AK41,0,1)</f>
        <v>1</v>
      </c>
      <c r="CS41" s="358" t="e">
        <f t="shared" si="31"/>
        <v>#VALUE!</v>
      </c>
      <c r="CT41" s="358" t="e">
        <f t="shared" si="31"/>
        <v>#VALUE!</v>
      </c>
      <c r="CU41" s="358" t="e">
        <f t="shared" si="31"/>
        <v>#VALUE!</v>
      </c>
      <c r="CV41" s="358" t="e">
        <f t="shared" si="31"/>
        <v>#VALUE!</v>
      </c>
      <c r="CW41" s="358" t="e">
        <f t="shared" si="31"/>
        <v>#VALUE!</v>
      </c>
      <c r="CX41" s="358" t="e">
        <f t="shared" si="31"/>
        <v>#VALUE!</v>
      </c>
      <c r="CY41" s="358" t="e">
        <f t="shared" si="31"/>
        <v>#VALUE!</v>
      </c>
      <c r="CZ41" s="358" t="e">
        <f t="shared" si="31"/>
        <v>#VALUE!</v>
      </c>
      <c r="DA41" s="358" t="e">
        <f t="shared" si="31"/>
        <v>#VALUE!</v>
      </c>
      <c r="DB41" s="358" t="e">
        <f t="shared" si="31"/>
        <v>#VALUE!</v>
      </c>
      <c r="DC41" s="358" t="e">
        <f t="shared" si="32"/>
        <v>#VALUE!</v>
      </c>
      <c r="DD41" s="358" t="e">
        <f t="shared" si="32"/>
        <v>#VALUE!</v>
      </c>
      <c r="DE41" s="358" t="e">
        <f t="shared" si="32"/>
        <v>#VALUE!</v>
      </c>
      <c r="DF41" s="358" t="e">
        <f t="shared" si="32"/>
        <v>#VALUE!</v>
      </c>
      <c r="DG41" s="358" t="e">
        <f t="shared" si="32"/>
        <v>#VALUE!</v>
      </c>
      <c r="DH41" s="358" t="e">
        <f t="shared" si="32"/>
        <v>#VALUE!</v>
      </c>
      <c r="DI41" s="358" t="e">
        <f t="shared" si="32"/>
        <v>#VALUE!</v>
      </c>
      <c r="DJ41" s="358" t="e">
        <f t="shared" si="32"/>
        <v>#VALUE!</v>
      </c>
      <c r="DK41" s="358" t="e">
        <f t="shared" si="32"/>
        <v>#VALUE!</v>
      </c>
      <c r="DL41" s="358" t="e">
        <f t="shared" si="32"/>
        <v>#VALUE!</v>
      </c>
      <c r="DM41" s="358" t="e">
        <f t="shared" si="33"/>
        <v>#VALUE!</v>
      </c>
      <c r="DN41" s="358" t="e">
        <f t="shared" si="33"/>
        <v>#VALUE!</v>
      </c>
      <c r="DO41" s="358" t="e">
        <f t="shared" si="33"/>
        <v>#VALUE!</v>
      </c>
      <c r="DP41" s="358" t="e">
        <f t="shared" si="33"/>
        <v>#VALUE!</v>
      </c>
      <c r="DQ41" s="358" t="e">
        <f t="shared" si="33"/>
        <v>#VALUE!</v>
      </c>
      <c r="DR41" s="358" t="e">
        <f t="shared" si="33"/>
        <v>#VALUE!</v>
      </c>
      <c r="DS41" s="358" t="e">
        <f t="shared" si="33"/>
        <v>#VALUE!</v>
      </c>
      <c r="DT41" s="358" t="e">
        <f t="shared" si="33"/>
        <v>#VALUE!</v>
      </c>
    </row>
    <row r="42" spans="1:124" ht="23.25" customHeight="1" x14ac:dyDescent="0.25">
      <c r="A42" s="1641" t="s">
        <v>1217</v>
      </c>
      <c r="B42" s="2198"/>
      <c r="C42" s="1180" t="s">
        <v>664</v>
      </c>
      <c r="D42" s="668" t="s">
        <v>1550</v>
      </c>
      <c r="E42" s="669" t="s">
        <v>1551</v>
      </c>
      <c r="F42" s="753" t="s">
        <v>1552</v>
      </c>
      <c r="G42" s="689" t="s">
        <v>1553</v>
      </c>
      <c r="H42" s="690" t="s">
        <v>1554</v>
      </c>
      <c r="I42" s="689" t="s">
        <v>1555</v>
      </c>
      <c r="J42" s="690" t="s">
        <v>1556</v>
      </c>
      <c r="K42" s="689" t="s">
        <v>1557</v>
      </c>
      <c r="L42" s="690" t="s">
        <v>1558</v>
      </c>
      <c r="M42" s="689" t="s">
        <v>1559</v>
      </c>
      <c r="N42" s="690" t="s">
        <v>1560</v>
      </c>
      <c r="O42" s="689" t="s">
        <v>1561</v>
      </c>
      <c r="P42" s="690" t="s">
        <v>1562</v>
      </c>
      <c r="Q42" s="689" t="s">
        <v>1563</v>
      </c>
      <c r="R42" s="690" t="s">
        <v>1564</v>
      </c>
      <c r="S42" s="689" t="s">
        <v>1565</v>
      </c>
      <c r="T42" s="690" t="s">
        <v>1566</v>
      </c>
      <c r="U42" s="689" t="s">
        <v>1567</v>
      </c>
      <c r="V42" s="690" t="s">
        <v>1568</v>
      </c>
      <c r="W42" s="689" t="s">
        <v>1569</v>
      </c>
      <c r="X42" s="690" t="s">
        <v>1570</v>
      </c>
      <c r="Y42" s="689" t="s">
        <v>1571</v>
      </c>
      <c r="Z42" s="690" t="s">
        <v>1572</v>
      </c>
      <c r="AA42" s="689" t="s">
        <v>1573</v>
      </c>
      <c r="AB42" s="690" t="s">
        <v>1574</v>
      </c>
      <c r="AC42" s="689" t="s">
        <v>1575</v>
      </c>
      <c r="AD42" s="690" t="s">
        <v>1576</v>
      </c>
      <c r="AE42" s="689" t="s">
        <v>1577</v>
      </c>
      <c r="AF42" s="690" t="s">
        <v>1578</v>
      </c>
      <c r="AG42" s="759" t="s">
        <v>1579</v>
      </c>
      <c r="AH42" s="764" t="s">
        <v>1580</v>
      </c>
      <c r="AI42" s="703" t="s">
        <v>1581</v>
      </c>
      <c r="AJ42" s="690" t="s">
        <v>1582</v>
      </c>
      <c r="AK42" s="759" t="s">
        <v>1583</v>
      </c>
      <c r="AL42" s="690" t="s">
        <v>1584</v>
      </c>
      <c r="AM42" s="1507" t="str">
        <f xml:space="preserve"> BE42 &amp; BF42 &amp; BI42 &amp; BJ42 &amp; BK42 &amp; BL42 &amp; BM42 &amp; BN42 &amp; BO42 &amp; BP42 &amp; BQ42 &amp; BR42 &amp; BS42 &amp; BT42 &amp; BU42 &amp; BV42 &amp; BW42 &amp; BX42 &amp; BY42 &amp; BZ42 &amp; CA42 &amp; CB42 &amp; CC42 &amp; CD42 &amp; CE42 &amp; CF42 &amp; CG42 &amp; CI42 &amp; CJ42 &amp; CH42 &amp; BH42 &amp; BG42 &amp; BC42 &amp; BD42</f>
        <v xml:space="preserve">* Pueblos Originarios-Hombres no debe ser mayor al Total de personas Hombres. * Pueblos Originarios-Mujeres no debe ser mayor al Total de personas Mujeres. * Pueblos Originarios-Mujeres no debe ser mayor al Total de personas Mujeres. * Población Migrantes-Hombres no debe ser mayor al Total de personas Hombres. </v>
      </c>
      <c r="BB42" s="354"/>
      <c r="BC42" s="348" t="str">
        <f t="shared" si="25"/>
        <v/>
      </c>
      <c r="BD42" s="348" t="str">
        <f t="shared" si="20"/>
        <v/>
      </c>
      <c r="BE42" s="348" t="str">
        <f>IF($E$42&gt;=$AI$42,"","* Pueblos Originarios-Hombres no debe ser mayor al Total de personas Hombres. ")</f>
        <v xml:space="preserve">* Pueblos Originarios-Hombres no debe ser mayor al Total de personas Hombres. </v>
      </c>
      <c r="BF42" s="348" t="str">
        <f>IF($F$42&gt;=$AJ$42,"","* Pueblos Originarios-Mujeres no debe ser mayor al Total de personas Mujeres. ")</f>
        <v xml:space="preserve">* Pueblos Originarios-Mujeres no debe ser mayor al Total de personas Mujeres. </v>
      </c>
      <c r="BG42" s="348" t="str">
        <f t="shared" si="21"/>
        <v xml:space="preserve">* Población Migrantes-Hombres no debe ser mayor al Total de personas Hombres. </v>
      </c>
      <c r="BH42" s="348" t="str">
        <f t="shared" si="22"/>
        <v xml:space="preserve">* Pueblos Originarios-Mujeres no debe ser mayor al Total de personas Mujeres. </v>
      </c>
      <c r="BI42" s="354"/>
      <c r="BJ42" s="354"/>
      <c r="BK42" s="354"/>
      <c r="BL42" s="354"/>
      <c r="BM42" s="354"/>
      <c r="BN42" s="354"/>
      <c r="BO42" s="354"/>
      <c r="BP42" s="354"/>
      <c r="BQ42" s="354"/>
      <c r="BR42" s="354"/>
      <c r="BS42" s="354"/>
      <c r="BT42" s="354"/>
      <c r="BU42" s="354"/>
      <c r="BV42" s="354"/>
      <c r="BW42" s="354"/>
      <c r="BX42" s="354"/>
      <c r="BY42" s="354"/>
      <c r="BZ42" s="354"/>
      <c r="CA42" s="354"/>
      <c r="CB42" s="354"/>
      <c r="CC42" s="354"/>
      <c r="CD42" s="354"/>
      <c r="CE42" s="354"/>
      <c r="CF42" s="354"/>
      <c r="CG42" s="354"/>
      <c r="CH42" s="354"/>
      <c r="CI42" s="354"/>
      <c r="CJ42" s="354"/>
      <c r="CK42" s="354"/>
      <c r="CL42" s="354"/>
      <c r="CM42" s="358">
        <f t="shared" si="26"/>
        <v>0</v>
      </c>
      <c r="CN42" s="358">
        <f t="shared" si="27"/>
        <v>0</v>
      </c>
      <c r="CO42" s="358">
        <f>IF($E$42&gt;=$AI$42,0,1)</f>
        <v>1</v>
      </c>
      <c r="CP42" s="358">
        <f>IF($F$42&gt;=$AJ$42,0,1)</f>
        <v>1</v>
      </c>
      <c r="CQ42" s="358">
        <f t="shared" si="23"/>
        <v>1</v>
      </c>
      <c r="CR42" s="358">
        <f>IF($F42&gt;=$AK42,0,1)</f>
        <v>1</v>
      </c>
      <c r="CS42" s="352"/>
      <c r="CT42" s="352"/>
      <c r="CU42" s="352"/>
      <c r="CV42" s="352"/>
      <c r="CW42" s="352"/>
      <c r="CX42" s="352"/>
      <c r="CY42" s="352"/>
      <c r="CZ42" s="352"/>
      <c r="DA42" s="352"/>
      <c r="DB42" s="352"/>
      <c r="DC42" s="352"/>
      <c r="DD42" s="352"/>
      <c r="DE42" s="352"/>
      <c r="DF42" s="352"/>
      <c r="DG42" s="352"/>
      <c r="DH42" s="352"/>
      <c r="DI42" s="352"/>
      <c r="DJ42" s="352"/>
      <c r="DK42" s="352"/>
      <c r="DL42" s="352"/>
      <c r="DM42" s="352"/>
      <c r="DN42" s="352"/>
      <c r="DO42" s="352"/>
      <c r="DP42" s="352"/>
      <c r="DQ42" s="352"/>
      <c r="DR42" s="352"/>
      <c r="DS42" s="352"/>
      <c r="DT42" s="352"/>
    </row>
    <row r="43" spans="1:124" ht="25.2" customHeight="1" x14ac:dyDescent="0.3">
      <c r="B43" s="969" t="s">
        <v>170</v>
      </c>
      <c r="C43" s="970"/>
      <c r="D43" s="1400"/>
      <c r="E43" s="141"/>
      <c r="F43" s="141"/>
      <c r="G43" s="141"/>
      <c r="H43" s="141"/>
      <c r="I43" s="141"/>
      <c r="J43" s="141"/>
      <c r="K43" s="141"/>
      <c r="L43" s="141"/>
      <c r="M43" s="141"/>
      <c r="N43" s="141"/>
      <c r="O43" s="141"/>
      <c r="P43" s="141"/>
      <c r="Q43" s="141"/>
      <c r="R43" s="141"/>
      <c r="AL43" s="1435"/>
      <c r="BB43" s="354"/>
      <c r="BC43" s="354"/>
      <c r="BD43" s="354"/>
      <c r="BE43" s="354"/>
      <c r="BF43" s="354"/>
      <c r="BG43" s="354"/>
      <c r="BH43" s="354"/>
      <c r="BI43" s="354"/>
      <c r="BJ43" s="354"/>
      <c r="BK43" s="354"/>
      <c r="BL43" s="354"/>
      <c r="BM43" s="354"/>
      <c r="BN43" s="354"/>
      <c r="BO43" s="354"/>
      <c r="BP43" s="354"/>
      <c r="BQ43" s="354"/>
      <c r="BR43" s="354"/>
      <c r="BS43" s="354"/>
      <c r="BT43" s="354"/>
      <c r="BU43" s="354"/>
      <c r="BV43" s="354"/>
      <c r="BW43" s="354"/>
      <c r="BX43" s="354"/>
      <c r="BY43" s="354"/>
      <c r="BZ43" s="354"/>
      <c r="CA43" s="354"/>
      <c r="CB43" s="354"/>
      <c r="CC43" s="354"/>
      <c r="CD43" s="354"/>
      <c r="CE43" s="354"/>
      <c r="CF43" s="354"/>
      <c r="CG43" s="354"/>
      <c r="CH43" s="354"/>
      <c r="CI43" s="354"/>
      <c r="CJ43" s="354"/>
      <c r="CK43" s="354"/>
      <c r="CL43" s="354"/>
      <c r="CM43" s="352"/>
      <c r="CN43" s="352"/>
      <c r="CO43" s="352"/>
      <c r="CP43" s="352"/>
      <c r="CQ43" s="352"/>
      <c r="CR43" s="352"/>
      <c r="CS43" s="352"/>
      <c r="CT43" s="352"/>
      <c r="CU43" s="352"/>
      <c r="CV43" s="352"/>
      <c r="CW43" s="352"/>
      <c r="CX43" s="352"/>
      <c r="CY43" s="352"/>
      <c r="CZ43" s="352"/>
      <c r="DA43" s="352"/>
      <c r="DB43" s="352"/>
      <c r="DC43" s="352"/>
      <c r="DD43" s="352"/>
      <c r="DE43" s="352"/>
      <c r="DF43" s="352"/>
      <c r="DG43" s="352"/>
      <c r="DH43" s="352"/>
      <c r="DI43" s="352"/>
      <c r="DJ43" s="352"/>
      <c r="DK43" s="352"/>
      <c r="DL43" s="352"/>
      <c r="DM43" s="352"/>
      <c r="DN43" s="352"/>
      <c r="DO43" s="352"/>
      <c r="DP43" s="352"/>
      <c r="DQ43" s="352"/>
      <c r="DR43" s="352"/>
      <c r="DS43" s="352"/>
      <c r="DT43" s="352"/>
    </row>
    <row r="44" spans="1:124" ht="20.25" customHeight="1" x14ac:dyDescent="0.2">
      <c r="B44" s="2230" t="s">
        <v>171</v>
      </c>
      <c r="C44" s="2231"/>
      <c r="D44" s="2184" t="s">
        <v>196</v>
      </c>
      <c r="E44" s="2185"/>
      <c r="F44" s="2179"/>
      <c r="G44" s="2148" t="s">
        <v>126</v>
      </c>
      <c r="H44" s="2205"/>
      <c r="I44" s="2205"/>
      <c r="J44" s="2205"/>
      <c r="K44" s="2205"/>
      <c r="L44" s="2205"/>
      <c r="M44" s="2205"/>
      <c r="N44" s="2205"/>
      <c r="O44" s="2205"/>
      <c r="P44" s="2205"/>
      <c r="Q44" s="2205"/>
      <c r="R44" s="2205"/>
      <c r="S44" s="2205"/>
      <c r="T44" s="2205"/>
      <c r="U44" s="2205"/>
      <c r="V44" s="2205"/>
      <c r="W44" s="2205"/>
      <c r="X44" s="2205"/>
      <c r="Y44" s="2205"/>
      <c r="Z44" s="2205"/>
      <c r="AA44" s="2205"/>
      <c r="AB44" s="2205"/>
      <c r="AC44" s="2205"/>
      <c r="AD44" s="2205"/>
      <c r="AE44" s="2205"/>
      <c r="AF44" s="2205"/>
      <c r="AG44" s="2205"/>
      <c r="AH44" s="2223"/>
      <c r="AI44" s="2062" t="s">
        <v>15</v>
      </c>
      <c r="AJ44" s="2053"/>
      <c r="AK44" s="2063" t="s">
        <v>804</v>
      </c>
      <c r="AL44" s="2053"/>
      <c r="BB44" s="354"/>
      <c r="BC44" s="354"/>
      <c r="BD44" s="354"/>
      <c r="BE44" s="2165" t="s">
        <v>15</v>
      </c>
      <c r="BF44" s="2165"/>
      <c r="BG44" s="2165" t="s">
        <v>465</v>
      </c>
      <c r="BH44" s="2165"/>
      <c r="BI44" s="354"/>
      <c r="BJ44" s="354"/>
      <c r="BK44" s="2165" t="s">
        <v>15</v>
      </c>
      <c r="BL44" s="2165" t="s">
        <v>465</v>
      </c>
      <c r="BM44" s="354"/>
      <c r="BN44" s="354"/>
      <c r="BO44" s="354"/>
      <c r="BP44" s="354"/>
      <c r="BQ44" s="354"/>
      <c r="BR44" s="354"/>
      <c r="BS44" s="354"/>
      <c r="BT44" s="354"/>
      <c r="BU44" s="354"/>
      <c r="BV44" s="354"/>
      <c r="BW44" s="354"/>
      <c r="BX44" s="354"/>
      <c r="BY44" s="354"/>
      <c r="BZ44" s="354"/>
      <c r="CA44" s="354"/>
      <c r="CB44" s="354"/>
      <c r="CC44" s="354"/>
      <c r="CD44" s="354"/>
      <c r="CE44" s="354"/>
      <c r="CF44" s="354"/>
      <c r="CG44" s="354"/>
      <c r="CH44" s="354"/>
      <c r="CI44" s="354"/>
      <c r="CJ44" s="354"/>
      <c r="CK44" s="354"/>
      <c r="CL44" s="354"/>
      <c r="CM44" s="352"/>
      <c r="CN44" s="352"/>
      <c r="CO44" s="2165" t="s">
        <v>15</v>
      </c>
      <c r="CP44" s="2165"/>
      <c r="CQ44" s="2165" t="s">
        <v>465</v>
      </c>
      <c r="CR44" s="2165"/>
      <c r="CS44" s="352"/>
      <c r="CT44" s="352"/>
      <c r="CU44" s="352"/>
      <c r="CV44" s="352"/>
      <c r="CW44" s="2165" t="s">
        <v>15</v>
      </c>
      <c r="CX44" s="2165" t="s">
        <v>465</v>
      </c>
      <c r="CY44" s="352"/>
      <c r="CZ44" s="352"/>
      <c r="DA44" s="352"/>
      <c r="DB44" s="352"/>
      <c r="DC44" s="352"/>
      <c r="DD44" s="352"/>
      <c r="DE44" s="352"/>
      <c r="DF44" s="352"/>
      <c r="DG44" s="352"/>
      <c r="DH44" s="352"/>
      <c r="DI44" s="352"/>
      <c r="DJ44" s="352"/>
      <c r="DK44" s="352"/>
      <c r="DL44" s="352"/>
      <c r="DM44" s="352"/>
      <c r="DN44" s="352"/>
      <c r="DO44" s="352"/>
      <c r="DP44" s="352"/>
      <c r="DQ44" s="352"/>
      <c r="DR44" s="352"/>
      <c r="DS44" s="352"/>
      <c r="DT44" s="352"/>
    </row>
    <row r="45" spans="1:124" ht="18.75" customHeight="1" x14ac:dyDescent="0.2">
      <c r="B45" s="2232"/>
      <c r="C45" s="2233"/>
      <c r="D45" s="2182"/>
      <c r="E45" s="2186"/>
      <c r="F45" s="2183"/>
      <c r="G45" s="2188" t="s">
        <v>17</v>
      </c>
      <c r="H45" s="2195"/>
      <c r="I45" s="2214" t="s">
        <v>18</v>
      </c>
      <c r="J45" s="2215"/>
      <c r="K45" s="2112" t="s">
        <v>19</v>
      </c>
      <c r="L45" s="2112"/>
      <c r="M45" s="2114" t="s">
        <v>20</v>
      </c>
      <c r="N45" s="2169"/>
      <c r="O45" s="2112" t="s">
        <v>21</v>
      </c>
      <c r="P45" s="2112"/>
      <c r="Q45" s="2114" t="s">
        <v>22</v>
      </c>
      <c r="R45" s="2169"/>
      <c r="S45" s="2112" t="s">
        <v>23</v>
      </c>
      <c r="T45" s="2112"/>
      <c r="U45" s="2114" t="s">
        <v>24</v>
      </c>
      <c r="V45" s="2169"/>
      <c r="W45" s="2112" t="s">
        <v>208</v>
      </c>
      <c r="X45" s="2112"/>
      <c r="Y45" s="2114" t="s">
        <v>209</v>
      </c>
      <c r="Z45" s="2169"/>
      <c r="AA45" s="2117" t="s">
        <v>181</v>
      </c>
      <c r="AB45" s="2166"/>
      <c r="AC45" s="2117" t="s">
        <v>182</v>
      </c>
      <c r="AD45" s="2166"/>
      <c r="AE45" s="2117" t="s">
        <v>183</v>
      </c>
      <c r="AF45" s="2166"/>
      <c r="AG45" s="2117" t="s">
        <v>195</v>
      </c>
      <c r="AH45" s="2166"/>
      <c r="AI45" s="2054"/>
      <c r="AJ45" s="2055"/>
      <c r="AK45" s="2064"/>
      <c r="AL45" s="2055"/>
      <c r="BB45" s="354"/>
      <c r="BC45" s="354"/>
      <c r="BD45" s="354"/>
      <c r="BE45" s="2165"/>
      <c r="BF45" s="2165"/>
      <c r="BG45" s="2165"/>
      <c r="BH45" s="2165"/>
      <c r="BI45" s="354"/>
      <c r="BJ45" s="354"/>
      <c r="BK45" s="2165"/>
      <c r="BL45" s="2165"/>
      <c r="BM45" s="354"/>
      <c r="BN45" s="354"/>
      <c r="BO45" s="354"/>
      <c r="BP45" s="354"/>
      <c r="BQ45" s="354"/>
      <c r="BR45" s="354"/>
      <c r="BS45" s="354"/>
      <c r="BT45" s="354"/>
      <c r="BU45" s="354"/>
      <c r="BV45" s="354"/>
      <c r="BW45" s="354"/>
      <c r="BX45" s="354"/>
      <c r="BY45" s="354"/>
      <c r="BZ45" s="354"/>
      <c r="CA45" s="354"/>
      <c r="CB45" s="354"/>
      <c r="CC45" s="354"/>
      <c r="CD45" s="354"/>
      <c r="CE45" s="354"/>
      <c r="CF45" s="354"/>
      <c r="CG45" s="354"/>
      <c r="CH45" s="354"/>
      <c r="CI45" s="354"/>
      <c r="CJ45" s="354"/>
      <c r="CK45" s="354"/>
      <c r="CL45" s="354"/>
      <c r="CM45" s="352"/>
      <c r="CN45" s="352"/>
      <c r="CO45" s="2165"/>
      <c r="CP45" s="2165"/>
      <c r="CQ45" s="2165"/>
      <c r="CR45" s="2165"/>
      <c r="CS45" s="352"/>
      <c r="CT45" s="352"/>
      <c r="CU45" s="352"/>
      <c r="CV45" s="352"/>
      <c r="CW45" s="2165"/>
      <c r="CX45" s="2165"/>
      <c r="CY45" s="352"/>
      <c r="CZ45" s="352"/>
      <c r="DA45" s="352"/>
      <c r="DB45" s="352"/>
      <c r="DC45" s="352"/>
      <c r="DD45" s="352"/>
      <c r="DE45" s="352"/>
      <c r="DF45" s="352"/>
      <c r="DG45" s="352"/>
      <c r="DH45" s="352"/>
      <c r="DI45" s="352"/>
      <c r="DJ45" s="352"/>
      <c r="DK45" s="352"/>
      <c r="DL45" s="352"/>
      <c r="DM45" s="352"/>
      <c r="DN45" s="352"/>
      <c r="DO45" s="352"/>
      <c r="DP45" s="352"/>
      <c r="DQ45" s="352"/>
      <c r="DR45" s="352"/>
      <c r="DS45" s="352"/>
      <c r="DT45" s="352"/>
    </row>
    <row r="46" spans="1:124" ht="32.25" customHeight="1" x14ac:dyDescent="0.2">
      <c r="A46" s="343"/>
      <c r="B46" s="2234"/>
      <c r="C46" s="2235"/>
      <c r="D46" s="125" t="s">
        <v>93</v>
      </c>
      <c r="E46" s="1409" t="s">
        <v>31</v>
      </c>
      <c r="F46" s="1416" t="s">
        <v>94</v>
      </c>
      <c r="G46" s="145" t="s">
        <v>31</v>
      </c>
      <c r="H46" s="1416" t="s">
        <v>94</v>
      </c>
      <c r="I46" s="145" t="s">
        <v>31</v>
      </c>
      <c r="J46" s="1416" t="s">
        <v>94</v>
      </c>
      <c r="K46" s="145" t="s">
        <v>31</v>
      </c>
      <c r="L46" s="1416" t="s">
        <v>94</v>
      </c>
      <c r="M46" s="145" t="s">
        <v>31</v>
      </c>
      <c r="N46" s="1416" t="s">
        <v>94</v>
      </c>
      <c r="O46" s="145" t="s">
        <v>31</v>
      </c>
      <c r="P46" s="1416" t="s">
        <v>94</v>
      </c>
      <c r="Q46" s="145" t="s">
        <v>31</v>
      </c>
      <c r="R46" s="1416" t="s">
        <v>94</v>
      </c>
      <c r="S46" s="145" t="s">
        <v>31</v>
      </c>
      <c r="T46" s="1416" t="s">
        <v>94</v>
      </c>
      <c r="U46" s="145" t="s">
        <v>31</v>
      </c>
      <c r="V46" s="1416" t="s">
        <v>94</v>
      </c>
      <c r="W46" s="145" t="s">
        <v>31</v>
      </c>
      <c r="X46" s="1416" t="s">
        <v>94</v>
      </c>
      <c r="Y46" s="145" t="s">
        <v>31</v>
      </c>
      <c r="Z46" s="1416" t="s">
        <v>94</v>
      </c>
      <c r="AA46" s="145" t="s">
        <v>129</v>
      </c>
      <c r="AB46" s="1416" t="s">
        <v>94</v>
      </c>
      <c r="AC46" s="145" t="s">
        <v>129</v>
      </c>
      <c r="AD46" s="1416" t="s">
        <v>94</v>
      </c>
      <c r="AE46" s="145" t="s">
        <v>129</v>
      </c>
      <c r="AF46" s="1416" t="s">
        <v>94</v>
      </c>
      <c r="AG46" s="131" t="s">
        <v>129</v>
      </c>
      <c r="AH46" s="1407" t="s">
        <v>94</v>
      </c>
      <c r="AI46" s="1410" t="s">
        <v>31</v>
      </c>
      <c r="AJ46" s="1408" t="s">
        <v>94</v>
      </c>
      <c r="AK46" s="1401" t="s">
        <v>31</v>
      </c>
      <c r="AL46" s="1408" t="s">
        <v>94</v>
      </c>
      <c r="BB46" s="354"/>
      <c r="BC46" s="354"/>
      <c r="BD46" s="354"/>
      <c r="BE46" s="901" t="s">
        <v>31</v>
      </c>
      <c r="BF46" s="901" t="s">
        <v>94</v>
      </c>
      <c r="BG46" s="901" t="s">
        <v>31</v>
      </c>
      <c r="BH46" s="901" t="s">
        <v>94</v>
      </c>
      <c r="BI46" s="354"/>
      <c r="BJ46" s="354"/>
      <c r="BK46" s="899" t="s">
        <v>540</v>
      </c>
      <c r="BL46" s="899" t="s">
        <v>540</v>
      </c>
      <c r="BM46" s="354"/>
      <c r="BN46" s="354"/>
      <c r="BO46" s="354"/>
      <c r="BP46" s="354"/>
      <c r="BQ46" s="354"/>
      <c r="BR46" s="354"/>
      <c r="BS46" s="354"/>
      <c r="BT46" s="354"/>
      <c r="BU46" s="354"/>
      <c r="BV46" s="354"/>
      <c r="BW46" s="354"/>
      <c r="BX46" s="354"/>
      <c r="BY46" s="354"/>
      <c r="BZ46" s="354"/>
      <c r="CA46" s="354"/>
      <c r="CB46" s="354"/>
      <c r="CC46" s="354"/>
      <c r="CD46" s="354"/>
      <c r="CE46" s="354"/>
      <c r="CF46" s="354"/>
      <c r="CG46" s="354"/>
      <c r="CH46" s="354"/>
      <c r="CI46" s="354"/>
      <c r="CJ46" s="354"/>
      <c r="CK46" s="354"/>
      <c r="CL46" s="354"/>
      <c r="CM46" s="352"/>
      <c r="CN46" s="352"/>
      <c r="CO46" s="901" t="s">
        <v>31</v>
      </c>
      <c r="CP46" s="901" t="s">
        <v>94</v>
      </c>
      <c r="CQ46" s="901" t="s">
        <v>31</v>
      </c>
      <c r="CR46" s="901" t="s">
        <v>94</v>
      </c>
      <c r="CS46" s="352"/>
      <c r="CT46" s="352"/>
      <c r="CU46" s="352"/>
      <c r="CV46" s="352"/>
      <c r="CW46" s="899" t="s">
        <v>540</v>
      </c>
      <c r="CX46" s="899" t="s">
        <v>540</v>
      </c>
      <c r="CY46" s="352"/>
      <c r="CZ46" s="352"/>
      <c r="DA46" s="352"/>
      <c r="DB46" s="352"/>
      <c r="DC46" s="352"/>
      <c r="DD46" s="352"/>
      <c r="DE46" s="352"/>
      <c r="DF46" s="352"/>
      <c r="DG46" s="352"/>
      <c r="DH46" s="352"/>
      <c r="DI46" s="352"/>
      <c r="DJ46" s="352"/>
      <c r="DK46" s="352"/>
      <c r="DL46" s="352"/>
      <c r="DM46" s="352"/>
      <c r="DN46" s="352"/>
      <c r="DO46" s="352"/>
      <c r="DP46" s="352"/>
      <c r="DQ46" s="352"/>
      <c r="DR46" s="352"/>
      <c r="DS46" s="352"/>
      <c r="DT46" s="352"/>
    </row>
    <row r="47" spans="1:124" ht="20.25" customHeight="1" x14ac:dyDescent="0.2">
      <c r="A47" s="1646"/>
      <c r="B47" s="1140" t="s">
        <v>615</v>
      </c>
      <c r="C47" s="1309"/>
      <c r="D47" s="2218"/>
      <c r="E47" s="2219"/>
      <c r="F47" s="2219"/>
      <c r="G47" s="2219"/>
      <c r="H47" s="2219"/>
      <c r="I47" s="2219"/>
      <c r="J47" s="2219"/>
      <c r="K47" s="2219"/>
      <c r="L47" s="2219"/>
      <c r="M47" s="2219"/>
      <c r="N47" s="2219"/>
      <c r="O47" s="2219"/>
      <c r="P47" s="2219"/>
      <c r="Q47" s="2219"/>
      <c r="R47" s="2219"/>
      <c r="S47" s="2219"/>
      <c r="T47" s="2219"/>
      <c r="U47" s="2219"/>
      <c r="V47" s="2219"/>
      <c r="W47" s="2219"/>
      <c r="X47" s="2219"/>
      <c r="Y47" s="2219"/>
      <c r="Z47" s="2219"/>
      <c r="AA47" s="2219"/>
      <c r="AB47" s="2219"/>
      <c r="AC47" s="2219"/>
      <c r="AD47" s="2219"/>
      <c r="AE47" s="2219"/>
      <c r="AF47" s="2219"/>
      <c r="AG47" s="2219"/>
      <c r="AH47" s="2219"/>
      <c r="AI47" s="2219"/>
      <c r="AJ47" s="2219"/>
      <c r="AK47" s="2219"/>
      <c r="AL47" s="2220"/>
      <c r="BB47" s="354"/>
      <c r="BC47" s="354"/>
      <c r="BD47" s="354"/>
      <c r="BE47" s="354"/>
      <c r="BF47" s="354"/>
      <c r="BG47" s="354"/>
      <c r="BH47" s="354"/>
      <c r="BI47" s="354"/>
      <c r="BJ47" s="354"/>
      <c r="BK47" s="354"/>
      <c r="BL47" s="354"/>
      <c r="BM47" s="354"/>
      <c r="BN47" s="354"/>
      <c r="BO47" s="354"/>
      <c r="BP47" s="354"/>
      <c r="BQ47" s="354"/>
      <c r="BR47" s="354"/>
      <c r="BS47" s="354"/>
      <c r="BT47" s="354"/>
      <c r="BU47" s="354"/>
      <c r="BV47" s="354"/>
      <c r="BW47" s="354"/>
      <c r="BX47" s="354"/>
      <c r="BY47" s="354"/>
      <c r="BZ47" s="354"/>
      <c r="CA47" s="354"/>
      <c r="CB47" s="354"/>
      <c r="CC47" s="354"/>
      <c r="CD47" s="354"/>
      <c r="CE47" s="354"/>
      <c r="CF47" s="354"/>
      <c r="CG47" s="354"/>
      <c r="CH47" s="354"/>
      <c r="CI47" s="354"/>
      <c r="CJ47" s="354"/>
      <c r="CK47" s="354"/>
      <c r="CL47" s="354"/>
      <c r="CM47" s="352"/>
      <c r="CN47" s="352"/>
      <c r="CO47" s="352"/>
      <c r="CP47" s="352"/>
      <c r="CQ47" s="352"/>
      <c r="CR47" s="352"/>
      <c r="CS47" s="352"/>
      <c r="CT47" s="352"/>
      <c r="CU47" s="352"/>
      <c r="CV47" s="352"/>
      <c r="CW47" s="352"/>
      <c r="CX47" s="352"/>
      <c r="CY47" s="352"/>
      <c r="CZ47" s="352"/>
      <c r="DA47" s="352"/>
      <c r="DB47" s="352"/>
      <c r="DC47" s="352"/>
      <c r="DD47" s="352"/>
      <c r="DE47" s="352"/>
      <c r="DF47" s="352"/>
      <c r="DG47" s="352"/>
      <c r="DH47" s="352"/>
      <c r="DI47" s="352"/>
      <c r="DJ47" s="352"/>
      <c r="DK47" s="352"/>
      <c r="DL47" s="352"/>
      <c r="DM47" s="352"/>
      <c r="DN47" s="352"/>
      <c r="DO47" s="352"/>
      <c r="DP47" s="352"/>
      <c r="DQ47" s="352"/>
      <c r="DR47" s="352"/>
      <c r="DS47" s="352"/>
      <c r="DT47" s="352"/>
    </row>
    <row r="48" spans="1:124" ht="18.75" customHeight="1" x14ac:dyDescent="0.25">
      <c r="A48" s="1641" t="s">
        <v>1218</v>
      </c>
      <c r="B48" s="2212" t="s">
        <v>314</v>
      </c>
      <c r="C48" s="2213"/>
      <c r="D48" s="663" t="s">
        <v>1550</v>
      </c>
      <c r="E48" s="664" t="s">
        <v>1551</v>
      </c>
      <c r="F48" s="1411" t="s">
        <v>1552</v>
      </c>
      <c r="G48" s="704" t="s">
        <v>1553</v>
      </c>
      <c r="H48" s="705" t="s">
        <v>1554</v>
      </c>
      <c r="I48" s="704" t="s">
        <v>1555</v>
      </c>
      <c r="J48" s="705" t="s">
        <v>1556</v>
      </c>
      <c r="K48" s="704" t="s">
        <v>1557</v>
      </c>
      <c r="L48" s="705" t="s">
        <v>1558</v>
      </c>
      <c r="M48" s="704" t="s">
        <v>1559</v>
      </c>
      <c r="N48" s="705" t="s">
        <v>1560</v>
      </c>
      <c r="O48" s="704" t="s">
        <v>1561</v>
      </c>
      <c r="P48" s="705" t="s">
        <v>1562</v>
      </c>
      <c r="Q48" s="704" t="s">
        <v>1563</v>
      </c>
      <c r="R48" s="705" t="s">
        <v>1564</v>
      </c>
      <c r="S48" s="704" t="s">
        <v>1565</v>
      </c>
      <c r="T48" s="705" t="s">
        <v>1566</v>
      </c>
      <c r="U48" s="704" t="s">
        <v>1567</v>
      </c>
      <c r="V48" s="705" t="s">
        <v>1568</v>
      </c>
      <c r="W48" s="704" t="s">
        <v>1569</v>
      </c>
      <c r="X48" s="705" t="s">
        <v>1570</v>
      </c>
      <c r="Y48" s="704" t="s">
        <v>1571</v>
      </c>
      <c r="Z48" s="705" t="s">
        <v>1572</v>
      </c>
      <c r="AA48" s="704" t="s">
        <v>1573</v>
      </c>
      <c r="AB48" s="705" t="s">
        <v>1574</v>
      </c>
      <c r="AC48" s="704" t="s">
        <v>1575</v>
      </c>
      <c r="AD48" s="705" t="s">
        <v>1576</v>
      </c>
      <c r="AE48" s="704" t="s">
        <v>1577</v>
      </c>
      <c r="AF48" s="705" t="s">
        <v>1578</v>
      </c>
      <c r="AG48" s="762" t="s">
        <v>1579</v>
      </c>
      <c r="AH48" s="692" t="s">
        <v>1580</v>
      </c>
      <c r="AI48" s="762" t="s">
        <v>1581</v>
      </c>
      <c r="AJ48" s="705" t="s">
        <v>1582</v>
      </c>
      <c r="AK48" s="762" t="s">
        <v>1583</v>
      </c>
      <c r="AL48" s="705" t="s">
        <v>1584</v>
      </c>
      <c r="AM48" s="343" t="str">
        <f>BE48&amp;BF48&amp;BG48&amp;BH48&amp;BK48&amp;BL48</f>
        <v xml:space="preserve">* Pueblos Originarios-Hombres no debe ser mayor al Total de personas en PSCV. * Pueblos Originarios-Mujeres no debe ser mayor al Total de personas en PSCV. * Población Migrantes-Hombres no debe ser mayor al Total de personas en PSCV. * Población Migrantes-Mujeres no debe ser mayor al Total de personas en PSCV. </v>
      </c>
      <c r="BB48" s="354"/>
      <c r="BC48" s="354"/>
      <c r="BD48" s="354"/>
      <c r="BE48" s="348" t="str">
        <f>IF($E48&gt;=$AI48,"","* Pueblos Originarios-Hombres no debe ser mayor al Total de personas en PSCV. ")</f>
        <v xml:space="preserve">* Pueblos Originarios-Hombres no debe ser mayor al Total de personas en PSCV. </v>
      </c>
      <c r="BF48" s="348" t="str">
        <f t="shared" ref="BF48:BF86" si="38">IF($F48&gt;=$AJ48,"","* Pueblos Originarios-Mujeres no debe ser mayor al Total de personas en PSCV. ")</f>
        <v xml:space="preserve">* Pueblos Originarios-Mujeres no debe ser mayor al Total de personas en PSCV. </v>
      </c>
      <c r="BG48" s="348" t="str">
        <f>IF($E48&gt;=$AK48,"","* Población Migrantes-Hombres no debe ser mayor al Total de personas en PSCV. ")</f>
        <v xml:space="preserve">* Población Migrantes-Hombres no debe ser mayor al Total de personas en PSCV. </v>
      </c>
      <c r="BH48" s="348" t="str">
        <f>IF($F48&gt;=$AL48,"","* Población Migrantes-Mujeres no debe ser mayor al Total de personas en PSCV. ")</f>
        <v xml:space="preserve">* Población Migrantes-Mujeres no debe ser mayor al Total de personas en PSCV. </v>
      </c>
      <c r="BI48" s="354"/>
      <c r="BJ48" s="354"/>
      <c r="BK48" s="348" t="str">
        <f t="shared" ref="BK48" si="39">IF(AND(E48&lt;&gt;0,AI48=""),"* No olvide escribir en la celda de 'Pueblos Originarios' (Digite CERO si no tiene). ",IF(AND(F48&lt;&gt;0,AJ48=""),"* No olvide escribir en la celda de 'Pueblos Originarios' (Digite CERO si no tiene). ",""))</f>
        <v/>
      </c>
      <c r="BL48" s="348" t="str">
        <f t="shared" ref="BL48" si="40">IF(AND(E48&lt;&gt;0,AK48=""),"* No olvide escribir en la celda de 'Población Migrantes' (Digite CERO si no tiene). ",IF(AND(F48&lt;&gt;0,AL48=""),"* No olvide escribir en la celda de 'Población Migrantes' (Digite CERO si no tiene). ",""))</f>
        <v/>
      </c>
      <c r="BM48" s="354"/>
      <c r="BN48" s="354"/>
      <c r="BO48" s="354"/>
      <c r="BP48" s="354"/>
      <c r="BQ48" s="354"/>
      <c r="BR48" s="354"/>
      <c r="BS48" s="354"/>
      <c r="BT48" s="354"/>
      <c r="BU48" s="354"/>
      <c r="BV48" s="354"/>
      <c r="BW48" s="354"/>
      <c r="BX48" s="354"/>
      <c r="BY48" s="354"/>
      <c r="BZ48" s="354"/>
      <c r="CA48" s="354"/>
      <c r="CB48" s="354"/>
      <c r="CC48" s="354"/>
      <c r="CD48" s="354"/>
      <c r="CE48" s="354"/>
      <c r="CF48" s="354"/>
      <c r="CG48" s="354"/>
      <c r="CH48" s="354"/>
      <c r="CI48" s="354"/>
      <c r="CJ48" s="354"/>
      <c r="CK48" s="354"/>
      <c r="CL48" s="354"/>
      <c r="CM48" s="352"/>
      <c r="CN48" s="352"/>
      <c r="CO48" s="358">
        <f>IF($E48&gt;=$AI48,0,1)</f>
        <v>1</v>
      </c>
      <c r="CP48" s="358">
        <f>IF($F48&gt;=$AJ48,0,1)</f>
        <v>1</v>
      </c>
      <c r="CQ48" s="358">
        <f>IF($E48&gt;=$AK48,0,1)</f>
        <v>1</v>
      </c>
      <c r="CR48" s="358">
        <f>IF($F48&gt;=$AL48,0,1)</f>
        <v>1</v>
      </c>
      <c r="CS48" s="352"/>
      <c r="CT48" s="352"/>
      <c r="CU48" s="352"/>
      <c r="CV48" s="352"/>
      <c r="CW48" s="358">
        <f>IF(AND(E48&lt;&gt;0,AI48=""),1,IF(AND(F48&lt;&gt;0,AJ48=""),1,0))</f>
        <v>0</v>
      </c>
      <c r="CX48" s="358">
        <f>IF(AND(E48&lt;&gt;0,AK48=""),1,IF(AND(F48&lt;&gt;0,AL48=""),1,0))</f>
        <v>0</v>
      </c>
      <c r="CY48" s="352"/>
      <c r="CZ48" s="352"/>
      <c r="DA48" s="352"/>
      <c r="DB48" s="352"/>
      <c r="DC48" s="352"/>
      <c r="DD48" s="352"/>
      <c r="DE48" s="352"/>
      <c r="DF48" s="352"/>
      <c r="DG48" s="352"/>
      <c r="DH48" s="352"/>
      <c r="DI48" s="352"/>
      <c r="DJ48" s="352"/>
      <c r="DK48" s="352"/>
      <c r="DL48" s="352"/>
      <c r="DM48" s="352"/>
      <c r="DN48" s="352"/>
      <c r="DO48" s="352"/>
      <c r="DP48" s="352"/>
      <c r="DQ48" s="352"/>
      <c r="DR48" s="352"/>
      <c r="DS48" s="352"/>
      <c r="DT48" s="352"/>
    </row>
    <row r="49" spans="1:124" ht="18.75" customHeight="1" x14ac:dyDescent="0.25">
      <c r="A49" s="1641" t="s">
        <v>1219</v>
      </c>
      <c r="B49" s="2174" t="s">
        <v>659</v>
      </c>
      <c r="C49" s="2175"/>
      <c r="D49" s="665" t="s">
        <v>1550</v>
      </c>
      <c r="E49" s="666" t="s">
        <v>1551</v>
      </c>
      <c r="F49" s="739" t="s">
        <v>1552</v>
      </c>
      <c r="G49" s="684" t="s">
        <v>1553</v>
      </c>
      <c r="H49" s="685" t="s">
        <v>1554</v>
      </c>
      <c r="I49" s="684" t="s">
        <v>1555</v>
      </c>
      <c r="J49" s="685" t="s">
        <v>1556</v>
      </c>
      <c r="K49" s="684" t="s">
        <v>1557</v>
      </c>
      <c r="L49" s="685" t="s">
        <v>1558</v>
      </c>
      <c r="M49" s="684" t="s">
        <v>1559</v>
      </c>
      <c r="N49" s="685" t="s">
        <v>1560</v>
      </c>
      <c r="O49" s="684" t="s">
        <v>1561</v>
      </c>
      <c r="P49" s="685" t="s">
        <v>1562</v>
      </c>
      <c r="Q49" s="684" t="s">
        <v>1563</v>
      </c>
      <c r="R49" s="685" t="s">
        <v>1564</v>
      </c>
      <c r="S49" s="684" t="s">
        <v>1565</v>
      </c>
      <c r="T49" s="685" t="s">
        <v>1566</v>
      </c>
      <c r="U49" s="684" t="s">
        <v>1567</v>
      </c>
      <c r="V49" s="685" t="s">
        <v>1568</v>
      </c>
      <c r="W49" s="684" t="s">
        <v>1569</v>
      </c>
      <c r="X49" s="685" t="s">
        <v>1570</v>
      </c>
      <c r="Y49" s="684" t="s">
        <v>1571</v>
      </c>
      <c r="Z49" s="685" t="s">
        <v>1572</v>
      </c>
      <c r="AA49" s="684" t="s">
        <v>1573</v>
      </c>
      <c r="AB49" s="685" t="s">
        <v>1574</v>
      </c>
      <c r="AC49" s="684" t="s">
        <v>1575</v>
      </c>
      <c r="AD49" s="685" t="s">
        <v>1576</v>
      </c>
      <c r="AE49" s="684" t="s">
        <v>1577</v>
      </c>
      <c r="AF49" s="685" t="s">
        <v>1578</v>
      </c>
      <c r="AG49" s="760" t="s">
        <v>1579</v>
      </c>
      <c r="AH49" s="693" t="s">
        <v>1580</v>
      </c>
      <c r="AI49" s="762" t="s">
        <v>1581</v>
      </c>
      <c r="AJ49" s="705" t="s">
        <v>1582</v>
      </c>
      <c r="AK49" s="762" t="s">
        <v>1583</v>
      </c>
      <c r="AL49" s="705" t="s">
        <v>1584</v>
      </c>
      <c r="AM49" s="343" t="str">
        <f t="shared" ref="AM49:AM86" si="41">BE49&amp;BF49&amp;BG49&amp;BH49&amp;BK49&amp;BL49</f>
        <v xml:space="preserve">* Pueblos Originarios-Hombres no debe ser mayor al Total de personas en PSCV. * Pueblos Originarios-Mujeres no debe ser mayor al Total de personas en PSCV. * Población Migrantes-Hombres no debe ser mayor al Total de personas en PSCV. * Población Migrantes-Mujeres no debe ser mayor al Total de personas en PSCV. </v>
      </c>
      <c r="BB49" s="354"/>
      <c r="BC49" s="354"/>
      <c r="BD49" s="354"/>
      <c r="BE49" s="348" t="str">
        <f t="shared" ref="BE49:BE85" si="42">IF($E49&gt;=$AI49,"","* Pueblos Originarios-Hombres no debe ser mayor al Total de personas en PSCV. ")</f>
        <v xml:space="preserve">* Pueblos Originarios-Hombres no debe ser mayor al Total de personas en PSCV. </v>
      </c>
      <c r="BF49" s="348" t="str">
        <f t="shared" si="38"/>
        <v xml:space="preserve">* Pueblos Originarios-Mujeres no debe ser mayor al Total de personas en PSCV. </v>
      </c>
      <c r="BG49" s="348" t="str">
        <f t="shared" ref="BG49:BG86" si="43">IF($E49&gt;=$AK49,"","* Población Migrantes-Hombres no debe ser mayor al Total de personas en PSCV. ")</f>
        <v xml:space="preserve">* Población Migrantes-Hombres no debe ser mayor al Total de personas en PSCV. </v>
      </c>
      <c r="BH49" s="348" t="str">
        <f t="shared" ref="BH49:BH86" si="44">IF($F49&gt;=$AL49,"","* Población Migrantes-Mujeres no debe ser mayor al Total de personas en PSCV. ")</f>
        <v xml:space="preserve">* Población Migrantes-Mujeres no debe ser mayor al Total de personas en PSCV. </v>
      </c>
      <c r="BI49" s="354"/>
      <c r="BJ49" s="354"/>
      <c r="BK49" s="348" t="str">
        <f t="shared" ref="BK49:BK74" si="45">IF(AND(E49&lt;&gt;0,AI49=""),"* No olvide escribir en la celda de 'Pueblos Originarios' (Digite CERO si no tiene). ",IF(AND(F49&lt;&gt;0,AJ49=""),"* No olvide escribir en la celda de 'Pueblos Originarios' (Digite CERO si no tiene). ",""))</f>
        <v/>
      </c>
      <c r="BL49" s="348" t="str">
        <f t="shared" ref="BL49:BL74" si="46">IF(AND(E49&lt;&gt;0,AK49=""),"* No olvide escribir en la celda de 'Población Migrantes' (Digite CERO si no tiene). ",IF(AND(F49&lt;&gt;0,AL49=""),"* No olvide escribir en la celda de 'Población Migrantes' (Digite CERO si no tiene). ",""))</f>
        <v/>
      </c>
      <c r="BM49" s="354"/>
      <c r="BN49" s="354"/>
      <c r="BO49" s="354"/>
      <c r="BP49" s="354"/>
      <c r="BQ49" s="354"/>
      <c r="BR49" s="354"/>
      <c r="BS49" s="354"/>
      <c r="BT49" s="354"/>
      <c r="BU49" s="354"/>
      <c r="BV49" s="354"/>
      <c r="BW49" s="354"/>
      <c r="BX49" s="354"/>
      <c r="BY49" s="354"/>
      <c r="BZ49" s="354"/>
      <c r="CA49" s="354"/>
      <c r="CB49" s="354"/>
      <c r="CC49" s="354"/>
      <c r="CD49" s="354"/>
      <c r="CE49" s="354"/>
      <c r="CF49" s="354"/>
      <c r="CG49" s="354"/>
      <c r="CH49" s="354"/>
      <c r="CI49" s="354"/>
      <c r="CJ49" s="354"/>
      <c r="CK49" s="354"/>
      <c r="CL49" s="354"/>
      <c r="CM49" s="352"/>
      <c r="CN49" s="352"/>
      <c r="CO49" s="358">
        <f t="shared" ref="CO49:CO74" si="47">IF($E49&gt;=$AI49,0,1)</f>
        <v>1</v>
      </c>
      <c r="CP49" s="358">
        <f t="shared" ref="CP49:CP74" si="48">IF($F49&gt;=$AJ49,0,1)</f>
        <v>1</v>
      </c>
      <c r="CQ49" s="358">
        <f t="shared" ref="CQ49:CQ74" si="49">IF($E49&gt;=$AK49,0,1)</f>
        <v>1</v>
      </c>
      <c r="CR49" s="358">
        <f t="shared" ref="CR49:CR74" si="50">IF($F49&gt;=$AL49,0,1)</f>
        <v>1</v>
      </c>
      <c r="CS49" s="352"/>
      <c r="CT49" s="352"/>
      <c r="CU49" s="352"/>
      <c r="CV49" s="352"/>
      <c r="CW49" s="358">
        <f t="shared" ref="CW49:CW73" si="51">IF(AND(E49&lt;&gt;0,AI49=""),1,IF(AND(F49&lt;&gt;0,AJ49=""),1,0))</f>
        <v>0</v>
      </c>
      <c r="CX49" s="358">
        <f t="shared" ref="CX49:CX73" si="52">IF(AND(E49&lt;&gt;0,AK49=""),1,IF(AND(F49&lt;&gt;0,AL49=""),1,0))</f>
        <v>0</v>
      </c>
      <c r="CY49" s="352"/>
      <c r="CZ49" s="352"/>
      <c r="DA49" s="352"/>
      <c r="DB49" s="352"/>
      <c r="DC49" s="352"/>
      <c r="DD49" s="352"/>
      <c r="DE49" s="352"/>
      <c r="DF49" s="352"/>
      <c r="DG49" s="352"/>
      <c r="DH49" s="352"/>
      <c r="DI49" s="352"/>
      <c r="DJ49" s="352"/>
      <c r="DK49" s="352"/>
      <c r="DL49" s="352"/>
      <c r="DM49" s="352"/>
      <c r="DN49" s="352"/>
      <c r="DO49" s="352"/>
      <c r="DP49" s="352"/>
      <c r="DQ49" s="352"/>
      <c r="DR49" s="352"/>
      <c r="DS49" s="352"/>
      <c r="DT49" s="352"/>
    </row>
    <row r="50" spans="1:124" ht="23.25" customHeight="1" x14ac:dyDescent="0.25">
      <c r="A50" s="1641" t="s">
        <v>1220</v>
      </c>
      <c r="B50" s="2200" t="s">
        <v>660</v>
      </c>
      <c r="C50" s="2201"/>
      <c r="D50" s="671" t="s">
        <v>1550</v>
      </c>
      <c r="E50" s="737" t="s">
        <v>1551</v>
      </c>
      <c r="F50" s="749" t="s">
        <v>1552</v>
      </c>
      <c r="G50" s="684" t="s">
        <v>1553</v>
      </c>
      <c r="H50" s="685" t="s">
        <v>1554</v>
      </c>
      <c r="I50" s="684" t="s">
        <v>1555</v>
      </c>
      <c r="J50" s="685" t="s">
        <v>1556</v>
      </c>
      <c r="K50" s="684" t="s">
        <v>1557</v>
      </c>
      <c r="L50" s="685" t="s">
        <v>1558</v>
      </c>
      <c r="M50" s="684" t="s">
        <v>1559</v>
      </c>
      <c r="N50" s="685" t="s">
        <v>1560</v>
      </c>
      <c r="O50" s="684" t="s">
        <v>1561</v>
      </c>
      <c r="P50" s="685" t="s">
        <v>1562</v>
      </c>
      <c r="Q50" s="684" t="s">
        <v>1563</v>
      </c>
      <c r="R50" s="685" t="s">
        <v>1564</v>
      </c>
      <c r="S50" s="684" t="s">
        <v>1565</v>
      </c>
      <c r="T50" s="685" t="s">
        <v>1566</v>
      </c>
      <c r="U50" s="684" t="s">
        <v>1567</v>
      </c>
      <c r="V50" s="685" t="s">
        <v>1568</v>
      </c>
      <c r="W50" s="684" t="s">
        <v>1569</v>
      </c>
      <c r="X50" s="685" t="s">
        <v>1570</v>
      </c>
      <c r="Y50" s="684" t="s">
        <v>1571</v>
      </c>
      <c r="Z50" s="685" t="s">
        <v>1572</v>
      </c>
      <c r="AA50" s="684" t="s">
        <v>1573</v>
      </c>
      <c r="AB50" s="685" t="s">
        <v>1574</v>
      </c>
      <c r="AC50" s="684" t="s">
        <v>1575</v>
      </c>
      <c r="AD50" s="685" t="s">
        <v>1576</v>
      </c>
      <c r="AE50" s="684" t="s">
        <v>1577</v>
      </c>
      <c r="AF50" s="685" t="s">
        <v>1578</v>
      </c>
      <c r="AG50" s="760" t="s">
        <v>1579</v>
      </c>
      <c r="AH50" s="693" t="s">
        <v>1580</v>
      </c>
      <c r="AI50" s="762" t="s">
        <v>1581</v>
      </c>
      <c r="AJ50" s="705" t="s">
        <v>1582</v>
      </c>
      <c r="AK50" s="762" t="s">
        <v>1583</v>
      </c>
      <c r="AL50" s="705" t="s">
        <v>1584</v>
      </c>
      <c r="AM50" s="343" t="str">
        <f t="shared" si="41"/>
        <v xml:space="preserve">* Pueblos Originarios-Hombres no debe ser mayor al Total de personas en PSCV. * Pueblos Originarios-Mujeres no debe ser mayor al Total de personas en PSCV. * Población Migrantes-Hombres no debe ser mayor al Total de personas en PSCV. * Población Migrantes-Mujeres no debe ser mayor al Total de personas en PSCV. </v>
      </c>
      <c r="BB50" s="354"/>
      <c r="BC50" s="354"/>
      <c r="BD50" s="354"/>
      <c r="BE50" s="348" t="str">
        <f t="shared" si="42"/>
        <v xml:space="preserve">* Pueblos Originarios-Hombres no debe ser mayor al Total de personas en PSCV. </v>
      </c>
      <c r="BF50" s="348" t="str">
        <f t="shared" si="38"/>
        <v xml:space="preserve">* Pueblos Originarios-Mujeres no debe ser mayor al Total de personas en PSCV. </v>
      </c>
      <c r="BG50" s="348" t="str">
        <f t="shared" si="43"/>
        <v xml:space="preserve">* Población Migrantes-Hombres no debe ser mayor al Total de personas en PSCV. </v>
      </c>
      <c r="BH50" s="348" t="str">
        <f t="shared" si="44"/>
        <v xml:space="preserve">* Población Migrantes-Mujeres no debe ser mayor al Total de personas en PSCV. </v>
      </c>
      <c r="BI50" s="354"/>
      <c r="BJ50" s="354"/>
      <c r="BK50" s="348" t="str">
        <f t="shared" si="45"/>
        <v/>
      </c>
      <c r="BL50" s="348" t="str">
        <f t="shared" si="46"/>
        <v/>
      </c>
      <c r="BM50" s="354"/>
      <c r="BN50" s="354"/>
      <c r="BO50" s="354"/>
      <c r="BP50" s="354"/>
      <c r="BQ50" s="354"/>
      <c r="BR50" s="354"/>
      <c r="BS50" s="354"/>
      <c r="BT50" s="354"/>
      <c r="BU50" s="354"/>
      <c r="BV50" s="354"/>
      <c r="BW50" s="354"/>
      <c r="BX50" s="354"/>
      <c r="BY50" s="354"/>
      <c r="BZ50" s="354"/>
      <c r="CA50" s="354"/>
      <c r="CB50" s="354"/>
      <c r="CC50" s="354"/>
      <c r="CD50" s="354"/>
      <c r="CE50" s="354"/>
      <c r="CF50" s="354"/>
      <c r="CG50" s="354"/>
      <c r="CH50" s="354"/>
      <c r="CI50" s="354"/>
      <c r="CJ50" s="354"/>
      <c r="CK50" s="354"/>
      <c r="CL50" s="354"/>
      <c r="CM50" s="352"/>
      <c r="CN50" s="352"/>
      <c r="CO50" s="358">
        <f t="shared" si="47"/>
        <v>1</v>
      </c>
      <c r="CP50" s="358">
        <f t="shared" si="48"/>
        <v>1</v>
      </c>
      <c r="CQ50" s="358">
        <f t="shared" si="49"/>
        <v>1</v>
      </c>
      <c r="CR50" s="358">
        <f t="shared" si="50"/>
        <v>1</v>
      </c>
      <c r="CS50" s="352"/>
      <c r="CT50" s="352"/>
      <c r="CU50" s="352"/>
      <c r="CV50" s="352"/>
      <c r="CW50" s="358">
        <f t="shared" si="51"/>
        <v>0</v>
      </c>
      <c r="CX50" s="358">
        <f t="shared" si="52"/>
        <v>0</v>
      </c>
      <c r="CY50" s="352"/>
      <c r="CZ50" s="352"/>
      <c r="DA50" s="352"/>
      <c r="DB50" s="352"/>
      <c r="DC50" s="352"/>
      <c r="DD50" s="352"/>
      <c r="DE50" s="352"/>
      <c r="DF50" s="352"/>
      <c r="DG50" s="352"/>
      <c r="DH50" s="352"/>
      <c r="DI50" s="352"/>
      <c r="DJ50" s="352"/>
      <c r="DK50" s="352"/>
      <c r="DL50" s="352"/>
      <c r="DM50" s="352"/>
      <c r="DN50" s="352"/>
      <c r="DO50" s="352"/>
      <c r="DP50" s="352"/>
      <c r="DQ50" s="352"/>
      <c r="DR50" s="352"/>
      <c r="DS50" s="352"/>
      <c r="DT50" s="352"/>
    </row>
    <row r="51" spans="1:124" ht="18.75" customHeight="1" x14ac:dyDescent="0.25">
      <c r="A51" s="1641" t="s">
        <v>1221</v>
      </c>
      <c r="B51" s="2193" t="s">
        <v>315</v>
      </c>
      <c r="C51" s="2194"/>
      <c r="D51" s="671" t="s">
        <v>1550</v>
      </c>
      <c r="E51" s="737" t="s">
        <v>1551</v>
      </c>
      <c r="F51" s="749" t="s">
        <v>1552</v>
      </c>
      <c r="G51" s="684" t="s">
        <v>1553</v>
      </c>
      <c r="H51" s="685" t="s">
        <v>1554</v>
      </c>
      <c r="I51" s="684" t="s">
        <v>1555</v>
      </c>
      <c r="J51" s="685" t="s">
        <v>1556</v>
      </c>
      <c r="K51" s="684" t="s">
        <v>1557</v>
      </c>
      <c r="L51" s="685" t="s">
        <v>1558</v>
      </c>
      <c r="M51" s="684" t="s">
        <v>1559</v>
      </c>
      <c r="N51" s="685" t="s">
        <v>1560</v>
      </c>
      <c r="O51" s="684" t="s">
        <v>1561</v>
      </c>
      <c r="P51" s="685" t="s">
        <v>1562</v>
      </c>
      <c r="Q51" s="684" t="s">
        <v>1563</v>
      </c>
      <c r="R51" s="685" t="s">
        <v>1564</v>
      </c>
      <c r="S51" s="684" t="s">
        <v>1565</v>
      </c>
      <c r="T51" s="685" t="s">
        <v>1566</v>
      </c>
      <c r="U51" s="684" t="s">
        <v>1567</v>
      </c>
      <c r="V51" s="685" t="s">
        <v>1568</v>
      </c>
      <c r="W51" s="684" t="s">
        <v>1569</v>
      </c>
      <c r="X51" s="685" t="s">
        <v>1570</v>
      </c>
      <c r="Y51" s="684" t="s">
        <v>1571</v>
      </c>
      <c r="Z51" s="685" t="s">
        <v>1572</v>
      </c>
      <c r="AA51" s="684" t="s">
        <v>1573</v>
      </c>
      <c r="AB51" s="685" t="s">
        <v>1574</v>
      </c>
      <c r="AC51" s="684" t="s">
        <v>1575</v>
      </c>
      <c r="AD51" s="685" t="s">
        <v>1576</v>
      </c>
      <c r="AE51" s="684" t="s">
        <v>1577</v>
      </c>
      <c r="AF51" s="685" t="s">
        <v>1578</v>
      </c>
      <c r="AG51" s="760" t="s">
        <v>1579</v>
      </c>
      <c r="AH51" s="693" t="s">
        <v>1580</v>
      </c>
      <c r="AI51" s="762" t="s">
        <v>1581</v>
      </c>
      <c r="AJ51" s="705" t="s">
        <v>1582</v>
      </c>
      <c r="AK51" s="762" t="s">
        <v>1583</v>
      </c>
      <c r="AL51" s="705" t="s">
        <v>1584</v>
      </c>
      <c r="AM51" s="343" t="str">
        <f t="shared" si="41"/>
        <v xml:space="preserve">* Pueblos Originarios-Hombres no debe ser mayor al Total de personas en PSCV. * Pueblos Originarios-Mujeres no debe ser mayor al Total de personas en PSCV. * Población Migrantes-Hombres no debe ser mayor al Total de personas en PSCV. * Población Migrantes-Mujeres no debe ser mayor al Total de personas en PSCV. </v>
      </c>
      <c r="BB51" s="354"/>
      <c r="BC51" s="354"/>
      <c r="BD51" s="354"/>
      <c r="BE51" s="348" t="str">
        <f t="shared" si="42"/>
        <v xml:space="preserve">* Pueblos Originarios-Hombres no debe ser mayor al Total de personas en PSCV. </v>
      </c>
      <c r="BF51" s="348" t="str">
        <f t="shared" si="38"/>
        <v xml:space="preserve">* Pueblos Originarios-Mujeres no debe ser mayor al Total de personas en PSCV. </v>
      </c>
      <c r="BG51" s="348" t="str">
        <f t="shared" si="43"/>
        <v xml:space="preserve">* Población Migrantes-Hombres no debe ser mayor al Total de personas en PSCV. </v>
      </c>
      <c r="BH51" s="348" t="str">
        <f t="shared" si="44"/>
        <v xml:space="preserve">* Población Migrantes-Mujeres no debe ser mayor al Total de personas en PSCV. </v>
      </c>
      <c r="BI51" s="354"/>
      <c r="BJ51" s="354"/>
      <c r="BK51" s="348" t="str">
        <f t="shared" si="45"/>
        <v/>
      </c>
      <c r="BL51" s="348" t="str">
        <f t="shared" si="46"/>
        <v/>
      </c>
      <c r="BM51" s="354"/>
      <c r="BN51" s="354"/>
      <c r="BO51" s="354"/>
      <c r="BP51" s="354"/>
      <c r="BQ51" s="354"/>
      <c r="BR51" s="354"/>
      <c r="BS51" s="354"/>
      <c r="BT51" s="354"/>
      <c r="BU51" s="354"/>
      <c r="BV51" s="354"/>
      <c r="BW51" s="354"/>
      <c r="BX51" s="354"/>
      <c r="BY51" s="354"/>
      <c r="BZ51" s="354"/>
      <c r="CA51" s="354"/>
      <c r="CB51" s="354"/>
      <c r="CC51" s="354"/>
      <c r="CD51" s="354"/>
      <c r="CE51" s="354"/>
      <c r="CF51" s="354"/>
      <c r="CG51" s="354"/>
      <c r="CH51" s="354"/>
      <c r="CI51" s="354"/>
      <c r="CJ51" s="354"/>
      <c r="CK51" s="354"/>
      <c r="CL51" s="354"/>
      <c r="CM51" s="352"/>
      <c r="CN51" s="352"/>
      <c r="CO51" s="358">
        <f t="shared" si="47"/>
        <v>1</v>
      </c>
      <c r="CP51" s="358">
        <f t="shared" si="48"/>
        <v>1</v>
      </c>
      <c r="CQ51" s="358">
        <f t="shared" si="49"/>
        <v>1</v>
      </c>
      <c r="CR51" s="358">
        <f t="shared" si="50"/>
        <v>1</v>
      </c>
      <c r="CS51" s="352"/>
      <c r="CT51" s="352"/>
      <c r="CU51" s="352"/>
      <c r="CV51" s="352"/>
      <c r="CW51" s="358">
        <f t="shared" si="51"/>
        <v>0</v>
      </c>
      <c r="CX51" s="358">
        <f t="shared" si="52"/>
        <v>0</v>
      </c>
      <c r="CY51" s="352"/>
      <c r="CZ51" s="352"/>
      <c r="DA51" s="352"/>
      <c r="DB51" s="352"/>
      <c r="DC51" s="352"/>
      <c r="DD51" s="352"/>
      <c r="DE51" s="352"/>
      <c r="DF51" s="352"/>
      <c r="DG51" s="352"/>
      <c r="DH51" s="352"/>
      <c r="DI51" s="352"/>
      <c r="DJ51" s="352"/>
      <c r="DK51" s="352"/>
      <c r="DL51" s="352"/>
      <c r="DM51" s="352"/>
      <c r="DN51" s="352"/>
      <c r="DO51" s="352"/>
      <c r="DP51" s="352"/>
      <c r="DQ51" s="352"/>
      <c r="DR51" s="352"/>
      <c r="DS51" s="352"/>
      <c r="DT51" s="352"/>
    </row>
    <row r="52" spans="1:124" ht="18.75" customHeight="1" x14ac:dyDescent="0.25">
      <c r="A52" s="1641" t="s">
        <v>1222</v>
      </c>
      <c r="B52" s="2174" t="s">
        <v>555</v>
      </c>
      <c r="C52" s="2175"/>
      <c r="D52" s="674" t="s">
        <v>1550</v>
      </c>
      <c r="E52" s="1414" t="s">
        <v>1551</v>
      </c>
      <c r="F52" s="1402" t="s">
        <v>1552</v>
      </c>
      <c r="G52" s="684" t="s">
        <v>1553</v>
      </c>
      <c r="H52" s="685" t="s">
        <v>1554</v>
      </c>
      <c r="I52" s="684" t="s">
        <v>1555</v>
      </c>
      <c r="J52" s="685" t="s">
        <v>1556</v>
      </c>
      <c r="K52" s="684" t="s">
        <v>1557</v>
      </c>
      <c r="L52" s="685" t="s">
        <v>1558</v>
      </c>
      <c r="M52" s="684" t="s">
        <v>1559</v>
      </c>
      <c r="N52" s="685" t="s">
        <v>1560</v>
      </c>
      <c r="O52" s="684" t="s">
        <v>1561</v>
      </c>
      <c r="P52" s="685" t="s">
        <v>1562</v>
      </c>
      <c r="Q52" s="684" t="s">
        <v>1563</v>
      </c>
      <c r="R52" s="685" t="s">
        <v>1564</v>
      </c>
      <c r="S52" s="684" t="s">
        <v>1565</v>
      </c>
      <c r="T52" s="685" t="s">
        <v>1566</v>
      </c>
      <c r="U52" s="684" t="s">
        <v>1567</v>
      </c>
      <c r="V52" s="685" t="s">
        <v>1568</v>
      </c>
      <c r="W52" s="684" t="s">
        <v>1569</v>
      </c>
      <c r="X52" s="685" t="s">
        <v>1570</v>
      </c>
      <c r="Y52" s="684" t="s">
        <v>1571</v>
      </c>
      <c r="Z52" s="685" t="s">
        <v>1572</v>
      </c>
      <c r="AA52" s="684" t="s">
        <v>1573</v>
      </c>
      <c r="AB52" s="685" t="s">
        <v>1574</v>
      </c>
      <c r="AC52" s="684" t="s">
        <v>1575</v>
      </c>
      <c r="AD52" s="685" t="s">
        <v>1576</v>
      </c>
      <c r="AE52" s="684" t="s">
        <v>1577</v>
      </c>
      <c r="AF52" s="685" t="s">
        <v>1578</v>
      </c>
      <c r="AG52" s="760" t="s">
        <v>1579</v>
      </c>
      <c r="AH52" s="693" t="s">
        <v>1580</v>
      </c>
      <c r="AI52" s="762" t="s">
        <v>1581</v>
      </c>
      <c r="AJ52" s="705" t="s">
        <v>1582</v>
      </c>
      <c r="AK52" s="762" t="s">
        <v>1583</v>
      </c>
      <c r="AL52" s="705" t="s">
        <v>1584</v>
      </c>
      <c r="AM52" s="343" t="str">
        <f t="shared" si="41"/>
        <v xml:space="preserve">* Pueblos Originarios-Hombres no debe ser mayor al Total de personas en PSCV. * Pueblos Originarios-Mujeres no debe ser mayor al Total de personas en PSCV. * Población Migrantes-Hombres no debe ser mayor al Total de personas en PSCV. * Población Migrantes-Mujeres no debe ser mayor al Total de personas en PSCV. </v>
      </c>
      <c r="BB52" s="354"/>
      <c r="BC52" s="354"/>
      <c r="BD52" s="354"/>
      <c r="BE52" s="348" t="str">
        <f t="shared" si="42"/>
        <v xml:space="preserve">* Pueblos Originarios-Hombres no debe ser mayor al Total de personas en PSCV. </v>
      </c>
      <c r="BF52" s="348" t="str">
        <f t="shared" si="38"/>
        <v xml:space="preserve">* Pueblos Originarios-Mujeres no debe ser mayor al Total de personas en PSCV. </v>
      </c>
      <c r="BG52" s="348" t="str">
        <f t="shared" si="43"/>
        <v xml:space="preserve">* Población Migrantes-Hombres no debe ser mayor al Total de personas en PSCV. </v>
      </c>
      <c r="BH52" s="348" t="str">
        <f t="shared" si="44"/>
        <v xml:space="preserve">* Población Migrantes-Mujeres no debe ser mayor al Total de personas en PSCV. </v>
      </c>
      <c r="BI52" s="354"/>
      <c r="BJ52" s="354"/>
      <c r="BK52" s="348" t="str">
        <f t="shared" si="45"/>
        <v/>
      </c>
      <c r="BL52" s="348" t="str">
        <f t="shared" si="46"/>
        <v/>
      </c>
      <c r="BM52" s="354"/>
      <c r="BN52" s="354"/>
      <c r="BO52" s="354"/>
      <c r="BP52" s="354"/>
      <c r="BQ52" s="354"/>
      <c r="BR52" s="354"/>
      <c r="BS52" s="354"/>
      <c r="BT52" s="354"/>
      <c r="BU52" s="354"/>
      <c r="BV52" s="354"/>
      <c r="BW52" s="354"/>
      <c r="BX52" s="354"/>
      <c r="BY52" s="354"/>
      <c r="BZ52" s="354"/>
      <c r="CA52" s="354"/>
      <c r="CB52" s="354"/>
      <c r="CC52" s="354"/>
      <c r="CD52" s="354"/>
      <c r="CE52" s="354"/>
      <c r="CF52" s="354"/>
      <c r="CG52" s="354"/>
      <c r="CH52" s="354"/>
      <c r="CI52" s="354"/>
      <c r="CJ52" s="354"/>
      <c r="CK52" s="354"/>
      <c r="CL52" s="354"/>
      <c r="CM52" s="352"/>
      <c r="CN52" s="352"/>
      <c r="CO52" s="358">
        <f t="shared" si="47"/>
        <v>1</v>
      </c>
      <c r="CP52" s="358">
        <f t="shared" si="48"/>
        <v>1</v>
      </c>
      <c r="CQ52" s="358">
        <f t="shared" si="49"/>
        <v>1</v>
      </c>
      <c r="CR52" s="358">
        <f t="shared" si="50"/>
        <v>1</v>
      </c>
      <c r="CS52" s="352"/>
      <c r="CT52" s="352"/>
      <c r="CU52" s="352"/>
      <c r="CV52" s="352"/>
      <c r="CW52" s="358">
        <f t="shared" si="51"/>
        <v>0</v>
      </c>
      <c r="CX52" s="358">
        <f t="shared" si="52"/>
        <v>0</v>
      </c>
      <c r="CY52" s="352"/>
      <c r="CZ52" s="352"/>
      <c r="DA52" s="352"/>
      <c r="DB52" s="352"/>
      <c r="DC52" s="352"/>
      <c r="DD52" s="352"/>
      <c r="DE52" s="352"/>
      <c r="DF52" s="352"/>
      <c r="DG52" s="352"/>
      <c r="DH52" s="352"/>
      <c r="DI52" s="352"/>
      <c r="DJ52" s="352"/>
      <c r="DK52" s="352"/>
      <c r="DL52" s="352"/>
      <c r="DM52" s="352"/>
      <c r="DN52" s="352"/>
      <c r="DO52" s="352"/>
      <c r="DP52" s="352"/>
      <c r="DQ52" s="352"/>
      <c r="DR52" s="352"/>
      <c r="DS52" s="352"/>
      <c r="DT52" s="352"/>
    </row>
    <row r="53" spans="1:124" ht="18.75" customHeight="1" x14ac:dyDescent="0.25">
      <c r="A53" s="1641" t="s">
        <v>1223</v>
      </c>
      <c r="B53" s="2174" t="s">
        <v>364</v>
      </c>
      <c r="C53" s="2175"/>
      <c r="D53" s="665" t="s">
        <v>1550</v>
      </c>
      <c r="E53" s="666" t="s">
        <v>1551</v>
      </c>
      <c r="F53" s="743" t="s">
        <v>1552</v>
      </c>
      <c r="G53" s="684" t="s">
        <v>1553</v>
      </c>
      <c r="H53" s="685" t="s">
        <v>1554</v>
      </c>
      <c r="I53" s="684" t="s">
        <v>1555</v>
      </c>
      <c r="J53" s="685" t="s">
        <v>1556</v>
      </c>
      <c r="K53" s="684" t="s">
        <v>1557</v>
      </c>
      <c r="L53" s="685" t="s">
        <v>1558</v>
      </c>
      <c r="M53" s="684" t="s">
        <v>1559</v>
      </c>
      <c r="N53" s="685" t="s">
        <v>1560</v>
      </c>
      <c r="O53" s="684" t="s">
        <v>1561</v>
      </c>
      <c r="P53" s="685" t="s">
        <v>1562</v>
      </c>
      <c r="Q53" s="684" t="s">
        <v>1563</v>
      </c>
      <c r="R53" s="685" t="s">
        <v>1564</v>
      </c>
      <c r="S53" s="684" t="s">
        <v>1565</v>
      </c>
      <c r="T53" s="685" t="s">
        <v>1566</v>
      </c>
      <c r="U53" s="684" t="s">
        <v>1567</v>
      </c>
      <c r="V53" s="685" t="s">
        <v>1568</v>
      </c>
      <c r="W53" s="684" t="s">
        <v>1569</v>
      </c>
      <c r="X53" s="685" t="s">
        <v>1570</v>
      </c>
      <c r="Y53" s="684" t="s">
        <v>1571</v>
      </c>
      <c r="Z53" s="685" t="s">
        <v>1572</v>
      </c>
      <c r="AA53" s="684" t="s">
        <v>1573</v>
      </c>
      <c r="AB53" s="685" t="s">
        <v>1574</v>
      </c>
      <c r="AC53" s="684" t="s">
        <v>1575</v>
      </c>
      <c r="AD53" s="685" t="s">
        <v>1576</v>
      </c>
      <c r="AE53" s="684" t="s">
        <v>1577</v>
      </c>
      <c r="AF53" s="685" t="s">
        <v>1578</v>
      </c>
      <c r="AG53" s="760" t="s">
        <v>1579</v>
      </c>
      <c r="AH53" s="693" t="s">
        <v>1580</v>
      </c>
      <c r="AI53" s="762" t="s">
        <v>1581</v>
      </c>
      <c r="AJ53" s="705" t="s">
        <v>1582</v>
      </c>
      <c r="AK53" s="762" t="s">
        <v>1583</v>
      </c>
      <c r="AL53" s="705" t="s">
        <v>1584</v>
      </c>
      <c r="AM53" s="343" t="str">
        <f t="shared" si="41"/>
        <v xml:space="preserve">* Pueblos Originarios-Hombres no debe ser mayor al Total de personas en PSCV. * Pueblos Originarios-Mujeres no debe ser mayor al Total de personas en PSCV. * Población Migrantes-Hombres no debe ser mayor al Total de personas en PSCV. * Población Migrantes-Mujeres no debe ser mayor al Total de personas en PSCV. </v>
      </c>
      <c r="BB53" s="354"/>
      <c r="BC53" s="354"/>
      <c r="BD53" s="354"/>
      <c r="BE53" s="348" t="str">
        <f t="shared" si="42"/>
        <v xml:space="preserve">* Pueblos Originarios-Hombres no debe ser mayor al Total de personas en PSCV. </v>
      </c>
      <c r="BF53" s="348" t="str">
        <f t="shared" si="38"/>
        <v xml:space="preserve">* Pueblos Originarios-Mujeres no debe ser mayor al Total de personas en PSCV. </v>
      </c>
      <c r="BG53" s="348" t="str">
        <f t="shared" si="43"/>
        <v xml:space="preserve">* Población Migrantes-Hombres no debe ser mayor al Total de personas en PSCV. </v>
      </c>
      <c r="BH53" s="348" t="str">
        <f t="shared" si="44"/>
        <v xml:space="preserve">* Población Migrantes-Mujeres no debe ser mayor al Total de personas en PSCV. </v>
      </c>
      <c r="BI53" s="354"/>
      <c r="BJ53" s="354"/>
      <c r="BK53" s="348" t="str">
        <f t="shared" si="45"/>
        <v/>
      </c>
      <c r="BL53" s="348" t="str">
        <f t="shared" si="46"/>
        <v/>
      </c>
      <c r="BM53" s="354"/>
      <c r="BN53" s="354"/>
      <c r="BO53" s="354"/>
      <c r="BP53" s="354"/>
      <c r="BQ53" s="354"/>
      <c r="BR53" s="354"/>
      <c r="BS53" s="354"/>
      <c r="BT53" s="354"/>
      <c r="BU53" s="354"/>
      <c r="BV53" s="354"/>
      <c r="BW53" s="354"/>
      <c r="BX53" s="354"/>
      <c r="BY53" s="354"/>
      <c r="BZ53" s="354"/>
      <c r="CA53" s="354"/>
      <c r="CB53" s="354"/>
      <c r="CC53" s="354"/>
      <c r="CD53" s="354"/>
      <c r="CE53" s="354"/>
      <c r="CF53" s="354"/>
      <c r="CG53" s="354"/>
      <c r="CH53" s="354"/>
      <c r="CI53" s="354"/>
      <c r="CJ53" s="354"/>
      <c r="CK53" s="354"/>
      <c r="CL53" s="354"/>
      <c r="CM53" s="352"/>
      <c r="CN53" s="352"/>
      <c r="CO53" s="358">
        <f t="shared" si="47"/>
        <v>1</v>
      </c>
      <c r="CP53" s="358">
        <f t="shared" si="48"/>
        <v>1</v>
      </c>
      <c r="CQ53" s="358">
        <f t="shared" si="49"/>
        <v>1</v>
      </c>
      <c r="CR53" s="358">
        <f t="shared" si="50"/>
        <v>1</v>
      </c>
      <c r="CS53" s="352"/>
      <c r="CT53" s="352"/>
      <c r="CU53" s="352"/>
      <c r="CV53" s="352"/>
      <c r="CW53" s="358">
        <f t="shared" si="51"/>
        <v>0</v>
      </c>
      <c r="CX53" s="358">
        <f t="shared" si="52"/>
        <v>0</v>
      </c>
      <c r="CY53" s="352"/>
      <c r="CZ53" s="352"/>
      <c r="DA53" s="352"/>
      <c r="DB53" s="352"/>
      <c r="DC53" s="352"/>
      <c r="DD53" s="352"/>
      <c r="DE53" s="352"/>
      <c r="DF53" s="352"/>
      <c r="DG53" s="352"/>
      <c r="DH53" s="352"/>
      <c r="DI53" s="352"/>
      <c r="DJ53" s="352"/>
      <c r="DK53" s="352"/>
      <c r="DL53" s="352"/>
      <c r="DM53" s="352"/>
      <c r="DN53" s="352"/>
      <c r="DO53" s="352"/>
      <c r="DP53" s="352"/>
      <c r="DQ53" s="352"/>
      <c r="DR53" s="352"/>
      <c r="DS53" s="352"/>
      <c r="DT53" s="352"/>
    </row>
    <row r="54" spans="1:124" ht="18.75" customHeight="1" x14ac:dyDescent="0.25">
      <c r="A54" s="1641" t="s">
        <v>1224</v>
      </c>
      <c r="B54" s="2174" t="s">
        <v>172</v>
      </c>
      <c r="C54" s="2175"/>
      <c r="D54" s="665" t="s">
        <v>1550</v>
      </c>
      <c r="E54" s="666" t="s">
        <v>1551</v>
      </c>
      <c r="F54" s="743" t="s">
        <v>1552</v>
      </c>
      <c r="G54" s="684" t="s">
        <v>1553</v>
      </c>
      <c r="H54" s="685" t="s">
        <v>1554</v>
      </c>
      <c r="I54" s="684" t="s">
        <v>1555</v>
      </c>
      <c r="J54" s="685" t="s">
        <v>1556</v>
      </c>
      <c r="K54" s="684" t="s">
        <v>1557</v>
      </c>
      <c r="L54" s="685" t="s">
        <v>1558</v>
      </c>
      <c r="M54" s="684" t="s">
        <v>1559</v>
      </c>
      <c r="N54" s="685" t="s">
        <v>1560</v>
      </c>
      <c r="O54" s="684" t="s">
        <v>1561</v>
      </c>
      <c r="P54" s="685" t="s">
        <v>1562</v>
      </c>
      <c r="Q54" s="684" t="s">
        <v>1563</v>
      </c>
      <c r="R54" s="685" t="s">
        <v>1564</v>
      </c>
      <c r="S54" s="684" t="s">
        <v>1565</v>
      </c>
      <c r="T54" s="685" t="s">
        <v>1566</v>
      </c>
      <c r="U54" s="684" t="s">
        <v>1567</v>
      </c>
      <c r="V54" s="685" t="s">
        <v>1568</v>
      </c>
      <c r="W54" s="684" t="s">
        <v>1569</v>
      </c>
      <c r="X54" s="685" t="s">
        <v>1570</v>
      </c>
      <c r="Y54" s="684" t="s">
        <v>1571</v>
      </c>
      <c r="Z54" s="685" t="s">
        <v>1572</v>
      </c>
      <c r="AA54" s="684" t="s">
        <v>1573</v>
      </c>
      <c r="AB54" s="685" t="s">
        <v>1574</v>
      </c>
      <c r="AC54" s="684" t="s">
        <v>1575</v>
      </c>
      <c r="AD54" s="685" t="s">
        <v>1576</v>
      </c>
      <c r="AE54" s="684" t="s">
        <v>1577</v>
      </c>
      <c r="AF54" s="685" t="s">
        <v>1578</v>
      </c>
      <c r="AG54" s="760" t="s">
        <v>1579</v>
      </c>
      <c r="AH54" s="693" t="s">
        <v>1580</v>
      </c>
      <c r="AI54" s="762" t="s">
        <v>1581</v>
      </c>
      <c r="AJ54" s="705" t="s">
        <v>1582</v>
      </c>
      <c r="AK54" s="762" t="s">
        <v>1583</v>
      </c>
      <c r="AL54" s="705" t="s">
        <v>1584</v>
      </c>
      <c r="AM54" s="343" t="str">
        <f t="shared" si="41"/>
        <v xml:space="preserve">* Pueblos Originarios-Hombres no debe ser mayor al Total de personas en PSCV. * Pueblos Originarios-Mujeres no debe ser mayor al Total de personas en PSCV. * Población Migrantes-Hombres no debe ser mayor al Total de personas en PSCV. * Población Migrantes-Mujeres no debe ser mayor al Total de personas en PSCV. </v>
      </c>
      <c r="BB54" s="354"/>
      <c r="BC54" s="354"/>
      <c r="BD54" s="354"/>
      <c r="BE54" s="348" t="str">
        <f t="shared" si="42"/>
        <v xml:space="preserve">* Pueblos Originarios-Hombres no debe ser mayor al Total de personas en PSCV. </v>
      </c>
      <c r="BF54" s="348" t="str">
        <f t="shared" si="38"/>
        <v xml:space="preserve">* Pueblos Originarios-Mujeres no debe ser mayor al Total de personas en PSCV. </v>
      </c>
      <c r="BG54" s="348" t="str">
        <f t="shared" si="43"/>
        <v xml:space="preserve">* Población Migrantes-Hombres no debe ser mayor al Total de personas en PSCV. </v>
      </c>
      <c r="BH54" s="348" t="str">
        <f t="shared" si="44"/>
        <v xml:space="preserve">* Población Migrantes-Mujeres no debe ser mayor al Total de personas en PSCV. </v>
      </c>
      <c r="BI54" s="354"/>
      <c r="BJ54" s="354"/>
      <c r="BK54" s="348" t="str">
        <f t="shared" si="45"/>
        <v/>
      </c>
      <c r="BL54" s="348" t="str">
        <f t="shared" si="46"/>
        <v/>
      </c>
      <c r="BM54" s="354"/>
      <c r="BN54" s="354"/>
      <c r="BO54" s="354"/>
      <c r="BP54" s="354"/>
      <c r="BQ54" s="354"/>
      <c r="BR54" s="354"/>
      <c r="BS54" s="354"/>
      <c r="BT54" s="354"/>
      <c r="BU54" s="354"/>
      <c r="BV54" s="354"/>
      <c r="BW54" s="354"/>
      <c r="BX54" s="354"/>
      <c r="BY54" s="354"/>
      <c r="BZ54" s="354"/>
      <c r="CA54" s="354"/>
      <c r="CB54" s="354"/>
      <c r="CC54" s="354"/>
      <c r="CD54" s="354"/>
      <c r="CE54" s="354"/>
      <c r="CF54" s="354"/>
      <c r="CG54" s="354"/>
      <c r="CH54" s="354"/>
      <c r="CI54" s="354"/>
      <c r="CJ54" s="354"/>
      <c r="CK54" s="354"/>
      <c r="CL54" s="354"/>
      <c r="CM54" s="352"/>
      <c r="CN54" s="352"/>
      <c r="CO54" s="358">
        <f t="shared" si="47"/>
        <v>1</v>
      </c>
      <c r="CP54" s="358">
        <f t="shared" si="48"/>
        <v>1</v>
      </c>
      <c r="CQ54" s="358">
        <f t="shared" si="49"/>
        <v>1</v>
      </c>
      <c r="CR54" s="358">
        <f t="shared" si="50"/>
        <v>1</v>
      </c>
      <c r="CS54" s="352"/>
      <c r="CT54" s="352"/>
      <c r="CU54" s="352"/>
      <c r="CV54" s="352"/>
      <c r="CW54" s="358">
        <f t="shared" si="51"/>
        <v>0</v>
      </c>
      <c r="CX54" s="358">
        <f t="shared" si="52"/>
        <v>0</v>
      </c>
      <c r="CY54" s="352"/>
      <c r="CZ54" s="352"/>
      <c r="DA54" s="352"/>
      <c r="DB54" s="352"/>
      <c r="DC54" s="352"/>
      <c r="DD54" s="352"/>
      <c r="DE54" s="352"/>
      <c r="DF54" s="352"/>
      <c r="DG54" s="352"/>
      <c r="DH54" s="352"/>
      <c r="DI54" s="352"/>
      <c r="DJ54" s="352"/>
      <c r="DK54" s="352"/>
      <c r="DL54" s="352"/>
      <c r="DM54" s="352"/>
      <c r="DN54" s="352"/>
      <c r="DO54" s="352"/>
      <c r="DP54" s="352"/>
      <c r="DQ54" s="352"/>
      <c r="DR54" s="352"/>
      <c r="DS54" s="352"/>
      <c r="DT54" s="352"/>
    </row>
    <row r="55" spans="1:124" ht="18.75" customHeight="1" x14ac:dyDescent="0.25">
      <c r="A55" s="1641" t="s">
        <v>1225</v>
      </c>
      <c r="B55" s="2174" t="s">
        <v>569</v>
      </c>
      <c r="C55" s="2175"/>
      <c r="D55" s="671" t="s">
        <v>1550</v>
      </c>
      <c r="E55" s="737" t="s">
        <v>1551</v>
      </c>
      <c r="F55" s="749" t="s">
        <v>1552</v>
      </c>
      <c r="G55" s="704" t="s">
        <v>1553</v>
      </c>
      <c r="H55" s="705" t="s">
        <v>1554</v>
      </c>
      <c r="I55" s="704" t="s">
        <v>1555</v>
      </c>
      <c r="J55" s="705" t="s">
        <v>1556</v>
      </c>
      <c r="K55" s="704" t="s">
        <v>1557</v>
      </c>
      <c r="L55" s="705" t="s">
        <v>1558</v>
      </c>
      <c r="M55" s="704" t="s">
        <v>1559</v>
      </c>
      <c r="N55" s="705" t="s">
        <v>1560</v>
      </c>
      <c r="O55" s="704" t="s">
        <v>1561</v>
      </c>
      <c r="P55" s="705" t="s">
        <v>1562</v>
      </c>
      <c r="Q55" s="704" t="s">
        <v>1563</v>
      </c>
      <c r="R55" s="705" t="s">
        <v>1564</v>
      </c>
      <c r="S55" s="704" t="s">
        <v>1565</v>
      </c>
      <c r="T55" s="705" t="s">
        <v>1566</v>
      </c>
      <c r="U55" s="704" t="s">
        <v>1567</v>
      </c>
      <c r="V55" s="705" t="s">
        <v>1568</v>
      </c>
      <c r="W55" s="704" t="s">
        <v>1569</v>
      </c>
      <c r="X55" s="705" t="s">
        <v>1570</v>
      </c>
      <c r="Y55" s="704" t="s">
        <v>1571</v>
      </c>
      <c r="Z55" s="705" t="s">
        <v>1572</v>
      </c>
      <c r="AA55" s="704" t="s">
        <v>1573</v>
      </c>
      <c r="AB55" s="705" t="s">
        <v>1574</v>
      </c>
      <c r="AC55" s="704" t="s">
        <v>1575</v>
      </c>
      <c r="AD55" s="705" t="s">
        <v>1576</v>
      </c>
      <c r="AE55" s="704" t="s">
        <v>1577</v>
      </c>
      <c r="AF55" s="705" t="s">
        <v>1578</v>
      </c>
      <c r="AG55" s="762" t="s">
        <v>1579</v>
      </c>
      <c r="AH55" s="706" t="s">
        <v>1580</v>
      </c>
      <c r="AI55" s="762" t="s">
        <v>1581</v>
      </c>
      <c r="AJ55" s="705" t="s">
        <v>1582</v>
      </c>
      <c r="AK55" s="762" t="s">
        <v>1583</v>
      </c>
      <c r="AL55" s="705" t="s">
        <v>1584</v>
      </c>
      <c r="AM55" s="343" t="str">
        <f t="shared" si="41"/>
        <v xml:space="preserve">* Pueblos Originarios-Hombres no debe ser mayor al Total de personas en PSCV. * Pueblos Originarios-Mujeres no debe ser mayor al Total de personas en PSCV. * Población Migrantes-Hombres no debe ser mayor al Total de personas en PSCV. * Población Migrantes-Mujeres no debe ser mayor al Total de personas en PSCV. </v>
      </c>
      <c r="BB55" s="354"/>
      <c r="BC55" s="354"/>
      <c r="BD55" s="354"/>
      <c r="BE55" s="348" t="str">
        <f t="shared" si="42"/>
        <v xml:space="preserve">* Pueblos Originarios-Hombres no debe ser mayor al Total de personas en PSCV. </v>
      </c>
      <c r="BF55" s="348" t="str">
        <f t="shared" si="38"/>
        <v xml:space="preserve">* Pueblos Originarios-Mujeres no debe ser mayor al Total de personas en PSCV. </v>
      </c>
      <c r="BG55" s="348" t="str">
        <f t="shared" si="43"/>
        <v xml:space="preserve">* Población Migrantes-Hombres no debe ser mayor al Total de personas en PSCV. </v>
      </c>
      <c r="BH55" s="348" t="str">
        <f t="shared" si="44"/>
        <v xml:space="preserve">* Población Migrantes-Mujeres no debe ser mayor al Total de personas en PSCV. </v>
      </c>
      <c r="BI55" s="354"/>
      <c r="BJ55" s="354"/>
      <c r="BK55" s="348" t="str">
        <f t="shared" si="45"/>
        <v/>
      </c>
      <c r="BL55" s="348" t="str">
        <f t="shared" si="46"/>
        <v/>
      </c>
      <c r="BM55" s="354"/>
      <c r="BN55" s="354"/>
      <c r="BO55" s="354"/>
      <c r="BP55" s="354"/>
      <c r="BQ55" s="354"/>
      <c r="BR55" s="354"/>
      <c r="BS55" s="354"/>
      <c r="BT55" s="354"/>
      <c r="BU55" s="354"/>
      <c r="BV55" s="354"/>
      <c r="BW55" s="354"/>
      <c r="BX55" s="354"/>
      <c r="BY55" s="354"/>
      <c r="BZ55" s="354"/>
      <c r="CA55" s="354"/>
      <c r="CB55" s="354"/>
      <c r="CC55" s="354"/>
      <c r="CD55" s="354"/>
      <c r="CE55" s="354"/>
      <c r="CF55" s="354"/>
      <c r="CG55" s="354"/>
      <c r="CH55" s="354"/>
      <c r="CI55" s="354"/>
      <c r="CJ55" s="354"/>
      <c r="CK55" s="354"/>
      <c r="CL55" s="354"/>
      <c r="CM55" s="352"/>
      <c r="CN55" s="352"/>
      <c r="CO55" s="358">
        <f t="shared" si="47"/>
        <v>1</v>
      </c>
      <c r="CP55" s="358">
        <f t="shared" si="48"/>
        <v>1</v>
      </c>
      <c r="CQ55" s="358">
        <f t="shared" si="49"/>
        <v>1</v>
      </c>
      <c r="CR55" s="358">
        <f t="shared" si="50"/>
        <v>1</v>
      </c>
      <c r="CS55" s="352"/>
      <c r="CT55" s="352"/>
      <c r="CU55" s="352"/>
      <c r="CV55" s="352"/>
      <c r="CW55" s="358">
        <f t="shared" si="51"/>
        <v>0</v>
      </c>
      <c r="CX55" s="358">
        <f t="shared" si="52"/>
        <v>0</v>
      </c>
      <c r="CY55" s="352"/>
      <c r="CZ55" s="352"/>
      <c r="DA55" s="352"/>
      <c r="DB55" s="352"/>
      <c r="DC55" s="352"/>
      <c r="DD55" s="352"/>
      <c r="DE55" s="352"/>
      <c r="DF55" s="352"/>
      <c r="DG55" s="352"/>
      <c r="DH55" s="352"/>
      <c r="DI55" s="352"/>
      <c r="DJ55" s="352"/>
      <c r="DK55" s="352"/>
      <c r="DL55" s="352"/>
      <c r="DM55" s="352"/>
      <c r="DN55" s="352"/>
      <c r="DO55" s="352"/>
      <c r="DP55" s="352"/>
      <c r="DQ55" s="352"/>
      <c r="DR55" s="352"/>
      <c r="DS55" s="352"/>
      <c r="DT55" s="352"/>
    </row>
    <row r="56" spans="1:124" ht="18.75" customHeight="1" x14ac:dyDescent="0.25">
      <c r="A56" s="1641" t="s">
        <v>1226</v>
      </c>
      <c r="B56" s="2170" t="s">
        <v>173</v>
      </c>
      <c r="C56" s="2171"/>
      <c r="D56" s="665" t="s">
        <v>1550</v>
      </c>
      <c r="E56" s="666" t="s">
        <v>1551</v>
      </c>
      <c r="F56" s="743" t="s">
        <v>1552</v>
      </c>
      <c r="G56" s="684" t="s">
        <v>1553</v>
      </c>
      <c r="H56" s="685" t="s">
        <v>1554</v>
      </c>
      <c r="I56" s="684" t="s">
        <v>1555</v>
      </c>
      <c r="J56" s="685" t="s">
        <v>1556</v>
      </c>
      <c r="K56" s="684" t="s">
        <v>1557</v>
      </c>
      <c r="L56" s="685" t="s">
        <v>1558</v>
      </c>
      <c r="M56" s="684" t="s">
        <v>1559</v>
      </c>
      <c r="N56" s="685" t="s">
        <v>1560</v>
      </c>
      <c r="O56" s="684" t="s">
        <v>1561</v>
      </c>
      <c r="P56" s="685" t="s">
        <v>1562</v>
      </c>
      <c r="Q56" s="684" t="s">
        <v>1563</v>
      </c>
      <c r="R56" s="685" t="s">
        <v>1564</v>
      </c>
      <c r="S56" s="684" t="s">
        <v>1565</v>
      </c>
      <c r="T56" s="685" t="s">
        <v>1566</v>
      </c>
      <c r="U56" s="684" t="s">
        <v>1567</v>
      </c>
      <c r="V56" s="685" t="s">
        <v>1568</v>
      </c>
      <c r="W56" s="684" t="s">
        <v>1569</v>
      </c>
      <c r="X56" s="685" t="s">
        <v>1570</v>
      </c>
      <c r="Y56" s="684" t="s">
        <v>1571</v>
      </c>
      <c r="Z56" s="685" t="s">
        <v>1572</v>
      </c>
      <c r="AA56" s="684" t="s">
        <v>1573</v>
      </c>
      <c r="AB56" s="685" t="s">
        <v>1574</v>
      </c>
      <c r="AC56" s="684" t="s">
        <v>1575</v>
      </c>
      <c r="AD56" s="685" t="s">
        <v>1576</v>
      </c>
      <c r="AE56" s="684" t="s">
        <v>1577</v>
      </c>
      <c r="AF56" s="685" t="s">
        <v>1578</v>
      </c>
      <c r="AG56" s="760" t="s">
        <v>1579</v>
      </c>
      <c r="AH56" s="693" t="s">
        <v>1580</v>
      </c>
      <c r="AI56" s="762" t="s">
        <v>1581</v>
      </c>
      <c r="AJ56" s="705" t="s">
        <v>1582</v>
      </c>
      <c r="AK56" s="762" t="s">
        <v>1583</v>
      </c>
      <c r="AL56" s="705" t="s">
        <v>1584</v>
      </c>
      <c r="AM56" s="343" t="str">
        <f t="shared" si="41"/>
        <v xml:space="preserve">* Pueblos Originarios-Hombres no debe ser mayor al Total de personas en PSCV. * Pueblos Originarios-Mujeres no debe ser mayor al Total de personas en PSCV. * Población Migrantes-Hombres no debe ser mayor al Total de personas en PSCV. * Población Migrantes-Mujeres no debe ser mayor al Total de personas en PSCV. </v>
      </c>
      <c r="BB56" s="354"/>
      <c r="BC56" s="354"/>
      <c r="BD56" s="354"/>
      <c r="BE56" s="348" t="str">
        <f t="shared" si="42"/>
        <v xml:space="preserve">* Pueblos Originarios-Hombres no debe ser mayor al Total de personas en PSCV. </v>
      </c>
      <c r="BF56" s="348" t="str">
        <f t="shared" si="38"/>
        <v xml:space="preserve">* Pueblos Originarios-Mujeres no debe ser mayor al Total de personas en PSCV. </v>
      </c>
      <c r="BG56" s="348" t="str">
        <f t="shared" si="43"/>
        <v xml:space="preserve">* Población Migrantes-Hombres no debe ser mayor al Total de personas en PSCV. </v>
      </c>
      <c r="BH56" s="348" t="str">
        <f t="shared" si="44"/>
        <v xml:space="preserve">* Población Migrantes-Mujeres no debe ser mayor al Total de personas en PSCV. </v>
      </c>
      <c r="BI56" s="354"/>
      <c r="BJ56" s="354"/>
      <c r="BK56" s="348" t="str">
        <f t="shared" si="45"/>
        <v/>
      </c>
      <c r="BL56" s="348" t="str">
        <f t="shared" si="46"/>
        <v/>
      </c>
      <c r="BM56" s="354"/>
      <c r="BN56" s="354"/>
      <c r="BO56" s="354"/>
      <c r="BP56" s="354"/>
      <c r="BQ56" s="354"/>
      <c r="BR56" s="354"/>
      <c r="BS56" s="354"/>
      <c r="BT56" s="354"/>
      <c r="BU56" s="354"/>
      <c r="BV56" s="354"/>
      <c r="BW56" s="354"/>
      <c r="BX56" s="354"/>
      <c r="BY56" s="354"/>
      <c r="BZ56" s="354"/>
      <c r="CA56" s="354"/>
      <c r="CB56" s="354"/>
      <c r="CC56" s="354"/>
      <c r="CD56" s="354"/>
      <c r="CE56" s="354"/>
      <c r="CF56" s="354"/>
      <c r="CG56" s="354"/>
      <c r="CH56" s="354"/>
      <c r="CI56" s="354"/>
      <c r="CJ56" s="354"/>
      <c r="CK56" s="354"/>
      <c r="CL56" s="354"/>
      <c r="CM56" s="352"/>
      <c r="CN56" s="352"/>
      <c r="CO56" s="358">
        <f t="shared" si="47"/>
        <v>1</v>
      </c>
      <c r="CP56" s="358">
        <f t="shared" si="48"/>
        <v>1</v>
      </c>
      <c r="CQ56" s="358">
        <f t="shared" si="49"/>
        <v>1</v>
      </c>
      <c r="CR56" s="358">
        <f t="shared" si="50"/>
        <v>1</v>
      </c>
      <c r="CS56" s="352"/>
      <c r="CT56" s="352"/>
      <c r="CU56" s="352"/>
      <c r="CV56" s="352"/>
      <c r="CW56" s="358">
        <f t="shared" si="51"/>
        <v>0</v>
      </c>
      <c r="CX56" s="358">
        <f t="shared" si="52"/>
        <v>0</v>
      </c>
      <c r="CY56" s="352"/>
      <c r="CZ56" s="352"/>
      <c r="DA56" s="352"/>
      <c r="DB56" s="352"/>
      <c r="DC56" s="352"/>
      <c r="DD56" s="352"/>
      <c r="DE56" s="352"/>
      <c r="DF56" s="352"/>
      <c r="DG56" s="352"/>
      <c r="DH56" s="352"/>
      <c r="DI56" s="352"/>
      <c r="DJ56" s="352"/>
      <c r="DK56" s="352"/>
      <c r="DL56" s="352"/>
      <c r="DM56" s="352"/>
      <c r="DN56" s="352"/>
      <c r="DO56" s="352"/>
      <c r="DP56" s="352"/>
      <c r="DQ56" s="352"/>
      <c r="DR56" s="352"/>
      <c r="DS56" s="352"/>
      <c r="DT56" s="352"/>
    </row>
    <row r="57" spans="1:124" ht="18.75" customHeight="1" x14ac:dyDescent="0.25">
      <c r="A57" s="1641" t="s">
        <v>1227</v>
      </c>
      <c r="B57" s="1178" t="s">
        <v>661</v>
      </c>
      <c r="C57" s="1175"/>
      <c r="D57" s="671" t="s">
        <v>1550</v>
      </c>
      <c r="E57" s="737" t="s">
        <v>1551</v>
      </c>
      <c r="F57" s="749" t="s">
        <v>1552</v>
      </c>
      <c r="G57" s="704" t="s">
        <v>1553</v>
      </c>
      <c r="H57" s="705" t="s">
        <v>1554</v>
      </c>
      <c r="I57" s="704" t="s">
        <v>1555</v>
      </c>
      <c r="J57" s="705" t="s">
        <v>1556</v>
      </c>
      <c r="K57" s="704" t="s">
        <v>1557</v>
      </c>
      <c r="L57" s="705" t="s">
        <v>1558</v>
      </c>
      <c r="M57" s="704" t="s">
        <v>1559</v>
      </c>
      <c r="N57" s="705" t="s">
        <v>1560</v>
      </c>
      <c r="O57" s="704" t="s">
        <v>1561</v>
      </c>
      <c r="P57" s="705" t="s">
        <v>1562</v>
      </c>
      <c r="Q57" s="704" t="s">
        <v>1563</v>
      </c>
      <c r="R57" s="705" t="s">
        <v>1564</v>
      </c>
      <c r="S57" s="704" t="s">
        <v>1565</v>
      </c>
      <c r="T57" s="705" t="s">
        <v>1566</v>
      </c>
      <c r="U57" s="704" t="s">
        <v>1567</v>
      </c>
      <c r="V57" s="705" t="s">
        <v>1568</v>
      </c>
      <c r="W57" s="704" t="s">
        <v>1569</v>
      </c>
      <c r="X57" s="705" t="s">
        <v>1570</v>
      </c>
      <c r="Y57" s="704" t="s">
        <v>1571</v>
      </c>
      <c r="Z57" s="705" t="s">
        <v>1572</v>
      </c>
      <c r="AA57" s="704" t="s">
        <v>1573</v>
      </c>
      <c r="AB57" s="705" t="s">
        <v>1574</v>
      </c>
      <c r="AC57" s="704" t="s">
        <v>1575</v>
      </c>
      <c r="AD57" s="705" t="s">
        <v>1576</v>
      </c>
      <c r="AE57" s="704" t="s">
        <v>1577</v>
      </c>
      <c r="AF57" s="705" t="s">
        <v>1578</v>
      </c>
      <c r="AG57" s="762" t="s">
        <v>1579</v>
      </c>
      <c r="AH57" s="706" t="s">
        <v>1580</v>
      </c>
      <c r="AI57" s="762" t="s">
        <v>1581</v>
      </c>
      <c r="AJ57" s="705" t="s">
        <v>1582</v>
      </c>
      <c r="AK57" s="762" t="s">
        <v>1583</v>
      </c>
      <c r="AL57" s="705" t="s">
        <v>1584</v>
      </c>
      <c r="AM57" s="343" t="str">
        <f t="shared" si="41"/>
        <v xml:space="preserve">* Pueblos Originarios-Hombres no debe ser mayor al Total de personas en PSCV. * Pueblos Originarios-Mujeres no debe ser mayor al Total de personas en PSCV. * Población Migrantes-Hombres no debe ser mayor al Total de personas en PSCV. * Población Migrantes-Mujeres no debe ser mayor al Total de personas en PSCV. </v>
      </c>
      <c r="BB57" s="354"/>
      <c r="BC57" s="354"/>
      <c r="BD57" s="354"/>
      <c r="BE57" s="348" t="str">
        <f t="shared" si="42"/>
        <v xml:space="preserve">* Pueblos Originarios-Hombres no debe ser mayor al Total de personas en PSCV. </v>
      </c>
      <c r="BF57" s="348" t="str">
        <f t="shared" si="38"/>
        <v xml:space="preserve">* Pueblos Originarios-Mujeres no debe ser mayor al Total de personas en PSCV. </v>
      </c>
      <c r="BG57" s="348" t="str">
        <f t="shared" si="43"/>
        <v xml:space="preserve">* Población Migrantes-Hombres no debe ser mayor al Total de personas en PSCV. </v>
      </c>
      <c r="BH57" s="348" t="str">
        <f t="shared" si="44"/>
        <v xml:space="preserve">* Población Migrantes-Mujeres no debe ser mayor al Total de personas en PSCV. </v>
      </c>
      <c r="BI57" s="354"/>
      <c r="BJ57" s="354"/>
      <c r="BK57" s="348" t="str">
        <f t="shared" si="45"/>
        <v/>
      </c>
      <c r="BL57" s="348" t="str">
        <f t="shared" si="46"/>
        <v/>
      </c>
      <c r="BM57" s="354"/>
      <c r="BN57" s="354"/>
      <c r="BO57" s="354"/>
      <c r="BP57" s="354"/>
      <c r="BQ57" s="354"/>
      <c r="BR57" s="354"/>
      <c r="BS57" s="354"/>
      <c r="BT57" s="354"/>
      <c r="BU57" s="354"/>
      <c r="BV57" s="354"/>
      <c r="BW57" s="354"/>
      <c r="BX57" s="354"/>
      <c r="BY57" s="354"/>
      <c r="BZ57" s="354"/>
      <c r="CA57" s="354"/>
      <c r="CB57" s="354"/>
      <c r="CC57" s="354"/>
      <c r="CD57" s="354"/>
      <c r="CE57" s="354"/>
      <c r="CF57" s="354"/>
      <c r="CG57" s="354"/>
      <c r="CH57" s="354"/>
      <c r="CI57" s="354"/>
      <c r="CJ57" s="354"/>
      <c r="CK57" s="354"/>
      <c r="CL57" s="354"/>
      <c r="CM57" s="352"/>
      <c r="CN57" s="352"/>
      <c r="CO57" s="358">
        <f t="shared" si="47"/>
        <v>1</v>
      </c>
      <c r="CP57" s="358">
        <f t="shared" si="48"/>
        <v>1</v>
      </c>
      <c r="CQ57" s="358">
        <f t="shared" si="49"/>
        <v>1</v>
      </c>
      <c r="CR57" s="358">
        <f t="shared" si="50"/>
        <v>1</v>
      </c>
      <c r="CS57" s="352"/>
      <c r="CT57" s="352"/>
      <c r="CU57" s="352"/>
      <c r="CV57" s="352"/>
      <c r="CW57" s="358">
        <f t="shared" si="51"/>
        <v>0</v>
      </c>
      <c r="CX57" s="358">
        <f t="shared" si="52"/>
        <v>0</v>
      </c>
      <c r="CY57" s="352"/>
      <c r="CZ57" s="352"/>
      <c r="DA57" s="352"/>
      <c r="DB57" s="352"/>
      <c r="DC57" s="352"/>
      <c r="DD57" s="352"/>
      <c r="DE57" s="352"/>
      <c r="DF57" s="352"/>
      <c r="DG57" s="352"/>
      <c r="DH57" s="352"/>
      <c r="DI57" s="352"/>
      <c r="DJ57" s="352"/>
      <c r="DK57" s="352"/>
      <c r="DL57" s="352"/>
      <c r="DM57" s="352"/>
      <c r="DN57" s="352"/>
      <c r="DO57" s="352"/>
      <c r="DP57" s="352"/>
      <c r="DQ57" s="352"/>
      <c r="DR57" s="352"/>
      <c r="DS57" s="352"/>
      <c r="DT57" s="352"/>
    </row>
    <row r="58" spans="1:124" ht="18.75" customHeight="1" x14ac:dyDescent="0.25">
      <c r="A58" s="1641" t="s">
        <v>1228</v>
      </c>
      <c r="B58" s="2210" t="s">
        <v>838</v>
      </c>
      <c r="C58" s="2211"/>
      <c r="D58" s="671" t="s">
        <v>1550</v>
      </c>
      <c r="E58" s="737" t="s">
        <v>1551</v>
      </c>
      <c r="F58" s="738" t="s">
        <v>1552</v>
      </c>
      <c r="G58" s="704" t="s">
        <v>1553</v>
      </c>
      <c r="H58" s="705" t="s">
        <v>1554</v>
      </c>
      <c r="I58" s="704" t="s">
        <v>1555</v>
      </c>
      <c r="J58" s="705" t="s">
        <v>1556</v>
      </c>
      <c r="K58" s="704" t="s">
        <v>1557</v>
      </c>
      <c r="L58" s="705" t="s">
        <v>1558</v>
      </c>
      <c r="M58" s="704" t="s">
        <v>1559</v>
      </c>
      <c r="N58" s="705" t="s">
        <v>1560</v>
      </c>
      <c r="O58" s="704" t="s">
        <v>1561</v>
      </c>
      <c r="P58" s="705" t="s">
        <v>1562</v>
      </c>
      <c r="Q58" s="704" t="s">
        <v>1563</v>
      </c>
      <c r="R58" s="705" t="s">
        <v>1564</v>
      </c>
      <c r="S58" s="704" t="s">
        <v>1565</v>
      </c>
      <c r="T58" s="705" t="s">
        <v>1566</v>
      </c>
      <c r="U58" s="704" t="s">
        <v>1567</v>
      </c>
      <c r="V58" s="705" t="s">
        <v>1568</v>
      </c>
      <c r="W58" s="704" t="s">
        <v>1569</v>
      </c>
      <c r="X58" s="705" t="s">
        <v>1570</v>
      </c>
      <c r="Y58" s="704" t="s">
        <v>1571</v>
      </c>
      <c r="Z58" s="705" t="s">
        <v>1572</v>
      </c>
      <c r="AA58" s="704" t="s">
        <v>1573</v>
      </c>
      <c r="AB58" s="705" t="s">
        <v>1574</v>
      </c>
      <c r="AC58" s="704" t="s">
        <v>1575</v>
      </c>
      <c r="AD58" s="705" t="s">
        <v>1576</v>
      </c>
      <c r="AE58" s="704" t="s">
        <v>1577</v>
      </c>
      <c r="AF58" s="705" t="s">
        <v>1578</v>
      </c>
      <c r="AG58" s="762" t="s">
        <v>1579</v>
      </c>
      <c r="AH58" s="706" t="s">
        <v>1580</v>
      </c>
      <c r="AI58" s="762" t="s">
        <v>1581</v>
      </c>
      <c r="AJ58" s="705" t="s">
        <v>1582</v>
      </c>
      <c r="AK58" s="762" t="s">
        <v>1583</v>
      </c>
      <c r="AL58" s="705" t="s">
        <v>1584</v>
      </c>
      <c r="AM58" s="343" t="str">
        <f t="shared" si="41"/>
        <v xml:space="preserve">* Pueblos Originarios-Hombres no debe ser mayor al Total de personas en PSCV. * Pueblos Originarios-Mujeres no debe ser mayor al Total de personas en PSCV. * Población Migrantes-Hombres no debe ser mayor al Total de personas en PSCV. * Población Migrantes-Mujeres no debe ser mayor al Total de personas en PSCV. </v>
      </c>
      <c r="BB58" s="354"/>
      <c r="BC58" s="354"/>
      <c r="BD58" s="354"/>
      <c r="BE58" s="348" t="str">
        <f t="shared" si="42"/>
        <v xml:space="preserve">* Pueblos Originarios-Hombres no debe ser mayor al Total de personas en PSCV. </v>
      </c>
      <c r="BF58" s="348" t="str">
        <f t="shared" si="38"/>
        <v xml:space="preserve">* Pueblos Originarios-Mujeres no debe ser mayor al Total de personas en PSCV. </v>
      </c>
      <c r="BG58" s="348" t="str">
        <f t="shared" si="43"/>
        <v xml:space="preserve">* Población Migrantes-Hombres no debe ser mayor al Total de personas en PSCV. </v>
      </c>
      <c r="BH58" s="348" t="str">
        <f t="shared" si="44"/>
        <v xml:space="preserve">* Población Migrantes-Mujeres no debe ser mayor al Total de personas en PSCV. </v>
      </c>
      <c r="BI58" s="354"/>
      <c r="BJ58" s="354"/>
      <c r="BK58" s="348" t="str">
        <f t="shared" si="45"/>
        <v/>
      </c>
      <c r="BL58" s="348" t="str">
        <f t="shared" si="46"/>
        <v/>
      </c>
      <c r="BM58" s="354"/>
      <c r="BN58" s="354"/>
      <c r="BO58" s="354"/>
      <c r="BP58" s="354"/>
      <c r="BQ58" s="354"/>
      <c r="BR58" s="354"/>
      <c r="BS58" s="354"/>
      <c r="BT58" s="354"/>
      <c r="BU58" s="354"/>
      <c r="BV58" s="354"/>
      <c r="BW58" s="354"/>
      <c r="BX58" s="354"/>
      <c r="BY58" s="354"/>
      <c r="BZ58" s="354"/>
      <c r="CA58" s="354"/>
      <c r="CB58" s="354"/>
      <c r="CC58" s="354"/>
      <c r="CD58" s="354"/>
      <c r="CE58" s="354"/>
      <c r="CF58" s="354"/>
      <c r="CG58" s="354"/>
      <c r="CH58" s="354"/>
      <c r="CI58" s="354"/>
      <c r="CJ58" s="354"/>
      <c r="CK58" s="354"/>
      <c r="CL58" s="354"/>
      <c r="CM58" s="352"/>
      <c r="CN58" s="352"/>
      <c r="CO58" s="358">
        <f t="shared" si="47"/>
        <v>1</v>
      </c>
      <c r="CP58" s="358">
        <f t="shared" si="48"/>
        <v>1</v>
      </c>
      <c r="CQ58" s="358">
        <f t="shared" si="49"/>
        <v>1</v>
      </c>
      <c r="CR58" s="358">
        <f t="shared" si="50"/>
        <v>1</v>
      </c>
      <c r="CS58" s="352"/>
      <c r="CT58" s="352"/>
      <c r="CU58" s="352"/>
      <c r="CV58" s="352"/>
      <c r="CW58" s="358">
        <f t="shared" si="51"/>
        <v>0</v>
      </c>
      <c r="CX58" s="358">
        <f t="shared" si="52"/>
        <v>0</v>
      </c>
      <c r="CY58" s="352"/>
      <c r="CZ58" s="352"/>
      <c r="DA58" s="352"/>
      <c r="DB58" s="352"/>
      <c r="DC58" s="352"/>
      <c r="DD58" s="352"/>
      <c r="DE58" s="352"/>
      <c r="DF58" s="352"/>
      <c r="DG58" s="352"/>
      <c r="DH58" s="352"/>
      <c r="DI58" s="352"/>
      <c r="DJ58" s="352"/>
      <c r="DK58" s="352"/>
      <c r="DL58" s="352"/>
      <c r="DM58" s="352"/>
      <c r="DN58" s="352"/>
      <c r="DO58" s="352"/>
      <c r="DP58" s="352"/>
      <c r="DQ58" s="352"/>
      <c r="DR58" s="352"/>
      <c r="DS58" s="352"/>
      <c r="DT58" s="352"/>
    </row>
    <row r="59" spans="1:124" ht="18.75" customHeight="1" x14ac:dyDescent="0.25">
      <c r="A59" s="1641" t="s">
        <v>1229</v>
      </c>
      <c r="B59" s="1248" t="s">
        <v>839</v>
      </c>
      <c r="C59" s="1249"/>
      <c r="D59" s="674" t="s">
        <v>1550</v>
      </c>
      <c r="E59" s="1414" t="s">
        <v>1551</v>
      </c>
      <c r="F59" s="1420" t="s">
        <v>1552</v>
      </c>
      <c r="G59" s="695" t="s">
        <v>1553</v>
      </c>
      <c r="H59" s="696" t="s">
        <v>1554</v>
      </c>
      <c r="I59" s="695" t="s">
        <v>1555</v>
      </c>
      <c r="J59" s="696" t="s">
        <v>1556</v>
      </c>
      <c r="K59" s="695" t="s">
        <v>1557</v>
      </c>
      <c r="L59" s="696" t="s">
        <v>1558</v>
      </c>
      <c r="M59" s="695" t="s">
        <v>1559</v>
      </c>
      <c r="N59" s="696" t="s">
        <v>1560</v>
      </c>
      <c r="O59" s="695" t="s">
        <v>1561</v>
      </c>
      <c r="P59" s="696" t="s">
        <v>1562</v>
      </c>
      <c r="Q59" s="695" t="s">
        <v>1563</v>
      </c>
      <c r="R59" s="696" t="s">
        <v>1564</v>
      </c>
      <c r="S59" s="695" t="s">
        <v>1565</v>
      </c>
      <c r="T59" s="696" t="s">
        <v>1566</v>
      </c>
      <c r="U59" s="695" t="s">
        <v>1567</v>
      </c>
      <c r="V59" s="696" t="s">
        <v>1568</v>
      </c>
      <c r="W59" s="695" t="s">
        <v>1569</v>
      </c>
      <c r="X59" s="696" t="s">
        <v>1570</v>
      </c>
      <c r="Y59" s="695" t="s">
        <v>1571</v>
      </c>
      <c r="Z59" s="696" t="s">
        <v>1572</v>
      </c>
      <c r="AA59" s="695" t="s">
        <v>1573</v>
      </c>
      <c r="AB59" s="696" t="s">
        <v>1574</v>
      </c>
      <c r="AC59" s="695" t="s">
        <v>1575</v>
      </c>
      <c r="AD59" s="696" t="s">
        <v>1576</v>
      </c>
      <c r="AE59" s="695" t="s">
        <v>1577</v>
      </c>
      <c r="AF59" s="696" t="s">
        <v>1578</v>
      </c>
      <c r="AG59" s="1070" t="s">
        <v>1579</v>
      </c>
      <c r="AH59" s="697" t="s">
        <v>1580</v>
      </c>
      <c r="AI59" s="1070" t="s">
        <v>1581</v>
      </c>
      <c r="AJ59" s="696" t="s">
        <v>1582</v>
      </c>
      <c r="AK59" s="1070" t="s">
        <v>1583</v>
      </c>
      <c r="AL59" s="696" t="s">
        <v>1584</v>
      </c>
      <c r="AM59" s="343" t="str">
        <f t="shared" si="41"/>
        <v xml:space="preserve">* Pueblos Originarios-Hombres no debe ser mayor al Total de personas en PSCV. * Pueblos Originarios-Mujeres no debe ser mayor al Total de personas en PSCV. * Población Migrantes-Hombres no debe ser mayor al Total de personas en PSCV. * Población Migrantes-Mujeres no debe ser mayor al Total de personas en PSCV. </v>
      </c>
      <c r="BB59" s="354"/>
      <c r="BC59" s="354"/>
      <c r="BD59" s="354"/>
      <c r="BE59" s="348" t="str">
        <f t="shared" si="42"/>
        <v xml:space="preserve">* Pueblos Originarios-Hombres no debe ser mayor al Total de personas en PSCV. </v>
      </c>
      <c r="BF59" s="348" t="str">
        <f t="shared" si="38"/>
        <v xml:space="preserve">* Pueblos Originarios-Mujeres no debe ser mayor al Total de personas en PSCV. </v>
      </c>
      <c r="BG59" s="348" t="str">
        <f t="shared" si="43"/>
        <v xml:space="preserve">* Población Migrantes-Hombres no debe ser mayor al Total de personas en PSCV. </v>
      </c>
      <c r="BH59" s="348" t="str">
        <f t="shared" si="44"/>
        <v xml:space="preserve">* Población Migrantes-Mujeres no debe ser mayor al Total de personas en PSCV. </v>
      </c>
      <c r="BI59" s="354"/>
      <c r="BJ59" s="354"/>
      <c r="BK59" s="348" t="str">
        <f t="shared" si="45"/>
        <v/>
      </c>
      <c r="BL59" s="348" t="str">
        <f t="shared" si="46"/>
        <v/>
      </c>
      <c r="BM59" s="354"/>
      <c r="BN59" s="354"/>
      <c r="BO59" s="354"/>
      <c r="BP59" s="354"/>
      <c r="BQ59" s="354"/>
      <c r="BR59" s="354"/>
      <c r="BS59" s="354"/>
      <c r="BT59" s="354"/>
      <c r="BU59" s="354"/>
      <c r="BV59" s="354"/>
      <c r="BW59" s="354"/>
      <c r="BX59" s="354"/>
      <c r="BY59" s="354"/>
      <c r="BZ59" s="354"/>
      <c r="CA59" s="354"/>
      <c r="CB59" s="354"/>
      <c r="CC59" s="354"/>
      <c r="CD59" s="354"/>
      <c r="CE59" s="354"/>
      <c r="CF59" s="354"/>
      <c r="CG59" s="354"/>
      <c r="CH59" s="354"/>
      <c r="CI59" s="354"/>
      <c r="CJ59" s="354"/>
      <c r="CK59" s="354"/>
      <c r="CL59" s="354"/>
      <c r="CM59" s="352"/>
      <c r="CN59" s="352"/>
      <c r="CO59" s="358">
        <f t="shared" si="47"/>
        <v>1</v>
      </c>
      <c r="CP59" s="358">
        <f t="shared" si="48"/>
        <v>1</v>
      </c>
      <c r="CQ59" s="358">
        <f t="shared" si="49"/>
        <v>1</v>
      </c>
      <c r="CR59" s="358">
        <f t="shared" si="50"/>
        <v>1</v>
      </c>
      <c r="CS59" s="352"/>
      <c r="CT59" s="352"/>
      <c r="CU59" s="352"/>
      <c r="CV59" s="352"/>
      <c r="CW59" s="358">
        <f t="shared" si="51"/>
        <v>0</v>
      </c>
      <c r="CX59" s="358">
        <f t="shared" si="52"/>
        <v>0</v>
      </c>
      <c r="CY59" s="352"/>
      <c r="CZ59" s="352"/>
      <c r="DA59" s="352"/>
      <c r="DB59" s="352"/>
      <c r="DC59" s="352"/>
      <c r="DD59" s="352"/>
      <c r="DE59" s="352"/>
      <c r="DF59" s="352"/>
      <c r="DG59" s="352"/>
      <c r="DH59" s="352"/>
      <c r="DI59" s="352"/>
      <c r="DJ59" s="352"/>
      <c r="DK59" s="352"/>
      <c r="DL59" s="352"/>
      <c r="DM59" s="352"/>
      <c r="DN59" s="352"/>
      <c r="DO59" s="352"/>
      <c r="DP59" s="352"/>
      <c r="DQ59" s="352"/>
      <c r="DR59" s="352"/>
      <c r="DS59" s="352"/>
      <c r="DT59" s="352"/>
    </row>
    <row r="60" spans="1:124" ht="18.75" customHeight="1" x14ac:dyDescent="0.25">
      <c r="A60" s="1641" t="s">
        <v>1230</v>
      </c>
      <c r="B60" s="2224" t="s">
        <v>817</v>
      </c>
      <c r="C60" s="2225"/>
      <c r="D60" s="668" t="s">
        <v>1550</v>
      </c>
      <c r="E60" s="669" t="s">
        <v>1551</v>
      </c>
      <c r="F60" s="741" t="s">
        <v>1552</v>
      </c>
      <c r="G60" s="689" t="s">
        <v>1553</v>
      </c>
      <c r="H60" s="690" t="s">
        <v>1554</v>
      </c>
      <c r="I60" s="689" t="s">
        <v>1555</v>
      </c>
      <c r="J60" s="690" t="s">
        <v>1556</v>
      </c>
      <c r="K60" s="689" t="s">
        <v>1557</v>
      </c>
      <c r="L60" s="690" t="s">
        <v>1558</v>
      </c>
      <c r="M60" s="689" t="s">
        <v>1559</v>
      </c>
      <c r="N60" s="690" t="s">
        <v>1560</v>
      </c>
      <c r="O60" s="689" t="s">
        <v>1561</v>
      </c>
      <c r="P60" s="690" t="s">
        <v>1562</v>
      </c>
      <c r="Q60" s="689" t="s">
        <v>1563</v>
      </c>
      <c r="R60" s="690" t="s">
        <v>1564</v>
      </c>
      <c r="S60" s="689" t="s">
        <v>1565</v>
      </c>
      <c r="T60" s="690" t="s">
        <v>1566</v>
      </c>
      <c r="U60" s="689" t="s">
        <v>1567</v>
      </c>
      <c r="V60" s="690" t="s">
        <v>1568</v>
      </c>
      <c r="W60" s="689" t="s">
        <v>1569</v>
      </c>
      <c r="X60" s="690" t="s">
        <v>1570</v>
      </c>
      <c r="Y60" s="689" t="s">
        <v>1571</v>
      </c>
      <c r="Z60" s="690" t="s">
        <v>1572</v>
      </c>
      <c r="AA60" s="689" t="s">
        <v>1573</v>
      </c>
      <c r="AB60" s="690" t="s">
        <v>1574</v>
      </c>
      <c r="AC60" s="689" t="s">
        <v>1575</v>
      </c>
      <c r="AD60" s="690" t="s">
        <v>1576</v>
      </c>
      <c r="AE60" s="689" t="s">
        <v>1577</v>
      </c>
      <c r="AF60" s="690" t="s">
        <v>1578</v>
      </c>
      <c r="AG60" s="759" t="s">
        <v>1579</v>
      </c>
      <c r="AH60" s="720" t="s">
        <v>1580</v>
      </c>
      <c r="AI60" s="759" t="s">
        <v>1581</v>
      </c>
      <c r="AJ60" s="690" t="s">
        <v>1582</v>
      </c>
      <c r="AK60" s="759" t="s">
        <v>1583</v>
      </c>
      <c r="AL60" s="690" t="s">
        <v>1584</v>
      </c>
      <c r="AM60" s="343" t="str">
        <f t="shared" si="41"/>
        <v xml:space="preserve">* Pueblos Originarios-Hombres no debe ser mayor al Total de personas en PSCV. * Pueblos Originarios-Mujeres no debe ser mayor al Total de personas en PSCV. * Población Migrantes-Hombres no debe ser mayor al Total de personas en PSCV. * Población Migrantes-Mujeres no debe ser mayor al Total de personas en PSCV. </v>
      </c>
      <c r="BB60" s="354"/>
      <c r="BC60" s="354"/>
      <c r="BD60" s="354"/>
      <c r="BE60" s="348" t="str">
        <f t="shared" si="42"/>
        <v xml:space="preserve">* Pueblos Originarios-Hombres no debe ser mayor al Total de personas en PSCV. </v>
      </c>
      <c r="BF60" s="348" t="str">
        <f t="shared" si="38"/>
        <v xml:space="preserve">* Pueblos Originarios-Mujeres no debe ser mayor al Total de personas en PSCV. </v>
      </c>
      <c r="BG60" s="348" t="str">
        <f t="shared" si="43"/>
        <v xml:space="preserve">* Población Migrantes-Hombres no debe ser mayor al Total de personas en PSCV. </v>
      </c>
      <c r="BH60" s="348" t="str">
        <f t="shared" si="44"/>
        <v xml:space="preserve">* Población Migrantes-Mujeres no debe ser mayor al Total de personas en PSCV. </v>
      </c>
      <c r="BI60" s="354"/>
      <c r="BJ60" s="354"/>
      <c r="BK60" s="348" t="str">
        <f t="shared" si="45"/>
        <v/>
      </c>
      <c r="BL60" s="348" t="str">
        <f t="shared" si="46"/>
        <v/>
      </c>
      <c r="BM60" s="354"/>
      <c r="BN60" s="354"/>
      <c r="BO60" s="354"/>
      <c r="BP60" s="354"/>
      <c r="BQ60" s="354"/>
      <c r="BR60" s="354"/>
      <c r="BS60" s="354"/>
      <c r="BT60" s="354"/>
      <c r="BU60" s="354"/>
      <c r="BV60" s="354"/>
      <c r="BW60" s="354"/>
      <c r="BX60" s="354"/>
      <c r="BY60" s="354"/>
      <c r="BZ60" s="354"/>
      <c r="CA60" s="354"/>
      <c r="CB60" s="354"/>
      <c r="CC60" s="354"/>
      <c r="CD60" s="354"/>
      <c r="CE60" s="354"/>
      <c r="CF60" s="354"/>
      <c r="CG60" s="354"/>
      <c r="CH60" s="354"/>
      <c r="CI60" s="354"/>
      <c r="CJ60" s="354"/>
      <c r="CK60" s="354"/>
      <c r="CL60" s="354"/>
      <c r="CM60" s="352"/>
      <c r="CN60" s="352"/>
      <c r="CO60" s="358">
        <f t="shared" si="47"/>
        <v>1</v>
      </c>
      <c r="CP60" s="358">
        <f t="shared" si="48"/>
        <v>1</v>
      </c>
      <c r="CQ60" s="358">
        <f t="shared" si="49"/>
        <v>1</v>
      </c>
      <c r="CR60" s="358">
        <f t="shared" si="50"/>
        <v>1</v>
      </c>
      <c r="CS60" s="352"/>
      <c r="CT60" s="352"/>
      <c r="CU60" s="352"/>
      <c r="CV60" s="352"/>
      <c r="CW60" s="358">
        <f t="shared" si="51"/>
        <v>0</v>
      </c>
      <c r="CX60" s="358">
        <f t="shared" si="52"/>
        <v>0</v>
      </c>
      <c r="CY60" s="352"/>
      <c r="CZ60" s="352"/>
      <c r="DA60" s="352"/>
      <c r="DB60" s="352"/>
      <c r="DC60" s="352"/>
      <c r="DD60" s="352"/>
      <c r="DE60" s="352"/>
      <c r="DF60" s="352"/>
      <c r="DG60" s="352"/>
      <c r="DH60" s="352"/>
      <c r="DI60" s="352"/>
      <c r="DJ60" s="352"/>
      <c r="DK60" s="352"/>
      <c r="DL60" s="352"/>
      <c r="DM60" s="352"/>
      <c r="DN60" s="352"/>
      <c r="DO60" s="352"/>
      <c r="DP60" s="352"/>
      <c r="DQ60" s="352"/>
      <c r="DR60" s="352"/>
      <c r="DS60" s="352"/>
      <c r="DT60" s="352"/>
    </row>
    <row r="61" spans="1:124" ht="18.75" customHeight="1" x14ac:dyDescent="0.25">
      <c r="A61" s="1641" t="s">
        <v>1231</v>
      </c>
      <c r="B61" s="2191" t="s">
        <v>589</v>
      </c>
      <c r="C61" s="971" t="s">
        <v>174</v>
      </c>
      <c r="D61" s="671" t="s">
        <v>1550</v>
      </c>
      <c r="E61" s="737" t="s">
        <v>1551</v>
      </c>
      <c r="F61" s="749" t="s">
        <v>1552</v>
      </c>
      <c r="G61" s="704" t="s">
        <v>1553</v>
      </c>
      <c r="H61" s="705" t="s">
        <v>1554</v>
      </c>
      <c r="I61" s="704" t="s">
        <v>1555</v>
      </c>
      <c r="J61" s="705" t="s">
        <v>1556</v>
      </c>
      <c r="K61" s="704" t="s">
        <v>1557</v>
      </c>
      <c r="L61" s="705" t="s">
        <v>1558</v>
      </c>
      <c r="M61" s="704" t="s">
        <v>1559</v>
      </c>
      <c r="N61" s="705" t="s">
        <v>1560</v>
      </c>
      <c r="O61" s="704" t="s">
        <v>1561</v>
      </c>
      <c r="P61" s="705" t="s">
        <v>1562</v>
      </c>
      <c r="Q61" s="704" t="s">
        <v>1563</v>
      </c>
      <c r="R61" s="705" t="s">
        <v>1564</v>
      </c>
      <c r="S61" s="704" t="s">
        <v>1565</v>
      </c>
      <c r="T61" s="705" t="s">
        <v>1566</v>
      </c>
      <c r="U61" s="704" t="s">
        <v>1567</v>
      </c>
      <c r="V61" s="705" t="s">
        <v>1568</v>
      </c>
      <c r="W61" s="704" t="s">
        <v>1569</v>
      </c>
      <c r="X61" s="705" t="s">
        <v>1570</v>
      </c>
      <c r="Y61" s="704" t="s">
        <v>1571</v>
      </c>
      <c r="Z61" s="705" t="s">
        <v>1572</v>
      </c>
      <c r="AA61" s="704" t="s">
        <v>1573</v>
      </c>
      <c r="AB61" s="705" t="s">
        <v>1574</v>
      </c>
      <c r="AC61" s="704" t="s">
        <v>1575</v>
      </c>
      <c r="AD61" s="705" t="s">
        <v>1576</v>
      </c>
      <c r="AE61" s="704" t="s">
        <v>1577</v>
      </c>
      <c r="AF61" s="705" t="s">
        <v>1578</v>
      </c>
      <c r="AG61" s="762" t="s">
        <v>1579</v>
      </c>
      <c r="AH61" s="706" t="s">
        <v>1580</v>
      </c>
      <c r="AI61" s="762" t="s">
        <v>1581</v>
      </c>
      <c r="AJ61" s="705" t="s">
        <v>1582</v>
      </c>
      <c r="AK61" s="762" t="s">
        <v>1583</v>
      </c>
      <c r="AL61" s="705" t="s">
        <v>1584</v>
      </c>
      <c r="AM61" s="343" t="str">
        <f t="shared" si="41"/>
        <v xml:space="preserve">* Pueblos Originarios-Hombres no debe ser mayor al Total de personas en PSCV. * Pueblos Originarios-Mujeres no debe ser mayor al Total de personas en PSCV. * Población Migrantes-Hombres no debe ser mayor al Total de personas en PSCV. * Población Migrantes-Mujeres no debe ser mayor al Total de personas en PSCV. </v>
      </c>
      <c r="BB61" s="354"/>
      <c r="BC61" s="354"/>
      <c r="BD61" s="354"/>
      <c r="BE61" s="348" t="str">
        <f t="shared" si="42"/>
        <v xml:space="preserve">* Pueblos Originarios-Hombres no debe ser mayor al Total de personas en PSCV. </v>
      </c>
      <c r="BF61" s="348" t="str">
        <f t="shared" si="38"/>
        <v xml:space="preserve">* Pueblos Originarios-Mujeres no debe ser mayor al Total de personas en PSCV. </v>
      </c>
      <c r="BG61" s="348" t="str">
        <f t="shared" si="43"/>
        <v xml:space="preserve">* Población Migrantes-Hombres no debe ser mayor al Total de personas en PSCV. </v>
      </c>
      <c r="BH61" s="348" t="str">
        <f t="shared" si="44"/>
        <v xml:space="preserve">* Población Migrantes-Mujeres no debe ser mayor al Total de personas en PSCV. </v>
      </c>
      <c r="BI61" s="354"/>
      <c r="BJ61" s="354"/>
      <c r="BK61" s="348" t="str">
        <f t="shared" si="45"/>
        <v/>
      </c>
      <c r="BL61" s="348" t="str">
        <f t="shared" si="46"/>
        <v/>
      </c>
      <c r="BM61" s="354"/>
      <c r="BN61" s="354"/>
      <c r="BO61" s="354"/>
      <c r="BP61" s="354"/>
      <c r="BQ61" s="354"/>
      <c r="BR61" s="354"/>
      <c r="BS61" s="354"/>
      <c r="BT61" s="354"/>
      <c r="BU61" s="354"/>
      <c r="BV61" s="354"/>
      <c r="BW61" s="354"/>
      <c r="BX61" s="354"/>
      <c r="BY61" s="354"/>
      <c r="BZ61" s="354"/>
      <c r="CA61" s="354"/>
      <c r="CB61" s="354"/>
      <c r="CC61" s="354"/>
      <c r="CD61" s="354"/>
      <c r="CE61" s="354"/>
      <c r="CF61" s="354"/>
      <c r="CG61" s="354"/>
      <c r="CH61" s="354"/>
      <c r="CI61" s="354"/>
      <c r="CJ61" s="354"/>
      <c r="CK61" s="354"/>
      <c r="CL61" s="354"/>
      <c r="CM61" s="352"/>
      <c r="CN61" s="352"/>
      <c r="CO61" s="358">
        <f t="shared" si="47"/>
        <v>1</v>
      </c>
      <c r="CP61" s="358">
        <f t="shared" si="48"/>
        <v>1</v>
      </c>
      <c r="CQ61" s="358">
        <f t="shared" si="49"/>
        <v>1</v>
      </c>
      <c r="CR61" s="358">
        <f t="shared" si="50"/>
        <v>1</v>
      </c>
      <c r="CS61" s="352"/>
      <c r="CT61" s="352"/>
      <c r="CU61" s="352"/>
      <c r="CV61" s="352"/>
      <c r="CW61" s="358">
        <f t="shared" si="51"/>
        <v>0</v>
      </c>
      <c r="CX61" s="358">
        <f t="shared" si="52"/>
        <v>0</v>
      </c>
      <c r="CY61" s="352"/>
      <c r="CZ61" s="352"/>
      <c r="DA61" s="352"/>
      <c r="DB61" s="352"/>
      <c r="DC61" s="352"/>
      <c r="DD61" s="352"/>
      <c r="DE61" s="352"/>
      <c r="DF61" s="352"/>
      <c r="DG61" s="352"/>
      <c r="DH61" s="352"/>
      <c r="DI61" s="352"/>
      <c r="DJ61" s="352"/>
      <c r="DK61" s="352"/>
      <c r="DL61" s="352"/>
      <c r="DM61" s="352"/>
      <c r="DN61" s="352"/>
      <c r="DO61" s="352"/>
      <c r="DP61" s="352"/>
      <c r="DQ61" s="352"/>
      <c r="DR61" s="352"/>
      <c r="DS61" s="352"/>
      <c r="DT61" s="352"/>
    </row>
    <row r="62" spans="1:124" ht="18.75" customHeight="1" x14ac:dyDescent="0.25">
      <c r="A62" s="1641" t="s">
        <v>1232</v>
      </c>
      <c r="B62" s="2191"/>
      <c r="C62" s="971" t="s">
        <v>175</v>
      </c>
      <c r="D62" s="665" t="s">
        <v>1550</v>
      </c>
      <c r="E62" s="666" t="s">
        <v>1551</v>
      </c>
      <c r="F62" s="739" t="s">
        <v>1552</v>
      </c>
      <c r="G62" s="684" t="s">
        <v>1553</v>
      </c>
      <c r="H62" s="685" t="s">
        <v>1554</v>
      </c>
      <c r="I62" s="684" t="s">
        <v>1555</v>
      </c>
      <c r="J62" s="685" t="s">
        <v>1556</v>
      </c>
      <c r="K62" s="684" t="s">
        <v>1557</v>
      </c>
      <c r="L62" s="685" t="s">
        <v>1558</v>
      </c>
      <c r="M62" s="684" t="s">
        <v>1559</v>
      </c>
      <c r="N62" s="685" t="s">
        <v>1560</v>
      </c>
      <c r="O62" s="684" t="s">
        <v>1561</v>
      </c>
      <c r="P62" s="685" t="s">
        <v>1562</v>
      </c>
      <c r="Q62" s="684" t="s">
        <v>1563</v>
      </c>
      <c r="R62" s="685" t="s">
        <v>1564</v>
      </c>
      <c r="S62" s="684" t="s">
        <v>1565</v>
      </c>
      <c r="T62" s="685" t="s">
        <v>1566</v>
      </c>
      <c r="U62" s="684" t="s">
        <v>1567</v>
      </c>
      <c r="V62" s="685" t="s">
        <v>1568</v>
      </c>
      <c r="W62" s="684" t="s">
        <v>1569</v>
      </c>
      <c r="X62" s="685" t="s">
        <v>1570</v>
      </c>
      <c r="Y62" s="684" t="s">
        <v>1571</v>
      </c>
      <c r="Z62" s="685" t="s">
        <v>1572</v>
      </c>
      <c r="AA62" s="684" t="s">
        <v>1573</v>
      </c>
      <c r="AB62" s="685" t="s">
        <v>1574</v>
      </c>
      <c r="AC62" s="684" t="s">
        <v>1575</v>
      </c>
      <c r="AD62" s="685" t="s">
        <v>1576</v>
      </c>
      <c r="AE62" s="684" t="s">
        <v>1577</v>
      </c>
      <c r="AF62" s="685" t="s">
        <v>1578</v>
      </c>
      <c r="AG62" s="760" t="s">
        <v>1579</v>
      </c>
      <c r="AH62" s="693" t="s">
        <v>1580</v>
      </c>
      <c r="AI62" s="762" t="s">
        <v>1581</v>
      </c>
      <c r="AJ62" s="705" t="s">
        <v>1582</v>
      </c>
      <c r="AK62" s="762" t="s">
        <v>1583</v>
      </c>
      <c r="AL62" s="705" t="s">
        <v>1584</v>
      </c>
      <c r="AM62" s="343" t="str">
        <f t="shared" si="41"/>
        <v xml:space="preserve">* Pueblos Originarios-Hombres no debe ser mayor al Total de personas en PSCV. * Pueblos Originarios-Mujeres no debe ser mayor al Total de personas en PSCV. * Población Migrantes-Hombres no debe ser mayor al Total de personas en PSCV. * Población Migrantes-Mujeres no debe ser mayor al Total de personas en PSCV. </v>
      </c>
      <c r="BB62" s="354"/>
      <c r="BC62" s="354"/>
      <c r="BD62" s="354"/>
      <c r="BE62" s="348" t="str">
        <f t="shared" si="42"/>
        <v xml:space="preserve">* Pueblos Originarios-Hombres no debe ser mayor al Total de personas en PSCV. </v>
      </c>
      <c r="BF62" s="348" t="str">
        <f t="shared" si="38"/>
        <v xml:space="preserve">* Pueblos Originarios-Mujeres no debe ser mayor al Total de personas en PSCV. </v>
      </c>
      <c r="BG62" s="348" t="str">
        <f t="shared" si="43"/>
        <v xml:space="preserve">* Población Migrantes-Hombres no debe ser mayor al Total de personas en PSCV. </v>
      </c>
      <c r="BH62" s="348" t="str">
        <f t="shared" si="44"/>
        <v xml:space="preserve">* Población Migrantes-Mujeres no debe ser mayor al Total de personas en PSCV. </v>
      </c>
      <c r="BI62" s="354"/>
      <c r="BJ62" s="354"/>
      <c r="BK62" s="348" t="str">
        <f t="shared" si="45"/>
        <v/>
      </c>
      <c r="BL62" s="348" t="str">
        <f t="shared" si="46"/>
        <v/>
      </c>
      <c r="BM62" s="354"/>
      <c r="BN62" s="354"/>
      <c r="BO62" s="354"/>
      <c r="BP62" s="354"/>
      <c r="BQ62" s="354"/>
      <c r="BR62" s="354"/>
      <c r="BS62" s="354"/>
      <c r="BT62" s="354"/>
      <c r="BU62" s="354"/>
      <c r="BV62" s="354"/>
      <c r="BW62" s="354"/>
      <c r="BX62" s="354"/>
      <c r="BY62" s="354"/>
      <c r="BZ62" s="354"/>
      <c r="CA62" s="354"/>
      <c r="CB62" s="354"/>
      <c r="CC62" s="354"/>
      <c r="CD62" s="354"/>
      <c r="CE62" s="354"/>
      <c r="CF62" s="354"/>
      <c r="CG62" s="354"/>
      <c r="CH62" s="354"/>
      <c r="CI62" s="354"/>
      <c r="CJ62" s="354"/>
      <c r="CK62" s="354"/>
      <c r="CL62" s="354"/>
      <c r="CM62" s="352"/>
      <c r="CN62" s="352"/>
      <c r="CO62" s="358">
        <f t="shared" si="47"/>
        <v>1</v>
      </c>
      <c r="CP62" s="358">
        <f t="shared" si="48"/>
        <v>1</v>
      </c>
      <c r="CQ62" s="358">
        <f t="shared" si="49"/>
        <v>1</v>
      </c>
      <c r="CR62" s="358">
        <f t="shared" si="50"/>
        <v>1</v>
      </c>
      <c r="CS62" s="352"/>
      <c r="CT62" s="352"/>
      <c r="CU62" s="352"/>
      <c r="CV62" s="352"/>
      <c r="CW62" s="358">
        <f t="shared" si="51"/>
        <v>0</v>
      </c>
      <c r="CX62" s="358">
        <f t="shared" si="52"/>
        <v>0</v>
      </c>
      <c r="CY62" s="352"/>
      <c r="CZ62" s="352"/>
      <c r="DA62" s="352"/>
      <c r="DB62" s="352"/>
      <c r="DC62" s="352"/>
      <c r="DD62" s="352"/>
      <c r="DE62" s="352"/>
      <c r="DF62" s="352"/>
      <c r="DG62" s="352"/>
      <c r="DH62" s="352"/>
      <c r="DI62" s="352"/>
      <c r="DJ62" s="352"/>
      <c r="DK62" s="352"/>
      <c r="DL62" s="352"/>
      <c r="DM62" s="352"/>
      <c r="DN62" s="352"/>
      <c r="DO62" s="352"/>
      <c r="DP62" s="352"/>
      <c r="DQ62" s="352"/>
      <c r="DR62" s="352"/>
      <c r="DS62" s="352"/>
      <c r="DT62" s="352"/>
    </row>
    <row r="63" spans="1:124" ht="18.75" customHeight="1" x14ac:dyDescent="0.25">
      <c r="A63" s="1641" t="s">
        <v>1233</v>
      </c>
      <c r="B63" s="2191"/>
      <c r="C63" s="972" t="s">
        <v>176</v>
      </c>
      <c r="D63" s="671" t="s">
        <v>1550</v>
      </c>
      <c r="E63" s="737" t="s">
        <v>1551</v>
      </c>
      <c r="F63" s="738" t="s">
        <v>1552</v>
      </c>
      <c r="G63" s="684" t="s">
        <v>1553</v>
      </c>
      <c r="H63" s="685" t="s">
        <v>1554</v>
      </c>
      <c r="I63" s="684" t="s">
        <v>1555</v>
      </c>
      <c r="J63" s="685" t="s">
        <v>1556</v>
      </c>
      <c r="K63" s="684" t="s">
        <v>1557</v>
      </c>
      <c r="L63" s="685" t="s">
        <v>1558</v>
      </c>
      <c r="M63" s="684" t="s">
        <v>1559</v>
      </c>
      <c r="N63" s="685" t="s">
        <v>1560</v>
      </c>
      <c r="O63" s="684" t="s">
        <v>1561</v>
      </c>
      <c r="P63" s="685" t="s">
        <v>1562</v>
      </c>
      <c r="Q63" s="684" t="s">
        <v>1563</v>
      </c>
      <c r="R63" s="685" t="s">
        <v>1564</v>
      </c>
      <c r="S63" s="684" t="s">
        <v>1565</v>
      </c>
      <c r="T63" s="685" t="s">
        <v>1566</v>
      </c>
      <c r="U63" s="684" t="s">
        <v>1567</v>
      </c>
      <c r="V63" s="685" t="s">
        <v>1568</v>
      </c>
      <c r="W63" s="684" t="s">
        <v>1569</v>
      </c>
      <c r="X63" s="685" t="s">
        <v>1570</v>
      </c>
      <c r="Y63" s="684" t="s">
        <v>1571</v>
      </c>
      <c r="Z63" s="685" t="s">
        <v>1572</v>
      </c>
      <c r="AA63" s="684" t="s">
        <v>1573</v>
      </c>
      <c r="AB63" s="685" t="s">
        <v>1574</v>
      </c>
      <c r="AC63" s="684" t="s">
        <v>1575</v>
      </c>
      <c r="AD63" s="685" t="s">
        <v>1576</v>
      </c>
      <c r="AE63" s="684" t="s">
        <v>1577</v>
      </c>
      <c r="AF63" s="685" t="s">
        <v>1578</v>
      </c>
      <c r="AG63" s="760" t="s">
        <v>1579</v>
      </c>
      <c r="AH63" s="693" t="s">
        <v>1580</v>
      </c>
      <c r="AI63" s="762" t="s">
        <v>1581</v>
      </c>
      <c r="AJ63" s="705" t="s">
        <v>1582</v>
      </c>
      <c r="AK63" s="762" t="s">
        <v>1583</v>
      </c>
      <c r="AL63" s="705" t="s">
        <v>1584</v>
      </c>
      <c r="AM63" s="343" t="str">
        <f t="shared" si="41"/>
        <v xml:space="preserve">* Pueblos Originarios-Hombres no debe ser mayor al Total de personas en PSCV. * Pueblos Originarios-Mujeres no debe ser mayor al Total de personas en PSCV. * Población Migrantes-Hombres no debe ser mayor al Total de personas en PSCV. * Población Migrantes-Mujeres no debe ser mayor al Total de personas en PSCV. </v>
      </c>
      <c r="BB63" s="354"/>
      <c r="BC63" s="354"/>
      <c r="BD63" s="354"/>
      <c r="BE63" s="348" t="str">
        <f t="shared" si="42"/>
        <v xml:space="preserve">* Pueblos Originarios-Hombres no debe ser mayor al Total de personas en PSCV. </v>
      </c>
      <c r="BF63" s="348" t="str">
        <f t="shared" si="38"/>
        <v xml:space="preserve">* Pueblos Originarios-Mujeres no debe ser mayor al Total de personas en PSCV. </v>
      </c>
      <c r="BG63" s="348" t="str">
        <f t="shared" si="43"/>
        <v xml:space="preserve">* Población Migrantes-Hombres no debe ser mayor al Total de personas en PSCV. </v>
      </c>
      <c r="BH63" s="348" t="str">
        <f t="shared" si="44"/>
        <v xml:space="preserve">* Población Migrantes-Mujeres no debe ser mayor al Total de personas en PSCV. </v>
      </c>
      <c r="BI63" s="354"/>
      <c r="BJ63" s="354"/>
      <c r="BK63" s="348" t="str">
        <f t="shared" si="45"/>
        <v/>
      </c>
      <c r="BL63" s="348" t="str">
        <f t="shared" si="46"/>
        <v/>
      </c>
      <c r="BM63" s="354"/>
      <c r="BN63" s="354"/>
      <c r="BO63" s="354"/>
      <c r="BP63" s="354"/>
      <c r="BQ63" s="354"/>
      <c r="BR63" s="354"/>
      <c r="BS63" s="354"/>
      <c r="BT63" s="354"/>
      <c r="BU63" s="354"/>
      <c r="BV63" s="354"/>
      <c r="BW63" s="354"/>
      <c r="BX63" s="354"/>
      <c r="BY63" s="354"/>
      <c r="BZ63" s="354"/>
      <c r="CA63" s="354"/>
      <c r="CB63" s="354"/>
      <c r="CC63" s="354"/>
      <c r="CD63" s="354"/>
      <c r="CE63" s="354"/>
      <c r="CF63" s="354"/>
      <c r="CG63" s="354"/>
      <c r="CH63" s="354"/>
      <c r="CI63" s="354"/>
      <c r="CJ63" s="354"/>
      <c r="CK63" s="354"/>
      <c r="CL63" s="354"/>
      <c r="CM63" s="352"/>
      <c r="CN63" s="352"/>
      <c r="CO63" s="358">
        <f t="shared" si="47"/>
        <v>1</v>
      </c>
      <c r="CP63" s="358">
        <f t="shared" si="48"/>
        <v>1</v>
      </c>
      <c r="CQ63" s="358">
        <f t="shared" si="49"/>
        <v>1</v>
      </c>
      <c r="CR63" s="358">
        <f t="shared" si="50"/>
        <v>1</v>
      </c>
      <c r="CS63" s="352"/>
      <c r="CT63" s="352"/>
      <c r="CU63" s="352"/>
      <c r="CV63" s="352"/>
      <c r="CW63" s="358">
        <f t="shared" si="51"/>
        <v>0</v>
      </c>
      <c r="CX63" s="358">
        <f t="shared" si="52"/>
        <v>0</v>
      </c>
      <c r="CY63" s="352"/>
      <c r="CZ63" s="352"/>
      <c r="DA63" s="352"/>
      <c r="DB63" s="352"/>
      <c r="DC63" s="352"/>
      <c r="DD63" s="352"/>
      <c r="DE63" s="352"/>
      <c r="DF63" s="352"/>
      <c r="DG63" s="352"/>
      <c r="DH63" s="352"/>
      <c r="DI63" s="352"/>
      <c r="DJ63" s="352"/>
      <c r="DK63" s="352"/>
      <c r="DL63" s="352"/>
      <c r="DM63" s="352"/>
      <c r="DN63" s="352"/>
      <c r="DO63" s="352"/>
      <c r="DP63" s="352"/>
      <c r="DQ63" s="352"/>
      <c r="DR63" s="352"/>
      <c r="DS63" s="352"/>
      <c r="DT63" s="352"/>
    </row>
    <row r="64" spans="1:124" ht="18.75" customHeight="1" x14ac:dyDescent="0.25">
      <c r="A64" s="1641" t="s">
        <v>1234</v>
      </c>
      <c r="B64" s="2192"/>
      <c r="C64" s="973" t="s">
        <v>177</v>
      </c>
      <c r="D64" s="668" t="s">
        <v>1550</v>
      </c>
      <c r="E64" s="669" t="s">
        <v>1551</v>
      </c>
      <c r="F64" s="741" t="s">
        <v>1552</v>
      </c>
      <c r="G64" s="689" t="s">
        <v>1553</v>
      </c>
      <c r="H64" s="690" t="s">
        <v>1554</v>
      </c>
      <c r="I64" s="689" t="s">
        <v>1555</v>
      </c>
      <c r="J64" s="690" t="s">
        <v>1556</v>
      </c>
      <c r="K64" s="689" t="s">
        <v>1557</v>
      </c>
      <c r="L64" s="690" t="s">
        <v>1558</v>
      </c>
      <c r="M64" s="689" t="s">
        <v>1559</v>
      </c>
      <c r="N64" s="690" t="s">
        <v>1560</v>
      </c>
      <c r="O64" s="689" t="s">
        <v>1561</v>
      </c>
      <c r="P64" s="690" t="s">
        <v>1562</v>
      </c>
      <c r="Q64" s="689" t="s">
        <v>1563</v>
      </c>
      <c r="R64" s="690" t="s">
        <v>1564</v>
      </c>
      <c r="S64" s="689" t="s">
        <v>1565</v>
      </c>
      <c r="T64" s="690" t="s">
        <v>1566</v>
      </c>
      <c r="U64" s="689" t="s">
        <v>1567</v>
      </c>
      <c r="V64" s="690" t="s">
        <v>1568</v>
      </c>
      <c r="W64" s="689" t="s">
        <v>1569</v>
      </c>
      <c r="X64" s="690" t="s">
        <v>1570</v>
      </c>
      <c r="Y64" s="689" t="s">
        <v>1571</v>
      </c>
      <c r="Z64" s="690" t="s">
        <v>1572</v>
      </c>
      <c r="AA64" s="689" t="s">
        <v>1573</v>
      </c>
      <c r="AB64" s="690" t="s">
        <v>1574</v>
      </c>
      <c r="AC64" s="689" t="s">
        <v>1575</v>
      </c>
      <c r="AD64" s="690" t="s">
        <v>1576</v>
      </c>
      <c r="AE64" s="689" t="s">
        <v>1577</v>
      </c>
      <c r="AF64" s="690" t="s">
        <v>1578</v>
      </c>
      <c r="AG64" s="759" t="s">
        <v>1579</v>
      </c>
      <c r="AH64" s="720" t="s">
        <v>1580</v>
      </c>
      <c r="AI64" s="759" t="s">
        <v>1581</v>
      </c>
      <c r="AJ64" s="690" t="s">
        <v>1582</v>
      </c>
      <c r="AK64" s="759" t="s">
        <v>1583</v>
      </c>
      <c r="AL64" s="690" t="s">
        <v>1584</v>
      </c>
      <c r="AM64" s="343" t="str">
        <f t="shared" si="41"/>
        <v xml:space="preserve">* Pueblos Originarios-Hombres no debe ser mayor al Total de personas en PSCV. * Pueblos Originarios-Mujeres no debe ser mayor al Total de personas en PSCV. * Población Migrantes-Hombres no debe ser mayor al Total de personas en PSCV. * Población Migrantes-Mujeres no debe ser mayor al Total de personas en PSCV. </v>
      </c>
      <c r="BB64" s="354"/>
      <c r="BC64" s="354"/>
      <c r="BD64" s="354"/>
      <c r="BE64" s="348" t="str">
        <f t="shared" si="42"/>
        <v xml:space="preserve">* Pueblos Originarios-Hombres no debe ser mayor al Total de personas en PSCV. </v>
      </c>
      <c r="BF64" s="348" t="str">
        <f t="shared" si="38"/>
        <v xml:space="preserve">* Pueblos Originarios-Mujeres no debe ser mayor al Total de personas en PSCV. </v>
      </c>
      <c r="BG64" s="348" t="str">
        <f t="shared" si="43"/>
        <v xml:space="preserve">* Población Migrantes-Hombres no debe ser mayor al Total de personas en PSCV. </v>
      </c>
      <c r="BH64" s="348" t="str">
        <f t="shared" si="44"/>
        <v xml:space="preserve">* Población Migrantes-Mujeres no debe ser mayor al Total de personas en PSCV. </v>
      </c>
      <c r="BI64" s="354"/>
      <c r="BJ64" s="354"/>
      <c r="BK64" s="348" t="str">
        <f t="shared" si="45"/>
        <v/>
      </c>
      <c r="BL64" s="348" t="str">
        <f t="shared" si="46"/>
        <v/>
      </c>
      <c r="BM64" s="354"/>
      <c r="BN64" s="354"/>
      <c r="BO64" s="354"/>
      <c r="BP64" s="354"/>
      <c r="BQ64" s="354"/>
      <c r="BR64" s="354"/>
      <c r="BS64" s="354"/>
      <c r="BT64" s="354"/>
      <c r="BU64" s="354"/>
      <c r="BV64" s="354"/>
      <c r="BW64" s="354"/>
      <c r="BX64" s="354"/>
      <c r="BY64" s="354"/>
      <c r="BZ64" s="354"/>
      <c r="CA64" s="354"/>
      <c r="CB64" s="354"/>
      <c r="CC64" s="354"/>
      <c r="CD64" s="354"/>
      <c r="CE64" s="354"/>
      <c r="CF64" s="354"/>
      <c r="CG64" s="354"/>
      <c r="CH64" s="354"/>
      <c r="CI64" s="354"/>
      <c r="CJ64" s="354"/>
      <c r="CK64" s="354"/>
      <c r="CL64" s="354"/>
      <c r="CM64" s="352"/>
      <c r="CN64" s="352"/>
      <c r="CO64" s="358">
        <f t="shared" si="47"/>
        <v>1</v>
      </c>
      <c r="CP64" s="358">
        <f t="shared" si="48"/>
        <v>1</v>
      </c>
      <c r="CQ64" s="358">
        <f t="shared" si="49"/>
        <v>1</v>
      </c>
      <c r="CR64" s="358">
        <f t="shared" si="50"/>
        <v>1</v>
      </c>
      <c r="CS64" s="352"/>
      <c r="CT64" s="352"/>
      <c r="CU64" s="352"/>
      <c r="CV64" s="352"/>
      <c r="CW64" s="358">
        <f t="shared" si="51"/>
        <v>0</v>
      </c>
      <c r="CX64" s="358">
        <f t="shared" si="52"/>
        <v>0</v>
      </c>
      <c r="CY64" s="352"/>
      <c r="CZ64" s="352"/>
      <c r="DA64" s="352"/>
      <c r="DB64" s="352"/>
      <c r="DC64" s="352"/>
      <c r="DD64" s="352"/>
      <c r="DE64" s="352"/>
      <c r="DF64" s="352"/>
      <c r="DG64" s="352"/>
      <c r="DH64" s="352"/>
      <c r="DI64" s="352"/>
      <c r="DJ64" s="352"/>
      <c r="DK64" s="352"/>
      <c r="DL64" s="352"/>
      <c r="DM64" s="352"/>
      <c r="DN64" s="352"/>
      <c r="DO64" s="352"/>
      <c r="DP64" s="352"/>
      <c r="DQ64" s="352"/>
      <c r="DR64" s="352"/>
      <c r="DS64" s="352"/>
      <c r="DT64" s="352"/>
    </row>
    <row r="65" spans="1:124" ht="18.75" customHeight="1" x14ac:dyDescent="0.25">
      <c r="A65" s="1641" t="s">
        <v>1235</v>
      </c>
      <c r="B65" s="2207" t="s">
        <v>875</v>
      </c>
      <c r="C65" s="1182" t="s">
        <v>178</v>
      </c>
      <c r="D65" s="671" t="s">
        <v>1550</v>
      </c>
      <c r="E65" s="737" t="s">
        <v>1551</v>
      </c>
      <c r="F65" s="749" t="s">
        <v>1552</v>
      </c>
      <c r="G65" s="704" t="s">
        <v>1553</v>
      </c>
      <c r="H65" s="705" t="s">
        <v>1554</v>
      </c>
      <c r="I65" s="704" t="s">
        <v>1555</v>
      </c>
      <c r="J65" s="705" t="s">
        <v>1556</v>
      </c>
      <c r="K65" s="704" t="s">
        <v>1557</v>
      </c>
      <c r="L65" s="705" t="s">
        <v>1558</v>
      </c>
      <c r="M65" s="704" t="s">
        <v>1559</v>
      </c>
      <c r="N65" s="705" t="s">
        <v>1560</v>
      </c>
      <c r="O65" s="704" t="s">
        <v>1561</v>
      </c>
      <c r="P65" s="705" t="s">
        <v>1562</v>
      </c>
      <c r="Q65" s="704" t="s">
        <v>1563</v>
      </c>
      <c r="R65" s="705" t="s">
        <v>1564</v>
      </c>
      <c r="S65" s="704" t="s">
        <v>1565</v>
      </c>
      <c r="T65" s="705" t="s">
        <v>1566</v>
      </c>
      <c r="U65" s="704" t="s">
        <v>1567</v>
      </c>
      <c r="V65" s="705" t="s">
        <v>1568</v>
      </c>
      <c r="W65" s="704" t="s">
        <v>1569</v>
      </c>
      <c r="X65" s="705" t="s">
        <v>1570</v>
      </c>
      <c r="Y65" s="704" t="s">
        <v>1571</v>
      </c>
      <c r="Z65" s="705" t="s">
        <v>1572</v>
      </c>
      <c r="AA65" s="704" t="s">
        <v>1573</v>
      </c>
      <c r="AB65" s="705" t="s">
        <v>1574</v>
      </c>
      <c r="AC65" s="704" t="s">
        <v>1575</v>
      </c>
      <c r="AD65" s="705" t="s">
        <v>1576</v>
      </c>
      <c r="AE65" s="704" t="s">
        <v>1577</v>
      </c>
      <c r="AF65" s="705" t="s">
        <v>1578</v>
      </c>
      <c r="AG65" s="762" t="s">
        <v>1579</v>
      </c>
      <c r="AH65" s="706" t="s">
        <v>1580</v>
      </c>
      <c r="AI65" s="762" t="s">
        <v>1581</v>
      </c>
      <c r="AJ65" s="705" t="s">
        <v>1582</v>
      </c>
      <c r="AK65" s="762" t="s">
        <v>1583</v>
      </c>
      <c r="AL65" s="705" t="s">
        <v>1584</v>
      </c>
      <c r="AM65" s="343" t="str">
        <f t="shared" si="41"/>
        <v xml:space="preserve">* Pueblos Originarios-Hombres no debe ser mayor al Total de personas en PSCV. * Pueblos Originarios-Mujeres no debe ser mayor al Total de personas en PSCV. * Población Migrantes-Hombres no debe ser mayor al Total de personas en PSCV. * Población Migrantes-Mujeres no debe ser mayor al Total de personas en PSCV. </v>
      </c>
      <c r="BB65" s="354"/>
      <c r="BC65" s="354"/>
      <c r="BD65" s="354"/>
      <c r="BE65" s="348" t="str">
        <f t="shared" si="42"/>
        <v xml:space="preserve">* Pueblos Originarios-Hombres no debe ser mayor al Total de personas en PSCV. </v>
      </c>
      <c r="BF65" s="348" t="str">
        <f t="shared" si="38"/>
        <v xml:space="preserve">* Pueblos Originarios-Mujeres no debe ser mayor al Total de personas en PSCV. </v>
      </c>
      <c r="BG65" s="348" t="str">
        <f t="shared" si="43"/>
        <v xml:space="preserve">* Población Migrantes-Hombres no debe ser mayor al Total de personas en PSCV. </v>
      </c>
      <c r="BH65" s="348" t="str">
        <f t="shared" si="44"/>
        <v xml:space="preserve">* Población Migrantes-Mujeres no debe ser mayor al Total de personas en PSCV. </v>
      </c>
      <c r="BI65" s="354"/>
      <c r="BJ65" s="354"/>
      <c r="BK65" s="348" t="str">
        <f t="shared" si="45"/>
        <v/>
      </c>
      <c r="BL65" s="348" t="str">
        <f t="shared" si="46"/>
        <v/>
      </c>
      <c r="BM65" s="354"/>
      <c r="BN65" s="354"/>
      <c r="BO65" s="354"/>
      <c r="BP65" s="354"/>
      <c r="BQ65" s="354"/>
      <c r="BR65" s="354"/>
      <c r="BS65" s="354"/>
      <c r="BT65" s="354"/>
      <c r="BU65" s="354"/>
      <c r="BV65" s="354"/>
      <c r="BW65" s="354"/>
      <c r="BX65" s="354"/>
      <c r="BY65" s="354"/>
      <c r="BZ65" s="354"/>
      <c r="CA65" s="354"/>
      <c r="CB65" s="354"/>
      <c r="CC65" s="354"/>
      <c r="CD65" s="354"/>
      <c r="CE65" s="354"/>
      <c r="CF65" s="354"/>
      <c r="CG65" s="354"/>
      <c r="CH65" s="354"/>
      <c r="CI65" s="354"/>
      <c r="CJ65" s="354"/>
      <c r="CK65" s="354"/>
      <c r="CL65" s="354"/>
      <c r="CM65" s="352"/>
      <c r="CN65" s="352"/>
      <c r="CO65" s="358">
        <f t="shared" si="47"/>
        <v>1</v>
      </c>
      <c r="CP65" s="358">
        <f t="shared" si="48"/>
        <v>1</v>
      </c>
      <c r="CQ65" s="358">
        <f t="shared" si="49"/>
        <v>1</v>
      </c>
      <c r="CR65" s="358">
        <f t="shared" si="50"/>
        <v>1</v>
      </c>
      <c r="CS65" s="352"/>
      <c r="CT65" s="352"/>
      <c r="CU65" s="352"/>
      <c r="CV65" s="352"/>
      <c r="CW65" s="358">
        <f t="shared" si="51"/>
        <v>0</v>
      </c>
      <c r="CX65" s="358">
        <f t="shared" si="52"/>
        <v>0</v>
      </c>
      <c r="CY65" s="352"/>
      <c r="CZ65" s="352"/>
      <c r="DA65" s="352"/>
      <c r="DB65" s="352"/>
      <c r="DC65" s="352"/>
      <c r="DD65" s="352"/>
      <c r="DE65" s="352"/>
      <c r="DF65" s="352"/>
      <c r="DG65" s="352"/>
      <c r="DH65" s="352"/>
      <c r="DI65" s="352"/>
      <c r="DJ65" s="352"/>
      <c r="DK65" s="352"/>
      <c r="DL65" s="352"/>
      <c r="DM65" s="352"/>
      <c r="DN65" s="352"/>
      <c r="DO65" s="352"/>
      <c r="DP65" s="352"/>
      <c r="DQ65" s="352"/>
      <c r="DR65" s="352"/>
      <c r="DS65" s="352"/>
      <c r="DT65" s="352"/>
    </row>
    <row r="66" spans="1:124" ht="18.75" customHeight="1" x14ac:dyDescent="0.25">
      <c r="A66" s="1641" t="s">
        <v>1236</v>
      </c>
      <c r="B66" s="2208"/>
      <c r="C66" s="972" t="s">
        <v>179</v>
      </c>
      <c r="D66" s="674" t="s">
        <v>1550</v>
      </c>
      <c r="E66" s="1414" t="s">
        <v>1551</v>
      </c>
      <c r="F66" s="1402" t="s">
        <v>1552</v>
      </c>
      <c r="G66" s="745" t="s">
        <v>1553</v>
      </c>
      <c r="H66" s="746" t="s">
        <v>1554</v>
      </c>
      <c r="I66" s="745" t="s">
        <v>1555</v>
      </c>
      <c r="J66" s="746" t="s">
        <v>1556</v>
      </c>
      <c r="K66" s="745" t="s">
        <v>1557</v>
      </c>
      <c r="L66" s="746" t="s">
        <v>1558</v>
      </c>
      <c r="M66" s="745" t="s">
        <v>1559</v>
      </c>
      <c r="N66" s="746" t="s">
        <v>1560</v>
      </c>
      <c r="O66" s="745" t="s">
        <v>1561</v>
      </c>
      <c r="P66" s="746" t="s">
        <v>1562</v>
      </c>
      <c r="Q66" s="745" t="s">
        <v>1563</v>
      </c>
      <c r="R66" s="746" t="s">
        <v>1564</v>
      </c>
      <c r="S66" s="745" t="s">
        <v>1565</v>
      </c>
      <c r="T66" s="746" t="s">
        <v>1566</v>
      </c>
      <c r="U66" s="745" t="s">
        <v>1567</v>
      </c>
      <c r="V66" s="746" t="s">
        <v>1568</v>
      </c>
      <c r="W66" s="745" t="s">
        <v>1569</v>
      </c>
      <c r="X66" s="746" t="s">
        <v>1570</v>
      </c>
      <c r="Y66" s="745" t="s">
        <v>1571</v>
      </c>
      <c r="Z66" s="746" t="s">
        <v>1572</v>
      </c>
      <c r="AA66" s="745" t="s">
        <v>1573</v>
      </c>
      <c r="AB66" s="746" t="s">
        <v>1574</v>
      </c>
      <c r="AC66" s="745" t="s">
        <v>1575</v>
      </c>
      <c r="AD66" s="746" t="s">
        <v>1576</v>
      </c>
      <c r="AE66" s="745" t="s">
        <v>1577</v>
      </c>
      <c r="AF66" s="746" t="s">
        <v>1578</v>
      </c>
      <c r="AG66" s="1072" t="s">
        <v>1579</v>
      </c>
      <c r="AH66" s="747" t="s">
        <v>1580</v>
      </c>
      <c r="AI66" s="1072" t="s">
        <v>1581</v>
      </c>
      <c r="AJ66" s="746" t="s">
        <v>1582</v>
      </c>
      <c r="AK66" s="1072" t="s">
        <v>1583</v>
      </c>
      <c r="AL66" s="746" t="s">
        <v>1584</v>
      </c>
      <c r="AM66" s="343" t="str">
        <f t="shared" si="41"/>
        <v xml:space="preserve">* Pueblos Originarios-Hombres no debe ser mayor al Total de personas en PSCV. * Pueblos Originarios-Mujeres no debe ser mayor al Total de personas en PSCV. * Población Migrantes-Hombres no debe ser mayor al Total de personas en PSCV. * Población Migrantes-Mujeres no debe ser mayor al Total de personas en PSCV. </v>
      </c>
      <c r="BB66" s="354"/>
      <c r="BC66" s="354"/>
      <c r="BD66" s="354"/>
      <c r="BE66" s="348" t="str">
        <f t="shared" si="42"/>
        <v xml:space="preserve">* Pueblos Originarios-Hombres no debe ser mayor al Total de personas en PSCV. </v>
      </c>
      <c r="BF66" s="348" t="str">
        <f t="shared" si="38"/>
        <v xml:space="preserve">* Pueblos Originarios-Mujeres no debe ser mayor al Total de personas en PSCV. </v>
      </c>
      <c r="BG66" s="348" t="str">
        <f t="shared" si="43"/>
        <v xml:space="preserve">* Población Migrantes-Hombres no debe ser mayor al Total de personas en PSCV. </v>
      </c>
      <c r="BH66" s="348" t="str">
        <f t="shared" si="44"/>
        <v xml:space="preserve">* Población Migrantes-Mujeres no debe ser mayor al Total de personas en PSCV. </v>
      </c>
      <c r="BI66" s="354"/>
      <c r="BJ66" s="354"/>
      <c r="BK66" s="348" t="str">
        <f t="shared" si="45"/>
        <v/>
      </c>
      <c r="BL66" s="348" t="str">
        <f t="shared" si="46"/>
        <v/>
      </c>
      <c r="BM66" s="354"/>
      <c r="BN66" s="354"/>
      <c r="BO66" s="354"/>
      <c r="BP66" s="354"/>
      <c r="BQ66" s="354"/>
      <c r="BR66" s="354"/>
      <c r="BS66" s="354"/>
      <c r="BT66" s="354"/>
      <c r="BU66" s="354"/>
      <c r="BV66" s="354"/>
      <c r="BW66" s="354"/>
      <c r="BX66" s="354"/>
      <c r="BY66" s="354"/>
      <c r="BZ66" s="354"/>
      <c r="CA66" s="354"/>
      <c r="CB66" s="354"/>
      <c r="CC66" s="354"/>
      <c r="CD66" s="354"/>
      <c r="CE66" s="354"/>
      <c r="CF66" s="354"/>
      <c r="CG66" s="354"/>
      <c r="CH66" s="354"/>
      <c r="CI66" s="354"/>
      <c r="CJ66" s="354"/>
      <c r="CK66" s="354"/>
      <c r="CL66" s="354"/>
      <c r="CM66" s="352"/>
      <c r="CN66" s="352"/>
      <c r="CO66" s="358">
        <f t="shared" si="47"/>
        <v>1</v>
      </c>
      <c r="CP66" s="358">
        <f t="shared" si="48"/>
        <v>1</v>
      </c>
      <c r="CQ66" s="358">
        <f t="shared" si="49"/>
        <v>1</v>
      </c>
      <c r="CR66" s="358">
        <f t="shared" si="50"/>
        <v>1</v>
      </c>
      <c r="CS66" s="352"/>
      <c r="CT66" s="352"/>
      <c r="CU66" s="352"/>
      <c r="CV66" s="352"/>
      <c r="CW66" s="358">
        <f t="shared" si="51"/>
        <v>0</v>
      </c>
      <c r="CX66" s="358">
        <f t="shared" si="52"/>
        <v>0</v>
      </c>
      <c r="CY66" s="352"/>
      <c r="CZ66" s="352"/>
      <c r="DA66" s="352"/>
      <c r="DB66" s="352"/>
      <c r="DC66" s="352"/>
      <c r="DD66" s="352"/>
      <c r="DE66" s="352"/>
      <c r="DF66" s="352"/>
      <c r="DG66" s="352"/>
      <c r="DH66" s="352"/>
      <c r="DI66" s="352"/>
      <c r="DJ66" s="352"/>
      <c r="DK66" s="352"/>
      <c r="DL66" s="352"/>
      <c r="DM66" s="352"/>
      <c r="DN66" s="352"/>
      <c r="DO66" s="352"/>
      <c r="DP66" s="352"/>
      <c r="DQ66" s="352"/>
      <c r="DR66" s="352"/>
      <c r="DS66" s="352"/>
      <c r="DT66" s="352"/>
    </row>
    <row r="67" spans="1:124" ht="18.75" customHeight="1" x14ac:dyDescent="0.25">
      <c r="A67" s="1641" t="s">
        <v>1237</v>
      </c>
      <c r="B67" s="2209"/>
      <c r="C67" s="1194" t="s">
        <v>662</v>
      </c>
      <c r="D67" s="668" t="s">
        <v>1550</v>
      </c>
      <c r="E67" s="669" t="s">
        <v>1551</v>
      </c>
      <c r="F67" s="753" t="s">
        <v>1552</v>
      </c>
      <c r="G67" s="689" t="s">
        <v>1553</v>
      </c>
      <c r="H67" s="690" t="s">
        <v>1554</v>
      </c>
      <c r="I67" s="689" t="s">
        <v>1555</v>
      </c>
      <c r="J67" s="690" t="s">
        <v>1556</v>
      </c>
      <c r="K67" s="689" t="s">
        <v>1557</v>
      </c>
      <c r="L67" s="690" t="s">
        <v>1558</v>
      </c>
      <c r="M67" s="689" t="s">
        <v>1559</v>
      </c>
      <c r="N67" s="690" t="s">
        <v>1560</v>
      </c>
      <c r="O67" s="689" t="s">
        <v>1561</v>
      </c>
      <c r="P67" s="690" t="s">
        <v>1562</v>
      </c>
      <c r="Q67" s="689" t="s">
        <v>1563</v>
      </c>
      <c r="R67" s="690" t="s">
        <v>1564</v>
      </c>
      <c r="S67" s="689" t="s">
        <v>1565</v>
      </c>
      <c r="T67" s="690" t="s">
        <v>1566</v>
      </c>
      <c r="U67" s="689" t="s">
        <v>1567</v>
      </c>
      <c r="V67" s="690" t="s">
        <v>1568</v>
      </c>
      <c r="W67" s="689" t="s">
        <v>1569</v>
      </c>
      <c r="X67" s="690" t="s">
        <v>1570</v>
      </c>
      <c r="Y67" s="689" t="s">
        <v>1571</v>
      </c>
      <c r="Z67" s="690" t="s">
        <v>1572</v>
      </c>
      <c r="AA67" s="689" t="s">
        <v>1573</v>
      </c>
      <c r="AB67" s="690" t="s">
        <v>1574</v>
      </c>
      <c r="AC67" s="689" t="s">
        <v>1575</v>
      </c>
      <c r="AD67" s="690" t="s">
        <v>1576</v>
      </c>
      <c r="AE67" s="689" t="s">
        <v>1577</v>
      </c>
      <c r="AF67" s="690" t="s">
        <v>1578</v>
      </c>
      <c r="AG67" s="759" t="s">
        <v>1579</v>
      </c>
      <c r="AH67" s="720" t="s">
        <v>1580</v>
      </c>
      <c r="AI67" s="759" t="s">
        <v>1581</v>
      </c>
      <c r="AJ67" s="690" t="s">
        <v>1582</v>
      </c>
      <c r="AK67" s="759" t="s">
        <v>1583</v>
      </c>
      <c r="AL67" s="690" t="s">
        <v>1584</v>
      </c>
      <c r="AM67" s="343" t="str">
        <f t="shared" si="41"/>
        <v xml:space="preserve">* Pueblos Originarios-Hombres no debe ser mayor al Total de personas en PSCV. * Pueblos Originarios-Mujeres no debe ser mayor al Total de personas en PSCV. * Población Migrantes-Hombres no debe ser mayor al Total de personas en PSCV. * Población Migrantes-Mujeres no debe ser mayor al Total de personas en PSCV. </v>
      </c>
      <c r="BB67" s="354"/>
      <c r="BC67" s="354"/>
      <c r="BD67" s="354"/>
      <c r="BE67" s="348" t="str">
        <f t="shared" si="42"/>
        <v xml:space="preserve">* Pueblos Originarios-Hombres no debe ser mayor al Total de personas en PSCV. </v>
      </c>
      <c r="BF67" s="348" t="str">
        <f t="shared" si="38"/>
        <v xml:space="preserve">* Pueblos Originarios-Mujeres no debe ser mayor al Total de personas en PSCV. </v>
      </c>
      <c r="BG67" s="348" t="str">
        <f t="shared" si="43"/>
        <v xml:space="preserve">* Población Migrantes-Hombres no debe ser mayor al Total de personas en PSCV. </v>
      </c>
      <c r="BH67" s="348" t="str">
        <f t="shared" si="44"/>
        <v xml:space="preserve">* Población Migrantes-Mujeres no debe ser mayor al Total de personas en PSCV. </v>
      </c>
      <c r="BI67" s="354"/>
      <c r="BJ67" s="354"/>
      <c r="BK67" s="348" t="str">
        <f t="shared" si="45"/>
        <v/>
      </c>
      <c r="BL67" s="348" t="str">
        <f t="shared" si="46"/>
        <v/>
      </c>
      <c r="BM67" s="354"/>
      <c r="BN67" s="354"/>
      <c r="BO67" s="354"/>
      <c r="BP67" s="354"/>
      <c r="BQ67" s="354"/>
      <c r="BR67" s="354"/>
      <c r="BS67" s="354"/>
      <c r="BT67" s="354"/>
      <c r="BU67" s="354"/>
      <c r="BV67" s="354"/>
      <c r="BW67" s="354"/>
      <c r="BX67" s="354"/>
      <c r="BY67" s="354"/>
      <c r="BZ67" s="354"/>
      <c r="CA67" s="354"/>
      <c r="CB67" s="354"/>
      <c r="CC67" s="354"/>
      <c r="CD67" s="354"/>
      <c r="CE67" s="354"/>
      <c r="CF67" s="354"/>
      <c r="CG67" s="354"/>
      <c r="CH67" s="354"/>
      <c r="CI67" s="354"/>
      <c r="CJ67" s="354"/>
      <c r="CK67" s="354"/>
      <c r="CL67" s="354"/>
      <c r="CM67" s="352"/>
      <c r="CN67" s="352"/>
      <c r="CO67" s="358">
        <f t="shared" si="47"/>
        <v>1</v>
      </c>
      <c r="CP67" s="358">
        <f t="shared" si="48"/>
        <v>1</v>
      </c>
      <c r="CQ67" s="358">
        <f t="shared" si="49"/>
        <v>1</v>
      </c>
      <c r="CR67" s="358">
        <f t="shared" si="50"/>
        <v>1</v>
      </c>
      <c r="CS67" s="352"/>
      <c r="CT67" s="352"/>
      <c r="CU67" s="352"/>
      <c r="CV67" s="352"/>
      <c r="CW67" s="358">
        <f t="shared" si="51"/>
        <v>0</v>
      </c>
      <c r="CX67" s="358">
        <f t="shared" si="52"/>
        <v>0</v>
      </c>
      <c r="CY67" s="352"/>
      <c r="CZ67" s="352"/>
      <c r="DA67" s="352"/>
      <c r="DB67" s="352"/>
      <c r="DC67" s="352"/>
      <c r="DD67" s="352"/>
      <c r="DE67" s="352"/>
      <c r="DF67" s="352"/>
      <c r="DG67" s="352"/>
      <c r="DH67" s="352"/>
      <c r="DI67" s="352"/>
      <c r="DJ67" s="352"/>
      <c r="DK67" s="352"/>
      <c r="DL67" s="352"/>
      <c r="DM67" s="352"/>
      <c r="DN67" s="352"/>
      <c r="DO67" s="352"/>
      <c r="DP67" s="352"/>
      <c r="DQ67" s="352"/>
      <c r="DR67" s="352"/>
      <c r="DS67" s="352"/>
      <c r="DT67" s="352"/>
    </row>
    <row r="68" spans="1:124" ht="18.75" customHeight="1" x14ac:dyDescent="0.25">
      <c r="A68" s="1641" t="s">
        <v>1238</v>
      </c>
      <c r="B68" s="2212" t="s">
        <v>692</v>
      </c>
      <c r="C68" s="2213"/>
      <c r="D68" s="663" t="s">
        <v>1550</v>
      </c>
      <c r="E68" s="664" t="s">
        <v>1551</v>
      </c>
      <c r="F68" s="742" t="s">
        <v>1552</v>
      </c>
      <c r="G68" s="680" t="s">
        <v>1553</v>
      </c>
      <c r="H68" s="681" t="s">
        <v>1554</v>
      </c>
      <c r="I68" s="680" t="s">
        <v>1555</v>
      </c>
      <c r="J68" s="681" t="s">
        <v>1556</v>
      </c>
      <c r="K68" s="680" t="s">
        <v>1557</v>
      </c>
      <c r="L68" s="681" t="s">
        <v>1558</v>
      </c>
      <c r="M68" s="680" t="s">
        <v>1559</v>
      </c>
      <c r="N68" s="681" t="s">
        <v>1560</v>
      </c>
      <c r="O68" s="680" t="s">
        <v>1561</v>
      </c>
      <c r="P68" s="681" t="s">
        <v>1562</v>
      </c>
      <c r="Q68" s="680" t="s">
        <v>1563</v>
      </c>
      <c r="R68" s="681" t="s">
        <v>1564</v>
      </c>
      <c r="S68" s="680" t="s">
        <v>1565</v>
      </c>
      <c r="T68" s="681" t="s">
        <v>1566</v>
      </c>
      <c r="U68" s="680" t="s">
        <v>1567</v>
      </c>
      <c r="V68" s="681" t="s">
        <v>1568</v>
      </c>
      <c r="W68" s="680" t="s">
        <v>1569</v>
      </c>
      <c r="X68" s="681" t="s">
        <v>1570</v>
      </c>
      <c r="Y68" s="680" t="s">
        <v>1571</v>
      </c>
      <c r="Z68" s="681" t="s">
        <v>1572</v>
      </c>
      <c r="AA68" s="680" t="s">
        <v>1573</v>
      </c>
      <c r="AB68" s="681" t="s">
        <v>1574</v>
      </c>
      <c r="AC68" s="680" t="s">
        <v>1575</v>
      </c>
      <c r="AD68" s="681" t="s">
        <v>1576</v>
      </c>
      <c r="AE68" s="680" t="s">
        <v>1577</v>
      </c>
      <c r="AF68" s="681" t="s">
        <v>1578</v>
      </c>
      <c r="AG68" s="757" t="s">
        <v>1579</v>
      </c>
      <c r="AH68" s="692" t="s">
        <v>1580</v>
      </c>
      <c r="AI68" s="757" t="s">
        <v>1581</v>
      </c>
      <c r="AJ68" s="681" t="s">
        <v>1582</v>
      </c>
      <c r="AK68" s="757" t="s">
        <v>1583</v>
      </c>
      <c r="AL68" s="681" t="s">
        <v>1584</v>
      </c>
      <c r="AM68" s="343" t="str">
        <f>BE68&amp;BF68&amp;BG68&amp;BH68&amp;BK68&amp;BL68</f>
        <v xml:space="preserve">* Pueblos Originarios-Hombres no debe ser mayor al Total de personas en PSCV. * Pueblos Originarios-Mujeres no debe ser mayor al Total de personas en PSCV. * Población Migrantes-Hombres no debe ser mayor al Total de personas en PSCV. * Población Migrantes-Mujeres no debe ser mayor al Total de personas en PSCV. </v>
      </c>
      <c r="BB68" s="354"/>
      <c r="BC68" s="354"/>
      <c r="BD68" s="354"/>
      <c r="BE68" s="348" t="str">
        <f t="shared" si="42"/>
        <v xml:space="preserve">* Pueblos Originarios-Hombres no debe ser mayor al Total de personas en PSCV. </v>
      </c>
      <c r="BF68" s="348" t="str">
        <f t="shared" si="38"/>
        <v xml:space="preserve">* Pueblos Originarios-Mujeres no debe ser mayor al Total de personas en PSCV. </v>
      </c>
      <c r="BG68" s="348" t="str">
        <f t="shared" si="43"/>
        <v xml:space="preserve">* Población Migrantes-Hombres no debe ser mayor al Total de personas en PSCV. </v>
      </c>
      <c r="BH68" s="348" t="str">
        <f t="shared" si="44"/>
        <v xml:space="preserve">* Población Migrantes-Mujeres no debe ser mayor al Total de personas en PSCV. </v>
      </c>
      <c r="BI68" s="354"/>
      <c r="BJ68" s="354"/>
      <c r="BK68" s="348" t="str">
        <f>IF(AND(E68&lt;&gt;0,AI68=""),"* No olvide escribir en la celda de 'Pueblos Originarios' (Digite CERO si no tiene). ",IF(AND(F68&lt;&gt;0,AJ68=""),"* No olvide escribir en la celda de 'Pueblos Originarios' (Digite CERO si no tiene). ",""))</f>
        <v/>
      </c>
      <c r="BL68" s="348" t="str">
        <f t="shared" si="46"/>
        <v/>
      </c>
      <c r="BM68" s="354"/>
      <c r="BN68" s="354"/>
      <c r="BO68" s="354"/>
      <c r="BP68" s="354"/>
      <c r="BQ68" s="354"/>
      <c r="BR68" s="354"/>
      <c r="BS68" s="354"/>
      <c r="BT68" s="354"/>
      <c r="BU68" s="354"/>
      <c r="BV68" s="354"/>
      <c r="BW68" s="354"/>
      <c r="BX68" s="354"/>
      <c r="BY68" s="354"/>
      <c r="BZ68" s="354"/>
      <c r="CA68" s="354"/>
      <c r="CB68" s="354"/>
      <c r="CC68" s="354"/>
      <c r="CD68" s="354"/>
      <c r="CE68" s="354"/>
      <c r="CF68" s="354"/>
      <c r="CG68" s="354"/>
      <c r="CH68" s="354"/>
      <c r="CI68" s="354"/>
      <c r="CJ68" s="354"/>
      <c r="CK68" s="354"/>
      <c r="CL68" s="354"/>
      <c r="CM68" s="352"/>
      <c r="CN68" s="352"/>
      <c r="CO68" s="358">
        <f t="shared" si="47"/>
        <v>1</v>
      </c>
      <c r="CP68" s="358">
        <f t="shared" si="48"/>
        <v>1</v>
      </c>
      <c r="CQ68" s="358">
        <f t="shared" si="49"/>
        <v>1</v>
      </c>
      <c r="CR68" s="358">
        <f t="shared" si="50"/>
        <v>1</v>
      </c>
      <c r="CS68" s="352"/>
      <c r="CT68" s="352"/>
      <c r="CU68" s="352"/>
      <c r="CV68" s="352"/>
      <c r="CW68" s="358">
        <f t="shared" si="51"/>
        <v>0</v>
      </c>
      <c r="CX68" s="358">
        <f t="shared" si="52"/>
        <v>0</v>
      </c>
      <c r="CY68" s="352"/>
      <c r="CZ68" s="352"/>
      <c r="DA68" s="352"/>
      <c r="DB68" s="352"/>
      <c r="DC68" s="352"/>
      <c r="DD68" s="352"/>
      <c r="DE68" s="352"/>
      <c r="DF68" s="352"/>
      <c r="DG68" s="352"/>
      <c r="DH68" s="352"/>
      <c r="DI68" s="352"/>
      <c r="DJ68" s="352"/>
      <c r="DK68" s="352"/>
      <c r="DL68" s="352"/>
      <c r="DM68" s="352"/>
      <c r="DN68" s="352"/>
      <c r="DO68" s="352"/>
      <c r="DP68" s="352"/>
      <c r="DQ68" s="352"/>
      <c r="DR68" s="352"/>
      <c r="DS68" s="352"/>
      <c r="DT68" s="352"/>
    </row>
    <row r="69" spans="1:124" ht="18.75" customHeight="1" x14ac:dyDescent="0.25">
      <c r="A69" s="1641" t="s">
        <v>1239</v>
      </c>
      <c r="B69" s="2226" t="s">
        <v>566</v>
      </c>
      <c r="C69" s="2227"/>
      <c r="D69" s="671" t="s">
        <v>1550</v>
      </c>
      <c r="E69" s="737" t="s">
        <v>1551</v>
      </c>
      <c r="F69" s="749" t="s">
        <v>1552</v>
      </c>
      <c r="G69" s="704" t="s">
        <v>1553</v>
      </c>
      <c r="H69" s="705" t="s">
        <v>1554</v>
      </c>
      <c r="I69" s="704" t="s">
        <v>1555</v>
      </c>
      <c r="J69" s="705" t="s">
        <v>1556</v>
      </c>
      <c r="K69" s="704" t="s">
        <v>1557</v>
      </c>
      <c r="L69" s="705" t="s">
        <v>1558</v>
      </c>
      <c r="M69" s="704" t="s">
        <v>1559</v>
      </c>
      <c r="N69" s="705" t="s">
        <v>1560</v>
      </c>
      <c r="O69" s="704" t="s">
        <v>1561</v>
      </c>
      <c r="P69" s="705" t="s">
        <v>1562</v>
      </c>
      <c r="Q69" s="704" t="s">
        <v>1563</v>
      </c>
      <c r="R69" s="705" t="s">
        <v>1564</v>
      </c>
      <c r="S69" s="704" t="s">
        <v>1565</v>
      </c>
      <c r="T69" s="705" t="s">
        <v>1566</v>
      </c>
      <c r="U69" s="704" t="s">
        <v>1567</v>
      </c>
      <c r="V69" s="705" t="s">
        <v>1568</v>
      </c>
      <c r="W69" s="704" t="s">
        <v>1569</v>
      </c>
      <c r="X69" s="705" t="s">
        <v>1570</v>
      </c>
      <c r="Y69" s="704" t="s">
        <v>1571</v>
      </c>
      <c r="Z69" s="705" t="s">
        <v>1572</v>
      </c>
      <c r="AA69" s="704" t="s">
        <v>1573</v>
      </c>
      <c r="AB69" s="705" t="s">
        <v>1574</v>
      </c>
      <c r="AC69" s="704" t="s">
        <v>1575</v>
      </c>
      <c r="AD69" s="705" t="s">
        <v>1576</v>
      </c>
      <c r="AE69" s="684" t="s">
        <v>1577</v>
      </c>
      <c r="AF69" s="685" t="s">
        <v>1578</v>
      </c>
      <c r="AG69" s="762" t="s">
        <v>1579</v>
      </c>
      <c r="AH69" s="706" t="s">
        <v>1580</v>
      </c>
      <c r="AI69" s="762" t="s">
        <v>1581</v>
      </c>
      <c r="AJ69" s="705" t="s">
        <v>1582</v>
      </c>
      <c r="AK69" s="762" t="s">
        <v>1583</v>
      </c>
      <c r="AL69" s="705" t="s">
        <v>1584</v>
      </c>
      <c r="AM69" s="343" t="str">
        <f t="shared" si="41"/>
        <v xml:space="preserve">* Pueblos Originarios-Hombres no debe ser mayor al Total de personas en PSCV. * Pueblos Originarios-Mujeres no debe ser mayor al Total de personas en PSCV. * Población Migrantes-Hombres no debe ser mayor al Total de personas en PSCV. * Población Migrantes-Mujeres no debe ser mayor al Total de personas en PSCV. </v>
      </c>
      <c r="BB69" s="354"/>
      <c r="BC69" s="354"/>
      <c r="BD69" s="354"/>
      <c r="BE69" s="348" t="str">
        <f t="shared" si="42"/>
        <v xml:space="preserve">* Pueblos Originarios-Hombres no debe ser mayor al Total de personas en PSCV. </v>
      </c>
      <c r="BF69" s="348" t="str">
        <f t="shared" si="38"/>
        <v xml:space="preserve">* Pueblos Originarios-Mujeres no debe ser mayor al Total de personas en PSCV. </v>
      </c>
      <c r="BG69" s="348" t="str">
        <f t="shared" si="43"/>
        <v xml:space="preserve">* Población Migrantes-Hombres no debe ser mayor al Total de personas en PSCV. </v>
      </c>
      <c r="BH69" s="348" t="str">
        <f t="shared" si="44"/>
        <v xml:space="preserve">* Población Migrantes-Mujeres no debe ser mayor al Total de personas en PSCV. </v>
      </c>
      <c r="BI69" s="354"/>
      <c r="BJ69" s="354"/>
      <c r="BK69" s="348" t="str">
        <f t="shared" si="45"/>
        <v/>
      </c>
      <c r="BL69" s="348" t="str">
        <f t="shared" si="46"/>
        <v/>
      </c>
      <c r="BM69" s="354"/>
      <c r="BN69" s="354"/>
      <c r="BO69" s="354"/>
      <c r="BP69" s="354"/>
      <c r="BQ69" s="354"/>
      <c r="BR69" s="354"/>
      <c r="BS69" s="354"/>
      <c r="BT69" s="354"/>
      <c r="BU69" s="354"/>
      <c r="BV69" s="354"/>
      <c r="BW69" s="354"/>
      <c r="BX69" s="354"/>
      <c r="BY69" s="354"/>
      <c r="BZ69" s="354"/>
      <c r="CA69" s="354"/>
      <c r="CB69" s="354"/>
      <c r="CC69" s="354"/>
      <c r="CD69" s="354"/>
      <c r="CE69" s="354"/>
      <c r="CF69" s="354"/>
      <c r="CG69" s="354"/>
      <c r="CH69" s="354"/>
      <c r="CI69" s="354"/>
      <c r="CJ69" s="354"/>
      <c r="CK69" s="354"/>
      <c r="CL69" s="354"/>
      <c r="CM69" s="352"/>
      <c r="CN69" s="352"/>
      <c r="CO69" s="358">
        <f t="shared" si="47"/>
        <v>1</v>
      </c>
      <c r="CP69" s="358">
        <f t="shared" si="48"/>
        <v>1</v>
      </c>
      <c r="CQ69" s="358">
        <f t="shared" si="49"/>
        <v>1</v>
      </c>
      <c r="CR69" s="358">
        <f t="shared" si="50"/>
        <v>1</v>
      </c>
      <c r="CS69" s="352"/>
      <c r="CT69" s="352"/>
      <c r="CU69" s="352"/>
      <c r="CV69" s="352"/>
      <c r="CW69" s="358">
        <f t="shared" si="51"/>
        <v>0</v>
      </c>
      <c r="CX69" s="358">
        <f t="shared" si="52"/>
        <v>0</v>
      </c>
      <c r="CY69" s="352"/>
      <c r="CZ69" s="352"/>
      <c r="DA69" s="352"/>
      <c r="DB69" s="352"/>
      <c r="DC69" s="352"/>
      <c r="DD69" s="352"/>
      <c r="DE69" s="352"/>
      <c r="DF69" s="352"/>
      <c r="DG69" s="352"/>
      <c r="DH69" s="352"/>
      <c r="DI69" s="352"/>
      <c r="DJ69" s="352"/>
      <c r="DK69" s="352"/>
      <c r="DL69" s="352"/>
      <c r="DM69" s="352"/>
      <c r="DN69" s="352"/>
      <c r="DO69" s="352"/>
      <c r="DP69" s="352"/>
      <c r="DQ69" s="352"/>
      <c r="DR69" s="352"/>
      <c r="DS69" s="352"/>
      <c r="DT69" s="352"/>
    </row>
    <row r="70" spans="1:124" ht="18.75" customHeight="1" x14ac:dyDescent="0.25">
      <c r="A70" s="1641" t="s">
        <v>1240</v>
      </c>
      <c r="B70" s="2167" t="s">
        <v>667</v>
      </c>
      <c r="C70" s="2168"/>
      <c r="D70" s="683" t="s">
        <v>1550</v>
      </c>
      <c r="E70" s="666" t="s">
        <v>1551</v>
      </c>
      <c r="F70" s="743" t="s">
        <v>1552</v>
      </c>
      <c r="G70" s="684" t="s">
        <v>1553</v>
      </c>
      <c r="H70" s="685" t="s">
        <v>1554</v>
      </c>
      <c r="I70" s="684" t="s">
        <v>1555</v>
      </c>
      <c r="J70" s="685" t="s">
        <v>1556</v>
      </c>
      <c r="K70" s="684" t="s">
        <v>1557</v>
      </c>
      <c r="L70" s="685" t="s">
        <v>1558</v>
      </c>
      <c r="M70" s="684" t="s">
        <v>1559</v>
      </c>
      <c r="N70" s="685" t="s">
        <v>1560</v>
      </c>
      <c r="O70" s="684" t="s">
        <v>1561</v>
      </c>
      <c r="P70" s="685" t="s">
        <v>1562</v>
      </c>
      <c r="Q70" s="684" t="s">
        <v>1563</v>
      </c>
      <c r="R70" s="685" t="s">
        <v>1564</v>
      </c>
      <c r="S70" s="684" t="s">
        <v>1565</v>
      </c>
      <c r="T70" s="685" t="s">
        <v>1566</v>
      </c>
      <c r="U70" s="684" t="s">
        <v>1567</v>
      </c>
      <c r="V70" s="685" t="s">
        <v>1568</v>
      </c>
      <c r="W70" s="684" t="s">
        <v>1569</v>
      </c>
      <c r="X70" s="685" t="s">
        <v>1570</v>
      </c>
      <c r="Y70" s="684" t="s">
        <v>1571</v>
      </c>
      <c r="Z70" s="685" t="s">
        <v>1572</v>
      </c>
      <c r="AA70" s="684" t="s">
        <v>1573</v>
      </c>
      <c r="AB70" s="685" t="s">
        <v>1574</v>
      </c>
      <c r="AC70" s="684" t="s">
        <v>1575</v>
      </c>
      <c r="AD70" s="685" t="s">
        <v>1576</v>
      </c>
      <c r="AE70" s="684" t="s">
        <v>1577</v>
      </c>
      <c r="AF70" s="685" t="s">
        <v>1578</v>
      </c>
      <c r="AG70" s="760" t="s">
        <v>1579</v>
      </c>
      <c r="AH70" s="693" t="s">
        <v>1580</v>
      </c>
      <c r="AI70" s="762" t="s">
        <v>1581</v>
      </c>
      <c r="AJ70" s="705" t="s">
        <v>1582</v>
      </c>
      <c r="AK70" s="762" t="s">
        <v>1583</v>
      </c>
      <c r="AL70" s="705" t="s">
        <v>1584</v>
      </c>
      <c r="AM70" s="343" t="str">
        <f t="shared" si="41"/>
        <v xml:space="preserve">* Pueblos Originarios-Hombres no debe ser mayor al Total de personas en PSCV. * Pueblos Originarios-Mujeres no debe ser mayor al Total de personas en PSCV. * Población Migrantes-Hombres no debe ser mayor al Total de personas en PSCV. * Población Migrantes-Mujeres no debe ser mayor al Total de personas en PSCV. </v>
      </c>
      <c r="BB70" s="354"/>
      <c r="BC70" s="354"/>
      <c r="BD70" s="354"/>
      <c r="BE70" s="348" t="str">
        <f t="shared" si="42"/>
        <v xml:space="preserve">* Pueblos Originarios-Hombres no debe ser mayor al Total de personas en PSCV. </v>
      </c>
      <c r="BF70" s="348" t="str">
        <f t="shared" si="38"/>
        <v xml:space="preserve">* Pueblos Originarios-Mujeres no debe ser mayor al Total de personas en PSCV. </v>
      </c>
      <c r="BG70" s="348" t="str">
        <f t="shared" si="43"/>
        <v xml:space="preserve">* Población Migrantes-Hombres no debe ser mayor al Total de personas en PSCV. </v>
      </c>
      <c r="BH70" s="348" t="str">
        <f t="shared" si="44"/>
        <v xml:space="preserve">* Población Migrantes-Mujeres no debe ser mayor al Total de personas en PSCV. </v>
      </c>
      <c r="BI70" s="354"/>
      <c r="BJ70" s="354"/>
      <c r="BK70" s="348" t="str">
        <f t="shared" si="45"/>
        <v/>
      </c>
      <c r="BL70" s="348" t="str">
        <f t="shared" si="46"/>
        <v/>
      </c>
      <c r="BM70" s="354"/>
      <c r="BN70" s="354"/>
      <c r="BO70" s="354"/>
      <c r="BP70" s="354"/>
      <c r="BQ70" s="354"/>
      <c r="BR70" s="354"/>
      <c r="BS70" s="354"/>
      <c r="BT70" s="354"/>
      <c r="BU70" s="354"/>
      <c r="BV70" s="354"/>
      <c r="BW70" s="354"/>
      <c r="BX70" s="354"/>
      <c r="BY70" s="354"/>
      <c r="BZ70" s="354"/>
      <c r="CA70" s="354"/>
      <c r="CB70" s="354"/>
      <c r="CC70" s="354"/>
      <c r="CD70" s="354"/>
      <c r="CE70" s="354"/>
      <c r="CF70" s="354"/>
      <c r="CG70" s="354"/>
      <c r="CH70" s="354"/>
      <c r="CI70" s="354"/>
      <c r="CJ70" s="354"/>
      <c r="CK70" s="354"/>
      <c r="CL70" s="354"/>
      <c r="CM70" s="352"/>
      <c r="CN70" s="352"/>
      <c r="CO70" s="358">
        <f t="shared" si="47"/>
        <v>1</v>
      </c>
      <c r="CP70" s="358">
        <f t="shared" si="48"/>
        <v>1</v>
      </c>
      <c r="CQ70" s="358">
        <f t="shared" si="49"/>
        <v>1</v>
      </c>
      <c r="CR70" s="358">
        <f t="shared" si="50"/>
        <v>1</v>
      </c>
      <c r="CS70" s="352"/>
      <c r="CT70" s="352"/>
      <c r="CU70" s="352"/>
      <c r="CV70" s="352"/>
      <c r="CW70" s="358">
        <f t="shared" si="51"/>
        <v>0</v>
      </c>
      <c r="CX70" s="358">
        <f t="shared" si="52"/>
        <v>0</v>
      </c>
      <c r="CY70" s="352"/>
      <c r="CZ70" s="352"/>
      <c r="DA70" s="352"/>
      <c r="DB70" s="352"/>
      <c r="DC70" s="352"/>
      <c r="DD70" s="352"/>
      <c r="DE70" s="352"/>
      <c r="DF70" s="352"/>
      <c r="DG70" s="352"/>
      <c r="DH70" s="352"/>
      <c r="DI70" s="352"/>
      <c r="DJ70" s="352"/>
      <c r="DK70" s="352"/>
      <c r="DL70" s="352"/>
      <c r="DM70" s="352"/>
      <c r="DN70" s="352"/>
      <c r="DO70" s="352"/>
      <c r="DP70" s="352"/>
      <c r="DQ70" s="352"/>
      <c r="DR70" s="352"/>
      <c r="DS70" s="352"/>
      <c r="DT70" s="352"/>
    </row>
    <row r="71" spans="1:124" ht="18.75" customHeight="1" x14ac:dyDescent="0.25">
      <c r="A71" s="1641" t="s">
        <v>1241</v>
      </c>
      <c r="B71" s="2167" t="s">
        <v>668</v>
      </c>
      <c r="C71" s="2168"/>
      <c r="D71" s="672" t="s">
        <v>1550</v>
      </c>
      <c r="E71" s="737" t="s">
        <v>1551</v>
      </c>
      <c r="F71" s="749" t="s">
        <v>1552</v>
      </c>
      <c r="G71" s="704" t="s">
        <v>1553</v>
      </c>
      <c r="H71" s="705" t="s">
        <v>1554</v>
      </c>
      <c r="I71" s="704" t="s">
        <v>1555</v>
      </c>
      <c r="J71" s="705" t="s">
        <v>1556</v>
      </c>
      <c r="K71" s="704" t="s">
        <v>1557</v>
      </c>
      <c r="L71" s="705" t="s">
        <v>1558</v>
      </c>
      <c r="M71" s="704" t="s">
        <v>1559</v>
      </c>
      <c r="N71" s="705" t="s">
        <v>1560</v>
      </c>
      <c r="O71" s="704" t="s">
        <v>1561</v>
      </c>
      <c r="P71" s="705" t="s">
        <v>1562</v>
      </c>
      <c r="Q71" s="704" t="s">
        <v>1563</v>
      </c>
      <c r="R71" s="705" t="s">
        <v>1564</v>
      </c>
      <c r="S71" s="704" t="s">
        <v>1565</v>
      </c>
      <c r="T71" s="705" t="s">
        <v>1566</v>
      </c>
      <c r="U71" s="704" t="s">
        <v>1567</v>
      </c>
      <c r="V71" s="705" t="s">
        <v>1568</v>
      </c>
      <c r="W71" s="704" t="s">
        <v>1569</v>
      </c>
      <c r="X71" s="705" t="s">
        <v>1570</v>
      </c>
      <c r="Y71" s="704" t="s">
        <v>1571</v>
      </c>
      <c r="Z71" s="705" t="s">
        <v>1572</v>
      </c>
      <c r="AA71" s="704" t="s">
        <v>1573</v>
      </c>
      <c r="AB71" s="705" t="s">
        <v>1574</v>
      </c>
      <c r="AC71" s="704" t="s">
        <v>1575</v>
      </c>
      <c r="AD71" s="705" t="s">
        <v>1576</v>
      </c>
      <c r="AE71" s="704" t="s">
        <v>1577</v>
      </c>
      <c r="AF71" s="705" t="s">
        <v>1578</v>
      </c>
      <c r="AG71" s="762" t="s">
        <v>1579</v>
      </c>
      <c r="AH71" s="706" t="s">
        <v>1580</v>
      </c>
      <c r="AI71" s="762" t="s">
        <v>1581</v>
      </c>
      <c r="AJ71" s="705" t="s">
        <v>1582</v>
      </c>
      <c r="AK71" s="762" t="s">
        <v>1583</v>
      </c>
      <c r="AL71" s="705" t="s">
        <v>1584</v>
      </c>
      <c r="AM71" s="343" t="str">
        <f t="shared" si="41"/>
        <v xml:space="preserve">* Pueblos Originarios-Hombres no debe ser mayor al Total de personas en PSCV. * Pueblos Originarios-Mujeres no debe ser mayor al Total de personas en PSCV. * Población Migrantes-Hombres no debe ser mayor al Total de personas en PSCV. * Población Migrantes-Mujeres no debe ser mayor al Total de personas en PSCV. </v>
      </c>
      <c r="BB71" s="354"/>
      <c r="BC71" s="354"/>
      <c r="BD71" s="354"/>
      <c r="BE71" s="348" t="str">
        <f t="shared" si="42"/>
        <v xml:space="preserve">* Pueblos Originarios-Hombres no debe ser mayor al Total de personas en PSCV. </v>
      </c>
      <c r="BF71" s="348" t="str">
        <f t="shared" si="38"/>
        <v xml:space="preserve">* Pueblos Originarios-Mujeres no debe ser mayor al Total de personas en PSCV. </v>
      </c>
      <c r="BG71" s="348" t="str">
        <f t="shared" si="43"/>
        <v xml:space="preserve">* Población Migrantes-Hombres no debe ser mayor al Total de personas en PSCV. </v>
      </c>
      <c r="BH71" s="348" t="str">
        <f t="shared" si="44"/>
        <v xml:space="preserve">* Población Migrantes-Mujeres no debe ser mayor al Total de personas en PSCV. </v>
      </c>
      <c r="BI71" s="354"/>
      <c r="BJ71" s="354"/>
      <c r="BK71" s="348" t="str">
        <f t="shared" si="45"/>
        <v/>
      </c>
      <c r="BL71" s="348" t="str">
        <f t="shared" si="46"/>
        <v/>
      </c>
      <c r="BM71" s="354"/>
      <c r="BN71" s="354"/>
      <c r="BO71" s="354"/>
      <c r="BP71" s="354"/>
      <c r="BQ71" s="354"/>
      <c r="BR71" s="354"/>
      <c r="BS71" s="354"/>
      <c r="BT71" s="354"/>
      <c r="BU71" s="354"/>
      <c r="BV71" s="354"/>
      <c r="BW71" s="354"/>
      <c r="BX71" s="354"/>
      <c r="BY71" s="354"/>
      <c r="BZ71" s="354"/>
      <c r="CA71" s="354"/>
      <c r="CB71" s="354"/>
      <c r="CC71" s="354"/>
      <c r="CD71" s="354"/>
      <c r="CE71" s="354"/>
      <c r="CF71" s="354"/>
      <c r="CG71" s="354"/>
      <c r="CH71" s="354"/>
      <c r="CI71" s="354"/>
      <c r="CJ71" s="354"/>
      <c r="CK71" s="354"/>
      <c r="CL71" s="354"/>
      <c r="CM71" s="352"/>
      <c r="CN71" s="352"/>
      <c r="CO71" s="358">
        <f t="shared" si="47"/>
        <v>1</v>
      </c>
      <c r="CP71" s="358">
        <f t="shared" si="48"/>
        <v>1</v>
      </c>
      <c r="CQ71" s="358">
        <f t="shared" si="49"/>
        <v>1</v>
      </c>
      <c r="CR71" s="358">
        <f t="shared" si="50"/>
        <v>1</v>
      </c>
      <c r="CS71" s="352"/>
      <c r="CT71" s="352"/>
      <c r="CU71" s="352"/>
      <c r="CV71" s="352"/>
      <c r="CW71" s="358">
        <f t="shared" si="51"/>
        <v>0</v>
      </c>
      <c r="CX71" s="358">
        <f t="shared" si="52"/>
        <v>0</v>
      </c>
      <c r="CY71" s="352"/>
      <c r="CZ71" s="352"/>
      <c r="DA71" s="352"/>
      <c r="DB71" s="352"/>
      <c r="DC71" s="352"/>
      <c r="DD71" s="352"/>
      <c r="DE71" s="352"/>
      <c r="DF71" s="352"/>
      <c r="DG71" s="352"/>
      <c r="DH71" s="352"/>
      <c r="DI71" s="352"/>
      <c r="DJ71" s="352"/>
      <c r="DK71" s="352"/>
      <c r="DL71" s="352"/>
      <c r="DM71" s="352"/>
      <c r="DN71" s="352"/>
      <c r="DO71" s="352"/>
      <c r="DP71" s="352"/>
      <c r="DQ71" s="352"/>
      <c r="DR71" s="352"/>
      <c r="DS71" s="352"/>
      <c r="DT71" s="352"/>
    </row>
    <row r="72" spans="1:124" ht="18.75" customHeight="1" x14ac:dyDescent="0.25">
      <c r="A72" s="1641" t="s">
        <v>1242</v>
      </c>
      <c r="B72" s="1141" t="s">
        <v>616</v>
      </c>
      <c r="C72" s="974"/>
      <c r="D72" s="672" t="s">
        <v>1550</v>
      </c>
      <c r="E72" s="737" t="s">
        <v>1551</v>
      </c>
      <c r="F72" s="739" t="s">
        <v>1552</v>
      </c>
      <c r="G72" s="762" t="s">
        <v>1553</v>
      </c>
      <c r="H72" s="705" t="s">
        <v>1554</v>
      </c>
      <c r="I72" s="704" t="s">
        <v>1555</v>
      </c>
      <c r="J72" s="705" t="s">
        <v>1556</v>
      </c>
      <c r="K72" s="704" t="s">
        <v>1557</v>
      </c>
      <c r="L72" s="705" t="s">
        <v>1558</v>
      </c>
      <c r="M72" s="704" t="s">
        <v>1559</v>
      </c>
      <c r="N72" s="705" t="s">
        <v>1560</v>
      </c>
      <c r="O72" s="704" t="s">
        <v>1561</v>
      </c>
      <c r="P72" s="705" t="s">
        <v>1562</v>
      </c>
      <c r="Q72" s="704" t="s">
        <v>1563</v>
      </c>
      <c r="R72" s="705" t="s">
        <v>1564</v>
      </c>
      <c r="S72" s="704" t="s">
        <v>1565</v>
      </c>
      <c r="T72" s="705" t="s">
        <v>1566</v>
      </c>
      <c r="U72" s="704" t="s">
        <v>1567</v>
      </c>
      <c r="V72" s="705" t="s">
        <v>1568</v>
      </c>
      <c r="W72" s="704" t="s">
        <v>1569</v>
      </c>
      <c r="X72" s="705" t="s">
        <v>1570</v>
      </c>
      <c r="Y72" s="704" t="s">
        <v>1571</v>
      </c>
      <c r="Z72" s="705" t="s">
        <v>1572</v>
      </c>
      <c r="AA72" s="704" t="s">
        <v>1573</v>
      </c>
      <c r="AB72" s="705" t="s">
        <v>1574</v>
      </c>
      <c r="AC72" s="704" t="s">
        <v>1575</v>
      </c>
      <c r="AD72" s="705" t="s">
        <v>1576</v>
      </c>
      <c r="AE72" s="704" t="s">
        <v>1577</v>
      </c>
      <c r="AF72" s="705" t="s">
        <v>1578</v>
      </c>
      <c r="AG72" s="762" t="s">
        <v>1579</v>
      </c>
      <c r="AH72" s="706" t="s">
        <v>1580</v>
      </c>
      <c r="AI72" s="762" t="s">
        <v>1581</v>
      </c>
      <c r="AJ72" s="705" t="s">
        <v>1582</v>
      </c>
      <c r="AK72" s="762" t="s">
        <v>1583</v>
      </c>
      <c r="AL72" s="705" t="s">
        <v>1584</v>
      </c>
      <c r="AM72" s="343" t="str">
        <f t="shared" si="41"/>
        <v xml:space="preserve">* Pueblos Originarios-Hombres no debe ser mayor al Total de personas en PSCV. * Pueblos Originarios-Mujeres no debe ser mayor al Total de personas en PSCV. * Población Migrantes-Hombres no debe ser mayor al Total de personas en PSCV. * Población Migrantes-Mujeres no debe ser mayor al Total de personas en PSCV. </v>
      </c>
      <c r="BB72" s="354"/>
      <c r="BC72" s="354"/>
      <c r="BD72" s="354"/>
      <c r="BE72" s="348" t="str">
        <f t="shared" si="42"/>
        <v xml:space="preserve">* Pueblos Originarios-Hombres no debe ser mayor al Total de personas en PSCV. </v>
      </c>
      <c r="BF72" s="348" t="str">
        <f t="shared" si="38"/>
        <v xml:space="preserve">* Pueblos Originarios-Mujeres no debe ser mayor al Total de personas en PSCV. </v>
      </c>
      <c r="BG72" s="348" t="str">
        <f t="shared" si="43"/>
        <v xml:space="preserve">* Población Migrantes-Hombres no debe ser mayor al Total de personas en PSCV. </v>
      </c>
      <c r="BH72" s="348" t="str">
        <f t="shared" si="44"/>
        <v xml:space="preserve">* Población Migrantes-Mujeres no debe ser mayor al Total de personas en PSCV. </v>
      </c>
      <c r="BI72" s="354"/>
      <c r="BJ72" s="354"/>
      <c r="BK72" s="348" t="str">
        <f t="shared" si="45"/>
        <v/>
      </c>
      <c r="BL72" s="348" t="str">
        <f t="shared" si="46"/>
        <v/>
      </c>
      <c r="BM72" s="354"/>
      <c r="BN72" s="354"/>
      <c r="BO72" s="354"/>
      <c r="BP72" s="354"/>
      <c r="BQ72" s="354"/>
      <c r="BR72" s="354"/>
      <c r="BS72" s="354"/>
      <c r="BT72" s="354"/>
      <c r="BU72" s="354"/>
      <c r="BV72" s="354"/>
      <c r="BW72" s="354"/>
      <c r="BX72" s="354"/>
      <c r="BY72" s="354"/>
      <c r="BZ72" s="354"/>
      <c r="CA72" s="354"/>
      <c r="CB72" s="354"/>
      <c r="CC72" s="354"/>
      <c r="CD72" s="354"/>
      <c r="CE72" s="354"/>
      <c r="CF72" s="354"/>
      <c r="CG72" s="354"/>
      <c r="CH72" s="354"/>
      <c r="CI72" s="354"/>
      <c r="CJ72" s="354"/>
      <c r="CK72" s="354"/>
      <c r="CL72" s="354"/>
      <c r="CM72" s="352"/>
      <c r="CN72" s="352"/>
      <c r="CO72" s="358">
        <f t="shared" si="47"/>
        <v>1</v>
      </c>
      <c r="CP72" s="358">
        <f t="shared" si="48"/>
        <v>1</v>
      </c>
      <c r="CQ72" s="358">
        <f t="shared" si="49"/>
        <v>1</v>
      </c>
      <c r="CR72" s="358">
        <f t="shared" si="50"/>
        <v>1</v>
      </c>
      <c r="CS72" s="352"/>
      <c r="CT72" s="352"/>
      <c r="CU72" s="352"/>
      <c r="CV72" s="352"/>
      <c r="CW72" s="358">
        <f t="shared" si="51"/>
        <v>0</v>
      </c>
      <c r="CX72" s="358">
        <f t="shared" si="52"/>
        <v>0</v>
      </c>
      <c r="CY72" s="352"/>
      <c r="CZ72" s="352"/>
      <c r="DA72" s="352"/>
      <c r="DB72" s="352"/>
      <c r="DC72" s="352"/>
      <c r="DD72" s="352"/>
      <c r="DE72" s="352"/>
      <c r="DF72" s="352"/>
      <c r="DG72" s="352"/>
      <c r="DH72" s="352"/>
      <c r="DI72" s="352"/>
      <c r="DJ72" s="352"/>
      <c r="DK72" s="352"/>
      <c r="DL72" s="352"/>
      <c r="DM72" s="352"/>
      <c r="DN72" s="352"/>
      <c r="DO72" s="352"/>
      <c r="DP72" s="352"/>
      <c r="DQ72" s="352"/>
      <c r="DR72" s="352"/>
      <c r="DS72" s="352"/>
      <c r="DT72" s="352"/>
    </row>
    <row r="73" spans="1:124" ht="18.75" customHeight="1" x14ac:dyDescent="0.25">
      <c r="A73" s="1641" t="s">
        <v>1243</v>
      </c>
      <c r="B73" s="1141" t="s">
        <v>617</v>
      </c>
      <c r="C73" s="974"/>
      <c r="D73" s="672" t="s">
        <v>1550</v>
      </c>
      <c r="E73" s="737" t="s">
        <v>1551</v>
      </c>
      <c r="F73" s="739" t="s">
        <v>1552</v>
      </c>
      <c r="G73" s="760" t="s">
        <v>1553</v>
      </c>
      <c r="H73" s="853" t="s">
        <v>1554</v>
      </c>
      <c r="I73" s="684" t="s">
        <v>1555</v>
      </c>
      <c r="J73" s="685" t="s">
        <v>1556</v>
      </c>
      <c r="K73" s="760" t="s">
        <v>1557</v>
      </c>
      <c r="L73" s="685" t="s">
        <v>1558</v>
      </c>
      <c r="M73" s="760" t="s">
        <v>1559</v>
      </c>
      <c r="N73" s="685" t="s">
        <v>1560</v>
      </c>
      <c r="O73" s="760" t="s">
        <v>1561</v>
      </c>
      <c r="P73" s="685" t="s">
        <v>1562</v>
      </c>
      <c r="Q73" s="760" t="s">
        <v>1563</v>
      </c>
      <c r="R73" s="685" t="s">
        <v>1564</v>
      </c>
      <c r="S73" s="760" t="s">
        <v>1565</v>
      </c>
      <c r="T73" s="685" t="s">
        <v>1566</v>
      </c>
      <c r="U73" s="684" t="s">
        <v>1567</v>
      </c>
      <c r="V73" s="685" t="s">
        <v>1568</v>
      </c>
      <c r="W73" s="684" t="s">
        <v>1569</v>
      </c>
      <c r="X73" s="685" t="s">
        <v>1570</v>
      </c>
      <c r="Y73" s="684" t="s">
        <v>1571</v>
      </c>
      <c r="Z73" s="685" t="s">
        <v>1572</v>
      </c>
      <c r="AA73" s="684" t="s">
        <v>1573</v>
      </c>
      <c r="AB73" s="685" t="s">
        <v>1574</v>
      </c>
      <c r="AC73" s="684" t="s">
        <v>1575</v>
      </c>
      <c r="AD73" s="685" t="s">
        <v>1576</v>
      </c>
      <c r="AE73" s="684" t="s">
        <v>1577</v>
      </c>
      <c r="AF73" s="685" t="s">
        <v>1578</v>
      </c>
      <c r="AG73" s="760" t="s">
        <v>1579</v>
      </c>
      <c r="AH73" s="1419" t="s">
        <v>1580</v>
      </c>
      <c r="AI73" s="760" t="s">
        <v>1581</v>
      </c>
      <c r="AJ73" s="685" t="s">
        <v>1582</v>
      </c>
      <c r="AK73" s="760" t="s">
        <v>1583</v>
      </c>
      <c r="AL73" s="685" t="s">
        <v>1584</v>
      </c>
      <c r="AM73" s="343" t="str">
        <f t="shared" si="41"/>
        <v xml:space="preserve">* Pueblos Originarios-Hombres no debe ser mayor al Total de personas en PSCV. * Pueblos Originarios-Mujeres no debe ser mayor al Total de personas en PSCV. * Población Migrantes-Hombres no debe ser mayor al Total de personas en PSCV. * Población Migrantes-Mujeres no debe ser mayor al Total de personas en PSCV. </v>
      </c>
      <c r="BB73" s="354"/>
      <c r="BC73" s="354"/>
      <c r="BD73" s="354"/>
      <c r="BE73" s="348" t="str">
        <f t="shared" si="42"/>
        <v xml:space="preserve">* Pueblos Originarios-Hombres no debe ser mayor al Total de personas en PSCV. </v>
      </c>
      <c r="BF73" s="348" t="str">
        <f t="shared" si="38"/>
        <v xml:space="preserve">* Pueblos Originarios-Mujeres no debe ser mayor al Total de personas en PSCV. </v>
      </c>
      <c r="BG73" s="348" t="str">
        <f t="shared" si="43"/>
        <v xml:space="preserve">* Población Migrantes-Hombres no debe ser mayor al Total de personas en PSCV. </v>
      </c>
      <c r="BH73" s="348" t="str">
        <f t="shared" si="44"/>
        <v xml:space="preserve">* Población Migrantes-Mujeres no debe ser mayor al Total de personas en PSCV. </v>
      </c>
      <c r="BI73" s="354"/>
      <c r="BJ73" s="354"/>
      <c r="BK73" s="348" t="str">
        <f t="shared" si="45"/>
        <v/>
      </c>
      <c r="BL73" s="348" t="str">
        <f t="shared" si="46"/>
        <v/>
      </c>
      <c r="BM73" s="354"/>
      <c r="BN73" s="354"/>
      <c r="BO73" s="354"/>
      <c r="BP73" s="354"/>
      <c r="BQ73" s="354"/>
      <c r="BR73" s="354"/>
      <c r="BS73" s="354"/>
      <c r="BT73" s="354"/>
      <c r="BU73" s="354"/>
      <c r="BV73" s="354"/>
      <c r="BW73" s="354"/>
      <c r="BX73" s="354"/>
      <c r="BY73" s="354"/>
      <c r="BZ73" s="354"/>
      <c r="CA73" s="354"/>
      <c r="CB73" s="354"/>
      <c r="CC73" s="354"/>
      <c r="CD73" s="354"/>
      <c r="CE73" s="354"/>
      <c r="CF73" s="354"/>
      <c r="CG73" s="354"/>
      <c r="CH73" s="354"/>
      <c r="CI73" s="354"/>
      <c r="CJ73" s="354"/>
      <c r="CK73" s="354"/>
      <c r="CL73" s="354"/>
      <c r="CM73" s="352"/>
      <c r="CN73" s="352"/>
      <c r="CO73" s="358">
        <f t="shared" si="47"/>
        <v>1</v>
      </c>
      <c r="CP73" s="358">
        <f t="shared" si="48"/>
        <v>1</v>
      </c>
      <c r="CQ73" s="358">
        <f t="shared" si="49"/>
        <v>1</v>
      </c>
      <c r="CR73" s="358">
        <f t="shared" si="50"/>
        <v>1</v>
      </c>
      <c r="CS73" s="352"/>
      <c r="CT73" s="352"/>
      <c r="CU73" s="352"/>
      <c r="CV73" s="352"/>
      <c r="CW73" s="358">
        <f t="shared" si="51"/>
        <v>0</v>
      </c>
      <c r="CX73" s="358">
        <f t="shared" si="52"/>
        <v>0</v>
      </c>
      <c r="CY73" s="352"/>
      <c r="CZ73" s="352"/>
      <c r="DA73" s="352"/>
      <c r="DB73" s="352"/>
      <c r="DC73" s="352"/>
      <c r="DD73" s="352"/>
      <c r="DE73" s="352"/>
      <c r="DF73" s="352"/>
      <c r="DG73" s="352"/>
      <c r="DH73" s="352"/>
      <c r="DI73" s="352"/>
      <c r="DJ73" s="352"/>
      <c r="DK73" s="352"/>
      <c r="DL73" s="352"/>
      <c r="DM73" s="352"/>
      <c r="DN73" s="352"/>
      <c r="DO73" s="352"/>
      <c r="DP73" s="352"/>
      <c r="DQ73" s="352"/>
      <c r="DR73" s="352"/>
      <c r="DS73" s="352"/>
      <c r="DT73" s="352"/>
    </row>
    <row r="74" spans="1:124" ht="21.75" customHeight="1" x14ac:dyDescent="0.25">
      <c r="A74" s="1641" t="s">
        <v>1244</v>
      </c>
      <c r="B74" s="1310" t="s">
        <v>725</v>
      </c>
      <c r="C74" s="1193"/>
      <c r="D74" s="668" t="s">
        <v>1550</v>
      </c>
      <c r="E74" s="669" t="s">
        <v>1551</v>
      </c>
      <c r="F74" s="1413" t="s">
        <v>1552</v>
      </c>
      <c r="G74" s="758" t="s">
        <v>1553</v>
      </c>
      <c r="H74" s="858" t="s">
        <v>1554</v>
      </c>
      <c r="I74" s="700" t="s">
        <v>1555</v>
      </c>
      <c r="J74" s="701" t="s">
        <v>1556</v>
      </c>
      <c r="K74" s="758" t="s">
        <v>1557</v>
      </c>
      <c r="L74" s="701" t="s">
        <v>1558</v>
      </c>
      <c r="M74" s="758" t="s">
        <v>1559</v>
      </c>
      <c r="N74" s="701" t="s">
        <v>1560</v>
      </c>
      <c r="O74" s="758" t="s">
        <v>1561</v>
      </c>
      <c r="P74" s="701" t="s">
        <v>1562</v>
      </c>
      <c r="Q74" s="758" t="s">
        <v>1563</v>
      </c>
      <c r="R74" s="701" t="s">
        <v>1564</v>
      </c>
      <c r="S74" s="758" t="s">
        <v>1565</v>
      </c>
      <c r="T74" s="701" t="s">
        <v>1566</v>
      </c>
      <c r="U74" s="758" t="s">
        <v>1567</v>
      </c>
      <c r="V74" s="701" t="s">
        <v>1568</v>
      </c>
      <c r="W74" s="758" t="s">
        <v>1569</v>
      </c>
      <c r="X74" s="701" t="s">
        <v>1570</v>
      </c>
      <c r="Y74" s="758" t="s">
        <v>1571</v>
      </c>
      <c r="Z74" s="701" t="s">
        <v>1572</v>
      </c>
      <c r="AA74" s="758" t="s">
        <v>1573</v>
      </c>
      <c r="AB74" s="701" t="s">
        <v>1574</v>
      </c>
      <c r="AC74" s="758" t="s">
        <v>1575</v>
      </c>
      <c r="AD74" s="701" t="s">
        <v>1576</v>
      </c>
      <c r="AE74" s="758" t="s">
        <v>1577</v>
      </c>
      <c r="AF74" s="701" t="s">
        <v>1578</v>
      </c>
      <c r="AG74" s="758" t="s">
        <v>1579</v>
      </c>
      <c r="AH74" s="1418" t="s">
        <v>1580</v>
      </c>
      <c r="AI74" s="758" t="s">
        <v>1581</v>
      </c>
      <c r="AJ74" s="701" t="s">
        <v>1582</v>
      </c>
      <c r="AK74" s="758" t="s">
        <v>1583</v>
      </c>
      <c r="AL74" s="701" t="s">
        <v>1584</v>
      </c>
      <c r="AM74" s="343" t="str">
        <f t="shared" si="41"/>
        <v xml:space="preserve">* Pueblos Originarios-Hombres no debe ser mayor al Total de personas en PSCV. * Pueblos Originarios-Mujeres no debe ser mayor al Total de personas en PSCV. * Población Migrantes-Hombres no debe ser mayor al Total de personas en PSCV. * Población Migrantes-Mujeres no debe ser mayor al Total de personas en PSCV. </v>
      </c>
      <c r="BB74" s="354"/>
      <c r="BC74" s="354"/>
      <c r="BD74" s="354"/>
      <c r="BE74" s="348" t="str">
        <f t="shared" si="42"/>
        <v xml:space="preserve">* Pueblos Originarios-Hombres no debe ser mayor al Total de personas en PSCV. </v>
      </c>
      <c r="BF74" s="348" t="str">
        <f t="shared" si="38"/>
        <v xml:space="preserve">* Pueblos Originarios-Mujeres no debe ser mayor al Total de personas en PSCV. </v>
      </c>
      <c r="BG74" s="348" t="str">
        <f t="shared" si="43"/>
        <v xml:space="preserve">* Población Migrantes-Hombres no debe ser mayor al Total de personas en PSCV. </v>
      </c>
      <c r="BH74" s="348" t="str">
        <f t="shared" si="44"/>
        <v xml:space="preserve">* Población Migrantes-Mujeres no debe ser mayor al Total de personas en PSCV. </v>
      </c>
      <c r="BI74" s="354"/>
      <c r="BJ74" s="354"/>
      <c r="BK74" s="348" t="str">
        <f t="shared" si="45"/>
        <v/>
      </c>
      <c r="BL74" s="348" t="str">
        <f t="shared" si="46"/>
        <v/>
      </c>
      <c r="BM74" s="354"/>
      <c r="BN74" s="354"/>
      <c r="BO74" s="354"/>
      <c r="BP74" s="354"/>
      <c r="BQ74" s="354"/>
      <c r="BR74" s="354"/>
      <c r="BS74" s="354"/>
      <c r="BT74" s="354"/>
      <c r="BU74" s="354"/>
      <c r="BV74" s="354"/>
      <c r="BW74" s="354"/>
      <c r="BX74" s="354"/>
      <c r="BY74" s="354"/>
      <c r="BZ74" s="354"/>
      <c r="CA74" s="354"/>
      <c r="CB74" s="354"/>
      <c r="CC74" s="354"/>
      <c r="CD74" s="354"/>
      <c r="CE74" s="354"/>
      <c r="CF74" s="354"/>
      <c r="CG74" s="354"/>
      <c r="CH74" s="354"/>
      <c r="CI74" s="354"/>
      <c r="CJ74" s="354"/>
      <c r="CK74" s="354"/>
      <c r="CL74" s="354"/>
      <c r="CM74" s="352"/>
      <c r="CN74" s="352"/>
      <c r="CO74" s="358">
        <f t="shared" si="47"/>
        <v>1</v>
      </c>
      <c r="CP74" s="358">
        <f t="shared" si="48"/>
        <v>1</v>
      </c>
      <c r="CQ74" s="358">
        <f t="shared" si="49"/>
        <v>1</v>
      </c>
      <c r="CR74" s="358">
        <f t="shared" si="50"/>
        <v>1</v>
      </c>
      <c r="CS74" s="352"/>
      <c r="CT74" s="352"/>
      <c r="CU74" s="352"/>
      <c r="CV74" s="352"/>
      <c r="CW74" s="358">
        <f>IF(AND(E74&lt;&gt;0,AI74=""),1,IF(AND(F74&lt;&gt;0,AJ74=""),1,0))</f>
        <v>0</v>
      </c>
      <c r="CX74" s="358">
        <f>IF(AND(E74&lt;&gt;0,AK74=""),1,IF(AND(F74&lt;&gt;0,AL74=""),1,0))</f>
        <v>0</v>
      </c>
      <c r="CY74" s="352"/>
      <c r="CZ74" s="352"/>
      <c r="DA74" s="352"/>
      <c r="DB74" s="352"/>
      <c r="DC74" s="352"/>
      <c r="DD74" s="352"/>
      <c r="DE74" s="352"/>
      <c r="DF74" s="352"/>
      <c r="DG74" s="352"/>
      <c r="DH74" s="352"/>
      <c r="DI74" s="352"/>
      <c r="DJ74" s="352"/>
      <c r="DK74" s="352"/>
      <c r="DL74" s="352"/>
      <c r="DM74" s="352"/>
      <c r="DN74" s="352"/>
      <c r="DO74" s="352"/>
      <c r="DP74" s="352"/>
      <c r="DQ74" s="352"/>
      <c r="DR74" s="352"/>
      <c r="DS74" s="352"/>
      <c r="DT74" s="352"/>
    </row>
    <row r="75" spans="1:124" ht="18.75" customHeight="1" x14ac:dyDescent="0.2">
      <c r="A75" s="1629"/>
      <c r="B75" s="1142" t="s">
        <v>621</v>
      </c>
      <c r="C75" s="975"/>
      <c r="D75" s="2221"/>
      <c r="E75" s="2221"/>
      <c r="F75" s="2221"/>
      <c r="G75" s="2221"/>
      <c r="H75" s="2221"/>
      <c r="I75" s="2221"/>
      <c r="J75" s="2221"/>
      <c r="K75" s="2221"/>
      <c r="L75" s="2221"/>
      <c r="M75" s="2221"/>
      <c r="N75" s="2221"/>
      <c r="O75" s="2221"/>
      <c r="P75" s="2221"/>
      <c r="Q75" s="2221"/>
      <c r="R75" s="2221"/>
      <c r="S75" s="2221"/>
      <c r="T75" s="2221"/>
      <c r="U75" s="2221"/>
      <c r="V75" s="2221"/>
      <c r="W75" s="2221"/>
      <c r="X75" s="2221"/>
      <c r="Y75" s="2221"/>
      <c r="Z75" s="2221"/>
      <c r="AA75" s="2221"/>
      <c r="AB75" s="2221"/>
      <c r="AC75" s="2221"/>
      <c r="AD75" s="2221"/>
      <c r="AE75" s="2221"/>
      <c r="AF75" s="2221"/>
      <c r="AG75" s="2221"/>
      <c r="AH75" s="2221"/>
      <c r="AI75" s="2221"/>
      <c r="AJ75" s="2221"/>
      <c r="AK75" s="2221"/>
      <c r="AL75" s="2222"/>
      <c r="AM75" s="343"/>
      <c r="BB75" s="354"/>
      <c r="BC75" s="354"/>
      <c r="BD75" s="354"/>
      <c r="BE75" s="354"/>
      <c r="BF75" s="354"/>
      <c r="BG75" s="354"/>
      <c r="BH75" s="354"/>
      <c r="BI75" s="354"/>
      <c r="BJ75" s="354"/>
      <c r="BK75" s="354"/>
      <c r="BL75" s="354"/>
      <c r="BM75" s="354"/>
      <c r="BN75" s="354"/>
      <c r="BO75" s="354"/>
      <c r="BP75" s="354"/>
      <c r="BQ75" s="354"/>
      <c r="BR75" s="354"/>
      <c r="BS75" s="354"/>
      <c r="BT75" s="354"/>
      <c r="BU75" s="354"/>
      <c r="BV75" s="354"/>
      <c r="BW75" s="354"/>
      <c r="BX75" s="354"/>
      <c r="BY75" s="354"/>
      <c r="BZ75" s="354"/>
      <c r="CA75" s="354"/>
      <c r="CB75" s="354"/>
      <c r="CC75" s="354"/>
      <c r="CD75" s="354"/>
      <c r="CE75" s="354"/>
      <c r="CF75" s="354"/>
      <c r="CG75" s="354"/>
      <c r="CH75" s="354"/>
      <c r="CI75" s="354"/>
      <c r="CJ75" s="354"/>
      <c r="CK75" s="354"/>
      <c r="CL75" s="354"/>
      <c r="CM75" s="352"/>
      <c r="CN75" s="352"/>
      <c r="CO75" s="352"/>
      <c r="CP75" s="352"/>
      <c r="CQ75" s="352"/>
      <c r="CR75" s="352"/>
      <c r="CS75" s="352"/>
      <c r="CT75" s="352"/>
      <c r="CU75" s="352"/>
      <c r="CV75" s="352"/>
      <c r="CW75" s="352"/>
      <c r="CX75" s="352"/>
      <c r="CY75" s="352"/>
      <c r="CZ75" s="352"/>
      <c r="DA75" s="352"/>
      <c r="DB75" s="352"/>
      <c r="DC75" s="352"/>
      <c r="DD75" s="352"/>
      <c r="DE75" s="352"/>
      <c r="DF75" s="352"/>
      <c r="DG75" s="352"/>
      <c r="DH75" s="352"/>
      <c r="DI75" s="352"/>
      <c r="DJ75" s="352"/>
      <c r="DK75" s="352"/>
      <c r="DL75" s="352"/>
      <c r="DM75" s="352"/>
      <c r="DN75" s="352"/>
      <c r="DO75" s="352"/>
      <c r="DP75" s="352"/>
      <c r="DQ75" s="352"/>
      <c r="DR75" s="352"/>
      <c r="DS75" s="352"/>
      <c r="DT75" s="352"/>
    </row>
    <row r="76" spans="1:124" ht="20.25" customHeight="1" x14ac:dyDescent="0.25">
      <c r="A76" s="1641" t="s">
        <v>1245</v>
      </c>
      <c r="B76" s="2212" t="s">
        <v>314</v>
      </c>
      <c r="C76" s="2213"/>
      <c r="D76" s="671" t="s">
        <v>1550</v>
      </c>
      <c r="E76" s="737" t="s">
        <v>1551</v>
      </c>
      <c r="F76" s="749" t="s">
        <v>1552</v>
      </c>
      <c r="G76" s="704" t="s">
        <v>1553</v>
      </c>
      <c r="H76" s="705" t="s">
        <v>1554</v>
      </c>
      <c r="I76" s="704" t="s">
        <v>1555</v>
      </c>
      <c r="J76" s="705" t="s">
        <v>1556</v>
      </c>
      <c r="K76" s="704" t="s">
        <v>1557</v>
      </c>
      <c r="L76" s="705" t="s">
        <v>1558</v>
      </c>
      <c r="M76" s="704" t="s">
        <v>1559</v>
      </c>
      <c r="N76" s="705" t="s">
        <v>1560</v>
      </c>
      <c r="O76" s="704" t="s">
        <v>1561</v>
      </c>
      <c r="P76" s="705" t="s">
        <v>1562</v>
      </c>
      <c r="Q76" s="704" t="s">
        <v>1563</v>
      </c>
      <c r="R76" s="705" t="s">
        <v>1564</v>
      </c>
      <c r="S76" s="704" t="s">
        <v>1565</v>
      </c>
      <c r="T76" s="705" t="s">
        <v>1566</v>
      </c>
      <c r="U76" s="704" t="s">
        <v>1567</v>
      </c>
      <c r="V76" s="705" t="s">
        <v>1568</v>
      </c>
      <c r="W76" s="704" t="s">
        <v>1569</v>
      </c>
      <c r="X76" s="705" t="s">
        <v>1570</v>
      </c>
      <c r="Y76" s="704" t="s">
        <v>1571</v>
      </c>
      <c r="Z76" s="705" t="s">
        <v>1572</v>
      </c>
      <c r="AA76" s="704" t="s">
        <v>1573</v>
      </c>
      <c r="AB76" s="705" t="s">
        <v>1574</v>
      </c>
      <c r="AC76" s="704" t="s">
        <v>1575</v>
      </c>
      <c r="AD76" s="705" t="s">
        <v>1576</v>
      </c>
      <c r="AE76" s="704" t="s">
        <v>1577</v>
      </c>
      <c r="AF76" s="705" t="s">
        <v>1578</v>
      </c>
      <c r="AG76" s="762" t="s">
        <v>1579</v>
      </c>
      <c r="AH76" s="706" t="s">
        <v>1580</v>
      </c>
      <c r="AI76" s="762" t="s">
        <v>1581</v>
      </c>
      <c r="AJ76" s="705" t="s">
        <v>1582</v>
      </c>
      <c r="AK76" s="762" t="s">
        <v>1583</v>
      </c>
      <c r="AL76" s="705" t="s">
        <v>1584</v>
      </c>
      <c r="AM76" s="343" t="str">
        <f t="shared" si="41"/>
        <v xml:space="preserve">* Pueblos Originarios-Hombres no debe ser mayor al Total de personas en PSCV. * Pueblos Originarios-Mujeres no debe ser mayor al Total de personas en PSCV. * Población Migrantes-Hombres no debe ser mayor al Total de personas en PSCV. * Población Migrantes-Mujeres no debe ser mayor al Total de personas en PSCV. </v>
      </c>
      <c r="BB76" s="354"/>
      <c r="BC76" s="354"/>
      <c r="BD76" s="354"/>
      <c r="BE76" s="348" t="str">
        <f t="shared" si="42"/>
        <v xml:space="preserve">* Pueblos Originarios-Hombres no debe ser mayor al Total de personas en PSCV. </v>
      </c>
      <c r="BF76" s="348" t="str">
        <f t="shared" si="38"/>
        <v xml:space="preserve">* Pueblos Originarios-Mujeres no debe ser mayor al Total de personas en PSCV. </v>
      </c>
      <c r="BG76" s="348" t="str">
        <f t="shared" si="43"/>
        <v xml:space="preserve">* Población Migrantes-Hombres no debe ser mayor al Total de personas en PSCV. </v>
      </c>
      <c r="BH76" s="348" t="str">
        <f t="shared" si="44"/>
        <v xml:space="preserve">* Población Migrantes-Mujeres no debe ser mayor al Total de personas en PSCV. </v>
      </c>
      <c r="BI76" s="354"/>
      <c r="BJ76" s="354"/>
      <c r="BK76" s="348" t="str">
        <f t="shared" ref="BK76" si="53">IF(AND(E76&lt;&gt;0,AI76=""),"* No olvide escribir en la celda de 'Pueblos Originarios' (Digite CERO si no tiene). ",IF(AND(F76&lt;&gt;0,AJ76=""),"* No olvide escribir en la celda de 'Pueblos Originarios' (Digite CERO si no tiene). ",""))</f>
        <v/>
      </c>
      <c r="BL76" s="348" t="str">
        <f t="shared" ref="BL76" si="54">IF(AND(E76&lt;&gt;0,AK76=""),"* No olvide escribir en la celda de 'Población Migrantes' (Digite CERO si no tiene). ",IF(AND(F76&lt;&gt;0,AL76=""),"* No olvide escribir en la celda de 'Población Migrantes' (Digite CERO si no tiene). ",""))</f>
        <v/>
      </c>
      <c r="BM76" s="354"/>
      <c r="BN76" s="354"/>
      <c r="BO76" s="354"/>
      <c r="BP76" s="354"/>
      <c r="BQ76" s="354"/>
      <c r="BR76" s="354"/>
      <c r="BS76" s="354"/>
      <c r="BT76" s="354"/>
      <c r="BU76" s="354"/>
      <c r="BV76" s="354"/>
      <c r="BW76" s="354"/>
      <c r="BX76" s="354"/>
      <c r="BY76" s="354"/>
      <c r="BZ76" s="354"/>
      <c r="CA76" s="354"/>
      <c r="CB76" s="354"/>
      <c r="CC76" s="354"/>
      <c r="CD76" s="354"/>
      <c r="CE76" s="354"/>
      <c r="CF76" s="354"/>
      <c r="CG76" s="354"/>
      <c r="CH76" s="354"/>
      <c r="CI76" s="354"/>
      <c r="CJ76" s="354"/>
      <c r="CK76" s="354"/>
      <c r="CL76" s="354"/>
      <c r="CM76" s="352"/>
      <c r="CN76" s="352"/>
      <c r="CO76" s="358">
        <f t="shared" ref="CO76:CO86" si="55">IF($E76&gt;=$AI76,0,1)</f>
        <v>1</v>
      </c>
      <c r="CP76" s="358">
        <f t="shared" ref="CP76:CP86" si="56">IF($F76&gt;=$AJ76,0,1)</f>
        <v>1</v>
      </c>
      <c r="CQ76" s="358">
        <f t="shared" ref="CQ76:CQ86" si="57">IF($E76&gt;=$AK76,0,1)</f>
        <v>1</v>
      </c>
      <c r="CR76" s="358">
        <f t="shared" ref="CR76:CR86" si="58">IF($F76&gt;=$AL76,0,1)</f>
        <v>1</v>
      </c>
      <c r="CS76" s="352"/>
      <c r="CT76" s="352"/>
      <c r="CU76" s="352"/>
      <c r="CV76" s="352"/>
      <c r="CW76" s="358">
        <f>IF(AND(E76&lt;&gt;0,AI76=""),1,IF(AND(F76&lt;&gt;0,AJ76=""),1,0))</f>
        <v>0</v>
      </c>
      <c r="CX76" s="358">
        <f>IF(AND(E76&lt;&gt;0,AK76=""),1,IF(AND(F76&lt;&gt;0,AL76=""),1,0))</f>
        <v>0</v>
      </c>
      <c r="CY76" s="352"/>
      <c r="CZ76" s="352"/>
      <c r="DA76" s="352"/>
      <c r="DB76" s="352"/>
      <c r="DC76" s="352"/>
      <c r="DD76" s="352"/>
      <c r="DE76" s="352"/>
      <c r="DF76" s="352"/>
      <c r="DG76" s="352"/>
      <c r="DH76" s="352"/>
      <c r="DI76" s="352"/>
      <c r="DJ76" s="352"/>
      <c r="DK76" s="352"/>
      <c r="DL76" s="352"/>
      <c r="DM76" s="352"/>
      <c r="DN76" s="352"/>
      <c r="DO76" s="352"/>
      <c r="DP76" s="352"/>
      <c r="DQ76" s="352"/>
      <c r="DR76" s="352"/>
      <c r="DS76" s="352"/>
      <c r="DT76" s="352"/>
    </row>
    <row r="77" spans="1:124" ht="21.75" customHeight="1" x14ac:dyDescent="0.25">
      <c r="A77" s="1641" t="s">
        <v>1246</v>
      </c>
      <c r="B77" s="2200" t="s">
        <v>663</v>
      </c>
      <c r="C77" s="2201"/>
      <c r="D77" s="671" t="s">
        <v>1550</v>
      </c>
      <c r="E77" s="737" t="s">
        <v>1551</v>
      </c>
      <c r="F77" s="749" t="s">
        <v>1552</v>
      </c>
      <c r="G77" s="704" t="s">
        <v>1553</v>
      </c>
      <c r="H77" s="705" t="s">
        <v>1554</v>
      </c>
      <c r="I77" s="704" t="s">
        <v>1555</v>
      </c>
      <c r="J77" s="705" t="s">
        <v>1556</v>
      </c>
      <c r="K77" s="704" t="s">
        <v>1557</v>
      </c>
      <c r="L77" s="705" t="s">
        <v>1558</v>
      </c>
      <c r="M77" s="704" t="s">
        <v>1559</v>
      </c>
      <c r="N77" s="705" t="s">
        <v>1560</v>
      </c>
      <c r="O77" s="704" t="s">
        <v>1561</v>
      </c>
      <c r="P77" s="705" t="s">
        <v>1562</v>
      </c>
      <c r="Q77" s="704" t="s">
        <v>1563</v>
      </c>
      <c r="R77" s="705" t="s">
        <v>1564</v>
      </c>
      <c r="S77" s="704" t="s">
        <v>1565</v>
      </c>
      <c r="T77" s="705" t="s">
        <v>1566</v>
      </c>
      <c r="U77" s="704" t="s">
        <v>1567</v>
      </c>
      <c r="V77" s="705" t="s">
        <v>1568</v>
      </c>
      <c r="W77" s="704" t="s">
        <v>1569</v>
      </c>
      <c r="X77" s="705" t="s">
        <v>1570</v>
      </c>
      <c r="Y77" s="704" t="s">
        <v>1571</v>
      </c>
      <c r="Z77" s="705" t="s">
        <v>1572</v>
      </c>
      <c r="AA77" s="704" t="s">
        <v>1573</v>
      </c>
      <c r="AB77" s="705" t="s">
        <v>1574</v>
      </c>
      <c r="AC77" s="704" t="s">
        <v>1575</v>
      </c>
      <c r="AD77" s="705" t="s">
        <v>1576</v>
      </c>
      <c r="AE77" s="704" t="s">
        <v>1577</v>
      </c>
      <c r="AF77" s="705" t="s">
        <v>1578</v>
      </c>
      <c r="AG77" s="762" t="s">
        <v>1579</v>
      </c>
      <c r="AH77" s="706" t="s">
        <v>1580</v>
      </c>
      <c r="AI77" s="762" t="s">
        <v>1581</v>
      </c>
      <c r="AJ77" s="705" t="s">
        <v>1582</v>
      </c>
      <c r="AK77" s="762" t="s">
        <v>1583</v>
      </c>
      <c r="AL77" s="705" t="s">
        <v>1584</v>
      </c>
      <c r="AM77" s="343" t="str">
        <f t="shared" si="41"/>
        <v xml:space="preserve">* Pueblos Originarios-Hombres no debe ser mayor al Total de personas en PSCV. * Pueblos Originarios-Mujeres no debe ser mayor al Total de personas en PSCV. * Población Migrantes-Hombres no debe ser mayor al Total de personas en PSCV. * Población Migrantes-Mujeres no debe ser mayor al Total de personas en PSCV. </v>
      </c>
      <c r="BB77" s="354"/>
      <c r="BC77" s="354"/>
      <c r="BD77" s="354"/>
      <c r="BE77" s="348" t="str">
        <f t="shared" si="42"/>
        <v xml:space="preserve">* Pueblos Originarios-Hombres no debe ser mayor al Total de personas en PSCV. </v>
      </c>
      <c r="BF77" s="348" t="str">
        <f t="shared" si="38"/>
        <v xml:space="preserve">* Pueblos Originarios-Mujeres no debe ser mayor al Total de personas en PSCV. </v>
      </c>
      <c r="BG77" s="348" t="str">
        <f t="shared" si="43"/>
        <v xml:space="preserve">* Población Migrantes-Hombres no debe ser mayor al Total de personas en PSCV. </v>
      </c>
      <c r="BH77" s="348" t="str">
        <f t="shared" si="44"/>
        <v xml:space="preserve">* Población Migrantes-Mujeres no debe ser mayor al Total de personas en PSCV. </v>
      </c>
      <c r="BI77" s="354"/>
      <c r="BJ77" s="354"/>
      <c r="BK77" s="348" t="str">
        <f t="shared" ref="BK77:BK80" si="59">IF(AND(E77&lt;&gt;0,AI77=""),"* No olvide escribir en la celda de 'Pueblos Originarios' (Digite CERO si no tiene). ",IF(AND(F77&lt;&gt;0,AJ77=""),"* No olvide escribir en la celda de 'Pueblos Originarios' (Digite CERO si no tiene). ",""))</f>
        <v/>
      </c>
      <c r="BL77" s="348" t="str">
        <f t="shared" ref="BL77:BL80" si="60">IF(AND(E77&lt;&gt;0,AK77=""),"* No olvide escribir en la celda de 'Población Migrantes' (Digite CERO si no tiene). ",IF(AND(F77&lt;&gt;0,AL77=""),"* No olvide escribir en la celda de 'Población Migrantes' (Digite CERO si no tiene). ",""))</f>
        <v/>
      </c>
      <c r="BM77" s="354"/>
      <c r="BN77" s="354"/>
      <c r="BO77" s="354"/>
      <c r="BP77" s="354"/>
      <c r="BQ77" s="354"/>
      <c r="BR77" s="354"/>
      <c r="BS77" s="354"/>
      <c r="BT77" s="354"/>
      <c r="BU77" s="354"/>
      <c r="BV77" s="354"/>
      <c r="BW77" s="354"/>
      <c r="BX77" s="354"/>
      <c r="BY77" s="354"/>
      <c r="BZ77" s="354"/>
      <c r="CA77" s="354"/>
      <c r="CB77" s="354"/>
      <c r="CC77" s="354"/>
      <c r="CD77" s="354"/>
      <c r="CE77" s="354"/>
      <c r="CF77" s="354"/>
      <c r="CG77" s="354"/>
      <c r="CH77" s="354"/>
      <c r="CI77" s="354"/>
      <c r="CJ77" s="354"/>
      <c r="CK77" s="354"/>
      <c r="CL77" s="354"/>
      <c r="CM77" s="352"/>
      <c r="CN77" s="352"/>
      <c r="CO77" s="358">
        <f t="shared" si="55"/>
        <v>1</v>
      </c>
      <c r="CP77" s="358">
        <f t="shared" si="56"/>
        <v>1</v>
      </c>
      <c r="CQ77" s="358">
        <f t="shared" si="57"/>
        <v>1</v>
      </c>
      <c r="CR77" s="358">
        <f t="shared" si="58"/>
        <v>1</v>
      </c>
      <c r="CS77" s="352"/>
      <c r="CT77" s="352"/>
      <c r="CU77" s="352"/>
      <c r="CV77" s="352"/>
      <c r="CW77" s="358">
        <f t="shared" ref="CW77:CW79" si="61">IF(AND(E77&lt;&gt;0,AI77=""),1,IF(AND(F77&lt;&gt;0,AJ77=""),1,0))</f>
        <v>0</v>
      </c>
      <c r="CX77" s="358">
        <f t="shared" ref="CX77:CX80" si="62">IF(AND(E77&lt;&gt;0,AK77=""),1,IF(AND(F77&lt;&gt;0,AL77=""),1,0))</f>
        <v>0</v>
      </c>
      <c r="CY77" s="352"/>
      <c r="CZ77" s="352"/>
      <c r="DA77" s="352"/>
      <c r="DB77" s="352"/>
      <c r="DC77" s="352"/>
      <c r="DD77" s="352"/>
      <c r="DE77" s="352"/>
      <c r="DF77" s="352"/>
      <c r="DG77" s="352"/>
      <c r="DH77" s="352"/>
      <c r="DI77" s="352"/>
      <c r="DJ77" s="352"/>
      <c r="DK77" s="352"/>
      <c r="DL77" s="352"/>
      <c r="DM77" s="352"/>
      <c r="DN77" s="352"/>
      <c r="DO77" s="352"/>
      <c r="DP77" s="352"/>
      <c r="DQ77" s="352"/>
      <c r="DR77" s="352"/>
      <c r="DS77" s="352"/>
      <c r="DT77" s="352"/>
    </row>
    <row r="78" spans="1:124" ht="20.25" customHeight="1" x14ac:dyDescent="0.25">
      <c r="A78" s="1641" t="s">
        <v>1247</v>
      </c>
      <c r="B78" s="2174" t="s">
        <v>455</v>
      </c>
      <c r="C78" s="2175"/>
      <c r="D78" s="665" t="s">
        <v>1550</v>
      </c>
      <c r="E78" s="666" t="s">
        <v>1551</v>
      </c>
      <c r="F78" s="743" t="s">
        <v>1552</v>
      </c>
      <c r="G78" s="684" t="s">
        <v>1553</v>
      </c>
      <c r="H78" s="685" t="s">
        <v>1554</v>
      </c>
      <c r="I78" s="684" t="s">
        <v>1555</v>
      </c>
      <c r="J78" s="685" t="s">
        <v>1556</v>
      </c>
      <c r="K78" s="684" t="s">
        <v>1557</v>
      </c>
      <c r="L78" s="685" t="s">
        <v>1558</v>
      </c>
      <c r="M78" s="684" t="s">
        <v>1559</v>
      </c>
      <c r="N78" s="685" t="s">
        <v>1560</v>
      </c>
      <c r="O78" s="684" t="s">
        <v>1561</v>
      </c>
      <c r="P78" s="685" t="s">
        <v>1562</v>
      </c>
      <c r="Q78" s="684" t="s">
        <v>1563</v>
      </c>
      <c r="R78" s="685" t="s">
        <v>1564</v>
      </c>
      <c r="S78" s="684" t="s">
        <v>1565</v>
      </c>
      <c r="T78" s="685" t="s">
        <v>1566</v>
      </c>
      <c r="U78" s="684" t="s">
        <v>1567</v>
      </c>
      <c r="V78" s="685" t="s">
        <v>1568</v>
      </c>
      <c r="W78" s="684" t="s">
        <v>1569</v>
      </c>
      <c r="X78" s="685" t="s">
        <v>1570</v>
      </c>
      <c r="Y78" s="684" t="s">
        <v>1571</v>
      </c>
      <c r="Z78" s="685" t="s">
        <v>1572</v>
      </c>
      <c r="AA78" s="684" t="s">
        <v>1573</v>
      </c>
      <c r="AB78" s="685" t="s">
        <v>1574</v>
      </c>
      <c r="AC78" s="684" t="s">
        <v>1575</v>
      </c>
      <c r="AD78" s="685" t="s">
        <v>1576</v>
      </c>
      <c r="AE78" s="684" t="s">
        <v>1577</v>
      </c>
      <c r="AF78" s="685" t="s">
        <v>1578</v>
      </c>
      <c r="AG78" s="760" t="s">
        <v>1579</v>
      </c>
      <c r="AH78" s="693" t="s">
        <v>1580</v>
      </c>
      <c r="AI78" s="762" t="s">
        <v>1581</v>
      </c>
      <c r="AJ78" s="705" t="s">
        <v>1582</v>
      </c>
      <c r="AK78" s="762" t="s">
        <v>1583</v>
      </c>
      <c r="AL78" s="705" t="s">
        <v>1584</v>
      </c>
      <c r="AM78" s="343" t="str">
        <f t="shared" si="41"/>
        <v xml:space="preserve">* Pueblos Originarios-Hombres no debe ser mayor al Total de personas en PSCV. * Pueblos Originarios-Mujeres no debe ser mayor al Total de personas en PSCV. * Población Migrantes-Hombres no debe ser mayor al Total de personas en PSCV. * Población Migrantes-Mujeres no debe ser mayor al Total de personas en PSCV. </v>
      </c>
      <c r="BB78" s="354"/>
      <c r="BC78" s="354"/>
      <c r="BD78" s="354"/>
      <c r="BE78" s="348" t="str">
        <f t="shared" si="42"/>
        <v xml:space="preserve">* Pueblos Originarios-Hombres no debe ser mayor al Total de personas en PSCV. </v>
      </c>
      <c r="BF78" s="348" t="str">
        <f t="shared" si="38"/>
        <v xml:space="preserve">* Pueblos Originarios-Mujeres no debe ser mayor al Total de personas en PSCV. </v>
      </c>
      <c r="BG78" s="348" t="str">
        <f t="shared" si="43"/>
        <v xml:space="preserve">* Población Migrantes-Hombres no debe ser mayor al Total de personas en PSCV. </v>
      </c>
      <c r="BH78" s="348" t="str">
        <f t="shared" si="44"/>
        <v xml:space="preserve">* Población Migrantes-Mujeres no debe ser mayor al Total de personas en PSCV. </v>
      </c>
      <c r="BI78" s="354"/>
      <c r="BJ78" s="354"/>
      <c r="BK78" s="348" t="str">
        <f t="shared" si="59"/>
        <v/>
      </c>
      <c r="BL78" s="348" t="str">
        <f t="shared" si="60"/>
        <v/>
      </c>
      <c r="BM78" s="354"/>
      <c r="BN78" s="354"/>
      <c r="BO78" s="354"/>
      <c r="BP78" s="354"/>
      <c r="BQ78" s="354"/>
      <c r="BR78" s="354"/>
      <c r="BS78" s="354"/>
      <c r="BT78" s="354"/>
      <c r="BU78" s="354"/>
      <c r="BV78" s="354"/>
      <c r="BW78" s="354"/>
      <c r="BX78" s="354"/>
      <c r="BY78" s="354"/>
      <c r="BZ78" s="354"/>
      <c r="CA78" s="354"/>
      <c r="CB78" s="354"/>
      <c r="CC78" s="354"/>
      <c r="CD78" s="354"/>
      <c r="CE78" s="354"/>
      <c r="CF78" s="354"/>
      <c r="CG78" s="354"/>
      <c r="CH78" s="354"/>
      <c r="CI78" s="354"/>
      <c r="CJ78" s="354"/>
      <c r="CK78" s="354"/>
      <c r="CL78" s="354"/>
      <c r="CM78" s="352"/>
      <c r="CN78" s="352"/>
      <c r="CO78" s="358">
        <f t="shared" si="55"/>
        <v>1</v>
      </c>
      <c r="CP78" s="358">
        <f t="shared" si="56"/>
        <v>1</v>
      </c>
      <c r="CQ78" s="358">
        <f t="shared" si="57"/>
        <v>1</v>
      </c>
      <c r="CR78" s="358">
        <f t="shared" si="58"/>
        <v>1</v>
      </c>
      <c r="CS78" s="352"/>
      <c r="CT78" s="352"/>
      <c r="CU78" s="352"/>
      <c r="CV78" s="352"/>
      <c r="CW78" s="358">
        <f t="shared" si="61"/>
        <v>0</v>
      </c>
      <c r="CX78" s="358">
        <f t="shared" si="62"/>
        <v>0</v>
      </c>
      <c r="CY78" s="352"/>
      <c r="CZ78" s="352"/>
      <c r="DA78" s="352"/>
      <c r="DB78" s="352"/>
      <c r="DC78" s="352"/>
      <c r="DD78" s="352"/>
      <c r="DE78" s="352"/>
      <c r="DF78" s="352"/>
      <c r="DG78" s="352"/>
      <c r="DH78" s="352"/>
      <c r="DI78" s="352"/>
      <c r="DJ78" s="352"/>
      <c r="DK78" s="352"/>
      <c r="DL78" s="352"/>
      <c r="DM78" s="352"/>
      <c r="DN78" s="352"/>
      <c r="DO78" s="352"/>
      <c r="DP78" s="352"/>
      <c r="DQ78" s="352"/>
      <c r="DR78" s="352"/>
      <c r="DS78" s="352"/>
      <c r="DT78" s="352"/>
    </row>
    <row r="79" spans="1:124" ht="20.25" customHeight="1" x14ac:dyDescent="0.25">
      <c r="A79" s="1641" t="s">
        <v>1248</v>
      </c>
      <c r="B79" s="2200" t="s">
        <v>679</v>
      </c>
      <c r="C79" s="2201"/>
      <c r="D79" s="665" t="s">
        <v>1550</v>
      </c>
      <c r="E79" s="666" t="s">
        <v>1551</v>
      </c>
      <c r="F79" s="739" t="s">
        <v>1552</v>
      </c>
      <c r="G79" s="684" t="s">
        <v>1553</v>
      </c>
      <c r="H79" s="853" t="s">
        <v>1554</v>
      </c>
      <c r="I79" s="684" t="s">
        <v>1555</v>
      </c>
      <c r="J79" s="853" t="s">
        <v>1556</v>
      </c>
      <c r="K79" s="684" t="s">
        <v>1557</v>
      </c>
      <c r="L79" s="853" t="s">
        <v>1558</v>
      </c>
      <c r="M79" s="684" t="s">
        <v>1559</v>
      </c>
      <c r="N79" s="853" t="s">
        <v>1560</v>
      </c>
      <c r="O79" s="684" t="s">
        <v>1561</v>
      </c>
      <c r="P79" s="853" t="s">
        <v>1562</v>
      </c>
      <c r="Q79" s="684" t="s">
        <v>1563</v>
      </c>
      <c r="R79" s="853" t="s">
        <v>1564</v>
      </c>
      <c r="S79" s="760" t="s">
        <v>1565</v>
      </c>
      <c r="T79" s="853" t="s">
        <v>1566</v>
      </c>
      <c r="U79" s="760" t="s">
        <v>1567</v>
      </c>
      <c r="V79" s="853" t="s">
        <v>1568</v>
      </c>
      <c r="W79" s="760" t="s">
        <v>1569</v>
      </c>
      <c r="X79" s="853" t="s">
        <v>1570</v>
      </c>
      <c r="Y79" s="760" t="s">
        <v>1571</v>
      </c>
      <c r="Z79" s="853" t="s">
        <v>1572</v>
      </c>
      <c r="AA79" s="760" t="s">
        <v>1573</v>
      </c>
      <c r="AB79" s="853" t="s">
        <v>1574</v>
      </c>
      <c r="AC79" s="760" t="s">
        <v>1575</v>
      </c>
      <c r="AD79" s="853" t="s">
        <v>1576</v>
      </c>
      <c r="AE79" s="760" t="s">
        <v>1577</v>
      </c>
      <c r="AF79" s="853" t="s">
        <v>1578</v>
      </c>
      <c r="AG79" s="760" t="s">
        <v>1579</v>
      </c>
      <c r="AH79" s="1419" t="s">
        <v>1580</v>
      </c>
      <c r="AI79" s="760" t="s">
        <v>1581</v>
      </c>
      <c r="AJ79" s="853" t="s">
        <v>1582</v>
      </c>
      <c r="AK79" s="760" t="s">
        <v>1583</v>
      </c>
      <c r="AL79" s="853" t="s">
        <v>1584</v>
      </c>
      <c r="AM79" s="343" t="str">
        <f t="shared" si="41"/>
        <v xml:space="preserve">* Pueblos Originarios-Hombres no debe ser mayor al Total de personas en PSCV. * Pueblos Originarios-Mujeres no debe ser mayor al Total de personas en PSCV. * Población Migrantes-Hombres no debe ser mayor al Total de personas en PSCV. * Población Migrantes-Mujeres no debe ser mayor al Total de personas en PSCV. </v>
      </c>
      <c r="BB79" s="354"/>
      <c r="BC79" s="354"/>
      <c r="BD79" s="354"/>
      <c r="BE79" s="348" t="str">
        <f t="shared" si="42"/>
        <v xml:space="preserve">* Pueblos Originarios-Hombres no debe ser mayor al Total de personas en PSCV. </v>
      </c>
      <c r="BF79" s="348" t="str">
        <f t="shared" si="38"/>
        <v xml:space="preserve">* Pueblos Originarios-Mujeres no debe ser mayor al Total de personas en PSCV. </v>
      </c>
      <c r="BG79" s="348" t="str">
        <f t="shared" si="43"/>
        <v xml:space="preserve">* Población Migrantes-Hombres no debe ser mayor al Total de personas en PSCV. </v>
      </c>
      <c r="BH79" s="348" t="str">
        <f t="shared" si="44"/>
        <v xml:space="preserve">* Población Migrantes-Mujeres no debe ser mayor al Total de personas en PSCV. </v>
      </c>
      <c r="BI79" s="354"/>
      <c r="BJ79" s="354"/>
      <c r="BK79" s="348" t="str">
        <f t="shared" si="59"/>
        <v/>
      </c>
      <c r="BL79" s="348" t="str">
        <f t="shared" si="60"/>
        <v/>
      </c>
      <c r="BM79" s="354"/>
      <c r="BN79" s="354"/>
      <c r="BO79" s="354"/>
      <c r="BP79" s="354"/>
      <c r="BQ79" s="354"/>
      <c r="BR79" s="354"/>
      <c r="BS79" s="354"/>
      <c r="BT79" s="354"/>
      <c r="BU79" s="354"/>
      <c r="BV79" s="354"/>
      <c r="BW79" s="354"/>
      <c r="BX79" s="354"/>
      <c r="BY79" s="354"/>
      <c r="BZ79" s="354"/>
      <c r="CA79" s="354"/>
      <c r="CB79" s="354"/>
      <c r="CC79" s="354"/>
      <c r="CD79" s="354"/>
      <c r="CE79" s="354"/>
      <c r="CF79" s="354"/>
      <c r="CG79" s="354"/>
      <c r="CH79" s="354"/>
      <c r="CI79" s="354"/>
      <c r="CJ79" s="354"/>
      <c r="CK79" s="354"/>
      <c r="CL79" s="354"/>
      <c r="CM79" s="352"/>
      <c r="CN79" s="352"/>
      <c r="CO79" s="358">
        <f t="shared" si="55"/>
        <v>1</v>
      </c>
      <c r="CP79" s="358">
        <f t="shared" si="56"/>
        <v>1</v>
      </c>
      <c r="CQ79" s="358">
        <f t="shared" si="57"/>
        <v>1</v>
      </c>
      <c r="CR79" s="358">
        <f t="shared" si="58"/>
        <v>1</v>
      </c>
      <c r="CS79" s="352"/>
      <c r="CT79" s="352"/>
      <c r="CU79" s="352"/>
      <c r="CV79" s="352"/>
      <c r="CW79" s="358">
        <f t="shared" si="61"/>
        <v>0</v>
      </c>
      <c r="CX79" s="358">
        <f t="shared" si="62"/>
        <v>0</v>
      </c>
      <c r="CY79" s="352"/>
      <c r="CZ79" s="352"/>
      <c r="DA79" s="352"/>
      <c r="DB79" s="352"/>
      <c r="DC79" s="352"/>
      <c r="DD79" s="352"/>
      <c r="DE79" s="352"/>
      <c r="DF79" s="352"/>
      <c r="DG79" s="352"/>
      <c r="DH79" s="352"/>
      <c r="DI79" s="352"/>
      <c r="DJ79" s="352"/>
      <c r="DK79" s="352"/>
      <c r="DL79" s="352"/>
      <c r="DM79" s="352"/>
      <c r="DN79" s="352"/>
      <c r="DO79" s="352"/>
      <c r="DP79" s="352"/>
      <c r="DQ79" s="352"/>
      <c r="DR79" s="352"/>
      <c r="DS79" s="352"/>
      <c r="DT79" s="352"/>
    </row>
    <row r="80" spans="1:124" ht="20.25" customHeight="1" x14ac:dyDescent="0.25">
      <c r="A80" s="1641" t="s">
        <v>1249</v>
      </c>
      <c r="B80" s="2216" t="s">
        <v>691</v>
      </c>
      <c r="C80" s="2217"/>
      <c r="D80" s="694" t="s">
        <v>1550</v>
      </c>
      <c r="E80" s="1412" t="s">
        <v>1551</v>
      </c>
      <c r="F80" s="1413" t="s">
        <v>1552</v>
      </c>
      <c r="G80" s="689" t="s">
        <v>1553</v>
      </c>
      <c r="H80" s="858" t="s">
        <v>1554</v>
      </c>
      <c r="I80" s="700" t="s">
        <v>1555</v>
      </c>
      <c r="J80" s="858" t="s">
        <v>1556</v>
      </c>
      <c r="K80" s="700" t="s">
        <v>1557</v>
      </c>
      <c r="L80" s="858" t="s">
        <v>1558</v>
      </c>
      <c r="M80" s="700" t="s">
        <v>1559</v>
      </c>
      <c r="N80" s="858" t="s">
        <v>1560</v>
      </c>
      <c r="O80" s="700" t="s">
        <v>1561</v>
      </c>
      <c r="P80" s="858" t="s">
        <v>1562</v>
      </c>
      <c r="Q80" s="700" t="s">
        <v>1563</v>
      </c>
      <c r="R80" s="858" t="s">
        <v>1564</v>
      </c>
      <c r="S80" s="758" t="s">
        <v>1565</v>
      </c>
      <c r="T80" s="858" t="s">
        <v>1566</v>
      </c>
      <c r="U80" s="758" t="s">
        <v>1567</v>
      </c>
      <c r="V80" s="858" t="s">
        <v>1568</v>
      </c>
      <c r="W80" s="758" t="s">
        <v>1569</v>
      </c>
      <c r="X80" s="858" t="s">
        <v>1570</v>
      </c>
      <c r="Y80" s="758" t="s">
        <v>1571</v>
      </c>
      <c r="Z80" s="858" t="s">
        <v>1572</v>
      </c>
      <c r="AA80" s="758" t="s">
        <v>1573</v>
      </c>
      <c r="AB80" s="858" t="s">
        <v>1574</v>
      </c>
      <c r="AC80" s="758" t="s">
        <v>1575</v>
      </c>
      <c r="AD80" s="858" t="s">
        <v>1576</v>
      </c>
      <c r="AE80" s="758" t="s">
        <v>1577</v>
      </c>
      <c r="AF80" s="858" t="s">
        <v>1578</v>
      </c>
      <c r="AG80" s="758" t="s">
        <v>1579</v>
      </c>
      <c r="AH80" s="1418" t="s">
        <v>1580</v>
      </c>
      <c r="AI80" s="758" t="s">
        <v>1581</v>
      </c>
      <c r="AJ80" s="858" t="s">
        <v>1582</v>
      </c>
      <c r="AK80" s="758" t="s">
        <v>1583</v>
      </c>
      <c r="AL80" s="858" t="s">
        <v>1584</v>
      </c>
      <c r="AM80" s="343" t="str">
        <f t="shared" si="41"/>
        <v xml:space="preserve">* Pueblos Originarios-Hombres no debe ser mayor al Total de personas en PSCV. * Pueblos Originarios-Mujeres no debe ser mayor al Total de personas en PSCV. * Población Migrantes-Hombres no debe ser mayor al Total de personas en PSCV. * Población Migrantes-Mujeres no debe ser mayor al Total de personas en PSCV. </v>
      </c>
      <c r="BB80" s="354"/>
      <c r="BC80" s="354"/>
      <c r="BD80" s="354"/>
      <c r="BE80" s="348" t="str">
        <f t="shared" si="42"/>
        <v xml:space="preserve">* Pueblos Originarios-Hombres no debe ser mayor al Total de personas en PSCV. </v>
      </c>
      <c r="BF80" s="348" t="str">
        <f t="shared" si="38"/>
        <v xml:space="preserve">* Pueblos Originarios-Mujeres no debe ser mayor al Total de personas en PSCV. </v>
      </c>
      <c r="BG80" s="348" t="str">
        <f t="shared" si="43"/>
        <v xml:space="preserve">* Población Migrantes-Hombres no debe ser mayor al Total de personas en PSCV. </v>
      </c>
      <c r="BH80" s="348" t="str">
        <f t="shared" si="44"/>
        <v xml:space="preserve">* Población Migrantes-Mujeres no debe ser mayor al Total de personas en PSCV. </v>
      </c>
      <c r="BI80" s="354"/>
      <c r="BJ80" s="354"/>
      <c r="BK80" s="348" t="str">
        <f t="shared" si="59"/>
        <v/>
      </c>
      <c r="BL80" s="348" t="str">
        <f t="shared" si="60"/>
        <v/>
      </c>
      <c r="BM80" s="354"/>
      <c r="BN80" s="354"/>
      <c r="BO80" s="354"/>
      <c r="BP80" s="354"/>
      <c r="BQ80" s="354"/>
      <c r="BR80" s="354"/>
      <c r="BS80" s="354"/>
      <c r="BT80" s="354"/>
      <c r="BU80" s="354"/>
      <c r="BV80" s="354"/>
      <c r="BW80" s="354"/>
      <c r="BX80" s="354"/>
      <c r="BY80" s="354"/>
      <c r="BZ80" s="354"/>
      <c r="CA80" s="354"/>
      <c r="CB80" s="354"/>
      <c r="CC80" s="354"/>
      <c r="CD80" s="354"/>
      <c r="CE80" s="354"/>
      <c r="CF80" s="354"/>
      <c r="CG80" s="354"/>
      <c r="CH80" s="354"/>
      <c r="CI80" s="354"/>
      <c r="CJ80" s="354"/>
      <c r="CK80" s="354"/>
      <c r="CL80" s="354"/>
      <c r="CM80" s="352"/>
      <c r="CN80" s="352"/>
      <c r="CO80" s="358">
        <f t="shared" si="55"/>
        <v>1</v>
      </c>
      <c r="CP80" s="358">
        <f t="shared" si="56"/>
        <v>1</v>
      </c>
      <c r="CQ80" s="358">
        <f t="shared" si="57"/>
        <v>1</v>
      </c>
      <c r="CR80" s="358">
        <f t="shared" si="58"/>
        <v>1</v>
      </c>
      <c r="CS80" s="352"/>
      <c r="CT80" s="352"/>
      <c r="CU80" s="352"/>
      <c r="CV80" s="352"/>
      <c r="CW80" s="358">
        <f>IF(AND(E80&lt;&gt;0,AI80=""),1,IF(AND(F80&lt;&gt;0,AJ80=""),1,0))</f>
        <v>0</v>
      </c>
      <c r="CX80" s="358">
        <f t="shared" si="62"/>
        <v>0</v>
      </c>
      <c r="CY80" s="352"/>
      <c r="CZ80" s="352"/>
      <c r="DA80" s="352"/>
      <c r="DB80" s="352"/>
      <c r="DC80" s="352"/>
      <c r="DD80" s="352"/>
      <c r="DE80" s="352"/>
      <c r="DF80" s="352"/>
      <c r="DG80" s="352"/>
      <c r="DH80" s="352"/>
      <c r="DI80" s="352"/>
      <c r="DJ80" s="352"/>
      <c r="DK80" s="352"/>
      <c r="DL80" s="352"/>
      <c r="DM80" s="352"/>
      <c r="DN80" s="352"/>
      <c r="DO80" s="352"/>
      <c r="DP80" s="352"/>
      <c r="DQ80" s="352"/>
      <c r="DR80" s="352"/>
      <c r="DS80" s="352"/>
      <c r="DT80" s="352"/>
    </row>
    <row r="81" spans="1:124" ht="20.25" customHeight="1" x14ac:dyDescent="0.2">
      <c r="A81" s="1629"/>
      <c r="B81" s="2172" t="s">
        <v>365</v>
      </c>
      <c r="C81" s="2173"/>
      <c r="D81" s="2205"/>
      <c r="E81" s="2205"/>
      <c r="F81" s="2205"/>
      <c r="G81" s="2205"/>
      <c r="H81" s="2205"/>
      <c r="I81" s="2205"/>
      <c r="J81" s="2205"/>
      <c r="K81" s="2205"/>
      <c r="L81" s="2205"/>
      <c r="M81" s="2205"/>
      <c r="N81" s="2205"/>
      <c r="O81" s="2205"/>
      <c r="P81" s="2205"/>
      <c r="Q81" s="2205"/>
      <c r="R81" s="2205"/>
      <c r="S81" s="2205"/>
      <c r="T81" s="2205"/>
      <c r="U81" s="2205"/>
      <c r="V81" s="2205"/>
      <c r="W81" s="2205"/>
      <c r="X81" s="2205"/>
      <c r="Y81" s="2205"/>
      <c r="Z81" s="2205"/>
      <c r="AA81" s="2205"/>
      <c r="AB81" s="2205"/>
      <c r="AC81" s="2205"/>
      <c r="AD81" s="2205"/>
      <c r="AE81" s="2205"/>
      <c r="AF81" s="2205"/>
      <c r="AG81" s="2205"/>
      <c r="AH81" s="2205"/>
      <c r="AI81" s="2205"/>
      <c r="AJ81" s="2205"/>
      <c r="AK81" s="2205"/>
      <c r="AL81" s="2223"/>
      <c r="AM81" s="343"/>
      <c r="BB81" s="354"/>
      <c r="BC81" s="354"/>
      <c r="BD81" s="354"/>
      <c r="BE81" s="354"/>
      <c r="BF81" s="354"/>
      <c r="BG81" s="354"/>
      <c r="BH81" s="354"/>
      <c r="BI81" s="354"/>
      <c r="BJ81" s="354"/>
      <c r="BK81" s="354"/>
      <c r="BL81" s="354"/>
      <c r="BM81" s="354"/>
      <c r="BN81" s="354"/>
      <c r="BO81" s="354"/>
      <c r="BP81" s="354"/>
      <c r="BQ81" s="354"/>
      <c r="BR81" s="354"/>
      <c r="BS81" s="354"/>
      <c r="BT81" s="354"/>
      <c r="BU81" s="354"/>
      <c r="BV81" s="354"/>
      <c r="BW81" s="354"/>
      <c r="BX81" s="354"/>
      <c r="BY81" s="354"/>
      <c r="BZ81" s="354"/>
      <c r="CA81" s="354"/>
      <c r="CB81" s="354"/>
      <c r="CC81" s="354"/>
      <c r="CD81" s="354"/>
      <c r="CE81" s="354"/>
      <c r="CF81" s="354"/>
      <c r="CG81" s="354"/>
      <c r="CH81" s="354"/>
      <c r="CI81" s="354"/>
      <c r="CJ81" s="354"/>
      <c r="CK81" s="354"/>
      <c r="CL81" s="354"/>
      <c r="CM81" s="352"/>
      <c r="CN81" s="352"/>
      <c r="CO81" s="352"/>
      <c r="CP81" s="352"/>
      <c r="CQ81" s="352"/>
      <c r="CR81" s="352"/>
      <c r="CS81" s="352"/>
      <c r="CT81" s="352"/>
      <c r="CU81" s="352"/>
      <c r="CV81" s="352"/>
      <c r="CW81" s="352"/>
      <c r="CX81" s="352"/>
      <c r="CY81" s="352"/>
      <c r="CZ81" s="352"/>
      <c r="DA81" s="352"/>
      <c r="DB81" s="352"/>
      <c r="DC81" s="352"/>
      <c r="DD81" s="352"/>
      <c r="DE81" s="352"/>
      <c r="DF81" s="352"/>
      <c r="DG81" s="352"/>
      <c r="DH81" s="352"/>
      <c r="DI81" s="352"/>
      <c r="DJ81" s="352"/>
      <c r="DK81" s="352"/>
      <c r="DL81" s="352"/>
      <c r="DM81" s="352"/>
      <c r="DN81" s="352"/>
      <c r="DO81" s="352"/>
      <c r="DP81" s="352"/>
      <c r="DQ81" s="352"/>
      <c r="DR81" s="352"/>
      <c r="DS81" s="352"/>
      <c r="DT81" s="352"/>
    </row>
    <row r="82" spans="1:124" ht="20.25" customHeight="1" x14ac:dyDescent="0.25">
      <c r="A82" s="1641" t="s">
        <v>1250</v>
      </c>
      <c r="B82" s="2228" t="s">
        <v>586</v>
      </c>
      <c r="C82" s="2229"/>
      <c r="D82" s="663" t="s">
        <v>1550</v>
      </c>
      <c r="E82" s="664" t="s">
        <v>1551</v>
      </c>
      <c r="F82" s="742" t="s">
        <v>1552</v>
      </c>
      <c r="G82" s="680" t="s">
        <v>1553</v>
      </c>
      <c r="H82" s="681" t="s">
        <v>1554</v>
      </c>
      <c r="I82" s="680" t="s">
        <v>1555</v>
      </c>
      <c r="J82" s="681" t="s">
        <v>1556</v>
      </c>
      <c r="K82" s="680" t="s">
        <v>1557</v>
      </c>
      <c r="L82" s="681" t="s">
        <v>1558</v>
      </c>
      <c r="M82" s="680" t="s">
        <v>1559</v>
      </c>
      <c r="N82" s="681" t="s">
        <v>1560</v>
      </c>
      <c r="O82" s="680" t="s">
        <v>1561</v>
      </c>
      <c r="P82" s="681" t="s">
        <v>1562</v>
      </c>
      <c r="Q82" s="680" t="s">
        <v>1563</v>
      </c>
      <c r="R82" s="681" t="s">
        <v>1564</v>
      </c>
      <c r="S82" s="680" t="s">
        <v>1565</v>
      </c>
      <c r="T82" s="681" t="s">
        <v>1566</v>
      </c>
      <c r="U82" s="680" t="s">
        <v>1567</v>
      </c>
      <c r="V82" s="681" t="s">
        <v>1568</v>
      </c>
      <c r="W82" s="680" t="s">
        <v>1569</v>
      </c>
      <c r="X82" s="681" t="s">
        <v>1570</v>
      </c>
      <c r="Y82" s="680" t="s">
        <v>1571</v>
      </c>
      <c r="Z82" s="681" t="s">
        <v>1572</v>
      </c>
      <c r="AA82" s="724" t="s">
        <v>1573</v>
      </c>
      <c r="AB82" s="725" t="s">
        <v>1574</v>
      </c>
      <c r="AC82" s="724" t="s">
        <v>1575</v>
      </c>
      <c r="AD82" s="725" t="s">
        <v>1576</v>
      </c>
      <c r="AE82" s="724" t="s">
        <v>1577</v>
      </c>
      <c r="AF82" s="725" t="s">
        <v>1578</v>
      </c>
      <c r="AG82" s="1421" t="s">
        <v>1579</v>
      </c>
      <c r="AH82" s="909" t="s">
        <v>1580</v>
      </c>
      <c r="AI82" s="762" t="s">
        <v>1581</v>
      </c>
      <c r="AJ82" s="705" t="s">
        <v>1582</v>
      </c>
      <c r="AK82" s="762" t="s">
        <v>1583</v>
      </c>
      <c r="AL82" s="705" t="s">
        <v>1584</v>
      </c>
      <c r="AM82" s="343" t="str">
        <f t="shared" si="41"/>
        <v xml:space="preserve">* Pueblos Originarios-Hombres no debe ser mayor al Total de personas en PSCV. * Pueblos Originarios-Mujeres no debe ser mayor al Total de personas en PSCV. * Población Migrantes-Hombres no debe ser mayor al Total de personas en PSCV. * Población Migrantes-Mujeres no debe ser mayor al Total de personas en PSCV. </v>
      </c>
      <c r="BB82" s="354"/>
      <c r="BC82" s="354"/>
      <c r="BD82" s="354"/>
      <c r="BE82" s="348" t="str">
        <f t="shared" si="42"/>
        <v xml:space="preserve">* Pueblos Originarios-Hombres no debe ser mayor al Total de personas en PSCV. </v>
      </c>
      <c r="BF82" s="348" t="str">
        <f t="shared" si="38"/>
        <v xml:space="preserve">* Pueblos Originarios-Mujeres no debe ser mayor al Total de personas en PSCV. </v>
      </c>
      <c r="BG82" s="348" t="str">
        <f t="shared" si="43"/>
        <v xml:space="preserve">* Población Migrantes-Hombres no debe ser mayor al Total de personas en PSCV. </v>
      </c>
      <c r="BH82" s="348" t="str">
        <f t="shared" si="44"/>
        <v xml:space="preserve">* Población Migrantes-Mujeres no debe ser mayor al Total de personas en PSCV. </v>
      </c>
      <c r="BI82" s="354"/>
      <c r="BJ82" s="354"/>
      <c r="BK82" s="348" t="str">
        <f t="shared" ref="BK82" si="63">IF(AND(E82&lt;&gt;0,AI82=""),"* No olvide escribir en la celda de 'Pueblos Originarios' (Digite CERO si no tiene). ",IF(AND(F82&lt;&gt;0,AJ82=""),"* No olvide escribir en la celda de 'Pueblos Originarios' (Digite CERO si no tiene). ",""))</f>
        <v/>
      </c>
      <c r="BL82" s="348" t="str">
        <f t="shared" ref="BL82" si="64">IF(AND(E82&lt;&gt;0,AK82=""),"* No olvide escribir en la celda de 'Población Migrantes' (Digite CERO si no tiene). ",IF(AND(F82&lt;&gt;0,AL82=""),"* No olvide escribir en la celda de 'Población Migrantes' (Digite CERO si no tiene). ",""))</f>
        <v/>
      </c>
      <c r="BM82" s="354"/>
      <c r="BN82" s="354"/>
      <c r="BO82" s="354"/>
      <c r="BP82" s="354"/>
      <c r="BQ82" s="354"/>
      <c r="BR82" s="354"/>
      <c r="BS82" s="354"/>
      <c r="BT82" s="354"/>
      <c r="BU82" s="354"/>
      <c r="BV82" s="354"/>
      <c r="BW82" s="354"/>
      <c r="BX82" s="354"/>
      <c r="BY82" s="354"/>
      <c r="BZ82" s="354"/>
      <c r="CA82" s="354"/>
      <c r="CB82" s="354"/>
      <c r="CC82" s="354"/>
      <c r="CD82" s="354"/>
      <c r="CE82" s="354"/>
      <c r="CF82" s="354"/>
      <c r="CG82" s="354"/>
      <c r="CH82" s="354"/>
      <c r="CI82" s="354"/>
      <c r="CJ82" s="354"/>
      <c r="CK82" s="354"/>
      <c r="CL82" s="354"/>
      <c r="CM82" s="352"/>
      <c r="CN82" s="352"/>
      <c r="CO82" s="358">
        <f t="shared" si="55"/>
        <v>1</v>
      </c>
      <c r="CP82" s="358">
        <f t="shared" si="56"/>
        <v>1</v>
      </c>
      <c r="CQ82" s="358">
        <f t="shared" si="57"/>
        <v>1</v>
      </c>
      <c r="CR82" s="358">
        <f t="shared" si="58"/>
        <v>1</v>
      </c>
      <c r="CS82" s="352"/>
      <c r="CT82" s="352"/>
      <c r="CU82" s="352"/>
      <c r="CV82" s="352"/>
      <c r="CW82" s="358">
        <f>IF(AND(E82&lt;&gt;0,AI82=""),1,IF(AND(F82&lt;&gt;0,AJ82=""),1,0))</f>
        <v>0</v>
      </c>
      <c r="CX82" s="358">
        <f>IF(AND(E82&lt;&gt;0,AK82=""),1,IF(AND(F82&lt;&gt;0,AL82=""),1,0))</f>
        <v>0</v>
      </c>
      <c r="CY82" s="352"/>
      <c r="CZ82" s="352"/>
      <c r="DA82" s="352"/>
      <c r="DB82" s="352"/>
      <c r="DC82" s="352"/>
      <c r="DD82" s="352"/>
      <c r="DE82" s="352"/>
      <c r="DF82" s="352"/>
      <c r="DG82" s="352"/>
      <c r="DH82" s="352"/>
      <c r="DI82" s="352"/>
      <c r="DJ82" s="352"/>
      <c r="DK82" s="352"/>
      <c r="DL82" s="352"/>
      <c r="DM82" s="352"/>
      <c r="DN82" s="352"/>
      <c r="DO82" s="352"/>
      <c r="DP82" s="352"/>
      <c r="DQ82" s="352"/>
      <c r="DR82" s="352"/>
      <c r="DS82" s="352"/>
      <c r="DT82" s="352"/>
    </row>
    <row r="83" spans="1:124" ht="20.25" customHeight="1" x14ac:dyDescent="0.25">
      <c r="A83" s="1641" t="s">
        <v>1251</v>
      </c>
      <c r="B83" s="2174" t="s">
        <v>587</v>
      </c>
      <c r="C83" s="2175"/>
      <c r="D83" s="671" t="s">
        <v>1550</v>
      </c>
      <c r="E83" s="737" t="s">
        <v>1551</v>
      </c>
      <c r="F83" s="749" t="s">
        <v>1552</v>
      </c>
      <c r="G83" s="862" t="s">
        <v>1553</v>
      </c>
      <c r="H83" s="863" t="s">
        <v>1554</v>
      </c>
      <c r="I83" s="862" t="s">
        <v>1555</v>
      </c>
      <c r="J83" s="863" t="s">
        <v>1556</v>
      </c>
      <c r="K83" s="862" t="s">
        <v>1557</v>
      </c>
      <c r="L83" s="863" t="s">
        <v>1558</v>
      </c>
      <c r="M83" s="862" t="s">
        <v>1559</v>
      </c>
      <c r="N83" s="863" t="s">
        <v>1560</v>
      </c>
      <c r="O83" s="862" t="s">
        <v>1561</v>
      </c>
      <c r="P83" s="863" t="s">
        <v>1562</v>
      </c>
      <c r="Q83" s="862" t="s">
        <v>1563</v>
      </c>
      <c r="R83" s="863" t="s">
        <v>1564</v>
      </c>
      <c r="S83" s="862" t="s">
        <v>1565</v>
      </c>
      <c r="T83" s="863" t="s">
        <v>1566</v>
      </c>
      <c r="U83" s="862" t="s">
        <v>1567</v>
      </c>
      <c r="V83" s="863" t="s">
        <v>1568</v>
      </c>
      <c r="W83" s="862" t="s">
        <v>1569</v>
      </c>
      <c r="X83" s="863" t="s">
        <v>1570</v>
      </c>
      <c r="Y83" s="862" t="s">
        <v>1571</v>
      </c>
      <c r="Z83" s="863" t="s">
        <v>1572</v>
      </c>
      <c r="AA83" s="704" t="s">
        <v>1573</v>
      </c>
      <c r="AB83" s="705" t="s">
        <v>1574</v>
      </c>
      <c r="AC83" s="704" t="s">
        <v>1575</v>
      </c>
      <c r="AD83" s="705" t="s">
        <v>1576</v>
      </c>
      <c r="AE83" s="704" t="s">
        <v>1577</v>
      </c>
      <c r="AF83" s="705" t="s">
        <v>1578</v>
      </c>
      <c r="AG83" s="762" t="s">
        <v>1579</v>
      </c>
      <c r="AH83" s="706" t="s">
        <v>1580</v>
      </c>
      <c r="AI83" s="762" t="s">
        <v>1581</v>
      </c>
      <c r="AJ83" s="705" t="s">
        <v>1582</v>
      </c>
      <c r="AK83" s="762" t="s">
        <v>1583</v>
      </c>
      <c r="AL83" s="705" t="s">
        <v>1584</v>
      </c>
      <c r="AM83" s="343" t="str">
        <f t="shared" si="41"/>
        <v xml:space="preserve">* Pueblos Originarios-Hombres no debe ser mayor al Total de personas en PSCV. * Pueblos Originarios-Mujeres no debe ser mayor al Total de personas en PSCV. * Población Migrantes-Hombres no debe ser mayor al Total de personas en PSCV. * Población Migrantes-Mujeres no debe ser mayor al Total de personas en PSCV. </v>
      </c>
      <c r="BB83" s="354"/>
      <c r="BC83" s="354"/>
      <c r="BD83" s="354"/>
      <c r="BE83" s="348" t="str">
        <f t="shared" si="42"/>
        <v xml:space="preserve">* Pueblos Originarios-Hombres no debe ser mayor al Total de personas en PSCV. </v>
      </c>
      <c r="BF83" s="348" t="str">
        <f t="shared" si="38"/>
        <v xml:space="preserve">* Pueblos Originarios-Mujeres no debe ser mayor al Total de personas en PSCV. </v>
      </c>
      <c r="BG83" s="348" t="str">
        <f t="shared" si="43"/>
        <v xml:space="preserve">* Población Migrantes-Hombres no debe ser mayor al Total de personas en PSCV. </v>
      </c>
      <c r="BH83" s="348" t="str">
        <f t="shared" si="44"/>
        <v xml:space="preserve">* Población Migrantes-Mujeres no debe ser mayor al Total de personas en PSCV. </v>
      </c>
      <c r="BI83" s="354"/>
      <c r="BJ83" s="354"/>
      <c r="BK83" s="348" t="str">
        <f t="shared" ref="BK83:BK85" si="65">IF(AND(E83&lt;&gt;0,AI83=""),"* No olvide escribir en la celda de 'Pueblos Originarios' (Digite CERO si no tiene). ",IF(AND(F83&lt;&gt;0,AJ83=""),"* No olvide escribir en la celda de 'Pueblos Originarios' (Digite CERO si no tiene). ",""))</f>
        <v/>
      </c>
      <c r="BL83" s="348" t="str">
        <f t="shared" ref="BL83:BL85" si="66">IF(AND(E83&lt;&gt;0,AK83=""),"* No olvide escribir en la celda de 'Población Migrantes' (Digite CERO si no tiene). ",IF(AND(F83&lt;&gt;0,AL83=""),"* No olvide escribir en la celda de 'Población Migrantes' (Digite CERO si no tiene). ",""))</f>
        <v/>
      </c>
      <c r="BM83" s="354"/>
      <c r="BN83" s="354"/>
      <c r="BO83" s="354"/>
      <c r="BP83" s="354"/>
      <c r="BQ83" s="354"/>
      <c r="BR83" s="354"/>
      <c r="BS83" s="354"/>
      <c r="BT83" s="354"/>
      <c r="BU83" s="354"/>
      <c r="BV83" s="354"/>
      <c r="BW83" s="354"/>
      <c r="BX83" s="354"/>
      <c r="BY83" s="354"/>
      <c r="BZ83" s="354"/>
      <c r="CA83" s="354"/>
      <c r="CB83" s="354"/>
      <c r="CC83" s="354"/>
      <c r="CD83" s="354"/>
      <c r="CE83" s="354"/>
      <c r="CF83" s="354"/>
      <c r="CG83" s="354"/>
      <c r="CH83" s="354"/>
      <c r="CI83" s="354"/>
      <c r="CJ83" s="354"/>
      <c r="CK83" s="354"/>
      <c r="CL83" s="354"/>
      <c r="CM83" s="352"/>
      <c r="CN83" s="352"/>
      <c r="CO83" s="358">
        <f t="shared" si="55"/>
        <v>1</v>
      </c>
      <c r="CP83" s="358">
        <f t="shared" si="56"/>
        <v>1</v>
      </c>
      <c r="CQ83" s="358">
        <f t="shared" si="57"/>
        <v>1</v>
      </c>
      <c r="CR83" s="358">
        <f t="shared" si="58"/>
        <v>1</v>
      </c>
      <c r="CS83" s="352"/>
      <c r="CT83" s="352"/>
      <c r="CU83" s="352"/>
      <c r="CV83" s="352"/>
      <c r="CW83" s="358">
        <f t="shared" ref="CW83:CW86" si="67">IF(AND(E83&lt;&gt;0,AI83=""),1,IF(AND(F83&lt;&gt;0,AJ83=""),1,0))</f>
        <v>0</v>
      </c>
      <c r="CX83" s="358">
        <f t="shared" ref="CX83:CX86" si="68">IF(AND(E83&lt;&gt;0,AK83=""),1,IF(AND(F83&lt;&gt;0,AL83=""),1,0))</f>
        <v>0</v>
      </c>
      <c r="CY83" s="352"/>
      <c r="CZ83" s="352"/>
      <c r="DA83" s="352"/>
      <c r="DB83" s="352"/>
      <c r="DC83" s="352"/>
      <c r="DD83" s="352"/>
      <c r="DE83" s="352"/>
      <c r="DF83" s="352"/>
      <c r="DG83" s="352"/>
      <c r="DH83" s="352"/>
      <c r="DI83" s="352"/>
      <c r="DJ83" s="352"/>
      <c r="DK83" s="352"/>
      <c r="DL83" s="352"/>
      <c r="DM83" s="352"/>
      <c r="DN83" s="352"/>
      <c r="DO83" s="352"/>
      <c r="DP83" s="352"/>
      <c r="DQ83" s="352"/>
      <c r="DR83" s="352"/>
      <c r="DS83" s="352"/>
      <c r="DT83" s="352"/>
    </row>
    <row r="84" spans="1:124" ht="20.25" customHeight="1" x14ac:dyDescent="0.25">
      <c r="A84" s="1641" t="s">
        <v>1252</v>
      </c>
      <c r="B84" s="2174" t="s">
        <v>670</v>
      </c>
      <c r="C84" s="2175"/>
      <c r="D84" s="665" t="s">
        <v>1550</v>
      </c>
      <c r="E84" s="666" t="s">
        <v>1551</v>
      </c>
      <c r="F84" s="743" t="s">
        <v>1552</v>
      </c>
      <c r="G84" s="684" t="s">
        <v>1553</v>
      </c>
      <c r="H84" s="685" t="s">
        <v>1554</v>
      </c>
      <c r="I84" s="684" t="s">
        <v>1555</v>
      </c>
      <c r="J84" s="685" t="s">
        <v>1556</v>
      </c>
      <c r="K84" s="684" t="s">
        <v>1557</v>
      </c>
      <c r="L84" s="685" t="s">
        <v>1558</v>
      </c>
      <c r="M84" s="684" t="s">
        <v>1559</v>
      </c>
      <c r="N84" s="685" t="s">
        <v>1560</v>
      </c>
      <c r="O84" s="684" t="s">
        <v>1561</v>
      </c>
      <c r="P84" s="685" t="s">
        <v>1562</v>
      </c>
      <c r="Q84" s="684" t="s">
        <v>1563</v>
      </c>
      <c r="R84" s="685" t="s">
        <v>1564</v>
      </c>
      <c r="S84" s="684" t="s">
        <v>1565</v>
      </c>
      <c r="T84" s="685" t="s">
        <v>1566</v>
      </c>
      <c r="U84" s="684" t="s">
        <v>1567</v>
      </c>
      <c r="V84" s="685" t="s">
        <v>1568</v>
      </c>
      <c r="W84" s="684" t="s">
        <v>1569</v>
      </c>
      <c r="X84" s="685" t="s">
        <v>1570</v>
      </c>
      <c r="Y84" s="684" t="s">
        <v>1571</v>
      </c>
      <c r="Z84" s="685" t="s">
        <v>1572</v>
      </c>
      <c r="AA84" s="727" t="s">
        <v>1573</v>
      </c>
      <c r="AB84" s="728" t="s">
        <v>1574</v>
      </c>
      <c r="AC84" s="727" t="s">
        <v>1575</v>
      </c>
      <c r="AD84" s="728" t="s">
        <v>1576</v>
      </c>
      <c r="AE84" s="727" t="s">
        <v>1577</v>
      </c>
      <c r="AF84" s="728" t="s">
        <v>1578</v>
      </c>
      <c r="AG84" s="854" t="s">
        <v>1579</v>
      </c>
      <c r="AH84" s="855" t="s">
        <v>1580</v>
      </c>
      <c r="AI84" s="762" t="s">
        <v>1581</v>
      </c>
      <c r="AJ84" s="705" t="s">
        <v>1582</v>
      </c>
      <c r="AK84" s="762" t="s">
        <v>1583</v>
      </c>
      <c r="AL84" s="705" t="s">
        <v>1584</v>
      </c>
      <c r="AM84" s="343" t="str">
        <f t="shared" si="41"/>
        <v xml:space="preserve">* Pueblos Originarios-Hombres no debe ser mayor al Total de personas en PSCV. * Pueblos Originarios-Mujeres no debe ser mayor al Total de personas en PSCV. * Población Migrantes-Hombres no debe ser mayor al Total de personas en PSCV. * Población Migrantes-Mujeres no debe ser mayor al Total de personas en PSCV. </v>
      </c>
      <c r="BB84" s="354"/>
      <c r="BC84" s="354"/>
      <c r="BD84" s="354"/>
      <c r="BE84" s="348" t="str">
        <f t="shared" si="42"/>
        <v xml:space="preserve">* Pueblos Originarios-Hombres no debe ser mayor al Total de personas en PSCV. </v>
      </c>
      <c r="BF84" s="348" t="str">
        <f t="shared" si="38"/>
        <v xml:space="preserve">* Pueblos Originarios-Mujeres no debe ser mayor al Total de personas en PSCV. </v>
      </c>
      <c r="BG84" s="348" t="str">
        <f t="shared" si="43"/>
        <v xml:space="preserve">* Población Migrantes-Hombres no debe ser mayor al Total de personas en PSCV. </v>
      </c>
      <c r="BH84" s="348" t="str">
        <f t="shared" si="44"/>
        <v xml:space="preserve">* Población Migrantes-Mujeres no debe ser mayor al Total de personas en PSCV. </v>
      </c>
      <c r="BI84" s="354"/>
      <c r="BJ84" s="354"/>
      <c r="BK84" s="348" t="str">
        <f t="shared" si="65"/>
        <v/>
      </c>
      <c r="BL84" s="348" t="str">
        <f t="shared" si="66"/>
        <v/>
      </c>
      <c r="BM84" s="354"/>
      <c r="BN84" s="354"/>
      <c r="BO84" s="354"/>
      <c r="BP84" s="354"/>
      <c r="BQ84" s="354"/>
      <c r="BR84" s="354"/>
      <c r="BS84" s="354"/>
      <c r="BT84" s="354"/>
      <c r="BU84" s="354"/>
      <c r="BV84" s="354"/>
      <c r="BW84" s="354"/>
      <c r="BX84" s="354"/>
      <c r="BY84" s="354"/>
      <c r="BZ84" s="354"/>
      <c r="CA84" s="354"/>
      <c r="CB84" s="354"/>
      <c r="CC84" s="354"/>
      <c r="CD84" s="354"/>
      <c r="CE84" s="354"/>
      <c r="CF84" s="354"/>
      <c r="CG84" s="354"/>
      <c r="CH84" s="354"/>
      <c r="CI84" s="354"/>
      <c r="CJ84" s="354"/>
      <c r="CK84" s="354"/>
      <c r="CL84" s="354"/>
      <c r="CM84" s="352"/>
      <c r="CN84" s="352"/>
      <c r="CO84" s="358">
        <f t="shared" si="55"/>
        <v>1</v>
      </c>
      <c r="CP84" s="358">
        <f t="shared" si="56"/>
        <v>1</v>
      </c>
      <c r="CQ84" s="358">
        <f t="shared" si="57"/>
        <v>1</v>
      </c>
      <c r="CR84" s="358">
        <f t="shared" si="58"/>
        <v>1</v>
      </c>
      <c r="CS84" s="352"/>
      <c r="CT84" s="352"/>
      <c r="CU84" s="352"/>
      <c r="CV84" s="352"/>
      <c r="CW84" s="358">
        <f t="shared" si="67"/>
        <v>0</v>
      </c>
      <c r="CX84" s="358">
        <f t="shared" si="68"/>
        <v>0</v>
      </c>
      <c r="CY84" s="352"/>
      <c r="CZ84" s="352"/>
      <c r="DA84" s="352"/>
      <c r="DB84" s="352"/>
      <c r="DC84" s="352"/>
      <c r="DD84" s="352"/>
      <c r="DE84" s="352"/>
      <c r="DF84" s="352"/>
      <c r="DG84" s="352"/>
      <c r="DH84" s="352"/>
      <c r="DI84" s="352"/>
      <c r="DJ84" s="352"/>
      <c r="DK84" s="352"/>
      <c r="DL84" s="352"/>
      <c r="DM84" s="352"/>
      <c r="DN84" s="352"/>
      <c r="DO84" s="352"/>
      <c r="DP84" s="352"/>
      <c r="DQ84" s="352"/>
      <c r="DR84" s="352"/>
      <c r="DS84" s="352"/>
      <c r="DT84" s="352"/>
    </row>
    <row r="85" spans="1:124" ht="20.25" customHeight="1" x14ac:dyDescent="0.25">
      <c r="A85" s="1641" t="s">
        <v>1253</v>
      </c>
      <c r="B85" s="2174" t="s">
        <v>666</v>
      </c>
      <c r="C85" s="2175"/>
      <c r="D85" s="665" t="s">
        <v>1550</v>
      </c>
      <c r="E85" s="666" t="s">
        <v>1551</v>
      </c>
      <c r="F85" s="667" t="s">
        <v>1552</v>
      </c>
      <c r="G85" s="727" t="s">
        <v>1553</v>
      </c>
      <c r="H85" s="728" t="s">
        <v>1554</v>
      </c>
      <c r="I85" s="727" t="s">
        <v>1555</v>
      </c>
      <c r="J85" s="728" t="s">
        <v>1556</v>
      </c>
      <c r="K85" s="727" t="s">
        <v>1557</v>
      </c>
      <c r="L85" s="728" t="s">
        <v>1558</v>
      </c>
      <c r="M85" s="727" t="s">
        <v>1559</v>
      </c>
      <c r="N85" s="728" t="s">
        <v>1560</v>
      </c>
      <c r="O85" s="727" t="s">
        <v>1561</v>
      </c>
      <c r="P85" s="728" t="s">
        <v>1562</v>
      </c>
      <c r="Q85" s="727" t="s">
        <v>1563</v>
      </c>
      <c r="R85" s="728" t="s">
        <v>1564</v>
      </c>
      <c r="S85" s="727" t="s">
        <v>1565</v>
      </c>
      <c r="T85" s="728" t="s">
        <v>1566</v>
      </c>
      <c r="U85" s="727" t="s">
        <v>1567</v>
      </c>
      <c r="V85" s="728" t="s">
        <v>1568</v>
      </c>
      <c r="W85" s="727" t="s">
        <v>1569</v>
      </c>
      <c r="X85" s="728" t="s">
        <v>1570</v>
      </c>
      <c r="Y85" s="727" t="s">
        <v>1571</v>
      </c>
      <c r="Z85" s="728" t="s">
        <v>1572</v>
      </c>
      <c r="AA85" s="684" t="s">
        <v>1573</v>
      </c>
      <c r="AB85" s="685" t="s">
        <v>1574</v>
      </c>
      <c r="AC85" s="684" t="s">
        <v>1575</v>
      </c>
      <c r="AD85" s="685" t="s">
        <v>1576</v>
      </c>
      <c r="AE85" s="684" t="s">
        <v>1577</v>
      </c>
      <c r="AF85" s="685" t="s">
        <v>1578</v>
      </c>
      <c r="AG85" s="760" t="s">
        <v>1579</v>
      </c>
      <c r="AH85" s="693" t="s">
        <v>1580</v>
      </c>
      <c r="AI85" s="760" t="s">
        <v>1581</v>
      </c>
      <c r="AJ85" s="685" t="s">
        <v>1582</v>
      </c>
      <c r="AK85" s="760" t="s">
        <v>1583</v>
      </c>
      <c r="AL85" s="685" t="s">
        <v>1584</v>
      </c>
      <c r="AM85" s="343" t="str">
        <f t="shared" si="41"/>
        <v xml:space="preserve">* Pueblos Originarios-Hombres no debe ser mayor al Total de personas en PSCV. * Pueblos Originarios-Mujeres no debe ser mayor al Total de personas en PSCV. * Población Migrantes-Hombres no debe ser mayor al Total de personas en PSCV. * Población Migrantes-Mujeres no debe ser mayor al Total de personas en PSCV. </v>
      </c>
      <c r="BB85" s="354"/>
      <c r="BC85" s="354"/>
      <c r="BD85" s="354"/>
      <c r="BE85" s="348" t="str">
        <f t="shared" si="42"/>
        <v xml:space="preserve">* Pueblos Originarios-Hombres no debe ser mayor al Total de personas en PSCV. </v>
      </c>
      <c r="BF85" s="348" t="str">
        <f t="shared" si="38"/>
        <v xml:space="preserve">* Pueblos Originarios-Mujeres no debe ser mayor al Total de personas en PSCV. </v>
      </c>
      <c r="BG85" s="348" t="str">
        <f t="shared" si="43"/>
        <v xml:space="preserve">* Población Migrantes-Hombres no debe ser mayor al Total de personas en PSCV. </v>
      </c>
      <c r="BH85" s="348" t="str">
        <f t="shared" si="44"/>
        <v xml:space="preserve">* Población Migrantes-Mujeres no debe ser mayor al Total de personas en PSCV. </v>
      </c>
      <c r="BI85" s="354"/>
      <c r="BJ85" s="354"/>
      <c r="BK85" s="348" t="str">
        <f t="shared" si="65"/>
        <v/>
      </c>
      <c r="BL85" s="348" t="str">
        <f t="shared" si="66"/>
        <v/>
      </c>
      <c r="BM85" s="354"/>
      <c r="BN85" s="354"/>
      <c r="BO85" s="354"/>
      <c r="BP85" s="354"/>
      <c r="BQ85" s="354"/>
      <c r="BR85" s="354"/>
      <c r="BS85" s="354"/>
      <c r="BT85" s="354"/>
      <c r="BU85" s="354"/>
      <c r="BV85" s="354"/>
      <c r="BW85" s="354"/>
      <c r="BX85" s="354"/>
      <c r="BY85" s="354"/>
      <c r="BZ85" s="354"/>
      <c r="CA85" s="354"/>
      <c r="CB85" s="354"/>
      <c r="CC85" s="354"/>
      <c r="CD85" s="354"/>
      <c r="CE85" s="354"/>
      <c r="CF85" s="354"/>
      <c r="CG85" s="354"/>
      <c r="CH85" s="354"/>
      <c r="CI85" s="354"/>
      <c r="CJ85" s="354"/>
      <c r="CK85" s="354"/>
      <c r="CL85" s="354"/>
      <c r="CM85" s="352"/>
      <c r="CN85" s="352"/>
      <c r="CO85" s="358">
        <f t="shared" si="55"/>
        <v>1</v>
      </c>
      <c r="CP85" s="358">
        <f t="shared" si="56"/>
        <v>1</v>
      </c>
      <c r="CQ85" s="358">
        <f t="shared" si="57"/>
        <v>1</v>
      </c>
      <c r="CR85" s="358">
        <f t="shared" si="58"/>
        <v>1</v>
      </c>
      <c r="CS85" s="352"/>
      <c r="CT85" s="352"/>
      <c r="CU85" s="352"/>
      <c r="CV85" s="352"/>
      <c r="CW85" s="358">
        <f t="shared" si="67"/>
        <v>0</v>
      </c>
      <c r="CX85" s="358">
        <f t="shared" si="68"/>
        <v>0</v>
      </c>
      <c r="CY85" s="352"/>
      <c r="CZ85" s="352"/>
      <c r="DA85" s="352"/>
      <c r="DB85" s="352"/>
      <c r="DC85" s="352"/>
      <c r="DD85" s="352"/>
      <c r="DE85" s="352"/>
      <c r="DF85" s="352"/>
      <c r="DG85" s="352"/>
      <c r="DH85" s="352"/>
      <c r="DI85" s="352"/>
      <c r="DJ85" s="352"/>
      <c r="DK85" s="352"/>
      <c r="DL85" s="352"/>
      <c r="DM85" s="352"/>
      <c r="DN85" s="352"/>
      <c r="DO85" s="352"/>
      <c r="DP85" s="352"/>
      <c r="DQ85" s="352"/>
      <c r="DR85" s="352"/>
      <c r="DS85" s="352"/>
      <c r="DT85" s="352"/>
    </row>
    <row r="86" spans="1:124" ht="16.5" customHeight="1" x14ac:dyDescent="0.25">
      <c r="A86" s="1641" t="s">
        <v>1254</v>
      </c>
      <c r="B86" s="2163" t="s">
        <v>871</v>
      </c>
      <c r="C86" s="2164"/>
      <c r="D86" s="668" t="s">
        <v>1550</v>
      </c>
      <c r="E86" s="1412" t="s">
        <v>1551</v>
      </c>
      <c r="F86" s="926" t="s">
        <v>1552</v>
      </c>
      <c r="G86" s="689" t="s">
        <v>1553</v>
      </c>
      <c r="H86" s="690" t="s">
        <v>1554</v>
      </c>
      <c r="I86" s="689" t="s">
        <v>1555</v>
      </c>
      <c r="J86" s="690" t="s">
        <v>1556</v>
      </c>
      <c r="K86" s="689" t="s">
        <v>1557</v>
      </c>
      <c r="L86" s="690" t="s">
        <v>1558</v>
      </c>
      <c r="M86" s="689" t="s">
        <v>1559</v>
      </c>
      <c r="N86" s="690" t="s">
        <v>1560</v>
      </c>
      <c r="O86" s="689" t="s">
        <v>1561</v>
      </c>
      <c r="P86" s="690" t="s">
        <v>1562</v>
      </c>
      <c r="Q86" s="689" t="s">
        <v>1563</v>
      </c>
      <c r="R86" s="690" t="s">
        <v>1564</v>
      </c>
      <c r="S86" s="689" t="s">
        <v>1565</v>
      </c>
      <c r="T86" s="690" t="s">
        <v>1566</v>
      </c>
      <c r="U86" s="689" t="s">
        <v>1567</v>
      </c>
      <c r="V86" s="690" t="s">
        <v>1568</v>
      </c>
      <c r="W86" s="689" t="s">
        <v>1569</v>
      </c>
      <c r="X86" s="690" t="s">
        <v>1570</v>
      </c>
      <c r="Y86" s="689" t="s">
        <v>1571</v>
      </c>
      <c r="Z86" s="690" t="s">
        <v>1572</v>
      </c>
      <c r="AA86" s="689" t="s">
        <v>1573</v>
      </c>
      <c r="AB86" s="690" t="s">
        <v>1574</v>
      </c>
      <c r="AC86" s="689" t="s">
        <v>1575</v>
      </c>
      <c r="AD86" s="690" t="s">
        <v>1576</v>
      </c>
      <c r="AE86" s="689" t="s">
        <v>1577</v>
      </c>
      <c r="AF86" s="690" t="s">
        <v>1578</v>
      </c>
      <c r="AG86" s="689" t="s">
        <v>1579</v>
      </c>
      <c r="AH86" s="720" t="s">
        <v>1580</v>
      </c>
      <c r="AI86" s="759" t="s">
        <v>1581</v>
      </c>
      <c r="AJ86" s="690" t="s">
        <v>1582</v>
      </c>
      <c r="AK86" s="759" t="s">
        <v>1583</v>
      </c>
      <c r="AL86" s="690" t="s">
        <v>1584</v>
      </c>
      <c r="AM86" s="343" t="str">
        <f t="shared" si="41"/>
        <v xml:space="preserve">* Pueblos Originarios-Hombres no debe ser mayor al Total de personas en PSCV. * Pueblos Originarios-Mujeres no debe ser mayor al Total de personas en PSCV. * Población Migrantes-Hombres no debe ser mayor al Total de personas en PSCV. * Población Migrantes-Mujeres no debe ser mayor al Total de personas en PSCV. </v>
      </c>
      <c r="BB86" s="354"/>
      <c r="BC86" s="354"/>
      <c r="BD86" s="354"/>
      <c r="BE86" s="348" t="str">
        <f>IF($E86&gt;=$AI86,"","* Pueblos Originarios-Hombres no debe ser mayor al Total de personas en PSCV. ")</f>
        <v xml:space="preserve">* Pueblos Originarios-Hombres no debe ser mayor al Total de personas en PSCV. </v>
      </c>
      <c r="BF86" s="348" t="str">
        <f t="shared" si="38"/>
        <v xml:space="preserve">* Pueblos Originarios-Mujeres no debe ser mayor al Total de personas en PSCV. </v>
      </c>
      <c r="BG86" s="348" t="str">
        <f t="shared" si="43"/>
        <v xml:space="preserve">* Población Migrantes-Hombres no debe ser mayor al Total de personas en PSCV. </v>
      </c>
      <c r="BH86" s="348" t="str">
        <f t="shared" si="44"/>
        <v xml:space="preserve">* Población Migrantes-Mujeres no debe ser mayor al Total de personas en PSCV. </v>
      </c>
      <c r="BI86" s="354"/>
      <c r="BJ86" s="354"/>
      <c r="BK86" s="348" t="str">
        <f>IF(AND(E86&lt;&gt;0,AI86=""),"* No olvide escribir en la celda de 'Pueblos Originarios' (Digite CERO si no tiene). ",IF(AND(F86&lt;&gt;0,AJ86=""),"* No olvide escribir en la celda de 'Pueblos Originarios' (Digite CERO si no tiene). ",""))</f>
        <v/>
      </c>
      <c r="BL86" s="348" t="str">
        <f t="shared" ref="BL86" si="69">IF(AND(E86&lt;&gt;0,AK86=""),"* No olvide escribir en la celda de 'Población Migrantes' (Digite CERO si no tiene). ",IF(AND(F86&lt;&gt;0,AL86=""),"* No olvide escribir en la celda de 'Población Migrantes' (Digite CERO si no tiene). ",""))</f>
        <v/>
      </c>
      <c r="BM86" s="354"/>
      <c r="BN86" s="354"/>
      <c r="BO86" s="354"/>
      <c r="BP86" s="354"/>
      <c r="BQ86" s="354"/>
      <c r="BR86" s="354"/>
      <c r="BS86" s="354"/>
      <c r="BT86" s="354"/>
      <c r="BU86" s="354"/>
      <c r="BV86" s="354"/>
      <c r="BW86" s="354"/>
      <c r="BX86" s="354"/>
      <c r="BY86" s="354"/>
      <c r="BZ86" s="354"/>
      <c r="CA86" s="354"/>
      <c r="CB86" s="354"/>
      <c r="CC86" s="354"/>
      <c r="CD86" s="354"/>
      <c r="CE86" s="354"/>
      <c r="CF86" s="354"/>
      <c r="CG86" s="354"/>
      <c r="CH86" s="354"/>
      <c r="CI86" s="354"/>
      <c r="CJ86" s="354"/>
      <c r="CK86" s="354"/>
      <c r="CL86" s="354"/>
      <c r="CM86" s="352"/>
      <c r="CN86" s="352"/>
      <c r="CO86" s="358">
        <f t="shared" si="55"/>
        <v>1</v>
      </c>
      <c r="CP86" s="358">
        <f t="shared" si="56"/>
        <v>1</v>
      </c>
      <c r="CQ86" s="358">
        <f t="shared" si="57"/>
        <v>1</v>
      </c>
      <c r="CR86" s="358">
        <f t="shared" si="58"/>
        <v>1</v>
      </c>
      <c r="CS86" s="352"/>
      <c r="CT86" s="352"/>
      <c r="CU86" s="352"/>
      <c r="CV86" s="352"/>
      <c r="CW86" s="358">
        <f t="shared" si="67"/>
        <v>0</v>
      </c>
      <c r="CX86" s="358">
        <f t="shared" si="68"/>
        <v>0</v>
      </c>
      <c r="CY86" s="352"/>
      <c r="CZ86" s="352"/>
      <c r="DA86" s="352"/>
      <c r="DB86" s="352"/>
      <c r="DC86" s="352"/>
      <c r="DD86" s="352"/>
      <c r="DE86" s="352"/>
      <c r="DF86" s="352"/>
      <c r="DG86" s="352"/>
      <c r="DH86" s="352"/>
      <c r="DI86" s="352"/>
      <c r="DJ86" s="352"/>
      <c r="DK86" s="352"/>
      <c r="DL86" s="352"/>
      <c r="DM86" s="352"/>
      <c r="DN86" s="352"/>
      <c r="DO86" s="352"/>
      <c r="DP86" s="352"/>
      <c r="DQ86" s="352"/>
      <c r="DR86" s="352"/>
      <c r="DS86" s="352"/>
      <c r="DT86" s="352"/>
    </row>
    <row r="87" spans="1:124" ht="14.25" customHeight="1" x14ac:dyDescent="0.2">
      <c r="B87" s="175" t="s">
        <v>665</v>
      </c>
    </row>
    <row r="88" spans="1:124" x14ac:dyDescent="0.2">
      <c r="AA88" s="57"/>
    </row>
    <row r="100" spans="2:3" hidden="1" x14ac:dyDescent="0.2">
      <c r="B100" s="1181">
        <f>SUM(D12:D28,D34:D42,D48:D74,D76:D80,D82:D86)</f>
        <v>0</v>
      </c>
      <c r="C100" s="348" t="s">
        <v>317</v>
      </c>
    </row>
    <row r="101" spans="2:3" hidden="1" x14ac:dyDescent="0.2">
      <c r="B101" s="1181" t="e">
        <f>SUM(CM13:DT86)</f>
        <v>#VALUE!</v>
      </c>
      <c r="C101" s="348" t="s">
        <v>318</v>
      </c>
    </row>
    <row r="102" spans="2:3" hidden="1" x14ac:dyDescent="0.2"/>
  </sheetData>
  <mergeCells count="111">
    <mergeCell ref="B13:B15"/>
    <mergeCell ref="AC45:AD45"/>
    <mergeCell ref="AK9:AL10"/>
    <mergeCell ref="B85:C85"/>
    <mergeCell ref="B69:C69"/>
    <mergeCell ref="B70:C70"/>
    <mergeCell ref="B52:C52"/>
    <mergeCell ref="B82:C82"/>
    <mergeCell ref="B55:C55"/>
    <mergeCell ref="B44:C46"/>
    <mergeCell ref="B79:C79"/>
    <mergeCell ref="AI44:AJ45"/>
    <mergeCell ref="B54:C54"/>
    <mergeCell ref="B12:C12"/>
    <mergeCell ref="AA10:AB10"/>
    <mergeCell ref="AI9:AJ10"/>
    <mergeCell ref="B48:C48"/>
    <mergeCell ref="AG32:AH32"/>
    <mergeCell ref="AA32:AB32"/>
    <mergeCell ref="AE32:AF32"/>
    <mergeCell ref="M32:N32"/>
    <mergeCell ref="I32:J32"/>
    <mergeCell ref="D44:F45"/>
    <mergeCell ref="G44:AH44"/>
    <mergeCell ref="B78:C78"/>
    <mergeCell ref="B65:B67"/>
    <mergeCell ref="B58:C58"/>
    <mergeCell ref="B76:C76"/>
    <mergeCell ref="K32:L32"/>
    <mergeCell ref="B77:C77"/>
    <mergeCell ref="B83:C83"/>
    <mergeCell ref="G45:H45"/>
    <mergeCell ref="I45:J45"/>
    <mergeCell ref="K45:L45"/>
    <mergeCell ref="B80:C80"/>
    <mergeCell ref="B68:C68"/>
    <mergeCell ref="D47:AL47"/>
    <mergeCell ref="D75:AL75"/>
    <mergeCell ref="D81:AL81"/>
    <mergeCell ref="B61:B64"/>
    <mergeCell ref="B60:C60"/>
    <mergeCell ref="B16:B21"/>
    <mergeCell ref="B51:C51"/>
    <mergeCell ref="D31:F32"/>
    <mergeCell ref="G32:H32"/>
    <mergeCell ref="B53:C53"/>
    <mergeCell ref="B40:B42"/>
    <mergeCell ref="B49:C49"/>
    <mergeCell ref="B34:B35"/>
    <mergeCell ref="B50:C50"/>
    <mergeCell ref="B22:B29"/>
    <mergeCell ref="B30:C30"/>
    <mergeCell ref="B31:C33"/>
    <mergeCell ref="B36:B38"/>
    <mergeCell ref="G31:AH31"/>
    <mergeCell ref="AC32:AD32"/>
    <mergeCell ref="S32:T32"/>
    <mergeCell ref="U32:V32"/>
    <mergeCell ref="M45:N45"/>
    <mergeCell ref="O45:P45"/>
    <mergeCell ref="Q45:R45"/>
    <mergeCell ref="S45:T45"/>
    <mergeCell ref="AE45:AF45"/>
    <mergeCell ref="BL9:BL10"/>
    <mergeCell ref="BG9:BH10"/>
    <mergeCell ref="BI9:BI11"/>
    <mergeCell ref="BK9:BK10"/>
    <mergeCell ref="BE9:BF10"/>
    <mergeCell ref="AM9:AM11"/>
    <mergeCell ref="AK44:AL45"/>
    <mergeCell ref="B7:V7"/>
    <mergeCell ref="B9:C11"/>
    <mergeCell ref="D9:F10"/>
    <mergeCell ref="Q10:R10"/>
    <mergeCell ref="S10:T10"/>
    <mergeCell ref="U10:V10"/>
    <mergeCell ref="K10:L10"/>
    <mergeCell ref="M10:N10"/>
    <mergeCell ref="O10:P10"/>
    <mergeCell ref="G9:AH9"/>
    <mergeCell ref="G10:H10"/>
    <mergeCell ref="I10:J10"/>
    <mergeCell ref="AC10:AD10"/>
    <mergeCell ref="W10:X10"/>
    <mergeCell ref="AE10:AF10"/>
    <mergeCell ref="AG10:AH10"/>
    <mergeCell ref="Y10:Z10"/>
    <mergeCell ref="B86:C86"/>
    <mergeCell ref="CW44:CW45"/>
    <mergeCell ref="CX44:CX45"/>
    <mergeCell ref="BE44:BF45"/>
    <mergeCell ref="BG44:BH45"/>
    <mergeCell ref="CO44:CP45"/>
    <mergeCell ref="AG45:AH45"/>
    <mergeCell ref="B71:C71"/>
    <mergeCell ref="AI31:AJ32"/>
    <mergeCell ref="AK31:AL32"/>
    <mergeCell ref="O32:P32"/>
    <mergeCell ref="Q32:R32"/>
    <mergeCell ref="CQ44:CR45"/>
    <mergeCell ref="BK44:BK45"/>
    <mergeCell ref="BL44:BL45"/>
    <mergeCell ref="W32:X32"/>
    <mergeCell ref="Y32:Z32"/>
    <mergeCell ref="Y45:Z45"/>
    <mergeCell ref="AA45:AB45"/>
    <mergeCell ref="U45:V45"/>
    <mergeCell ref="W45:X45"/>
    <mergeCell ref="B56:C56"/>
    <mergeCell ref="B81:C81"/>
    <mergeCell ref="B84:C84"/>
  </mergeCells>
  <phoneticPr fontId="26" type="noConversion"/>
  <dataValidations count="2">
    <dataValidation allowBlank="1" showInputMessage="1" showErrorMessage="1" errorTitle=" Error de ingreso" error="Debe ingresar sólo números enteros positivos." sqref="B1:B36 B39:B44 C43 AN1:XFD43 C1:C41 C47:C49 C72:C76 C78 C69:C70 C51:C66 G43:AL46 D82:F86 D87:AL1048576 B88:C1048576 DV44:XFD85 E76:F80 B65:B78 B47:B61 D1:D80 B87 B81:C85 E48:F74 C86:C87 G29:AL33 E1:F46 AM29:AM43 G1:AM12 BB44:BD85 AM44:AW85 AM86:BD1048576 CY44:DT85 BE44:CX1048576 CY86:XFD1048576" xr:uid="{00000000-0002-0000-0400-000000000000}"/>
    <dataValidation type="whole" operator="greaterThanOrEqual" allowBlank="1" showInputMessage="1" showErrorMessage="1" errorTitle=" Error de ingreso" error="Debe ingresar sólo números enteros positivos." sqref="G13:AM28 G34:AL42 G82:AL86 G76:AL80 G48:AL74" xr:uid="{00000000-0002-0000-0400-000001000000}">
      <formula1>0</formula1>
    </dataValidation>
  </dataValidations>
  <pageMargins left="0.70866141732283472" right="0.70866141732283472" top="0.74803149606299213" bottom="0.74803149606299213" header="0.31496062992125984" footer="0.31496062992125984"/>
  <pageSetup scale="65" pageOrder="overThenDown" orientation="portrait" r:id="rId1"/>
  <rowBreaks count="1" manualBreakCount="1">
    <brk id="42" min="1" max="36" man="1"/>
  </rowBreaks>
  <colBreaks count="2" manualBreakCount="2">
    <brk id="16" max="57" man="1"/>
    <brk id="37" max="1048575" man="1"/>
  </col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DA82"/>
  <sheetViews>
    <sheetView showGridLines="0" zoomScaleNormal="100" workbookViewId="0"/>
  </sheetViews>
  <sheetFormatPr baseColWidth="10" defaultColWidth="11.44140625" defaultRowHeight="14.4" x14ac:dyDescent="0.3"/>
  <cols>
    <col min="1" max="1" width="14.44140625" style="175" customWidth="1"/>
    <col min="2" max="2" width="21.5546875" style="175" customWidth="1"/>
    <col min="3" max="3" width="18.109375" style="175" customWidth="1"/>
    <col min="4" max="4" width="12.88671875" style="175" customWidth="1"/>
    <col min="5" max="5" width="11.44140625" style="175"/>
    <col min="6" max="6" width="12.44140625" style="175" bestFit="1" customWidth="1"/>
    <col min="7" max="7" width="12" style="175" bestFit="1" customWidth="1"/>
    <col min="8" max="8" width="11.44140625" style="175"/>
    <col min="9" max="9" width="10.88671875" style="175" customWidth="1"/>
    <col min="10" max="21" width="11.44140625" style="175"/>
    <col min="22" max="22" width="11.44140625" style="175" customWidth="1"/>
    <col min="23" max="26" width="11.44140625" style="175"/>
    <col min="27" max="27" width="11.44140625" style="175" customWidth="1"/>
    <col min="28" max="28" width="9.109375" style="175" customWidth="1"/>
    <col min="53" max="54" width="11.44140625" style="175" customWidth="1"/>
    <col min="55" max="79" width="11.44140625" style="175"/>
    <col min="80" max="81" width="12.33203125" style="175" hidden="1" customWidth="1"/>
    <col min="82" max="90" width="9.6640625" style="175" hidden="1" customWidth="1"/>
    <col min="91" max="91" width="12.5546875" style="175" hidden="1" customWidth="1"/>
    <col min="92" max="92" width="9.33203125" style="175" hidden="1" customWidth="1"/>
    <col min="93" max="102" width="9.6640625" style="175" hidden="1" customWidth="1"/>
    <col min="103" max="103" width="11.5546875" style="175" hidden="1" customWidth="1"/>
    <col min="104" max="105" width="11.44140625" style="175" hidden="1" customWidth="1"/>
    <col min="106" max="109" width="11.44140625" style="175" customWidth="1"/>
    <col min="110" max="16384" width="11.44140625" style="175"/>
  </cols>
  <sheetData>
    <row r="1" spans="1:101" s="55" customFormat="1" ht="13.5" customHeight="1" x14ac:dyDescent="0.2">
      <c r="B1" s="120" t="s">
        <v>0</v>
      </c>
      <c r="CB1" s="306"/>
      <c r="CC1" s="306"/>
      <c r="CD1" s="306"/>
      <c r="CE1" s="306"/>
      <c r="CF1" s="306"/>
      <c r="CG1" s="306"/>
      <c r="CH1" s="306"/>
      <c r="CI1" s="306"/>
      <c r="CJ1" s="306"/>
      <c r="CK1" s="306"/>
      <c r="CL1" s="306"/>
      <c r="CM1" s="306"/>
      <c r="CN1" s="306"/>
      <c r="CO1" s="306"/>
      <c r="CP1" s="306"/>
      <c r="CQ1" s="306"/>
      <c r="CR1" s="306"/>
      <c r="CS1" s="306"/>
      <c r="CT1" s="306"/>
      <c r="CU1" s="306"/>
      <c r="CV1" s="306"/>
    </row>
    <row r="2" spans="1:101" s="55" customFormat="1" ht="13.5" customHeight="1" x14ac:dyDescent="0.2">
      <c r="B2" s="120" t="str">
        <f>CONCATENATE("COMUNA: ",NOMBRE!$B$2," - ","( ",NOMBRE!$C$2,NOMBRE!$D$2,NOMBRE!$E$2,NOMBRE!$F$2,NOMBRE!$G$2," )")</f>
        <v>COMUNA:  - (  )</v>
      </c>
      <c r="CB2" s="306"/>
      <c r="CC2" s="306"/>
      <c r="CD2" s="306"/>
      <c r="CE2" s="306"/>
      <c r="CF2" s="306"/>
      <c r="CG2" s="306"/>
      <c r="CH2" s="306"/>
      <c r="CI2" s="306"/>
      <c r="CJ2" s="306"/>
      <c r="CK2" s="306"/>
      <c r="CL2" s="306"/>
      <c r="CM2" s="306"/>
      <c r="CN2" s="306"/>
      <c r="CO2" s="306"/>
      <c r="CP2" s="306"/>
      <c r="CQ2" s="306"/>
      <c r="CR2" s="306"/>
      <c r="CS2" s="306"/>
      <c r="CT2" s="306"/>
      <c r="CU2" s="306"/>
      <c r="CV2" s="306"/>
    </row>
    <row r="3" spans="1:101" s="55" customFormat="1" ht="13.5" customHeight="1" x14ac:dyDescent="0.2">
      <c r="B3" s="120" t="str">
        <f>CONCATENATE("ESTABLECIMIENTO/ESTRATEGIA: ",NOMBRE!$B$3," - ","( ",NOMBRE!$C$3,NOMBRE!$D$3,NOMBRE!$E$3,NOMBRE!$F$3,NOMBRE!$G$3,NOMBRE!$H$3," )")</f>
        <v>ESTABLECIMIENTO/ESTRATEGIA:  - (  )</v>
      </c>
      <c r="E3" s="121"/>
      <c r="CB3" s="306"/>
      <c r="CC3" s="306"/>
      <c r="CD3" s="306"/>
      <c r="CE3" s="306"/>
      <c r="CF3" s="306"/>
      <c r="CG3" s="306"/>
      <c r="CH3" s="306"/>
      <c r="CI3" s="306"/>
      <c r="CJ3" s="306"/>
      <c r="CK3" s="306"/>
      <c r="CL3" s="306"/>
      <c r="CM3" s="306"/>
      <c r="CN3" s="306"/>
      <c r="CO3" s="306"/>
      <c r="CP3" s="306"/>
      <c r="CQ3" s="306"/>
      <c r="CR3" s="306"/>
      <c r="CS3" s="306"/>
      <c r="CT3" s="306"/>
      <c r="CU3" s="306"/>
      <c r="CV3" s="306"/>
    </row>
    <row r="4" spans="1:101" s="55" customFormat="1" ht="13.5" customHeight="1" x14ac:dyDescent="0.2">
      <c r="B4" s="120" t="str">
        <f>CONCATENATE("MES: ",NOMBRE!$B$6," - ","( ",NOMBRE!$C$6,NOMBRE!$D$6," )")</f>
        <v>MES:  - (  )</v>
      </c>
      <c r="CB4" s="306"/>
      <c r="CC4" s="306"/>
      <c r="CD4" s="306"/>
      <c r="CE4" s="306"/>
      <c r="CF4" s="306"/>
      <c r="CG4" s="306"/>
      <c r="CH4" s="306"/>
      <c r="CI4" s="306"/>
      <c r="CJ4" s="306"/>
      <c r="CK4" s="306"/>
      <c r="CL4" s="306"/>
      <c r="CM4" s="306"/>
      <c r="CN4" s="306"/>
      <c r="CO4" s="306"/>
      <c r="CP4" s="306"/>
      <c r="CQ4" s="306"/>
      <c r="CR4" s="306"/>
      <c r="CS4" s="306"/>
      <c r="CT4" s="306"/>
      <c r="CU4" s="306"/>
      <c r="CV4" s="306"/>
    </row>
    <row r="5" spans="1:101" s="55" customFormat="1" ht="13.5" customHeight="1" x14ac:dyDescent="0.2">
      <c r="B5" s="120" t="str">
        <f>CONCATENATE("AÑO: ",NOMBRE!$B$7)</f>
        <v>AÑO: 2023</v>
      </c>
      <c r="CB5" s="306"/>
      <c r="CC5" s="306"/>
      <c r="CD5" s="306"/>
      <c r="CE5" s="306"/>
      <c r="CF5" s="306"/>
      <c r="CG5" s="306"/>
      <c r="CH5" s="306"/>
      <c r="CI5" s="306"/>
      <c r="CJ5" s="306"/>
      <c r="CK5" s="306"/>
      <c r="CL5" s="306"/>
      <c r="CM5" s="306"/>
      <c r="CN5" s="306"/>
      <c r="CO5" s="306"/>
      <c r="CP5" s="306"/>
      <c r="CQ5" s="306"/>
      <c r="CR5" s="306"/>
      <c r="CS5" s="306"/>
      <c r="CT5" s="306"/>
      <c r="CU5" s="306"/>
      <c r="CV5" s="306"/>
    </row>
    <row r="6" spans="1:101" s="55" customFormat="1" ht="15" customHeight="1" x14ac:dyDescent="0.2">
      <c r="B6" s="120"/>
      <c r="CB6" s="306"/>
      <c r="CC6" s="306"/>
      <c r="CD6" s="306"/>
      <c r="CE6" s="306"/>
      <c r="CF6" s="306"/>
      <c r="CG6" s="306"/>
      <c r="CH6" s="306"/>
      <c r="CI6" s="306"/>
      <c r="CJ6" s="306"/>
      <c r="CK6" s="306"/>
      <c r="CL6" s="306"/>
      <c r="CM6" s="306"/>
      <c r="CN6" s="306"/>
      <c r="CO6" s="306"/>
      <c r="CP6" s="306"/>
      <c r="CQ6" s="306"/>
      <c r="CR6" s="306"/>
      <c r="CS6" s="306"/>
      <c r="CT6" s="306"/>
      <c r="CU6" s="306"/>
      <c r="CV6" s="306"/>
    </row>
    <row r="7" spans="1:101" ht="33" customHeight="1" x14ac:dyDescent="0.3">
      <c r="C7" s="443"/>
      <c r="D7" s="443"/>
      <c r="E7" s="443"/>
      <c r="F7" s="2288" t="s">
        <v>575</v>
      </c>
      <c r="G7" s="2288"/>
      <c r="H7" s="2288"/>
      <c r="I7" s="2288"/>
      <c r="J7" s="2288"/>
      <c r="K7" s="2288"/>
      <c r="L7" s="2288"/>
      <c r="M7" s="2288"/>
      <c r="N7" s="2288"/>
      <c r="O7" s="2288"/>
      <c r="P7" s="2288"/>
      <c r="Q7" s="2288"/>
      <c r="R7" s="2288"/>
      <c r="S7" s="2288"/>
      <c r="T7" s="443"/>
      <c r="U7" s="443"/>
      <c r="CB7" s="354"/>
      <c r="CC7" s="354"/>
      <c r="CD7" s="354"/>
      <c r="CE7" s="354"/>
      <c r="CF7" s="354"/>
      <c r="CG7" s="354"/>
      <c r="CH7" s="354"/>
      <c r="CI7" s="354"/>
      <c r="CJ7" s="354"/>
      <c r="CK7" s="354"/>
      <c r="CL7" s="354"/>
      <c r="CM7" s="354"/>
      <c r="CN7" s="354"/>
      <c r="CO7" s="354"/>
      <c r="CP7" s="354"/>
      <c r="CQ7" s="354"/>
      <c r="CR7" s="354"/>
      <c r="CS7" s="354"/>
      <c r="CT7" s="354"/>
      <c r="CU7" s="354"/>
      <c r="CV7" s="354"/>
    </row>
    <row r="8" spans="1:101" ht="43.5" customHeight="1" x14ac:dyDescent="0.3">
      <c r="B8" s="446" t="s">
        <v>505</v>
      </c>
      <c r="C8" s="444"/>
      <c r="D8" s="446"/>
      <c r="E8" s="444"/>
      <c r="F8" s="163"/>
      <c r="G8" s="163"/>
      <c r="H8" s="163"/>
      <c r="I8" s="164"/>
      <c r="N8" s="355"/>
      <c r="CB8" s="354"/>
      <c r="CC8" s="354"/>
      <c r="CD8" s="898" t="s">
        <v>15</v>
      </c>
      <c r="CE8" s="898"/>
      <c r="CF8" s="898" t="s">
        <v>465</v>
      </c>
      <c r="CG8" s="898"/>
      <c r="CH8" s="898" t="s">
        <v>15</v>
      </c>
      <c r="CI8" s="898" t="s">
        <v>465</v>
      </c>
      <c r="CJ8" s="2241" t="s">
        <v>726</v>
      </c>
      <c r="CK8" s="2241"/>
      <c r="CL8" s="898" t="s">
        <v>726</v>
      </c>
      <c r="CM8" s="317"/>
      <c r="CN8" s="354"/>
      <c r="CO8" s="898" t="s">
        <v>15</v>
      </c>
      <c r="CP8" s="898"/>
      <c r="CQ8" s="898" t="s">
        <v>465</v>
      </c>
      <c r="CR8" s="898"/>
      <c r="CS8" s="898" t="s">
        <v>15</v>
      </c>
      <c r="CT8" s="898" t="s">
        <v>465</v>
      </c>
      <c r="CU8" s="354"/>
      <c r="CV8" s="354"/>
    </row>
    <row r="9" spans="1:101" ht="21" customHeight="1" x14ac:dyDescent="0.3">
      <c r="B9" s="2248" t="s">
        <v>180</v>
      </c>
      <c r="C9" s="2249"/>
      <c r="D9" s="2275" t="s">
        <v>13</v>
      </c>
      <c r="E9" s="2275"/>
      <c r="F9" s="2275"/>
      <c r="G9" s="2267" t="s">
        <v>506</v>
      </c>
      <c r="H9" s="2268"/>
      <c r="I9" s="2268"/>
      <c r="J9" s="2268"/>
      <c r="K9" s="2268"/>
      <c r="L9" s="2268"/>
      <c r="M9" s="2268"/>
      <c r="N9" s="2268"/>
      <c r="O9" s="2268"/>
      <c r="P9" s="2268"/>
      <c r="Q9" s="2268"/>
      <c r="R9" s="2268"/>
      <c r="S9" s="2268"/>
      <c r="T9" s="2268"/>
      <c r="U9" s="2268"/>
      <c r="V9" s="2269"/>
      <c r="W9" s="1990" t="s">
        <v>15</v>
      </c>
      <c r="X9" s="1989"/>
      <c r="Y9" s="1988" t="s">
        <v>804</v>
      </c>
      <c r="Z9" s="1989"/>
      <c r="AA9" s="1988" t="s">
        <v>726</v>
      </c>
      <c r="AB9" s="1989"/>
      <c r="CB9" s="354"/>
      <c r="CC9" s="354"/>
      <c r="CD9" s="898"/>
      <c r="CE9" s="898"/>
      <c r="CF9" s="898"/>
      <c r="CG9" s="898"/>
      <c r="CH9" s="898"/>
      <c r="CI9" s="898"/>
      <c r="CJ9" s="1453"/>
      <c r="CK9" s="1453"/>
      <c r="CL9" s="898"/>
      <c r="CM9" s="317"/>
      <c r="CN9" s="354"/>
      <c r="CO9" s="898"/>
      <c r="CP9" s="898"/>
      <c r="CQ9" s="898"/>
      <c r="CR9" s="898"/>
      <c r="CS9" s="898"/>
      <c r="CT9" s="898"/>
      <c r="CU9" s="354"/>
      <c r="CV9" s="354"/>
    </row>
    <row r="10" spans="1:101" ht="18" customHeight="1" x14ac:dyDescent="0.3">
      <c r="B10" s="2250"/>
      <c r="C10" s="2251"/>
      <c r="D10" s="2275"/>
      <c r="E10" s="2275"/>
      <c r="F10" s="2275"/>
      <c r="G10" s="2162" t="s">
        <v>181</v>
      </c>
      <c r="H10" s="2118"/>
      <c r="I10" s="2117" t="s">
        <v>182</v>
      </c>
      <c r="J10" s="2118"/>
      <c r="K10" s="2117" t="s">
        <v>183</v>
      </c>
      <c r="L10" s="2118"/>
      <c r="M10" s="2117" t="s">
        <v>694</v>
      </c>
      <c r="N10" s="2162"/>
      <c r="O10" s="2117" t="s">
        <v>695</v>
      </c>
      <c r="P10" s="2162"/>
      <c r="Q10" s="2117" t="s">
        <v>696</v>
      </c>
      <c r="R10" s="2162"/>
      <c r="S10" s="2117" t="s">
        <v>697</v>
      </c>
      <c r="T10" s="2162"/>
      <c r="U10" s="2117" t="s">
        <v>693</v>
      </c>
      <c r="V10" s="2162"/>
      <c r="W10" s="1990"/>
      <c r="X10" s="1989"/>
      <c r="Y10" s="1988"/>
      <c r="Z10" s="1989"/>
      <c r="AA10" s="1988"/>
      <c r="AB10" s="1989"/>
      <c r="CB10" s="354"/>
      <c r="CC10" s="354"/>
      <c r="CD10" s="900" t="s">
        <v>31</v>
      </c>
      <c r="CE10" s="900" t="s">
        <v>94</v>
      </c>
      <c r="CF10" s="900" t="s">
        <v>31</v>
      </c>
      <c r="CG10" s="900" t="s">
        <v>94</v>
      </c>
      <c r="CH10" s="899" t="s">
        <v>540</v>
      </c>
      <c r="CI10" s="899" t="s">
        <v>540</v>
      </c>
      <c r="CJ10" s="1619" t="s">
        <v>31</v>
      </c>
      <c r="CK10" s="1619" t="s">
        <v>94</v>
      </c>
      <c r="CL10" s="899" t="s">
        <v>540</v>
      </c>
      <c r="CM10" s="1618"/>
      <c r="CN10" s="354"/>
      <c r="CO10" s="900" t="s">
        <v>31</v>
      </c>
      <c r="CP10" s="900" t="s">
        <v>94</v>
      </c>
      <c r="CQ10" s="900" t="s">
        <v>31</v>
      </c>
      <c r="CR10" s="900" t="s">
        <v>94</v>
      </c>
      <c r="CS10" s="899" t="s">
        <v>540</v>
      </c>
      <c r="CT10" s="899" t="s">
        <v>540</v>
      </c>
      <c r="CU10" s="354"/>
      <c r="CV10" s="354"/>
    </row>
    <row r="11" spans="1:101" ht="20.399999999999999" x14ac:dyDescent="0.3">
      <c r="B11" s="2252"/>
      <c r="C11" s="2253"/>
      <c r="D11" s="125" t="s">
        <v>93</v>
      </c>
      <c r="E11" s="165" t="s">
        <v>31</v>
      </c>
      <c r="F11" s="166" t="s">
        <v>94</v>
      </c>
      <c r="G11" s="131" t="s">
        <v>129</v>
      </c>
      <c r="H11" s="132" t="s">
        <v>94</v>
      </c>
      <c r="I11" s="131" t="s">
        <v>129</v>
      </c>
      <c r="J11" s="132" t="s">
        <v>94</v>
      </c>
      <c r="K11" s="131" t="s">
        <v>129</v>
      </c>
      <c r="L11" s="132" t="s">
        <v>94</v>
      </c>
      <c r="M11" s="131" t="s">
        <v>129</v>
      </c>
      <c r="N11" s="133" t="s">
        <v>94</v>
      </c>
      <c r="O11" s="131" t="s">
        <v>129</v>
      </c>
      <c r="P11" s="133" t="s">
        <v>94</v>
      </c>
      <c r="Q11" s="131" t="s">
        <v>129</v>
      </c>
      <c r="R11" s="133" t="s">
        <v>94</v>
      </c>
      <c r="S11" s="131" t="s">
        <v>129</v>
      </c>
      <c r="T11" s="133" t="s">
        <v>94</v>
      </c>
      <c r="U11" s="131" t="s">
        <v>129</v>
      </c>
      <c r="V11" s="133" t="s">
        <v>94</v>
      </c>
      <c r="W11" s="350" t="s">
        <v>31</v>
      </c>
      <c r="X11" s="1035" t="s">
        <v>94</v>
      </c>
      <c r="Y11" s="1041" t="s">
        <v>31</v>
      </c>
      <c r="Z11" s="324" t="s">
        <v>94</v>
      </c>
      <c r="AA11" s="1041" t="s">
        <v>31</v>
      </c>
      <c r="AB11" s="324" t="s">
        <v>94</v>
      </c>
      <c r="CB11" s="354"/>
      <c r="CC11" s="354"/>
      <c r="CD11" s="354"/>
      <c r="CE11" s="354"/>
      <c r="CF11" s="354"/>
      <c r="CG11" s="354"/>
      <c r="CH11" s="354"/>
      <c r="CI11" s="354"/>
      <c r="CJ11" s="354"/>
      <c r="CK11" s="354"/>
      <c r="CL11" s="354"/>
      <c r="CM11" s="354"/>
      <c r="CN11" s="354"/>
      <c r="CO11" s="354"/>
      <c r="CP11" s="354"/>
      <c r="CQ11" s="354"/>
      <c r="CR11" s="354"/>
      <c r="CS11" s="354"/>
      <c r="CT11" s="354"/>
      <c r="CU11" s="354"/>
      <c r="CV11" s="354"/>
    </row>
    <row r="12" spans="1:101" ht="21" customHeight="1" x14ac:dyDescent="0.3">
      <c r="A12" s="1637" t="s">
        <v>1255</v>
      </c>
      <c r="B12" s="2254" t="s">
        <v>184</v>
      </c>
      <c r="C12" s="2255"/>
      <c r="D12" s="765" t="s">
        <v>1550</v>
      </c>
      <c r="E12" s="766" t="s">
        <v>1551</v>
      </c>
      <c r="F12" s="767" t="s">
        <v>1552</v>
      </c>
      <c r="G12" s="768" t="s">
        <v>1553</v>
      </c>
      <c r="H12" s="769" t="s">
        <v>1554</v>
      </c>
      <c r="I12" s="768" t="s">
        <v>1555</v>
      </c>
      <c r="J12" s="769" t="s">
        <v>1556</v>
      </c>
      <c r="K12" s="768" t="s">
        <v>1557</v>
      </c>
      <c r="L12" s="769" t="s">
        <v>1558</v>
      </c>
      <c r="M12" s="768" t="s">
        <v>1559</v>
      </c>
      <c r="N12" s="770" t="s">
        <v>1560</v>
      </c>
      <c r="O12" s="768" t="s">
        <v>1561</v>
      </c>
      <c r="P12" s="770" t="s">
        <v>1562</v>
      </c>
      <c r="Q12" s="768" t="s">
        <v>1563</v>
      </c>
      <c r="R12" s="770" t="s">
        <v>1564</v>
      </c>
      <c r="S12" s="768" t="s">
        <v>1565</v>
      </c>
      <c r="T12" s="770" t="s">
        <v>1566</v>
      </c>
      <c r="U12" s="768" t="s">
        <v>1567</v>
      </c>
      <c r="V12" s="770" t="s">
        <v>1568</v>
      </c>
      <c r="W12" s="771" t="s">
        <v>1569</v>
      </c>
      <c r="X12" s="769" t="s">
        <v>1570</v>
      </c>
      <c r="Y12" s="772" t="s">
        <v>1571</v>
      </c>
      <c r="Z12" s="769" t="s">
        <v>1572</v>
      </c>
      <c r="AA12" s="772" t="s">
        <v>1573</v>
      </c>
      <c r="AB12" s="769" t="s">
        <v>1574</v>
      </c>
      <c r="AC12" s="1514" t="str">
        <f>CD12&amp;CE12&amp;CF12&amp;CG12&amp;CH12&amp;CI12&amp;CJ12&amp;CK12&amp;CL12</f>
        <v xml:space="preserve">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'Personas Mayores en ELEAM / Hombres' debe ser menor o igual al Total de Hombres en control. * La celda 'Personas Mayores en ELEAM / Mujeres' debe ser menor o igual al Total de Mujeres en control. </v>
      </c>
      <c r="CB12" s="354"/>
      <c r="CC12" s="354"/>
      <c r="CD12" s="348" t="str">
        <f>IF($E12&gt;=$W12,"","* La celda 'Pueblos Originarios / Hombres' debe ser menor o igual al Total de Hombres en control. ")</f>
        <v xml:space="preserve">* La celda 'Pueblos Originarios / Hombres' debe ser menor o igual al Total de Hombres en control. </v>
      </c>
      <c r="CE12" s="348" t="str">
        <f>IF($F12&gt;=$X12,"","* La celda 'Pueblos Originarios / Mujeres' debe ser menor o igual al Total de Mujeres en control. ")</f>
        <v xml:space="preserve">* La celda 'Pueblos Originarios / Mujeres' debe ser menor o igual al Total de Mujeres en control. </v>
      </c>
      <c r="CF12" s="348" t="str">
        <f>IF($E12&gt;=$Y12,"","* La celda 'Población Migrantes / Hombres' debe ser menor o igual al Total de Hombres en control. ")</f>
        <v xml:space="preserve">* La celda 'Población Migrantes / Hombres' debe ser menor o igual al Total de Hombres en control. </v>
      </c>
      <c r="CG12" s="348" t="str">
        <f>IF($F12&gt;=$Z12,"","* La celda 'Población Migrantes / Mujeres' debe ser menor o igual al Total de Mujeres en control. ")</f>
        <v xml:space="preserve">* La celda 'Población Migrantes / Mujeres' debe ser menor o igual al Total de Mujeres en control. </v>
      </c>
      <c r="CH12" s="348" t="str">
        <f>IF(AND($E12&lt;&gt;0,$W12=""),"* No olvide escribir en las celdas de 'Pueblos Originarios' (Digite CERO si no tiene). ",IF(AND(F12&lt;&gt;0,X12=""),"* No olvide escribir en las celdas de 'Pueblos Originarios' (Digite CERO si no tiene). ",""))</f>
        <v/>
      </c>
      <c r="CI12" s="348" t="str">
        <f>IF(AND($E12&lt;&gt;0,$Y12=""),"* No olvide escribir en las celdas de 'Población Migrantes' (Digite CERO si no tiene). ",IF(AND(F12&lt;&gt;0,Z12=""),"* No olvide escribir en las celdas de 'Población Migrantes' (Digite CERO si no tiene). ",""))</f>
        <v/>
      </c>
      <c r="CJ12" s="348" t="str">
        <f>IF($E12&gt;=$AA12,"","* La celda 'Personas Mayores en ELEAM / Hombres' debe ser menor o igual al Total de Hombres en control. ")</f>
        <v xml:space="preserve">* La celda 'Personas Mayores en ELEAM / Hombres' debe ser menor o igual al Total de Hombres en control. </v>
      </c>
      <c r="CK12" s="348" t="str">
        <f>IF($F12&gt;=$AB12,"","* La celda 'Personas Mayores en ELEAM / Mujeres' debe ser menor o igual al Total de Mujeres en control. ")</f>
        <v xml:space="preserve">* La celda 'Personas Mayores en ELEAM / Mujeres' debe ser menor o igual al Total de Mujeres en control. </v>
      </c>
      <c r="CL12" s="348" t="str">
        <f>IF(AND($E12&lt;&gt;0,$AA12=""),"* No olvide escribir en las celdas de 'Personas Mayores en ELEAM' (Digite CERO si no tiene). ",IF(AND(F12&lt;&gt;0,AB12=""),"* No olvide escribir en las celdas de 'Personas Mayores en ELEAM´ (Digite CERO si no tiene). ",""))</f>
        <v/>
      </c>
      <c r="CM12" s="354"/>
      <c r="CN12" s="354"/>
      <c r="CO12" s="358">
        <f>IF($E12&gt;=$W12,0,1)</f>
        <v>1</v>
      </c>
      <c r="CP12" s="358">
        <f>IF($F12&gt;=$X12,0,1)</f>
        <v>1</v>
      </c>
      <c r="CQ12" s="358">
        <f>IF($E12&gt;=$Y12,0,1)</f>
        <v>1</v>
      </c>
      <c r="CR12" s="358">
        <f>IF($F12&gt;=$Z12,0,1)</f>
        <v>1</v>
      </c>
      <c r="CS12" s="358">
        <f>IF(AND(E12&lt;&gt;0,W12=""),1,IF(AND(F12&lt;&gt;0,X12=""),1,0))</f>
        <v>0</v>
      </c>
      <c r="CT12" s="358">
        <f>IF(AND(E12&lt;&gt;0,Y12=""),1,IF(AND(F12&lt;&gt;0,Z12=""),1,0))</f>
        <v>0</v>
      </c>
      <c r="CU12" s="358">
        <f>IF($E12&gt;=$AA12,0,1)</f>
        <v>1</v>
      </c>
      <c r="CV12" s="358">
        <f>IF($F12&gt;=$AB12,0,1)</f>
        <v>1</v>
      </c>
      <c r="CW12" s="358">
        <f>IF(AND(E12&lt;&gt;0,AA12=""),1,IF(AND(F12&lt;&gt;0,AB12=""),1,0))</f>
        <v>0</v>
      </c>
    </row>
    <row r="13" spans="1:101" ht="21" customHeight="1" x14ac:dyDescent="0.3">
      <c r="A13" s="1637" t="s">
        <v>1256</v>
      </c>
      <c r="B13" s="2256" t="s">
        <v>185</v>
      </c>
      <c r="C13" s="2257"/>
      <c r="D13" s="773" t="s">
        <v>1550</v>
      </c>
      <c r="E13" s="774" t="s">
        <v>1551</v>
      </c>
      <c r="F13" s="775" t="s">
        <v>1552</v>
      </c>
      <c r="G13" s="776" t="s">
        <v>1553</v>
      </c>
      <c r="H13" s="777" t="s">
        <v>1554</v>
      </c>
      <c r="I13" s="776" t="s">
        <v>1555</v>
      </c>
      <c r="J13" s="777" t="s">
        <v>1556</v>
      </c>
      <c r="K13" s="776" t="s">
        <v>1557</v>
      </c>
      <c r="L13" s="777" t="s">
        <v>1558</v>
      </c>
      <c r="M13" s="776" t="s">
        <v>1559</v>
      </c>
      <c r="N13" s="778" t="s">
        <v>1560</v>
      </c>
      <c r="O13" s="776" t="s">
        <v>1561</v>
      </c>
      <c r="P13" s="778" t="s">
        <v>1562</v>
      </c>
      <c r="Q13" s="776" t="s">
        <v>1563</v>
      </c>
      <c r="R13" s="778" t="s">
        <v>1564</v>
      </c>
      <c r="S13" s="776" t="s">
        <v>1565</v>
      </c>
      <c r="T13" s="778" t="s">
        <v>1566</v>
      </c>
      <c r="U13" s="776" t="s">
        <v>1567</v>
      </c>
      <c r="V13" s="778" t="s">
        <v>1568</v>
      </c>
      <c r="W13" s="779" t="s">
        <v>1569</v>
      </c>
      <c r="X13" s="777" t="s">
        <v>1570</v>
      </c>
      <c r="Y13" s="780" t="s">
        <v>1571</v>
      </c>
      <c r="Z13" s="777" t="s">
        <v>1572</v>
      </c>
      <c r="AA13" s="780" t="s">
        <v>1573</v>
      </c>
      <c r="AB13" s="777" t="s">
        <v>1574</v>
      </c>
      <c r="AC13" s="1514" t="str">
        <f t="shared" ref="AC13:AC19" si="0">CD13&amp;CE13&amp;CF13&amp;CG13&amp;CH13&amp;CI13&amp;CJ13&amp;CK13&amp;CL13</f>
        <v xml:space="preserve">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'Personas Mayores en ELEAM / Hombres' debe ser menor o igual al Total de Hombres en control. * La celda 'Personas Mayores en ELEAM / Mujeres' debe ser menor o igual al Total de Mujeres en control. </v>
      </c>
      <c r="CB13" s="354"/>
      <c r="CC13" s="354"/>
      <c r="CD13" s="348" t="str">
        <f>IF($E13&gt;=$W13,"","* La celda 'Pueblos Originarios / Hombres' debe ser menor o igual al Total de Hombres en control. ")</f>
        <v xml:space="preserve">* La celda 'Pueblos Originarios / Hombres' debe ser menor o igual al Total de Hombres en control. </v>
      </c>
      <c r="CE13" s="348" t="str">
        <f>IF($F13&gt;=$X13,"","* La celda 'Pueblos Originarios / Mujeres' debe ser menor o igual al Total de Mujeres en control. ")</f>
        <v xml:space="preserve">* La celda 'Pueblos Originarios / Mujeres' debe ser menor o igual al Total de Mujeres en control. </v>
      </c>
      <c r="CF13" s="348" t="str">
        <f>IF($E13&gt;=$Y13,"","* La celda 'Población Migrantes / Hombres' debe ser menor o igual al Total de Hombres en control. ")</f>
        <v xml:space="preserve">* La celda 'Población Migrantes / Hombres' debe ser menor o igual al Total de Hombres en control. </v>
      </c>
      <c r="CG13" s="348" t="str">
        <f>IF($F13&gt;=$Z13,"","* La celda 'Población Migrantes / Mujeres' debe ser menor o igual al Total de Mujeres en control. ")</f>
        <v xml:space="preserve">* La celda 'Población Migrantes / Mujeres' debe ser menor o igual al Total de Mujeres en control. </v>
      </c>
      <c r="CH13" s="348" t="str">
        <f>IF(AND($E13&lt;&gt;0,$W13=""),"* No olvide escribir en las celdas de 'Pueblos Originarios' (Digite CERO si no tiene). ",IF(AND(F13&lt;&gt;0,X13=""),"* No olvide escribir en las celdas de 'Pueblos Originarios' (Digite CERO si no tiene). ",""))</f>
        <v/>
      </c>
      <c r="CI13" s="348" t="str">
        <f>IF(AND($E13&lt;&gt;0,$Y13=""),"* No olvide escribir en las celdas de 'Población Migrantes' (Digite CERO si no tiene). ",IF(AND(F13&lt;&gt;0,Z13=""),"* No olvide escribir en las celdas de 'Población Migrantes' (Digite CERO si no tiene). ",""))</f>
        <v/>
      </c>
      <c r="CJ13" s="348" t="str">
        <f t="shared" ref="CJ13:CJ14" si="1">IF($E13&gt;=$AA13,"","* La celda 'Personas Mayores en ELEAM / Hombres' debe ser menor o igual al Total de Hombres en control. ")</f>
        <v xml:space="preserve">* La celda 'Personas Mayores en ELEAM / Hombres' debe ser menor o igual al Total de Hombres en control. </v>
      </c>
      <c r="CK13" s="348" t="str">
        <f t="shared" ref="CK13:CK14" si="2">IF($F13&gt;=$AB13,"","* La celda 'Personas Mayores en ELEAM / Mujeres' debe ser menor o igual al Total de Mujeres en control. ")</f>
        <v xml:space="preserve">* La celda 'Personas Mayores en ELEAM / Mujeres' debe ser menor o igual al Total de Mujeres en control. </v>
      </c>
      <c r="CL13" s="348" t="str">
        <f t="shared" ref="CL13:CL19" si="3">IF(AND($E13&lt;&gt;0,$AA13=""),"* No olvide escribir en las celdas de 'Personas Mayores en ELEAM' (Digite CERO si no tiene). ",IF(AND(F13&lt;&gt;0,AB13=""),"* No olvide escribir en las celdas de 'Personas Mayores en ELEAM´ (Digite CERO si no tiene). ",""))</f>
        <v/>
      </c>
      <c r="CM13" s="354"/>
      <c r="CN13" s="354"/>
      <c r="CO13" s="358">
        <f>IF($E13&gt;=$W13,0,1)</f>
        <v>1</v>
      </c>
      <c r="CP13" s="358">
        <f>IF($F13&gt;=$X13,0,1)</f>
        <v>1</v>
      </c>
      <c r="CQ13" s="358">
        <f>IF($E13&gt;=$Y13,0,1)</f>
        <v>1</v>
      </c>
      <c r="CR13" s="358">
        <f>IF($F13&gt;=$Z13,0,1)</f>
        <v>1</v>
      </c>
      <c r="CS13" s="358">
        <f>IF(AND(E13&lt;&gt;0,W13=""),1,IF(AND(F13&lt;&gt;0,X13=""),1,0))</f>
        <v>0</v>
      </c>
      <c r="CT13" s="358">
        <f>IF(AND(E13&lt;&gt;0,Y13=""),1,IF(AND(F13&lt;&gt;0,Z13=""),1,0))</f>
        <v>0</v>
      </c>
      <c r="CU13" s="358">
        <f t="shared" ref="CU13:CU14" si="4">IF($E13&gt;=$AA13,0,1)</f>
        <v>1</v>
      </c>
      <c r="CV13" s="358">
        <f t="shared" ref="CV13:CV14" si="5">IF($F13&gt;=$AB13,0,1)</f>
        <v>1</v>
      </c>
      <c r="CW13" s="358">
        <f t="shared" ref="CW13:CW14" si="6">IF(AND(E13&lt;&gt;0,AA13=""),1,IF(AND(F13&lt;&gt;0,AB13=""),1,0))</f>
        <v>0</v>
      </c>
    </row>
    <row r="14" spans="1:101" ht="21" customHeight="1" x14ac:dyDescent="0.3">
      <c r="A14" s="1637" t="s">
        <v>1257</v>
      </c>
      <c r="B14" s="2258" t="s">
        <v>186</v>
      </c>
      <c r="C14" s="2259"/>
      <c r="D14" s="773" t="s">
        <v>1550</v>
      </c>
      <c r="E14" s="774" t="s">
        <v>1551</v>
      </c>
      <c r="F14" s="775" t="s">
        <v>1552</v>
      </c>
      <c r="G14" s="781" t="s">
        <v>1553</v>
      </c>
      <c r="H14" s="782" t="s">
        <v>1554</v>
      </c>
      <c r="I14" s="781" t="s">
        <v>1555</v>
      </c>
      <c r="J14" s="782" t="s">
        <v>1556</v>
      </c>
      <c r="K14" s="781" t="s">
        <v>1557</v>
      </c>
      <c r="L14" s="782" t="s">
        <v>1558</v>
      </c>
      <c r="M14" s="781" t="s">
        <v>1559</v>
      </c>
      <c r="N14" s="783" t="s">
        <v>1560</v>
      </c>
      <c r="O14" s="781" t="s">
        <v>1561</v>
      </c>
      <c r="P14" s="783" t="s">
        <v>1562</v>
      </c>
      <c r="Q14" s="781" t="s">
        <v>1563</v>
      </c>
      <c r="R14" s="783" t="s">
        <v>1564</v>
      </c>
      <c r="S14" s="781" t="s">
        <v>1565</v>
      </c>
      <c r="T14" s="783" t="s">
        <v>1566</v>
      </c>
      <c r="U14" s="1627" t="s">
        <v>1567</v>
      </c>
      <c r="V14" s="783" t="s">
        <v>1568</v>
      </c>
      <c r="W14" s="784" t="s">
        <v>1569</v>
      </c>
      <c r="X14" s="782" t="s">
        <v>1570</v>
      </c>
      <c r="Y14" s="785" t="s">
        <v>1571</v>
      </c>
      <c r="Z14" s="782" t="s">
        <v>1572</v>
      </c>
      <c r="AA14" s="785" t="s">
        <v>1573</v>
      </c>
      <c r="AB14" s="782" t="s">
        <v>1574</v>
      </c>
      <c r="AC14" s="1514" t="str">
        <f t="shared" si="0"/>
        <v xml:space="preserve">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'Personas Mayores en ELEAM / Hombres' debe ser menor o igual al Total de Hombres en control. * La celda 'Personas Mayores en ELEAM / Mujeres' debe ser menor o igual al Total de Mujeres en control. </v>
      </c>
      <c r="CB14" s="354"/>
      <c r="CC14" s="354"/>
      <c r="CD14" s="348" t="str">
        <f>IF($E14&gt;=$W14,"","* La celda 'Pueblos Originarios / Hombres' debe ser menor o igual al Total de Hombres en control. ")</f>
        <v xml:space="preserve">* La celda 'Pueblos Originarios / Hombres' debe ser menor o igual al Total de Hombres en control. </v>
      </c>
      <c r="CE14" s="348" t="str">
        <f>IF($F14&gt;=$X14,"","* La celda 'Pueblos Originarios / Mujeres' debe ser menor o igual al Total de Mujeres en control. ")</f>
        <v xml:space="preserve">* La celda 'Pueblos Originarios / Mujeres' debe ser menor o igual al Total de Mujeres en control. </v>
      </c>
      <c r="CF14" s="348" t="str">
        <f>IF($E14&gt;=$Y14,"","* La celda 'Población Migrantes / Hombres' debe ser menor o igual al Total de Hombres en control. ")</f>
        <v xml:space="preserve">* La celda 'Población Migrantes / Hombres' debe ser menor o igual al Total de Hombres en control. </v>
      </c>
      <c r="CG14" s="348" t="str">
        <f>IF($F14&gt;=$Z14,"","* La celda 'Población Migrantes / Mujeres' debe ser menor o igual al Total de Mujeres en control. ")</f>
        <v xml:space="preserve">* La celda 'Población Migrantes / Mujeres' debe ser menor o igual al Total de Mujeres en control. </v>
      </c>
      <c r="CH14" s="348" t="str">
        <f>IF(AND($E14&lt;&gt;0,$W14=""),"* No olvide escribir en las celdas de 'Pueblos Originarios' (Digite CERO si no tiene). ",IF(AND(F14&lt;&gt;0,X14=""),"* No olvide escribir en las celdas de 'Pueblos Originarios' (Digite CERO si no tiene). ",""))</f>
        <v/>
      </c>
      <c r="CI14" s="348" t="str">
        <f>IF(AND($E14&lt;&gt;0,$Y14=""),"* No olvide escribir en las celdas de 'Población Migrantes' (Digite CERO si no tiene). ",IF(AND(F14&lt;&gt;0,Z14=""),"* No olvide escribir en las celdas de 'Población Migrantes' (Digite CERO si no tiene). ",""))</f>
        <v/>
      </c>
      <c r="CJ14" s="348" t="str">
        <f t="shared" si="1"/>
        <v xml:space="preserve">* La celda 'Personas Mayores en ELEAM / Hombres' debe ser menor o igual al Total de Hombres en control. </v>
      </c>
      <c r="CK14" s="348" t="str">
        <f t="shared" si="2"/>
        <v xml:space="preserve">* La celda 'Personas Mayores en ELEAM / Mujeres' debe ser menor o igual al Total de Mujeres en control. </v>
      </c>
      <c r="CL14" s="348" t="str">
        <f t="shared" si="3"/>
        <v/>
      </c>
      <c r="CM14" s="354"/>
      <c r="CN14" s="354"/>
      <c r="CO14" s="358">
        <f>IF($E14&gt;=$W14,0,1)</f>
        <v>1</v>
      </c>
      <c r="CP14" s="358">
        <f>IF($F14&gt;=$X14,0,1)</f>
        <v>1</v>
      </c>
      <c r="CQ14" s="358">
        <f>IF($E14&gt;=$Y14,0,1)</f>
        <v>1</v>
      </c>
      <c r="CR14" s="358">
        <f>IF($F14&gt;=$Z14,0,1)</f>
        <v>1</v>
      </c>
      <c r="CS14" s="358">
        <f>IF(AND(E14&lt;&gt;0,W14=""),1,IF(AND(F14&lt;&gt;0,X14=""),1,0))</f>
        <v>0</v>
      </c>
      <c r="CT14" s="358">
        <f>IF(AND(E14&lt;&gt;0,Y14=""),1,IF(AND(F14&lt;&gt;0,Z14=""),1,0))</f>
        <v>0</v>
      </c>
      <c r="CU14" s="358">
        <f t="shared" si="4"/>
        <v>1</v>
      </c>
      <c r="CV14" s="358">
        <f t="shared" si="5"/>
        <v>1</v>
      </c>
      <c r="CW14" s="358">
        <f t="shared" si="6"/>
        <v>0</v>
      </c>
    </row>
    <row r="15" spans="1:101" ht="21" customHeight="1" x14ac:dyDescent="0.3">
      <c r="A15" s="1639"/>
      <c r="B15" s="2244" t="s">
        <v>187</v>
      </c>
      <c r="C15" s="2245"/>
      <c r="D15" s="786">
        <f>SUM(E15:F15)</f>
        <v>0</v>
      </c>
      <c r="E15" s="787">
        <f>+G15+I15+K15+M15+O15+Q15+S15+U15</f>
        <v>0</v>
      </c>
      <c r="F15" s="788">
        <f>+H15+J15+L15+N15+P15+R15+T15+V15</f>
        <v>0</v>
      </c>
      <c r="G15" s="786">
        <f>SUM(G12:G14)</f>
        <v>0</v>
      </c>
      <c r="H15" s="788">
        <f t="shared" ref="H15:Y15" si="7">SUM(H12:H14)</f>
        <v>0</v>
      </c>
      <c r="I15" s="786">
        <f t="shared" si="7"/>
        <v>0</v>
      </c>
      <c r="J15" s="788">
        <f t="shared" si="7"/>
        <v>0</v>
      </c>
      <c r="K15" s="786">
        <f t="shared" si="7"/>
        <v>0</v>
      </c>
      <c r="L15" s="788">
        <f t="shared" si="7"/>
        <v>0</v>
      </c>
      <c r="M15" s="786">
        <f t="shared" si="7"/>
        <v>0</v>
      </c>
      <c r="N15" s="789">
        <f t="shared" si="7"/>
        <v>0</v>
      </c>
      <c r="O15" s="786">
        <f t="shared" ref="O15:P15" si="8">SUM(O12:O14)</f>
        <v>0</v>
      </c>
      <c r="P15" s="789">
        <f t="shared" si="8"/>
        <v>0</v>
      </c>
      <c r="Q15" s="786">
        <f t="shared" ref="Q15:R15" si="9">SUM(Q12:Q14)</f>
        <v>0</v>
      </c>
      <c r="R15" s="789">
        <f t="shared" si="9"/>
        <v>0</v>
      </c>
      <c r="S15" s="786">
        <f t="shared" ref="S15:T15" si="10">SUM(S12:S14)</f>
        <v>0</v>
      </c>
      <c r="T15" s="789">
        <f t="shared" si="10"/>
        <v>0</v>
      </c>
      <c r="U15" s="786">
        <f t="shared" si="7"/>
        <v>0</v>
      </c>
      <c r="V15" s="789">
        <f t="shared" si="7"/>
        <v>0</v>
      </c>
      <c r="W15" s="790">
        <f>SUM(W12:W14)</f>
        <v>0</v>
      </c>
      <c r="X15" s="788">
        <f>SUM(X12:X14)</f>
        <v>0</v>
      </c>
      <c r="Y15" s="1064">
        <f t="shared" si="7"/>
        <v>0</v>
      </c>
      <c r="Z15" s="788">
        <f>SUM(Z12:Z14)</f>
        <v>0</v>
      </c>
      <c r="AA15" s="1064">
        <f t="shared" ref="AA15" si="11">SUM(AA12:AA14)</f>
        <v>0</v>
      </c>
      <c r="AB15" s="788">
        <f>SUM(AB12:AB14)</f>
        <v>0</v>
      </c>
      <c r="AC15" s="1514"/>
      <c r="BD15" s="960"/>
      <c r="BE15" s="960"/>
      <c r="BF15" s="960"/>
      <c r="BG15" s="960"/>
      <c r="BH15" s="960"/>
      <c r="BI15" s="960"/>
      <c r="BJ15" s="960"/>
      <c r="BK15" s="960"/>
      <c r="BL15" s="960"/>
      <c r="BM15" s="960"/>
      <c r="BN15" s="960"/>
      <c r="CB15" s="354"/>
      <c r="CC15" s="354"/>
      <c r="CD15" s="348"/>
      <c r="CE15" s="354"/>
      <c r="CF15" s="354"/>
      <c r="CG15" s="354"/>
      <c r="CH15" s="354"/>
      <c r="CI15" s="354"/>
      <c r="CJ15" s="354"/>
      <c r="CK15" s="354"/>
      <c r="CL15" s="354"/>
      <c r="CM15" s="354"/>
      <c r="CN15" s="354"/>
      <c r="CO15" s="441"/>
      <c r="CP15" s="352"/>
      <c r="CQ15" s="352"/>
      <c r="CR15" s="352"/>
      <c r="CS15" s="352"/>
      <c r="CT15" s="352"/>
      <c r="CU15" s="352"/>
      <c r="CV15" s="352"/>
    </row>
    <row r="16" spans="1:101" ht="21" customHeight="1" x14ac:dyDescent="0.3">
      <c r="A16" s="1637" t="s">
        <v>1258</v>
      </c>
      <c r="B16" s="2254" t="s">
        <v>188</v>
      </c>
      <c r="C16" s="2255"/>
      <c r="D16" s="765" t="s">
        <v>1550</v>
      </c>
      <c r="E16" s="766" t="s">
        <v>1551</v>
      </c>
      <c r="F16" s="767" t="s">
        <v>1552</v>
      </c>
      <c r="G16" s="768" t="s">
        <v>1553</v>
      </c>
      <c r="H16" s="769" t="s">
        <v>1554</v>
      </c>
      <c r="I16" s="768" t="s">
        <v>1555</v>
      </c>
      <c r="J16" s="769" t="s">
        <v>1556</v>
      </c>
      <c r="K16" s="768" t="s">
        <v>1557</v>
      </c>
      <c r="L16" s="769" t="s">
        <v>1558</v>
      </c>
      <c r="M16" s="768" t="s">
        <v>1559</v>
      </c>
      <c r="N16" s="770" t="s">
        <v>1560</v>
      </c>
      <c r="O16" s="768" t="s">
        <v>1561</v>
      </c>
      <c r="P16" s="770" t="s">
        <v>1562</v>
      </c>
      <c r="Q16" s="768" t="s">
        <v>1563</v>
      </c>
      <c r="R16" s="770" t="s">
        <v>1564</v>
      </c>
      <c r="S16" s="768" t="s">
        <v>1565</v>
      </c>
      <c r="T16" s="770" t="s">
        <v>1566</v>
      </c>
      <c r="U16" s="768" t="s">
        <v>1567</v>
      </c>
      <c r="V16" s="770" t="s">
        <v>1568</v>
      </c>
      <c r="W16" s="771" t="s">
        <v>1569</v>
      </c>
      <c r="X16" s="769" t="s">
        <v>1570</v>
      </c>
      <c r="Y16" s="772" t="s">
        <v>1571</v>
      </c>
      <c r="Z16" s="769" t="s">
        <v>1572</v>
      </c>
      <c r="AA16" s="772" t="s">
        <v>1573</v>
      </c>
      <c r="AB16" s="769" t="s">
        <v>1574</v>
      </c>
      <c r="AC16" s="1514" t="str">
        <f t="shared" si="0"/>
        <v xml:space="preserve">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'Pueblos Originarios / Hombres' debe ser menor o igual al Total de Hombres en control. * La celda 'Pueblos Originarios / Mujeres' debe ser menor o igual al Total de Mujeres en control. </v>
      </c>
      <c r="CB16" s="354"/>
      <c r="CC16" s="354"/>
      <c r="CD16" s="348" t="str">
        <f>IF($E16&gt;=$W16,"","* La celda 'Pueblos Originarios / Hombres' debe ser menor o igual al Total de Hombres en control. ")</f>
        <v xml:space="preserve">* La celda 'Pueblos Originarios / Hombres' debe ser menor o igual al Total de Hombres en control. </v>
      </c>
      <c r="CE16" s="348" t="str">
        <f>IF($F16&gt;=$X16,"","* La celda 'Pueblos Originarios / Mujeres' debe ser menor o igual al Total de Mujeres en control. ")</f>
        <v xml:space="preserve">* La celda 'Pueblos Originarios / Mujeres' debe ser menor o igual al Total de Mujeres en control. </v>
      </c>
      <c r="CF16" s="348" t="str">
        <f>IF($E16&gt;=$Y16,"","* La celda 'Población Migrantes / Hombres' debe ser menor o igual al Total de Hombres en control. ")</f>
        <v xml:space="preserve">* La celda 'Población Migrantes / Hombres' debe ser menor o igual al Total de Hombres en control. </v>
      </c>
      <c r="CG16" s="348" t="str">
        <f>IF($F16&gt;=$Z16,"","* La celda 'Población Migrantes / Mujeres' debe ser menor o igual al Total de Mujeres en control. ")</f>
        <v xml:space="preserve">* La celda 'Población Migrantes / Mujeres' debe ser menor o igual al Total de Mujeres en control. </v>
      </c>
      <c r="CH16" s="348" t="str">
        <f>IF(AND($E16&lt;&gt;0,$W16=""),"* No olvide escribir en las celdas de 'Pueblos Originarios' (Digite CERO si no tiene). ",IF(AND(F16&lt;&gt;0,X16=""),"* No olvide escribir en las celdas de 'Pueblos Originarios' (Digite CERO si no tiene). ",""))</f>
        <v/>
      </c>
      <c r="CI16" s="348" t="str">
        <f>IF(AND($E16&lt;&gt;0,$Y16=""),"* No olvide escribir en las celdas de 'Población Migrantes' (Digite CERO si no tiene). ",IF(AND(F16&lt;&gt;0,Z16=""),"* No olvide escribir en las celdas de 'Población Migrantes' (Digite CERO si no tiene). ",""))</f>
        <v/>
      </c>
      <c r="CJ16" s="348" t="str">
        <f t="shared" ref="CJ16:CJ19" si="12">IF($E16&gt;=$AA16,"","* La celda 'Pueblos Originarios / Hombres' debe ser menor o igual al Total de Hombres en control. ")</f>
        <v xml:space="preserve">* La celda 'Pueblos Originarios / Hombres' debe ser menor o igual al Total de Hombres en control. </v>
      </c>
      <c r="CK16" s="348" t="str">
        <f t="shared" ref="CK16:CK19" si="13">IF($F16&gt;=$AB16,"","* La celda 'Pueblos Originarios / Mujeres' debe ser menor o igual al Total de Mujeres en control. ")</f>
        <v xml:space="preserve">* La celda 'Pueblos Originarios / Mujeres' debe ser menor o igual al Total de Mujeres en control. </v>
      </c>
      <c r="CL16" s="348" t="str">
        <f>IF(AND($E16&lt;&gt;0,$AA16=""),"* No olvide escribir en las celdas de 'Personas Mayores en ELEAM' (Digite CERO si no tiene). ",IF(AND(F16&lt;&gt;0,AB16=""),"* No olvide escribir en las celdas de 'Personas Mayores en ELEAM´ (Digite CERO si no tiene). ",""))</f>
        <v/>
      </c>
      <c r="CM16" s="354"/>
      <c r="CN16" s="354"/>
      <c r="CO16" s="358">
        <f>IF($E16&gt;=$W16,0,1)</f>
        <v>1</v>
      </c>
      <c r="CP16" s="358">
        <f>IF($F16&gt;=$X16,0,1)</f>
        <v>1</v>
      </c>
      <c r="CQ16" s="358">
        <f>IF($E16&gt;=$Y16,0,1)</f>
        <v>1</v>
      </c>
      <c r="CR16" s="358">
        <f>IF($F16&gt;=$Z16,0,1)</f>
        <v>1</v>
      </c>
      <c r="CS16" s="358">
        <f>IF(AND(E16&lt;&gt;0,W16=""),1,IF(AND(F16&lt;&gt;0,X16=""),1,0))</f>
        <v>0</v>
      </c>
      <c r="CT16" s="358">
        <f>IF(AND(E16&lt;&gt;0,Y16=""),1,IF(AND(F16&lt;&gt;0,Z16=""),1,0))</f>
        <v>0</v>
      </c>
      <c r="CU16" s="358">
        <f t="shared" ref="CU16:CU19" si="14">IF($E16&gt;=$AA16,0,1)</f>
        <v>1</v>
      </c>
      <c r="CV16" s="358">
        <f t="shared" ref="CV16:CV19" si="15">IF($F16&gt;=$AB16,0,1)</f>
        <v>1</v>
      </c>
      <c r="CW16" s="358">
        <f t="shared" ref="CW16:CW19" si="16">IF(AND(E16&lt;&gt;0,AA16=""),1,IF(AND(F16&lt;&gt;0,AB16=""),1,0))</f>
        <v>0</v>
      </c>
    </row>
    <row r="17" spans="1:101" ht="21" customHeight="1" x14ac:dyDescent="0.3">
      <c r="A17" s="1637" t="s">
        <v>1259</v>
      </c>
      <c r="B17" s="2260" t="s">
        <v>189</v>
      </c>
      <c r="C17" s="2261"/>
      <c r="D17" s="773" t="s">
        <v>1550</v>
      </c>
      <c r="E17" s="774" t="s">
        <v>1551</v>
      </c>
      <c r="F17" s="791" t="s">
        <v>1552</v>
      </c>
      <c r="G17" s="776" t="s">
        <v>1553</v>
      </c>
      <c r="H17" s="777" t="s">
        <v>1554</v>
      </c>
      <c r="I17" s="776" t="s">
        <v>1555</v>
      </c>
      <c r="J17" s="777" t="s">
        <v>1556</v>
      </c>
      <c r="K17" s="776" t="s">
        <v>1557</v>
      </c>
      <c r="L17" s="777" t="s">
        <v>1558</v>
      </c>
      <c r="M17" s="776" t="s">
        <v>1559</v>
      </c>
      <c r="N17" s="778" t="s">
        <v>1560</v>
      </c>
      <c r="O17" s="776" t="s">
        <v>1561</v>
      </c>
      <c r="P17" s="778" t="s">
        <v>1562</v>
      </c>
      <c r="Q17" s="776" t="s">
        <v>1563</v>
      </c>
      <c r="R17" s="778" t="s">
        <v>1564</v>
      </c>
      <c r="S17" s="776" t="s">
        <v>1565</v>
      </c>
      <c r="T17" s="778" t="s">
        <v>1566</v>
      </c>
      <c r="U17" s="776" t="s">
        <v>1567</v>
      </c>
      <c r="V17" s="778" t="s">
        <v>1568</v>
      </c>
      <c r="W17" s="779" t="s">
        <v>1569</v>
      </c>
      <c r="X17" s="777" t="s">
        <v>1570</v>
      </c>
      <c r="Y17" s="780" t="s">
        <v>1571</v>
      </c>
      <c r="Z17" s="777" t="s">
        <v>1572</v>
      </c>
      <c r="AA17" s="780" t="s">
        <v>1573</v>
      </c>
      <c r="AB17" s="777" t="s">
        <v>1574</v>
      </c>
      <c r="AC17" s="1514" t="str">
        <f t="shared" si="0"/>
        <v xml:space="preserve">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'Pueblos Originarios / Hombres' debe ser menor o igual al Total de Hombres en control. * La celda 'Pueblos Originarios / Mujeres' debe ser menor o igual al Total de Mujeres en control. </v>
      </c>
      <c r="CB17" s="354"/>
      <c r="CC17" s="354"/>
      <c r="CD17" s="348" t="str">
        <f>IF($E17&gt;=$W17,"","* La celda 'Pueblos Originarios / Hombres' debe ser menor o igual al Total de Hombres en control. ")</f>
        <v xml:space="preserve">* La celda 'Pueblos Originarios / Hombres' debe ser menor o igual al Total de Hombres en control. </v>
      </c>
      <c r="CE17" s="348" t="str">
        <f>IF($F17&gt;=$X17,"","* La celda 'Pueblos Originarios / Mujeres' debe ser menor o igual al Total de Mujeres en control. ")</f>
        <v xml:space="preserve">* La celda 'Pueblos Originarios / Mujeres' debe ser menor o igual al Total de Mujeres en control. </v>
      </c>
      <c r="CF17" s="348" t="str">
        <f>IF($E17&gt;=$Y17,"","* La celda 'Población Migrantes / Hombres' debe ser menor o igual al Total de Hombres en control. ")</f>
        <v xml:space="preserve">* La celda 'Población Migrantes / Hombres' debe ser menor o igual al Total de Hombres en control. </v>
      </c>
      <c r="CG17" s="348" t="str">
        <f>IF($F17&gt;=$Z17,"","* La celda 'Población Migrantes / Mujeres' debe ser menor o igual al Total de Mujeres en control. ")</f>
        <v xml:space="preserve">* La celda 'Población Migrantes / Mujeres' debe ser menor o igual al Total de Mujeres en control. </v>
      </c>
      <c r="CH17" s="348" t="str">
        <f>IF(AND($E17&lt;&gt;0,$W17=""),"* No olvide escribir en las celdas de 'Pueblos Originarios' (Digite CERO si no tiene). ",IF(AND(F17&lt;&gt;0,X17=""),"* No olvide escribir en las celdas de 'Pueblos Originarios' (Digite CERO si no tiene). ",""))</f>
        <v/>
      </c>
      <c r="CI17" s="348" t="str">
        <f>IF(AND($E17&lt;&gt;0,$Y17=""),"* No olvide escribir en las celdas de 'Población Migrantes' (Digite CERO si no tiene). ",IF(AND(F17&lt;&gt;0,Z17=""),"* No olvide escribir en las celdas de 'Población Migrantes' (Digite CERO si no tiene). ",""))</f>
        <v/>
      </c>
      <c r="CJ17" s="348" t="str">
        <f t="shared" si="12"/>
        <v xml:space="preserve">* La celda 'Pueblos Originarios / Hombres' debe ser menor o igual al Total de Hombres en control. </v>
      </c>
      <c r="CK17" s="348" t="str">
        <f t="shared" si="13"/>
        <v xml:space="preserve">* La celda 'Pueblos Originarios / Mujeres' debe ser menor o igual al Total de Mujeres en control. </v>
      </c>
      <c r="CL17" s="348" t="str">
        <f>IF(AND($E17&lt;&gt;0,$AA17=""),"* No olvide escribir en las celdas de 'Personas Mayores en ELEAM' (Digite CERO si no tiene). ",IF(AND(F17&lt;&gt;0,AB17=""),"* No olvide escribir en las celdas de 'Personas Mayores en ELEAM´ (Digite CERO si no tiene). ",""))</f>
        <v/>
      </c>
      <c r="CM17" s="354"/>
      <c r="CN17" s="354"/>
      <c r="CO17" s="358">
        <f>IF($E17&gt;=$W17,0,1)</f>
        <v>1</v>
      </c>
      <c r="CP17" s="358">
        <f>IF($F17&gt;=$X17,0,1)</f>
        <v>1</v>
      </c>
      <c r="CQ17" s="358">
        <f>IF($E17&gt;=$Y17,0,1)</f>
        <v>1</v>
      </c>
      <c r="CR17" s="358">
        <f>IF($F17&gt;=$Z17,0,1)</f>
        <v>1</v>
      </c>
      <c r="CS17" s="358">
        <f>IF(AND(E17&lt;&gt;0,W17=""),1,IF(AND(F17&lt;&gt;0,X17=""),1,0))</f>
        <v>0</v>
      </c>
      <c r="CT17" s="358">
        <f>IF(AND(E17&lt;&gt;0,Y17=""),1,IF(AND(F17&lt;&gt;0,Z17=""),1,0))</f>
        <v>0</v>
      </c>
      <c r="CU17" s="358">
        <f t="shared" si="14"/>
        <v>1</v>
      </c>
      <c r="CV17" s="358">
        <f t="shared" si="15"/>
        <v>1</v>
      </c>
      <c r="CW17" s="358">
        <f t="shared" si="16"/>
        <v>0</v>
      </c>
    </row>
    <row r="18" spans="1:101" ht="21" customHeight="1" x14ac:dyDescent="0.3">
      <c r="A18" s="1637" t="s">
        <v>1260</v>
      </c>
      <c r="B18" s="2260" t="s">
        <v>190</v>
      </c>
      <c r="C18" s="2261"/>
      <c r="D18" s="773" t="s">
        <v>1550</v>
      </c>
      <c r="E18" s="774" t="s">
        <v>1551</v>
      </c>
      <c r="F18" s="791" t="s">
        <v>1552</v>
      </c>
      <c r="G18" s="776" t="s">
        <v>1553</v>
      </c>
      <c r="H18" s="777" t="s">
        <v>1554</v>
      </c>
      <c r="I18" s="776" t="s">
        <v>1555</v>
      </c>
      <c r="J18" s="777" t="s">
        <v>1556</v>
      </c>
      <c r="K18" s="776" t="s">
        <v>1557</v>
      </c>
      <c r="L18" s="777" t="s">
        <v>1558</v>
      </c>
      <c r="M18" s="776" t="s">
        <v>1559</v>
      </c>
      <c r="N18" s="778" t="s">
        <v>1560</v>
      </c>
      <c r="O18" s="776" t="s">
        <v>1561</v>
      </c>
      <c r="P18" s="778" t="s">
        <v>1562</v>
      </c>
      <c r="Q18" s="776" t="s">
        <v>1563</v>
      </c>
      <c r="R18" s="778" t="s">
        <v>1564</v>
      </c>
      <c r="S18" s="776" t="s">
        <v>1565</v>
      </c>
      <c r="T18" s="778" t="s">
        <v>1566</v>
      </c>
      <c r="U18" s="776" t="s">
        <v>1567</v>
      </c>
      <c r="V18" s="778" t="s">
        <v>1568</v>
      </c>
      <c r="W18" s="779" t="s">
        <v>1569</v>
      </c>
      <c r="X18" s="777" t="s">
        <v>1570</v>
      </c>
      <c r="Y18" s="780" t="s">
        <v>1571</v>
      </c>
      <c r="Z18" s="777" t="s">
        <v>1572</v>
      </c>
      <c r="AA18" s="780" t="s">
        <v>1573</v>
      </c>
      <c r="AB18" s="777" t="s">
        <v>1574</v>
      </c>
      <c r="AC18" s="1514" t="str">
        <f t="shared" si="0"/>
        <v xml:space="preserve">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'Pueblos Originarios / Hombres' debe ser menor o igual al Total de Hombres en control. * La celda 'Pueblos Originarios / Mujeres' debe ser menor o igual al Total de Mujeres en control. </v>
      </c>
      <c r="CB18" s="354"/>
      <c r="CC18" s="354"/>
      <c r="CD18" s="348" t="str">
        <f>IF($E18&gt;=$W18,"","* La celda 'Pueblos Originarios / Hombres' debe ser menor o igual al Total de Hombres en control. ")</f>
        <v xml:space="preserve">* La celda 'Pueblos Originarios / Hombres' debe ser menor o igual al Total de Hombres en control. </v>
      </c>
      <c r="CE18" s="348" t="str">
        <f>IF($F18&gt;=$X18,"","* La celda 'Pueblos Originarios / Mujeres' debe ser menor o igual al Total de Mujeres en control. ")</f>
        <v xml:space="preserve">* La celda 'Pueblos Originarios / Mujeres' debe ser menor o igual al Total de Mujeres en control. </v>
      </c>
      <c r="CF18" s="348" t="str">
        <f>IF($E18&gt;=$Y18,"","* La celda 'Población Migrantes / Hombres' debe ser menor o igual al Total de Hombres en control. ")</f>
        <v xml:space="preserve">* La celda 'Población Migrantes / Hombres' debe ser menor o igual al Total de Hombres en control. </v>
      </c>
      <c r="CG18" s="348" t="str">
        <f>IF($F18&gt;=$Z18,"","* La celda 'Población Migrantes / Mujeres' debe ser menor o igual al Total de Mujeres en control. ")</f>
        <v xml:space="preserve">* La celda 'Población Migrantes / Mujeres' debe ser menor o igual al Total de Mujeres en control. </v>
      </c>
      <c r="CH18" s="348" t="str">
        <f>IF(AND($E18&lt;&gt;0,$W18=""),"* No olvide escribir en las celdas de 'Pueblos Originarios' (Digite CERO si no tiene). ",IF(AND(F18&lt;&gt;0,X18=""),"* No olvide escribir en las celdas de 'Pueblos Originarios' (Digite CERO si no tiene). ",""))</f>
        <v/>
      </c>
      <c r="CI18" s="348" t="str">
        <f>IF(AND($E18&lt;&gt;0,$Y18=""),"* No olvide escribir en las celdas de 'Población Migrantes' (Digite CERO si no tiene). ",IF(AND(F18&lt;&gt;0,Z18=""),"* No olvide escribir en las celdas de 'Población Migrantes' (Digite CERO si no tiene). ",""))</f>
        <v/>
      </c>
      <c r="CJ18" s="348" t="str">
        <f t="shared" si="12"/>
        <v xml:space="preserve">* La celda 'Pueblos Originarios / Hombres' debe ser menor o igual al Total de Hombres en control. </v>
      </c>
      <c r="CK18" s="348" t="str">
        <f t="shared" si="13"/>
        <v xml:space="preserve">* La celda 'Pueblos Originarios / Mujeres' debe ser menor o igual al Total de Mujeres en control. </v>
      </c>
      <c r="CL18" s="348" t="str">
        <f t="shared" si="3"/>
        <v/>
      </c>
      <c r="CM18" s="354"/>
      <c r="CN18" s="354"/>
      <c r="CO18" s="358">
        <f>IF($E18&gt;=$W18,0,1)</f>
        <v>1</v>
      </c>
      <c r="CP18" s="358">
        <f>IF($F18&gt;=$X18,0,1)</f>
        <v>1</v>
      </c>
      <c r="CQ18" s="358">
        <f>IF($E18&gt;=$Y18,0,1)</f>
        <v>1</v>
      </c>
      <c r="CR18" s="358">
        <f>IF($F18&gt;=$Z18,0,1)</f>
        <v>1</v>
      </c>
      <c r="CS18" s="358">
        <f>IF(AND(E18&lt;&gt;0,W18=""),1,IF(AND(F18&lt;&gt;0,X18=""),1,0))</f>
        <v>0</v>
      </c>
      <c r="CT18" s="358">
        <f>IF(AND(E18&lt;&gt;0,Y18=""),1,IF(AND(F18&lt;&gt;0,Z18=""),1,0))</f>
        <v>0</v>
      </c>
      <c r="CU18" s="358">
        <f t="shared" si="14"/>
        <v>1</v>
      </c>
      <c r="CV18" s="358">
        <f t="shared" si="15"/>
        <v>1</v>
      </c>
      <c r="CW18" s="358">
        <f t="shared" si="16"/>
        <v>0</v>
      </c>
    </row>
    <row r="19" spans="1:101" ht="21" customHeight="1" x14ac:dyDescent="0.3">
      <c r="A19" s="1637" t="s">
        <v>1261</v>
      </c>
      <c r="B19" s="2262" t="s">
        <v>191</v>
      </c>
      <c r="C19" s="2263"/>
      <c r="D19" s="792" t="s">
        <v>1550</v>
      </c>
      <c r="E19" s="793" t="s">
        <v>1551</v>
      </c>
      <c r="F19" s="794" t="s">
        <v>1552</v>
      </c>
      <c r="G19" s="795" t="s">
        <v>1553</v>
      </c>
      <c r="H19" s="796" t="s">
        <v>1554</v>
      </c>
      <c r="I19" s="795" t="s">
        <v>1555</v>
      </c>
      <c r="J19" s="796" t="s">
        <v>1556</v>
      </c>
      <c r="K19" s="795" t="s">
        <v>1557</v>
      </c>
      <c r="L19" s="796" t="s">
        <v>1558</v>
      </c>
      <c r="M19" s="795" t="s">
        <v>1559</v>
      </c>
      <c r="N19" s="797" t="s">
        <v>1560</v>
      </c>
      <c r="O19" s="795" t="s">
        <v>1561</v>
      </c>
      <c r="P19" s="797" t="s">
        <v>1562</v>
      </c>
      <c r="Q19" s="795" t="s">
        <v>1563</v>
      </c>
      <c r="R19" s="797" t="s">
        <v>1564</v>
      </c>
      <c r="S19" s="795" t="s">
        <v>1565</v>
      </c>
      <c r="T19" s="797" t="s">
        <v>1566</v>
      </c>
      <c r="U19" s="795" t="s">
        <v>1567</v>
      </c>
      <c r="V19" s="797" t="s">
        <v>1568</v>
      </c>
      <c r="W19" s="798" t="s">
        <v>1569</v>
      </c>
      <c r="X19" s="796" t="s">
        <v>1570</v>
      </c>
      <c r="Y19" s="800" t="s">
        <v>1571</v>
      </c>
      <c r="Z19" s="796" t="s">
        <v>1572</v>
      </c>
      <c r="AA19" s="800" t="s">
        <v>1573</v>
      </c>
      <c r="AB19" s="796" t="s">
        <v>1574</v>
      </c>
      <c r="AC19" s="1514" t="str">
        <f t="shared" si="0"/>
        <v xml:space="preserve">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'Pueblos Originarios / Hombres' debe ser menor o igual al Total de Hombres en control. * La celda 'Pueblos Originarios / Mujeres' debe ser menor o igual al Total de Mujeres en control. </v>
      </c>
      <c r="CB19" s="354"/>
      <c r="CC19" s="354"/>
      <c r="CD19" s="348" t="str">
        <f>IF($E19&gt;=$W19,"","* La celda 'Pueblos Originarios / Hombres' debe ser menor o igual al Total de Hombres en control. ")</f>
        <v xml:space="preserve">* La celda 'Pueblos Originarios / Hombres' debe ser menor o igual al Total de Hombres en control. </v>
      </c>
      <c r="CE19" s="348" t="str">
        <f>IF($F19&gt;=$X19,"","* La celda 'Pueblos Originarios / Mujeres' debe ser menor o igual al Total de Mujeres en control. ")</f>
        <v xml:space="preserve">* La celda 'Pueblos Originarios / Mujeres' debe ser menor o igual al Total de Mujeres en control. </v>
      </c>
      <c r="CF19" s="348" t="str">
        <f>IF($E19&gt;=$Y19,"","* La celda 'Población Migrantes / Hombres' debe ser menor o igual al Total de Hombres en control. ")</f>
        <v xml:space="preserve">* La celda 'Población Migrantes / Hombres' debe ser menor o igual al Total de Hombres en control. </v>
      </c>
      <c r="CG19" s="348" t="str">
        <f>IF($F19&gt;=$Z19,"","* La celda 'Población Migrantes / Mujeres' debe ser menor o igual al Total de Mujeres en control. ")</f>
        <v xml:space="preserve">* La celda 'Población Migrantes / Mujeres' debe ser menor o igual al Total de Mujeres en control. </v>
      </c>
      <c r="CH19" s="348" t="str">
        <f>IF(AND($E19&lt;&gt;0,$W19=""),"* No olvide escribir en las celdas de 'Pueblos Originarios' (Digite CERO si no tiene). ",IF(AND(F19&lt;&gt;0,X19=""),"* No olvide escribir en las celdas de 'Pueblos Originarios' (Digite CERO si no tiene). ",""))</f>
        <v/>
      </c>
      <c r="CI19" s="348" t="str">
        <f>IF(AND($E19&lt;&gt;0,$Y19=""),"* No olvide escribir en las celdas de 'Población Migrantes' (Digite CERO si no tiene). ",IF(AND(F19&lt;&gt;0,Z19=""),"* No olvide escribir en las celdas de 'Población Migrantes' (Digite CERO si no tiene). ",""))</f>
        <v/>
      </c>
      <c r="CJ19" s="348" t="str">
        <f t="shared" si="12"/>
        <v xml:space="preserve">* La celda 'Pueblos Originarios / Hombres' debe ser menor o igual al Total de Hombres en control. </v>
      </c>
      <c r="CK19" s="348" t="str">
        <f t="shared" si="13"/>
        <v xml:space="preserve">* La celda 'Pueblos Originarios / Mujeres' debe ser menor o igual al Total de Mujeres en control. </v>
      </c>
      <c r="CL19" s="348" t="str">
        <f t="shared" si="3"/>
        <v/>
      </c>
      <c r="CM19" s="354"/>
      <c r="CN19" s="354"/>
      <c r="CO19" s="358">
        <f>IF($E19&gt;=$W19,0,1)</f>
        <v>1</v>
      </c>
      <c r="CP19" s="358">
        <f>IF($F19&gt;=$X19,0,1)</f>
        <v>1</v>
      </c>
      <c r="CQ19" s="358">
        <f>IF($E19&gt;=$Y19,0,1)</f>
        <v>1</v>
      </c>
      <c r="CR19" s="358">
        <f>IF($F19&gt;=$Z19,0,1)</f>
        <v>1</v>
      </c>
      <c r="CS19" s="358">
        <f>IF(AND(E19&lt;&gt;0,W19=""),1,IF(AND(F19&lt;&gt;0,X19=""),1,0))</f>
        <v>0</v>
      </c>
      <c r="CT19" s="358">
        <f>IF(AND(E19&lt;&gt;0,Y19=""),1,IF(AND(F19&lt;&gt;0,Z19=""),1,0))</f>
        <v>0</v>
      </c>
      <c r="CU19" s="358">
        <f t="shared" si="14"/>
        <v>1</v>
      </c>
      <c r="CV19" s="358">
        <f t="shared" si="15"/>
        <v>1</v>
      </c>
      <c r="CW19" s="358">
        <f t="shared" si="16"/>
        <v>0</v>
      </c>
    </row>
    <row r="20" spans="1:101" ht="21" customHeight="1" x14ac:dyDescent="0.3">
      <c r="A20" s="1643"/>
      <c r="B20" s="2242" t="s">
        <v>192</v>
      </c>
      <c r="C20" s="2243"/>
      <c r="D20" s="786">
        <f>SUM(E20:F20)</f>
        <v>0</v>
      </c>
      <c r="E20" s="787">
        <f>+G20+I20+K20+M20+O20+Q20+S20+U20</f>
        <v>0</v>
      </c>
      <c r="F20" s="801">
        <f>+H20+J20+L20+N20+P20+R20+T20+V20</f>
        <v>0</v>
      </c>
      <c r="G20" s="802">
        <f>SUM(G16:G19)</f>
        <v>0</v>
      </c>
      <c r="H20" s="803">
        <f t="shared" ref="H20:Y20" si="17">SUM(H16:H19)</f>
        <v>0</v>
      </c>
      <c r="I20" s="802">
        <f t="shared" si="17"/>
        <v>0</v>
      </c>
      <c r="J20" s="803">
        <f t="shared" si="17"/>
        <v>0</v>
      </c>
      <c r="K20" s="804">
        <f t="shared" si="17"/>
        <v>0</v>
      </c>
      <c r="L20" s="803">
        <f t="shared" si="17"/>
        <v>0</v>
      </c>
      <c r="M20" s="802">
        <f t="shared" si="17"/>
        <v>0</v>
      </c>
      <c r="N20" s="805">
        <f t="shared" si="17"/>
        <v>0</v>
      </c>
      <c r="O20" s="802">
        <f t="shared" ref="O20:P20" si="18">SUM(O16:O19)</f>
        <v>0</v>
      </c>
      <c r="P20" s="805">
        <f t="shared" si="18"/>
        <v>0</v>
      </c>
      <c r="Q20" s="802">
        <f t="shared" ref="Q20:R20" si="19">SUM(Q16:Q19)</f>
        <v>0</v>
      </c>
      <c r="R20" s="805">
        <f t="shared" si="19"/>
        <v>0</v>
      </c>
      <c r="S20" s="802">
        <f t="shared" ref="S20:T20" si="20">SUM(S16:S19)</f>
        <v>0</v>
      </c>
      <c r="T20" s="805">
        <f t="shared" si="20"/>
        <v>0</v>
      </c>
      <c r="U20" s="802">
        <f t="shared" si="17"/>
        <v>0</v>
      </c>
      <c r="V20" s="805">
        <f t="shared" si="17"/>
        <v>0</v>
      </c>
      <c r="W20" s="806">
        <f>SUM(W16:W19)</f>
        <v>0</v>
      </c>
      <c r="X20" s="809">
        <f>SUM(X16:X19)</f>
        <v>0</v>
      </c>
      <c r="Y20" s="1065">
        <f t="shared" si="17"/>
        <v>0</v>
      </c>
      <c r="Z20" s="809">
        <f>SUM(Z16:Z19)</f>
        <v>0</v>
      </c>
      <c r="AA20" s="1065">
        <f t="shared" ref="AA20" si="21">SUM(AA16:AA19)</f>
        <v>0</v>
      </c>
      <c r="AB20" s="809">
        <f>SUM(AB16:AB19)</f>
        <v>0</v>
      </c>
      <c r="AC20" s="1514"/>
      <c r="BD20" s="960"/>
      <c r="BE20" s="960"/>
      <c r="BF20" s="960"/>
      <c r="BG20" s="960"/>
      <c r="BH20" s="960"/>
      <c r="BI20" s="960"/>
      <c r="BJ20" s="960"/>
      <c r="BK20" s="960"/>
      <c r="BL20" s="960"/>
      <c r="BM20" s="960"/>
      <c r="BN20" s="960"/>
      <c r="CB20" s="354"/>
      <c r="CC20" s="354"/>
      <c r="CD20" s="354"/>
      <c r="CE20" s="354"/>
      <c r="CF20" s="354"/>
      <c r="CG20" s="354"/>
      <c r="CH20" s="354"/>
      <c r="CI20" s="354"/>
      <c r="CJ20" s="354"/>
      <c r="CK20" s="354"/>
      <c r="CL20" s="354"/>
      <c r="CM20" s="354"/>
      <c r="CN20" s="354"/>
      <c r="CO20" s="352"/>
      <c r="CP20" s="352"/>
      <c r="CQ20" s="352"/>
      <c r="CR20" s="352"/>
      <c r="CS20" s="352"/>
      <c r="CT20" s="352"/>
      <c r="CU20" s="352"/>
      <c r="CV20" s="352"/>
    </row>
    <row r="21" spans="1:101" ht="21" customHeight="1" x14ac:dyDescent="0.3">
      <c r="A21" s="1643"/>
      <c r="B21" s="2244" t="s">
        <v>574</v>
      </c>
      <c r="C21" s="2245"/>
      <c r="D21" s="786">
        <f t="shared" ref="D21" si="22">SUM(E21:F21)</f>
        <v>0</v>
      </c>
      <c r="E21" s="787">
        <f>+G21+I21+K21+M21+O21+Q21+S21+U21</f>
        <v>0</v>
      </c>
      <c r="F21" s="801">
        <f>+H21+J21+L21+N21+P21+R21+T21+V21</f>
        <v>0</v>
      </c>
      <c r="G21" s="802">
        <f>+G15+G20</f>
        <v>0</v>
      </c>
      <c r="H21" s="803">
        <f t="shared" ref="H21:Y21" si="23">+H15+H20</f>
        <v>0</v>
      </c>
      <c r="I21" s="802">
        <f t="shared" si="23"/>
        <v>0</v>
      </c>
      <c r="J21" s="803">
        <f t="shared" si="23"/>
        <v>0</v>
      </c>
      <c r="K21" s="802">
        <f t="shared" si="23"/>
        <v>0</v>
      </c>
      <c r="L21" s="803">
        <f t="shared" si="23"/>
        <v>0</v>
      </c>
      <c r="M21" s="802">
        <f t="shared" si="23"/>
        <v>0</v>
      </c>
      <c r="N21" s="805">
        <f t="shared" si="23"/>
        <v>0</v>
      </c>
      <c r="O21" s="802">
        <f t="shared" ref="O21:P21" si="24">+O15+O20</f>
        <v>0</v>
      </c>
      <c r="P21" s="805">
        <f t="shared" si="24"/>
        <v>0</v>
      </c>
      <c r="Q21" s="802">
        <f t="shared" ref="Q21:R21" si="25">+Q15+Q20</f>
        <v>0</v>
      </c>
      <c r="R21" s="805">
        <f t="shared" si="25"/>
        <v>0</v>
      </c>
      <c r="S21" s="802">
        <f t="shared" ref="S21:T21" si="26">+S15+S20</f>
        <v>0</v>
      </c>
      <c r="T21" s="805">
        <f t="shared" si="26"/>
        <v>0</v>
      </c>
      <c r="U21" s="802">
        <f t="shared" si="23"/>
        <v>0</v>
      </c>
      <c r="V21" s="805">
        <f t="shared" si="23"/>
        <v>0</v>
      </c>
      <c r="W21" s="806">
        <f>+W15+W20</f>
        <v>0</v>
      </c>
      <c r="X21" s="1066">
        <f>+X15+X20</f>
        <v>0</v>
      </c>
      <c r="Y21" s="1065">
        <f t="shared" si="23"/>
        <v>0</v>
      </c>
      <c r="Z21" s="803">
        <f>+Z15+Z20</f>
        <v>0</v>
      </c>
      <c r="AA21" s="1065">
        <f t="shared" ref="AA21" si="27">+AA15+AA20</f>
        <v>0</v>
      </c>
      <c r="AB21" s="803">
        <f>+AB15+AB20</f>
        <v>0</v>
      </c>
      <c r="AC21" s="1514"/>
      <c r="CB21" s="354"/>
      <c r="CC21" s="354"/>
      <c r="CD21" s="354"/>
      <c r="CE21" s="354"/>
      <c r="CF21" s="354"/>
      <c r="CG21" s="354"/>
      <c r="CH21" s="354"/>
      <c r="CI21" s="354"/>
      <c r="CJ21" s="354"/>
      <c r="CK21" s="354"/>
      <c r="CL21" s="354"/>
      <c r="CM21" s="354"/>
      <c r="CN21" s="354"/>
      <c r="CO21" s="352"/>
      <c r="CP21" s="352"/>
      <c r="CQ21" s="352"/>
      <c r="CR21" s="352"/>
      <c r="CS21" s="352"/>
      <c r="CT21" s="352"/>
      <c r="CU21" s="352"/>
      <c r="CV21" s="352"/>
    </row>
    <row r="22" spans="1:101" ht="25.5" customHeight="1" x14ac:dyDescent="0.3">
      <c r="B22" s="1307" t="s">
        <v>337</v>
      </c>
      <c r="C22" s="445"/>
      <c r="D22" s="445"/>
      <c r="E22" s="445"/>
      <c r="F22" s="445"/>
      <c r="G22" s="445"/>
      <c r="H22" s="445"/>
      <c r="I22" s="1195"/>
      <c r="J22" s="1196"/>
      <c r="K22" s="1196"/>
      <c r="L22" s="1196"/>
      <c r="M22" s="1196"/>
      <c r="N22" s="1196"/>
      <c r="O22" s="1196"/>
      <c r="P22" s="1196"/>
      <c r="Q22" s="1196"/>
      <c r="R22" s="1308"/>
      <c r="S22" s="1080"/>
      <c r="T22" s="1080"/>
      <c r="U22" s="1080"/>
      <c r="V22" s="1080"/>
      <c r="W22" s="1080"/>
      <c r="X22" s="1080"/>
      <c r="Y22" s="1080"/>
      <c r="Z22" s="1080"/>
      <c r="AA22" s="1080"/>
      <c r="AB22" s="1080"/>
      <c r="CC22" s="354"/>
      <c r="CD22" s="354"/>
      <c r="CE22" s="354"/>
      <c r="CF22" s="354"/>
      <c r="CG22" s="354"/>
      <c r="CH22" s="354"/>
      <c r="CI22" s="1197"/>
      <c r="CJ22" s="354"/>
      <c r="CK22" s="354"/>
      <c r="CL22" s="354"/>
      <c r="CM22" s="354"/>
      <c r="CN22" s="354"/>
      <c r="CO22" s="354"/>
      <c r="CP22" s="354"/>
      <c r="CQ22" s="354"/>
      <c r="CR22" s="354"/>
      <c r="CS22" s="354"/>
      <c r="CT22" s="354"/>
      <c r="CU22" s="354"/>
      <c r="CV22" s="354"/>
      <c r="CW22" s="354"/>
    </row>
    <row r="23" spans="1:101" ht="19.5" customHeight="1" x14ac:dyDescent="0.3">
      <c r="B23" s="2248" t="s">
        <v>180</v>
      </c>
      <c r="C23" s="2249"/>
      <c r="D23" s="2275" t="s">
        <v>13</v>
      </c>
      <c r="E23" s="2275"/>
      <c r="F23" s="2275"/>
      <c r="G23" s="2264" t="s">
        <v>506</v>
      </c>
      <c r="H23" s="2265"/>
      <c r="I23" s="2265"/>
      <c r="J23" s="2265"/>
      <c r="K23" s="2265"/>
      <c r="L23" s="2265"/>
      <c r="M23" s="2265"/>
      <c r="N23" s="2265"/>
      <c r="O23" s="2265"/>
      <c r="P23" s="2265"/>
      <c r="Q23" s="2265"/>
      <c r="R23" s="2265"/>
      <c r="S23" s="2265"/>
      <c r="T23" s="2265"/>
      <c r="U23" s="2265"/>
      <c r="V23" s="2265"/>
      <c r="W23" s="2265"/>
      <c r="X23" s="2266"/>
      <c r="Y23" s="2239" t="s">
        <v>15</v>
      </c>
      <c r="Z23" s="1865"/>
      <c r="AA23" s="2055" t="s">
        <v>804</v>
      </c>
      <c r="AB23" s="1865"/>
      <c r="CB23" s="354"/>
      <c r="CC23" s="354"/>
      <c r="CD23" s="898" t="s">
        <v>15</v>
      </c>
      <c r="CE23" s="898"/>
      <c r="CF23" s="898" t="s">
        <v>465</v>
      </c>
      <c r="CG23" s="898"/>
      <c r="CH23" s="898" t="s">
        <v>15</v>
      </c>
      <c r="CI23" s="898" t="s">
        <v>465</v>
      </c>
      <c r="CJ23" s="317"/>
      <c r="CK23" s="317"/>
      <c r="CL23" s="317"/>
      <c r="CM23" s="317"/>
      <c r="CN23" s="354"/>
      <c r="CO23" s="902" t="s">
        <v>15</v>
      </c>
      <c r="CP23" s="902"/>
      <c r="CQ23" s="902" t="s">
        <v>465</v>
      </c>
      <c r="CR23" s="902"/>
      <c r="CS23" s="902" t="s">
        <v>15</v>
      </c>
      <c r="CT23" s="902" t="s">
        <v>465</v>
      </c>
      <c r="CU23" s="354"/>
      <c r="CV23" s="354"/>
      <c r="CW23" s="354"/>
    </row>
    <row r="24" spans="1:101" ht="16.5" customHeight="1" x14ac:dyDescent="0.3">
      <c r="B24" s="2250"/>
      <c r="C24" s="2251"/>
      <c r="D24" s="2275"/>
      <c r="E24" s="2275"/>
      <c r="F24" s="2275"/>
      <c r="G24" s="2117" t="s">
        <v>209</v>
      </c>
      <c r="H24" s="2118"/>
      <c r="I24" s="2117" t="s">
        <v>181</v>
      </c>
      <c r="J24" s="2118"/>
      <c r="K24" s="2117" t="s">
        <v>182</v>
      </c>
      <c r="L24" s="2118"/>
      <c r="M24" s="2117" t="s">
        <v>183</v>
      </c>
      <c r="N24" s="2118"/>
      <c r="O24" s="2117" t="s">
        <v>694</v>
      </c>
      <c r="P24" s="2162"/>
      <c r="Q24" s="2117" t="s">
        <v>695</v>
      </c>
      <c r="R24" s="2162"/>
      <c r="S24" s="2117" t="s">
        <v>696</v>
      </c>
      <c r="T24" s="2162"/>
      <c r="U24" s="2117" t="s">
        <v>697</v>
      </c>
      <c r="V24" s="2162"/>
      <c r="W24" s="2117" t="s">
        <v>693</v>
      </c>
      <c r="X24" s="2162"/>
      <c r="Y24" s="1990"/>
      <c r="Z24" s="1989"/>
      <c r="AA24" s="1988"/>
      <c r="AB24" s="1989"/>
      <c r="CB24" s="354"/>
      <c r="CC24" s="354"/>
      <c r="CD24" s="898"/>
      <c r="CE24" s="898"/>
      <c r="CF24" s="898"/>
      <c r="CG24" s="898"/>
      <c r="CH24" s="898"/>
      <c r="CI24" s="898"/>
      <c r="CJ24" s="317"/>
      <c r="CK24" s="317"/>
      <c r="CL24" s="317"/>
      <c r="CM24" s="317"/>
      <c r="CN24" s="354"/>
      <c r="CO24" s="902"/>
      <c r="CP24" s="902"/>
      <c r="CQ24" s="902"/>
      <c r="CR24" s="902"/>
      <c r="CS24" s="902"/>
      <c r="CT24" s="902"/>
      <c r="CU24" s="354"/>
      <c r="CV24" s="354"/>
      <c r="CW24" s="354"/>
    </row>
    <row r="25" spans="1:101" ht="20.399999999999999" x14ac:dyDescent="0.3">
      <c r="B25" s="2252"/>
      <c r="C25" s="2253"/>
      <c r="D25" s="125" t="s">
        <v>93</v>
      </c>
      <c r="E25" s="168" t="s">
        <v>31</v>
      </c>
      <c r="F25" s="169" t="s">
        <v>94</v>
      </c>
      <c r="G25" s="131" t="s">
        <v>129</v>
      </c>
      <c r="H25" s="132" t="s">
        <v>94</v>
      </c>
      <c r="I25" s="131" t="s">
        <v>129</v>
      </c>
      <c r="J25" s="132" t="s">
        <v>94</v>
      </c>
      <c r="K25" s="131" t="s">
        <v>129</v>
      </c>
      <c r="L25" s="132" t="s">
        <v>94</v>
      </c>
      <c r="M25" s="131" t="s">
        <v>129</v>
      </c>
      <c r="N25" s="132" t="s">
        <v>94</v>
      </c>
      <c r="O25" s="131" t="s">
        <v>129</v>
      </c>
      <c r="P25" s="133" t="s">
        <v>94</v>
      </c>
      <c r="Q25" s="131" t="s">
        <v>129</v>
      </c>
      <c r="R25" s="132" t="s">
        <v>94</v>
      </c>
      <c r="S25" s="131" t="s">
        <v>129</v>
      </c>
      <c r="T25" s="132" t="s">
        <v>94</v>
      </c>
      <c r="U25" s="131" t="s">
        <v>129</v>
      </c>
      <c r="V25" s="133" t="s">
        <v>94</v>
      </c>
      <c r="W25" s="131" t="s">
        <v>129</v>
      </c>
      <c r="X25" s="133" t="s">
        <v>94</v>
      </c>
      <c r="Y25" s="350" t="s">
        <v>31</v>
      </c>
      <c r="Z25" s="1035" t="s">
        <v>94</v>
      </c>
      <c r="AA25" s="1041" t="s">
        <v>31</v>
      </c>
      <c r="AB25" s="324" t="s">
        <v>94</v>
      </c>
      <c r="CB25" s="354"/>
      <c r="CC25" s="354"/>
      <c r="CD25" s="900" t="s">
        <v>31</v>
      </c>
      <c r="CE25" s="900" t="s">
        <v>94</v>
      </c>
      <c r="CF25" s="900" t="s">
        <v>31</v>
      </c>
      <c r="CG25" s="900" t="s">
        <v>94</v>
      </c>
      <c r="CH25" s="899" t="s">
        <v>540</v>
      </c>
      <c r="CI25" s="899" t="s">
        <v>540</v>
      </c>
      <c r="CJ25" s="1618"/>
      <c r="CK25" s="1618"/>
      <c r="CL25" s="1618"/>
      <c r="CM25" s="1618"/>
      <c r="CN25" s="354"/>
      <c r="CO25" s="903" t="s">
        <v>31</v>
      </c>
      <c r="CP25" s="903" t="s">
        <v>94</v>
      </c>
      <c r="CQ25" s="903" t="s">
        <v>31</v>
      </c>
      <c r="CR25" s="903" t="s">
        <v>94</v>
      </c>
      <c r="CS25" s="904" t="s">
        <v>540</v>
      </c>
      <c r="CT25" s="904" t="s">
        <v>540</v>
      </c>
      <c r="CU25" s="354"/>
      <c r="CV25" s="354"/>
      <c r="CW25" s="354"/>
    </row>
    <row r="26" spans="1:101" ht="19.5" customHeight="1" x14ac:dyDescent="0.3">
      <c r="A26" s="1637" t="s">
        <v>1262</v>
      </c>
      <c r="B26" s="2254" t="s">
        <v>184</v>
      </c>
      <c r="C26" s="2255"/>
      <c r="D26" s="765" t="s">
        <v>1550</v>
      </c>
      <c r="E26" s="810" t="s">
        <v>1551</v>
      </c>
      <c r="F26" s="811" t="s">
        <v>1552</v>
      </c>
      <c r="G26" s="812" t="s">
        <v>1553</v>
      </c>
      <c r="H26" s="813" t="s">
        <v>1554</v>
      </c>
      <c r="I26" s="812" t="s">
        <v>1555</v>
      </c>
      <c r="J26" s="813" t="s">
        <v>1556</v>
      </c>
      <c r="K26" s="812" t="s">
        <v>1557</v>
      </c>
      <c r="L26" s="813" t="s">
        <v>1558</v>
      </c>
      <c r="M26" s="812" t="s">
        <v>1559</v>
      </c>
      <c r="N26" s="813" t="s">
        <v>1560</v>
      </c>
      <c r="O26" s="812" t="s">
        <v>1561</v>
      </c>
      <c r="P26" s="814" t="s">
        <v>1562</v>
      </c>
      <c r="Q26" s="812" t="s">
        <v>1563</v>
      </c>
      <c r="R26" s="813" t="s">
        <v>1564</v>
      </c>
      <c r="S26" s="812" t="s">
        <v>1565</v>
      </c>
      <c r="T26" s="813" t="s">
        <v>1566</v>
      </c>
      <c r="U26" s="812" t="s">
        <v>1567</v>
      </c>
      <c r="V26" s="814" t="s">
        <v>1568</v>
      </c>
      <c r="W26" s="812" t="s">
        <v>1569</v>
      </c>
      <c r="X26" s="814" t="s">
        <v>1570</v>
      </c>
      <c r="Y26" s="815" t="s">
        <v>1571</v>
      </c>
      <c r="Z26" s="813" t="s">
        <v>1572</v>
      </c>
      <c r="AA26" s="772" t="s">
        <v>1573</v>
      </c>
      <c r="AB26" s="769" t="s">
        <v>1574</v>
      </c>
      <c r="AC26" s="1514" t="str">
        <f t="shared" ref="AC26:AC28" si="28">CB26&amp;CC26&amp;CD26&amp;CE26&amp;CF26&amp;CG26&amp;CH26&amp;CI26&amp;CN26</f>
        <v xml:space="preserve">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</v>
      </c>
      <c r="CB26" s="354"/>
      <c r="CC26" s="354"/>
      <c r="CD26" s="348" t="str">
        <f>IF($E26&gt;=$Y26,"","* La celda 'Pueblos Originarios / Hombres' debe ser menor o igual al Total de Hombres en control. ")</f>
        <v xml:space="preserve">* La celda 'Pueblos Originarios / Hombres' debe ser menor o igual al Total de Hombres en control. </v>
      </c>
      <c r="CE26" s="348" t="str">
        <f>IF($F26&gt;=$Z26,"","* La celda 'Pueblos Originarios / Mujeres' debe ser menor o igual al Total de Mujeres en control. ")</f>
        <v xml:space="preserve">* La celda 'Pueblos Originarios / Mujeres' debe ser menor o igual al Total de Mujeres en control. </v>
      </c>
      <c r="CF26" s="348" t="str">
        <f>IF($E26&gt;=$AA26,"","* La celda 'Población Migrantes / Hombres' debe ser menor o igual al Total de Hombres en control. ")</f>
        <v xml:space="preserve">* La celda 'Población Migrantes / Hombres' debe ser menor o igual al Total de Hombres en control. </v>
      </c>
      <c r="CG26" s="348" t="str">
        <f>IF($F26&gt;=$AB26,"","* La celda 'Población Migrantes / Mujeres' debe ser menor o igual al Total de Mujeres en control. ")</f>
        <v xml:space="preserve">* La celda 'Población Migrantes / Mujeres' debe ser menor o igual al Total de Mujeres en control. </v>
      </c>
      <c r="CH26" s="348" t="str">
        <f>IF(AND($E26&lt;&gt;0,$Y26=""),"* No olvide escribir en las celdas de 'Pueblos Originarios' (Digite CERO si no tiene). ",IF(AND(F26&lt;&gt;0,Z26=""),"* No olvide escribir en las celdas de 'Pueblos Originarios' (Digite CERO si no tiene). ",""))</f>
        <v/>
      </c>
      <c r="CI26" s="348" t="str">
        <f>IF(AND($E26&lt;&gt;0,$AA26=""),"* No olvide escribir en las celdas de 'Población Migrantes' (Digite CERO si no tiene). ",IF(AND(F26&lt;&gt;0,AB26=""),"* No olvide escribir en las celdas de 'Población Migrantes' (Digite CERO si no tiene). ",""))</f>
        <v/>
      </c>
      <c r="CJ26" s="354"/>
      <c r="CK26" s="354"/>
      <c r="CL26" s="354"/>
      <c r="CM26" s="354"/>
      <c r="CN26" s="354"/>
      <c r="CO26" s="358">
        <f>IF($E26&gt;=$Y26,0,1)</f>
        <v>1</v>
      </c>
      <c r="CP26" s="358">
        <f>IF($F26&gt;=$Z26,0,1)</f>
        <v>1</v>
      </c>
      <c r="CQ26" s="358">
        <f>IF($E26&gt;=$AA26,0,1)</f>
        <v>1</v>
      </c>
      <c r="CR26" s="358">
        <f>IF($F26&gt;=$AB26,0,1)</f>
        <v>1</v>
      </c>
      <c r="CS26" s="358">
        <f>IF(AND(E26&lt;&gt;0,Y26=""),1,IF(AND(F26&lt;&gt;0,Z26=""),1,0))</f>
        <v>0</v>
      </c>
      <c r="CT26" s="358">
        <f>IF(AND(E26&lt;&gt;0,AA26=""),1,IF(AND(F26&lt;&gt;0,AB26=""),1,0))</f>
        <v>0</v>
      </c>
      <c r="CU26" s="354"/>
      <c r="CV26" s="354"/>
      <c r="CW26" s="354"/>
    </row>
    <row r="27" spans="1:101" ht="19.5" customHeight="1" x14ac:dyDescent="0.3">
      <c r="A27" s="1637" t="s">
        <v>1263</v>
      </c>
      <c r="B27" s="2256" t="s">
        <v>185</v>
      </c>
      <c r="C27" s="2257"/>
      <c r="D27" s="817" t="s">
        <v>1550</v>
      </c>
      <c r="E27" s="818" t="s">
        <v>1551</v>
      </c>
      <c r="F27" s="819" t="s">
        <v>1552</v>
      </c>
      <c r="G27" s="1406" t="s">
        <v>1553</v>
      </c>
      <c r="H27" s="1405" t="s">
        <v>1554</v>
      </c>
      <c r="I27" s="820" t="s">
        <v>1555</v>
      </c>
      <c r="J27" s="821" t="s">
        <v>1556</v>
      </c>
      <c r="K27" s="820" t="s">
        <v>1557</v>
      </c>
      <c r="L27" s="821" t="s">
        <v>1558</v>
      </c>
      <c r="M27" s="820" t="s">
        <v>1559</v>
      </c>
      <c r="N27" s="821" t="s">
        <v>1560</v>
      </c>
      <c r="O27" s="820" t="s">
        <v>1561</v>
      </c>
      <c r="P27" s="822" t="s">
        <v>1562</v>
      </c>
      <c r="Q27" s="820" t="s">
        <v>1563</v>
      </c>
      <c r="R27" s="821" t="s">
        <v>1564</v>
      </c>
      <c r="S27" s="820" t="s">
        <v>1565</v>
      </c>
      <c r="T27" s="821" t="s">
        <v>1566</v>
      </c>
      <c r="U27" s="820" t="s">
        <v>1567</v>
      </c>
      <c r="V27" s="822" t="s">
        <v>1568</v>
      </c>
      <c r="W27" s="820" t="s">
        <v>1569</v>
      </c>
      <c r="X27" s="822" t="s">
        <v>1570</v>
      </c>
      <c r="Y27" s="823" t="s">
        <v>1571</v>
      </c>
      <c r="Z27" s="821" t="s">
        <v>1572</v>
      </c>
      <c r="AA27" s="780" t="s">
        <v>1573</v>
      </c>
      <c r="AB27" s="777" t="s">
        <v>1574</v>
      </c>
      <c r="AC27" s="1514" t="str">
        <f t="shared" si="28"/>
        <v xml:space="preserve">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</v>
      </c>
      <c r="CB27" s="354"/>
      <c r="CC27" s="354"/>
      <c r="CD27" s="348" t="str">
        <f>IF($E27&gt;=$Y27,"","* La celda 'Pueblos Originarios / Hombres' debe ser menor o igual al Total de Hombres en control. ")</f>
        <v xml:space="preserve">* La celda 'Pueblos Originarios / Hombres' debe ser menor o igual al Total de Hombres en control. </v>
      </c>
      <c r="CE27" s="348" t="str">
        <f>IF($F27&gt;=$Z27,"","* La celda 'Pueblos Originarios / Mujeres' debe ser menor o igual al Total de Mujeres en control. ")</f>
        <v xml:space="preserve">* La celda 'Pueblos Originarios / Mujeres' debe ser menor o igual al Total de Mujeres en control. </v>
      </c>
      <c r="CF27" s="348" t="str">
        <f>IF($E27&gt;=$AA27,"","* La celda 'Población Migrantes / Hombres' debe ser menor o igual al Total de Hombres en control. ")</f>
        <v xml:space="preserve">* La celda 'Población Migrantes / Hombres' debe ser menor o igual al Total de Hombres en control. </v>
      </c>
      <c r="CG27" s="348" t="str">
        <f>IF($F27&gt;=$AB27,"","* La celda 'Población Migrantes / Mujeres' debe ser menor o igual al Total de Mujeres en control. ")</f>
        <v xml:space="preserve">* La celda 'Población Migrantes / Mujeres' debe ser menor o igual al Total de Mujeres en control. </v>
      </c>
      <c r="CH27" s="348" t="str">
        <f>IF(AND($E27&lt;&gt;0,$Y27=""),"* No olvide escribir en las celdas de 'Pueblos Originarios' (Digite CERO si no tiene). ",IF(AND(F27&lt;&gt;0,Z27=""),"* No olvide escribir en las celdas de 'Pueblos Originarios' (Digite CERO si no tiene). ",""))</f>
        <v/>
      </c>
      <c r="CI27" s="348" t="str">
        <f>IF(AND($E27&lt;&gt;0,$AA27=""),"* No olvide escribir en las celdas de 'Población Migrantes' (Digite CERO si no tiene). ",IF(AND(F27&lt;&gt;0,AB27=""),"* No olvide escribir en las celdas de 'Población Migrantes' (Digite CERO si no tiene). ",""))</f>
        <v/>
      </c>
      <c r="CJ27" s="354"/>
      <c r="CK27" s="354"/>
      <c r="CL27" s="354"/>
      <c r="CM27" s="354"/>
      <c r="CN27" s="354"/>
      <c r="CO27" s="358">
        <f>IF($E27&gt;=$Y27,0,1)</f>
        <v>1</v>
      </c>
      <c r="CP27" s="358">
        <f>IF($F27&gt;=$Z27,0,1)</f>
        <v>1</v>
      </c>
      <c r="CQ27" s="358">
        <f>IF($E27&gt;=$AA27,0,1)</f>
        <v>1</v>
      </c>
      <c r="CR27" s="358">
        <f>IF($F27&gt;=$AB27,0,1)</f>
        <v>1</v>
      </c>
      <c r="CS27" s="358">
        <f>IF(AND(E27&lt;&gt;0,Y27=""),1,IF(AND(F27&lt;&gt;0,Z27=""),1,0))</f>
        <v>0</v>
      </c>
      <c r="CT27" s="358">
        <f>IF(AND(E27&lt;&gt;0,AA27=""),1,IF(AND(F27&lt;&gt;0,AB27=""),1,0))</f>
        <v>0</v>
      </c>
      <c r="CU27" s="354"/>
      <c r="CV27" s="354"/>
      <c r="CW27" s="354"/>
    </row>
    <row r="28" spans="1:101" ht="19.5" customHeight="1" x14ac:dyDescent="0.3">
      <c r="A28" s="1637" t="s">
        <v>1264</v>
      </c>
      <c r="B28" s="2258" t="s">
        <v>186</v>
      </c>
      <c r="C28" s="2259"/>
      <c r="D28" s="825" t="s">
        <v>1550</v>
      </c>
      <c r="E28" s="818" t="s">
        <v>1551</v>
      </c>
      <c r="F28" s="819" t="s">
        <v>1552</v>
      </c>
      <c r="G28" s="1404" t="s">
        <v>1553</v>
      </c>
      <c r="H28" s="1403" t="s">
        <v>1554</v>
      </c>
      <c r="I28" s="795" t="s">
        <v>1555</v>
      </c>
      <c r="J28" s="796" t="s">
        <v>1556</v>
      </c>
      <c r="K28" s="795" t="s">
        <v>1557</v>
      </c>
      <c r="L28" s="796" t="s">
        <v>1558</v>
      </c>
      <c r="M28" s="795" t="s">
        <v>1559</v>
      </c>
      <c r="N28" s="796" t="s">
        <v>1560</v>
      </c>
      <c r="O28" s="795" t="s">
        <v>1561</v>
      </c>
      <c r="P28" s="797" t="s">
        <v>1562</v>
      </c>
      <c r="Q28" s="795" t="s">
        <v>1563</v>
      </c>
      <c r="R28" s="796" t="s">
        <v>1564</v>
      </c>
      <c r="S28" s="795" t="s">
        <v>1565</v>
      </c>
      <c r="T28" s="796" t="s">
        <v>1566</v>
      </c>
      <c r="U28" s="795" t="s">
        <v>1567</v>
      </c>
      <c r="V28" s="797" t="s">
        <v>1568</v>
      </c>
      <c r="W28" s="795" t="s">
        <v>1569</v>
      </c>
      <c r="X28" s="797" t="s">
        <v>1570</v>
      </c>
      <c r="Y28" s="798" t="s">
        <v>1571</v>
      </c>
      <c r="Z28" s="796" t="s">
        <v>1572</v>
      </c>
      <c r="AA28" s="785" t="s">
        <v>1573</v>
      </c>
      <c r="AB28" s="782" t="s">
        <v>1574</v>
      </c>
      <c r="AC28" s="1514" t="str">
        <f t="shared" si="28"/>
        <v xml:space="preserve">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</v>
      </c>
      <c r="CB28" s="354"/>
      <c r="CC28" s="354"/>
      <c r="CD28" s="348" t="str">
        <f>IF($E28&gt;=$Y28,"","* La celda 'Pueblos Originarios / Hombres' debe ser menor o igual al Total de Hombres en control. ")</f>
        <v xml:space="preserve">* La celda 'Pueblos Originarios / Hombres' debe ser menor o igual al Total de Hombres en control. </v>
      </c>
      <c r="CE28" s="348" t="str">
        <f>IF($F28&gt;=$Z28,"","* La celda 'Pueblos Originarios / Mujeres' debe ser menor o igual al Total de Mujeres en control. ")</f>
        <v xml:space="preserve">* La celda 'Pueblos Originarios / Mujeres' debe ser menor o igual al Total de Mujeres en control. </v>
      </c>
      <c r="CF28" s="348" t="str">
        <f>IF($E28&gt;=$AA28,"","* La celda 'Población Migrantes / Hombres' debe ser menor o igual al Total de Hombres en control. ")</f>
        <v xml:space="preserve">* La celda 'Población Migrantes / Hombres' debe ser menor o igual al Total de Hombres en control. </v>
      </c>
      <c r="CG28" s="348" t="str">
        <f>IF($F28&gt;=$AB28,"","* La celda 'Población Migrantes / Mujeres' debe ser menor o igual al Total de Mujeres en control. ")</f>
        <v xml:space="preserve">* La celda 'Población Migrantes / Mujeres' debe ser menor o igual al Total de Mujeres en control. </v>
      </c>
      <c r="CH28" s="348" t="str">
        <f>IF(AND($E28&lt;&gt;0,$Y28=""),"* No olvide escribir en las celdas de 'Pueblos Originarios' (Digite CERO si no tiene). ",IF(AND(F28&lt;&gt;0,Z28=""),"* No olvide escribir en las celdas de 'Pueblos Originarios' (Digite CERO si no tiene). ",""))</f>
        <v/>
      </c>
      <c r="CI28" s="348" t="str">
        <f>IF(AND($E28&lt;&gt;0,$AA28=""),"* No olvide escribir en las celdas de 'Población Migrantes' (Digite CERO si no tiene). ",IF(AND(F28&lt;&gt;0,AB28=""),"* No olvide escribir en las celdas de 'Población Migrantes' (Digite CERO si no tiene). ",""))</f>
        <v/>
      </c>
      <c r="CJ28" s="354"/>
      <c r="CK28" s="354"/>
      <c r="CL28" s="354"/>
      <c r="CM28" s="354"/>
      <c r="CN28" s="354"/>
      <c r="CO28" s="358">
        <f>IF($E28&gt;=$Y28,0,1)</f>
        <v>1</v>
      </c>
      <c r="CP28" s="358">
        <f>IF($F28&gt;=$Z28,0,1)</f>
        <v>1</v>
      </c>
      <c r="CQ28" s="358">
        <f>IF($E28&gt;=$AA28,0,1)</f>
        <v>1</v>
      </c>
      <c r="CR28" s="358">
        <f>IF($F28&gt;=$AB28,0,1)</f>
        <v>1</v>
      </c>
      <c r="CS28" s="358">
        <f>IF(AND(E28&lt;&gt;0,Y28=""),1,IF(AND(F28&lt;&gt;0,Z28=""),1,0))</f>
        <v>0</v>
      </c>
      <c r="CT28" s="358">
        <f>IF(AND(E28&lt;&gt;0,AA28=""),1,IF(AND(F28&lt;&gt;0,AB28=""),1,0))</f>
        <v>0</v>
      </c>
      <c r="CU28" s="354"/>
      <c r="CV28" s="354"/>
      <c r="CW28" s="354"/>
    </row>
    <row r="29" spans="1:101" ht="19.5" customHeight="1" x14ac:dyDescent="0.3">
      <c r="A29" s="1643"/>
      <c r="B29" s="2244" t="s">
        <v>338</v>
      </c>
      <c r="C29" s="2245"/>
      <c r="D29" s="786">
        <f>SUM(E29:F29)</f>
        <v>0</v>
      </c>
      <c r="E29" s="826">
        <f>+G29+I29+K29+M29+O29+Q29+S29+U29+W29</f>
        <v>0</v>
      </c>
      <c r="F29" s="801">
        <f>+H29+J29+L29+N29+P29+R29+T29+V29+X29</f>
        <v>0</v>
      </c>
      <c r="G29" s="786">
        <f>SUM(G26)</f>
        <v>0</v>
      </c>
      <c r="H29" s="786">
        <f>SUM(H26)</f>
        <v>0</v>
      </c>
      <c r="I29" s="786">
        <f>SUM(I26:I28)</f>
        <v>0</v>
      </c>
      <c r="J29" s="788">
        <f t="shared" ref="J29:P29" si="29">SUM(J26:J28)</f>
        <v>0</v>
      </c>
      <c r="K29" s="786">
        <f t="shared" si="29"/>
        <v>0</v>
      </c>
      <c r="L29" s="788">
        <f t="shared" si="29"/>
        <v>0</v>
      </c>
      <c r="M29" s="786">
        <f t="shared" si="29"/>
        <v>0</v>
      </c>
      <c r="N29" s="788">
        <f t="shared" si="29"/>
        <v>0</v>
      </c>
      <c r="O29" s="786">
        <f t="shared" si="29"/>
        <v>0</v>
      </c>
      <c r="P29" s="789">
        <f t="shared" si="29"/>
        <v>0</v>
      </c>
      <c r="Q29" s="786">
        <f t="shared" ref="Q29:V29" si="30">SUM(Q26:Q28)</f>
        <v>0</v>
      </c>
      <c r="R29" s="788">
        <f t="shared" si="30"/>
        <v>0</v>
      </c>
      <c r="S29" s="786">
        <f t="shared" si="30"/>
        <v>0</v>
      </c>
      <c r="T29" s="788">
        <f t="shared" si="30"/>
        <v>0</v>
      </c>
      <c r="U29" s="786">
        <f t="shared" si="30"/>
        <v>0</v>
      </c>
      <c r="V29" s="789">
        <f t="shared" si="30"/>
        <v>0</v>
      </c>
      <c r="W29" s="786">
        <f t="shared" ref="W29:X29" si="31">SUM(W26:W28)</f>
        <v>0</v>
      </c>
      <c r="X29" s="789">
        <f t="shared" si="31"/>
        <v>0</v>
      </c>
      <c r="Y29" s="790">
        <f>SUM(Y26:Y28)</f>
        <v>0</v>
      </c>
      <c r="Z29" s="788">
        <f>SUM(Z26:Z28)</f>
        <v>0</v>
      </c>
      <c r="AA29" s="1064">
        <f>SUM(AA26:AA28)</f>
        <v>0</v>
      </c>
      <c r="AB29" s="788">
        <f>SUM(AB26:AB28)</f>
        <v>0</v>
      </c>
      <c r="BD29" s="960"/>
      <c r="BE29" s="960"/>
      <c r="BF29" s="960"/>
      <c r="BG29" s="960"/>
      <c r="BH29" s="960"/>
      <c r="BI29" s="960"/>
      <c r="BJ29" s="960"/>
      <c r="BK29" s="960"/>
      <c r="BL29" s="960"/>
      <c r="BM29" s="960"/>
      <c r="CB29" s="354"/>
      <c r="CC29" s="354"/>
      <c r="CD29" s="354"/>
      <c r="CE29" s="354"/>
      <c r="CF29" s="354"/>
      <c r="CG29" s="354"/>
      <c r="CH29" s="354"/>
      <c r="CI29" s="354"/>
      <c r="CJ29" s="354"/>
      <c r="CK29" s="354"/>
      <c r="CL29" s="354"/>
      <c r="CM29" s="354"/>
      <c r="CN29" s="354"/>
      <c r="CO29" s="354"/>
      <c r="CP29" s="354"/>
      <c r="CQ29" s="354"/>
      <c r="CR29" s="354"/>
      <c r="CS29" s="354"/>
      <c r="CT29" s="354"/>
      <c r="CU29" s="354"/>
      <c r="CV29" s="354"/>
    </row>
    <row r="30" spans="1:101" ht="29.25" customHeight="1" x14ac:dyDescent="0.3">
      <c r="B30" s="1307" t="s">
        <v>193</v>
      </c>
      <c r="C30" s="445"/>
      <c r="D30" s="445"/>
      <c r="E30" s="445"/>
      <c r="F30" s="445"/>
      <c r="G30" s="445"/>
      <c r="H30" s="445"/>
      <c r="I30" s="164"/>
      <c r="M30" s="355"/>
      <c r="CB30" s="354"/>
      <c r="CC30" s="354"/>
      <c r="CD30" s="354"/>
      <c r="CE30" s="354"/>
      <c r="CF30" s="354"/>
      <c r="CG30" s="354"/>
      <c r="CH30" s="354"/>
      <c r="CI30" s="354"/>
      <c r="CJ30" s="354"/>
      <c r="CK30" s="354"/>
      <c r="CL30" s="354"/>
      <c r="CM30" s="354"/>
      <c r="CN30" s="354"/>
      <c r="CO30" s="354"/>
      <c r="CP30" s="354"/>
      <c r="CQ30" s="354"/>
      <c r="CR30" s="354"/>
      <c r="CS30" s="354"/>
      <c r="CT30" s="354"/>
      <c r="CU30" s="354"/>
      <c r="CV30" s="354"/>
    </row>
    <row r="31" spans="1:101" ht="23.25" customHeight="1" x14ac:dyDescent="0.3">
      <c r="B31" s="2276" t="s">
        <v>194</v>
      </c>
      <c r="C31" s="2276"/>
      <c r="D31" s="2275" t="s">
        <v>13</v>
      </c>
      <c r="E31" s="2275"/>
      <c r="F31" s="2275"/>
      <c r="G31" s="2267" t="s">
        <v>506</v>
      </c>
      <c r="H31" s="2268"/>
      <c r="I31" s="2268"/>
      <c r="J31" s="2268"/>
      <c r="K31" s="2268"/>
      <c r="L31" s="2268"/>
      <c r="M31" s="2268"/>
      <c r="N31" s="2268"/>
      <c r="O31" s="2268"/>
      <c r="P31" s="2268"/>
      <c r="Q31" s="2268"/>
      <c r="R31" s="2268"/>
      <c r="S31" s="2268"/>
      <c r="T31" s="2268"/>
      <c r="U31" s="2268"/>
      <c r="V31" s="2269"/>
      <c r="W31" s="1990" t="s">
        <v>15</v>
      </c>
      <c r="X31" s="1989"/>
      <c r="Y31" s="1988" t="s">
        <v>685</v>
      </c>
      <c r="Z31" s="1989"/>
      <c r="AA31" s="1988" t="s">
        <v>726</v>
      </c>
      <c r="AB31" s="1989"/>
      <c r="BA31"/>
      <c r="BB31"/>
      <c r="CB31" s="354"/>
      <c r="CC31" s="354"/>
      <c r="CD31" s="2301" t="s">
        <v>15</v>
      </c>
      <c r="CE31" s="2302"/>
      <c r="CF31" s="2301" t="s">
        <v>465</v>
      </c>
      <c r="CG31" s="2302"/>
      <c r="CH31" s="2305" t="s">
        <v>15</v>
      </c>
      <c r="CI31" s="2305" t="s">
        <v>465</v>
      </c>
      <c r="CJ31" s="317"/>
      <c r="CK31" s="317"/>
      <c r="CL31" s="317"/>
      <c r="CM31" s="317"/>
      <c r="CN31" s="354"/>
      <c r="CO31" s="2297" t="s">
        <v>15</v>
      </c>
      <c r="CP31" s="2298"/>
      <c r="CQ31" s="2307" t="s">
        <v>465</v>
      </c>
      <c r="CR31" s="2307"/>
      <c r="CS31" s="2307" t="s">
        <v>15</v>
      </c>
      <c r="CT31" s="2307" t="s">
        <v>465</v>
      </c>
      <c r="CU31" s="2301" t="s">
        <v>726</v>
      </c>
      <c r="CV31" s="2302"/>
      <c r="CW31" s="2305" t="s">
        <v>726</v>
      </c>
    </row>
    <row r="32" spans="1:101" ht="15.75" customHeight="1" x14ac:dyDescent="0.3">
      <c r="B32" s="2276"/>
      <c r="C32" s="2276"/>
      <c r="D32" s="2275"/>
      <c r="E32" s="2275"/>
      <c r="F32" s="2275"/>
      <c r="G32" s="2162" t="s">
        <v>181</v>
      </c>
      <c r="H32" s="2118"/>
      <c r="I32" s="2117" t="s">
        <v>182</v>
      </c>
      <c r="J32" s="2118"/>
      <c r="K32" s="2117" t="s">
        <v>183</v>
      </c>
      <c r="L32" s="2118"/>
      <c r="M32" s="2277" t="s">
        <v>694</v>
      </c>
      <c r="N32" s="2278"/>
      <c r="O32" s="2274" t="s">
        <v>695</v>
      </c>
      <c r="P32" s="2162"/>
      <c r="Q32" s="2117" t="s">
        <v>696</v>
      </c>
      <c r="R32" s="2162"/>
      <c r="S32" s="2277" t="s">
        <v>697</v>
      </c>
      <c r="T32" s="2278"/>
      <c r="U32" s="2274" t="s">
        <v>693</v>
      </c>
      <c r="V32" s="2162"/>
      <c r="W32" s="1990"/>
      <c r="X32" s="1989"/>
      <c r="Y32" s="1988"/>
      <c r="Z32" s="1989"/>
      <c r="AA32" s="1988"/>
      <c r="AB32" s="1989"/>
      <c r="BA32"/>
      <c r="BB32"/>
      <c r="CB32" s="354"/>
      <c r="CC32" s="354"/>
      <c r="CD32" s="2303"/>
      <c r="CE32" s="2304"/>
      <c r="CF32" s="2303"/>
      <c r="CG32" s="2304"/>
      <c r="CH32" s="2306"/>
      <c r="CI32" s="2306"/>
      <c r="CJ32" s="317"/>
      <c r="CK32" s="317"/>
      <c r="CL32" s="317"/>
      <c r="CM32" s="317"/>
      <c r="CN32" s="354"/>
      <c r="CO32" s="2299"/>
      <c r="CP32" s="2300"/>
      <c r="CQ32" s="2307"/>
      <c r="CR32" s="2307"/>
      <c r="CS32" s="2307"/>
      <c r="CT32" s="2307"/>
      <c r="CU32" s="2303"/>
      <c r="CV32" s="2304"/>
      <c r="CW32" s="2306"/>
    </row>
    <row r="33" spans="1:102" ht="20.399999999999999" x14ac:dyDescent="0.3">
      <c r="B33" s="2276"/>
      <c r="C33" s="2276"/>
      <c r="D33" s="125" t="s">
        <v>93</v>
      </c>
      <c r="E33" s="170" t="s">
        <v>31</v>
      </c>
      <c r="F33" s="171" t="s">
        <v>94</v>
      </c>
      <c r="G33" s="172" t="s">
        <v>129</v>
      </c>
      <c r="H33" s="132" t="s">
        <v>94</v>
      </c>
      <c r="I33" s="131" t="s">
        <v>129</v>
      </c>
      <c r="J33" s="132" t="s">
        <v>94</v>
      </c>
      <c r="K33" s="131" t="s">
        <v>129</v>
      </c>
      <c r="L33" s="132" t="s">
        <v>94</v>
      </c>
      <c r="M33" s="125" t="s">
        <v>31</v>
      </c>
      <c r="N33" s="166" t="s">
        <v>94</v>
      </c>
      <c r="O33" s="1198" t="s">
        <v>129</v>
      </c>
      <c r="P33" s="132" t="s">
        <v>94</v>
      </c>
      <c r="Q33" s="1198" t="s">
        <v>129</v>
      </c>
      <c r="R33" s="132" t="s">
        <v>94</v>
      </c>
      <c r="S33" s="125" t="s">
        <v>31</v>
      </c>
      <c r="T33" s="166" t="s">
        <v>94</v>
      </c>
      <c r="U33" s="1199" t="s">
        <v>31</v>
      </c>
      <c r="V33" s="173" t="s">
        <v>94</v>
      </c>
      <c r="W33" s="350" t="s">
        <v>31</v>
      </c>
      <c r="X33" s="1035" t="s">
        <v>94</v>
      </c>
      <c r="Y33" s="1041" t="s">
        <v>31</v>
      </c>
      <c r="Z33" s="324" t="s">
        <v>94</v>
      </c>
      <c r="AA33" s="1041" t="s">
        <v>31</v>
      </c>
      <c r="AB33" s="324" t="s">
        <v>94</v>
      </c>
      <c r="BA33"/>
      <c r="BB33"/>
      <c r="CB33" s="354"/>
      <c r="CC33" s="354"/>
      <c r="CD33" s="900" t="s">
        <v>31</v>
      </c>
      <c r="CE33" s="900" t="s">
        <v>94</v>
      </c>
      <c r="CF33" s="900" t="s">
        <v>31</v>
      </c>
      <c r="CG33" s="900" t="s">
        <v>94</v>
      </c>
      <c r="CH33" s="899" t="s">
        <v>540</v>
      </c>
      <c r="CI33" s="899" t="s">
        <v>540</v>
      </c>
      <c r="CJ33" s="1618"/>
      <c r="CK33" s="1618"/>
      <c r="CL33" s="1618"/>
      <c r="CM33" s="1618"/>
      <c r="CN33" s="354"/>
      <c r="CO33" s="903" t="s">
        <v>31</v>
      </c>
      <c r="CP33" s="903" t="s">
        <v>94</v>
      </c>
      <c r="CQ33" s="903" t="s">
        <v>31</v>
      </c>
      <c r="CR33" s="903" t="s">
        <v>94</v>
      </c>
      <c r="CS33" s="904" t="s">
        <v>540</v>
      </c>
      <c r="CT33" s="904" t="s">
        <v>540</v>
      </c>
      <c r="CU33" s="1619" t="s">
        <v>31</v>
      </c>
      <c r="CV33" s="1619" t="s">
        <v>94</v>
      </c>
      <c r="CW33" s="899" t="s">
        <v>540</v>
      </c>
    </row>
    <row r="34" spans="1:102" ht="21.75" customHeight="1" x14ac:dyDescent="0.3">
      <c r="A34" s="1637" t="s">
        <v>1265</v>
      </c>
      <c r="B34" s="2279" t="s">
        <v>52</v>
      </c>
      <c r="C34" s="2280"/>
      <c r="D34" s="765" t="s">
        <v>1550</v>
      </c>
      <c r="E34" s="827" t="s">
        <v>1551</v>
      </c>
      <c r="F34" s="828" t="s">
        <v>1552</v>
      </c>
      <c r="G34" s="812" t="s">
        <v>1553</v>
      </c>
      <c r="H34" s="814" t="s">
        <v>1554</v>
      </c>
      <c r="I34" s="812" t="s">
        <v>1555</v>
      </c>
      <c r="J34" s="813" t="s">
        <v>1556</v>
      </c>
      <c r="K34" s="812" t="s">
        <v>1557</v>
      </c>
      <c r="L34" s="813" t="s">
        <v>1558</v>
      </c>
      <c r="M34" s="829" t="s">
        <v>1559</v>
      </c>
      <c r="N34" s="813" t="s">
        <v>1560</v>
      </c>
      <c r="O34" s="829" t="s">
        <v>1561</v>
      </c>
      <c r="P34" s="813" t="s">
        <v>1562</v>
      </c>
      <c r="Q34" s="829" t="s">
        <v>1563</v>
      </c>
      <c r="R34" s="813" t="s">
        <v>1564</v>
      </c>
      <c r="S34" s="829" t="s">
        <v>1565</v>
      </c>
      <c r="T34" s="813" t="s">
        <v>1566</v>
      </c>
      <c r="U34" s="829" t="s">
        <v>1567</v>
      </c>
      <c r="V34" s="816" t="s">
        <v>1568</v>
      </c>
      <c r="W34" s="815" t="s">
        <v>1569</v>
      </c>
      <c r="X34" s="1067" t="s">
        <v>1570</v>
      </c>
      <c r="Y34" s="829" t="s">
        <v>1571</v>
      </c>
      <c r="Z34" s="813" t="s">
        <v>1572</v>
      </c>
      <c r="AA34" s="829" t="s">
        <v>1573</v>
      </c>
      <c r="AB34" s="813" t="s">
        <v>1574</v>
      </c>
      <c r="AC34" s="1514" t="str">
        <f t="shared" ref="AC34:AC37" si="32">CD34&amp;CE34&amp;CF34&amp;CG34&amp;CH34&amp;CI34&amp;CJ34&amp;CK34&amp;CL34</f>
        <v xml:space="preserve">* El Nº de hombres bajo peso de 'Pueblos Originarios' no debe ser mayor al Total hombres bajo peso en control. * El Nº de mujeres bajo peso de 'Pueblos Originarios' no debe ser mayor al Total mujeres bajo peso en control. * El Nº de hombres bajo peso de Pueblos Migrantes no debe ser mayor al Total hombres bajo peso en control. * El Nº de mujeres bajo peso de Pueblos Migrantes no debe ser mayor al Total mujeres bajo peso en control. * La celda 'Personas Mayores en ELEAM / Hombres' debe ser menor o igual al Total de Hombres en control. * La celda 'Personas Mayores en ELEAM / Mujeres' debe ser menor o igual al Total de Mujeres en control. </v>
      </c>
      <c r="BA34"/>
      <c r="BB34"/>
      <c r="CB34" s="354"/>
      <c r="CC34" s="354"/>
      <c r="CD34" s="348" t="str">
        <f>IF($E34&gt;=$W34,"","* El Nº de hombres bajo peso de 'Pueblos Originarios' no debe ser mayor al Total hombres bajo peso en control. ")</f>
        <v xml:space="preserve">* El Nº de hombres bajo peso de 'Pueblos Originarios' no debe ser mayor al Total hombres bajo peso en control. </v>
      </c>
      <c r="CE34" s="348" t="str">
        <f>IF($F34&gt;=$X34,"","* El Nº de mujeres bajo peso de 'Pueblos Originarios' no debe ser mayor al Total mujeres bajo peso en control. ")</f>
        <v xml:space="preserve">* El Nº de mujeres bajo peso de 'Pueblos Originarios' no debe ser mayor al Total mujeres bajo peso en control. </v>
      </c>
      <c r="CF34" s="348" t="str">
        <f>IF($E34&gt;=$Y34,"","* El Nº de hombres bajo peso de Pueblos Migrantes no debe ser mayor al Total hombres bajo peso en control. ")</f>
        <v xml:space="preserve">* El Nº de hombres bajo peso de Pueblos Migrantes no debe ser mayor al Total hombres bajo peso en control. </v>
      </c>
      <c r="CG34" s="348" t="str">
        <f>IF($F34&gt;=$Z34,"","* El Nº de mujeres bajo peso de Pueblos Migrantes no debe ser mayor al Total mujeres bajo peso en control. ")</f>
        <v xml:space="preserve">* El Nº de mujeres bajo peso de Pueblos Migrantes no debe ser mayor al Total mujeres bajo peso en control. </v>
      </c>
      <c r="CH34" s="348" t="str">
        <f>IF(AND(E34&lt;&gt;0,W34=""),"* No olvide escribir en la celda de 'Pueblos Originarios' (Digite CERO si no tiene). ",IF(AND(F34&lt;&gt;0,X34=""),"* No olvide escribir en la celda de 'Pueblos Originarios' (Digite CERO si no tiene). ",""))</f>
        <v/>
      </c>
      <c r="CI34" s="348" t="str">
        <f>IF(AND(E34&lt;&gt;0,Y34=""),"* No olvide escribir en la celda de 'Población Migrantes' (Digite CERO si no tiene). ",IF(AND(F34&lt;&gt;0,Z34=""),"* No olvide escribir en la celda de 'Población Migrantes' (Digite CERO si no tiene). ",""))</f>
        <v/>
      </c>
      <c r="CJ34" s="348" t="str">
        <f t="shared" ref="CJ34:CJ37" si="33">IF($E34&gt;=$AA34,"","* La celda 'Personas Mayores en ELEAM / Hombres' debe ser menor o igual al Total de Hombres en control. ")</f>
        <v xml:space="preserve">* La celda 'Personas Mayores en ELEAM / Hombres' debe ser menor o igual al Total de Hombres en control. </v>
      </c>
      <c r="CK34" s="348" t="str">
        <f t="shared" ref="CK34:CK37" si="34">IF($F34&gt;=$AB34,"","* La celda 'Personas Mayores en ELEAM / Mujeres' debe ser menor o igual al Total de Mujeres en control. ")</f>
        <v xml:space="preserve">* La celda 'Personas Mayores en ELEAM / Mujeres' debe ser menor o igual al Total de Mujeres en control. </v>
      </c>
      <c r="CL34" s="348" t="str">
        <f t="shared" ref="CL34:CL37" si="35">IF(AND($E34&lt;&gt;0,$AA34=""),"* No olvide escribir en las celdas de 'Personas Mayores en ELEAM' (Digite CERO si no tiene). ",IF(AND(F34&lt;&gt;0,AB34=""),"* No olvide escribir en las celdas de 'Personas Mayores en ELEAM´ (Digite CERO si no tiene). ",""))</f>
        <v/>
      </c>
      <c r="CM34" s="354"/>
      <c r="CN34" s="354"/>
      <c r="CO34" s="358">
        <f>IF($E34&gt;=$W34,0,1)</f>
        <v>1</v>
      </c>
      <c r="CP34" s="358">
        <f>IF($F34&gt;=$X34,0,1)</f>
        <v>1</v>
      </c>
      <c r="CQ34" s="358">
        <f>IF($E34&gt;=$Y34,0,1)</f>
        <v>1</v>
      </c>
      <c r="CR34" s="358">
        <f>IF($F34&gt;=$Z34,0,1)</f>
        <v>1</v>
      </c>
      <c r="CS34" s="358">
        <f>IF(AND(E34&lt;&gt;0,W34=""),1,IF(AND(F34&lt;&gt;0,X34=""),1,0))</f>
        <v>0</v>
      </c>
      <c r="CT34" s="358">
        <f>IF(AND(E34&lt;&gt;0,Y34=""),1,IF(AND(F34&lt;&gt;0,Z34=""),1,0))</f>
        <v>0</v>
      </c>
      <c r="CU34" s="358">
        <f>IF($E34&gt;=$AA34,0,1)</f>
        <v>1</v>
      </c>
      <c r="CV34" s="358">
        <f>IF($F34&gt;=$AB34,0,1)</f>
        <v>1</v>
      </c>
      <c r="CW34" s="358">
        <f>IF(AND(E34&lt;&gt;0,AA34=""),1,IF(AND(F34&lt;&gt;0,AB34=""),1,0))</f>
        <v>0</v>
      </c>
    </row>
    <row r="35" spans="1:102" ht="21.75" customHeight="1" x14ac:dyDescent="0.3">
      <c r="A35" s="1637" t="s">
        <v>1266</v>
      </c>
      <c r="B35" s="2246" t="s">
        <v>51</v>
      </c>
      <c r="C35" s="2247"/>
      <c r="D35" s="773" t="s">
        <v>1550</v>
      </c>
      <c r="E35" s="830" t="s">
        <v>1551</v>
      </c>
      <c r="F35" s="791" t="s">
        <v>1552</v>
      </c>
      <c r="G35" s="820" t="s">
        <v>1553</v>
      </c>
      <c r="H35" s="822" t="s">
        <v>1554</v>
      </c>
      <c r="I35" s="820" t="s">
        <v>1555</v>
      </c>
      <c r="J35" s="821" t="s">
        <v>1556</v>
      </c>
      <c r="K35" s="820" t="s">
        <v>1557</v>
      </c>
      <c r="L35" s="821" t="s">
        <v>1558</v>
      </c>
      <c r="M35" s="831" t="s">
        <v>1559</v>
      </c>
      <c r="N35" s="821" t="s">
        <v>1560</v>
      </c>
      <c r="O35" s="831" t="s">
        <v>1561</v>
      </c>
      <c r="P35" s="821" t="s">
        <v>1562</v>
      </c>
      <c r="Q35" s="831" t="s">
        <v>1563</v>
      </c>
      <c r="R35" s="821" t="s">
        <v>1564</v>
      </c>
      <c r="S35" s="831" t="s">
        <v>1565</v>
      </c>
      <c r="T35" s="821" t="s">
        <v>1566</v>
      </c>
      <c r="U35" s="831" t="s">
        <v>1567</v>
      </c>
      <c r="V35" s="824" t="s">
        <v>1568</v>
      </c>
      <c r="W35" s="823" t="s">
        <v>1569</v>
      </c>
      <c r="X35" s="1068" t="s">
        <v>1570</v>
      </c>
      <c r="Y35" s="831" t="s">
        <v>1571</v>
      </c>
      <c r="Z35" s="821" t="s">
        <v>1572</v>
      </c>
      <c r="AA35" s="831" t="s">
        <v>1573</v>
      </c>
      <c r="AB35" s="821" t="s">
        <v>1574</v>
      </c>
      <c r="AC35" s="1514" t="str">
        <f t="shared" si="32"/>
        <v xml:space="preserve">* El Nº de hombres normal de 'Pueblos Originarios' no debe ser mayor al Total hombres normal en control. * El Nº de mujeres normal de 'Pueblos Originarios' no debe ser mayor al Total mujeres normal en control. * El Nº de hombres normal de Pueblos Migrantes no debe ser mayor al Total hombres normal en control. * El Nº de mujeres normal de Pueblos Migrantes no debe ser mayor al Total mujeres normal en control. * La celda 'Personas Mayores en ELEAM / Hombres' debe ser menor o igual al Total de Hombres en control. * La celda 'Personas Mayores en ELEAM / Mujeres' debe ser menor o igual al Total de Mujeres en control. </v>
      </c>
      <c r="BA35"/>
      <c r="BB35"/>
      <c r="CB35" s="354"/>
      <c r="CC35" s="354"/>
      <c r="CD35" s="348" t="str">
        <f>IF($E35&gt;=$W35,"","* El Nº de hombres normal de 'Pueblos Originarios' no debe ser mayor al Total hombres normal en control. ")</f>
        <v xml:space="preserve">* El Nº de hombres normal de 'Pueblos Originarios' no debe ser mayor al Total hombres normal en control. </v>
      </c>
      <c r="CE35" s="348" t="str">
        <f>IF($F35&gt;=$X35,"","* El Nº de mujeres normal de 'Pueblos Originarios' no debe ser mayor al Total mujeres normal en control. ")</f>
        <v xml:space="preserve">* El Nº de mujeres normal de 'Pueblos Originarios' no debe ser mayor al Total mujeres normal en control. </v>
      </c>
      <c r="CF35" s="348" t="str">
        <f>IF($E35&gt;=$Y35,"","* El Nº de hombres normal de Pueblos Migrantes no debe ser mayor al Total hombres normal en control. ")</f>
        <v xml:space="preserve">* El Nº de hombres normal de Pueblos Migrantes no debe ser mayor al Total hombres normal en control. </v>
      </c>
      <c r="CG35" s="348" t="str">
        <f>IF($F35&gt;=$Z35,"","* El Nº de mujeres normal de Pueblos Migrantes no debe ser mayor al Total mujeres normal en control. ")</f>
        <v xml:space="preserve">* El Nº de mujeres normal de Pueblos Migrantes no debe ser mayor al Total mujeres normal en control. </v>
      </c>
      <c r="CH35" s="348" t="str">
        <f t="shared" ref="CH35:CH37" si="36">IF(AND(E35&lt;&gt;0,W35=""),"* No olvide escribir en la celda de 'Pueblos Originarios' (Digite CERO si no tiene). ",IF(AND(F35&lt;&gt;0,X35=""),"* No olvide escribir en la celda de 'Pueblos Originarios' (Digite CERO si no tiene). ",""))</f>
        <v/>
      </c>
      <c r="CI35" s="348" t="str">
        <f t="shared" ref="CI35:CI37" si="37">IF(AND(E35&lt;&gt;0,Y35=""),"* No olvide escribir en la celda de 'Población Migrantes' (Digite CERO si no tiene). ",IF(AND(F35&lt;&gt;0,Z35=""),"* No olvide escribir en la celda de 'Población Migrantes' (Digite CERO si no tiene). ",""))</f>
        <v/>
      </c>
      <c r="CJ35" s="348" t="str">
        <f t="shared" si="33"/>
        <v xml:space="preserve">* La celda 'Personas Mayores en ELEAM / Hombres' debe ser menor o igual al Total de Hombres en control. </v>
      </c>
      <c r="CK35" s="348" t="str">
        <f t="shared" si="34"/>
        <v xml:space="preserve">* La celda 'Personas Mayores en ELEAM / Mujeres' debe ser menor o igual al Total de Mujeres en control. </v>
      </c>
      <c r="CL35" s="348" t="str">
        <f t="shared" si="35"/>
        <v/>
      </c>
      <c r="CM35" s="354"/>
      <c r="CN35" s="354"/>
      <c r="CO35" s="358">
        <f t="shared" ref="CO35:CO37" si="38">IF($E35&gt;=$W35,0,1)</f>
        <v>1</v>
      </c>
      <c r="CP35" s="358">
        <f t="shared" ref="CP35:CP37" si="39">IF($F35&gt;=$X35,0,1)</f>
        <v>1</v>
      </c>
      <c r="CQ35" s="358">
        <f t="shared" ref="CQ35:CQ37" si="40">IF($E35&gt;=$Y35,0,1)</f>
        <v>1</v>
      </c>
      <c r="CR35" s="358">
        <f t="shared" ref="CR35:CR37" si="41">IF($F35&gt;=$Z35,0,1)</f>
        <v>1</v>
      </c>
      <c r="CS35" s="358">
        <f t="shared" ref="CS35:CS37" si="42">IF(AND(E35&lt;&gt;0,W35=""),1,IF(AND(F35&lt;&gt;0,X35=""),1,0))</f>
        <v>0</v>
      </c>
      <c r="CT35" s="358">
        <f t="shared" ref="CT35:CT37" si="43">IF(AND(E35&lt;&gt;0,Y35=""),1,IF(AND(F35&lt;&gt;0,Z35=""),1,0))</f>
        <v>0</v>
      </c>
      <c r="CU35" s="358">
        <f t="shared" ref="CU35:CU37" si="44">IF($E35&gt;=$AA35,0,1)</f>
        <v>1</v>
      </c>
      <c r="CV35" s="358">
        <f t="shared" ref="CV35:CV37" si="45">IF($F35&gt;=$AB35,0,1)</f>
        <v>1</v>
      </c>
      <c r="CW35" s="358">
        <f t="shared" ref="CW35:CW37" si="46">IF(AND(E35&lt;&gt;0,AA35=""),1,IF(AND(F35&lt;&gt;0,AB35=""),1,0))</f>
        <v>0</v>
      </c>
    </row>
    <row r="36" spans="1:102" ht="21.75" customHeight="1" x14ac:dyDescent="0.3">
      <c r="A36" s="1637" t="s">
        <v>1267</v>
      </c>
      <c r="B36" s="2246" t="s">
        <v>50</v>
      </c>
      <c r="C36" s="2247"/>
      <c r="D36" s="773" t="s">
        <v>1550</v>
      </c>
      <c r="E36" s="830" t="s">
        <v>1551</v>
      </c>
      <c r="F36" s="791" t="s">
        <v>1552</v>
      </c>
      <c r="G36" s="820" t="s">
        <v>1553</v>
      </c>
      <c r="H36" s="822" t="s">
        <v>1554</v>
      </c>
      <c r="I36" s="820" t="s">
        <v>1555</v>
      </c>
      <c r="J36" s="821" t="s">
        <v>1556</v>
      </c>
      <c r="K36" s="820" t="s">
        <v>1557</v>
      </c>
      <c r="L36" s="821" t="s">
        <v>1558</v>
      </c>
      <c r="M36" s="831" t="s">
        <v>1559</v>
      </c>
      <c r="N36" s="821" t="s">
        <v>1560</v>
      </c>
      <c r="O36" s="831" t="s">
        <v>1561</v>
      </c>
      <c r="P36" s="821" t="s">
        <v>1562</v>
      </c>
      <c r="Q36" s="831" t="s">
        <v>1563</v>
      </c>
      <c r="R36" s="821" t="s">
        <v>1564</v>
      </c>
      <c r="S36" s="831" t="s">
        <v>1565</v>
      </c>
      <c r="T36" s="821" t="s">
        <v>1566</v>
      </c>
      <c r="U36" s="831" t="s">
        <v>1567</v>
      </c>
      <c r="V36" s="824" t="s">
        <v>1568</v>
      </c>
      <c r="W36" s="823" t="s">
        <v>1569</v>
      </c>
      <c r="X36" s="1068" t="s">
        <v>1570</v>
      </c>
      <c r="Y36" s="831" t="s">
        <v>1571</v>
      </c>
      <c r="Z36" s="821" t="s">
        <v>1572</v>
      </c>
      <c r="AA36" s="831" t="s">
        <v>1573</v>
      </c>
      <c r="AB36" s="821" t="s">
        <v>1574</v>
      </c>
      <c r="AC36" s="1514" t="str">
        <f t="shared" si="32"/>
        <v xml:space="preserve">* El Nº de hombres sobrepeso de 'Pueblos Originarios' no debe ser mayor al Total hombres sobrepeso en control. * El Nº de mujeres sobrepeso de 'Pueblos Originarios' no debe ser mayor al Total mujeres sobrepeso en control. * El Nº de hombres sobrepeso de Pueblos Migrantes no debe ser mayor al Total hombres sobrepeso en control. * El Nº de mujeres sobrepeso de Pueblos Migrantes no debe ser mayor al Total mujeres sobrepeso en control. * La celda 'Personas Mayores en ELEAM / Hombres' debe ser menor o igual al Total de Hombres en control. * La celda 'Personas Mayores en ELEAM / Mujeres' debe ser menor o igual al Total de Mujeres en control. </v>
      </c>
      <c r="BA36"/>
      <c r="BB36"/>
      <c r="CB36" s="354"/>
      <c r="CC36" s="354"/>
      <c r="CD36" s="348" t="str">
        <f>IF($E36&gt;=$W36,"","* El Nº de hombres sobrepeso de 'Pueblos Originarios' no debe ser mayor al Total hombres sobrepeso en control. ")</f>
        <v xml:space="preserve">* El Nº de hombres sobrepeso de 'Pueblos Originarios' no debe ser mayor al Total hombres sobrepeso en control. </v>
      </c>
      <c r="CE36" s="348" t="str">
        <f>IF($F36&gt;=$X36,"","* El Nº de mujeres sobrepeso de 'Pueblos Originarios' no debe ser mayor al Total mujeres sobrepeso en control. ")</f>
        <v xml:space="preserve">* El Nº de mujeres sobrepeso de 'Pueblos Originarios' no debe ser mayor al Total mujeres sobrepeso en control. </v>
      </c>
      <c r="CF36" s="348" t="str">
        <f>IF($E36&gt;=$Y36,"","* El Nº de hombres sobrepeso de Pueblos Migrantes no debe ser mayor al Total hombres sobrepeso en control. ")</f>
        <v xml:space="preserve">* El Nº de hombres sobrepeso de Pueblos Migrantes no debe ser mayor al Total hombres sobrepeso en control. </v>
      </c>
      <c r="CG36" s="348" t="str">
        <f>IF($F36&gt;=$Z36,"","* El Nº de mujeres sobrepeso de Pueblos Migrantes no debe ser mayor al Total mujeres sobrepeso en control. ")</f>
        <v xml:space="preserve">* El Nº de mujeres sobrepeso de Pueblos Migrantes no debe ser mayor al Total mujeres sobrepeso en control. </v>
      </c>
      <c r="CH36" s="348" t="str">
        <f t="shared" si="36"/>
        <v/>
      </c>
      <c r="CI36" s="348" t="str">
        <f t="shared" si="37"/>
        <v/>
      </c>
      <c r="CJ36" s="348" t="str">
        <f t="shared" si="33"/>
        <v xml:space="preserve">* La celda 'Personas Mayores en ELEAM / Hombres' debe ser menor o igual al Total de Hombres en control. </v>
      </c>
      <c r="CK36" s="348" t="str">
        <f t="shared" si="34"/>
        <v xml:space="preserve">* La celda 'Personas Mayores en ELEAM / Mujeres' debe ser menor o igual al Total de Mujeres en control. </v>
      </c>
      <c r="CL36" s="348" t="str">
        <f t="shared" si="35"/>
        <v/>
      </c>
      <c r="CM36" s="354"/>
      <c r="CN36" s="354"/>
      <c r="CO36" s="358">
        <f t="shared" si="38"/>
        <v>1</v>
      </c>
      <c r="CP36" s="358">
        <f t="shared" si="39"/>
        <v>1</v>
      </c>
      <c r="CQ36" s="358">
        <f t="shared" si="40"/>
        <v>1</v>
      </c>
      <c r="CR36" s="358">
        <f t="shared" si="41"/>
        <v>1</v>
      </c>
      <c r="CS36" s="358">
        <f t="shared" si="42"/>
        <v>0</v>
      </c>
      <c r="CT36" s="358">
        <f t="shared" si="43"/>
        <v>0</v>
      </c>
      <c r="CU36" s="358">
        <f t="shared" si="44"/>
        <v>1</v>
      </c>
      <c r="CV36" s="358">
        <f t="shared" si="45"/>
        <v>1</v>
      </c>
      <c r="CW36" s="358">
        <f t="shared" si="46"/>
        <v>0</v>
      </c>
    </row>
    <row r="37" spans="1:102" ht="21.75" customHeight="1" x14ac:dyDescent="0.3">
      <c r="A37" s="1637" t="s">
        <v>1268</v>
      </c>
      <c r="B37" s="2270" t="s">
        <v>101</v>
      </c>
      <c r="C37" s="2271"/>
      <c r="D37" s="832" t="s">
        <v>1550</v>
      </c>
      <c r="E37" s="833" t="s">
        <v>1551</v>
      </c>
      <c r="F37" s="834" t="s">
        <v>1552</v>
      </c>
      <c r="G37" s="795" t="s">
        <v>1553</v>
      </c>
      <c r="H37" s="797" t="s">
        <v>1554</v>
      </c>
      <c r="I37" s="795" t="s">
        <v>1555</v>
      </c>
      <c r="J37" s="796" t="s">
        <v>1556</v>
      </c>
      <c r="K37" s="795" t="s">
        <v>1557</v>
      </c>
      <c r="L37" s="796" t="s">
        <v>1558</v>
      </c>
      <c r="M37" s="800" t="s">
        <v>1559</v>
      </c>
      <c r="N37" s="796" t="s">
        <v>1560</v>
      </c>
      <c r="O37" s="800" t="s">
        <v>1561</v>
      </c>
      <c r="P37" s="796" t="s">
        <v>1562</v>
      </c>
      <c r="Q37" s="800" t="s">
        <v>1563</v>
      </c>
      <c r="R37" s="796" t="s">
        <v>1564</v>
      </c>
      <c r="S37" s="800" t="s">
        <v>1565</v>
      </c>
      <c r="T37" s="796" t="s">
        <v>1566</v>
      </c>
      <c r="U37" s="800" t="s">
        <v>1567</v>
      </c>
      <c r="V37" s="799" t="s">
        <v>1568</v>
      </c>
      <c r="W37" s="798" t="s">
        <v>1569</v>
      </c>
      <c r="X37" s="1069" t="s">
        <v>1570</v>
      </c>
      <c r="Y37" s="800" t="s">
        <v>1571</v>
      </c>
      <c r="Z37" s="796" t="s">
        <v>1572</v>
      </c>
      <c r="AA37" s="800" t="s">
        <v>1573</v>
      </c>
      <c r="AB37" s="796" t="s">
        <v>1574</v>
      </c>
      <c r="AC37" s="1514" t="str">
        <f t="shared" si="32"/>
        <v xml:space="preserve">* El Nº de hombres obeso de 'Pueblos Originarios' no debe ser mayor al Total hombres obesos en control. * El Nº de mujeres obesas de 'Pueblos Originarios' no debe ser mayor al Total mujeres obesas en control. * El Nº de hombres obeso de Pueblos Migrantes no debe ser mayor al Total hombres obeso en control. * El Nº de mujeres obesas de Pueblos Migrantes no debe ser mayor al Total mujeres obesas en control. * La celda 'Personas Mayores en ELEAM / Hombres' debe ser menor o igual al Total de Hombres en control. * La celda 'Personas Mayores en ELEAM / Mujeres' debe ser menor o igual al Total de Mujeres en control. </v>
      </c>
      <c r="BA37"/>
      <c r="BB37"/>
      <c r="CB37" s="354"/>
      <c r="CC37" s="354"/>
      <c r="CD37" s="348" t="str">
        <f>IF($E37&gt;=$W37,"","* El Nº de hombres obeso de 'Pueblos Originarios' no debe ser mayor al Total hombres obesos en control. ")</f>
        <v xml:space="preserve">* El Nº de hombres obeso de 'Pueblos Originarios' no debe ser mayor al Total hombres obesos en control. </v>
      </c>
      <c r="CE37" s="348" t="str">
        <f>IF($F37&gt;=$X37,"","* El Nº de mujeres obesas de 'Pueblos Originarios' no debe ser mayor al Total mujeres obesas en control. ")</f>
        <v xml:space="preserve">* El Nº de mujeres obesas de 'Pueblos Originarios' no debe ser mayor al Total mujeres obesas en control. </v>
      </c>
      <c r="CF37" s="348" t="str">
        <f>IF($E37&gt;=$Y37,"","* El Nº de hombres obeso de Pueblos Migrantes no debe ser mayor al Total hombres obeso en control. ")</f>
        <v xml:space="preserve">* El Nº de hombres obeso de Pueblos Migrantes no debe ser mayor al Total hombres obeso en control. </v>
      </c>
      <c r="CG37" s="348" t="str">
        <f>IF($F37&gt;=$Z37,"","* El Nº de mujeres obesas de Pueblos Migrantes no debe ser mayor al Total mujeres obesas en control. ")</f>
        <v xml:space="preserve">* El Nº de mujeres obesas de Pueblos Migrantes no debe ser mayor al Total mujeres obesas en control. </v>
      </c>
      <c r="CH37" s="348" t="str">
        <f t="shared" si="36"/>
        <v/>
      </c>
      <c r="CI37" s="348" t="str">
        <f t="shared" si="37"/>
        <v/>
      </c>
      <c r="CJ37" s="348" t="str">
        <f t="shared" si="33"/>
        <v xml:space="preserve">* La celda 'Personas Mayores en ELEAM / Hombres' debe ser menor o igual al Total de Hombres en control. </v>
      </c>
      <c r="CK37" s="348" t="str">
        <f t="shared" si="34"/>
        <v xml:space="preserve">* La celda 'Personas Mayores en ELEAM / Mujeres' debe ser menor o igual al Total de Mujeres en control. </v>
      </c>
      <c r="CL37" s="348" t="str">
        <f t="shared" si="35"/>
        <v/>
      </c>
      <c r="CM37" s="354"/>
      <c r="CN37" s="354"/>
      <c r="CO37" s="358">
        <f t="shared" si="38"/>
        <v>1</v>
      </c>
      <c r="CP37" s="358">
        <f t="shared" si="39"/>
        <v>1</v>
      </c>
      <c r="CQ37" s="358">
        <f t="shared" si="40"/>
        <v>1</v>
      </c>
      <c r="CR37" s="358">
        <f t="shared" si="41"/>
        <v>1</v>
      </c>
      <c r="CS37" s="358">
        <f t="shared" si="42"/>
        <v>0</v>
      </c>
      <c r="CT37" s="358">
        <f t="shared" si="43"/>
        <v>0</v>
      </c>
      <c r="CU37" s="358">
        <f t="shared" si="44"/>
        <v>1</v>
      </c>
      <c r="CV37" s="358">
        <f t="shared" si="45"/>
        <v>1</v>
      </c>
      <c r="CW37" s="358">
        <f t="shared" si="46"/>
        <v>0</v>
      </c>
    </row>
    <row r="38" spans="1:102" ht="21.75" customHeight="1" x14ac:dyDescent="0.3">
      <c r="A38" s="1643"/>
      <c r="B38" s="2272" t="s">
        <v>196</v>
      </c>
      <c r="C38" s="2273"/>
      <c r="D38" s="786">
        <f>SUM(E38:F38)</f>
        <v>0</v>
      </c>
      <c r="E38" s="835">
        <f>+G38+I38+K38+M38+O38+Q38+S38+U38</f>
        <v>0</v>
      </c>
      <c r="F38" s="809">
        <f>+H38+J38+L38+N38+P38+R38+T38+V38</f>
        <v>0</v>
      </c>
      <c r="G38" s="808">
        <f>SUM(G34:G37)</f>
        <v>0</v>
      </c>
      <c r="H38" s="809">
        <f t="shared" ref="H38:Z38" si="47">SUM(H34:H37)</f>
        <v>0</v>
      </c>
      <c r="I38" s="802">
        <f t="shared" si="47"/>
        <v>0</v>
      </c>
      <c r="J38" s="809">
        <f t="shared" si="47"/>
        <v>0</v>
      </c>
      <c r="K38" s="802">
        <f t="shared" ref="K38:N38" si="48">SUM(K34:K37)</f>
        <v>0</v>
      </c>
      <c r="L38" s="809">
        <f t="shared" si="48"/>
        <v>0</v>
      </c>
      <c r="M38" s="802">
        <f t="shared" si="48"/>
        <v>0</v>
      </c>
      <c r="N38" s="809">
        <f t="shared" si="48"/>
        <v>0</v>
      </c>
      <c r="O38" s="1065">
        <f t="shared" si="47"/>
        <v>0</v>
      </c>
      <c r="P38" s="809">
        <f t="shared" si="47"/>
        <v>0</v>
      </c>
      <c r="Q38" s="1065">
        <f t="shared" ref="Q38:T38" si="49">SUM(Q34:Q37)</f>
        <v>0</v>
      </c>
      <c r="R38" s="809">
        <f t="shared" si="49"/>
        <v>0</v>
      </c>
      <c r="S38" s="802">
        <f t="shared" si="49"/>
        <v>0</v>
      </c>
      <c r="T38" s="809">
        <f t="shared" si="49"/>
        <v>0</v>
      </c>
      <c r="U38" s="1065">
        <f t="shared" si="47"/>
        <v>0</v>
      </c>
      <c r="V38" s="807">
        <f t="shared" si="47"/>
        <v>0</v>
      </c>
      <c r="W38" s="806">
        <f>SUM(W34:W37)</f>
        <v>0</v>
      </c>
      <c r="X38" s="809">
        <f>SUM(X34:X37)</f>
        <v>0</v>
      </c>
      <c r="Y38" s="1065">
        <f t="shared" si="47"/>
        <v>0</v>
      </c>
      <c r="Z38" s="809">
        <f t="shared" si="47"/>
        <v>0</v>
      </c>
      <c r="AA38" s="1065">
        <f t="shared" ref="AA38:AB38" si="50">SUM(AA34:AA37)</f>
        <v>0</v>
      </c>
      <c r="AB38" s="809">
        <f t="shared" si="50"/>
        <v>0</v>
      </c>
      <c r="AC38" s="1517"/>
      <c r="BA38"/>
      <c r="BB38"/>
      <c r="BD38" s="960"/>
      <c r="BE38" s="960"/>
      <c r="BF38" s="960"/>
      <c r="BG38" s="960"/>
      <c r="BH38" s="960"/>
      <c r="BI38" s="960"/>
      <c r="BJ38" s="960"/>
      <c r="BK38" s="960"/>
      <c r="BL38" s="960"/>
      <c r="BM38" s="960"/>
      <c r="CB38" s="354"/>
      <c r="CC38" s="354"/>
      <c r="CD38" s="354"/>
      <c r="CE38" s="354"/>
      <c r="CF38" s="354"/>
      <c r="CG38" s="354"/>
      <c r="CH38" s="354"/>
      <c r="CI38" s="354"/>
      <c r="CJ38" s="354"/>
      <c r="CK38" s="354"/>
      <c r="CL38" s="354"/>
      <c r="CM38" s="354"/>
      <c r="CN38" s="354"/>
      <c r="CO38" s="354"/>
      <c r="CP38" s="354"/>
      <c r="CQ38" s="354"/>
      <c r="CR38" s="354"/>
      <c r="CS38" s="354"/>
      <c r="CT38" s="354"/>
      <c r="CU38" s="354"/>
      <c r="CV38" s="354"/>
      <c r="CW38" s="354"/>
    </row>
    <row r="39" spans="1:102" ht="30" customHeight="1" x14ac:dyDescent="0.3">
      <c r="B39" s="2289" t="s">
        <v>577</v>
      </c>
      <c r="C39" s="2289"/>
      <c r="D39" s="2289"/>
      <c r="E39" s="2289"/>
      <c r="F39" s="2289"/>
      <c r="G39" s="2290"/>
      <c r="H39" s="2290"/>
      <c r="I39" s="167"/>
      <c r="J39" s="167"/>
      <c r="K39" s="167"/>
      <c r="L39" s="167"/>
      <c r="M39" s="355"/>
      <c r="CB39" s="354"/>
      <c r="CC39" s="354"/>
      <c r="CD39" s="354"/>
      <c r="CE39" s="354"/>
      <c r="CF39" s="354"/>
      <c r="CG39" s="354"/>
      <c r="CH39" s="354"/>
      <c r="CI39" s="354"/>
      <c r="CJ39" s="354"/>
      <c r="CK39" s="354"/>
      <c r="CL39" s="354"/>
      <c r="CM39" s="354"/>
      <c r="CN39" s="354"/>
      <c r="CO39" s="354"/>
      <c r="CP39" s="354"/>
      <c r="CQ39" s="354"/>
      <c r="CR39" s="354"/>
      <c r="CS39" s="354"/>
      <c r="CT39" s="354"/>
      <c r="CU39" s="354"/>
      <c r="CV39" s="354"/>
      <c r="CW39" s="354"/>
    </row>
    <row r="40" spans="1:102" ht="22.5" customHeight="1" x14ac:dyDescent="0.3">
      <c r="B40" s="2276" t="s">
        <v>151</v>
      </c>
      <c r="C40" s="2276"/>
      <c r="D40" s="2275" t="s">
        <v>13</v>
      </c>
      <c r="E40" s="2275"/>
      <c r="F40" s="2275"/>
      <c r="G40" s="2267" t="s">
        <v>506</v>
      </c>
      <c r="H40" s="2268"/>
      <c r="I40" s="2268"/>
      <c r="J40" s="2268"/>
      <c r="K40" s="2268"/>
      <c r="L40" s="2268"/>
      <c r="M40" s="2268"/>
      <c r="N40" s="2268"/>
      <c r="O40" s="2268"/>
      <c r="P40" s="2268"/>
      <c r="Q40" s="2268"/>
      <c r="R40" s="2268"/>
      <c r="S40" s="2268"/>
      <c r="T40" s="2268"/>
      <c r="U40" s="2268"/>
      <c r="V40" s="2269"/>
      <c r="W40" s="2155" t="s">
        <v>15</v>
      </c>
      <c r="X40" s="2295"/>
      <c r="Y40" s="2155" t="s">
        <v>685</v>
      </c>
      <c r="Z40" s="2295"/>
      <c r="AA40" s="2155" t="s">
        <v>726</v>
      </c>
      <c r="AB40" s="2295"/>
      <c r="CB40" s="354"/>
      <c r="CC40" s="354"/>
      <c r="CD40" s="354"/>
      <c r="CE40" s="354"/>
      <c r="CF40" s="354"/>
      <c r="CG40" s="354"/>
      <c r="CH40" s="354"/>
      <c r="CI40" s="354"/>
      <c r="CJ40" s="354"/>
      <c r="CK40" s="354"/>
      <c r="CL40" s="354"/>
      <c r="CM40" s="354"/>
      <c r="CN40" s="354"/>
      <c r="CO40" s="354"/>
      <c r="CP40" s="354"/>
      <c r="CQ40" s="354"/>
      <c r="CR40" s="354"/>
      <c r="CS40" s="354"/>
      <c r="CT40" s="354"/>
      <c r="CU40" s="354"/>
      <c r="CV40" s="354"/>
      <c r="CW40" s="354"/>
    </row>
    <row r="41" spans="1:102" ht="17.25" customHeight="1" x14ac:dyDescent="0.3">
      <c r="B41" s="2276"/>
      <c r="C41" s="2276"/>
      <c r="D41" s="2275"/>
      <c r="E41" s="2275"/>
      <c r="F41" s="2275"/>
      <c r="G41" s="2277" t="s">
        <v>181</v>
      </c>
      <c r="H41" s="2278"/>
      <c r="I41" s="2277" t="s">
        <v>182</v>
      </c>
      <c r="J41" s="2278"/>
      <c r="K41" s="2277" t="s">
        <v>183</v>
      </c>
      <c r="L41" s="2278"/>
      <c r="M41" s="2277" t="s">
        <v>694</v>
      </c>
      <c r="N41" s="2278"/>
      <c r="O41" s="2274" t="s">
        <v>695</v>
      </c>
      <c r="P41" s="2274"/>
      <c r="Q41" s="2277" t="s">
        <v>696</v>
      </c>
      <c r="R41" s="2274"/>
      <c r="S41" s="2277" t="s">
        <v>697</v>
      </c>
      <c r="T41" s="2278"/>
      <c r="U41" s="2277" t="s">
        <v>693</v>
      </c>
      <c r="V41" s="2284"/>
      <c r="W41" s="2157"/>
      <c r="X41" s="2158"/>
      <c r="Y41" s="2157"/>
      <c r="Z41" s="2158"/>
      <c r="AA41" s="2157"/>
      <c r="AB41" s="2158"/>
      <c r="CB41" s="354"/>
      <c r="CC41" s="354"/>
      <c r="CD41" s="354"/>
      <c r="CE41" s="354"/>
      <c r="CF41" s="354"/>
      <c r="CG41" s="354"/>
      <c r="CH41" s="354"/>
      <c r="CI41" s="354"/>
      <c r="CJ41" s="354"/>
      <c r="CK41" s="354"/>
      <c r="CL41" s="354"/>
      <c r="CM41" s="354"/>
      <c r="CN41" s="354"/>
      <c r="CO41" s="354"/>
      <c r="CP41" s="354"/>
      <c r="CQ41" s="354"/>
      <c r="CR41" s="354"/>
      <c r="CS41" s="354"/>
      <c r="CT41" s="354"/>
      <c r="CU41" s="354"/>
      <c r="CV41" s="354"/>
      <c r="CW41" s="354"/>
    </row>
    <row r="42" spans="1:102" ht="31.2" customHeight="1" x14ac:dyDescent="0.3">
      <c r="B42" s="2276"/>
      <c r="C42" s="2276"/>
      <c r="D42" s="125" t="s">
        <v>93</v>
      </c>
      <c r="E42" s="170" t="s">
        <v>31</v>
      </c>
      <c r="F42" s="332" t="s">
        <v>94</v>
      </c>
      <c r="G42" s="131" t="s">
        <v>129</v>
      </c>
      <c r="H42" s="132" t="s">
        <v>94</v>
      </c>
      <c r="I42" s="131" t="s">
        <v>129</v>
      </c>
      <c r="J42" s="132" t="s">
        <v>94</v>
      </c>
      <c r="K42" s="131" t="s">
        <v>129</v>
      </c>
      <c r="L42" s="132" t="s">
        <v>94</v>
      </c>
      <c r="M42" s="125" t="s">
        <v>31</v>
      </c>
      <c r="N42" s="166" t="s">
        <v>94</v>
      </c>
      <c r="O42" s="125" t="s">
        <v>31</v>
      </c>
      <c r="P42" s="166" t="s">
        <v>94</v>
      </c>
      <c r="Q42" s="125" t="s">
        <v>31</v>
      </c>
      <c r="R42" s="166" t="s">
        <v>94</v>
      </c>
      <c r="S42" s="125" t="s">
        <v>31</v>
      </c>
      <c r="T42" s="166" t="s">
        <v>94</v>
      </c>
      <c r="U42" s="125" t="s">
        <v>31</v>
      </c>
      <c r="V42" s="173" t="s">
        <v>94</v>
      </c>
      <c r="W42" s="1041" t="s">
        <v>31</v>
      </c>
      <c r="X42" s="1035" t="s">
        <v>94</v>
      </c>
      <c r="Y42" s="1041" t="s">
        <v>31</v>
      </c>
      <c r="Z42" s="324" t="s">
        <v>94</v>
      </c>
      <c r="AA42" s="1041" t="s">
        <v>31</v>
      </c>
      <c r="AB42" s="324" t="s">
        <v>94</v>
      </c>
      <c r="CB42" s="354"/>
      <c r="CC42" s="354"/>
      <c r="CD42" s="354"/>
      <c r="CE42" s="354"/>
      <c r="CF42" s="354"/>
      <c r="CG42" s="354"/>
      <c r="CH42" s="354"/>
      <c r="CI42" s="354"/>
      <c r="CJ42" s="354"/>
      <c r="CK42" s="354"/>
      <c r="CL42" s="354"/>
      <c r="CM42" s="354"/>
      <c r="CN42" s="354"/>
      <c r="CO42" s="354"/>
      <c r="CP42" s="354"/>
      <c r="CQ42" s="354"/>
      <c r="CR42" s="354"/>
      <c r="CS42" s="354"/>
      <c r="CT42" s="354"/>
      <c r="CU42" s="354"/>
      <c r="CV42" s="354"/>
      <c r="CW42" s="354"/>
    </row>
    <row r="43" spans="1:102" ht="30.75" customHeight="1" x14ac:dyDescent="0.3">
      <c r="A43" s="1637" t="s">
        <v>1269</v>
      </c>
      <c r="B43" s="2293" t="s">
        <v>197</v>
      </c>
      <c r="C43" s="2294"/>
      <c r="D43" s="786" t="s">
        <v>1550</v>
      </c>
      <c r="E43" s="835" t="s">
        <v>1551</v>
      </c>
      <c r="F43" s="803" t="s">
        <v>1552</v>
      </c>
      <c r="G43" s="836" t="s">
        <v>1553</v>
      </c>
      <c r="H43" s="837" t="s">
        <v>1554</v>
      </c>
      <c r="I43" s="836" t="s">
        <v>1555</v>
      </c>
      <c r="J43" s="837" t="s">
        <v>1556</v>
      </c>
      <c r="K43" s="836" t="s">
        <v>1557</v>
      </c>
      <c r="L43" s="837" t="s">
        <v>1558</v>
      </c>
      <c r="M43" s="836" t="s">
        <v>1559</v>
      </c>
      <c r="N43" s="837" t="s">
        <v>1560</v>
      </c>
      <c r="O43" s="836" t="s">
        <v>1561</v>
      </c>
      <c r="P43" s="837" t="s">
        <v>1562</v>
      </c>
      <c r="Q43" s="836" t="s">
        <v>1563</v>
      </c>
      <c r="R43" s="837" t="s">
        <v>1564</v>
      </c>
      <c r="S43" s="836" t="s">
        <v>1565</v>
      </c>
      <c r="T43" s="837" t="s">
        <v>1566</v>
      </c>
      <c r="U43" s="836" t="s">
        <v>1567</v>
      </c>
      <c r="V43" s="1201" t="s">
        <v>1568</v>
      </c>
      <c r="W43" s="1200" t="s">
        <v>1569</v>
      </c>
      <c r="X43" s="837" t="s">
        <v>1570</v>
      </c>
      <c r="Y43" s="836" t="s">
        <v>1571</v>
      </c>
      <c r="Z43" s="837" t="s">
        <v>1572</v>
      </c>
      <c r="AA43" s="836" t="s">
        <v>1573</v>
      </c>
      <c r="AB43" s="837" t="s">
        <v>1574</v>
      </c>
      <c r="AC43" s="1514" t="str">
        <f>CC43&amp;CD43&amp;CE43&amp;CF43&amp;CG43&amp;CH43&amp;CI43&amp;CJ43&amp;CK43&amp;CL43</f>
        <v xml:space="preserve">* Total de personas mayores con sospecha de maltrato no puede ser mayor al Total de personas mayores en control de la sección A. * El Nº de hombres con sospecha de maltrato de 'Pueblos Originarios' no debe ser mayor al Total hombres con sospecha de maltrato en control. * El Nº de mujeres con sospecha de maltrato de 'Pueblos Originarios' no debe ser mayor al Total mujeres con sospecha de maltrato en control. * El Nº de hombres con sospecha de maltrato de Pueblos Migrantes no debe ser mayor al Total hombres con sospecha de maltrato en control. * El Nº de mujeres con sospecha de maltrato de Pueblos Migrantes no debe ser mayor al Total mujeres con sospecha de maltrato en control. * La celda 'Personas Mayores en ELEAM / Hombres' debe ser menor o igual al Total de Hombres en control. * La celda 'Personas Mayores en ELEAM / Mujeres' debe ser menor o igual al Total de Mujeres en control. </v>
      </c>
      <c r="BD43" s="960"/>
      <c r="BE43" s="960"/>
      <c r="BF43" s="960"/>
      <c r="BG43" s="960"/>
      <c r="BH43" s="960"/>
      <c r="BI43" s="960"/>
      <c r="BJ43" s="960"/>
      <c r="BK43" s="960"/>
      <c r="BL43" s="960"/>
      <c r="BM43" s="960"/>
      <c r="CB43" s="354"/>
      <c r="CC43" s="348" t="str">
        <f>IF(D43&gt;D21,"* Total de personas mayores con sospecha de maltrato no puede ser mayor al Total de personas mayores en control de la sección A. ","")</f>
        <v xml:space="preserve">* Total de personas mayores con sospecha de maltrato no puede ser mayor al Total de personas mayores en control de la sección A. </v>
      </c>
      <c r="CD43" s="348" t="str">
        <f>IF($E43&gt;=$W43,"","* El Nº de hombres con sospecha de maltrato de 'Pueblos Originarios' no debe ser mayor al Total hombres con sospecha de maltrato en control. ")</f>
        <v xml:space="preserve">* El Nº de hombres con sospecha de maltrato de 'Pueblos Originarios' no debe ser mayor al Total hombres con sospecha de maltrato en control. </v>
      </c>
      <c r="CE43" s="348" t="str">
        <f>IF($F43&gt;=$X43,"","* El Nº de mujeres con sospecha de maltrato de 'Pueblos Originarios' no debe ser mayor al Total mujeres con sospecha de maltrato en control. ")</f>
        <v xml:space="preserve">* El Nº de mujeres con sospecha de maltrato de 'Pueblos Originarios' no debe ser mayor al Total mujeres con sospecha de maltrato en control. </v>
      </c>
      <c r="CF43" s="348" t="str">
        <f>IF($E43&gt;=$Y43,"","* El Nº de hombres con sospecha de maltrato de Pueblos Migrantes no debe ser mayor al Total hombres con sospecha de maltrato en control. ")</f>
        <v xml:space="preserve">* El Nº de hombres con sospecha de maltrato de Pueblos Migrantes no debe ser mayor al Total hombres con sospecha de maltrato en control. </v>
      </c>
      <c r="CG43" s="348" t="str">
        <f>IF($F43&gt;=$Z43,"","* El Nº de mujeres con sospecha de maltrato de Pueblos Migrantes no debe ser mayor al Total mujeres con sospecha de maltrato en control. ")</f>
        <v xml:space="preserve">* El Nº de mujeres con sospecha de maltrato de Pueblos Migrantes no debe ser mayor al Total mujeres con sospecha de maltrato en control. </v>
      </c>
      <c r="CH43" s="348" t="str">
        <f t="shared" ref="CH43" si="51">IF(AND(E43&lt;&gt;0,W43=""),"* No olvide escribir en la celda de 'Pueblos Originarios' (Digite CERO si no tiene). ",IF(AND(F43&lt;&gt;0,X43=""),"* No olvide escribir en la celda de 'Pueblos Originarios' (Digite CERO si no tiene). ",""))</f>
        <v/>
      </c>
      <c r="CI43" s="348" t="str">
        <f t="shared" ref="CI43" si="52">IF(AND(E43&lt;&gt;0,Y43=""),"* No olvide escribir en la celda de 'Población Migrantes' (Digite CERO si no tiene). ",IF(AND(F43&lt;&gt;0,Z43=""),"* No olvide escribir en la celda de 'Población Migrantes' (Digite CERO si no tiene). ",""))</f>
        <v/>
      </c>
      <c r="CJ43" s="348" t="str">
        <f>IF($E43&gt;=$AA43,"","* La celda 'Personas Mayores en ELEAM / Hombres' debe ser menor o igual al Total de Hombres en control. ")</f>
        <v xml:space="preserve">* La celda 'Personas Mayores en ELEAM / Hombres' debe ser menor o igual al Total de Hombres en control. </v>
      </c>
      <c r="CK43" s="348" t="str">
        <f>IF($F43&gt;=$AB43,"","* La celda 'Personas Mayores en ELEAM / Mujeres' debe ser menor o igual al Total de Mujeres en control. ")</f>
        <v xml:space="preserve">* La celda 'Personas Mayores en ELEAM / Mujeres' debe ser menor o igual al Total de Mujeres en control. </v>
      </c>
      <c r="CL43" s="348" t="str">
        <f>IF(AND($E43&lt;&gt;0,$AA43=""),"* No olvide escribir en las celdas de 'Personas Mayores en ELEAM' (Digite CERO si no tiene). ",IF(AND(F43&lt;&gt;0,AB43=""),"* No olvide escribir en las celdas de 'Personas Mayores en ELEAM´ (Digite CERO si no tiene). ",""))</f>
        <v/>
      </c>
      <c r="CM43" s="354"/>
      <c r="CN43" s="354"/>
      <c r="CO43" s="358">
        <f>IF($E43&gt;=$W43,0,1)</f>
        <v>1</v>
      </c>
      <c r="CP43" s="358">
        <f>IF($F43&gt;=$X43,0,1)</f>
        <v>1</v>
      </c>
      <c r="CQ43" s="358">
        <f>IF($E43&gt;=$Y43,0,1)</f>
        <v>1</v>
      </c>
      <c r="CR43" s="358">
        <f>IF($F43&gt;=$Z43,0,1)</f>
        <v>1</v>
      </c>
      <c r="CS43" s="358">
        <f>IF(AND(E43&lt;&gt;0,W43=""),1,IF(AND(F43&lt;&gt;0,X43=""),1,0))</f>
        <v>0</v>
      </c>
      <c r="CT43" s="358">
        <f>IF(AND(E43&lt;&gt;0,Y43=""),1,IF(AND(F43&lt;&gt;0,Z43=""),1,0))</f>
        <v>0</v>
      </c>
      <c r="CU43" s="358">
        <f>IF(D43&gt;D21,1,0)</f>
        <v>1</v>
      </c>
      <c r="CV43" s="358">
        <f>IF($E43&gt;=$AA43,0,1)</f>
        <v>1</v>
      </c>
      <c r="CW43" s="358">
        <f>IF($F43&gt;=$AB43,0,1)</f>
        <v>1</v>
      </c>
      <c r="CX43" s="358">
        <f>IF(AND(E43&lt;&gt;0,AA43=""),1,IF(AND(F43&lt;&gt;0,AB43=""),1,0))</f>
        <v>0</v>
      </c>
    </row>
    <row r="44" spans="1:102" ht="27" customHeight="1" x14ac:dyDescent="0.3">
      <c r="A44" s="1634"/>
      <c r="B44" s="2282" t="s">
        <v>578</v>
      </c>
      <c r="C44" s="2282"/>
      <c r="D44" s="2282"/>
      <c r="E44" s="2282"/>
      <c r="F44" s="2282"/>
      <c r="G44" s="2283"/>
      <c r="H44" s="2283"/>
      <c r="I44" s="2283"/>
      <c r="J44" s="167"/>
      <c r="K44" s="167"/>
      <c r="L44" s="167"/>
      <c r="M44" s="355"/>
      <c r="CB44" s="354"/>
      <c r="CC44" s="354"/>
      <c r="CD44" s="354"/>
      <c r="CE44" s="354"/>
      <c r="CF44" s="354"/>
      <c r="CG44" s="354"/>
      <c r="CH44" s="354"/>
      <c r="CI44" s="354"/>
      <c r="CJ44" s="354"/>
      <c r="CK44" s="354"/>
      <c r="CL44" s="354"/>
      <c r="CM44" s="354"/>
      <c r="CN44" s="354"/>
      <c r="CO44" s="354"/>
      <c r="CP44" s="354"/>
      <c r="CQ44" s="354"/>
      <c r="CR44" s="354"/>
      <c r="CS44" s="354"/>
      <c r="CT44" s="354"/>
      <c r="CU44" s="354"/>
      <c r="CV44" s="354"/>
      <c r="CW44" s="354"/>
      <c r="CX44" s="354"/>
    </row>
    <row r="45" spans="1:102" ht="20.25" customHeight="1" x14ac:dyDescent="0.3">
      <c r="A45" s="1634"/>
      <c r="B45" s="2276" t="s">
        <v>151</v>
      </c>
      <c r="C45" s="2276"/>
      <c r="D45" s="2275" t="s">
        <v>13</v>
      </c>
      <c r="E45" s="2275"/>
      <c r="F45" s="2275"/>
      <c r="G45" s="2267" t="s">
        <v>506</v>
      </c>
      <c r="H45" s="2268"/>
      <c r="I45" s="2268"/>
      <c r="J45" s="2268"/>
      <c r="K45" s="2268"/>
      <c r="L45" s="2268"/>
      <c r="M45" s="2268"/>
      <c r="N45" s="2268"/>
      <c r="O45" s="2268"/>
      <c r="P45" s="2268"/>
      <c r="Q45" s="2268"/>
      <c r="R45" s="2268"/>
      <c r="S45" s="2268"/>
      <c r="T45" s="2268"/>
      <c r="U45" s="2268"/>
      <c r="V45" s="2269"/>
      <c r="W45" s="2155" t="s">
        <v>15</v>
      </c>
      <c r="X45" s="2295"/>
      <c r="Y45" s="2155" t="s">
        <v>685</v>
      </c>
      <c r="Z45" s="2295"/>
      <c r="AA45" s="2155" t="s">
        <v>726</v>
      </c>
      <c r="AB45" s="2295"/>
      <c r="CB45" s="354"/>
      <c r="CC45" s="354"/>
      <c r="CD45" s="354"/>
      <c r="CE45" s="354"/>
      <c r="CF45" s="354"/>
      <c r="CG45" s="354"/>
      <c r="CH45" s="354"/>
      <c r="CI45" s="354"/>
      <c r="CJ45" s="354"/>
      <c r="CK45" s="354"/>
      <c r="CL45" s="354"/>
      <c r="CM45" s="354"/>
      <c r="CN45" s="354"/>
      <c r="CO45" s="354"/>
      <c r="CP45" s="354"/>
      <c r="CQ45" s="354"/>
      <c r="CR45" s="354"/>
      <c r="CS45" s="354"/>
      <c r="CT45" s="354"/>
      <c r="CU45" s="354"/>
      <c r="CV45" s="354"/>
      <c r="CW45" s="354"/>
      <c r="CX45" s="354"/>
    </row>
    <row r="46" spans="1:102" ht="19.5" customHeight="1" x14ac:dyDescent="0.3">
      <c r="A46" s="1634"/>
      <c r="B46" s="2276"/>
      <c r="C46" s="2276"/>
      <c r="D46" s="2275"/>
      <c r="E46" s="2275"/>
      <c r="F46" s="2275"/>
      <c r="G46" s="2277" t="s">
        <v>181</v>
      </c>
      <c r="H46" s="2278"/>
      <c r="I46" s="2277" t="s">
        <v>182</v>
      </c>
      <c r="J46" s="2278"/>
      <c r="K46" s="2277" t="s">
        <v>183</v>
      </c>
      <c r="L46" s="2278"/>
      <c r="M46" s="2277" t="s">
        <v>694</v>
      </c>
      <c r="N46" s="2278"/>
      <c r="O46" s="2274" t="s">
        <v>695</v>
      </c>
      <c r="P46" s="2274"/>
      <c r="Q46" s="2277" t="s">
        <v>696</v>
      </c>
      <c r="R46" s="2274"/>
      <c r="S46" s="2277" t="s">
        <v>697</v>
      </c>
      <c r="T46" s="2278"/>
      <c r="U46" s="2277" t="s">
        <v>693</v>
      </c>
      <c r="V46" s="2284"/>
      <c r="W46" s="2157"/>
      <c r="X46" s="2158"/>
      <c r="Y46" s="2157"/>
      <c r="Z46" s="2158"/>
      <c r="AA46" s="2157"/>
      <c r="AB46" s="2158"/>
      <c r="CB46" s="354"/>
      <c r="CC46" s="354"/>
      <c r="CD46" s="354"/>
      <c r="CE46" s="354"/>
      <c r="CF46" s="354"/>
      <c r="CG46" s="354"/>
      <c r="CH46" s="354"/>
      <c r="CI46" s="354"/>
      <c r="CJ46" s="354"/>
      <c r="CK46" s="354"/>
      <c r="CL46" s="354"/>
      <c r="CM46" s="354"/>
      <c r="CN46" s="354"/>
      <c r="CO46" s="354"/>
      <c r="CP46" s="354"/>
      <c r="CQ46" s="354"/>
      <c r="CR46" s="354"/>
      <c r="CS46" s="354"/>
      <c r="CT46" s="354"/>
      <c r="CU46" s="354"/>
      <c r="CV46" s="354"/>
      <c r="CW46" s="354"/>
      <c r="CX46" s="354"/>
    </row>
    <row r="47" spans="1:102" ht="20.399999999999999" x14ac:dyDescent="0.3">
      <c r="A47" s="1634"/>
      <c r="B47" s="2276"/>
      <c r="C47" s="2276"/>
      <c r="D47" s="125" t="s">
        <v>93</v>
      </c>
      <c r="E47" s="170" t="s">
        <v>31</v>
      </c>
      <c r="F47" s="171" t="s">
        <v>94</v>
      </c>
      <c r="G47" s="131" t="s">
        <v>129</v>
      </c>
      <c r="H47" s="132" t="s">
        <v>94</v>
      </c>
      <c r="I47" s="131" t="s">
        <v>129</v>
      </c>
      <c r="J47" s="132" t="s">
        <v>94</v>
      </c>
      <c r="K47" s="131" t="s">
        <v>129</v>
      </c>
      <c r="L47" s="132" t="s">
        <v>94</v>
      </c>
      <c r="M47" s="125" t="s">
        <v>31</v>
      </c>
      <c r="N47" s="166" t="s">
        <v>94</v>
      </c>
      <c r="O47" s="125" t="s">
        <v>31</v>
      </c>
      <c r="P47" s="166" t="s">
        <v>94</v>
      </c>
      <c r="Q47" s="125" t="s">
        <v>31</v>
      </c>
      <c r="R47" s="166" t="s">
        <v>94</v>
      </c>
      <c r="S47" s="125" t="s">
        <v>31</v>
      </c>
      <c r="T47" s="166" t="s">
        <v>94</v>
      </c>
      <c r="U47" s="125" t="s">
        <v>31</v>
      </c>
      <c r="V47" s="173" t="s">
        <v>94</v>
      </c>
      <c r="W47" s="1041" t="s">
        <v>31</v>
      </c>
      <c r="X47" s="1035" t="s">
        <v>94</v>
      </c>
      <c r="Y47" s="1041" t="s">
        <v>31</v>
      </c>
      <c r="Z47" s="324" t="s">
        <v>94</v>
      </c>
      <c r="AA47" s="1041" t="s">
        <v>31</v>
      </c>
      <c r="AB47" s="324" t="s">
        <v>94</v>
      </c>
      <c r="CB47" s="354"/>
      <c r="CC47" s="354"/>
      <c r="CD47" s="354"/>
      <c r="CE47" s="354"/>
      <c r="CF47" s="354"/>
      <c r="CG47" s="354"/>
      <c r="CH47" s="354"/>
      <c r="CI47" s="354"/>
      <c r="CJ47" s="354"/>
      <c r="CK47" s="354"/>
      <c r="CL47" s="354"/>
      <c r="CM47" s="354"/>
      <c r="CN47" s="354"/>
      <c r="CO47" s="354"/>
      <c r="CP47" s="354"/>
      <c r="CQ47" s="354"/>
      <c r="CR47" s="354"/>
      <c r="CS47" s="354"/>
      <c r="CT47" s="354"/>
      <c r="CU47" s="354"/>
      <c r="CV47" s="354"/>
      <c r="CW47" s="354"/>
      <c r="CX47" s="354"/>
    </row>
    <row r="48" spans="1:102" ht="24" customHeight="1" x14ac:dyDescent="0.3">
      <c r="A48" s="1637" t="s">
        <v>1270</v>
      </c>
      <c r="B48" s="2291" t="s">
        <v>198</v>
      </c>
      <c r="C48" s="2292"/>
      <c r="D48" s="786" t="s">
        <v>1550</v>
      </c>
      <c r="E48" s="835" t="s">
        <v>1551</v>
      </c>
      <c r="F48" s="809" t="s">
        <v>1552</v>
      </c>
      <c r="G48" s="836" t="s">
        <v>1553</v>
      </c>
      <c r="H48" s="837" t="s">
        <v>1554</v>
      </c>
      <c r="I48" s="836" t="s">
        <v>1555</v>
      </c>
      <c r="J48" s="837" t="s">
        <v>1556</v>
      </c>
      <c r="K48" s="836" t="s">
        <v>1557</v>
      </c>
      <c r="L48" s="837" t="s">
        <v>1558</v>
      </c>
      <c r="M48" s="836" t="s">
        <v>1559</v>
      </c>
      <c r="N48" s="837" t="s">
        <v>1560</v>
      </c>
      <c r="O48" s="836" t="s">
        <v>1561</v>
      </c>
      <c r="P48" s="837" t="s">
        <v>1562</v>
      </c>
      <c r="Q48" s="836" t="s">
        <v>1563</v>
      </c>
      <c r="R48" s="837" t="s">
        <v>1564</v>
      </c>
      <c r="S48" s="836" t="s">
        <v>1565</v>
      </c>
      <c r="T48" s="837" t="s">
        <v>1566</v>
      </c>
      <c r="U48" s="836" t="s">
        <v>1567</v>
      </c>
      <c r="V48" s="1201" t="s">
        <v>1568</v>
      </c>
      <c r="W48" s="1200" t="s">
        <v>1569</v>
      </c>
      <c r="X48" s="837" t="s">
        <v>1570</v>
      </c>
      <c r="Y48" s="836" t="s">
        <v>1571</v>
      </c>
      <c r="Z48" s="837" t="s">
        <v>1572</v>
      </c>
      <c r="AA48" s="836" t="s">
        <v>1573</v>
      </c>
      <c r="AB48" s="837" t="s">
        <v>1574</v>
      </c>
      <c r="AC48" s="1514" t="str">
        <f>CC48&amp;CD48&amp;CE48&amp;CF48&amp;CG48&amp;CH48&amp;CI48&amp;CJ48&amp;CK48&amp;CL48</f>
        <v xml:space="preserve">* Los Adultos Mayores en actividad física no pueden ser mayor que los clasificados como Autovalentes sin/con riesgo y los riesgo de Dependencia. * El Nº de hombres en actividad física de 'Pueblos Originarios' no debe ser mayor al Total hombres en actividad física. * El Nº de mujeres en actividad física de 'Pueblos Originarios' no debe ser mayor al Total mujeres en actividad física. * El Nº de hombres en actividad física de Pueblos Migrantes no debe ser mayor al Total hombres en actividad física. * El Nº de mujeres en actividad física de Pueblos Migrantes no debe ser mayor al Total mujeres en actividad física. * La celda 'Personas Mayores en ELEAM / Hombres' debe ser menor o igual al Total de Hombres en control. * La celda 'Personas Mayores en ELEAM / Mujeres' debe ser menor o igual al Total de Mujeres en control. </v>
      </c>
      <c r="BD48" s="960"/>
      <c r="BE48" s="960"/>
      <c r="BF48" s="960"/>
      <c r="BG48" s="960"/>
      <c r="BH48" s="960"/>
      <c r="BI48" s="960"/>
      <c r="BJ48" s="960"/>
      <c r="BK48" s="960"/>
      <c r="BL48" s="960"/>
      <c r="BM48" s="960"/>
      <c r="CB48" s="354"/>
      <c r="CC48" s="348" t="str">
        <f>IF($D$48&lt;=$D$15,"","* Los Adultos Mayores en actividad física no pueden ser mayor que los clasificados como Autovalentes sin/con riesgo y los riesgo de Dependencia. ")</f>
        <v xml:space="preserve">* Los Adultos Mayores en actividad física no pueden ser mayor que los clasificados como Autovalentes sin/con riesgo y los riesgo de Dependencia. </v>
      </c>
      <c r="CD48" s="348" t="str">
        <f>IF($E48&gt;=$W48,"","* El Nº de hombres en actividad física de 'Pueblos Originarios' no debe ser mayor al Total hombres en actividad física. ")</f>
        <v xml:space="preserve">* El Nº de hombres en actividad física de 'Pueblos Originarios' no debe ser mayor al Total hombres en actividad física. </v>
      </c>
      <c r="CE48" s="348" t="str">
        <f>IF($F48&gt;=$X48,"","* El Nº de mujeres en actividad física de 'Pueblos Originarios' no debe ser mayor al Total mujeres en actividad física. ")</f>
        <v xml:space="preserve">* El Nº de mujeres en actividad física de 'Pueblos Originarios' no debe ser mayor al Total mujeres en actividad física. </v>
      </c>
      <c r="CF48" s="348" t="str">
        <f>IF($E48&gt;=$Y48,"","* El Nº de hombres en actividad física de Pueblos Migrantes no debe ser mayor al Total hombres en actividad física. ")</f>
        <v xml:space="preserve">* El Nº de hombres en actividad física de Pueblos Migrantes no debe ser mayor al Total hombres en actividad física. </v>
      </c>
      <c r="CG48" s="348" t="str">
        <f>IF($F48&gt;=$Z48,"","* El Nº de mujeres en actividad física de Pueblos Migrantes no debe ser mayor al Total mujeres en actividad física. ")</f>
        <v xml:space="preserve">* El Nº de mujeres en actividad física de Pueblos Migrantes no debe ser mayor al Total mujeres en actividad física. </v>
      </c>
      <c r="CH48" s="348" t="str">
        <f t="shared" ref="CH48" si="53">IF(AND(E48&lt;&gt;0,W48=""),"* No olvide escribir en la celda de 'Pueblos Originarios' (Digite CERO si no tiene). ",IF(AND(F48&lt;&gt;0,X48=""),"* No olvide escribir en la celda de 'Pueblos Originarios' (Digite CERO si no tiene). ",""))</f>
        <v/>
      </c>
      <c r="CI48" s="348" t="str">
        <f t="shared" ref="CI48" si="54">IF(AND(E48&lt;&gt;0,Y48=""),"* No olvide escribir en la celda de 'Población Migrantes' (Digite CERO si no tiene). ",IF(AND(F48&lt;&gt;0,Z48=""),"* No olvide escribir en la celda de 'Población Migrantes' (Digite CERO si no tiene). ",""))</f>
        <v/>
      </c>
      <c r="CJ48" s="348" t="str">
        <f>IF($E48&gt;=$AA48,"","* La celda 'Personas Mayores en ELEAM / Hombres' debe ser menor o igual al Total de Hombres en control. ")</f>
        <v xml:space="preserve">* La celda 'Personas Mayores en ELEAM / Hombres' debe ser menor o igual al Total de Hombres en control. </v>
      </c>
      <c r="CK48" s="348" t="str">
        <f>IF($F48&gt;=$AB48,"","* La celda 'Personas Mayores en ELEAM / Mujeres' debe ser menor o igual al Total de Mujeres en control. ")</f>
        <v xml:space="preserve">* La celda 'Personas Mayores en ELEAM / Mujeres' debe ser menor o igual al Total de Mujeres en control. </v>
      </c>
      <c r="CL48" s="348" t="str">
        <f>IF(AND($E48&lt;&gt;0,$AA48=""),"* No olvide escribir en las celdas de 'Personas Mayores en ELEAM' (Digite CERO si no tiene). ",IF(AND(F48&lt;&gt;0,AB48=""),"* No olvide escribir en las celdas de 'Personas Mayores en ELEAM´ (Digite CERO si no tiene). ",""))</f>
        <v/>
      </c>
      <c r="CM48" s="354"/>
      <c r="CN48" s="354"/>
      <c r="CO48" s="358">
        <f>IF($E48&gt;=$W48,0,1)</f>
        <v>1</v>
      </c>
      <c r="CP48" s="358">
        <f>IF($F48&gt;=$X48,0,1)</f>
        <v>1</v>
      </c>
      <c r="CQ48" s="358">
        <f>IF($E48&gt;=$Y48,0,1)</f>
        <v>1</v>
      </c>
      <c r="CR48" s="358">
        <f>IF($F48&gt;=$Z48,0,1)</f>
        <v>1</v>
      </c>
      <c r="CS48" s="358">
        <f>IF(AND(E48&lt;&gt;0,W48=""),1,IF(AND(F48&lt;&gt;0,X48=""),1,0))</f>
        <v>0</v>
      </c>
      <c r="CT48" s="358">
        <f>IF(AND(E48&lt;&gt;0,Y48=""),1,IF(AND(F48&lt;&gt;0,Z48=""),1,0))</f>
        <v>0</v>
      </c>
      <c r="CU48" s="358">
        <f>IF($D48&lt;=$D$15,0,1)</f>
        <v>1</v>
      </c>
      <c r="CV48" s="358">
        <f>IF($E48&gt;=$AA48,0,1)</f>
        <v>1</v>
      </c>
      <c r="CW48" s="358">
        <f>IF($F48&gt;=$AB48,0,1)</f>
        <v>1</v>
      </c>
      <c r="CX48" s="358">
        <f>IF(AND(E48&lt;&gt;0,AA48=""),1,IF(AND(F48&lt;&gt;0,AB48=""),1,0))</f>
        <v>0</v>
      </c>
    </row>
    <row r="49" spans="1:102" ht="27.75" customHeight="1" x14ac:dyDescent="0.3">
      <c r="B49" s="2281" t="s">
        <v>579</v>
      </c>
      <c r="C49" s="2281"/>
      <c r="D49" s="2281"/>
      <c r="E49" s="2281"/>
      <c r="F49" s="2281"/>
      <c r="G49" s="2281"/>
      <c r="H49" s="2281"/>
      <c r="I49" s="2281"/>
      <c r="J49" s="2281"/>
      <c r="CB49" s="354"/>
      <c r="CC49" s="354"/>
      <c r="CD49" s="354"/>
      <c r="CE49" s="354"/>
      <c r="CF49" s="354"/>
      <c r="CG49" s="354"/>
      <c r="CH49" s="354"/>
      <c r="CI49" s="354"/>
      <c r="CJ49" s="354"/>
      <c r="CK49" s="354"/>
      <c r="CL49" s="354"/>
      <c r="CM49" s="354"/>
      <c r="CN49" s="354"/>
      <c r="CO49" s="354"/>
      <c r="CP49" s="354"/>
      <c r="CQ49" s="354"/>
      <c r="CR49" s="354"/>
      <c r="CS49" s="354"/>
      <c r="CT49" s="354"/>
      <c r="CU49" s="354"/>
      <c r="CV49" s="354"/>
      <c r="CW49" s="354"/>
      <c r="CX49" s="354"/>
    </row>
    <row r="50" spans="1:102" ht="25.5" customHeight="1" x14ac:dyDescent="0.3">
      <c r="B50" s="2199" t="s">
        <v>450</v>
      </c>
      <c r="C50" s="2285" t="s">
        <v>199</v>
      </c>
      <c r="D50" s="2275" t="s">
        <v>13</v>
      </c>
      <c r="E50" s="2275"/>
      <c r="F50" s="2275"/>
      <c r="G50" s="2267" t="s">
        <v>506</v>
      </c>
      <c r="H50" s="2268"/>
      <c r="I50" s="2268"/>
      <c r="J50" s="2268"/>
      <c r="K50" s="2268"/>
      <c r="L50" s="2268"/>
      <c r="M50" s="2268"/>
      <c r="N50" s="2268"/>
      <c r="O50" s="2268"/>
      <c r="P50" s="2268"/>
      <c r="Q50" s="2268"/>
      <c r="R50" s="2268"/>
      <c r="S50" s="2268"/>
      <c r="T50" s="2268"/>
      <c r="U50" s="2268"/>
      <c r="V50" s="2269"/>
      <c r="W50" s="2296" t="s">
        <v>15</v>
      </c>
      <c r="X50" s="2295"/>
      <c r="Y50" s="2155" t="s">
        <v>685</v>
      </c>
      <c r="Z50" s="2295"/>
      <c r="AA50" s="2155" t="s">
        <v>726</v>
      </c>
      <c r="AB50" s="2295"/>
      <c r="CB50" s="354"/>
      <c r="CC50" s="354"/>
      <c r="CD50" s="354"/>
      <c r="CE50" s="354"/>
      <c r="CF50" s="354"/>
      <c r="CG50" s="354"/>
      <c r="CH50" s="354"/>
      <c r="CI50" s="354"/>
      <c r="CJ50" s="354"/>
      <c r="CK50" s="354"/>
      <c r="CL50" s="354"/>
      <c r="CM50" s="354"/>
      <c r="CN50" s="354"/>
      <c r="CO50" s="354"/>
      <c r="CP50" s="354"/>
      <c r="CQ50" s="354"/>
      <c r="CR50" s="354"/>
      <c r="CS50" s="354"/>
      <c r="CT50" s="354"/>
      <c r="CU50" s="354"/>
      <c r="CV50" s="354"/>
      <c r="CW50" s="354"/>
      <c r="CX50" s="354"/>
    </row>
    <row r="51" spans="1:102" ht="15.75" customHeight="1" x14ac:dyDescent="0.3">
      <c r="B51" s="2079"/>
      <c r="C51" s="2286"/>
      <c r="D51" s="2275"/>
      <c r="E51" s="2275"/>
      <c r="F51" s="2275"/>
      <c r="G51" s="2162" t="s">
        <v>181</v>
      </c>
      <c r="H51" s="2118"/>
      <c r="I51" s="2117" t="s">
        <v>182</v>
      </c>
      <c r="J51" s="2118"/>
      <c r="K51" s="2117" t="s">
        <v>183</v>
      </c>
      <c r="L51" s="2118"/>
      <c r="M51" s="2277" t="s">
        <v>694</v>
      </c>
      <c r="N51" s="2278"/>
      <c r="O51" s="2274" t="s">
        <v>695</v>
      </c>
      <c r="P51" s="2274"/>
      <c r="Q51" s="2277" t="s">
        <v>696</v>
      </c>
      <c r="R51" s="2274"/>
      <c r="S51" s="2277" t="s">
        <v>697</v>
      </c>
      <c r="T51" s="2278"/>
      <c r="U51" s="2277" t="s">
        <v>693</v>
      </c>
      <c r="V51" s="2284"/>
      <c r="W51" s="2157"/>
      <c r="X51" s="2158"/>
      <c r="Y51" s="2157"/>
      <c r="Z51" s="2158"/>
      <c r="AA51" s="2157"/>
      <c r="AB51" s="2158"/>
      <c r="CB51" s="354"/>
      <c r="CC51" s="354"/>
      <c r="CD51" s="354"/>
      <c r="CE51" s="354"/>
      <c r="CF51" s="354"/>
      <c r="CG51" s="354"/>
      <c r="CH51" s="354"/>
      <c r="CI51" s="354"/>
      <c r="CJ51" s="354"/>
      <c r="CK51" s="354"/>
      <c r="CL51" s="354"/>
      <c r="CM51" s="354"/>
      <c r="CN51" s="354"/>
      <c r="CO51" s="354"/>
      <c r="CP51" s="354"/>
      <c r="CQ51" s="354"/>
      <c r="CR51" s="354"/>
      <c r="CS51" s="354"/>
      <c r="CT51" s="354"/>
      <c r="CU51" s="354"/>
      <c r="CV51" s="354"/>
      <c r="CW51" s="354"/>
      <c r="CX51" s="354"/>
    </row>
    <row r="52" spans="1:102" ht="24.75" customHeight="1" x14ac:dyDescent="0.3">
      <c r="B52" s="1865"/>
      <c r="C52" s="2287"/>
      <c r="D52" s="125" t="s">
        <v>93</v>
      </c>
      <c r="E52" s="174" t="s">
        <v>31</v>
      </c>
      <c r="F52" s="171" t="s">
        <v>94</v>
      </c>
      <c r="G52" s="131" t="s">
        <v>129</v>
      </c>
      <c r="H52" s="132" t="s">
        <v>94</v>
      </c>
      <c r="I52" s="131" t="s">
        <v>129</v>
      </c>
      <c r="J52" s="132" t="s">
        <v>94</v>
      </c>
      <c r="K52" s="131" t="s">
        <v>129</v>
      </c>
      <c r="L52" s="132" t="s">
        <v>94</v>
      </c>
      <c r="M52" s="125" t="s">
        <v>31</v>
      </c>
      <c r="N52" s="166" t="s">
        <v>94</v>
      </c>
      <c r="O52" s="125" t="s">
        <v>31</v>
      </c>
      <c r="P52" s="166" t="s">
        <v>94</v>
      </c>
      <c r="Q52" s="125" t="s">
        <v>31</v>
      </c>
      <c r="R52" s="166" t="s">
        <v>94</v>
      </c>
      <c r="S52" s="125" t="s">
        <v>31</v>
      </c>
      <c r="T52" s="166" t="s">
        <v>94</v>
      </c>
      <c r="U52" s="125" t="s">
        <v>31</v>
      </c>
      <c r="V52" s="173" t="s">
        <v>94</v>
      </c>
      <c r="W52" s="1041" t="s">
        <v>31</v>
      </c>
      <c r="X52" s="1035" t="s">
        <v>94</v>
      </c>
      <c r="Y52" s="1041" t="s">
        <v>31</v>
      </c>
      <c r="Z52" s="324" t="s">
        <v>94</v>
      </c>
      <c r="AA52" s="1041" t="s">
        <v>31</v>
      </c>
      <c r="AB52" s="324" t="s">
        <v>94</v>
      </c>
      <c r="CB52" s="354"/>
      <c r="CC52" s="354"/>
      <c r="CD52" s="354"/>
      <c r="CE52" s="354"/>
      <c r="CF52" s="354"/>
      <c r="CG52" s="354"/>
      <c r="CH52" s="354"/>
      <c r="CI52" s="354"/>
      <c r="CJ52" s="354"/>
      <c r="CK52" s="354"/>
      <c r="CL52" s="354"/>
      <c r="CM52" s="354"/>
      <c r="CN52" s="354"/>
      <c r="CO52" s="354"/>
      <c r="CP52" s="354"/>
      <c r="CQ52" s="354"/>
      <c r="CR52" s="354"/>
      <c r="CS52" s="354"/>
      <c r="CT52" s="354"/>
      <c r="CU52" s="354"/>
      <c r="CV52" s="354"/>
      <c r="CW52" s="354"/>
      <c r="CX52" s="354"/>
    </row>
    <row r="53" spans="1:102" ht="23.25" customHeight="1" x14ac:dyDescent="0.3">
      <c r="A53" s="1637" t="s">
        <v>1271</v>
      </c>
      <c r="B53" s="2199" t="s">
        <v>451</v>
      </c>
      <c r="C53" s="1221" t="s">
        <v>200</v>
      </c>
      <c r="D53" s="838" t="s">
        <v>1550</v>
      </c>
      <c r="E53" s="839" t="s">
        <v>1551</v>
      </c>
      <c r="F53" s="840" t="s">
        <v>1552</v>
      </c>
      <c r="G53" s="812" t="s">
        <v>1553</v>
      </c>
      <c r="H53" s="813" t="s">
        <v>1554</v>
      </c>
      <c r="I53" s="812" t="s">
        <v>1555</v>
      </c>
      <c r="J53" s="813" t="s">
        <v>1556</v>
      </c>
      <c r="K53" s="812" t="s">
        <v>1557</v>
      </c>
      <c r="L53" s="813" t="s">
        <v>1558</v>
      </c>
      <c r="M53" s="812" t="s">
        <v>1559</v>
      </c>
      <c r="N53" s="813" t="s">
        <v>1560</v>
      </c>
      <c r="O53" s="812" t="s">
        <v>1561</v>
      </c>
      <c r="P53" s="813" t="s">
        <v>1562</v>
      </c>
      <c r="Q53" s="812" t="s">
        <v>1563</v>
      </c>
      <c r="R53" s="813" t="s">
        <v>1564</v>
      </c>
      <c r="S53" s="812" t="s">
        <v>1565</v>
      </c>
      <c r="T53" s="813" t="s">
        <v>1566</v>
      </c>
      <c r="U53" s="812" t="s">
        <v>1567</v>
      </c>
      <c r="V53" s="816" t="s">
        <v>1568</v>
      </c>
      <c r="W53" s="829" t="s">
        <v>1569</v>
      </c>
      <c r="X53" s="813" t="s">
        <v>1570</v>
      </c>
      <c r="Y53" s="812" t="s">
        <v>1571</v>
      </c>
      <c r="Z53" s="813" t="s">
        <v>1572</v>
      </c>
      <c r="AA53" s="812" t="s">
        <v>1573</v>
      </c>
      <c r="AB53" s="813" t="s">
        <v>1574</v>
      </c>
      <c r="AC53" s="1514" t="str">
        <f>CC53&amp;CD53&amp;CE53&amp;CF53&amp;CG53&amp;CH53&amp;CI53&amp;CJ53&amp;CK53&amp;CL53</f>
        <v xml:space="preserve">* El Nº de hombres de 'Pueblos Originarios' con riesgo de caída no debe ser mayor al Total hombres con riesgo de caída. * El Nº de mujeres de 'Pueblos Originarios' con riesgo de caída no debe ser mayor al Total mujeres con riesgo de caída. * El Nº de hombres de Pueblos Migrantes con riesgo de caída no debe ser mayor al Total hombres con riesgo de caída. * El Nº de mujeres de Pueblos Migrantes con riesgo de caída no debe ser mayor al Total mujeres con riesgo de caída. * La celda 'Personas Mayores en ELEAM / Hombres' debe ser menor o igual al Total de Hombres en control. * La celda 'Personas Mayores en ELEAM / Mujeres' debe ser menor o igual al Total de Mujeres en control. </v>
      </c>
      <c r="BD53" s="960"/>
      <c r="BE53" s="960"/>
      <c r="BF53" s="960"/>
      <c r="BG53" s="960"/>
      <c r="BH53" s="960"/>
      <c r="BI53" s="960"/>
      <c r="BJ53" s="960"/>
      <c r="BK53" s="960"/>
      <c r="BL53" s="960"/>
      <c r="BM53" s="960"/>
      <c r="CB53" s="354"/>
      <c r="CC53" s="354"/>
      <c r="CD53" s="348" t="str">
        <f t="shared" ref="CD53:CD54" si="55">IF($E53&gt;=$W53,"","* El Nº de hombres de 'Pueblos Originarios' con riesgo de caída no debe ser mayor al Total hombres con riesgo de caída. ")</f>
        <v xml:space="preserve">* El Nº de hombres de 'Pueblos Originarios' con riesgo de caída no debe ser mayor al Total hombres con riesgo de caída. </v>
      </c>
      <c r="CE53" s="348" t="str">
        <f t="shared" ref="CE53:CE54" si="56">IF($F53&gt;=$X53,"","* El Nº de mujeres de 'Pueblos Originarios' con riesgo de caída no debe ser mayor al Total mujeres con riesgo de caída. ")</f>
        <v xml:space="preserve">* El Nº de mujeres de 'Pueblos Originarios' con riesgo de caída no debe ser mayor al Total mujeres con riesgo de caída. </v>
      </c>
      <c r="CF53" s="348" t="str">
        <f t="shared" ref="CF53:CF54" si="57">IF($E53&gt;=$Y53,"","* El Nº de hombres de Pueblos Migrantes con riesgo de caída no debe ser mayor al Total hombres con riesgo de caída. ")</f>
        <v xml:space="preserve">* El Nº de hombres de Pueblos Migrantes con riesgo de caída no debe ser mayor al Total hombres con riesgo de caída. </v>
      </c>
      <c r="CG53" s="348" t="str">
        <f t="shared" ref="CG53:CG54" si="58">IF($F53&gt;=$Z53,"","* El Nº de mujeres de Pueblos Migrantes con riesgo de caída no debe ser mayor al Total mujeres con riesgo de caída. ")</f>
        <v xml:space="preserve">* El Nº de mujeres de Pueblos Migrantes con riesgo de caída no debe ser mayor al Total mujeres con riesgo de caída. </v>
      </c>
      <c r="CH53" s="348" t="str">
        <f t="shared" ref="CH53:CH54" si="59">IF(AND(E53&lt;&gt;0,W53=""),"* No olvide escribir en la celda de 'Pueblos Originarios' (Digite CERO si no tiene). ",IF(AND(F53&lt;&gt;0,X53=""),"* No olvide escribir en la celda de 'Pueblos Originarios' (Digite CERO si no tiene). ",""))</f>
        <v/>
      </c>
      <c r="CI53" s="348" t="str">
        <f t="shared" ref="CI53:CI54" si="60">IF(AND(E53&lt;&gt;0,Y53=""),"* No olvide escribir en la celda de 'Población Migrantes' (Digite CERO si no tiene). ",IF(AND(F53&lt;&gt;0,Z53=""),"* No olvide escribir en la celda de 'Población Migrantes' (Digite CERO si no tiene). ",""))</f>
        <v/>
      </c>
      <c r="CJ53" s="348" t="str">
        <f t="shared" ref="CJ53:CJ57" si="61">IF($E53&gt;=$AA53,"","* La celda 'Personas Mayores en ELEAM / Hombres' debe ser menor o igual al Total de Hombres en control. ")</f>
        <v xml:space="preserve">* La celda 'Personas Mayores en ELEAM / Hombres' debe ser menor o igual al Total de Hombres en control. </v>
      </c>
      <c r="CK53" s="348" t="str">
        <f t="shared" ref="CK53:CK57" si="62">IF($F53&gt;=$AB53,"","* La celda 'Personas Mayores en ELEAM / Mujeres' debe ser menor o igual al Total de Mujeres en control. ")</f>
        <v xml:space="preserve">* La celda 'Personas Mayores en ELEAM / Mujeres' debe ser menor o igual al Total de Mujeres en control. </v>
      </c>
      <c r="CL53" s="348" t="str">
        <f t="shared" ref="CL53:CL57" si="63">IF(AND($E53&lt;&gt;0,$AA53=""),"* No olvide escribir en las celdas de 'Personas Mayores en ELEAM' (Digite CERO si no tiene). ",IF(AND(F53&lt;&gt;0,AB53=""),"* No olvide escribir en las celdas de 'Personas Mayores en ELEAM´ (Digite CERO si no tiene). ",""))</f>
        <v/>
      </c>
      <c r="CM53" s="354"/>
      <c r="CN53" s="354"/>
      <c r="CO53" s="358">
        <f>IF($E53&gt;=$W53,0,1)</f>
        <v>1</v>
      </c>
      <c r="CP53" s="358">
        <f>IF($F53&gt;=$X53,0,1)</f>
        <v>1</v>
      </c>
      <c r="CQ53" s="358">
        <f>IF($E53&gt;=$Y53,0,1)</f>
        <v>1</v>
      </c>
      <c r="CR53" s="358">
        <f>IF($F53&gt;=$Z53,0,1)</f>
        <v>1</v>
      </c>
      <c r="CS53" s="358">
        <f>IF(AND(E53&lt;&gt;0,W53=""),1,IF(AND(F53&lt;&gt;0,X53=""),1,0))</f>
        <v>0</v>
      </c>
      <c r="CT53" s="358">
        <f>IF(AND(E53&lt;&gt;0,Y53=""),1,IF(AND(F53&lt;&gt;0,Z53=""),1,0))</f>
        <v>0</v>
      </c>
      <c r="CU53" s="358">
        <f>IF($E53&gt;=$AA53,0,1)</f>
        <v>1</v>
      </c>
      <c r="CV53" s="358">
        <f>IF($F53&gt;=$AB53,0,1)</f>
        <v>1</v>
      </c>
      <c r="CW53" s="358">
        <f>IF(AND(E53&lt;&gt;0,AA53=""),1,IF(AND(F53&lt;&gt;0,AB53=""),1,0))</f>
        <v>0</v>
      </c>
      <c r="CX53" s="358"/>
    </row>
    <row r="54" spans="1:102" ht="23.25" customHeight="1" x14ac:dyDescent="0.3">
      <c r="A54" s="1637" t="s">
        <v>1272</v>
      </c>
      <c r="B54" s="2079"/>
      <c r="C54" s="1222" t="s">
        <v>201</v>
      </c>
      <c r="D54" s="773" t="s">
        <v>1550</v>
      </c>
      <c r="E54" s="841" t="s">
        <v>1551</v>
      </c>
      <c r="F54" s="842" t="s">
        <v>1552</v>
      </c>
      <c r="G54" s="820" t="s">
        <v>1553</v>
      </c>
      <c r="H54" s="821" t="s">
        <v>1554</v>
      </c>
      <c r="I54" s="820" t="s">
        <v>1555</v>
      </c>
      <c r="J54" s="821" t="s">
        <v>1556</v>
      </c>
      <c r="K54" s="820" t="s">
        <v>1557</v>
      </c>
      <c r="L54" s="821" t="s">
        <v>1558</v>
      </c>
      <c r="M54" s="820" t="s">
        <v>1559</v>
      </c>
      <c r="N54" s="821" t="s">
        <v>1560</v>
      </c>
      <c r="O54" s="820" t="s">
        <v>1561</v>
      </c>
      <c r="P54" s="821" t="s">
        <v>1562</v>
      </c>
      <c r="Q54" s="820" t="s">
        <v>1563</v>
      </c>
      <c r="R54" s="821" t="s">
        <v>1564</v>
      </c>
      <c r="S54" s="820" t="s">
        <v>1565</v>
      </c>
      <c r="T54" s="821" t="s">
        <v>1566</v>
      </c>
      <c r="U54" s="820" t="s">
        <v>1567</v>
      </c>
      <c r="V54" s="824" t="s">
        <v>1568</v>
      </c>
      <c r="W54" s="831" t="s">
        <v>1569</v>
      </c>
      <c r="X54" s="821" t="s">
        <v>1570</v>
      </c>
      <c r="Y54" s="820" t="s">
        <v>1571</v>
      </c>
      <c r="Z54" s="821" t="s">
        <v>1572</v>
      </c>
      <c r="AA54" s="820" t="s">
        <v>1573</v>
      </c>
      <c r="AB54" s="821" t="s">
        <v>1574</v>
      </c>
      <c r="AC54" s="1514" t="str">
        <f t="shared" ref="AC54:AC57" si="64">CC54&amp;CD54&amp;CE54&amp;CF54&amp;CG54&amp;CH54&amp;CI54&amp;CJ54&amp;CK54&amp;CL54</f>
        <v xml:space="preserve">* El Nº de hombres de 'Pueblos Originarios' con riesgo de caída no debe ser mayor al Total hombres con riesgo de caída. * El Nº de mujeres de 'Pueblos Originarios' con riesgo de caída no debe ser mayor al Total mujeres con riesgo de caída. * El Nº de hombres de Pueblos Migrantes con riesgo de caída no debe ser mayor al Total hombres con riesgo de caída. * El Nº de mujeres de Pueblos Migrantes con riesgo de caída no debe ser mayor al Total mujeres con riesgo de caída. * La celda 'Personas Mayores en ELEAM / Hombres' debe ser menor o igual al Total de Hombres en control. * La celda 'Personas Mayores en ELEAM / Mujeres' debe ser menor o igual al Total de Mujeres en control. </v>
      </c>
      <c r="CB54" s="354"/>
      <c r="CC54" s="354"/>
      <c r="CD54" s="348" t="str">
        <f t="shared" si="55"/>
        <v xml:space="preserve">* El Nº de hombres de 'Pueblos Originarios' con riesgo de caída no debe ser mayor al Total hombres con riesgo de caída. </v>
      </c>
      <c r="CE54" s="348" t="str">
        <f t="shared" si="56"/>
        <v xml:space="preserve">* El Nº de mujeres de 'Pueblos Originarios' con riesgo de caída no debe ser mayor al Total mujeres con riesgo de caída. </v>
      </c>
      <c r="CF54" s="348" t="str">
        <f t="shared" si="57"/>
        <v xml:space="preserve">* El Nº de hombres de Pueblos Migrantes con riesgo de caída no debe ser mayor al Total hombres con riesgo de caída. </v>
      </c>
      <c r="CG54" s="348" t="str">
        <f t="shared" si="58"/>
        <v xml:space="preserve">* El Nº de mujeres de Pueblos Migrantes con riesgo de caída no debe ser mayor al Total mujeres con riesgo de caída. </v>
      </c>
      <c r="CH54" s="348" t="str">
        <f t="shared" si="59"/>
        <v/>
      </c>
      <c r="CI54" s="348" t="str">
        <f t="shared" si="60"/>
        <v/>
      </c>
      <c r="CJ54" s="348" t="str">
        <f t="shared" si="61"/>
        <v xml:space="preserve">* La celda 'Personas Mayores en ELEAM / Hombres' debe ser menor o igual al Total de Hombres en control. </v>
      </c>
      <c r="CK54" s="348" t="str">
        <f t="shared" si="62"/>
        <v xml:space="preserve">* La celda 'Personas Mayores en ELEAM / Mujeres' debe ser menor o igual al Total de Mujeres en control. </v>
      </c>
      <c r="CL54" s="348" t="str">
        <f t="shared" si="63"/>
        <v/>
      </c>
      <c r="CM54" s="354"/>
      <c r="CN54" s="354"/>
      <c r="CO54" s="358">
        <f>IF($E54&gt;=$W54,0,1)</f>
        <v>1</v>
      </c>
      <c r="CP54" s="358">
        <f>IF($F54&gt;=$X54,0,1)</f>
        <v>1</v>
      </c>
      <c r="CQ54" s="358">
        <f>IF($E54&gt;=$Y54,0,1)</f>
        <v>1</v>
      </c>
      <c r="CR54" s="358">
        <f>IF($F54&gt;=$Z54,0,1)</f>
        <v>1</v>
      </c>
      <c r="CS54" s="358">
        <f>IF(AND(E54&lt;&gt;0,W54=""),1,IF(AND(F54&lt;&gt;0,X54=""),1,0))</f>
        <v>0</v>
      </c>
      <c r="CT54" s="358">
        <f>IF(AND(E54&lt;&gt;0,Y54=""),1,IF(AND(F54&lt;&gt;0,Z54=""),1,0))</f>
        <v>0</v>
      </c>
      <c r="CU54" s="358">
        <f>IF($E54&gt;=$AA54,0,1)</f>
        <v>1</v>
      </c>
      <c r="CV54" s="358">
        <f>IF($F54&gt;=$AB54,0,1)</f>
        <v>1</v>
      </c>
      <c r="CW54" s="358">
        <f>IF(AND(E54&lt;&gt;0,AA54=""),1,IF(AND(F54&lt;&gt;0,AB54=""),1,0))</f>
        <v>0</v>
      </c>
      <c r="CX54" s="358"/>
    </row>
    <row r="55" spans="1:102" ht="23.25" customHeight="1" x14ac:dyDescent="0.3">
      <c r="A55" s="1637" t="s">
        <v>1273</v>
      </c>
      <c r="B55" s="1865"/>
      <c r="C55" s="1220" t="s">
        <v>202</v>
      </c>
      <c r="D55" s="825" t="s">
        <v>1550</v>
      </c>
      <c r="E55" s="843" t="s">
        <v>1551</v>
      </c>
      <c r="F55" s="844" t="s">
        <v>1552</v>
      </c>
      <c r="G55" s="795" t="s">
        <v>1553</v>
      </c>
      <c r="H55" s="796" t="s">
        <v>1554</v>
      </c>
      <c r="I55" s="795" t="s">
        <v>1555</v>
      </c>
      <c r="J55" s="796" t="s">
        <v>1556</v>
      </c>
      <c r="K55" s="795" t="s">
        <v>1557</v>
      </c>
      <c r="L55" s="796" t="s">
        <v>1558</v>
      </c>
      <c r="M55" s="795" t="s">
        <v>1559</v>
      </c>
      <c r="N55" s="796" t="s">
        <v>1560</v>
      </c>
      <c r="O55" s="795" t="s">
        <v>1561</v>
      </c>
      <c r="P55" s="796" t="s">
        <v>1562</v>
      </c>
      <c r="Q55" s="795" t="s">
        <v>1563</v>
      </c>
      <c r="R55" s="796" t="s">
        <v>1564</v>
      </c>
      <c r="S55" s="795" t="s">
        <v>1565</v>
      </c>
      <c r="T55" s="796" t="s">
        <v>1566</v>
      </c>
      <c r="U55" s="795" t="s">
        <v>1567</v>
      </c>
      <c r="V55" s="799" t="s">
        <v>1568</v>
      </c>
      <c r="W55" s="800" t="s">
        <v>1569</v>
      </c>
      <c r="X55" s="796" t="s">
        <v>1570</v>
      </c>
      <c r="Y55" s="795" t="s">
        <v>1571</v>
      </c>
      <c r="Z55" s="796" t="s">
        <v>1572</v>
      </c>
      <c r="AA55" s="795" t="s">
        <v>1573</v>
      </c>
      <c r="AB55" s="796" t="s">
        <v>1574</v>
      </c>
      <c r="AC55" s="1514" t="str">
        <f t="shared" si="64"/>
        <v xml:space="preserve">* El Nº de hombres de 'Pueblos Originarios' con riesgo de caída no debe ser mayor al Total hombres con riesgo de caída. * El Nº de mujeres de 'Pueblos Originarios' con riesgo de caída no debe ser mayor al Total mujeres con riesgo de caída. * El Nº de hombres de Pueblos Migrantes con riesgo de caída no debe ser mayor al Total hombres con riesgo de caída. * El Nº de mujeres de Pueblos Migrantes con riesgo de caída no debe ser mayor al Total mujeres con riesgo de caída. * La celda 'Personas Mayores en ELEAM / Hombres' debe ser menor o igual al Total de Hombres en control. * La celda 'Personas Mayores en ELEAM / Mujeres' debe ser menor o igual al Total de Mujeres en control. </v>
      </c>
      <c r="CB55" s="354"/>
      <c r="CC55" s="348" t="str">
        <f>IF(SUM($D53:$D55)&gt;$D15,"* La suma de adultos mayores con Riesgo de caída deben ser menor o igual al Total Adultos Mayores con EFAM de sección A. ","")</f>
        <v/>
      </c>
      <c r="CD55" s="348" t="str">
        <f>IF($E55&gt;=$W55,"","* El Nº de hombres de 'Pueblos Originarios' con riesgo de caída no debe ser mayor al Total hombres con riesgo de caída. ")</f>
        <v xml:space="preserve">* El Nº de hombres de 'Pueblos Originarios' con riesgo de caída no debe ser mayor al Total hombres con riesgo de caída. </v>
      </c>
      <c r="CE55" s="348" t="str">
        <f>IF($F55&gt;=$X55,"","* El Nº de mujeres de 'Pueblos Originarios' con riesgo de caída no debe ser mayor al Total mujeres con riesgo de caída. ")</f>
        <v xml:space="preserve">* El Nº de mujeres de 'Pueblos Originarios' con riesgo de caída no debe ser mayor al Total mujeres con riesgo de caída. </v>
      </c>
      <c r="CF55" s="348" t="str">
        <f>IF($E55&gt;=$Y55,"","* El Nº de hombres de Pueblos Migrantes con riesgo de caída no debe ser mayor al Total hombres con riesgo de caída. ")</f>
        <v xml:space="preserve">* El Nº de hombres de Pueblos Migrantes con riesgo de caída no debe ser mayor al Total hombres con riesgo de caída. </v>
      </c>
      <c r="CG55" s="348" t="str">
        <f>IF($F55&gt;=$Z55,"","* El Nº de mujeres de Pueblos Migrantes con riesgo de caída no debe ser mayor al Total mujeres con riesgo de caída. ")</f>
        <v xml:space="preserve">* El Nº de mujeres de Pueblos Migrantes con riesgo de caída no debe ser mayor al Total mujeres con riesgo de caída. </v>
      </c>
      <c r="CH55" s="348" t="str">
        <f t="shared" ref="CH55" si="65">IF(AND(E55&lt;&gt;0,W55=""),"* No olvide escribir en la celda de 'Pueblos Originarios' (Digite CERO si no tiene). ",IF(AND(F55&lt;&gt;0,X55=""),"* No olvide escribir en la celda de 'Pueblos Originarios' (Digite CERO si no tiene). ",""))</f>
        <v/>
      </c>
      <c r="CI55" s="348" t="str">
        <f t="shared" ref="CI55" si="66">IF(AND(E55&lt;&gt;0,Y55=""),"* No olvide escribir en la celda de 'Población Migrantes' (Digite CERO si no tiene). ",IF(AND(F55&lt;&gt;0,Z55=""),"* No olvide escribir en la celda de 'Población Migrantes' (Digite CERO si no tiene). ",""))</f>
        <v/>
      </c>
      <c r="CJ55" s="348" t="str">
        <f t="shared" si="61"/>
        <v xml:space="preserve">* La celda 'Personas Mayores en ELEAM / Hombres' debe ser menor o igual al Total de Hombres en control. </v>
      </c>
      <c r="CK55" s="348" t="str">
        <f t="shared" si="62"/>
        <v xml:space="preserve">* La celda 'Personas Mayores en ELEAM / Mujeres' debe ser menor o igual al Total de Mujeres en control. </v>
      </c>
      <c r="CL55" s="348" t="str">
        <f t="shared" si="63"/>
        <v/>
      </c>
      <c r="CM55" s="354"/>
      <c r="CN55" s="354"/>
      <c r="CO55" s="358">
        <f>IF($E55&gt;=$W55,0,1)</f>
        <v>1</v>
      </c>
      <c r="CP55" s="358">
        <f>IF($F55&gt;=$X55,0,1)</f>
        <v>1</v>
      </c>
      <c r="CQ55" s="358">
        <f>IF($E55&gt;=$Y55,0,1)</f>
        <v>1</v>
      </c>
      <c r="CR55" s="358">
        <f>IF($F55&gt;=$Z55,0,1)</f>
        <v>1</v>
      </c>
      <c r="CS55" s="358">
        <f>IF(AND(E55&lt;&gt;0,W55=""),1,IF(AND(F55&lt;&gt;0,X55=""),1,0))</f>
        <v>0</v>
      </c>
      <c r="CT55" s="358">
        <f>IF(AND(E55&lt;&gt;0,Y55=""),1,IF(AND(F55&lt;&gt;0,Z55=""),1,0))</f>
        <v>0</v>
      </c>
      <c r="CU55" s="358">
        <f>IF($E55&gt;=$AA55,0,1)</f>
        <v>1</v>
      </c>
      <c r="CV55" s="358">
        <f>IF($F55&gt;=$AB55,0,1)</f>
        <v>1</v>
      </c>
      <c r="CW55" s="358">
        <f>IF(AND(E55&lt;&gt;0,AA55=""),1,IF(AND(F55&lt;&gt;0,AB55=""),1,0))</f>
        <v>0</v>
      </c>
      <c r="CX55" s="358">
        <f>IF(SUM($D$53:$D$55)&gt;$D$15,1,0)</f>
        <v>0</v>
      </c>
    </row>
    <row r="56" spans="1:102" ht="23.25" customHeight="1" x14ac:dyDescent="0.3">
      <c r="A56" s="1637" t="s">
        <v>1274</v>
      </c>
      <c r="B56" s="2199" t="s">
        <v>452</v>
      </c>
      <c r="C56" s="1221" t="s">
        <v>453</v>
      </c>
      <c r="D56" s="845" t="s">
        <v>1550</v>
      </c>
      <c r="E56" s="846" t="s">
        <v>1551</v>
      </c>
      <c r="F56" s="847" t="s">
        <v>1552</v>
      </c>
      <c r="G56" s="848" t="s">
        <v>1553</v>
      </c>
      <c r="H56" s="849" t="s">
        <v>1554</v>
      </c>
      <c r="I56" s="848" t="s">
        <v>1555</v>
      </c>
      <c r="J56" s="849" t="s">
        <v>1556</v>
      </c>
      <c r="K56" s="848" t="s">
        <v>1557</v>
      </c>
      <c r="L56" s="849" t="s">
        <v>1558</v>
      </c>
      <c r="M56" s="848" t="s">
        <v>1559</v>
      </c>
      <c r="N56" s="849" t="s">
        <v>1560</v>
      </c>
      <c r="O56" s="848" t="s">
        <v>1561</v>
      </c>
      <c r="P56" s="849" t="s">
        <v>1562</v>
      </c>
      <c r="Q56" s="848" t="s">
        <v>1563</v>
      </c>
      <c r="R56" s="849" t="s">
        <v>1564</v>
      </c>
      <c r="S56" s="848" t="s">
        <v>1565</v>
      </c>
      <c r="T56" s="849" t="s">
        <v>1566</v>
      </c>
      <c r="U56" s="848" t="s">
        <v>1567</v>
      </c>
      <c r="V56" s="1209" t="s">
        <v>1568</v>
      </c>
      <c r="W56" s="1208" t="s">
        <v>1569</v>
      </c>
      <c r="X56" s="849" t="s">
        <v>1570</v>
      </c>
      <c r="Y56" s="848" t="s">
        <v>1571</v>
      </c>
      <c r="Z56" s="849" t="s">
        <v>1572</v>
      </c>
      <c r="AA56" s="848" t="s">
        <v>1573</v>
      </c>
      <c r="AB56" s="849" t="s">
        <v>1574</v>
      </c>
      <c r="AC56" s="1514" t="str">
        <f t="shared" si="64"/>
        <v xml:space="preserve">* El Nº de hombres de 'Pueblos Originarios' con riesgo de caída no debe ser mayor al Total hombres con riesgo de caída. * El Nº de mujeres de 'Pueblos Originarios' con riesgo de caída no debe ser mayor al Total mujeres con riesgo de caída. * El Nº de hombres de Pueblos Migrantes con riesgo de caída no debe ser mayor al Total hombres con riesgo de caída. * El Nº de mujeres de Pueblos Migrantes con riesgo de caída no debe ser mayor al Total mujeres con riesgo de caída. * La celda 'Personas Mayores en ELEAM / Hombres' debe ser menor o igual al Total de Hombres en control. * La celda 'Personas Mayores en ELEAM / Mujeres' debe ser menor o igual al Total de Mujeres en control. </v>
      </c>
      <c r="CB56" s="354"/>
      <c r="CC56" s="354"/>
      <c r="CD56" s="348" t="str">
        <f t="shared" ref="CD56:CD57" si="67">IF($E56&gt;=$W56,"","* El Nº de hombres de 'Pueblos Originarios' con riesgo de caída no debe ser mayor al Total hombres con riesgo de caída. ")</f>
        <v xml:space="preserve">* El Nº de hombres de 'Pueblos Originarios' con riesgo de caída no debe ser mayor al Total hombres con riesgo de caída. </v>
      </c>
      <c r="CE56" s="348" t="str">
        <f t="shared" ref="CE56:CE57" si="68">IF($F56&gt;=$X56,"","* El Nº de mujeres de 'Pueblos Originarios' con riesgo de caída no debe ser mayor al Total mujeres con riesgo de caída. ")</f>
        <v xml:space="preserve">* El Nº de mujeres de 'Pueblos Originarios' con riesgo de caída no debe ser mayor al Total mujeres con riesgo de caída. </v>
      </c>
      <c r="CF56" s="348" t="str">
        <f t="shared" ref="CF56:CF57" si="69">IF($E56&gt;=$Y56,"","* El Nº de hombres de Pueblos Migrantes con riesgo de caída no debe ser mayor al Total hombres con riesgo de caída. ")</f>
        <v xml:space="preserve">* El Nº de hombres de Pueblos Migrantes con riesgo de caída no debe ser mayor al Total hombres con riesgo de caída. </v>
      </c>
      <c r="CG56" s="348" t="str">
        <f t="shared" ref="CG56:CG57" si="70">IF($F56&gt;=$Z56,"","* El Nº de mujeres de Pueblos Migrantes con riesgo de caída no debe ser mayor al Total mujeres con riesgo de caída. ")</f>
        <v xml:space="preserve">* El Nº de mujeres de Pueblos Migrantes con riesgo de caída no debe ser mayor al Total mujeres con riesgo de caída. </v>
      </c>
      <c r="CH56" s="348" t="str">
        <f t="shared" ref="CH56:CH57" si="71">IF(AND(E56&lt;&gt;0,W56=""),"* No olvide escribir en la celda de 'Pueblos Originarios' (Digite CERO si no tiene). ",IF(AND(F56&lt;&gt;0,X56=""),"* No olvide escribir en la celda de 'Pueblos Originarios' (Digite CERO si no tiene). ",""))</f>
        <v/>
      </c>
      <c r="CI56" s="348" t="str">
        <f t="shared" ref="CI56:CI57" si="72">IF(AND(E56&lt;&gt;0,Y56=""),"* No olvide escribir en la celda de 'Población Migrantes' (Digite CERO si no tiene). ",IF(AND(F56&lt;&gt;0,Z56=""),"* No olvide escribir en la celda de 'Población Migrantes' (Digite CERO si no tiene). ",""))</f>
        <v/>
      </c>
      <c r="CJ56" s="348" t="str">
        <f t="shared" si="61"/>
        <v xml:space="preserve">* La celda 'Personas Mayores en ELEAM / Hombres' debe ser menor o igual al Total de Hombres en control. </v>
      </c>
      <c r="CK56" s="348" t="str">
        <f t="shared" si="62"/>
        <v xml:space="preserve">* La celda 'Personas Mayores en ELEAM / Mujeres' debe ser menor o igual al Total de Mujeres en control. </v>
      </c>
      <c r="CL56" s="348" t="str">
        <f t="shared" si="63"/>
        <v/>
      </c>
      <c r="CM56" s="354"/>
      <c r="CN56" s="354"/>
      <c r="CO56" s="358">
        <f t="shared" ref="CO56:CO57" si="73">IF($E56&gt;=$W56,0,1)</f>
        <v>1</v>
      </c>
      <c r="CP56" s="358">
        <f t="shared" ref="CP56:CP57" si="74">IF($F56&gt;=$X56,0,1)</f>
        <v>1</v>
      </c>
      <c r="CQ56" s="358">
        <f t="shared" ref="CQ56:CQ57" si="75">IF($E56&gt;=$Y56,0,1)</f>
        <v>1</v>
      </c>
      <c r="CR56" s="358">
        <f t="shared" ref="CR56:CR57" si="76">IF($F56&gt;=$Z56,0,1)</f>
        <v>1</v>
      </c>
      <c r="CS56" s="358">
        <f t="shared" ref="CS56:CS57" si="77">IF(AND(E56&lt;&gt;0,W56=""),1,IF(AND(F56&lt;&gt;0,X56=""),1,0))</f>
        <v>0</v>
      </c>
      <c r="CT56" s="358">
        <f t="shared" ref="CT56:CT57" si="78">IF(AND(E56&lt;&gt;0,Y56=""),1,IF(AND(F56&lt;&gt;0,Z56=""),1,0))</f>
        <v>0</v>
      </c>
      <c r="CU56" s="358">
        <f t="shared" ref="CU56:CU57" si="79">IF($E56&gt;=$AA56,0,1)</f>
        <v>1</v>
      </c>
      <c r="CV56" s="358">
        <f t="shared" ref="CV56:CV57" si="80">IF($F56&gt;=$AB56,0,1)</f>
        <v>1</v>
      </c>
      <c r="CW56" s="358">
        <f t="shared" ref="CW56:CW57" si="81">IF(AND(E56&lt;&gt;0,AA56=""),1,IF(AND(F56&lt;&gt;0,AB56=""),1,0))</f>
        <v>0</v>
      </c>
      <c r="CX56" s="358"/>
    </row>
    <row r="57" spans="1:102" ht="23.25" customHeight="1" x14ac:dyDescent="0.3">
      <c r="A57" s="1637" t="s">
        <v>1275</v>
      </c>
      <c r="B57" s="1865"/>
      <c r="C57" s="1220" t="s">
        <v>418</v>
      </c>
      <c r="D57" s="850" t="s">
        <v>1550</v>
      </c>
      <c r="E57" s="851" t="s">
        <v>1551</v>
      </c>
      <c r="F57" s="852" t="s">
        <v>1552</v>
      </c>
      <c r="G57" s="795" t="s">
        <v>1553</v>
      </c>
      <c r="H57" s="796" t="s">
        <v>1554</v>
      </c>
      <c r="I57" s="795" t="s">
        <v>1555</v>
      </c>
      <c r="J57" s="796" t="s">
        <v>1556</v>
      </c>
      <c r="K57" s="795" t="s">
        <v>1557</v>
      </c>
      <c r="L57" s="796" t="s">
        <v>1558</v>
      </c>
      <c r="M57" s="795" t="s">
        <v>1559</v>
      </c>
      <c r="N57" s="796" t="s">
        <v>1560</v>
      </c>
      <c r="O57" s="795" t="s">
        <v>1561</v>
      </c>
      <c r="P57" s="796" t="s">
        <v>1562</v>
      </c>
      <c r="Q57" s="795" t="s">
        <v>1563</v>
      </c>
      <c r="R57" s="796" t="s">
        <v>1564</v>
      </c>
      <c r="S57" s="795" t="s">
        <v>1565</v>
      </c>
      <c r="T57" s="796" t="s">
        <v>1566</v>
      </c>
      <c r="U57" s="795" t="s">
        <v>1567</v>
      </c>
      <c r="V57" s="799" t="s">
        <v>1568</v>
      </c>
      <c r="W57" s="800" t="s">
        <v>1569</v>
      </c>
      <c r="X57" s="796" t="s">
        <v>1570</v>
      </c>
      <c r="Y57" s="795" t="s">
        <v>1571</v>
      </c>
      <c r="Z57" s="796" t="s">
        <v>1572</v>
      </c>
      <c r="AA57" s="795" t="s">
        <v>1573</v>
      </c>
      <c r="AB57" s="796" t="s">
        <v>1574</v>
      </c>
      <c r="AC57" s="1514" t="str">
        <f t="shared" si="64"/>
        <v xml:space="preserve">* El Nº de hombres de 'Pueblos Originarios' con riesgo de caída no debe ser mayor al Total hombres con riesgo de caída. * El Nº de mujeres de 'Pueblos Originarios' con riesgo de caída no debe ser mayor al Total mujeres con riesgo de caída. * El Nº de hombres de Pueblos Migrantes con riesgo de caída no debe ser mayor al Total hombres con riesgo de caída. * El Nº de mujeres de Pueblos Migrantes con riesgo de caída no debe ser mayor al Total mujeres con riesgo de caída. * La celda 'Personas Mayores en ELEAM / Hombres' debe ser menor o igual al Total de Hombres en control. * La celda 'Personas Mayores en ELEAM / Mujeres' debe ser menor o igual al Total de Mujeres en control. </v>
      </c>
      <c r="CB57" s="354"/>
      <c r="CC57" s="354"/>
      <c r="CD57" s="348" t="str">
        <f t="shared" si="67"/>
        <v xml:space="preserve">* El Nº de hombres de 'Pueblos Originarios' con riesgo de caída no debe ser mayor al Total hombres con riesgo de caída. </v>
      </c>
      <c r="CE57" s="348" t="str">
        <f t="shared" si="68"/>
        <v xml:space="preserve">* El Nº de mujeres de 'Pueblos Originarios' con riesgo de caída no debe ser mayor al Total mujeres con riesgo de caída. </v>
      </c>
      <c r="CF57" s="348" t="str">
        <f t="shared" si="69"/>
        <v xml:space="preserve">* El Nº de hombres de Pueblos Migrantes con riesgo de caída no debe ser mayor al Total hombres con riesgo de caída. </v>
      </c>
      <c r="CG57" s="348" t="str">
        <f t="shared" si="70"/>
        <v xml:space="preserve">* El Nº de mujeres de Pueblos Migrantes con riesgo de caída no debe ser mayor al Total mujeres con riesgo de caída. </v>
      </c>
      <c r="CH57" s="348" t="str">
        <f t="shared" si="71"/>
        <v/>
      </c>
      <c r="CI57" s="348" t="str">
        <f t="shared" si="72"/>
        <v/>
      </c>
      <c r="CJ57" s="348" t="str">
        <f t="shared" si="61"/>
        <v xml:space="preserve">* La celda 'Personas Mayores en ELEAM / Hombres' debe ser menor o igual al Total de Hombres en control. </v>
      </c>
      <c r="CK57" s="348" t="str">
        <f t="shared" si="62"/>
        <v xml:space="preserve">* La celda 'Personas Mayores en ELEAM / Mujeres' debe ser menor o igual al Total de Mujeres en control. </v>
      </c>
      <c r="CL57" s="348" t="str">
        <f t="shared" si="63"/>
        <v/>
      </c>
      <c r="CM57" s="354"/>
      <c r="CN57" s="354"/>
      <c r="CO57" s="358">
        <f t="shared" si="73"/>
        <v>1</v>
      </c>
      <c r="CP57" s="358">
        <f t="shared" si="74"/>
        <v>1</v>
      </c>
      <c r="CQ57" s="358">
        <f t="shared" si="75"/>
        <v>1</v>
      </c>
      <c r="CR57" s="358">
        <f t="shared" si="76"/>
        <v>1</v>
      </c>
      <c r="CS57" s="358">
        <f t="shared" si="77"/>
        <v>0</v>
      </c>
      <c r="CT57" s="358">
        <f t="shared" si="78"/>
        <v>0</v>
      </c>
      <c r="CU57" s="358">
        <f t="shared" si="79"/>
        <v>1</v>
      </c>
      <c r="CV57" s="358">
        <f t="shared" si="80"/>
        <v>1</v>
      </c>
      <c r="CW57" s="358">
        <f t="shared" si="81"/>
        <v>0</v>
      </c>
      <c r="CX57" s="358"/>
    </row>
    <row r="59" spans="1:102" ht="12.75" customHeight="1" x14ac:dyDescent="0.3"/>
    <row r="81" spans="2:52" ht="14.4" hidden="1" customHeight="1" x14ac:dyDescent="0.2">
      <c r="B81" s="1181">
        <f>SUM(D12:D21, D26:D28,D34:D37,D43:D43,D48:D48,D53:D57)</f>
        <v>0</v>
      </c>
      <c r="C81" s="348" t="s">
        <v>317</v>
      </c>
      <c r="AC81" s="175"/>
      <c r="AD81" s="175"/>
      <c r="AE81" s="175"/>
      <c r="AF81" s="175"/>
      <c r="AG81" s="175"/>
      <c r="AH81" s="175"/>
      <c r="AI81" s="175"/>
      <c r="AJ81" s="175"/>
      <c r="AK81" s="175"/>
      <c r="AL81" s="175"/>
      <c r="AM81" s="175"/>
      <c r="AN81" s="175"/>
      <c r="AO81" s="175"/>
      <c r="AP81" s="175"/>
      <c r="AQ81" s="175"/>
      <c r="AR81" s="175"/>
      <c r="AS81" s="175"/>
      <c r="AT81" s="175"/>
      <c r="AU81" s="175"/>
      <c r="AV81" s="175"/>
      <c r="AW81" s="175"/>
      <c r="AX81" s="175"/>
      <c r="AY81" s="175"/>
      <c r="AZ81" s="175"/>
    </row>
    <row r="82" spans="2:52" ht="14.4" hidden="1" customHeight="1" x14ac:dyDescent="0.2">
      <c r="B82" s="1181">
        <f>SUM(CO12:CX57)</f>
        <v>122</v>
      </c>
      <c r="C82" s="348" t="s">
        <v>318</v>
      </c>
      <c r="AC82" s="175"/>
      <c r="AD82" s="175"/>
      <c r="AE82" s="175"/>
      <c r="AF82" s="175"/>
      <c r="AG82" s="175"/>
      <c r="AH82" s="175"/>
      <c r="AI82" s="175"/>
      <c r="AJ82" s="175"/>
      <c r="AK82" s="175"/>
      <c r="AL82" s="175"/>
      <c r="AM82" s="175"/>
      <c r="AN82" s="175"/>
      <c r="AO82" s="175"/>
      <c r="AP82" s="175"/>
      <c r="AQ82" s="175"/>
      <c r="AR82" s="175"/>
      <c r="AS82" s="175"/>
      <c r="AT82" s="175"/>
      <c r="AU82" s="175"/>
      <c r="AV82" s="175"/>
      <c r="AW82" s="175"/>
      <c r="AX82" s="175"/>
      <c r="AY82" s="175"/>
      <c r="AZ82" s="175"/>
    </row>
  </sheetData>
  <mergeCells count="123">
    <mergeCell ref="CO31:CP32"/>
    <mergeCell ref="CU31:CV32"/>
    <mergeCell ref="CW31:CW32"/>
    <mergeCell ref="CD31:CE32"/>
    <mergeCell ref="CF31:CG32"/>
    <mergeCell ref="CH31:CH32"/>
    <mergeCell ref="CI31:CI32"/>
    <mergeCell ref="CQ31:CR32"/>
    <mergeCell ref="CS31:CS32"/>
    <mergeCell ref="CT31:CT32"/>
    <mergeCell ref="G10:H10"/>
    <mergeCell ref="I10:J10"/>
    <mergeCell ref="K10:L10"/>
    <mergeCell ref="U10:V10"/>
    <mergeCell ref="AA9:AB10"/>
    <mergeCell ref="AA50:AB51"/>
    <mergeCell ref="W50:X51"/>
    <mergeCell ref="Y50:Z51"/>
    <mergeCell ref="Q41:R41"/>
    <mergeCell ref="S41:T41"/>
    <mergeCell ref="U41:V41"/>
    <mergeCell ref="W40:X41"/>
    <mergeCell ref="Y40:Z41"/>
    <mergeCell ref="W45:X46"/>
    <mergeCell ref="Y45:Z46"/>
    <mergeCell ref="AA40:AB41"/>
    <mergeCell ref="AA45:AB46"/>
    <mergeCell ref="Y23:Z24"/>
    <mergeCell ref="W9:X10"/>
    <mergeCell ref="Y9:Z10"/>
    <mergeCell ref="F7:S7"/>
    <mergeCell ref="B50:B52"/>
    <mergeCell ref="G46:H46"/>
    <mergeCell ref="G51:H51"/>
    <mergeCell ref="K51:L51"/>
    <mergeCell ref="K46:L46"/>
    <mergeCell ref="M46:N46"/>
    <mergeCell ref="I51:J51"/>
    <mergeCell ref="M41:N41"/>
    <mergeCell ref="D45:F46"/>
    <mergeCell ref="B40:C42"/>
    <mergeCell ref="I41:J41"/>
    <mergeCell ref="D9:F10"/>
    <mergeCell ref="O41:P41"/>
    <mergeCell ref="O10:P10"/>
    <mergeCell ref="M10:N10"/>
    <mergeCell ref="Q10:R10"/>
    <mergeCell ref="S10:T10"/>
    <mergeCell ref="Q24:R24"/>
    <mergeCell ref="D40:F41"/>
    <mergeCell ref="B39:H39"/>
    <mergeCell ref="B48:C48"/>
    <mergeCell ref="G41:H41"/>
    <mergeCell ref="B43:C43"/>
    <mergeCell ref="B45:C47"/>
    <mergeCell ref="B56:B57"/>
    <mergeCell ref="D50:F51"/>
    <mergeCell ref="B53:B55"/>
    <mergeCell ref="B49:J49"/>
    <mergeCell ref="B44:I44"/>
    <mergeCell ref="I46:J46"/>
    <mergeCell ref="G40:V40"/>
    <mergeCell ref="Q51:R51"/>
    <mergeCell ref="S51:T51"/>
    <mergeCell ref="U51:V51"/>
    <mergeCell ref="M51:N51"/>
    <mergeCell ref="G50:V50"/>
    <mergeCell ref="C50:C52"/>
    <mergeCell ref="O51:P51"/>
    <mergeCell ref="O46:P46"/>
    <mergeCell ref="Q46:R46"/>
    <mergeCell ref="S46:T46"/>
    <mergeCell ref="U46:V46"/>
    <mergeCell ref="G45:V45"/>
    <mergeCell ref="K41:L41"/>
    <mergeCell ref="B37:C37"/>
    <mergeCell ref="B38:C38"/>
    <mergeCell ref="Y31:Z32"/>
    <mergeCell ref="W31:X32"/>
    <mergeCell ref="O32:P32"/>
    <mergeCell ref="G24:H24"/>
    <mergeCell ref="U32:V32"/>
    <mergeCell ref="I32:J32"/>
    <mergeCell ref="D31:F32"/>
    <mergeCell ref="B31:C33"/>
    <mergeCell ref="D23:F24"/>
    <mergeCell ref="K32:L32"/>
    <mergeCell ref="M32:N32"/>
    <mergeCell ref="Q32:R32"/>
    <mergeCell ref="S32:T32"/>
    <mergeCell ref="G31:V31"/>
    <mergeCell ref="G32:H32"/>
    <mergeCell ref="B34:C34"/>
    <mergeCell ref="B23:C25"/>
    <mergeCell ref="B26:C26"/>
    <mergeCell ref="B27:C27"/>
    <mergeCell ref="B28:C28"/>
    <mergeCell ref="B29:C29"/>
    <mergeCell ref="S24:T24"/>
    <mergeCell ref="CJ8:CK8"/>
    <mergeCell ref="B20:C20"/>
    <mergeCell ref="B21:C21"/>
    <mergeCell ref="B35:C35"/>
    <mergeCell ref="B36:C36"/>
    <mergeCell ref="B9:C11"/>
    <mergeCell ref="B12:C12"/>
    <mergeCell ref="B13:C13"/>
    <mergeCell ref="B14:C14"/>
    <mergeCell ref="B15:C15"/>
    <mergeCell ref="B16:C16"/>
    <mergeCell ref="B17:C17"/>
    <mergeCell ref="B18:C18"/>
    <mergeCell ref="B19:C19"/>
    <mergeCell ref="U24:V24"/>
    <mergeCell ref="W24:X24"/>
    <mergeCell ref="AA31:AB32"/>
    <mergeCell ref="G23:X23"/>
    <mergeCell ref="G9:V9"/>
    <mergeCell ref="AA23:AB24"/>
    <mergeCell ref="I24:J24"/>
    <mergeCell ref="K24:L24"/>
    <mergeCell ref="M24:N24"/>
    <mergeCell ref="O24:P24"/>
  </mergeCells>
  <phoneticPr fontId="26" type="noConversion"/>
  <dataValidations count="3">
    <dataValidation type="whole" allowBlank="1" showInputMessage="1" showErrorMessage="1" sqref="G26:G28" xr:uid="{00000000-0002-0000-0500-000000000000}">
      <formula1>0</formula1>
      <formula2>1E+51</formula2>
    </dataValidation>
    <dataValidation allowBlank="1" showInputMessage="1" showErrorMessage="1" errorTitle=" Error de ingreso" error="Debe ingresar sólo números enteros positivos." sqref="BD15:BN15 BD20:BN20 BD29:BM29 BD38:BM38 BD43:BM43 BD48:BM48 BD53:BM53" xr:uid="{00000000-0002-0000-0500-000001000000}"/>
    <dataValidation type="whole" operator="greaterThanOrEqual" allowBlank="1" showInputMessage="1" showErrorMessage="1" sqref="G53:AB57 G16:AB19 H26:AB28 G34:AB37 G43:AB43 G48:AB48 G12:AB14" xr:uid="{00000000-0002-0000-0500-000003000000}">
      <formula1>0</formula1>
    </dataValidation>
  </dataValidations>
  <pageMargins left="0.70866141732283472" right="0.70866141732283472" top="0.74803149606299213" bottom="0.74803149606299213" header="0.31496062992125984" footer="0.31496062992125984"/>
  <pageSetup scale="63" orientation="landscape" r:id="rId1"/>
  <rowBreaks count="1" manualBreakCount="1">
    <brk id="43" min="1" max="16" man="1"/>
  </row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IB146"/>
  <sheetViews>
    <sheetView showGridLines="0" zoomScale="90" zoomScaleNormal="90" workbookViewId="0"/>
  </sheetViews>
  <sheetFormatPr baseColWidth="10" defaultColWidth="11.44140625" defaultRowHeight="14.4" x14ac:dyDescent="0.3"/>
  <cols>
    <col min="1" max="1" width="16.33203125" style="175" customWidth="1"/>
    <col min="2" max="2" width="32.44140625" style="175" customWidth="1"/>
    <col min="3" max="3" width="58.88671875" style="175" customWidth="1"/>
    <col min="4" max="4" width="13.88671875" style="175" customWidth="1"/>
    <col min="5" max="46" width="10.44140625" style="175" customWidth="1"/>
    <col min="47" max="47" width="14.88671875" style="175" customWidth="1"/>
    <col min="48" max="48" width="12.44140625" style="175" customWidth="1"/>
    <col min="49" max="53" width="11.44140625" style="175"/>
    <col min="54" max="55" width="11" style="175" customWidth="1"/>
    <col min="56" max="79" width="11.44140625" style="960"/>
    <col min="80" max="80" width="11.44140625" style="960" customWidth="1"/>
    <col min="81" max="98" width="11" style="175" hidden="1" customWidth="1"/>
    <col min="99" max="101" width="11" style="960" hidden="1" customWidth="1"/>
    <col min="102" max="118" width="11" style="175" hidden="1" customWidth="1"/>
    <col min="119" max="121" width="11" style="960" hidden="1" customWidth="1"/>
    <col min="122" max="124" width="11" style="175" hidden="1" customWidth="1"/>
    <col min="125" max="127" width="11.44140625" style="175" hidden="1" customWidth="1"/>
    <col min="128" max="133" width="11.44140625" style="175" customWidth="1"/>
    <col min="134" max="16384" width="11.44140625" style="175"/>
  </cols>
  <sheetData>
    <row r="1" spans="1:128" s="55" customFormat="1" ht="13.5" customHeight="1" x14ac:dyDescent="0.2">
      <c r="B1" s="120" t="s">
        <v>0</v>
      </c>
    </row>
    <row r="2" spans="1:128" s="55" customFormat="1" ht="13.5" customHeight="1" x14ac:dyDescent="0.2">
      <c r="B2" s="120" t="str">
        <f>CONCATENATE("COMUNA: ",NOMBRE!$B$2," - ","( ",NOMBRE!$C$2,NOMBRE!$D$2,NOMBRE!$E$2,NOMBRE!$F$2,NOMBRE!$G$2," )")</f>
        <v>COMUNA:  - (  )</v>
      </c>
    </row>
    <row r="3" spans="1:128" s="55" customFormat="1" ht="13.5" customHeight="1" x14ac:dyDescent="0.2">
      <c r="B3" s="120" t="str">
        <f>CONCATENATE("ESTABLECIMIENTO/ESTRATEGIA: ",NOMBRE!$B$3," - ","( ",NOMBRE!$C$3,NOMBRE!$D$3,NOMBRE!$E$3,NOMBRE!$F$3,NOMBRE!$G$3,NOMBRE!$H$3," )")</f>
        <v>ESTABLECIMIENTO/ESTRATEGIA:  - (  )</v>
      </c>
      <c r="D3" s="121"/>
    </row>
    <row r="4" spans="1:128" s="55" customFormat="1" ht="13.5" customHeight="1" x14ac:dyDescent="0.2">
      <c r="B4" s="120" t="str">
        <f>CONCATENATE("MES: ",NOMBRE!$B$6," - ","( ",NOMBRE!$C$6,NOMBRE!$D$6," )")</f>
        <v>MES:  - (  )</v>
      </c>
    </row>
    <row r="5" spans="1:128" s="55" customFormat="1" ht="13.5" customHeight="1" x14ac:dyDescent="0.2">
      <c r="B5" s="120" t="str">
        <f>CONCATENATE("AÑO: ",NOMBRE!$B$7)</f>
        <v>AÑO: 2023</v>
      </c>
    </row>
    <row r="6" spans="1:128" s="55" customFormat="1" ht="15" customHeight="1" x14ac:dyDescent="0.2">
      <c r="B6" s="120"/>
    </row>
    <row r="7" spans="1:128" ht="21.75" customHeight="1" x14ac:dyDescent="0.3">
      <c r="B7" s="2334" t="s">
        <v>512</v>
      </c>
      <c r="C7" s="2334"/>
      <c r="D7" s="2334"/>
      <c r="E7" s="2334"/>
      <c r="F7" s="2334"/>
      <c r="G7" s="2334"/>
      <c r="H7" s="2334"/>
      <c r="I7" s="2334"/>
      <c r="J7" s="2334"/>
      <c r="K7" s="2334"/>
      <c r="L7" s="2334"/>
      <c r="M7" s="2334"/>
      <c r="N7" s="2334"/>
      <c r="O7" s="2334"/>
      <c r="P7" s="2334"/>
      <c r="Q7" s="2334"/>
      <c r="R7" s="2334"/>
      <c r="S7" s="2334"/>
      <c r="T7" s="2334"/>
      <c r="U7" s="2334"/>
      <c r="V7" s="2334"/>
    </row>
    <row r="8" spans="1:128" ht="43.5" customHeight="1" x14ac:dyDescent="0.3">
      <c r="B8" s="969" t="s">
        <v>203</v>
      </c>
      <c r="C8" s="447"/>
      <c r="D8" s="447"/>
      <c r="E8" s="447"/>
      <c r="F8" s="447"/>
      <c r="G8" s="447"/>
      <c r="H8" s="447"/>
      <c r="I8" s="447"/>
      <c r="J8" s="447"/>
      <c r="K8" s="447"/>
      <c r="L8" s="447"/>
      <c r="M8" s="447"/>
      <c r="N8" s="447"/>
      <c r="O8" s="447"/>
      <c r="P8" s="447"/>
      <c r="Q8" s="447"/>
      <c r="R8" s="447"/>
      <c r="S8" s="447"/>
      <c r="T8" s="447"/>
      <c r="U8" s="447"/>
      <c r="V8" s="447"/>
    </row>
    <row r="9" spans="1:128" ht="22.5" customHeight="1" x14ac:dyDescent="0.3">
      <c r="B9" s="2342" t="s">
        <v>204</v>
      </c>
      <c r="C9" s="2342"/>
      <c r="D9" s="2342"/>
      <c r="E9" s="2342"/>
      <c r="F9" s="2342"/>
      <c r="G9" s="2342"/>
      <c r="H9" s="2342"/>
      <c r="I9" s="2335"/>
      <c r="J9" s="2335"/>
      <c r="K9" s="2335"/>
      <c r="L9" s="2335"/>
      <c r="M9" s="2335"/>
      <c r="N9" s="2335"/>
      <c r="O9" s="2335"/>
      <c r="P9" s="2335"/>
      <c r="Q9" s="2064"/>
      <c r="R9" s="2064"/>
      <c r="S9" s="2064"/>
      <c r="T9" s="2064"/>
      <c r="U9" s="2064"/>
      <c r="V9" s="2064"/>
      <c r="W9" s="2064"/>
      <c r="X9" s="2064"/>
      <c r="Y9" s="2064"/>
      <c r="Z9" s="2064"/>
      <c r="AA9" s="2064"/>
      <c r="AB9" s="2064"/>
      <c r="AC9" s="2064"/>
      <c r="AD9" s="2064"/>
      <c r="AE9" s="2064"/>
      <c r="AF9" s="2064"/>
      <c r="AG9" s="2064"/>
      <c r="AH9" s="2064"/>
      <c r="AI9" s="2064"/>
      <c r="AJ9" s="2064"/>
      <c r="AK9" s="2064"/>
      <c r="AL9" s="2064"/>
      <c r="AM9" s="2064"/>
      <c r="AN9" s="2064"/>
    </row>
    <row r="10" spans="1:128" ht="15" customHeight="1" x14ac:dyDescent="0.3">
      <c r="B10" s="2336" t="s">
        <v>151</v>
      </c>
      <c r="C10" s="2337"/>
      <c r="D10" s="2107" t="s">
        <v>104</v>
      </c>
      <c r="E10" s="2107"/>
      <c r="F10" s="2107"/>
      <c r="G10" s="2107" t="s">
        <v>14</v>
      </c>
      <c r="H10" s="2107"/>
      <c r="I10" s="2107"/>
      <c r="J10" s="2107"/>
      <c r="K10" s="2107"/>
      <c r="L10" s="2107"/>
      <c r="M10" s="2107"/>
      <c r="N10" s="2107"/>
      <c r="O10" s="2107"/>
      <c r="P10" s="2107"/>
      <c r="Q10" s="2107"/>
      <c r="R10" s="2107"/>
      <c r="S10" s="2107"/>
      <c r="T10" s="2107"/>
      <c r="U10" s="2107"/>
      <c r="V10" s="2107"/>
      <c r="W10" s="2107"/>
      <c r="X10" s="2107"/>
      <c r="Y10" s="2107"/>
      <c r="Z10" s="2107"/>
      <c r="AA10" s="2107"/>
      <c r="AB10" s="2107"/>
      <c r="AC10" s="2107"/>
      <c r="AD10" s="2107"/>
      <c r="AE10" s="2107"/>
      <c r="AF10" s="2107"/>
      <c r="AG10" s="2107"/>
      <c r="AH10" s="2107"/>
      <c r="AI10" s="2107"/>
      <c r="AJ10" s="2107"/>
      <c r="AK10" s="2107"/>
      <c r="AL10" s="2107"/>
      <c r="AM10" s="2107"/>
      <c r="AN10" s="2100"/>
      <c r="AO10" s="2321" t="s">
        <v>205</v>
      </c>
      <c r="AP10" s="2314" t="s">
        <v>356</v>
      </c>
      <c r="AQ10" s="2063" t="s">
        <v>15</v>
      </c>
      <c r="AR10" s="2053"/>
      <c r="AS10" s="2063" t="s">
        <v>804</v>
      </c>
      <c r="AT10" s="2053"/>
      <c r="AU10" s="2318" t="s">
        <v>715</v>
      </c>
      <c r="AV10" s="2318" t="s">
        <v>686</v>
      </c>
      <c r="AW10" s="2318" t="s">
        <v>570</v>
      </c>
      <c r="AX10" s="2317" t="s">
        <v>819</v>
      </c>
      <c r="AY10" s="2318"/>
      <c r="DO10" s="175"/>
      <c r="DR10" s="960"/>
      <c r="DS10" s="960"/>
    </row>
    <row r="11" spans="1:128" s="57" customFormat="1" ht="30.75" customHeight="1" x14ac:dyDescent="0.3">
      <c r="B11" s="2338"/>
      <c r="C11" s="2339"/>
      <c r="D11" s="2107"/>
      <c r="E11" s="2107"/>
      <c r="F11" s="2107"/>
      <c r="G11" s="2113" t="s">
        <v>206</v>
      </c>
      <c r="H11" s="2100"/>
      <c r="I11" s="2107" t="s">
        <v>207</v>
      </c>
      <c r="J11" s="2100"/>
      <c r="K11" s="2114" t="s">
        <v>128</v>
      </c>
      <c r="L11" s="2115"/>
      <c r="M11" s="2114" t="s">
        <v>17</v>
      </c>
      <c r="N11" s="2115"/>
      <c r="O11" s="2114" t="s">
        <v>18</v>
      </c>
      <c r="P11" s="2115"/>
      <c r="Q11" s="2114" t="s">
        <v>19</v>
      </c>
      <c r="R11" s="2115"/>
      <c r="S11" s="2114" t="s">
        <v>20</v>
      </c>
      <c r="T11" s="2115"/>
      <c r="U11" s="2114" t="s">
        <v>21</v>
      </c>
      <c r="V11" s="2115"/>
      <c r="W11" s="2114" t="s">
        <v>22</v>
      </c>
      <c r="X11" s="2115"/>
      <c r="Y11" s="2114" t="s">
        <v>23</v>
      </c>
      <c r="Z11" s="2115"/>
      <c r="AA11" s="2114" t="s">
        <v>24</v>
      </c>
      <c r="AB11" s="2115"/>
      <c r="AC11" s="2114" t="s">
        <v>208</v>
      </c>
      <c r="AD11" s="2115"/>
      <c r="AE11" s="2114" t="s">
        <v>209</v>
      </c>
      <c r="AF11" s="2115"/>
      <c r="AG11" s="2117" t="s">
        <v>181</v>
      </c>
      <c r="AH11" s="2118"/>
      <c r="AI11" s="2117" t="s">
        <v>182</v>
      </c>
      <c r="AJ11" s="2118"/>
      <c r="AK11" s="2117" t="s">
        <v>183</v>
      </c>
      <c r="AL11" s="2118"/>
      <c r="AM11" s="2330" t="s">
        <v>195</v>
      </c>
      <c r="AN11" s="2331"/>
      <c r="AO11" s="2322"/>
      <c r="AP11" s="2315"/>
      <c r="AQ11" s="2064"/>
      <c r="AR11" s="2055"/>
      <c r="AS11" s="2064"/>
      <c r="AT11" s="2055"/>
      <c r="AU11" s="2324"/>
      <c r="AV11" s="2324"/>
      <c r="AW11" s="2324"/>
      <c r="AX11" s="2319"/>
      <c r="AY11" s="2320"/>
      <c r="AZ11" s="175"/>
      <c r="BA11" s="175"/>
      <c r="BB11" s="175"/>
      <c r="BC11" s="175"/>
      <c r="CC11" s="1434" t="s">
        <v>205</v>
      </c>
      <c r="CD11" s="1434" t="s">
        <v>568</v>
      </c>
      <c r="CE11" s="2312" t="s">
        <v>538</v>
      </c>
      <c r="CF11" s="2313"/>
      <c r="CG11" s="2312" t="s">
        <v>539</v>
      </c>
      <c r="CH11" s="2313"/>
      <c r="CI11" s="2305" t="s">
        <v>541</v>
      </c>
      <c r="CJ11" s="2305" t="s">
        <v>872</v>
      </c>
      <c r="CK11" s="1425" t="s">
        <v>570</v>
      </c>
      <c r="CL11" s="2312" t="s">
        <v>873</v>
      </c>
      <c r="CM11" s="2313"/>
      <c r="CN11" s="354"/>
      <c r="CO11" s="1453" t="s">
        <v>205</v>
      </c>
      <c r="CP11" s="1453" t="s">
        <v>568</v>
      </c>
      <c r="CQ11" s="2308" t="s">
        <v>538</v>
      </c>
      <c r="CR11" s="2309"/>
      <c r="CS11" s="2308" t="s">
        <v>539</v>
      </c>
      <c r="CT11" s="2309"/>
      <c r="CU11" s="1613" t="s">
        <v>715</v>
      </c>
      <c r="CV11" s="1613" t="s">
        <v>686</v>
      </c>
      <c r="CW11" s="1613" t="s">
        <v>570</v>
      </c>
      <c r="CX11" s="175"/>
      <c r="CY11" s="175"/>
      <c r="CZ11" s="336"/>
      <c r="DA11" s="336"/>
      <c r="DB11" s="1611" t="s">
        <v>205</v>
      </c>
      <c r="DC11" s="1611" t="s">
        <v>568</v>
      </c>
      <c r="DD11" s="1614" t="s">
        <v>538</v>
      </c>
      <c r="DE11" s="1614" t="s">
        <v>538</v>
      </c>
      <c r="DF11" s="1614" t="s">
        <v>539</v>
      </c>
      <c r="DG11" s="1614" t="s">
        <v>539</v>
      </c>
      <c r="DH11" s="1611" t="s">
        <v>541</v>
      </c>
      <c r="DI11" s="1611" t="s">
        <v>872</v>
      </c>
      <c r="DJ11" s="2310" t="s">
        <v>570</v>
      </c>
      <c r="DK11" s="175"/>
      <c r="DL11" s="1614" t="s">
        <v>249</v>
      </c>
      <c r="DM11" s="1614" t="s">
        <v>249</v>
      </c>
      <c r="DN11" s="336"/>
      <c r="DO11" s="1614" t="s">
        <v>205</v>
      </c>
      <c r="DP11" s="1614" t="s">
        <v>890</v>
      </c>
      <c r="DQ11" s="1614" t="s">
        <v>538</v>
      </c>
      <c r="DR11" s="1614" t="s">
        <v>538</v>
      </c>
      <c r="DS11" s="1614" t="s">
        <v>539</v>
      </c>
      <c r="DT11" s="1614" t="s">
        <v>539</v>
      </c>
      <c r="DU11" s="2310" t="s">
        <v>541</v>
      </c>
      <c r="DV11" s="2310" t="s">
        <v>872</v>
      </c>
      <c r="DW11" s="2310" t="s">
        <v>570</v>
      </c>
      <c r="DX11" s="960"/>
    </row>
    <row r="12" spans="1:128" s="57" customFormat="1" ht="27" customHeight="1" x14ac:dyDescent="0.3">
      <c r="B12" s="2340"/>
      <c r="C12" s="2341"/>
      <c r="D12" s="176" t="s">
        <v>93</v>
      </c>
      <c r="E12" s="361" t="s">
        <v>31</v>
      </c>
      <c r="F12" s="357" t="s">
        <v>94</v>
      </c>
      <c r="G12" s="356" t="s">
        <v>31</v>
      </c>
      <c r="H12" s="357" t="s">
        <v>94</v>
      </c>
      <c r="I12" s="356" t="s">
        <v>31</v>
      </c>
      <c r="J12" s="357" t="s">
        <v>94</v>
      </c>
      <c r="K12" s="356" t="s">
        <v>31</v>
      </c>
      <c r="L12" s="357" t="s">
        <v>94</v>
      </c>
      <c r="M12" s="356" t="s">
        <v>31</v>
      </c>
      <c r="N12" s="357" t="s">
        <v>94</v>
      </c>
      <c r="O12" s="356" t="s">
        <v>31</v>
      </c>
      <c r="P12" s="357" t="s">
        <v>94</v>
      </c>
      <c r="Q12" s="356" t="s">
        <v>31</v>
      </c>
      <c r="R12" s="357" t="s">
        <v>94</v>
      </c>
      <c r="S12" s="356" t="s">
        <v>31</v>
      </c>
      <c r="T12" s="357" t="s">
        <v>94</v>
      </c>
      <c r="U12" s="356" t="s">
        <v>31</v>
      </c>
      <c r="V12" s="357" t="s">
        <v>94</v>
      </c>
      <c r="W12" s="356" t="s">
        <v>31</v>
      </c>
      <c r="X12" s="357" t="s">
        <v>94</v>
      </c>
      <c r="Y12" s="356" t="s">
        <v>31</v>
      </c>
      <c r="Z12" s="357" t="s">
        <v>94</v>
      </c>
      <c r="AA12" s="356" t="s">
        <v>31</v>
      </c>
      <c r="AB12" s="357" t="s">
        <v>94</v>
      </c>
      <c r="AC12" s="356" t="s">
        <v>31</v>
      </c>
      <c r="AD12" s="357" t="s">
        <v>94</v>
      </c>
      <c r="AE12" s="356" t="s">
        <v>31</v>
      </c>
      <c r="AF12" s="357" t="s">
        <v>94</v>
      </c>
      <c r="AG12" s="131" t="s">
        <v>129</v>
      </c>
      <c r="AH12" s="132" t="s">
        <v>94</v>
      </c>
      <c r="AI12" s="131" t="s">
        <v>129</v>
      </c>
      <c r="AJ12" s="132" t="s">
        <v>94</v>
      </c>
      <c r="AK12" s="131" t="s">
        <v>129</v>
      </c>
      <c r="AL12" s="132" t="s">
        <v>94</v>
      </c>
      <c r="AM12" s="125" t="s">
        <v>31</v>
      </c>
      <c r="AN12" s="177" t="s">
        <v>94</v>
      </c>
      <c r="AO12" s="2323"/>
      <c r="AP12" s="2316"/>
      <c r="AQ12" s="1041" t="s">
        <v>31</v>
      </c>
      <c r="AR12" s="1035" t="s">
        <v>94</v>
      </c>
      <c r="AS12" s="1041" t="s">
        <v>31</v>
      </c>
      <c r="AT12" s="1035" t="s">
        <v>94</v>
      </c>
      <c r="AU12" s="2320"/>
      <c r="AV12" s="2320"/>
      <c r="AW12" s="2320"/>
      <c r="AX12" s="1267" t="s">
        <v>463</v>
      </c>
      <c r="AY12" s="1267" t="s">
        <v>820</v>
      </c>
      <c r="AZ12" s="175"/>
      <c r="BA12" s="175"/>
      <c r="BB12" s="175"/>
      <c r="BC12" s="175"/>
      <c r="CC12" s="1424"/>
      <c r="CD12" s="1424"/>
      <c r="CE12" s="1452" t="s">
        <v>31</v>
      </c>
      <c r="CF12" s="1452" t="s">
        <v>94</v>
      </c>
      <c r="CG12" s="1452" t="s">
        <v>31</v>
      </c>
      <c r="CH12" s="1452" t="s">
        <v>94</v>
      </c>
      <c r="CI12" s="2306"/>
      <c r="CJ12" s="2306"/>
      <c r="CK12" s="1425"/>
      <c r="CL12" s="1452" t="s">
        <v>463</v>
      </c>
      <c r="CM12" s="1452" t="s">
        <v>464</v>
      </c>
      <c r="CN12" s="354"/>
      <c r="CO12" s="1452" t="s">
        <v>540</v>
      </c>
      <c r="CP12" s="1452" t="s">
        <v>540</v>
      </c>
      <c r="CQ12" s="1453" t="s">
        <v>888</v>
      </c>
      <c r="CR12" s="1453" t="s">
        <v>889</v>
      </c>
      <c r="CS12" s="1453" t="s">
        <v>888</v>
      </c>
      <c r="CT12" s="1453" t="s">
        <v>889</v>
      </c>
      <c r="CU12" s="1452" t="s">
        <v>540</v>
      </c>
      <c r="CV12" s="1452" t="s">
        <v>540</v>
      </c>
      <c r="CW12" s="1452" t="s">
        <v>540</v>
      </c>
      <c r="CX12" s="175"/>
      <c r="CY12" s="175"/>
      <c r="CZ12" s="61"/>
      <c r="DA12" s="61"/>
      <c r="DB12" s="991"/>
      <c r="DC12" s="991"/>
      <c r="DD12" s="1615" t="s">
        <v>31</v>
      </c>
      <c r="DE12" s="1615" t="s">
        <v>94</v>
      </c>
      <c r="DF12" s="1615" t="s">
        <v>31</v>
      </c>
      <c r="DG12" s="1615" t="s">
        <v>94</v>
      </c>
      <c r="DH12" s="991"/>
      <c r="DI12" s="991"/>
      <c r="DJ12" s="2311"/>
      <c r="DK12" s="175"/>
      <c r="DL12" s="1615" t="s">
        <v>463</v>
      </c>
      <c r="DM12" s="1615" t="s">
        <v>464</v>
      </c>
      <c r="DN12" s="61"/>
      <c r="DO12" s="1615" t="s">
        <v>540</v>
      </c>
      <c r="DP12" s="1615" t="s">
        <v>540</v>
      </c>
      <c r="DQ12" s="1615" t="s">
        <v>31</v>
      </c>
      <c r="DR12" s="1615" t="s">
        <v>94</v>
      </c>
      <c r="DS12" s="1615" t="s">
        <v>31</v>
      </c>
      <c r="DT12" s="1615" t="s">
        <v>94</v>
      </c>
      <c r="DU12" s="2311"/>
      <c r="DV12" s="2311"/>
      <c r="DW12" s="2311"/>
      <c r="DX12" s="960"/>
    </row>
    <row r="13" spans="1:128" s="57" customFormat="1" ht="22.5" customHeight="1" x14ac:dyDescent="0.3">
      <c r="A13" s="1637" t="s">
        <v>1276</v>
      </c>
      <c r="B13" s="2346" t="s">
        <v>459</v>
      </c>
      <c r="C13" s="2384"/>
      <c r="D13" s="1658" t="s">
        <v>1550</v>
      </c>
      <c r="E13" s="1658" t="s">
        <v>1551</v>
      </c>
      <c r="F13" s="1659" t="s">
        <v>1552</v>
      </c>
      <c r="G13" s="1660" t="s">
        <v>1553</v>
      </c>
      <c r="H13" s="1661" t="s">
        <v>1554</v>
      </c>
      <c r="I13" s="1660" t="s">
        <v>1555</v>
      </c>
      <c r="J13" s="1662" t="s">
        <v>1556</v>
      </c>
      <c r="K13" s="1769" t="s">
        <v>1557</v>
      </c>
      <c r="L13" s="1661" t="s">
        <v>1558</v>
      </c>
      <c r="M13" s="1660" t="s">
        <v>1559</v>
      </c>
      <c r="N13" s="1662" t="s">
        <v>1560</v>
      </c>
      <c r="O13" s="1660" t="s">
        <v>1561</v>
      </c>
      <c r="P13" s="1662" t="s">
        <v>1562</v>
      </c>
      <c r="Q13" s="1660" t="s">
        <v>1563</v>
      </c>
      <c r="R13" s="1662" t="s">
        <v>1564</v>
      </c>
      <c r="S13" s="1660" t="s">
        <v>1565</v>
      </c>
      <c r="T13" s="1662" t="s">
        <v>1566</v>
      </c>
      <c r="U13" s="1660" t="s">
        <v>1567</v>
      </c>
      <c r="V13" s="1662" t="s">
        <v>1568</v>
      </c>
      <c r="W13" s="1660" t="s">
        <v>1569</v>
      </c>
      <c r="X13" s="1662" t="s">
        <v>1570</v>
      </c>
      <c r="Y13" s="1769" t="s">
        <v>1571</v>
      </c>
      <c r="Z13" s="1661" t="s">
        <v>1572</v>
      </c>
      <c r="AA13" s="1660" t="s">
        <v>1573</v>
      </c>
      <c r="AB13" s="1662" t="s">
        <v>1574</v>
      </c>
      <c r="AC13" s="1660" t="s">
        <v>1575</v>
      </c>
      <c r="AD13" s="1662" t="s">
        <v>1576</v>
      </c>
      <c r="AE13" s="1660" t="s">
        <v>1577</v>
      </c>
      <c r="AF13" s="1662" t="s">
        <v>1578</v>
      </c>
      <c r="AG13" s="1660" t="s">
        <v>1579</v>
      </c>
      <c r="AH13" s="1662" t="s">
        <v>1580</v>
      </c>
      <c r="AI13" s="1660" t="s">
        <v>1581</v>
      </c>
      <c r="AJ13" s="1662" t="s">
        <v>1582</v>
      </c>
      <c r="AK13" s="1660" t="s">
        <v>1583</v>
      </c>
      <c r="AL13" s="1662" t="s">
        <v>1584</v>
      </c>
      <c r="AM13" s="1769" t="s">
        <v>1585</v>
      </c>
      <c r="AN13" s="1661" t="s">
        <v>1586</v>
      </c>
      <c r="AO13" s="1770" t="s">
        <v>1587</v>
      </c>
      <c r="AP13" s="1664" t="s">
        <v>1588</v>
      </c>
      <c r="AQ13" s="1665" t="s">
        <v>1589</v>
      </c>
      <c r="AR13" s="1662" t="s">
        <v>1590</v>
      </c>
      <c r="AS13" s="1665" t="s">
        <v>1591</v>
      </c>
      <c r="AT13" s="1662" t="s">
        <v>1592</v>
      </c>
      <c r="AU13" s="1771" t="s">
        <v>1593</v>
      </c>
      <c r="AV13" s="1771" t="s">
        <v>1594</v>
      </c>
      <c r="AW13" s="1772" t="s">
        <v>1595</v>
      </c>
      <c r="AX13" s="1772" t="s">
        <v>1596</v>
      </c>
      <c r="AY13" s="1772" t="s">
        <v>1597</v>
      </c>
      <c r="AZ13" s="1514" t="str">
        <f>CC13&amp;CD13&amp;CE13&amp;CF13&amp;CG13&amp;CH13&amp;CI13&amp;CJ13&amp;CK13&amp;CL13&amp;CM13&amp;CO13&amp;CP13&amp;CQ13&amp;CR13&amp;CS13&amp;CT13&amp;CU13&amp;CV13&amp;CW13</f>
        <v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BA13" s="178"/>
      <c r="BB13" s="178"/>
      <c r="BC13" s="175"/>
      <c r="CC13" s="348" t="str">
        <f>IF($AO13&gt;$F13,"* La celda 'Gestantes' debe ser menor o igual al Total de Mujeres en control. ","")</f>
        <v xml:space="preserve">* La celda 'Gestantes' debe ser menor o igual al Total de Mujeres en control. </v>
      </c>
      <c r="CD13" s="348" t="str">
        <f>IF($AP13&gt;$F13,"* La celda 'Madres de Hijos menor de 5 años' debe ser menor o igual al Total de Mujeres en control. ","")</f>
        <v xml:space="preserve">* La celda 'Madres de Hijos menor de 5 años' debe ser menor o igual al Total de Mujeres en control. </v>
      </c>
      <c r="CE13" s="348" t="str">
        <f>IF(($AQ13)&gt;$E13,"* La celda 'Pueblos Originarios / Hombres' debe ser menor o igual al Total de Hombres en control. ","")</f>
        <v xml:space="preserve">* La celda 'Pueblos Originarios / Hombres' debe ser menor o igual al Total de Hombres en control. </v>
      </c>
      <c r="CF13" s="348" t="str">
        <f>IF($AR13&gt;$F13,"* La celda 'Pueblos Originarios / Mujeres' debe ser menor o igual al Total de Mujeres en control. ","")</f>
        <v xml:space="preserve">* La celda 'Pueblos Originarios / Mujeres' debe ser menor o igual al Total de Mujeres en control. </v>
      </c>
      <c r="CG13" s="348" t="str">
        <f>IF(($AS13)&gt;$E13,"* La celda 'Población Migrantes / Hombres' debe ser menor o igual al Total de Hombres en control. ","")</f>
        <v xml:space="preserve">* La celda 'Población Migrantes / Hombres' debe ser menor o igual al Total de Hombres en control. </v>
      </c>
      <c r="CH13" s="348" t="str">
        <f>IF($AT13&gt;$F13,"* La celda 'Población Migrantes / Mujeres' debe ser menor o igual al Total de Mujeres en control. ","")</f>
        <v xml:space="preserve">* La celda 'Población Migrantes / Mujeres' debe ser menor o igual al Total de Mujeres en control. </v>
      </c>
      <c r="CI13" s="348" t="str">
        <f>IF($AU13&gt;$D13,"* La celda 'Niños, Niñas, Adolescentes y Jóvenes de Población SENAME' debe ser menor o igual al Total de Ambos Sexos. ","")</f>
        <v xml:space="preserve">* La celda 'Niños, Niñas, Adolescentes y Jóvenes de Población SENAME' debe ser menor o igual al Total de Ambos Sexos. </v>
      </c>
      <c r="CJ13" s="348" t="str">
        <f>IF($AV13&gt;$D13,"* La celda 'Niños, Niñas, Adolescentes y Jóvenes Mejor Niñez' debe ser menor o igual al Total de Ambos Sexos. ","")</f>
        <v xml:space="preserve">* La celda 'Niños, Niñas, Adolescentes y Jóvenes Mejor Niñez' debe ser menor o igual al Total de Ambos Sexos. </v>
      </c>
      <c r="CK13" s="348" t="str">
        <f>IF($AW13&gt;$D13,"* La celda 'Plan Cuidado Integral Elaborado' debe ser menor o igual al Total de Personas en control. ","")</f>
        <v xml:space="preserve">* La celda 'Plan Cuidado Integral Elaborado' debe ser menor o igual al Total de Personas en control. </v>
      </c>
      <c r="CL13" s="348" t="str">
        <f>IF(AND(F13&gt;0,OR(AX13=""))," * No olvide digitar la variable Trans Masculino. (Digite Cero si no tiene).",IF(AX13&gt;F13," * La variable Trans Masculino no debe ser mayor al Total Mujeres.",""))</f>
        <v xml:space="preserve"> * La variable Trans Masculino no debe ser mayor al Total Mujeres.</v>
      </c>
      <c r="CM13" s="348" t="str">
        <f>IF(AND(E13&gt;0,OR(AY13=""))," * No olvide digitar la variable Trans Femenino. (Digite Cero si no tiene).",IF(AY13&gt;E13," * La variable Trans Femenino no debe ser mayor al Total Hombre.",""))</f>
        <v xml:space="preserve"> * La variable Trans Femenino no debe ser mayor al Total Hombre.</v>
      </c>
      <c r="CN13" s="354"/>
      <c r="CO13" s="348" t="str">
        <f>IF(AND($F13&lt;&gt;0,$AO13=""),"* No olvide escribir en la celda de 'Gestantes' (Digite CERO si no tiene). ","")</f>
        <v/>
      </c>
      <c r="CP13" s="348" t="str">
        <f>IF(AND($F13&lt;&gt;0,$AP13=""),"* No olvide escribir en la celda de 'Madres de Hijos menor de 5 años' (Digite CERO si no tiene). ","")</f>
        <v/>
      </c>
      <c r="CQ13" s="348" t="str">
        <f>IF(AND($E13&lt;&gt;0,$AQ13=""),"* No olvide escribir en las celdas de Pueblos Originarios Hombres. (Digite CERO si no tiene).  ","")</f>
        <v/>
      </c>
      <c r="CR13" s="348" t="str">
        <f>IF(AND($F13&lt;&gt;0,$AR13=""),"* No olvide escribir en las celdas de Pueblos Originarios Mujeres (Digite CERO si no tiene).  ","")</f>
        <v/>
      </c>
      <c r="CS13" s="348" t="str">
        <f>IF(AND($E13&lt;&gt;0,$AS13=""),"* No olvide escribir en las celdas de Población Migrantes Hombres. (Digite CERO si no tiene). ","")</f>
        <v/>
      </c>
      <c r="CT13" s="348" t="str">
        <f>IF(AND($F13&lt;&gt;0,$AT13=""),"* No olvide escribir en las celdas de Población Migrantes Mujeres. (Digite CERO si no tiene). ","")</f>
        <v/>
      </c>
      <c r="CU13" s="348" t="str">
        <f>IF(AND($D13&lt;&gt;0,$AU13=""),"* No olvide escribir en la celda de Niños, Niñas, Adolescentes y Jóvenes SENAME. (Digite CERO si no tiene). ","")</f>
        <v/>
      </c>
      <c r="CV13" s="348" t="str">
        <f>IF(AND($D13&lt;&gt;0,$AV13=""),"* No olvide escribir en la celda Niños, Niñas, Adolescentes y Jóvenes Mejor Niñez. (Digite CERO si no tiene). ","")</f>
        <v/>
      </c>
      <c r="CW13" s="348" t="str">
        <f>IF(AND($D13&lt;&gt;0,$AW13=""),"* No olvide escribir en la celda Plan Cuidado integral Elaborado. (Digite CERO si no tiene). ","")</f>
        <v/>
      </c>
      <c r="CX13" s="175"/>
      <c r="CY13" s="175"/>
      <c r="CZ13" s="175"/>
      <c r="DA13" s="175"/>
      <c r="DB13" s="358">
        <f>IF($AO13&gt;$F13,1,0)</f>
        <v>1</v>
      </c>
      <c r="DC13" s="358">
        <f>IF($AP13&gt;$F13,1,0)</f>
        <v>1</v>
      </c>
      <c r="DD13" s="358">
        <f>IF(($AQ13)&gt;$E13,1,0)</f>
        <v>1</v>
      </c>
      <c r="DE13" s="358">
        <f>IF($AR13&gt;$F13,1,0)</f>
        <v>1</v>
      </c>
      <c r="DF13" s="358">
        <f>IF(($AS13)&gt;$E13,1,0)</f>
        <v>1</v>
      </c>
      <c r="DG13" s="358">
        <f>IF($AT13&gt;$F13,1,0)</f>
        <v>1</v>
      </c>
      <c r="DH13" s="358">
        <f>IF($AU13&gt;$D13,1,0)</f>
        <v>1</v>
      </c>
      <c r="DI13" s="358">
        <f>IF($AV13&gt;$D13,1,0)</f>
        <v>1</v>
      </c>
      <c r="DJ13" s="358">
        <f>IF($AW13&gt;$D13,1,0)</f>
        <v>1</v>
      </c>
      <c r="DK13" s="175"/>
      <c r="DL13" s="358">
        <f>IF(AND(F13&gt;0,OR(AX13="")),1,IF((AX13)&gt;F13,1,0))</f>
        <v>1</v>
      </c>
      <c r="DM13" s="358">
        <f>IF(AND(E13&gt;0,OR(AY13="")),1,IF((AY13)&gt;E13,1,0))</f>
        <v>1</v>
      </c>
      <c r="DN13" s="175"/>
      <c r="DO13" s="358">
        <f>IF(AND($F13&lt;&gt;0,$AO13=""),1,0)</f>
        <v>0</v>
      </c>
      <c r="DP13" s="358">
        <f>IF(AND($F13&lt;&gt;0,$AP13=""),1,0)</f>
        <v>0</v>
      </c>
      <c r="DQ13" s="358">
        <f>IF(AND($E13&lt;&gt;0,$AQ13=""),1,0)</f>
        <v>0</v>
      </c>
      <c r="DR13" s="358">
        <f>IF(AND(F13&lt;&gt;0,AR13=""),1,0)</f>
        <v>0</v>
      </c>
      <c r="DS13" s="358">
        <f>IF(AND(E13&lt;&gt;0,AS13=""),1,0)</f>
        <v>0</v>
      </c>
      <c r="DT13" s="358">
        <f>IF(AND(F13&lt;&gt;0,AT13=""),1,0)</f>
        <v>0</v>
      </c>
      <c r="DU13" s="358">
        <f>IF(AND($D13&lt;&gt;0,AU13=""),1,0)</f>
        <v>0</v>
      </c>
      <c r="DV13" s="358">
        <f>IF(AND($D13&lt;&gt;0,AV13=""),1,0)</f>
        <v>0</v>
      </c>
      <c r="DW13" s="358">
        <f>IF(AND($D13&lt;&gt;0,AW13=""),1,0)</f>
        <v>0</v>
      </c>
      <c r="DX13" s="960"/>
    </row>
    <row r="14" spans="1:128" s="141" customFormat="1" ht="15.75" customHeight="1" x14ac:dyDescent="0.3">
      <c r="A14" s="1647"/>
      <c r="B14" s="2346" t="s">
        <v>211</v>
      </c>
      <c r="C14" s="2347"/>
      <c r="D14" s="1666"/>
      <c r="E14" s="1667"/>
      <c r="F14" s="1668"/>
      <c r="G14" s="1666"/>
      <c r="H14" s="1668"/>
      <c r="I14" s="1666"/>
      <c r="J14" s="1668"/>
      <c r="K14" s="1666"/>
      <c r="L14" s="1668"/>
      <c r="M14" s="1666"/>
      <c r="N14" s="1668"/>
      <c r="O14" s="1666"/>
      <c r="P14" s="1668"/>
      <c r="Q14" s="1666"/>
      <c r="R14" s="1668"/>
      <c r="S14" s="1666"/>
      <c r="T14" s="1668"/>
      <c r="U14" s="1666"/>
      <c r="V14" s="1668"/>
      <c r="W14" s="1669"/>
      <c r="X14" s="1668"/>
      <c r="Y14" s="1666"/>
      <c r="Z14" s="1668"/>
      <c r="AA14" s="1666"/>
      <c r="AB14" s="1668"/>
      <c r="AC14" s="1666"/>
      <c r="AD14" s="1668"/>
      <c r="AE14" s="1666"/>
      <c r="AF14" s="1668"/>
      <c r="AG14" s="1666"/>
      <c r="AH14" s="1668"/>
      <c r="AI14" s="1666"/>
      <c r="AJ14" s="1668"/>
      <c r="AK14" s="1666"/>
      <c r="AL14" s="1668"/>
      <c r="AM14" s="1666"/>
      <c r="AN14" s="1670"/>
      <c r="AO14" s="1773"/>
      <c r="AP14" s="1672"/>
      <c r="AQ14" s="1669"/>
      <c r="AR14" s="1668"/>
      <c r="AS14" s="1669"/>
      <c r="AT14" s="1668"/>
      <c r="AU14" s="1774"/>
      <c r="AV14" s="1774"/>
      <c r="AW14" s="1674"/>
      <c r="AX14" s="1674"/>
      <c r="AY14" s="1674"/>
      <c r="AZ14" s="1513"/>
      <c r="BA14" s="178"/>
      <c r="BB14" s="178"/>
      <c r="BC14" s="175"/>
      <c r="CC14" s="354"/>
      <c r="CD14" s="354"/>
      <c r="CE14" s="354"/>
      <c r="CF14" s="354"/>
      <c r="CG14" s="354"/>
      <c r="CH14" s="354"/>
      <c r="CI14" s="354"/>
      <c r="CJ14" s="354"/>
      <c r="CK14" s="448"/>
      <c r="CL14" s="354"/>
      <c r="CM14" s="354"/>
      <c r="CN14" s="354"/>
      <c r="CO14" s="354"/>
      <c r="CP14" s="354"/>
      <c r="CQ14" s="354"/>
      <c r="CR14" s="354"/>
      <c r="CS14" s="354"/>
      <c r="CT14" s="448"/>
      <c r="CU14" s="448"/>
      <c r="CV14" s="448"/>
      <c r="CW14" s="448"/>
      <c r="CX14" s="175"/>
      <c r="CY14" s="175"/>
      <c r="CZ14" s="175"/>
      <c r="DA14" s="175"/>
      <c r="DB14" s="352"/>
      <c r="DC14" s="352"/>
      <c r="DD14" s="352"/>
      <c r="DE14" s="352"/>
      <c r="DF14" s="352"/>
      <c r="DG14" s="352"/>
      <c r="DH14" s="352"/>
      <c r="DI14" s="352"/>
      <c r="DJ14" s="352"/>
      <c r="DK14" s="175"/>
      <c r="DL14" s="352"/>
      <c r="DM14" s="352"/>
      <c r="DN14" s="175"/>
      <c r="DO14" s="352"/>
      <c r="DP14" s="352"/>
      <c r="DQ14" s="352"/>
      <c r="DR14" s="352"/>
      <c r="DS14" s="352"/>
      <c r="DT14" s="352"/>
      <c r="DU14" s="449"/>
      <c r="DV14" s="449"/>
      <c r="DW14" s="449"/>
      <c r="DX14" s="960"/>
    </row>
    <row r="15" spans="1:128" s="141" customFormat="1" ht="19.5" customHeight="1" x14ac:dyDescent="0.3">
      <c r="A15" s="1637" t="s">
        <v>1277</v>
      </c>
      <c r="B15" s="2376" t="s">
        <v>398</v>
      </c>
      <c r="C15" s="179" t="s">
        <v>212</v>
      </c>
      <c r="D15" s="1703" t="s">
        <v>1550</v>
      </c>
      <c r="E15" s="1704" t="s">
        <v>1551</v>
      </c>
      <c r="F15" s="1723" t="s">
        <v>1552</v>
      </c>
      <c r="G15" s="1678" t="s">
        <v>1553</v>
      </c>
      <c r="H15" s="1679" t="s">
        <v>1554</v>
      </c>
      <c r="I15" s="1678" t="s">
        <v>1555</v>
      </c>
      <c r="J15" s="1679" t="s">
        <v>1556</v>
      </c>
      <c r="K15" s="1678" t="s">
        <v>1557</v>
      </c>
      <c r="L15" s="1679" t="s">
        <v>1558</v>
      </c>
      <c r="M15" s="1678" t="s">
        <v>1559</v>
      </c>
      <c r="N15" s="1679" t="s">
        <v>1560</v>
      </c>
      <c r="O15" s="1678" t="s">
        <v>1561</v>
      </c>
      <c r="P15" s="1679" t="s">
        <v>1562</v>
      </c>
      <c r="Q15" s="1678" t="s">
        <v>1563</v>
      </c>
      <c r="R15" s="1679" t="s">
        <v>1564</v>
      </c>
      <c r="S15" s="1678" t="s">
        <v>1565</v>
      </c>
      <c r="T15" s="1679" t="s">
        <v>1566</v>
      </c>
      <c r="U15" s="1678" t="s">
        <v>1567</v>
      </c>
      <c r="V15" s="1679" t="s">
        <v>1568</v>
      </c>
      <c r="W15" s="1678" t="s">
        <v>1569</v>
      </c>
      <c r="X15" s="1679" t="s">
        <v>1570</v>
      </c>
      <c r="Y15" s="1678" t="s">
        <v>1571</v>
      </c>
      <c r="Z15" s="1679" t="s">
        <v>1572</v>
      </c>
      <c r="AA15" s="1678" t="s">
        <v>1573</v>
      </c>
      <c r="AB15" s="1679" t="s">
        <v>1574</v>
      </c>
      <c r="AC15" s="1678" t="s">
        <v>1575</v>
      </c>
      <c r="AD15" s="1679" t="s">
        <v>1576</v>
      </c>
      <c r="AE15" s="1678" t="s">
        <v>1577</v>
      </c>
      <c r="AF15" s="1679" t="s">
        <v>1578</v>
      </c>
      <c r="AG15" s="1678" t="s">
        <v>1579</v>
      </c>
      <c r="AH15" s="1679" t="s">
        <v>1580</v>
      </c>
      <c r="AI15" s="1678" t="s">
        <v>1581</v>
      </c>
      <c r="AJ15" s="1679" t="s">
        <v>1582</v>
      </c>
      <c r="AK15" s="1678" t="s">
        <v>1583</v>
      </c>
      <c r="AL15" s="1679" t="s">
        <v>1584</v>
      </c>
      <c r="AM15" s="1678" t="s">
        <v>1585</v>
      </c>
      <c r="AN15" s="1775" t="s">
        <v>1586</v>
      </c>
      <c r="AO15" s="1776" t="s">
        <v>1587</v>
      </c>
      <c r="AP15" s="1682" t="s">
        <v>1588</v>
      </c>
      <c r="AQ15" s="1683" t="s">
        <v>1589</v>
      </c>
      <c r="AR15" s="1679" t="s">
        <v>1590</v>
      </c>
      <c r="AS15" s="1683" t="s">
        <v>1591</v>
      </c>
      <c r="AT15" s="1679" t="s">
        <v>1592</v>
      </c>
      <c r="AU15" s="1777" t="s">
        <v>1593</v>
      </c>
      <c r="AV15" s="1777" t="s">
        <v>1594</v>
      </c>
      <c r="AW15" s="1777" t="s">
        <v>1595</v>
      </c>
      <c r="AX15" s="1777" t="s">
        <v>1596</v>
      </c>
      <c r="AY15" s="1777" t="s">
        <v>1597</v>
      </c>
      <c r="AZ15" s="1514" t="str">
        <f>$CC15&amp;CD15&amp;CE15&amp;CF15&amp;CG15&amp;CH15&amp;CI15&amp;CJ15&amp;CK15&amp;CL15&amp;CM15&amp;CO15&amp;CP15&amp;CQ15&amp;CR15&amp;CS15&amp;CT15&amp;CU15&amp;CV15&amp;CW15</f>
        <v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BA15" s="178"/>
      <c r="BB15" s="178"/>
      <c r="BC15" s="175"/>
      <c r="CC15" s="348" t="str">
        <f t="shared" ref="CC15:CC23" si="0">IF($AO15&gt;$F15,"* La celda 'Gestantes' debe ser menor o igual al Total de Mujeres en control. ","")</f>
        <v xml:space="preserve">* La celda 'Gestantes' debe ser menor o igual al Total de Mujeres en control. </v>
      </c>
      <c r="CD15" s="348" t="str">
        <f t="shared" ref="CD15:CD24" si="1">IF($AP15&gt;$F15,"* La celda 'Madres de Hijos menor de 5 años' debe ser menor o igual al Total de Mujeres en control. ","")</f>
        <v xml:space="preserve">* La celda 'Madres de Hijos menor de 5 años' debe ser menor o igual al Total de Mujeres en control. </v>
      </c>
      <c r="CE15" s="348" t="str">
        <f t="shared" ref="CE15:CE23" si="2">IF(($AQ15)&gt;$E15,"* La celda 'Pueblos Originarios / Hombres' debe ser menor o igual al Total de Hombres en control. ","")</f>
        <v xml:space="preserve">* La celda 'Pueblos Originarios / Hombres' debe ser menor o igual al Total de Hombres en control. </v>
      </c>
      <c r="CF15" s="348" t="str">
        <f t="shared" ref="CF15:CF54" si="3">IF($AR15&gt;$F15,"* La celda 'Pueblos Originarios / Mujeres' debe ser menor o igual al Total de Mujeres en control. ","")</f>
        <v xml:space="preserve">* La celda 'Pueblos Originarios / Mujeres' debe ser menor o igual al Total de Mujeres en control. </v>
      </c>
      <c r="CG15" s="348" t="str">
        <f t="shared" ref="CG15:CG23" si="4">IF(($AS15)&gt;$E15,"* La celda 'Población Migrantes / Hombres' debe ser menor o igual al Total de Hombres en control. ","")</f>
        <v xml:space="preserve">* La celda 'Población Migrantes / Hombres' debe ser menor o igual al Total de Hombres en control. </v>
      </c>
      <c r="CH15" s="348" t="str">
        <f t="shared" ref="CH15:CH54" si="5">IF($AT15&gt;$F15,"* La celda 'Población Migrantes / Mujeres' debe ser menor o igual al Total de Mujeres en control. ","")</f>
        <v xml:space="preserve">* La celda 'Población Migrantes / Mujeres' debe ser menor o igual al Total de Mujeres en control. </v>
      </c>
      <c r="CI15" s="348" t="str">
        <f t="shared" ref="CI15:CI54" si="6">IF($AU15&gt;$D15,"* La celda 'Niños, Niñas, Adolescentes y Jóvenes de Población SENAME' debe ser menor o igual al Total de Ambos Sexos. ","")</f>
        <v xml:space="preserve">* La celda 'Niños, Niñas, Adolescentes y Jóvenes de Población SENAME' debe ser menor o igual al Total de Ambos Sexos. </v>
      </c>
      <c r="CJ15" s="348" t="str">
        <f t="shared" ref="CJ15:CJ54" si="7">IF($AV15&gt;$D15,"* La celda 'Niños, Niñas, Adolescentes y Jóvenes Mejor Niñez' debe ser menor o igual al Total de Ambos Sexos. ","")</f>
        <v xml:space="preserve">* La celda 'Niños, Niñas, Adolescentes y Jóvenes Mejor Niñez' debe ser menor o igual al Total de Ambos Sexos. </v>
      </c>
      <c r="CK15" s="348" t="str">
        <f t="shared" ref="CK15:CK54" si="8">IF($AW15&gt;$D15,"* La celda 'Plan Cuidado Integral Elaborado' debe ser menor o igual al Total de Personas en control. ","")</f>
        <v xml:space="preserve">* La celda 'Plan Cuidado Integral Elaborado' debe ser menor o igual al Total de Personas en control. </v>
      </c>
      <c r="CL15" s="348" t="str">
        <f>IF(AND(F15&gt;0,OR(AX15=""))," * No olvide digitar la variable Trans Masculino. (Digite Cero si no tiene).",IF(AX15&gt;F15," * La variable Trans Masculino no debe ser mayor al Total Mujeres.",""))</f>
        <v xml:space="preserve"> * La variable Trans Masculino no debe ser mayor al Total Mujeres.</v>
      </c>
      <c r="CM15" s="348" t="str">
        <f>IF(AND(E15&gt;0,OR(AY15=""))," * No olvide digitar la variable Trans Femenino. (Digite Cero si no tiene).",IF(AY15&gt;E15," * La variable Trans Femenino no debe ser mayor al Total Hombre.",""))</f>
        <v xml:space="preserve"> * La variable Trans Femenino no debe ser mayor al Total Hombre.</v>
      </c>
      <c r="CN15" s="354"/>
      <c r="CO15" s="348" t="str">
        <f>IF(AND($F15&lt;&gt;0,$AO15=""),"* No olvide escribir en la celda de 'Gestantes' (Digite CERO si no tiene). ","")</f>
        <v/>
      </c>
      <c r="CP15" s="348" t="str">
        <f>IF(AND($F15&lt;&gt;0,$AP15=""),"* No olvide escribir en la celda de 'Madres de Hijos menor de 5 años' (Digite CERO si no tiene). ","")</f>
        <v/>
      </c>
      <c r="CQ15" s="348" t="str">
        <f>IF(AND($E15&lt;&gt;0,$AQ15=""),"* No olvide escribir en las celdas de Pueblos Originarios Hombres. (Digite CERO si no tiene).  ","")</f>
        <v/>
      </c>
      <c r="CR15" s="348" t="str">
        <f>IF(AND($F15&lt;&gt;0,$AR15=""),"* No olvide escribir en las celdas de Pueblos Originarios Mujeres (Digite CERO si no tiene).  ","")</f>
        <v/>
      </c>
      <c r="CS15" s="348" t="str">
        <f>IF(AND($E15&lt;&gt;0,$AS15=""),"* No olvide escribir en las celdas de Población Migrantes Hombres. (Digite CERO si no tiene). ","")</f>
        <v/>
      </c>
      <c r="CT15" s="348" t="str">
        <f>IF(AND($F15&lt;&gt;0,$AT15=""),"* No olvide escribir en las celdas de Población Migrantes Mujeres. (Digite CERO si no tiene). ","")</f>
        <v/>
      </c>
      <c r="CU15" s="348" t="str">
        <f t="shared" ref="CU15:CU54" si="9">IF(AND($D15&lt;&gt;0,$AU15=""),"* No olvide escribir en la celda de Niños, Niñas, Adolescentes y Jóvenes SENAME. (Digite CERO si no tiene). ","")</f>
        <v/>
      </c>
      <c r="CV15" s="348" t="str">
        <f t="shared" ref="CV15:CV54" si="10">IF(AND($D15&lt;&gt;0,$AV15=""),"* No olvide escribir en la celda Niños, Niñas, Adolescentes y Jóvenes Mejor Niñez. (Digite CERO si no tiene). ","")</f>
        <v/>
      </c>
      <c r="CW15" s="348" t="str">
        <f t="shared" ref="CW15:CW54" si="11">IF(AND($D15&lt;&gt;0,$AW15=""),"* No olvide escribir en la celda Plan Cuidado integral Elaborado. (Digite CERO si no tiene). ","")</f>
        <v/>
      </c>
      <c r="CX15" s="175"/>
      <c r="CY15" s="175"/>
      <c r="CZ15" s="175"/>
      <c r="DA15" s="175"/>
      <c r="DB15" s="358">
        <f t="shared" ref="DB15:DB23" si="12">IF($AO15&gt;$F15,1,0)</f>
        <v>1</v>
      </c>
      <c r="DC15" s="358">
        <f t="shared" ref="DC15:DC30" si="13">IF($AP15&gt;$F15,1,0)</f>
        <v>1</v>
      </c>
      <c r="DD15" s="358">
        <f t="shared" ref="DD15:DD23" si="14">IF(($AQ15)&gt;$E15,1,0)</f>
        <v>1</v>
      </c>
      <c r="DE15" s="358">
        <f t="shared" ref="DE15:DE54" si="15">IF($AR15&gt;$F15,1,0)</f>
        <v>1</v>
      </c>
      <c r="DF15" s="358">
        <f t="shared" ref="DF15:DF23" si="16">IF(($AS15)&gt;$E15,1,0)</f>
        <v>1</v>
      </c>
      <c r="DG15" s="358">
        <f t="shared" ref="DG15:DG54" si="17">IF($AT15&gt;$F15,1,0)</f>
        <v>1</v>
      </c>
      <c r="DH15" s="358">
        <f t="shared" ref="DH15:DH54" si="18">IF($AU15&gt;$D15,1,0)</f>
        <v>1</v>
      </c>
      <c r="DI15" s="358">
        <f t="shared" ref="DI15:DI54" si="19">IF($AV15&gt;$D15,1,0)</f>
        <v>1</v>
      </c>
      <c r="DJ15" s="358">
        <f t="shared" ref="DJ15:DJ54" si="20">IF($AW15&gt;$D15,1,0)</f>
        <v>1</v>
      </c>
      <c r="DK15" s="175"/>
      <c r="DL15" s="358">
        <f t="shared" ref="DL15:DL54" si="21">IF(AND(F15&gt;0,OR(AX15="")),1,IF((AX15)&gt;F15,1,0))</f>
        <v>1</v>
      </c>
      <c r="DM15" s="358">
        <f t="shared" ref="DM15:DM23" si="22">IF(AND(E15&gt;0,OR(AY15="")),1,IF((AY15)&gt;E15,1,0))</f>
        <v>1</v>
      </c>
      <c r="DN15" s="175"/>
      <c r="DO15" s="358">
        <f>IF(AND($F15&lt;&gt;0,$AO15=""),1,0)</f>
        <v>0</v>
      </c>
      <c r="DP15" s="358">
        <f>IF(AND($F15&lt;&gt;0,$AP15=""),1,0)</f>
        <v>0</v>
      </c>
      <c r="DQ15" s="358">
        <f t="shared" ref="DQ15:DQ23" si="23">IF(AND($E15&lt;&gt;0,$AQ15=""),1,IF(AND($F15&lt;&gt;0,$AR15=""),1,0))</f>
        <v>0</v>
      </c>
      <c r="DR15" s="358">
        <f t="shared" ref="DR15:DR54" si="24">IF(AND(F15&lt;&gt;0,AR15=""),1,0)</f>
        <v>0</v>
      </c>
      <c r="DS15" s="358">
        <f t="shared" ref="DS15:DS23" si="25">IF(AND(E15&lt;&gt;0,AS15=""),1,0)</f>
        <v>0</v>
      </c>
      <c r="DT15" s="358">
        <f t="shared" ref="DT15:DT54" si="26">IF(AND(F15&lt;&gt;0,AT15=""),1,0)</f>
        <v>0</v>
      </c>
      <c r="DU15" s="358">
        <f t="shared" ref="DU15:DU54" si="27">IF(AND($D15&lt;&gt;0,AU15=""),1,0)</f>
        <v>0</v>
      </c>
      <c r="DV15" s="358">
        <f t="shared" ref="DV15:DV54" si="28">IF(AND($D15&lt;&gt;0,AV15=""),1,0)</f>
        <v>0</v>
      </c>
      <c r="DW15" s="358">
        <f t="shared" ref="DW15:DW54" si="29">IF(AND($D15&lt;&gt;0,AW15=""),1,0)</f>
        <v>0</v>
      </c>
      <c r="DX15" s="960"/>
    </row>
    <row r="16" spans="1:128" s="141" customFormat="1" ht="19.5" customHeight="1" x14ac:dyDescent="0.3">
      <c r="A16" s="1637" t="s">
        <v>1278</v>
      </c>
      <c r="B16" s="2377"/>
      <c r="C16" s="180" t="s">
        <v>397</v>
      </c>
      <c r="D16" s="1684" t="s">
        <v>1550</v>
      </c>
      <c r="E16" s="1685" t="s">
        <v>1551</v>
      </c>
      <c r="F16" s="1686" t="s">
        <v>1552</v>
      </c>
      <c r="G16" s="1697" t="s">
        <v>1553</v>
      </c>
      <c r="H16" s="1698" t="s">
        <v>1554</v>
      </c>
      <c r="I16" s="1697" t="s">
        <v>1555</v>
      </c>
      <c r="J16" s="1698" t="s">
        <v>1556</v>
      </c>
      <c r="K16" s="1697" t="s">
        <v>1557</v>
      </c>
      <c r="L16" s="1698" t="s">
        <v>1558</v>
      </c>
      <c r="M16" s="1697" t="s">
        <v>1559</v>
      </c>
      <c r="N16" s="1698" t="s">
        <v>1560</v>
      </c>
      <c r="O16" s="1697" t="s">
        <v>1561</v>
      </c>
      <c r="P16" s="1698" t="s">
        <v>1562</v>
      </c>
      <c r="Q16" s="1697" t="s">
        <v>1563</v>
      </c>
      <c r="R16" s="1698" t="s">
        <v>1564</v>
      </c>
      <c r="S16" s="1697" t="s">
        <v>1565</v>
      </c>
      <c r="T16" s="1698" t="s">
        <v>1566</v>
      </c>
      <c r="U16" s="1697" t="s">
        <v>1567</v>
      </c>
      <c r="V16" s="1698" t="s">
        <v>1568</v>
      </c>
      <c r="W16" s="1697" t="s">
        <v>1569</v>
      </c>
      <c r="X16" s="1698" t="s">
        <v>1570</v>
      </c>
      <c r="Y16" s="1697" t="s">
        <v>1571</v>
      </c>
      <c r="Z16" s="1698" t="s">
        <v>1572</v>
      </c>
      <c r="AA16" s="1697" t="s">
        <v>1573</v>
      </c>
      <c r="AB16" s="1698" t="s">
        <v>1574</v>
      </c>
      <c r="AC16" s="1697" t="s">
        <v>1575</v>
      </c>
      <c r="AD16" s="1698" t="s">
        <v>1576</v>
      </c>
      <c r="AE16" s="1697" t="s">
        <v>1577</v>
      </c>
      <c r="AF16" s="1698" t="s">
        <v>1578</v>
      </c>
      <c r="AG16" s="1697" t="s">
        <v>1579</v>
      </c>
      <c r="AH16" s="1698" t="s">
        <v>1580</v>
      </c>
      <c r="AI16" s="1697" t="s">
        <v>1581</v>
      </c>
      <c r="AJ16" s="1698" t="s">
        <v>1582</v>
      </c>
      <c r="AK16" s="1697" t="s">
        <v>1583</v>
      </c>
      <c r="AL16" s="1698" t="s">
        <v>1584</v>
      </c>
      <c r="AM16" s="1697" t="s">
        <v>1585</v>
      </c>
      <c r="AN16" s="1760" t="s">
        <v>1586</v>
      </c>
      <c r="AO16" s="1778" t="s">
        <v>1587</v>
      </c>
      <c r="AP16" s="1701" t="s">
        <v>1588</v>
      </c>
      <c r="AQ16" s="1702" t="s">
        <v>1589</v>
      </c>
      <c r="AR16" s="1698" t="s">
        <v>1590</v>
      </c>
      <c r="AS16" s="1702" t="s">
        <v>1591</v>
      </c>
      <c r="AT16" s="1698" t="s">
        <v>1592</v>
      </c>
      <c r="AU16" s="1779" t="s">
        <v>1593</v>
      </c>
      <c r="AV16" s="1779" t="s">
        <v>1594</v>
      </c>
      <c r="AW16" s="1779" t="s">
        <v>1595</v>
      </c>
      <c r="AX16" s="1779" t="s">
        <v>1596</v>
      </c>
      <c r="AY16" s="1779" t="s">
        <v>1597</v>
      </c>
      <c r="AZ16" s="1514" t="str">
        <f t="shared" ref="AZ16:AZ54" si="30">$CC16&amp;CD16&amp;CE16&amp;CF16&amp;CG16&amp;CH16&amp;CI16&amp;CJ16&amp;CK16&amp;CL16&amp;CM16&amp;CO16&amp;CP16&amp;CQ16&amp;CR16&amp;CS16&amp;CT16&amp;CU16&amp;CV16&amp;CW16</f>
        <v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BA16" s="178"/>
      <c r="BB16" s="178"/>
      <c r="BC16" s="175"/>
      <c r="CC16" s="348" t="str">
        <f t="shared" si="0"/>
        <v xml:space="preserve">* La celda 'Gestantes' debe ser menor o igual al Total de Mujeres en control. </v>
      </c>
      <c r="CD16" s="348" t="str">
        <f t="shared" si="1"/>
        <v xml:space="preserve">* La celda 'Madres de Hijos menor de 5 años' debe ser menor o igual al Total de Mujeres en control. </v>
      </c>
      <c r="CE16" s="348" t="str">
        <f t="shared" si="2"/>
        <v xml:space="preserve">* La celda 'Pueblos Originarios / Hombres' debe ser menor o igual al Total de Hombres en control. </v>
      </c>
      <c r="CF16" s="348" t="str">
        <f t="shared" si="3"/>
        <v xml:space="preserve">* La celda 'Pueblos Originarios / Mujeres' debe ser menor o igual al Total de Mujeres en control. </v>
      </c>
      <c r="CG16" s="348" t="str">
        <f t="shared" si="4"/>
        <v xml:space="preserve">* La celda 'Población Migrantes / Hombres' debe ser menor o igual al Total de Hombres en control. </v>
      </c>
      <c r="CH16" s="348" t="str">
        <f t="shared" si="5"/>
        <v xml:space="preserve">* La celda 'Población Migrantes / Mujeres' debe ser menor o igual al Total de Mujeres en control. </v>
      </c>
      <c r="CI16" s="348" t="str">
        <f t="shared" si="6"/>
        <v xml:space="preserve">* La celda 'Niños, Niñas, Adolescentes y Jóvenes de Población SENAME' debe ser menor o igual al Total de Ambos Sexos. </v>
      </c>
      <c r="CJ16" s="348" t="str">
        <f t="shared" si="7"/>
        <v xml:space="preserve">* La celda 'Niños, Niñas, Adolescentes y Jóvenes Mejor Niñez' debe ser menor o igual al Total de Ambos Sexos. </v>
      </c>
      <c r="CK16" s="348" t="str">
        <f t="shared" si="8"/>
        <v xml:space="preserve">* La celda 'Plan Cuidado Integral Elaborado' debe ser menor o igual al Total de Personas en control. </v>
      </c>
      <c r="CL16" s="348" t="str">
        <f t="shared" ref="CL16:CL23" si="31">IF(AND(F16&gt;0,OR(AX16=""))," * No olvide digitar la variable Trans Masculino. (Digite Cero si no tiene).",IF(AX16&gt;F16," * La variable Trans Masculino no debe ser mayor al Total Mujeres.",""))</f>
        <v xml:space="preserve"> * La variable Trans Masculino no debe ser mayor al Total Mujeres.</v>
      </c>
      <c r="CM16" s="348" t="str">
        <f t="shared" ref="CM16:CM23" si="32">IF(AND(E16&gt;0,OR(AY16=""))," * No olvide digitar la variable Trans Femenino. (Digite Cero si no tiene).",IF(AY16&gt;E16," * La variable Trans Femenino no debe ser mayor al Total Hombre.",""))</f>
        <v xml:space="preserve"> * La variable Trans Femenino no debe ser mayor al Total Hombre.</v>
      </c>
      <c r="CN16" s="354"/>
      <c r="CO16" s="348" t="str">
        <f t="shared" ref="CO16:CO23" si="33">IF(AND($F16&lt;&gt;0,$AO16=""),"* No olvide escribir en la celda de 'Gestantes' (Digite CERO si no tiene). ","")</f>
        <v/>
      </c>
      <c r="CP16" s="348" t="str">
        <f t="shared" ref="CP16:CP30" si="34">IF(AND($F16&lt;&gt;0,$AP16=""),"* No olvide escribir en la celda de 'Madres de Hijos menor de 5 años' (Digite CERO si no tiene). ","")</f>
        <v/>
      </c>
      <c r="CQ16" s="348" t="str">
        <f t="shared" ref="CQ16:CQ54" si="35">IF(AND($E16&lt;&gt;0,$AQ16=""),"* No olvide escribir en las celdas de Pueblos Originarios Hombres. (Digite CERO si no tiene).  ","")</f>
        <v/>
      </c>
      <c r="CR16" s="348" t="str">
        <f t="shared" ref="CR16:CR54" si="36">IF(AND($F16&lt;&gt;0,$AR16=""),"* No olvide escribir en las celdas de Pueblos Originarios Mujeres (Digite CERO si no tiene).  ","")</f>
        <v/>
      </c>
      <c r="CS16" s="348" t="str">
        <f t="shared" ref="CS16:CS54" si="37">IF(AND($E16&lt;&gt;0,$AS16=""),"* No olvide escribir en las celdas de Población Migrantes Hombres. (Digite CERO si no tiene). ","")</f>
        <v/>
      </c>
      <c r="CT16" s="348" t="str">
        <f t="shared" ref="CT16:CT54" si="38">IF(AND($F16&lt;&gt;0,$AT16=""),"* No olvide escribir en las celdas de Población Migrantes Mujeres. (Digite CERO si no tiene). ","")</f>
        <v/>
      </c>
      <c r="CU16" s="348" t="str">
        <f t="shared" si="9"/>
        <v/>
      </c>
      <c r="CV16" s="348" t="str">
        <f t="shared" si="10"/>
        <v/>
      </c>
      <c r="CW16" s="348" t="str">
        <f t="shared" si="11"/>
        <v/>
      </c>
      <c r="CX16" s="175"/>
      <c r="CY16" s="175"/>
      <c r="CZ16" s="175"/>
      <c r="DA16" s="175"/>
      <c r="DB16" s="358">
        <f t="shared" si="12"/>
        <v>1</v>
      </c>
      <c r="DC16" s="358">
        <f t="shared" si="13"/>
        <v>1</v>
      </c>
      <c r="DD16" s="358">
        <f t="shared" si="14"/>
        <v>1</v>
      </c>
      <c r="DE16" s="358">
        <f t="shared" si="15"/>
        <v>1</v>
      </c>
      <c r="DF16" s="358">
        <f t="shared" si="16"/>
        <v>1</v>
      </c>
      <c r="DG16" s="358">
        <f t="shared" si="17"/>
        <v>1</v>
      </c>
      <c r="DH16" s="358">
        <f t="shared" si="18"/>
        <v>1</v>
      </c>
      <c r="DI16" s="358">
        <f t="shared" si="19"/>
        <v>1</v>
      </c>
      <c r="DJ16" s="358">
        <f t="shared" si="20"/>
        <v>1</v>
      </c>
      <c r="DK16" s="175"/>
      <c r="DL16" s="358">
        <f t="shared" si="21"/>
        <v>1</v>
      </c>
      <c r="DM16" s="358">
        <f t="shared" si="22"/>
        <v>1</v>
      </c>
      <c r="DN16" s="175"/>
      <c r="DO16" s="358">
        <f t="shared" ref="DO16:DO23" si="39">IF(AND($F16&lt;&gt;0,$AO16=""),1,0)</f>
        <v>0</v>
      </c>
      <c r="DP16" s="358">
        <f t="shared" ref="DP16:DP30" si="40">IF(AND($F16&lt;&gt;0,$AP16=""),1,0)</f>
        <v>0</v>
      </c>
      <c r="DQ16" s="358">
        <f t="shared" si="23"/>
        <v>0</v>
      </c>
      <c r="DR16" s="358">
        <f t="shared" si="24"/>
        <v>0</v>
      </c>
      <c r="DS16" s="358">
        <f t="shared" si="25"/>
        <v>0</v>
      </c>
      <c r="DT16" s="358">
        <f t="shared" si="26"/>
        <v>0</v>
      </c>
      <c r="DU16" s="358">
        <f t="shared" si="27"/>
        <v>0</v>
      </c>
      <c r="DV16" s="358">
        <f t="shared" si="28"/>
        <v>0</v>
      </c>
      <c r="DW16" s="358">
        <f t="shared" si="29"/>
        <v>0</v>
      </c>
      <c r="DX16" s="960"/>
    </row>
    <row r="17" spans="1:128" s="141" customFormat="1" ht="19.5" customHeight="1" x14ac:dyDescent="0.3">
      <c r="A17" s="1637" t="s">
        <v>1279</v>
      </c>
      <c r="B17" s="2343" t="s">
        <v>213</v>
      </c>
      <c r="C17" s="2375"/>
      <c r="D17" s="1763" t="s">
        <v>1550</v>
      </c>
      <c r="E17" s="1764" t="s">
        <v>1551</v>
      </c>
      <c r="F17" s="1765" t="s">
        <v>1552</v>
      </c>
      <c r="G17" s="1695" t="s">
        <v>1553</v>
      </c>
      <c r="H17" s="1696" t="s">
        <v>1554</v>
      </c>
      <c r="I17" s="1695" t="s">
        <v>1555</v>
      </c>
      <c r="J17" s="1696" t="s">
        <v>1556</v>
      </c>
      <c r="K17" s="1695" t="s">
        <v>1557</v>
      </c>
      <c r="L17" s="1696" t="s">
        <v>1558</v>
      </c>
      <c r="M17" s="1695" t="s">
        <v>1559</v>
      </c>
      <c r="N17" s="1696" t="s">
        <v>1560</v>
      </c>
      <c r="O17" s="1695" t="s">
        <v>1561</v>
      </c>
      <c r="P17" s="1696" t="s">
        <v>1562</v>
      </c>
      <c r="Q17" s="1695" t="s">
        <v>1563</v>
      </c>
      <c r="R17" s="1696" t="s">
        <v>1564</v>
      </c>
      <c r="S17" s="1695" t="s">
        <v>1565</v>
      </c>
      <c r="T17" s="1696" t="s">
        <v>1566</v>
      </c>
      <c r="U17" s="1695" t="s">
        <v>1567</v>
      </c>
      <c r="V17" s="1696" t="s">
        <v>1568</v>
      </c>
      <c r="W17" s="1695" t="s">
        <v>1569</v>
      </c>
      <c r="X17" s="1696" t="s">
        <v>1570</v>
      </c>
      <c r="Y17" s="1695" t="s">
        <v>1571</v>
      </c>
      <c r="Z17" s="1696" t="s">
        <v>1572</v>
      </c>
      <c r="AA17" s="1695" t="s">
        <v>1573</v>
      </c>
      <c r="AB17" s="1696" t="s">
        <v>1574</v>
      </c>
      <c r="AC17" s="1695" t="s">
        <v>1575</v>
      </c>
      <c r="AD17" s="1696" t="s">
        <v>1576</v>
      </c>
      <c r="AE17" s="1695" t="s">
        <v>1577</v>
      </c>
      <c r="AF17" s="1696" t="s">
        <v>1578</v>
      </c>
      <c r="AG17" s="1695" t="s">
        <v>1579</v>
      </c>
      <c r="AH17" s="1696" t="s">
        <v>1580</v>
      </c>
      <c r="AI17" s="1695" t="s">
        <v>1581</v>
      </c>
      <c r="AJ17" s="1696" t="s">
        <v>1582</v>
      </c>
      <c r="AK17" s="1695" t="s">
        <v>1583</v>
      </c>
      <c r="AL17" s="1696" t="s">
        <v>1584</v>
      </c>
      <c r="AM17" s="1695" t="s">
        <v>1585</v>
      </c>
      <c r="AN17" s="1780" t="s">
        <v>1586</v>
      </c>
      <c r="AO17" s="1781" t="s">
        <v>1587</v>
      </c>
      <c r="AP17" s="1782" t="s">
        <v>1588</v>
      </c>
      <c r="AQ17" s="1783" t="s">
        <v>1589</v>
      </c>
      <c r="AR17" s="1696" t="s">
        <v>1590</v>
      </c>
      <c r="AS17" s="1783" t="s">
        <v>1591</v>
      </c>
      <c r="AT17" s="1696" t="s">
        <v>1592</v>
      </c>
      <c r="AU17" s="1784" t="s">
        <v>1593</v>
      </c>
      <c r="AV17" s="1784" t="s">
        <v>1594</v>
      </c>
      <c r="AW17" s="1784" t="s">
        <v>1595</v>
      </c>
      <c r="AX17" s="1784" t="s">
        <v>1596</v>
      </c>
      <c r="AY17" s="1784" t="s">
        <v>1597</v>
      </c>
      <c r="AZ17" s="1514" t="str">
        <f t="shared" si="30"/>
        <v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BA17" s="178"/>
      <c r="BB17" s="178"/>
      <c r="BC17" s="175"/>
      <c r="CC17" s="348" t="str">
        <f t="shared" si="0"/>
        <v xml:space="preserve">* La celda 'Gestantes' debe ser menor o igual al Total de Mujeres en control. </v>
      </c>
      <c r="CD17" s="348" t="str">
        <f t="shared" si="1"/>
        <v xml:space="preserve">* La celda 'Madres de Hijos menor de 5 años' debe ser menor o igual al Total de Mujeres en control. </v>
      </c>
      <c r="CE17" s="348" t="str">
        <f t="shared" si="2"/>
        <v xml:space="preserve">* La celda 'Pueblos Originarios / Hombres' debe ser menor o igual al Total de Hombres en control. </v>
      </c>
      <c r="CF17" s="348" t="str">
        <f t="shared" si="3"/>
        <v xml:space="preserve">* La celda 'Pueblos Originarios / Mujeres' debe ser menor o igual al Total de Mujeres en control. </v>
      </c>
      <c r="CG17" s="348" t="str">
        <f t="shared" si="4"/>
        <v xml:space="preserve">* La celda 'Población Migrantes / Hombres' debe ser menor o igual al Total de Hombres en control. </v>
      </c>
      <c r="CH17" s="348" t="str">
        <f t="shared" si="5"/>
        <v xml:space="preserve">* La celda 'Población Migrantes / Mujeres' debe ser menor o igual al Total de Mujeres en control. </v>
      </c>
      <c r="CI17" s="348" t="str">
        <f t="shared" si="6"/>
        <v xml:space="preserve">* La celda 'Niños, Niñas, Adolescentes y Jóvenes de Población SENAME' debe ser menor o igual al Total de Ambos Sexos. </v>
      </c>
      <c r="CJ17" s="348" t="str">
        <f t="shared" si="7"/>
        <v xml:space="preserve">* La celda 'Niños, Niñas, Adolescentes y Jóvenes Mejor Niñez' debe ser menor o igual al Total de Ambos Sexos. </v>
      </c>
      <c r="CK17" s="348" t="str">
        <f t="shared" si="8"/>
        <v xml:space="preserve">* La celda 'Plan Cuidado Integral Elaborado' debe ser menor o igual al Total de Personas en control. </v>
      </c>
      <c r="CL17" s="348" t="str">
        <f t="shared" si="31"/>
        <v xml:space="preserve"> * La variable Trans Masculino no debe ser mayor al Total Mujeres.</v>
      </c>
      <c r="CM17" s="348" t="str">
        <f t="shared" si="32"/>
        <v xml:space="preserve"> * La variable Trans Femenino no debe ser mayor al Total Hombre.</v>
      </c>
      <c r="CN17" s="354"/>
      <c r="CO17" s="348" t="str">
        <f t="shared" si="33"/>
        <v/>
      </c>
      <c r="CP17" s="348" t="str">
        <f t="shared" si="34"/>
        <v/>
      </c>
      <c r="CQ17" s="348" t="str">
        <f t="shared" si="35"/>
        <v/>
      </c>
      <c r="CR17" s="348" t="str">
        <f t="shared" si="36"/>
        <v/>
      </c>
      <c r="CS17" s="348" t="str">
        <f t="shared" si="37"/>
        <v/>
      </c>
      <c r="CT17" s="348" t="str">
        <f t="shared" si="38"/>
        <v/>
      </c>
      <c r="CU17" s="348" t="str">
        <f t="shared" si="9"/>
        <v/>
      </c>
      <c r="CV17" s="348" t="str">
        <f t="shared" si="10"/>
        <v/>
      </c>
      <c r="CW17" s="348" t="str">
        <f t="shared" si="11"/>
        <v/>
      </c>
      <c r="CX17" s="175"/>
      <c r="CY17" s="175"/>
      <c r="CZ17" s="175"/>
      <c r="DA17" s="175"/>
      <c r="DB17" s="358">
        <f t="shared" si="12"/>
        <v>1</v>
      </c>
      <c r="DC17" s="358">
        <f t="shared" si="13"/>
        <v>1</v>
      </c>
      <c r="DD17" s="358">
        <f t="shared" si="14"/>
        <v>1</v>
      </c>
      <c r="DE17" s="358">
        <f t="shared" si="15"/>
        <v>1</v>
      </c>
      <c r="DF17" s="358">
        <f t="shared" si="16"/>
        <v>1</v>
      </c>
      <c r="DG17" s="358">
        <f t="shared" si="17"/>
        <v>1</v>
      </c>
      <c r="DH17" s="358">
        <f t="shared" si="18"/>
        <v>1</v>
      </c>
      <c r="DI17" s="358">
        <f t="shared" si="19"/>
        <v>1</v>
      </c>
      <c r="DJ17" s="358">
        <f t="shared" si="20"/>
        <v>1</v>
      </c>
      <c r="DK17" s="175"/>
      <c r="DL17" s="358">
        <f t="shared" si="21"/>
        <v>1</v>
      </c>
      <c r="DM17" s="358">
        <f t="shared" si="22"/>
        <v>1</v>
      </c>
      <c r="DN17" s="175"/>
      <c r="DO17" s="358">
        <f t="shared" si="39"/>
        <v>0</v>
      </c>
      <c r="DP17" s="358">
        <f t="shared" si="40"/>
        <v>0</v>
      </c>
      <c r="DQ17" s="358">
        <f t="shared" si="23"/>
        <v>0</v>
      </c>
      <c r="DR17" s="358">
        <f t="shared" si="24"/>
        <v>0</v>
      </c>
      <c r="DS17" s="358">
        <f t="shared" si="25"/>
        <v>0</v>
      </c>
      <c r="DT17" s="358">
        <f t="shared" si="26"/>
        <v>0</v>
      </c>
      <c r="DU17" s="358">
        <f t="shared" si="27"/>
        <v>0</v>
      </c>
      <c r="DV17" s="358">
        <f t="shared" si="28"/>
        <v>0</v>
      </c>
      <c r="DW17" s="358">
        <f t="shared" si="29"/>
        <v>0</v>
      </c>
      <c r="DX17" s="960"/>
    </row>
    <row r="18" spans="1:128" s="141" customFormat="1" ht="22.2" customHeight="1" x14ac:dyDescent="0.3">
      <c r="A18" s="1637" t="s">
        <v>1280</v>
      </c>
      <c r="B18" s="2199" t="s">
        <v>547</v>
      </c>
      <c r="C18" s="1300" t="s">
        <v>548</v>
      </c>
      <c r="D18" s="1785" t="s">
        <v>1550</v>
      </c>
      <c r="E18" s="1785" t="s">
        <v>1551</v>
      </c>
      <c r="F18" s="1677" t="s">
        <v>1552</v>
      </c>
      <c r="G18" s="1786" t="s">
        <v>1553</v>
      </c>
      <c r="H18" s="1787" t="s">
        <v>1554</v>
      </c>
      <c r="I18" s="1678" t="s">
        <v>1555</v>
      </c>
      <c r="J18" s="1679" t="s">
        <v>1556</v>
      </c>
      <c r="K18" s="1678" t="s">
        <v>1557</v>
      </c>
      <c r="L18" s="1679" t="s">
        <v>1558</v>
      </c>
      <c r="M18" s="1678" t="s">
        <v>1559</v>
      </c>
      <c r="N18" s="1679" t="s">
        <v>1560</v>
      </c>
      <c r="O18" s="1678" t="s">
        <v>1561</v>
      </c>
      <c r="P18" s="1679" t="s">
        <v>1562</v>
      </c>
      <c r="Q18" s="1678" t="s">
        <v>1563</v>
      </c>
      <c r="R18" s="1679" t="s">
        <v>1564</v>
      </c>
      <c r="S18" s="1678" t="s">
        <v>1565</v>
      </c>
      <c r="T18" s="1679" t="s">
        <v>1566</v>
      </c>
      <c r="U18" s="1678" t="s">
        <v>1567</v>
      </c>
      <c r="V18" s="1679" t="s">
        <v>1568</v>
      </c>
      <c r="W18" s="1678" t="s">
        <v>1569</v>
      </c>
      <c r="X18" s="1679" t="s">
        <v>1570</v>
      </c>
      <c r="Y18" s="1678" t="s">
        <v>1571</v>
      </c>
      <c r="Z18" s="1679" t="s">
        <v>1572</v>
      </c>
      <c r="AA18" s="1678" t="s">
        <v>1573</v>
      </c>
      <c r="AB18" s="1679" t="s">
        <v>1574</v>
      </c>
      <c r="AC18" s="1678" t="s">
        <v>1575</v>
      </c>
      <c r="AD18" s="1679" t="s">
        <v>1576</v>
      </c>
      <c r="AE18" s="1678" t="s">
        <v>1577</v>
      </c>
      <c r="AF18" s="1679" t="s">
        <v>1578</v>
      </c>
      <c r="AG18" s="1678" t="s">
        <v>1579</v>
      </c>
      <c r="AH18" s="1679" t="s">
        <v>1580</v>
      </c>
      <c r="AI18" s="1678" t="s">
        <v>1581</v>
      </c>
      <c r="AJ18" s="1679" t="s">
        <v>1582</v>
      </c>
      <c r="AK18" s="1678" t="s">
        <v>1583</v>
      </c>
      <c r="AL18" s="1679" t="s">
        <v>1584</v>
      </c>
      <c r="AM18" s="1678" t="s">
        <v>1585</v>
      </c>
      <c r="AN18" s="1775" t="s">
        <v>1586</v>
      </c>
      <c r="AO18" s="1776" t="s">
        <v>1587</v>
      </c>
      <c r="AP18" s="1682" t="s">
        <v>1588</v>
      </c>
      <c r="AQ18" s="1683" t="s">
        <v>1589</v>
      </c>
      <c r="AR18" s="1679" t="s">
        <v>1590</v>
      </c>
      <c r="AS18" s="1683" t="s">
        <v>1591</v>
      </c>
      <c r="AT18" s="1679" t="s">
        <v>1592</v>
      </c>
      <c r="AU18" s="1777" t="s">
        <v>1593</v>
      </c>
      <c r="AV18" s="1777" t="s">
        <v>1594</v>
      </c>
      <c r="AW18" s="1777" t="s">
        <v>1595</v>
      </c>
      <c r="AX18" s="1777" t="s">
        <v>1596</v>
      </c>
      <c r="AY18" s="1777" t="s">
        <v>1597</v>
      </c>
      <c r="AZ18" s="1514" t="str">
        <f t="shared" si="30"/>
        <v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BA18" s="178"/>
      <c r="BB18" s="178"/>
      <c r="BC18" s="175"/>
      <c r="CC18" s="348" t="str">
        <f t="shared" si="0"/>
        <v xml:space="preserve">* La celda 'Gestantes' debe ser menor o igual al Total de Mujeres en control. </v>
      </c>
      <c r="CD18" s="348" t="str">
        <f t="shared" si="1"/>
        <v xml:space="preserve">* La celda 'Madres de Hijos menor de 5 años' debe ser menor o igual al Total de Mujeres en control. </v>
      </c>
      <c r="CE18" s="348" t="str">
        <f t="shared" si="2"/>
        <v xml:space="preserve">* La celda 'Pueblos Originarios / Hombres' debe ser menor o igual al Total de Hombres en control. </v>
      </c>
      <c r="CF18" s="348" t="str">
        <f t="shared" si="3"/>
        <v xml:space="preserve">* La celda 'Pueblos Originarios / Mujeres' debe ser menor o igual al Total de Mujeres en control. </v>
      </c>
      <c r="CG18" s="348" t="str">
        <f t="shared" si="4"/>
        <v xml:space="preserve">* La celda 'Población Migrantes / Hombres' debe ser menor o igual al Total de Hombres en control. </v>
      </c>
      <c r="CH18" s="348" t="str">
        <f t="shared" si="5"/>
        <v xml:space="preserve">* La celda 'Población Migrantes / Mujeres' debe ser menor o igual al Total de Mujeres en control. </v>
      </c>
      <c r="CI18" s="348" t="str">
        <f t="shared" si="6"/>
        <v xml:space="preserve">* La celda 'Niños, Niñas, Adolescentes y Jóvenes de Población SENAME' debe ser menor o igual al Total de Ambos Sexos. </v>
      </c>
      <c r="CJ18" s="348" t="str">
        <f t="shared" si="7"/>
        <v xml:space="preserve">* La celda 'Niños, Niñas, Adolescentes y Jóvenes Mejor Niñez' debe ser menor o igual al Total de Ambos Sexos. </v>
      </c>
      <c r="CK18" s="348" t="str">
        <f t="shared" si="8"/>
        <v xml:space="preserve">* La celda 'Plan Cuidado Integral Elaborado' debe ser menor o igual al Total de Personas en control. </v>
      </c>
      <c r="CL18" s="348" t="str">
        <f t="shared" si="31"/>
        <v xml:space="preserve"> * La variable Trans Masculino no debe ser mayor al Total Mujeres.</v>
      </c>
      <c r="CM18" s="348" t="str">
        <f t="shared" si="32"/>
        <v xml:space="preserve"> * La variable Trans Femenino no debe ser mayor al Total Hombre.</v>
      </c>
      <c r="CN18" s="354"/>
      <c r="CO18" s="348" t="str">
        <f t="shared" si="33"/>
        <v/>
      </c>
      <c r="CP18" s="348" t="str">
        <f t="shared" si="34"/>
        <v/>
      </c>
      <c r="CQ18" s="348" t="str">
        <f t="shared" si="35"/>
        <v/>
      </c>
      <c r="CR18" s="348" t="str">
        <f t="shared" si="36"/>
        <v/>
      </c>
      <c r="CS18" s="348" t="str">
        <f t="shared" si="37"/>
        <v/>
      </c>
      <c r="CT18" s="348" t="str">
        <f t="shared" si="38"/>
        <v/>
      </c>
      <c r="CU18" s="348" t="str">
        <f t="shared" si="9"/>
        <v/>
      </c>
      <c r="CV18" s="348" t="str">
        <f t="shared" si="10"/>
        <v/>
      </c>
      <c r="CW18" s="348" t="str">
        <f t="shared" si="11"/>
        <v/>
      </c>
      <c r="CX18" s="175"/>
      <c r="CY18" s="175"/>
      <c r="CZ18" s="175"/>
      <c r="DA18" s="175"/>
      <c r="DB18" s="358">
        <f t="shared" si="12"/>
        <v>1</v>
      </c>
      <c r="DC18" s="358">
        <f t="shared" si="13"/>
        <v>1</v>
      </c>
      <c r="DD18" s="358">
        <f t="shared" si="14"/>
        <v>1</v>
      </c>
      <c r="DE18" s="358">
        <f t="shared" si="15"/>
        <v>1</v>
      </c>
      <c r="DF18" s="358">
        <f t="shared" si="16"/>
        <v>1</v>
      </c>
      <c r="DG18" s="358">
        <f t="shared" si="17"/>
        <v>1</v>
      </c>
      <c r="DH18" s="358">
        <f t="shared" si="18"/>
        <v>1</v>
      </c>
      <c r="DI18" s="358">
        <f t="shared" si="19"/>
        <v>1</v>
      </c>
      <c r="DJ18" s="358">
        <f t="shared" si="20"/>
        <v>1</v>
      </c>
      <c r="DK18" s="175"/>
      <c r="DL18" s="358">
        <f t="shared" si="21"/>
        <v>1</v>
      </c>
      <c r="DM18" s="358">
        <f t="shared" si="22"/>
        <v>1</v>
      </c>
      <c r="DN18" s="175"/>
      <c r="DO18" s="358">
        <f t="shared" si="39"/>
        <v>0</v>
      </c>
      <c r="DP18" s="358">
        <f t="shared" si="40"/>
        <v>0</v>
      </c>
      <c r="DQ18" s="358">
        <f t="shared" si="23"/>
        <v>0</v>
      </c>
      <c r="DR18" s="358">
        <f t="shared" si="24"/>
        <v>0</v>
      </c>
      <c r="DS18" s="358">
        <f t="shared" si="25"/>
        <v>0</v>
      </c>
      <c r="DT18" s="358">
        <f t="shared" si="26"/>
        <v>0</v>
      </c>
      <c r="DU18" s="358">
        <f t="shared" si="27"/>
        <v>0</v>
      </c>
      <c r="DV18" s="358">
        <f t="shared" si="28"/>
        <v>0</v>
      </c>
      <c r="DW18" s="358">
        <f t="shared" si="29"/>
        <v>0</v>
      </c>
      <c r="DX18" s="960"/>
    </row>
    <row r="19" spans="1:128" s="141" customFormat="1" ht="19.5" customHeight="1" x14ac:dyDescent="0.3">
      <c r="A19" s="1637" t="s">
        <v>1281</v>
      </c>
      <c r="B19" s="1865"/>
      <c r="C19" s="1268" t="s">
        <v>549</v>
      </c>
      <c r="D19" s="1764" t="s">
        <v>1550</v>
      </c>
      <c r="E19" s="1764" t="s">
        <v>1551</v>
      </c>
      <c r="F19" s="1765" t="s">
        <v>1552</v>
      </c>
      <c r="G19" s="1788" t="s">
        <v>1553</v>
      </c>
      <c r="H19" s="1789" t="s">
        <v>1554</v>
      </c>
      <c r="I19" s="1695" t="s">
        <v>1555</v>
      </c>
      <c r="J19" s="1696" t="s">
        <v>1556</v>
      </c>
      <c r="K19" s="1695" t="s">
        <v>1557</v>
      </c>
      <c r="L19" s="1696" t="s">
        <v>1558</v>
      </c>
      <c r="M19" s="1695" t="s">
        <v>1559</v>
      </c>
      <c r="N19" s="1696" t="s">
        <v>1560</v>
      </c>
      <c r="O19" s="1695" t="s">
        <v>1561</v>
      </c>
      <c r="P19" s="1696" t="s">
        <v>1562</v>
      </c>
      <c r="Q19" s="1695" t="s">
        <v>1563</v>
      </c>
      <c r="R19" s="1696" t="s">
        <v>1564</v>
      </c>
      <c r="S19" s="1695" t="s">
        <v>1565</v>
      </c>
      <c r="T19" s="1696" t="s">
        <v>1566</v>
      </c>
      <c r="U19" s="1695" t="s">
        <v>1567</v>
      </c>
      <c r="V19" s="1696" t="s">
        <v>1568</v>
      </c>
      <c r="W19" s="1695" t="s">
        <v>1569</v>
      </c>
      <c r="X19" s="1696" t="s">
        <v>1570</v>
      </c>
      <c r="Y19" s="1695" t="s">
        <v>1571</v>
      </c>
      <c r="Z19" s="1696" t="s">
        <v>1572</v>
      </c>
      <c r="AA19" s="1695" t="s">
        <v>1573</v>
      </c>
      <c r="AB19" s="1696" t="s">
        <v>1574</v>
      </c>
      <c r="AC19" s="1695" t="s">
        <v>1575</v>
      </c>
      <c r="AD19" s="1696" t="s">
        <v>1576</v>
      </c>
      <c r="AE19" s="1695" t="s">
        <v>1577</v>
      </c>
      <c r="AF19" s="1696" t="s">
        <v>1578</v>
      </c>
      <c r="AG19" s="1695" t="s">
        <v>1579</v>
      </c>
      <c r="AH19" s="1696" t="s">
        <v>1580</v>
      </c>
      <c r="AI19" s="1695" t="s">
        <v>1581</v>
      </c>
      <c r="AJ19" s="1696" t="s">
        <v>1582</v>
      </c>
      <c r="AK19" s="1695" t="s">
        <v>1583</v>
      </c>
      <c r="AL19" s="1696" t="s">
        <v>1584</v>
      </c>
      <c r="AM19" s="1695" t="s">
        <v>1585</v>
      </c>
      <c r="AN19" s="1780" t="s">
        <v>1586</v>
      </c>
      <c r="AO19" s="1781" t="s">
        <v>1587</v>
      </c>
      <c r="AP19" s="1782" t="s">
        <v>1588</v>
      </c>
      <c r="AQ19" s="1783" t="s">
        <v>1589</v>
      </c>
      <c r="AR19" s="1696" t="s">
        <v>1590</v>
      </c>
      <c r="AS19" s="1783" t="s">
        <v>1591</v>
      </c>
      <c r="AT19" s="1696" t="s">
        <v>1592</v>
      </c>
      <c r="AU19" s="1784" t="s">
        <v>1593</v>
      </c>
      <c r="AV19" s="1784" t="s">
        <v>1594</v>
      </c>
      <c r="AW19" s="1784" t="s">
        <v>1595</v>
      </c>
      <c r="AX19" s="1784" t="s">
        <v>1596</v>
      </c>
      <c r="AY19" s="1784" t="s">
        <v>1597</v>
      </c>
      <c r="AZ19" s="1514" t="str">
        <f t="shared" si="30"/>
        <v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BA19" s="178"/>
      <c r="BB19" s="178"/>
      <c r="BC19" s="175"/>
      <c r="CC19" s="348" t="str">
        <f t="shared" si="0"/>
        <v xml:space="preserve">* La celda 'Gestantes' debe ser menor o igual al Total de Mujeres en control. </v>
      </c>
      <c r="CD19" s="348" t="str">
        <f t="shared" si="1"/>
        <v xml:space="preserve">* La celda 'Madres de Hijos menor de 5 años' debe ser menor o igual al Total de Mujeres en control. </v>
      </c>
      <c r="CE19" s="348" t="str">
        <f t="shared" si="2"/>
        <v xml:space="preserve">* La celda 'Pueblos Originarios / Hombres' debe ser menor o igual al Total de Hombres en control. </v>
      </c>
      <c r="CF19" s="348" t="str">
        <f t="shared" si="3"/>
        <v xml:space="preserve">* La celda 'Pueblos Originarios / Mujeres' debe ser menor o igual al Total de Mujeres en control. </v>
      </c>
      <c r="CG19" s="348" t="str">
        <f t="shared" si="4"/>
        <v xml:space="preserve">* La celda 'Población Migrantes / Hombres' debe ser menor o igual al Total de Hombres en control. </v>
      </c>
      <c r="CH19" s="348" t="str">
        <f t="shared" si="5"/>
        <v xml:space="preserve">* La celda 'Población Migrantes / Mujeres' debe ser menor o igual al Total de Mujeres en control. </v>
      </c>
      <c r="CI19" s="348" t="str">
        <f t="shared" si="6"/>
        <v xml:space="preserve">* La celda 'Niños, Niñas, Adolescentes y Jóvenes de Población SENAME' debe ser menor o igual al Total de Ambos Sexos. </v>
      </c>
      <c r="CJ19" s="348" t="str">
        <f t="shared" si="7"/>
        <v xml:space="preserve">* La celda 'Niños, Niñas, Adolescentes y Jóvenes Mejor Niñez' debe ser menor o igual al Total de Ambos Sexos. </v>
      </c>
      <c r="CK19" s="348" t="str">
        <f t="shared" si="8"/>
        <v xml:space="preserve">* La celda 'Plan Cuidado Integral Elaborado' debe ser menor o igual al Total de Personas en control. </v>
      </c>
      <c r="CL19" s="348" t="str">
        <f t="shared" si="31"/>
        <v xml:space="preserve"> * La variable Trans Masculino no debe ser mayor al Total Mujeres.</v>
      </c>
      <c r="CM19" s="348" t="str">
        <f t="shared" si="32"/>
        <v xml:space="preserve"> * La variable Trans Femenino no debe ser mayor al Total Hombre.</v>
      </c>
      <c r="CN19" s="354"/>
      <c r="CO19" s="348" t="str">
        <f t="shared" si="33"/>
        <v/>
      </c>
      <c r="CP19" s="348" t="str">
        <f t="shared" si="34"/>
        <v/>
      </c>
      <c r="CQ19" s="348" t="str">
        <f t="shared" si="35"/>
        <v/>
      </c>
      <c r="CR19" s="348" t="str">
        <f t="shared" si="36"/>
        <v/>
      </c>
      <c r="CS19" s="348" t="str">
        <f t="shared" si="37"/>
        <v/>
      </c>
      <c r="CT19" s="348" t="str">
        <f t="shared" si="38"/>
        <v/>
      </c>
      <c r="CU19" s="348" t="str">
        <f t="shared" si="9"/>
        <v/>
      </c>
      <c r="CV19" s="348" t="str">
        <f t="shared" si="10"/>
        <v/>
      </c>
      <c r="CW19" s="348" t="str">
        <f t="shared" si="11"/>
        <v/>
      </c>
      <c r="CX19" s="175"/>
      <c r="CY19" s="175"/>
      <c r="CZ19" s="175"/>
      <c r="DA19" s="175"/>
      <c r="DB19" s="358">
        <f t="shared" si="12"/>
        <v>1</v>
      </c>
      <c r="DC19" s="358">
        <f t="shared" si="13"/>
        <v>1</v>
      </c>
      <c r="DD19" s="358">
        <f t="shared" si="14"/>
        <v>1</v>
      </c>
      <c r="DE19" s="358">
        <f t="shared" si="15"/>
        <v>1</v>
      </c>
      <c r="DF19" s="358">
        <f t="shared" si="16"/>
        <v>1</v>
      </c>
      <c r="DG19" s="358">
        <f t="shared" si="17"/>
        <v>1</v>
      </c>
      <c r="DH19" s="358">
        <f t="shared" si="18"/>
        <v>1</v>
      </c>
      <c r="DI19" s="358">
        <f t="shared" si="19"/>
        <v>1</v>
      </c>
      <c r="DJ19" s="358">
        <f t="shared" si="20"/>
        <v>1</v>
      </c>
      <c r="DK19" s="175"/>
      <c r="DL19" s="358">
        <f t="shared" si="21"/>
        <v>1</v>
      </c>
      <c r="DM19" s="358">
        <f t="shared" si="22"/>
        <v>1</v>
      </c>
      <c r="DN19" s="175"/>
      <c r="DO19" s="358">
        <f t="shared" si="39"/>
        <v>0</v>
      </c>
      <c r="DP19" s="358">
        <f t="shared" si="40"/>
        <v>0</v>
      </c>
      <c r="DQ19" s="358">
        <f t="shared" si="23"/>
        <v>0</v>
      </c>
      <c r="DR19" s="358">
        <f t="shared" si="24"/>
        <v>0</v>
      </c>
      <c r="DS19" s="358">
        <f t="shared" si="25"/>
        <v>0</v>
      </c>
      <c r="DT19" s="358">
        <f t="shared" si="26"/>
        <v>0</v>
      </c>
      <c r="DU19" s="358">
        <f t="shared" si="27"/>
        <v>0</v>
      </c>
      <c r="DV19" s="358">
        <f t="shared" si="28"/>
        <v>0</v>
      </c>
      <c r="DW19" s="358">
        <f t="shared" si="29"/>
        <v>0</v>
      </c>
      <c r="DX19" s="960"/>
    </row>
    <row r="20" spans="1:128" s="141" customFormat="1" ht="15.75" customHeight="1" x14ac:dyDescent="0.3">
      <c r="A20" s="1637" t="s">
        <v>1282</v>
      </c>
      <c r="B20" s="2346" t="s">
        <v>339</v>
      </c>
      <c r="C20" s="2391"/>
      <c r="D20" s="1657" t="s">
        <v>1550</v>
      </c>
      <c r="E20" s="1658" t="s">
        <v>1551</v>
      </c>
      <c r="F20" s="1659" t="s">
        <v>1552</v>
      </c>
      <c r="G20" s="1660" t="s">
        <v>1553</v>
      </c>
      <c r="H20" s="1662" t="s">
        <v>1554</v>
      </c>
      <c r="I20" s="1660" t="s">
        <v>1555</v>
      </c>
      <c r="J20" s="1662" t="s">
        <v>1556</v>
      </c>
      <c r="K20" s="1660" t="s">
        <v>1557</v>
      </c>
      <c r="L20" s="1662" t="s">
        <v>1558</v>
      </c>
      <c r="M20" s="1660" t="s">
        <v>1559</v>
      </c>
      <c r="N20" s="1662" t="s">
        <v>1560</v>
      </c>
      <c r="O20" s="1660" t="s">
        <v>1561</v>
      </c>
      <c r="P20" s="1662" t="s">
        <v>1562</v>
      </c>
      <c r="Q20" s="1660" t="s">
        <v>1563</v>
      </c>
      <c r="R20" s="1662" t="s">
        <v>1564</v>
      </c>
      <c r="S20" s="1660" t="s">
        <v>1565</v>
      </c>
      <c r="T20" s="1662" t="s">
        <v>1566</v>
      </c>
      <c r="U20" s="1660" t="s">
        <v>1567</v>
      </c>
      <c r="V20" s="1662" t="s">
        <v>1568</v>
      </c>
      <c r="W20" s="1660" t="s">
        <v>1569</v>
      </c>
      <c r="X20" s="1662" t="s">
        <v>1570</v>
      </c>
      <c r="Y20" s="1660" t="s">
        <v>1571</v>
      </c>
      <c r="Z20" s="1662" t="s">
        <v>1572</v>
      </c>
      <c r="AA20" s="1660" t="s">
        <v>1573</v>
      </c>
      <c r="AB20" s="1662" t="s">
        <v>1574</v>
      </c>
      <c r="AC20" s="1660" t="s">
        <v>1575</v>
      </c>
      <c r="AD20" s="1662" t="s">
        <v>1576</v>
      </c>
      <c r="AE20" s="1660" t="s">
        <v>1577</v>
      </c>
      <c r="AF20" s="1662" t="s">
        <v>1578</v>
      </c>
      <c r="AG20" s="1660" t="s">
        <v>1579</v>
      </c>
      <c r="AH20" s="1662" t="s">
        <v>1580</v>
      </c>
      <c r="AI20" s="1660" t="s">
        <v>1581</v>
      </c>
      <c r="AJ20" s="1662" t="s">
        <v>1582</v>
      </c>
      <c r="AK20" s="1660" t="s">
        <v>1583</v>
      </c>
      <c r="AL20" s="1662" t="s">
        <v>1584</v>
      </c>
      <c r="AM20" s="1660" t="s">
        <v>1585</v>
      </c>
      <c r="AN20" s="1790" t="s">
        <v>1586</v>
      </c>
      <c r="AO20" s="1770" t="s">
        <v>1587</v>
      </c>
      <c r="AP20" s="1664" t="s">
        <v>1588</v>
      </c>
      <c r="AQ20" s="1665" t="s">
        <v>1589</v>
      </c>
      <c r="AR20" s="1662" t="s">
        <v>1590</v>
      </c>
      <c r="AS20" s="1665" t="s">
        <v>1591</v>
      </c>
      <c r="AT20" s="1662" t="s">
        <v>1592</v>
      </c>
      <c r="AU20" s="1771" t="s">
        <v>1593</v>
      </c>
      <c r="AV20" s="1771" t="s">
        <v>1594</v>
      </c>
      <c r="AW20" s="1772" t="s">
        <v>1595</v>
      </c>
      <c r="AX20" s="1772" t="s">
        <v>1596</v>
      </c>
      <c r="AY20" s="1772" t="s">
        <v>1597</v>
      </c>
      <c r="AZ20" s="1514" t="str">
        <f t="shared" si="30"/>
        <v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BA20" s="181"/>
      <c r="BB20" s="181"/>
      <c r="CC20" s="348" t="str">
        <f t="shared" si="0"/>
        <v xml:space="preserve">* La celda 'Gestantes' debe ser menor o igual al Total de Mujeres en control. </v>
      </c>
      <c r="CD20" s="348" t="str">
        <f t="shared" si="1"/>
        <v xml:space="preserve">* La celda 'Madres de Hijos menor de 5 años' debe ser menor o igual al Total de Mujeres en control. </v>
      </c>
      <c r="CE20" s="348" t="str">
        <f t="shared" si="2"/>
        <v xml:space="preserve">* La celda 'Pueblos Originarios / Hombres' debe ser menor o igual al Total de Hombres en control. </v>
      </c>
      <c r="CF20" s="348" t="str">
        <f t="shared" si="3"/>
        <v xml:space="preserve">* La celda 'Pueblos Originarios / Mujeres' debe ser menor o igual al Total de Mujeres en control. </v>
      </c>
      <c r="CG20" s="348" t="str">
        <f t="shared" si="4"/>
        <v xml:space="preserve">* La celda 'Población Migrantes / Hombres' debe ser menor o igual al Total de Hombres en control. </v>
      </c>
      <c r="CH20" s="348" t="str">
        <f t="shared" si="5"/>
        <v xml:space="preserve">* La celda 'Población Migrantes / Mujeres' debe ser menor o igual al Total de Mujeres en control. </v>
      </c>
      <c r="CI20" s="348" t="str">
        <f t="shared" si="6"/>
        <v xml:space="preserve">* La celda 'Niños, Niñas, Adolescentes y Jóvenes de Población SENAME' debe ser menor o igual al Total de Ambos Sexos. </v>
      </c>
      <c r="CJ20" s="348" t="str">
        <f t="shared" si="7"/>
        <v xml:space="preserve">* La celda 'Niños, Niñas, Adolescentes y Jóvenes Mejor Niñez' debe ser menor o igual al Total de Ambos Sexos. </v>
      </c>
      <c r="CK20" s="348" t="str">
        <f t="shared" si="8"/>
        <v xml:space="preserve">* La celda 'Plan Cuidado Integral Elaborado' debe ser menor o igual al Total de Personas en control. </v>
      </c>
      <c r="CL20" s="348" t="str">
        <f t="shared" si="31"/>
        <v xml:space="preserve"> * La variable Trans Masculino no debe ser mayor al Total Mujeres.</v>
      </c>
      <c r="CM20" s="348" t="str">
        <f t="shared" si="32"/>
        <v xml:space="preserve"> * La variable Trans Femenino no debe ser mayor al Total Hombre.</v>
      </c>
      <c r="CN20" s="354"/>
      <c r="CO20" s="348" t="str">
        <f t="shared" si="33"/>
        <v/>
      </c>
      <c r="CP20" s="348" t="str">
        <f t="shared" si="34"/>
        <v/>
      </c>
      <c r="CQ20" s="348" t="str">
        <f t="shared" si="35"/>
        <v/>
      </c>
      <c r="CR20" s="348" t="str">
        <f t="shared" si="36"/>
        <v/>
      </c>
      <c r="CS20" s="348" t="str">
        <f t="shared" si="37"/>
        <v/>
      </c>
      <c r="CT20" s="348" t="str">
        <f t="shared" si="38"/>
        <v/>
      </c>
      <c r="CU20" s="348" t="str">
        <f>IF(AND($D20&lt;&gt;0,$AU20=""),"* No olvide escribir en la celda de Niños, Niñas, Adolescentes y Jóvenes SENAME. (Digite CERO si no tiene). ","")</f>
        <v/>
      </c>
      <c r="CV20" s="348" t="str">
        <f t="shared" si="10"/>
        <v/>
      </c>
      <c r="CW20" s="348" t="str">
        <f t="shared" si="11"/>
        <v/>
      </c>
      <c r="CX20" s="175"/>
      <c r="CY20" s="175"/>
      <c r="DB20" s="358">
        <f t="shared" si="12"/>
        <v>1</v>
      </c>
      <c r="DC20" s="358">
        <f t="shared" si="13"/>
        <v>1</v>
      </c>
      <c r="DD20" s="358">
        <f t="shared" si="14"/>
        <v>1</v>
      </c>
      <c r="DE20" s="358">
        <f t="shared" si="15"/>
        <v>1</v>
      </c>
      <c r="DF20" s="358">
        <f t="shared" si="16"/>
        <v>1</v>
      </c>
      <c r="DG20" s="358">
        <f t="shared" si="17"/>
        <v>1</v>
      </c>
      <c r="DH20" s="358">
        <f t="shared" si="18"/>
        <v>1</v>
      </c>
      <c r="DI20" s="358">
        <f t="shared" si="19"/>
        <v>1</v>
      </c>
      <c r="DJ20" s="358">
        <f t="shared" si="20"/>
        <v>1</v>
      </c>
      <c r="DK20" s="175"/>
      <c r="DL20" s="358">
        <f t="shared" si="21"/>
        <v>1</v>
      </c>
      <c r="DM20" s="358">
        <f t="shared" si="22"/>
        <v>1</v>
      </c>
      <c r="DN20" s="175"/>
      <c r="DO20" s="358">
        <f t="shared" si="39"/>
        <v>0</v>
      </c>
      <c r="DP20" s="358">
        <f t="shared" si="40"/>
        <v>0</v>
      </c>
      <c r="DQ20" s="358">
        <f t="shared" si="23"/>
        <v>0</v>
      </c>
      <c r="DR20" s="358">
        <f t="shared" si="24"/>
        <v>0</v>
      </c>
      <c r="DS20" s="358">
        <f t="shared" si="25"/>
        <v>0</v>
      </c>
      <c r="DT20" s="358">
        <f t="shared" si="26"/>
        <v>0</v>
      </c>
      <c r="DU20" s="358">
        <f t="shared" si="27"/>
        <v>0</v>
      </c>
      <c r="DV20" s="358">
        <f t="shared" si="28"/>
        <v>0</v>
      </c>
      <c r="DW20" s="358">
        <f t="shared" si="29"/>
        <v>0</v>
      </c>
      <c r="DX20" s="960"/>
    </row>
    <row r="21" spans="1:128" s="141" customFormat="1" ht="21" customHeight="1" x14ac:dyDescent="0.3">
      <c r="A21" s="1637" t="s">
        <v>1283</v>
      </c>
      <c r="B21" s="2354" t="s">
        <v>214</v>
      </c>
      <c r="C21" s="179" t="s">
        <v>215</v>
      </c>
      <c r="D21" s="1703" t="s">
        <v>1550</v>
      </c>
      <c r="E21" s="1704" t="s">
        <v>1551</v>
      </c>
      <c r="F21" s="1723" t="s">
        <v>1552</v>
      </c>
      <c r="G21" s="1687" t="s">
        <v>1553</v>
      </c>
      <c r="H21" s="1688" t="s">
        <v>1554</v>
      </c>
      <c r="I21" s="1687" t="s">
        <v>1555</v>
      </c>
      <c r="J21" s="1688" t="s">
        <v>1556</v>
      </c>
      <c r="K21" s="1687" t="s">
        <v>1557</v>
      </c>
      <c r="L21" s="1688" t="s">
        <v>1558</v>
      </c>
      <c r="M21" s="1687" t="s">
        <v>1559</v>
      </c>
      <c r="N21" s="1688" t="s">
        <v>1560</v>
      </c>
      <c r="O21" s="1687" t="s">
        <v>1561</v>
      </c>
      <c r="P21" s="1688" t="s">
        <v>1562</v>
      </c>
      <c r="Q21" s="1687" t="s">
        <v>1563</v>
      </c>
      <c r="R21" s="1688" t="s">
        <v>1564</v>
      </c>
      <c r="S21" s="1687" t="s">
        <v>1565</v>
      </c>
      <c r="T21" s="1688" t="s">
        <v>1566</v>
      </c>
      <c r="U21" s="1687" t="s">
        <v>1567</v>
      </c>
      <c r="V21" s="1688" t="s">
        <v>1568</v>
      </c>
      <c r="W21" s="1687" t="s">
        <v>1569</v>
      </c>
      <c r="X21" s="1688" t="s">
        <v>1570</v>
      </c>
      <c r="Y21" s="1687" t="s">
        <v>1571</v>
      </c>
      <c r="Z21" s="1688" t="s">
        <v>1572</v>
      </c>
      <c r="AA21" s="1687" t="s">
        <v>1573</v>
      </c>
      <c r="AB21" s="1688" t="s">
        <v>1574</v>
      </c>
      <c r="AC21" s="1687" t="s">
        <v>1575</v>
      </c>
      <c r="AD21" s="1688" t="s">
        <v>1576</v>
      </c>
      <c r="AE21" s="1687" t="s">
        <v>1577</v>
      </c>
      <c r="AF21" s="1688" t="s">
        <v>1578</v>
      </c>
      <c r="AG21" s="1687" t="s">
        <v>1579</v>
      </c>
      <c r="AH21" s="1688" t="s">
        <v>1580</v>
      </c>
      <c r="AI21" s="1687" t="s">
        <v>1581</v>
      </c>
      <c r="AJ21" s="1688" t="s">
        <v>1582</v>
      </c>
      <c r="AK21" s="1687" t="s">
        <v>1583</v>
      </c>
      <c r="AL21" s="1688" t="s">
        <v>1584</v>
      </c>
      <c r="AM21" s="1687" t="s">
        <v>1585</v>
      </c>
      <c r="AN21" s="1752" t="s">
        <v>1586</v>
      </c>
      <c r="AO21" s="1791" t="s">
        <v>1587</v>
      </c>
      <c r="AP21" s="1710" t="s">
        <v>1588</v>
      </c>
      <c r="AQ21" s="1711" t="s">
        <v>1589</v>
      </c>
      <c r="AR21" s="1688" t="s">
        <v>1590</v>
      </c>
      <c r="AS21" s="1711" t="s">
        <v>1591</v>
      </c>
      <c r="AT21" s="1688" t="s">
        <v>1592</v>
      </c>
      <c r="AU21" s="1792" t="s">
        <v>1593</v>
      </c>
      <c r="AV21" s="1792" t="s">
        <v>1594</v>
      </c>
      <c r="AW21" s="1792" t="s">
        <v>1595</v>
      </c>
      <c r="AX21" s="1792" t="s">
        <v>1596</v>
      </c>
      <c r="AY21" s="1792" t="s">
        <v>1597</v>
      </c>
      <c r="AZ21" s="1514" t="str">
        <f t="shared" si="30"/>
        <v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BA21" s="181"/>
      <c r="BB21" s="181"/>
      <c r="CC21" s="348" t="str">
        <f t="shared" si="0"/>
        <v xml:space="preserve">* La celda 'Gestantes' debe ser menor o igual al Total de Mujeres en control. </v>
      </c>
      <c r="CD21" s="348" t="str">
        <f t="shared" si="1"/>
        <v xml:space="preserve">* La celda 'Madres de Hijos menor de 5 años' debe ser menor o igual al Total de Mujeres en control. </v>
      </c>
      <c r="CE21" s="348" t="str">
        <f t="shared" si="2"/>
        <v xml:space="preserve">* La celda 'Pueblos Originarios / Hombres' debe ser menor o igual al Total de Hombres en control. </v>
      </c>
      <c r="CF21" s="348" t="str">
        <f t="shared" si="3"/>
        <v xml:space="preserve">* La celda 'Pueblos Originarios / Mujeres' debe ser menor o igual al Total de Mujeres en control. </v>
      </c>
      <c r="CG21" s="348" t="str">
        <f t="shared" si="4"/>
        <v xml:space="preserve">* La celda 'Población Migrantes / Hombres' debe ser menor o igual al Total de Hombres en control. </v>
      </c>
      <c r="CH21" s="348" t="str">
        <f t="shared" si="5"/>
        <v xml:space="preserve">* La celda 'Población Migrantes / Mujeres' debe ser menor o igual al Total de Mujeres en control. </v>
      </c>
      <c r="CI21" s="348" t="str">
        <f t="shared" si="6"/>
        <v xml:space="preserve">* La celda 'Niños, Niñas, Adolescentes y Jóvenes de Población SENAME' debe ser menor o igual al Total de Ambos Sexos. </v>
      </c>
      <c r="CJ21" s="348" t="str">
        <f t="shared" si="7"/>
        <v xml:space="preserve">* La celda 'Niños, Niñas, Adolescentes y Jóvenes Mejor Niñez' debe ser menor o igual al Total de Ambos Sexos. </v>
      </c>
      <c r="CK21" s="348" t="str">
        <f t="shared" si="8"/>
        <v xml:space="preserve">* La celda 'Plan Cuidado Integral Elaborado' debe ser menor o igual al Total de Personas en control. </v>
      </c>
      <c r="CL21" s="348" t="str">
        <f t="shared" si="31"/>
        <v xml:space="preserve"> * La variable Trans Masculino no debe ser mayor al Total Mujeres.</v>
      </c>
      <c r="CM21" s="348" t="str">
        <f t="shared" si="32"/>
        <v xml:space="preserve"> * La variable Trans Femenino no debe ser mayor al Total Hombre.</v>
      </c>
      <c r="CN21" s="354"/>
      <c r="CO21" s="348" t="str">
        <f t="shared" si="33"/>
        <v/>
      </c>
      <c r="CP21" s="348" t="str">
        <f t="shared" si="34"/>
        <v/>
      </c>
      <c r="CQ21" s="348" t="str">
        <f t="shared" si="35"/>
        <v/>
      </c>
      <c r="CR21" s="348" t="str">
        <f t="shared" si="36"/>
        <v/>
      </c>
      <c r="CS21" s="348" t="str">
        <f t="shared" si="37"/>
        <v/>
      </c>
      <c r="CT21" s="348" t="str">
        <f t="shared" si="38"/>
        <v/>
      </c>
      <c r="CU21" s="348" t="str">
        <f t="shared" si="9"/>
        <v/>
      </c>
      <c r="CV21" s="348" t="str">
        <f t="shared" si="10"/>
        <v/>
      </c>
      <c r="CW21" s="348" t="str">
        <f t="shared" si="11"/>
        <v/>
      </c>
      <c r="CX21" s="175"/>
      <c r="CY21" s="175"/>
      <c r="DB21" s="358">
        <f t="shared" si="12"/>
        <v>1</v>
      </c>
      <c r="DC21" s="358">
        <f t="shared" si="13"/>
        <v>1</v>
      </c>
      <c r="DD21" s="358">
        <f t="shared" si="14"/>
        <v>1</v>
      </c>
      <c r="DE21" s="358">
        <f t="shared" si="15"/>
        <v>1</v>
      </c>
      <c r="DF21" s="358">
        <f t="shared" si="16"/>
        <v>1</v>
      </c>
      <c r="DG21" s="358">
        <f t="shared" si="17"/>
        <v>1</v>
      </c>
      <c r="DH21" s="358">
        <f t="shared" si="18"/>
        <v>1</v>
      </c>
      <c r="DI21" s="358">
        <f t="shared" si="19"/>
        <v>1</v>
      </c>
      <c r="DJ21" s="358">
        <f t="shared" si="20"/>
        <v>1</v>
      </c>
      <c r="DK21" s="175"/>
      <c r="DL21" s="358">
        <f t="shared" si="21"/>
        <v>1</v>
      </c>
      <c r="DM21" s="358">
        <f t="shared" si="22"/>
        <v>1</v>
      </c>
      <c r="DN21" s="175"/>
      <c r="DO21" s="358">
        <f t="shared" si="39"/>
        <v>0</v>
      </c>
      <c r="DP21" s="358">
        <f t="shared" si="40"/>
        <v>0</v>
      </c>
      <c r="DQ21" s="358">
        <f t="shared" si="23"/>
        <v>0</v>
      </c>
      <c r="DR21" s="358">
        <f t="shared" si="24"/>
        <v>0</v>
      </c>
      <c r="DS21" s="358">
        <f t="shared" si="25"/>
        <v>0</v>
      </c>
      <c r="DT21" s="358">
        <f t="shared" si="26"/>
        <v>0</v>
      </c>
      <c r="DU21" s="358">
        <f t="shared" si="27"/>
        <v>0</v>
      </c>
      <c r="DV21" s="358">
        <f t="shared" si="28"/>
        <v>0</v>
      </c>
      <c r="DW21" s="358">
        <f t="shared" si="29"/>
        <v>0</v>
      </c>
      <c r="DX21" s="960"/>
    </row>
    <row r="22" spans="1:128" s="141" customFormat="1" ht="21" customHeight="1" x14ac:dyDescent="0.3">
      <c r="A22" s="1637" t="s">
        <v>1284</v>
      </c>
      <c r="B22" s="2392"/>
      <c r="C22" s="334" t="s">
        <v>216</v>
      </c>
      <c r="D22" s="1703" t="s">
        <v>1550</v>
      </c>
      <c r="E22" s="1704" t="s">
        <v>1551</v>
      </c>
      <c r="F22" s="1723" t="s">
        <v>1552</v>
      </c>
      <c r="G22" s="1689" t="s">
        <v>1553</v>
      </c>
      <c r="H22" s="1690" t="s">
        <v>1554</v>
      </c>
      <c r="I22" s="1689" t="s">
        <v>1555</v>
      </c>
      <c r="J22" s="1690" t="s">
        <v>1556</v>
      </c>
      <c r="K22" s="1689" t="s">
        <v>1557</v>
      </c>
      <c r="L22" s="1690" t="s">
        <v>1558</v>
      </c>
      <c r="M22" s="1689" t="s">
        <v>1559</v>
      </c>
      <c r="N22" s="1690" t="s">
        <v>1560</v>
      </c>
      <c r="O22" s="1689" t="s">
        <v>1561</v>
      </c>
      <c r="P22" s="1690" t="s">
        <v>1562</v>
      </c>
      <c r="Q22" s="1689" t="s">
        <v>1563</v>
      </c>
      <c r="R22" s="1690" t="s">
        <v>1564</v>
      </c>
      <c r="S22" s="1689" t="s">
        <v>1565</v>
      </c>
      <c r="T22" s="1690" t="s">
        <v>1566</v>
      </c>
      <c r="U22" s="1689" t="s">
        <v>1567</v>
      </c>
      <c r="V22" s="1690" t="s">
        <v>1568</v>
      </c>
      <c r="W22" s="1689" t="s">
        <v>1569</v>
      </c>
      <c r="X22" s="1690" t="s">
        <v>1570</v>
      </c>
      <c r="Y22" s="1689" t="s">
        <v>1571</v>
      </c>
      <c r="Z22" s="1690" t="s">
        <v>1572</v>
      </c>
      <c r="AA22" s="1689" t="s">
        <v>1573</v>
      </c>
      <c r="AB22" s="1690" t="s">
        <v>1574</v>
      </c>
      <c r="AC22" s="1689" t="s">
        <v>1575</v>
      </c>
      <c r="AD22" s="1690" t="s">
        <v>1576</v>
      </c>
      <c r="AE22" s="1689" t="s">
        <v>1577</v>
      </c>
      <c r="AF22" s="1690" t="s">
        <v>1578</v>
      </c>
      <c r="AG22" s="1689" t="s">
        <v>1579</v>
      </c>
      <c r="AH22" s="1690" t="s">
        <v>1580</v>
      </c>
      <c r="AI22" s="1689" t="s">
        <v>1581</v>
      </c>
      <c r="AJ22" s="1690" t="s">
        <v>1582</v>
      </c>
      <c r="AK22" s="1689" t="s">
        <v>1583</v>
      </c>
      <c r="AL22" s="1690" t="s">
        <v>1584</v>
      </c>
      <c r="AM22" s="1689" t="s">
        <v>1585</v>
      </c>
      <c r="AN22" s="1756" t="s">
        <v>1586</v>
      </c>
      <c r="AO22" s="1793" t="s">
        <v>1587</v>
      </c>
      <c r="AP22" s="1693" t="s">
        <v>1588</v>
      </c>
      <c r="AQ22" s="1694" t="s">
        <v>1589</v>
      </c>
      <c r="AR22" s="1690" t="s">
        <v>1590</v>
      </c>
      <c r="AS22" s="1694" t="s">
        <v>1591</v>
      </c>
      <c r="AT22" s="1690" t="s">
        <v>1592</v>
      </c>
      <c r="AU22" s="1794" t="s">
        <v>1593</v>
      </c>
      <c r="AV22" s="1794" t="s">
        <v>1594</v>
      </c>
      <c r="AW22" s="1794" t="s">
        <v>1595</v>
      </c>
      <c r="AX22" s="1794" t="s">
        <v>1596</v>
      </c>
      <c r="AY22" s="1794" t="s">
        <v>1597</v>
      </c>
      <c r="AZ22" s="1514" t="str">
        <f t="shared" si="30"/>
        <v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BA22" s="181"/>
      <c r="BB22" s="181"/>
      <c r="CC22" s="348" t="str">
        <f t="shared" si="0"/>
        <v xml:space="preserve">* La celda 'Gestantes' debe ser menor o igual al Total de Mujeres en control. </v>
      </c>
      <c r="CD22" s="348" t="str">
        <f t="shared" si="1"/>
        <v xml:space="preserve">* La celda 'Madres de Hijos menor de 5 años' debe ser menor o igual al Total de Mujeres en control. </v>
      </c>
      <c r="CE22" s="348" t="str">
        <f t="shared" si="2"/>
        <v xml:space="preserve">* La celda 'Pueblos Originarios / Hombres' debe ser menor o igual al Total de Hombres en control. </v>
      </c>
      <c r="CF22" s="348" t="str">
        <f t="shared" si="3"/>
        <v xml:space="preserve">* La celda 'Pueblos Originarios / Mujeres' debe ser menor o igual al Total de Mujeres en control. </v>
      </c>
      <c r="CG22" s="348" t="str">
        <f t="shared" si="4"/>
        <v xml:space="preserve">* La celda 'Población Migrantes / Hombres' debe ser menor o igual al Total de Hombres en control. </v>
      </c>
      <c r="CH22" s="348" t="str">
        <f t="shared" si="5"/>
        <v xml:space="preserve">* La celda 'Población Migrantes / Mujeres' debe ser menor o igual al Total de Mujeres en control. </v>
      </c>
      <c r="CI22" s="348" t="str">
        <f t="shared" si="6"/>
        <v xml:space="preserve">* La celda 'Niños, Niñas, Adolescentes y Jóvenes de Población SENAME' debe ser menor o igual al Total de Ambos Sexos. </v>
      </c>
      <c r="CJ22" s="348" t="str">
        <f t="shared" si="7"/>
        <v xml:space="preserve">* La celda 'Niños, Niñas, Adolescentes y Jóvenes Mejor Niñez' debe ser menor o igual al Total de Ambos Sexos. </v>
      </c>
      <c r="CK22" s="348" t="str">
        <f t="shared" si="8"/>
        <v xml:space="preserve">* La celda 'Plan Cuidado Integral Elaborado' debe ser menor o igual al Total de Personas en control. </v>
      </c>
      <c r="CL22" s="348" t="str">
        <f t="shared" si="31"/>
        <v xml:space="preserve"> * La variable Trans Masculino no debe ser mayor al Total Mujeres.</v>
      </c>
      <c r="CM22" s="348" t="str">
        <f t="shared" si="32"/>
        <v xml:space="preserve"> * La variable Trans Femenino no debe ser mayor al Total Hombre.</v>
      </c>
      <c r="CN22" s="354"/>
      <c r="CO22" s="348" t="str">
        <f t="shared" si="33"/>
        <v/>
      </c>
      <c r="CP22" s="348" t="str">
        <f t="shared" si="34"/>
        <v/>
      </c>
      <c r="CQ22" s="348" t="str">
        <f t="shared" si="35"/>
        <v/>
      </c>
      <c r="CR22" s="348" t="str">
        <f t="shared" si="36"/>
        <v/>
      </c>
      <c r="CS22" s="348" t="str">
        <f t="shared" si="37"/>
        <v/>
      </c>
      <c r="CT22" s="348" t="str">
        <f t="shared" si="38"/>
        <v/>
      </c>
      <c r="CU22" s="348" t="str">
        <f t="shared" si="9"/>
        <v/>
      </c>
      <c r="CV22" s="348" t="str">
        <f t="shared" si="10"/>
        <v/>
      </c>
      <c r="CW22" s="348" t="str">
        <f t="shared" si="11"/>
        <v/>
      </c>
      <c r="CX22" s="175"/>
      <c r="CY22" s="175"/>
      <c r="DB22" s="358">
        <f t="shared" si="12"/>
        <v>1</v>
      </c>
      <c r="DC22" s="358">
        <f t="shared" si="13"/>
        <v>1</v>
      </c>
      <c r="DD22" s="358">
        <f t="shared" si="14"/>
        <v>1</v>
      </c>
      <c r="DE22" s="358">
        <f t="shared" si="15"/>
        <v>1</v>
      </c>
      <c r="DF22" s="358">
        <f t="shared" si="16"/>
        <v>1</v>
      </c>
      <c r="DG22" s="358">
        <f t="shared" si="17"/>
        <v>1</v>
      </c>
      <c r="DH22" s="358">
        <f t="shared" si="18"/>
        <v>1</v>
      </c>
      <c r="DI22" s="358">
        <f t="shared" si="19"/>
        <v>1</v>
      </c>
      <c r="DJ22" s="358">
        <f t="shared" si="20"/>
        <v>1</v>
      </c>
      <c r="DK22" s="175"/>
      <c r="DL22" s="358">
        <f t="shared" si="21"/>
        <v>1</v>
      </c>
      <c r="DM22" s="358">
        <f t="shared" si="22"/>
        <v>1</v>
      </c>
      <c r="DN22" s="175"/>
      <c r="DO22" s="358">
        <f t="shared" si="39"/>
        <v>0</v>
      </c>
      <c r="DP22" s="358">
        <f t="shared" si="40"/>
        <v>0</v>
      </c>
      <c r="DQ22" s="358">
        <f t="shared" si="23"/>
        <v>0</v>
      </c>
      <c r="DR22" s="358">
        <f t="shared" si="24"/>
        <v>0</v>
      </c>
      <c r="DS22" s="358">
        <f t="shared" si="25"/>
        <v>0</v>
      </c>
      <c r="DT22" s="358">
        <f t="shared" si="26"/>
        <v>0</v>
      </c>
      <c r="DU22" s="358">
        <f t="shared" si="27"/>
        <v>0</v>
      </c>
      <c r="DV22" s="358">
        <f t="shared" si="28"/>
        <v>0</v>
      </c>
      <c r="DW22" s="358">
        <f t="shared" si="29"/>
        <v>0</v>
      </c>
      <c r="DX22" s="960"/>
    </row>
    <row r="23" spans="1:128" s="141" customFormat="1" ht="21" customHeight="1" x14ac:dyDescent="0.3">
      <c r="A23" s="1637" t="s">
        <v>1285</v>
      </c>
      <c r="B23" s="2392"/>
      <c r="C23" s="334" t="s">
        <v>217</v>
      </c>
      <c r="D23" s="1703" t="s">
        <v>1550</v>
      </c>
      <c r="E23" s="1704" t="s">
        <v>1551</v>
      </c>
      <c r="F23" s="1723" t="s">
        <v>1552</v>
      </c>
      <c r="G23" s="1689" t="s">
        <v>1553</v>
      </c>
      <c r="H23" s="1690" t="s">
        <v>1554</v>
      </c>
      <c r="I23" s="1689" t="s">
        <v>1555</v>
      </c>
      <c r="J23" s="1690" t="s">
        <v>1556</v>
      </c>
      <c r="K23" s="1689" t="s">
        <v>1557</v>
      </c>
      <c r="L23" s="1690" t="s">
        <v>1558</v>
      </c>
      <c r="M23" s="1689" t="s">
        <v>1559</v>
      </c>
      <c r="N23" s="1690" t="s">
        <v>1560</v>
      </c>
      <c r="O23" s="1689" t="s">
        <v>1561</v>
      </c>
      <c r="P23" s="1690" t="s">
        <v>1562</v>
      </c>
      <c r="Q23" s="1689" t="s">
        <v>1563</v>
      </c>
      <c r="R23" s="1690" t="s">
        <v>1564</v>
      </c>
      <c r="S23" s="1689" t="s">
        <v>1565</v>
      </c>
      <c r="T23" s="1690" t="s">
        <v>1566</v>
      </c>
      <c r="U23" s="1689" t="s">
        <v>1567</v>
      </c>
      <c r="V23" s="1690" t="s">
        <v>1568</v>
      </c>
      <c r="W23" s="1689" t="s">
        <v>1569</v>
      </c>
      <c r="X23" s="1690" t="s">
        <v>1570</v>
      </c>
      <c r="Y23" s="1689" t="s">
        <v>1571</v>
      </c>
      <c r="Z23" s="1690" t="s">
        <v>1572</v>
      </c>
      <c r="AA23" s="1689" t="s">
        <v>1573</v>
      </c>
      <c r="AB23" s="1690" t="s">
        <v>1574</v>
      </c>
      <c r="AC23" s="1689" t="s">
        <v>1575</v>
      </c>
      <c r="AD23" s="1690" t="s">
        <v>1576</v>
      </c>
      <c r="AE23" s="1689" t="s">
        <v>1577</v>
      </c>
      <c r="AF23" s="1690" t="s">
        <v>1578</v>
      </c>
      <c r="AG23" s="1689" t="s">
        <v>1579</v>
      </c>
      <c r="AH23" s="1690" t="s">
        <v>1580</v>
      </c>
      <c r="AI23" s="1689" t="s">
        <v>1581</v>
      </c>
      <c r="AJ23" s="1690" t="s">
        <v>1582</v>
      </c>
      <c r="AK23" s="1689" t="s">
        <v>1583</v>
      </c>
      <c r="AL23" s="1690" t="s">
        <v>1584</v>
      </c>
      <c r="AM23" s="1689" t="s">
        <v>1585</v>
      </c>
      <c r="AN23" s="1756" t="s">
        <v>1586</v>
      </c>
      <c r="AO23" s="1793" t="s">
        <v>1587</v>
      </c>
      <c r="AP23" s="1693" t="s">
        <v>1588</v>
      </c>
      <c r="AQ23" s="1694" t="s">
        <v>1589</v>
      </c>
      <c r="AR23" s="1690" t="s">
        <v>1590</v>
      </c>
      <c r="AS23" s="1694" t="s">
        <v>1591</v>
      </c>
      <c r="AT23" s="1690" t="s">
        <v>1592</v>
      </c>
      <c r="AU23" s="1794" t="s">
        <v>1593</v>
      </c>
      <c r="AV23" s="1794" t="s">
        <v>1594</v>
      </c>
      <c r="AW23" s="1794" t="s">
        <v>1595</v>
      </c>
      <c r="AX23" s="1794" t="s">
        <v>1596</v>
      </c>
      <c r="AY23" s="1794" t="s">
        <v>1597</v>
      </c>
      <c r="AZ23" s="1514" t="str">
        <f t="shared" si="30"/>
        <v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BA23" s="181"/>
      <c r="BB23" s="181"/>
      <c r="CC23" s="348" t="str">
        <f t="shared" si="0"/>
        <v xml:space="preserve">* La celda 'Gestantes' debe ser menor o igual al Total de Mujeres en control. </v>
      </c>
      <c r="CD23" s="348" t="str">
        <f t="shared" si="1"/>
        <v xml:space="preserve">* La celda 'Madres de Hijos menor de 5 años' debe ser menor o igual al Total de Mujeres en control. </v>
      </c>
      <c r="CE23" s="348" t="str">
        <f t="shared" si="2"/>
        <v xml:space="preserve">* La celda 'Pueblos Originarios / Hombres' debe ser menor o igual al Total de Hombres en control. </v>
      </c>
      <c r="CF23" s="348" t="str">
        <f t="shared" si="3"/>
        <v xml:space="preserve">* La celda 'Pueblos Originarios / Mujeres' debe ser menor o igual al Total de Mujeres en control. </v>
      </c>
      <c r="CG23" s="348" t="str">
        <f t="shared" si="4"/>
        <v xml:space="preserve">* La celda 'Población Migrantes / Hombres' debe ser menor o igual al Total de Hombres en control. </v>
      </c>
      <c r="CH23" s="348" t="str">
        <f t="shared" si="5"/>
        <v xml:space="preserve">* La celda 'Población Migrantes / Mujeres' debe ser menor o igual al Total de Mujeres en control. </v>
      </c>
      <c r="CI23" s="348" t="str">
        <f t="shared" si="6"/>
        <v xml:space="preserve">* La celda 'Niños, Niñas, Adolescentes y Jóvenes de Población SENAME' debe ser menor o igual al Total de Ambos Sexos. </v>
      </c>
      <c r="CJ23" s="348" t="str">
        <f t="shared" si="7"/>
        <v xml:space="preserve">* La celda 'Niños, Niñas, Adolescentes y Jóvenes Mejor Niñez' debe ser menor o igual al Total de Ambos Sexos. </v>
      </c>
      <c r="CK23" s="348" t="str">
        <f t="shared" si="8"/>
        <v xml:space="preserve">* La celda 'Plan Cuidado Integral Elaborado' debe ser menor o igual al Total de Personas en control. </v>
      </c>
      <c r="CL23" s="348" t="str">
        <f t="shared" si="31"/>
        <v xml:space="preserve"> * La variable Trans Masculino no debe ser mayor al Total Mujeres.</v>
      </c>
      <c r="CM23" s="348" t="str">
        <f t="shared" si="32"/>
        <v xml:space="preserve"> * La variable Trans Femenino no debe ser mayor al Total Hombre.</v>
      </c>
      <c r="CN23" s="354"/>
      <c r="CO23" s="348" t="str">
        <f t="shared" si="33"/>
        <v/>
      </c>
      <c r="CP23" s="348" t="str">
        <f t="shared" si="34"/>
        <v/>
      </c>
      <c r="CQ23" s="348" t="str">
        <f t="shared" si="35"/>
        <v/>
      </c>
      <c r="CR23" s="348" t="str">
        <f t="shared" si="36"/>
        <v/>
      </c>
      <c r="CS23" s="348" t="str">
        <f t="shared" si="37"/>
        <v/>
      </c>
      <c r="CT23" s="348" t="str">
        <f t="shared" si="38"/>
        <v/>
      </c>
      <c r="CU23" s="348" t="str">
        <f t="shared" si="9"/>
        <v/>
      </c>
      <c r="CV23" s="348" t="str">
        <f t="shared" si="10"/>
        <v/>
      </c>
      <c r="CW23" s="348" t="str">
        <f t="shared" si="11"/>
        <v/>
      </c>
      <c r="CX23" s="175"/>
      <c r="CY23" s="175"/>
      <c r="DB23" s="358">
        <f t="shared" si="12"/>
        <v>1</v>
      </c>
      <c r="DC23" s="358">
        <f t="shared" si="13"/>
        <v>1</v>
      </c>
      <c r="DD23" s="358">
        <f t="shared" si="14"/>
        <v>1</v>
      </c>
      <c r="DE23" s="358">
        <f t="shared" si="15"/>
        <v>1</v>
      </c>
      <c r="DF23" s="358">
        <f t="shared" si="16"/>
        <v>1</v>
      </c>
      <c r="DG23" s="358">
        <f t="shared" si="17"/>
        <v>1</v>
      </c>
      <c r="DH23" s="358">
        <f t="shared" si="18"/>
        <v>1</v>
      </c>
      <c r="DI23" s="358">
        <f t="shared" si="19"/>
        <v>1</v>
      </c>
      <c r="DJ23" s="358">
        <f t="shared" si="20"/>
        <v>1</v>
      </c>
      <c r="DK23" s="175"/>
      <c r="DL23" s="358">
        <f t="shared" si="21"/>
        <v>1</v>
      </c>
      <c r="DM23" s="358">
        <f t="shared" si="22"/>
        <v>1</v>
      </c>
      <c r="DN23" s="175"/>
      <c r="DO23" s="358">
        <f t="shared" si="39"/>
        <v>0</v>
      </c>
      <c r="DP23" s="358">
        <f t="shared" si="40"/>
        <v>0</v>
      </c>
      <c r="DQ23" s="358">
        <f t="shared" si="23"/>
        <v>0</v>
      </c>
      <c r="DR23" s="358">
        <f t="shared" si="24"/>
        <v>0</v>
      </c>
      <c r="DS23" s="358">
        <f t="shared" si="25"/>
        <v>0</v>
      </c>
      <c r="DT23" s="358">
        <f t="shared" si="26"/>
        <v>0</v>
      </c>
      <c r="DU23" s="358">
        <f t="shared" si="27"/>
        <v>0</v>
      </c>
      <c r="DV23" s="358">
        <f t="shared" si="28"/>
        <v>0</v>
      </c>
      <c r="DW23" s="358">
        <f t="shared" si="29"/>
        <v>0</v>
      </c>
      <c r="DX23" s="960"/>
    </row>
    <row r="24" spans="1:128" s="141" customFormat="1" ht="21" customHeight="1" x14ac:dyDescent="0.3">
      <c r="A24" s="1637" t="s">
        <v>1286</v>
      </c>
      <c r="B24" s="2393"/>
      <c r="C24" s="335" t="s">
        <v>218</v>
      </c>
      <c r="D24" s="1703" t="s">
        <v>1550</v>
      </c>
      <c r="E24" s="1724" t="s">
        <v>1551</v>
      </c>
      <c r="F24" s="1725" t="s">
        <v>1552</v>
      </c>
      <c r="G24" s="1726" t="s">
        <v>1553</v>
      </c>
      <c r="H24" s="1727" t="s">
        <v>1554</v>
      </c>
      <c r="I24" s="1726" t="s">
        <v>1555</v>
      </c>
      <c r="J24" s="1727" t="s">
        <v>1556</v>
      </c>
      <c r="K24" s="1726" t="s">
        <v>1557</v>
      </c>
      <c r="L24" s="1690" t="s">
        <v>1558</v>
      </c>
      <c r="M24" s="1726" t="s">
        <v>1559</v>
      </c>
      <c r="N24" s="1690" t="s">
        <v>1560</v>
      </c>
      <c r="O24" s="1726" t="s">
        <v>1561</v>
      </c>
      <c r="P24" s="1690" t="s">
        <v>1562</v>
      </c>
      <c r="Q24" s="1726" t="s">
        <v>1563</v>
      </c>
      <c r="R24" s="1690" t="s">
        <v>1564</v>
      </c>
      <c r="S24" s="1726" t="s">
        <v>1565</v>
      </c>
      <c r="T24" s="1690" t="s">
        <v>1566</v>
      </c>
      <c r="U24" s="1726" t="s">
        <v>1567</v>
      </c>
      <c r="V24" s="1690" t="s">
        <v>1568</v>
      </c>
      <c r="W24" s="1726" t="s">
        <v>1569</v>
      </c>
      <c r="X24" s="1690" t="s">
        <v>1570</v>
      </c>
      <c r="Y24" s="1726" t="s">
        <v>1571</v>
      </c>
      <c r="Z24" s="1690" t="s">
        <v>1572</v>
      </c>
      <c r="AA24" s="1726" t="s">
        <v>1573</v>
      </c>
      <c r="AB24" s="1690" t="s">
        <v>1574</v>
      </c>
      <c r="AC24" s="1726" t="s">
        <v>1575</v>
      </c>
      <c r="AD24" s="1690" t="s">
        <v>1576</v>
      </c>
      <c r="AE24" s="1726" t="s">
        <v>1577</v>
      </c>
      <c r="AF24" s="1727" t="s">
        <v>1578</v>
      </c>
      <c r="AG24" s="1726" t="s">
        <v>1579</v>
      </c>
      <c r="AH24" s="1727" t="s">
        <v>1580</v>
      </c>
      <c r="AI24" s="1726" t="s">
        <v>1581</v>
      </c>
      <c r="AJ24" s="1727" t="s">
        <v>1582</v>
      </c>
      <c r="AK24" s="1726" t="s">
        <v>1583</v>
      </c>
      <c r="AL24" s="1727" t="s">
        <v>1584</v>
      </c>
      <c r="AM24" s="1726" t="s">
        <v>1585</v>
      </c>
      <c r="AN24" s="1795" t="s">
        <v>1586</v>
      </c>
      <c r="AO24" s="1796" t="s">
        <v>1587</v>
      </c>
      <c r="AP24" s="1693" t="s">
        <v>1588</v>
      </c>
      <c r="AQ24" s="1724" t="s">
        <v>1589</v>
      </c>
      <c r="AR24" s="1690" t="s">
        <v>1590</v>
      </c>
      <c r="AS24" s="1724" t="s">
        <v>1591</v>
      </c>
      <c r="AT24" s="1690" t="s">
        <v>1592</v>
      </c>
      <c r="AU24" s="1794" t="s">
        <v>1593</v>
      </c>
      <c r="AV24" s="1794" t="s">
        <v>1594</v>
      </c>
      <c r="AW24" s="1794" t="s">
        <v>1595</v>
      </c>
      <c r="AX24" s="1794" t="s">
        <v>1596</v>
      </c>
      <c r="AY24" s="1797" t="s">
        <v>1597</v>
      </c>
      <c r="AZ24" s="1514" t="str">
        <f t="shared" si="30"/>
        <v>* La celda 'Madres de Hijos menor de 5 años' debe ser menor o igual al Total de Mujeres en control. * La celda 'Pueblos Originarios / Mujeres' debe ser menor o igual al Total de Mujeres en control. * La celda 'Población Migrantes / Mujeres' debe ser menor o igual al Total de Mujeres en control. * La celda 'Niños, Niñas, Adolescentes y Jóvenes de Población SENAME' debe ser menor o igual al Total de Ambos Sexos. 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</v>
      </c>
      <c r="BA24" s="181"/>
      <c r="BB24" s="181"/>
      <c r="CC24" s="354"/>
      <c r="CD24" s="348" t="str">
        <f t="shared" si="1"/>
        <v xml:space="preserve">* La celda 'Madres de Hijos menor de 5 años' debe ser menor o igual al Total de Mujeres en control. </v>
      </c>
      <c r="CE24" s="354"/>
      <c r="CF24" s="348" t="str">
        <f t="shared" si="3"/>
        <v xml:space="preserve">* La celda 'Pueblos Originarios / Mujeres' debe ser menor o igual al Total de Mujeres en control. </v>
      </c>
      <c r="CG24" s="354"/>
      <c r="CH24" s="348" t="str">
        <f t="shared" si="5"/>
        <v xml:space="preserve">* La celda 'Población Migrantes / Mujeres' debe ser menor o igual al Total de Mujeres en control. </v>
      </c>
      <c r="CI24" s="348" t="str">
        <f t="shared" si="6"/>
        <v xml:space="preserve">* La celda 'Niños, Niñas, Adolescentes y Jóvenes de Población SENAME' debe ser menor o igual al Total de Ambos Sexos. </v>
      </c>
      <c r="CJ24" s="348" t="str">
        <f t="shared" si="7"/>
        <v xml:space="preserve">* La celda 'Niños, Niñas, Adolescentes y Jóvenes Mejor Niñez' debe ser menor o igual al Total de Ambos Sexos. </v>
      </c>
      <c r="CK24" s="348" t="str">
        <f t="shared" si="8"/>
        <v xml:space="preserve">* La celda 'Plan Cuidado Integral Elaborado' debe ser menor o igual al Total de Personas en control. </v>
      </c>
      <c r="CL24" s="348" t="str">
        <f>IF(AND(F24&gt;0,OR(AX24=""))," * No olvide digitar la variable Trans Masculino. (Digite Cero si no tiene).",IF(AX24&gt;F24," * La variable Trans Masculino no debe ser mayor al Total Mujeres.",""))</f>
        <v xml:space="preserve"> * La variable Trans Masculino no debe ser mayor al Total Mujeres.</v>
      </c>
      <c r="CM24" s="354"/>
      <c r="CN24" s="354"/>
      <c r="CO24" s="354"/>
      <c r="CP24" s="348" t="str">
        <f t="shared" si="34"/>
        <v/>
      </c>
      <c r="CQ24" s="354"/>
      <c r="CR24" s="348" t="str">
        <f t="shared" si="36"/>
        <v/>
      </c>
      <c r="CS24" s="354"/>
      <c r="CT24" s="348" t="str">
        <f t="shared" si="38"/>
        <v/>
      </c>
      <c r="CU24" s="348" t="str">
        <f t="shared" si="9"/>
        <v/>
      </c>
      <c r="CV24" s="348" t="str">
        <f>IF(AND($D24&lt;&gt;0,$AV24=""),"* No olvide escribir en la celda Niños, Niñas, Adolescentes y Jóvenes Mejor Niñez. (Digite CERO si no tiene). ","")</f>
        <v/>
      </c>
      <c r="CW24" s="348" t="str">
        <f t="shared" si="11"/>
        <v/>
      </c>
      <c r="CX24" s="175"/>
      <c r="CY24" s="175"/>
      <c r="DB24" s="352"/>
      <c r="DC24" s="358">
        <f t="shared" si="13"/>
        <v>1</v>
      </c>
      <c r="DD24" s="352"/>
      <c r="DE24" s="358">
        <f t="shared" si="15"/>
        <v>1</v>
      </c>
      <c r="DF24" s="352"/>
      <c r="DG24" s="358">
        <f t="shared" si="17"/>
        <v>1</v>
      </c>
      <c r="DH24" s="358">
        <f t="shared" si="18"/>
        <v>1</v>
      </c>
      <c r="DI24" s="358">
        <f t="shared" si="19"/>
        <v>1</v>
      </c>
      <c r="DJ24" s="358">
        <f t="shared" si="20"/>
        <v>1</v>
      </c>
      <c r="DK24" s="175"/>
      <c r="DL24" s="358">
        <f t="shared" si="21"/>
        <v>1</v>
      </c>
      <c r="DM24" s="352"/>
      <c r="DN24" s="175"/>
      <c r="DO24" s="352"/>
      <c r="DP24" s="358">
        <f t="shared" si="40"/>
        <v>0</v>
      </c>
      <c r="DQ24" s="358"/>
      <c r="DR24" s="358">
        <f t="shared" si="24"/>
        <v>0</v>
      </c>
      <c r="DS24" s="358"/>
      <c r="DT24" s="358">
        <f t="shared" si="26"/>
        <v>0</v>
      </c>
      <c r="DU24" s="358">
        <f t="shared" si="27"/>
        <v>0</v>
      </c>
      <c r="DV24" s="358">
        <f t="shared" si="28"/>
        <v>0</v>
      </c>
      <c r="DW24" s="358">
        <f t="shared" si="29"/>
        <v>0</v>
      </c>
      <c r="DX24" s="960"/>
    </row>
    <row r="25" spans="1:128" s="141" customFormat="1" ht="21" customHeight="1" x14ac:dyDescent="0.3">
      <c r="A25" s="1637" t="s">
        <v>1287</v>
      </c>
      <c r="B25" s="2357"/>
      <c r="C25" s="180" t="s">
        <v>219</v>
      </c>
      <c r="D25" s="1739" t="s">
        <v>1550</v>
      </c>
      <c r="E25" s="1740" t="s">
        <v>1551</v>
      </c>
      <c r="F25" s="1741" t="s">
        <v>1552</v>
      </c>
      <c r="G25" s="1731" t="s">
        <v>1553</v>
      </c>
      <c r="H25" s="1732" t="s">
        <v>1554</v>
      </c>
      <c r="I25" s="1731" t="s">
        <v>1555</v>
      </c>
      <c r="J25" s="1732" t="s">
        <v>1556</v>
      </c>
      <c r="K25" s="1731" t="s">
        <v>1557</v>
      </c>
      <c r="L25" s="1732" t="s">
        <v>1558</v>
      </c>
      <c r="M25" s="1731" t="s">
        <v>1559</v>
      </c>
      <c r="N25" s="1732" t="s">
        <v>1560</v>
      </c>
      <c r="O25" s="1731" t="s">
        <v>1561</v>
      </c>
      <c r="P25" s="1732" t="s">
        <v>1562</v>
      </c>
      <c r="Q25" s="1731" t="s">
        <v>1563</v>
      </c>
      <c r="R25" s="1732" t="s">
        <v>1564</v>
      </c>
      <c r="S25" s="1731" t="s">
        <v>1565</v>
      </c>
      <c r="T25" s="1732" t="s">
        <v>1566</v>
      </c>
      <c r="U25" s="1731" t="s">
        <v>1567</v>
      </c>
      <c r="V25" s="1732" t="s">
        <v>1568</v>
      </c>
      <c r="W25" s="1731" t="s">
        <v>1569</v>
      </c>
      <c r="X25" s="1732" t="s">
        <v>1570</v>
      </c>
      <c r="Y25" s="1731" t="s">
        <v>1571</v>
      </c>
      <c r="Z25" s="1732" t="s">
        <v>1572</v>
      </c>
      <c r="AA25" s="1731" t="s">
        <v>1573</v>
      </c>
      <c r="AB25" s="1732" t="s">
        <v>1574</v>
      </c>
      <c r="AC25" s="1731" t="s">
        <v>1575</v>
      </c>
      <c r="AD25" s="1732" t="s">
        <v>1576</v>
      </c>
      <c r="AE25" s="1731" t="s">
        <v>1577</v>
      </c>
      <c r="AF25" s="1732" t="s">
        <v>1578</v>
      </c>
      <c r="AG25" s="1731" t="s">
        <v>1579</v>
      </c>
      <c r="AH25" s="1732" t="s">
        <v>1580</v>
      </c>
      <c r="AI25" s="1731" t="s">
        <v>1581</v>
      </c>
      <c r="AJ25" s="1732" t="s">
        <v>1582</v>
      </c>
      <c r="AK25" s="1731" t="s">
        <v>1583</v>
      </c>
      <c r="AL25" s="1732" t="s">
        <v>1584</v>
      </c>
      <c r="AM25" s="1731" t="s">
        <v>1585</v>
      </c>
      <c r="AN25" s="1798" t="s">
        <v>1586</v>
      </c>
      <c r="AO25" s="1799" t="s">
        <v>1587</v>
      </c>
      <c r="AP25" s="1735" t="s">
        <v>1588</v>
      </c>
      <c r="AQ25" s="1736" t="s">
        <v>1589</v>
      </c>
      <c r="AR25" s="1732" t="s">
        <v>1590</v>
      </c>
      <c r="AS25" s="1736" t="s">
        <v>1591</v>
      </c>
      <c r="AT25" s="1732" t="s">
        <v>1592</v>
      </c>
      <c r="AU25" s="1800" t="s">
        <v>1593</v>
      </c>
      <c r="AV25" s="1800" t="s">
        <v>1594</v>
      </c>
      <c r="AW25" s="1800" t="s">
        <v>1595</v>
      </c>
      <c r="AX25" s="1800" t="s">
        <v>1596</v>
      </c>
      <c r="AY25" s="1800" t="s">
        <v>1597</v>
      </c>
      <c r="AZ25" s="1514" t="str">
        <f t="shared" si="30"/>
        <v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BA25" s="181"/>
      <c r="BB25" s="181"/>
      <c r="CC25" s="348" t="str">
        <f>IF($AO25&gt;$F25,"* La celda 'Gestantes' debe ser menor o igual al Total de Mujeres en control. ","")</f>
        <v xml:space="preserve">* La celda 'Gestantes' debe ser menor o igual al Total de Mujeres en control. </v>
      </c>
      <c r="CD25" s="348" t="str">
        <f>IF($AP25&gt;$F25,"* La celda 'Madres de Hijos menor de 5 años' debe ser menor o igual al Total de Mujeres en control. ","")</f>
        <v xml:space="preserve">* La celda 'Madres de Hijos menor de 5 años' debe ser menor o igual al Total de Mujeres en control. </v>
      </c>
      <c r="CE25" s="348" t="str">
        <f t="shared" ref="CE25:CE54" si="41">IF(($AQ25)&gt;$E25,"* La celda 'Pueblos Originarios / Hombres' debe ser menor o igual al Total de Hombres en control. ","")</f>
        <v xml:space="preserve">* La celda 'Pueblos Originarios / Hombres' debe ser menor o igual al Total de Hombres en control. </v>
      </c>
      <c r="CF25" s="348" t="str">
        <f t="shared" si="3"/>
        <v xml:space="preserve">* La celda 'Pueblos Originarios / Mujeres' debe ser menor o igual al Total de Mujeres en control. </v>
      </c>
      <c r="CG25" s="348" t="str">
        <f t="shared" ref="CG25:CG54" si="42">IF(($AS25)&gt;$E25,"* La celda 'Población Migrantes / Hombres' debe ser menor o igual al Total de Hombres en control. ","")</f>
        <v xml:space="preserve">* La celda 'Población Migrantes / Hombres' debe ser menor o igual al Total de Hombres en control. </v>
      </c>
      <c r="CH25" s="348" t="str">
        <f t="shared" si="5"/>
        <v xml:space="preserve">* La celda 'Población Migrantes / Mujeres' debe ser menor o igual al Total de Mujeres en control. </v>
      </c>
      <c r="CI25" s="348" t="str">
        <f t="shared" si="6"/>
        <v xml:space="preserve">* La celda 'Niños, Niñas, Adolescentes y Jóvenes de Población SENAME' debe ser menor o igual al Total de Ambos Sexos. </v>
      </c>
      <c r="CJ25" s="348" t="str">
        <f t="shared" si="7"/>
        <v xml:space="preserve">* La celda 'Niños, Niñas, Adolescentes y Jóvenes Mejor Niñez' debe ser menor o igual al Total de Ambos Sexos. </v>
      </c>
      <c r="CK25" s="348" t="str">
        <f t="shared" si="8"/>
        <v xml:space="preserve">* La celda 'Plan Cuidado Integral Elaborado' debe ser menor o igual al Total de Personas en control. </v>
      </c>
      <c r="CL25" s="348" t="str">
        <f t="shared" ref="CL25:CL54" si="43">IF(AND(F25&gt;0,OR(AX25=""))," * No olvide digitar la variable Trans Masculino. (Digite Cero si no tiene).",IF(AX25&gt;F25," * La variable Trans Masculino no debe ser mayor al Total Mujeres.",""))</f>
        <v xml:space="preserve"> * La variable Trans Masculino no debe ser mayor al Total Mujeres.</v>
      </c>
      <c r="CM25" s="348" t="str">
        <f t="shared" ref="CM25:CM54" si="44">IF(AND(E25&gt;0,OR(AY25=""))," * No olvide digitar la variable Trans Femenino. (Digite Cero si no tiene).",IF(AY25&gt;E25," * La variable Trans Femenino no debe ser mayor al Total Hombre.",""))</f>
        <v xml:space="preserve"> * La variable Trans Femenino no debe ser mayor al Total Hombre.</v>
      </c>
      <c r="CN25" s="354"/>
      <c r="CO25" s="348" t="str">
        <f>IF(AND($F25&lt;&gt;0,$AO25=""),"* No olvide escribir en la celda de 'Gestantes' (Digite CERO si no tiene). ","")</f>
        <v/>
      </c>
      <c r="CP25" s="348" t="str">
        <f t="shared" si="34"/>
        <v/>
      </c>
      <c r="CQ25" s="348" t="str">
        <f t="shared" si="35"/>
        <v/>
      </c>
      <c r="CR25" s="348" t="str">
        <f t="shared" si="36"/>
        <v/>
      </c>
      <c r="CS25" s="348" t="str">
        <f t="shared" si="37"/>
        <v/>
      </c>
      <c r="CT25" s="348" t="str">
        <f t="shared" si="38"/>
        <v/>
      </c>
      <c r="CU25" s="348" t="str">
        <f t="shared" si="9"/>
        <v/>
      </c>
      <c r="CV25" s="348" t="str">
        <f t="shared" si="10"/>
        <v/>
      </c>
      <c r="CW25" s="348" t="str">
        <f t="shared" si="11"/>
        <v/>
      </c>
      <c r="CX25" s="175"/>
      <c r="CY25" s="175"/>
      <c r="DB25" s="358">
        <f>IF($AO25&gt;$F25,1,0)</f>
        <v>1</v>
      </c>
      <c r="DC25" s="358">
        <f t="shared" si="13"/>
        <v>1</v>
      </c>
      <c r="DD25" s="358">
        <f t="shared" ref="DD25:DD54" si="45">IF(($AQ25)&gt;$E25,1,0)</f>
        <v>1</v>
      </c>
      <c r="DE25" s="358">
        <f t="shared" si="15"/>
        <v>1</v>
      </c>
      <c r="DF25" s="358">
        <f t="shared" ref="DF25:DF54" si="46">IF(($AS25)&gt;$E25,1,0)</f>
        <v>1</v>
      </c>
      <c r="DG25" s="358">
        <f t="shared" si="17"/>
        <v>1</v>
      </c>
      <c r="DH25" s="358">
        <f t="shared" si="18"/>
        <v>1</v>
      </c>
      <c r="DI25" s="358">
        <f t="shared" si="19"/>
        <v>1</v>
      </c>
      <c r="DJ25" s="358">
        <f t="shared" si="20"/>
        <v>1</v>
      </c>
      <c r="DK25" s="175"/>
      <c r="DL25" s="358">
        <f t="shared" si="21"/>
        <v>1</v>
      </c>
      <c r="DM25" s="358">
        <f t="shared" ref="DM25:DM54" si="47">IF(AND(E25&gt;0,OR(AY25="")),1,IF((AY25)&gt;E25,1,0))</f>
        <v>1</v>
      </c>
      <c r="DN25" s="175"/>
      <c r="DO25" s="358">
        <f>IF(AND($F25&lt;&gt;0,$AO25=""),1,0)</f>
        <v>0</v>
      </c>
      <c r="DP25" s="358">
        <f t="shared" si="40"/>
        <v>0</v>
      </c>
      <c r="DQ25" s="358">
        <f t="shared" ref="DQ25:DQ53" si="48">IF(AND($E25&lt;&gt;0,$AQ25=""),1,IF(AND($F25&lt;&gt;0,$AR25=""),1,0))</f>
        <v>0</v>
      </c>
      <c r="DR25" s="358">
        <f t="shared" si="24"/>
        <v>0</v>
      </c>
      <c r="DS25" s="358">
        <f t="shared" ref="DS25:DS35" si="49">IF(AND(E25&lt;&gt;0,AS25=""),1,0)</f>
        <v>0</v>
      </c>
      <c r="DT25" s="358">
        <f t="shared" si="26"/>
        <v>0</v>
      </c>
      <c r="DU25" s="358">
        <f t="shared" si="27"/>
        <v>0</v>
      </c>
      <c r="DV25" s="358">
        <f t="shared" si="28"/>
        <v>0</v>
      </c>
      <c r="DW25" s="358">
        <f t="shared" si="29"/>
        <v>0</v>
      </c>
      <c r="DX25" s="960"/>
    </row>
    <row r="26" spans="1:128" s="141" customFormat="1" ht="21" customHeight="1" x14ac:dyDescent="0.3">
      <c r="A26" s="1637" t="s">
        <v>1288</v>
      </c>
      <c r="B26" s="2354" t="s">
        <v>220</v>
      </c>
      <c r="C26" s="1301" t="s">
        <v>704</v>
      </c>
      <c r="D26" s="1675" t="s">
        <v>1550</v>
      </c>
      <c r="E26" s="1676" t="s">
        <v>1551</v>
      </c>
      <c r="F26" s="1677" t="s">
        <v>1552</v>
      </c>
      <c r="G26" s="1678" t="s">
        <v>1553</v>
      </c>
      <c r="H26" s="1679" t="s">
        <v>1554</v>
      </c>
      <c r="I26" s="1678" t="s">
        <v>1555</v>
      </c>
      <c r="J26" s="1679" t="s">
        <v>1556</v>
      </c>
      <c r="K26" s="1678" t="s">
        <v>1557</v>
      </c>
      <c r="L26" s="1679" t="s">
        <v>1558</v>
      </c>
      <c r="M26" s="1678" t="s">
        <v>1559</v>
      </c>
      <c r="N26" s="1679" t="s">
        <v>1560</v>
      </c>
      <c r="O26" s="1678" t="s">
        <v>1561</v>
      </c>
      <c r="P26" s="1679" t="s">
        <v>1562</v>
      </c>
      <c r="Q26" s="1678" t="s">
        <v>1563</v>
      </c>
      <c r="R26" s="1679" t="s">
        <v>1564</v>
      </c>
      <c r="S26" s="1678" t="s">
        <v>1565</v>
      </c>
      <c r="T26" s="1679" t="s">
        <v>1566</v>
      </c>
      <c r="U26" s="1678" t="s">
        <v>1567</v>
      </c>
      <c r="V26" s="1679" t="s">
        <v>1568</v>
      </c>
      <c r="W26" s="1678" t="s">
        <v>1569</v>
      </c>
      <c r="X26" s="1679" t="s">
        <v>1570</v>
      </c>
      <c r="Y26" s="1678" t="s">
        <v>1571</v>
      </c>
      <c r="Z26" s="1679" t="s">
        <v>1572</v>
      </c>
      <c r="AA26" s="1678" t="s">
        <v>1573</v>
      </c>
      <c r="AB26" s="1679" t="s">
        <v>1574</v>
      </c>
      <c r="AC26" s="1678" t="s">
        <v>1575</v>
      </c>
      <c r="AD26" s="1679" t="s">
        <v>1576</v>
      </c>
      <c r="AE26" s="1678" t="s">
        <v>1577</v>
      </c>
      <c r="AF26" s="1679" t="s">
        <v>1578</v>
      </c>
      <c r="AG26" s="1678" t="s">
        <v>1579</v>
      </c>
      <c r="AH26" s="1679" t="s">
        <v>1580</v>
      </c>
      <c r="AI26" s="1678" t="s">
        <v>1581</v>
      </c>
      <c r="AJ26" s="1679" t="s">
        <v>1582</v>
      </c>
      <c r="AK26" s="1678" t="s">
        <v>1583</v>
      </c>
      <c r="AL26" s="1679" t="s">
        <v>1584</v>
      </c>
      <c r="AM26" s="1678" t="s">
        <v>1585</v>
      </c>
      <c r="AN26" s="1775" t="s">
        <v>1586</v>
      </c>
      <c r="AO26" s="1776" t="s">
        <v>1587</v>
      </c>
      <c r="AP26" s="1682" t="s">
        <v>1588</v>
      </c>
      <c r="AQ26" s="1683" t="s">
        <v>1589</v>
      </c>
      <c r="AR26" s="1679" t="s">
        <v>1590</v>
      </c>
      <c r="AS26" s="1683" t="s">
        <v>1591</v>
      </c>
      <c r="AT26" s="1679" t="s">
        <v>1592</v>
      </c>
      <c r="AU26" s="1777" t="s">
        <v>1593</v>
      </c>
      <c r="AV26" s="1777" t="s">
        <v>1594</v>
      </c>
      <c r="AW26" s="1777" t="s">
        <v>1595</v>
      </c>
      <c r="AX26" s="1777" t="s">
        <v>1596</v>
      </c>
      <c r="AY26" s="1777" t="s">
        <v>1597</v>
      </c>
      <c r="AZ26" s="1514" t="str">
        <f t="shared" si="30"/>
        <v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BA26" s="181"/>
      <c r="BB26" s="181"/>
      <c r="CC26" s="348" t="str">
        <f>IF($AO26&gt;$F26,"* La celda 'Gestantes' debe ser menor o igual al Total de Mujeres en control. ","")</f>
        <v xml:space="preserve">* La celda 'Gestantes' debe ser menor o igual al Total de Mujeres en control. </v>
      </c>
      <c r="CD26" s="348" t="str">
        <f>IF($AP26&gt;$F26,"* La celda 'Madres de Hijos menor de 5 años' debe ser menor o igual al Total de Mujeres en control. ","")</f>
        <v xml:space="preserve">* La celda 'Madres de Hijos menor de 5 años' debe ser menor o igual al Total de Mujeres en control. </v>
      </c>
      <c r="CE26" s="348" t="str">
        <f t="shared" si="41"/>
        <v xml:space="preserve">* La celda 'Pueblos Originarios / Hombres' debe ser menor o igual al Total de Hombres en control. </v>
      </c>
      <c r="CF26" s="348" t="str">
        <f t="shared" si="3"/>
        <v xml:space="preserve">* La celda 'Pueblos Originarios / Mujeres' debe ser menor o igual al Total de Mujeres en control. </v>
      </c>
      <c r="CG26" s="348" t="str">
        <f t="shared" si="42"/>
        <v xml:space="preserve">* La celda 'Población Migrantes / Hombres' debe ser menor o igual al Total de Hombres en control. </v>
      </c>
      <c r="CH26" s="348" t="str">
        <f t="shared" si="5"/>
        <v xml:space="preserve">* La celda 'Población Migrantes / Mujeres' debe ser menor o igual al Total de Mujeres en control. </v>
      </c>
      <c r="CI26" s="348" t="str">
        <f t="shared" si="6"/>
        <v xml:space="preserve">* La celda 'Niños, Niñas, Adolescentes y Jóvenes de Población SENAME' debe ser menor o igual al Total de Ambos Sexos. </v>
      </c>
      <c r="CJ26" s="348" t="str">
        <f t="shared" si="7"/>
        <v xml:space="preserve">* La celda 'Niños, Niñas, Adolescentes y Jóvenes Mejor Niñez' debe ser menor o igual al Total de Ambos Sexos. </v>
      </c>
      <c r="CK26" s="348" t="str">
        <f t="shared" si="8"/>
        <v xml:space="preserve">* La celda 'Plan Cuidado Integral Elaborado' debe ser menor o igual al Total de Personas en control. </v>
      </c>
      <c r="CL26" s="348" t="str">
        <f t="shared" si="43"/>
        <v xml:space="preserve"> * La variable Trans Masculino no debe ser mayor al Total Mujeres.</v>
      </c>
      <c r="CM26" s="348" t="str">
        <f t="shared" si="44"/>
        <v xml:space="preserve"> * La variable Trans Femenino no debe ser mayor al Total Hombre.</v>
      </c>
      <c r="CN26" s="354"/>
      <c r="CO26" s="348" t="str">
        <f t="shared" ref="CO26:CO29" si="50">IF(AND($F26&lt;&gt;0,$AO26=""),"* No olvide escribir en la celda de 'Gestantes' (Digite CERO si no tiene). ","")</f>
        <v/>
      </c>
      <c r="CP26" s="348" t="str">
        <f t="shared" si="34"/>
        <v/>
      </c>
      <c r="CQ26" s="348" t="str">
        <f t="shared" si="35"/>
        <v/>
      </c>
      <c r="CR26" s="348" t="str">
        <f t="shared" si="36"/>
        <v/>
      </c>
      <c r="CS26" s="348" t="str">
        <f t="shared" si="37"/>
        <v/>
      </c>
      <c r="CT26" s="348" t="str">
        <f t="shared" si="38"/>
        <v/>
      </c>
      <c r="CU26" s="348" t="str">
        <f t="shared" si="9"/>
        <v/>
      </c>
      <c r="CV26" s="348" t="str">
        <f t="shared" si="10"/>
        <v/>
      </c>
      <c r="CW26" s="348" t="str">
        <f t="shared" si="11"/>
        <v/>
      </c>
      <c r="CX26" s="175"/>
      <c r="CY26" s="175"/>
      <c r="DB26" s="358">
        <f>IF($AO26&gt;$F26,1,0)</f>
        <v>1</v>
      </c>
      <c r="DC26" s="358">
        <f t="shared" si="13"/>
        <v>1</v>
      </c>
      <c r="DD26" s="358">
        <f t="shared" si="45"/>
        <v>1</v>
      </c>
      <c r="DE26" s="358">
        <f t="shared" si="15"/>
        <v>1</v>
      </c>
      <c r="DF26" s="358">
        <f t="shared" si="46"/>
        <v>1</v>
      </c>
      <c r="DG26" s="358">
        <f t="shared" si="17"/>
        <v>1</v>
      </c>
      <c r="DH26" s="358">
        <f t="shared" si="18"/>
        <v>1</v>
      </c>
      <c r="DI26" s="358">
        <f t="shared" si="19"/>
        <v>1</v>
      </c>
      <c r="DJ26" s="358">
        <f t="shared" si="20"/>
        <v>1</v>
      </c>
      <c r="DK26" s="175"/>
      <c r="DL26" s="358">
        <f t="shared" si="21"/>
        <v>1</v>
      </c>
      <c r="DM26" s="358">
        <f t="shared" si="47"/>
        <v>1</v>
      </c>
      <c r="DN26" s="175"/>
      <c r="DO26" s="358">
        <f t="shared" ref="DO26:DO30" si="51">IF(AND($F26&lt;&gt;0,$AO26=""),1,0)</f>
        <v>0</v>
      </c>
      <c r="DP26" s="358">
        <f t="shared" si="40"/>
        <v>0</v>
      </c>
      <c r="DQ26" s="358">
        <f t="shared" si="48"/>
        <v>0</v>
      </c>
      <c r="DR26" s="358">
        <f t="shared" si="24"/>
        <v>0</v>
      </c>
      <c r="DS26" s="358">
        <f t="shared" si="49"/>
        <v>0</v>
      </c>
      <c r="DT26" s="358">
        <f t="shared" si="26"/>
        <v>0</v>
      </c>
      <c r="DU26" s="358">
        <f t="shared" si="27"/>
        <v>0</v>
      </c>
      <c r="DV26" s="358">
        <f t="shared" si="28"/>
        <v>0</v>
      </c>
      <c r="DW26" s="358">
        <f t="shared" si="29"/>
        <v>0</v>
      </c>
      <c r="DX26" s="960"/>
    </row>
    <row r="27" spans="1:128" s="141" customFormat="1" ht="21" customHeight="1" x14ac:dyDescent="0.3">
      <c r="A27" s="1637" t="s">
        <v>1289</v>
      </c>
      <c r="B27" s="2355"/>
      <c r="C27" s="922" t="s">
        <v>705</v>
      </c>
      <c r="D27" s="1737" t="s">
        <v>1550</v>
      </c>
      <c r="E27" s="1738" t="s">
        <v>1551</v>
      </c>
      <c r="F27" s="1725" t="s">
        <v>1552</v>
      </c>
      <c r="G27" s="1689" t="s">
        <v>1553</v>
      </c>
      <c r="H27" s="1690" t="s">
        <v>1554</v>
      </c>
      <c r="I27" s="1689" t="s">
        <v>1555</v>
      </c>
      <c r="J27" s="1690" t="s">
        <v>1556</v>
      </c>
      <c r="K27" s="1689" t="s">
        <v>1557</v>
      </c>
      <c r="L27" s="1690" t="s">
        <v>1558</v>
      </c>
      <c r="M27" s="1689" t="s">
        <v>1559</v>
      </c>
      <c r="N27" s="1690" t="s">
        <v>1560</v>
      </c>
      <c r="O27" s="1689" t="s">
        <v>1561</v>
      </c>
      <c r="P27" s="1690" t="s">
        <v>1562</v>
      </c>
      <c r="Q27" s="1689" t="s">
        <v>1563</v>
      </c>
      <c r="R27" s="1690" t="s">
        <v>1564</v>
      </c>
      <c r="S27" s="1689" t="s">
        <v>1565</v>
      </c>
      <c r="T27" s="1690" t="s">
        <v>1566</v>
      </c>
      <c r="U27" s="1689" t="s">
        <v>1567</v>
      </c>
      <c r="V27" s="1690" t="s">
        <v>1568</v>
      </c>
      <c r="W27" s="1689" t="s">
        <v>1569</v>
      </c>
      <c r="X27" s="1690" t="s">
        <v>1570</v>
      </c>
      <c r="Y27" s="1689" t="s">
        <v>1571</v>
      </c>
      <c r="Z27" s="1690" t="s">
        <v>1572</v>
      </c>
      <c r="AA27" s="1689" t="s">
        <v>1573</v>
      </c>
      <c r="AB27" s="1690" t="s">
        <v>1574</v>
      </c>
      <c r="AC27" s="1689" t="s">
        <v>1575</v>
      </c>
      <c r="AD27" s="1690" t="s">
        <v>1576</v>
      </c>
      <c r="AE27" s="1689" t="s">
        <v>1577</v>
      </c>
      <c r="AF27" s="1690" t="s">
        <v>1578</v>
      </c>
      <c r="AG27" s="1689" t="s">
        <v>1579</v>
      </c>
      <c r="AH27" s="1690" t="s">
        <v>1580</v>
      </c>
      <c r="AI27" s="1689" t="s">
        <v>1581</v>
      </c>
      <c r="AJ27" s="1690" t="s">
        <v>1582</v>
      </c>
      <c r="AK27" s="1689" t="s">
        <v>1583</v>
      </c>
      <c r="AL27" s="1690" t="s">
        <v>1584</v>
      </c>
      <c r="AM27" s="1689" t="s">
        <v>1585</v>
      </c>
      <c r="AN27" s="1756" t="s">
        <v>1586</v>
      </c>
      <c r="AO27" s="1793" t="s">
        <v>1587</v>
      </c>
      <c r="AP27" s="1693" t="s">
        <v>1588</v>
      </c>
      <c r="AQ27" s="1694" t="s">
        <v>1589</v>
      </c>
      <c r="AR27" s="1690" t="s">
        <v>1590</v>
      </c>
      <c r="AS27" s="1694" t="s">
        <v>1591</v>
      </c>
      <c r="AT27" s="1690" t="s">
        <v>1592</v>
      </c>
      <c r="AU27" s="1794" t="s">
        <v>1593</v>
      </c>
      <c r="AV27" s="1794" t="s">
        <v>1594</v>
      </c>
      <c r="AW27" s="1794" t="s">
        <v>1595</v>
      </c>
      <c r="AX27" s="1794" t="s">
        <v>1596</v>
      </c>
      <c r="AY27" s="1794" t="s">
        <v>1597</v>
      </c>
      <c r="AZ27" s="1514" t="str">
        <f t="shared" si="30"/>
        <v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BA27" s="181"/>
      <c r="BB27" s="181"/>
      <c r="CC27" s="348" t="str">
        <f>IF($AO27&gt;$F27,"* La celda 'Gestantes' debe ser menor o igual al Total de Mujeres en control. ","")</f>
        <v xml:space="preserve">* La celda 'Gestantes' debe ser menor o igual al Total de Mujeres en control. </v>
      </c>
      <c r="CD27" s="348" t="str">
        <f>IF($AP27&gt;$F27,"* La celda 'Madres de Hijos menor de 5 años' debe ser menor o igual al Total de Mujeres en control. ","")</f>
        <v xml:space="preserve">* La celda 'Madres de Hijos menor de 5 años' debe ser menor o igual al Total de Mujeres en control. </v>
      </c>
      <c r="CE27" s="348" t="str">
        <f t="shared" si="41"/>
        <v xml:space="preserve">* La celda 'Pueblos Originarios / Hombres' debe ser menor o igual al Total de Hombres en control. </v>
      </c>
      <c r="CF27" s="348" t="str">
        <f t="shared" si="3"/>
        <v xml:space="preserve">* La celda 'Pueblos Originarios / Mujeres' debe ser menor o igual al Total de Mujeres en control. </v>
      </c>
      <c r="CG27" s="348" t="str">
        <f t="shared" si="42"/>
        <v xml:space="preserve">* La celda 'Población Migrantes / Hombres' debe ser menor o igual al Total de Hombres en control. </v>
      </c>
      <c r="CH27" s="348" t="str">
        <f t="shared" si="5"/>
        <v xml:space="preserve">* La celda 'Población Migrantes / Mujeres' debe ser menor o igual al Total de Mujeres en control. </v>
      </c>
      <c r="CI27" s="348" t="str">
        <f t="shared" si="6"/>
        <v xml:space="preserve">* La celda 'Niños, Niñas, Adolescentes y Jóvenes de Población SENAME' debe ser menor o igual al Total de Ambos Sexos. </v>
      </c>
      <c r="CJ27" s="348" t="str">
        <f t="shared" si="7"/>
        <v xml:space="preserve">* La celda 'Niños, Niñas, Adolescentes y Jóvenes Mejor Niñez' debe ser menor o igual al Total de Ambos Sexos. </v>
      </c>
      <c r="CK27" s="348" t="str">
        <f t="shared" si="8"/>
        <v xml:space="preserve">* La celda 'Plan Cuidado Integral Elaborado' debe ser menor o igual al Total de Personas en control. </v>
      </c>
      <c r="CL27" s="348" t="str">
        <f t="shared" si="43"/>
        <v xml:space="preserve"> * La variable Trans Masculino no debe ser mayor al Total Mujeres.</v>
      </c>
      <c r="CM27" s="348" t="str">
        <f t="shared" si="44"/>
        <v xml:space="preserve"> * La variable Trans Femenino no debe ser mayor al Total Hombre.</v>
      </c>
      <c r="CN27" s="354"/>
      <c r="CO27" s="348" t="str">
        <f t="shared" si="50"/>
        <v/>
      </c>
      <c r="CP27" s="348" t="str">
        <f t="shared" si="34"/>
        <v/>
      </c>
      <c r="CQ27" s="348" t="str">
        <f t="shared" si="35"/>
        <v/>
      </c>
      <c r="CR27" s="348" t="str">
        <f t="shared" si="36"/>
        <v/>
      </c>
      <c r="CS27" s="348" t="str">
        <f t="shared" si="37"/>
        <v/>
      </c>
      <c r="CT27" s="348" t="str">
        <f t="shared" si="38"/>
        <v/>
      </c>
      <c r="CU27" s="348" t="str">
        <f t="shared" si="9"/>
        <v/>
      </c>
      <c r="CV27" s="348" t="str">
        <f t="shared" si="10"/>
        <v/>
      </c>
      <c r="CW27" s="348" t="str">
        <f t="shared" si="11"/>
        <v/>
      </c>
      <c r="CX27" s="175"/>
      <c r="CY27" s="175"/>
      <c r="DB27" s="358">
        <f>IF($AO27&gt;$F27,1,0)</f>
        <v>1</v>
      </c>
      <c r="DC27" s="358">
        <f t="shared" si="13"/>
        <v>1</v>
      </c>
      <c r="DD27" s="358">
        <f t="shared" si="45"/>
        <v>1</v>
      </c>
      <c r="DE27" s="358">
        <f t="shared" si="15"/>
        <v>1</v>
      </c>
      <c r="DF27" s="358">
        <f t="shared" si="46"/>
        <v>1</v>
      </c>
      <c r="DG27" s="358">
        <f t="shared" si="17"/>
        <v>1</v>
      </c>
      <c r="DH27" s="358">
        <f t="shared" si="18"/>
        <v>1</v>
      </c>
      <c r="DI27" s="358">
        <f t="shared" si="19"/>
        <v>1</v>
      </c>
      <c r="DJ27" s="358">
        <f t="shared" si="20"/>
        <v>1</v>
      </c>
      <c r="DK27" s="175"/>
      <c r="DL27" s="358">
        <f t="shared" si="21"/>
        <v>1</v>
      </c>
      <c r="DM27" s="358">
        <f t="shared" si="47"/>
        <v>1</v>
      </c>
      <c r="DN27" s="175"/>
      <c r="DO27" s="358">
        <f t="shared" si="51"/>
        <v>0</v>
      </c>
      <c r="DP27" s="358">
        <f t="shared" si="40"/>
        <v>0</v>
      </c>
      <c r="DQ27" s="358">
        <f t="shared" si="48"/>
        <v>0</v>
      </c>
      <c r="DR27" s="358">
        <f t="shared" si="24"/>
        <v>0</v>
      </c>
      <c r="DS27" s="358">
        <f t="shared" si="49"/>
        <v>0</v>
      </c>
      <c r="DT27" s="358">
        <f t="shared" si="26"/>
        <v>0</v>
      </c>
      <c r="DU27" s="358">
        <f t="shared" si="27"/>
        <v>0</v>
      </c>
      <c r="DV27" s="358">
        <f t="shared" si="28"/>
        <v>0</v>
      </c>
      <c r="DW27" s="358">
        <f t="shared" si="29"/>
        <v>0</v>
      </c>
      <c r="DX27" s="960"/>
    </row>
    <row r="28" spans="1:128" s="141" customFormat="1" ht="21" customHeight="1" x14ac:dyDescent="0.3">
      <c r="A28" s="1637" t="s">
        <v>1290</v>
      </c>
      <c r="B28" s="2356"/>
      <c r="C28" s="1302" t="s">
        <v>706</v>
      </c>
      <c r="D28" s="1739" t="s">
        <v>1550</v>
      </c>
      <c r="E28" s="1740" t="s">
        <v>1551</v>
      </c>
      <c r="F28" s="1741" t="s">
        <v>1552</v>
      </c>
      <c r="G28" s="1731" t="s">
        <v>1553</v>
      </c>
      <c r="H28" s="1732" t="s">
        <v>1554</v>
      </c>
      <c r="I28" s="1731" t="s">
        <v>1555</v>
      </c>
      <c r="J28" s="1732" t="s">
        <v>1556</v>
      </c>
      <c r="K28" s="1731" t="s">
        <v>1557</v>
      </c>
      <c r="L28" s="1732" t="s">
        <v>1558</v>
      </c>
      <c r="M28" s="1731" t="s">
        <v>1559</v>
      </c>
      <c r="N28" s="1732" t="s">
        <v>1560</v>
      </c>
      <c r="O28" s="1731" t="s">
        <v>1561</v>
      </c>
      <c r="P28" s="1732" t="s">
        <v>1562</v>
      </c>
      <c r="Q28" s="1731" t="s">
        <v>1563</v>
      </c>
      <c r="R28" s="1732" t="s">
        <v>1564</v>
      </c>
      <c r="S28" s="1731" t="s">
        <v>1565</v>
      </c>
      <c r="T28" s="1732" t="s">
        <v>1566</v>
      </c>
      <c r="U28" s="1731" t="s">
        <v>1567</v>
      </c>
      <c r="V28" s="1732" t="s">
        <v>1568</v>
      </c>
      <c r="W28" s="1731" t="s">
        <v>1569</v>
      </c>
      <c r="X28" s="1732" t="s">
        <v>1570</v>
      </c>
      <c r="Y28" s="1731" t="s">
        <v>1571</v>
      </c>
      <c r="Z28" s="1732" t="s">
        <v>1572</v>
      </c>
      <c r="AA28" s="1731" t="s">
        <v>1573</v>
      </c>
      <c r="AB28" s="1732" t="s">
        <v>1574</v>
      </c>
      <c r="AC28" s="1731" t="s">
        <v>1575</v>
      </c>
      <c r="AD28" s="1732" t="s">
        <v>1576</v>
      </c>
      <c r="AE28" s="1731" t="s">
        <v>1577</v>
      </c>
      <c r="AF28" s="1732" t="s">
        <v>1578</v>
      </c>
      <c r="AG28" s="1731" t="s">
        <v>1579</v>
      </c>
      <c r="AH28" s="1732" t="s">
        <v>1580</v>
      </c>
      <c r="AI28" s="1731" t="s">
        <v>1581</v>
      </c>
      <c r="AJ28" s="1732" t="s">
        <v>1582</v>
      </c>
      <c r="AK28" s="1731" t="s">
        <v>1583</v>
      </c>
      <c r="AL28" s="1732" t="s">
        <v>1584</v>
      </c>
      <c r="AM28" s="1731" t="s">
        <v>1585</v>
      </c>
      <c r="AN28" s="1798" t="s">
        <v>1586</v>
      </c>
      <c r="AO28" s="1799" t="s">
        <v>1587</v>
      </c>
      <c r="AP28" s="1735" t="s">
        <v>1588</v>
      </c>
      <c r="AQ28" s="1736" t="s">
        <v>1589</v>
      </c>
      <c r="AR28" s="1732" t="s">
        <v>1590</v>
      </c>
      <c r="AS28" s="1736" t="s">
        <v>1591</v>
      </c>
      <c r="AT28" s="1732" t="s">
        <v>1592</v>
      </c>
      <c r="AU28" s="1800" t="s">
        <v>1593</v>
      </c>
      <c r="AV28" s="1800" t="s">
        <v>1594</v>
      </c>
      <c r="AW28" s="1800" t="s">
        <v>1595</v>
      </c>
      <c r="AX28" s="1800" t="s">
        <v>1596</v>
      </c>
      <c r="AY28" s="1800" t="s">
        <v>1597</v>
      </c>
      <c r="AZ28" s="1514" t="str">
        <f t="shared" si="30"/>
        <v>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BA28" s="181"/>
      <c r="BB28" s="181"/>
      <c r="CC28" s="348"/>
      <c r="CD28" s="348"/>
      <c r="CE28" s="348"/>
      <c r="CF28" s="348"/>
      <c r="CG28" s="348"/>
      <c r="CH28" s="348"/>
      <c r="CI28" s="348"/>
      <c r="CJ28" s="348" t="str">
        <f t="shared" si="7"/>
        <v xml:space="preserve">* La celda 'Niños, Niñas, Adolescentes y Jóvenes Mejor Niñez' debe ser menor o igual al Total de Ambos Sexos. </v>
      </c>
      <c r="CK28" s="348" t="str">
        <f t="shared" si="8"/>
        <v xml:space="preserve">* La celda 'Plan Cuidado Integral Elaborado' debe ser menor o igual al Total de Personas en control. </v>
      </c>
      <c r="CL28" s="348" t="str">
        <f t="shared" si="43"/>
        <v xml:space="preserve"> * La variable Trans Masculino no debe ser mayor al Total Mujeres.</v>
      </c>
      <c r="CM28" s="348" t="str">
        <f t="shared" si="44"/>
        <v xml:space="preserve"> * La variable Trans Femenino no debe ser mayor al Total Hombre.</v>
      </c>
      <c r="CN28" s="354"/>
      <c r="CO28" s="348" t="str">
        <f t="shared" si="50"/>
        <v/>
      </c>
      <c r="CP28" s="348" t="str">
        <f t="shared" si="34"/>
        <v/>
      </c>
      <c r="CQ28" s="348" t="str">
        <f t="shared" si="35"/>
        <v/>
      </c>
      <c r="CR28" s="348" t="str">
        <f t="shared" si="36"/>
        <v/>
      </c>
      <c r="CS28" s="348" t="str">
        <f t="shared" si="37"/>
        <v/>
      </c>
      <c r="CT28" s="348" t="str">
        <f t="shared" si="38"/>
        <v/>
      </c>
      <c r="CU28" s="348" t="str">
        <f t="shared" si="9"/>
        <v/>
      </c>
      <c r="CV28" s="348" t="str">
        <f t="shared" si="10"/>
        <v/>
      </c>
      <c r="CW28" s="348" t="str">
        <f t="shared" si="11"/>
        <v/>
      </c>
      <c r="CX28" s="175"/>
      <c r="CY28" s="175"/>
      <c r="DB28" s="358"/>
      <c r="DC28" s="358"/>
      <c r="DD28" s="358"/>
      <c r="DE28" s="358"/>
      <c r="DF28" s="358"/>
      <c r="DG28" s="358"/>
      <c r="DH28" s="358"/>
      <c r="DI28" s="358">
        <f t="shared" si="19"/>
        <v>1</v>
      </c>
      <c r="DJ28" s="358">
        <f t="shared" si="20"/>
        <v>1</v>
      </c>
      <c r="DK28" s="175"/>
      <c r="DL28" s="358">
        <f t="shared" si="21"/>
        <v>1</v>
      </c>
      <c r="DM28" s="358">
        <f t="shared" si="47"/>
        <v>1</v>
      </c>
      <c r="DN28" s="175"/>
      <c r="DO28" s="358">
        <f t="shared" si="51"/>
        <v>0</v>
      </c>
      <c r="DP28" s="358">
        <f t="shared" si="40"/>
        <v>0</v>
      </c>
      <c r="DQ28" s="358"/>
      <c r="DR28" s="358">
        <f t="shared" si="24"/>
        <v>0</v>
      </c>
      <c r="DS28" s="358">
        <f t="shared" si="49"/>
        <v>0</v>
      </c>
      <c r="DT28" s="358">
        <f t="shared" si="26"/>
        <v>0</v>
      </c>
      <c r="DU28" s="358">
        <f t="shared" si="27"/>
        <v>0</v>
      </c>
      <c r="DV28" s="358">
        <f t="shared" si="28"/>
        <v>0</v>
      </c>
      <c r="DW28" s="358">
        <f t="shared" si="29"/>
        <v>0</v>
      </c>
      <c r="DX28" s="960"/>
    </row>
    <row r="29" spans="1:128" s="141" customFormat="1" ht="21" customHeight="1" x14ac:dyDescent="0.3">
      <c r="A29" s="1637" t="s">
        <v>1291</v>
      </c>
      <c r="B29" s="2356"/>
      <c r="C29" s="1302" t="s">
        <v>707</v>
      </c>
      <c r="D29" s="1739" t="s">
        <v>1550</v>
      </c>
      <c r="E29" s="1740" t="s">
        <v>1551</v>
      </c>
      <c r="F29" s="1741" t="s">
        <v>1552</v>
      </c>
      <c r="G29" s="1731" t="s">
        <v>1553</v>
      </c>
      <c r="H29" s="1732" t="s">
        <v>1554</v>
      </c>
      <c r="I29" s="1731" t="s">
        <v>1555</v>
      </c>
      <c r="J29" s="1732" t="s">
        <v>1556</v>
      </c>
      <c r="K29" s="1731" t="s">
        <v>1557</v>
      </c>
      <c r="L29" s="1732" t="s">
        <v>1558</v>
      </c>
      <c r="M29" s="1731" t="s">
        <v>1559</v>
      </c>
      <c r="N29" s="1732" t="s">
        <v>1560</v>
      </c>
      <c r="O29" s="1731" t="s">
        <v>1561</v>
      </c>
      <c r="P29" s="1732" t="s">
        <v>1562</v>
      </c>
      <c r="Q29" s="1731" t="s">
        <v>1563</v>
      </c>
      <c r="R29" s="1732" t="s">
        <v>1564</v>
      </c>
      <c r="S29" s="1731" t="s">
        <v>1565</v>
      </c>
      <c r="T29" s="1732" t="s">
        <v>1566</v>
      </c>
      <c r="U29" s="1731" t="s">
        <v>1567</v>
      </c>
      <c r="V29" s="1732" t="s">
        <v>1568</v>
      </c>
      <c r="W29" s="1731" t="s">
        <v>1569</v>
      </c>
      <c r="X29" s="1732" t="s">
        <v>1570</v>
      </c>
      <c r="Y29" s="1731" t="s">
        <v>1571</v>
      </c>
      <c r="Z29" s="1732" t="s">
        <v>1572</v>
      </c>
      <c r="AA29" s="1731" t="s">
        <v>1573</v>
      </c>
      <c r="AB29" s="1732" t="s">
        <v>1574</v>
      </c>
      <c r="AC29" s="1731" t="s">
        <v>1575</v>
      </c>
      <c r="AD29" s="1732" t="s">
        <v>1576</v>
      </c>
      <c r="AE29" s="1731" t="s">
        <v>1577</v>
      </c>
      <c r="AF29" s="1732" t="s">
        <v>1578</v>
      </c>
      <c r="AG29" s="1731" t="s">
        <v>1579</v>
      </c>
      <c r="AH29" s="1732" t="s">
        <v>1580</v>
      </c>
      <c r="AI29" s="1731" t="s">
        <v>1581</v>
      </c>
      <c r="AJ29" s="1732" t="s">
        <v>1582</v>
      </c>
      <c r="AK29" s="1731" t="s">
        <v>1583</v>
      </c>
      <c r="AL29" s="1732" t="s">
        <v>1584</v>
      </c>
      <c r="AM29" s="1731" t="s">
        <v>1585</v>
      </c>
      <c r="AN29" s="1798" t="s">
        <v>1586</v>
      </c>
      <c r="AO29" s="1799" t="s">
        <v>1587</v>
      </c>
      <c r="AP29" s="1735" t="s">
        <v>1588</v>
      </c>
      <c r="AQ29" s="1736" t="s">
        <v>1589</v>
      </c>
      <c r="AR29" s="1732" t="s">
        <v>1590</v>
      </c>
      <c r="AS29" s="1736" t="s">
        <v>1591</v>
      </c>
      <c r="AT29" s="1732" t="s">
        <v>1592</v>
      </c>
      <c r="AU29" s="1800" t="s">
        <v>1593</v>
      </c>
      <c r="AV29" s="1800" t="s">
        <v>1594</v>
      </c>
      <c r="AW29" s="1800" t="s">
        <v>1595</v>
      </c>
      <c r="AX29" s="1800" t="s">
        <v>1596</v>
      </c>
      <c r="AY29" s="1800" t="s">
        <v>1597</v>
      </c>
      <c r="AZ29" s="1514" t="str">
        <f t="shared" si="30"/>
        <v>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BA29" s="181"/>
      <c r="BB29" s="181"/>
      <c r="CC29" s="348"/>
      <c r="CD29" s="348"/>
      <c r="CE29" s="348"/>
      <c r="CF29" s="348"/>
      <c r="CG29" s="348"/>
      <c r="CH29" s="348"/>
      <c r="CI29" s="348"/>
      <c r="CJ29" s="348" t="str">
        <f t="shared" si="7"/>
        <v xml:space="preserve">* La celda 'Niños, Niñas, Adolescentes y Jóvenes Mejor Niñez' debe ser menor o igual al Total de Ambos Sexos. </v>
      </c>
      <c r="CK29" s="348" t="str">
        <f t="shared" si="8"/>
        <v xml:space="preserve">* La celda 'Plan Cuidado Integral Elaborado' debe ser menor o igual al Total de Personas en control. </v>
      </c>
      <c r="CL29" s="348" t="str">
        <f t="shared" si="43"/>
        <v xml:space="preserve"> * La variable Trans Masculino no debe ser mayor al Total Mujeres.</v>
      </c>
      <c r="CM29" s="348" t="str">
        <f t="shared" si="44"/>
        <v xml:space="preserve"> * La variable Trans Femenino no debe ser mayor al Total Hombre.</v>
      </c>
      <c r="CN29" s="354"/>
      <c r="CO29" s="348" t="str">
        <f t="shared" si="50"/>
        <v/>
      </c>
      <c r="CP29" s="348" t="str">
        <f t="shared" si="34"/>
        <v/>
      </c>
      <c r="CQ29" s="348" t="str">
        <f t="shared" si="35"/>
        <v/>
      </c>
      <c r="CR29" s="348" t="str">
        <f t="shared" si="36"/>
        <v/>
      </c>
      <c r="CS29" s="348" t="str">
        <f t="shared" si="37"/>
        <v/>
      </c>
      <c r="CT29" s="348" t="str">
        <f t="shared" si="38"/>
        <v/>
      </c>
      <c r="CU29" s="348" t="str">
        <f t="shared" si="9"/>
        <v/>
      </c>
      <c r="CV29" s="348" t="str">
        <f t="shared" si="10"/>
        <v/>
      </c>
      <c r="CW29" s="348" t="str">
        <f t="shared" si="11"/>
        <v/>
      </c>
      <c r="CX29" s="175"/>
      <c r="CY29" s="175"/>
      <c r="DB29" s="358"/>
      <c r="DC29" s="358"/>
      <c r="DD29" s="358"/>
      <c r="DE29" s="358"/>
      <c r="DF29" s="358"/>
      <c r="DG29" s="358"/>
      <c r="DH29" s="358"/>
      <c r="DI29" s="358">
        <f t="shared" si="19"/>
        <v>1</v>
      </c>
      <c r="DJ29" s="358">
        <f t="shared" si="20"/>
        <v>1</v>
      </c>
      <c r="DK29" s="175"/>
      <c r="DL29" s="358">
        <f t="shared" si="21"/>
        <v>1</v>
      </c>
      <c r="DM29" s="358">
        <f t="shared" si="47"/>
        <v>1</v>
      </c>
      <c r="DN29" s="175"/>
      <c r="DO29" s="358">
        <f t="shared" si="51"/>
        <v>0</v>
      </c>
      <c r="DP29" s="358">
        <f t="shared" si="40"/>
        <v>0</v>
      </c>
      <c r="DQ29" s="358"/>
      <c r="DR29" s="358">
        <f t="shared" si="24"/>
        <v>0</v>
      </c>
      <c r="DS29" s="358">
        <f t="shared" si="49"/>
        <v>0</v>
      </c>
      <c r="DT29" s="358">
        <f t="shared" si="26"/>
        <v>0</v>
      </c>
      <c r="DU29" s="358">
        <f t="shared" si="27"/>
        <v>0</v>
      </c>
      <c r="DV29" s="358">
        <f t="shared" si="28"/>
        <v>0</v>
      </c>
      <c r="DW29" s="358">
        <f t="shared" si="29"/>
        <v>0</v>
      </c>
      <c r="DX29" s="960"/>
    </row>
    <row r="30" spans="1:128" s="141" customFormat="1" ht="21" customHeight="1" x14ac:dyDescent="0.3">
      <c r="A30" s="1637" t="s">
        <v>1292</v>
      </c>
      <c r="B30" s="2357"/>
      <c r="C30" s="937" t="s">
        <v>708</v>
      </c>
      <c r="D30" s="1684" t="s">
        <v>1550</v>
      </c>
      <c r="E30" s="1685" t="s">
        <v>1551</v>
      </c>
      <c r="F30" s="1686" t="s">
        <v>1552</v>
      </c>
      <c r="G30" s="1697" t="s">
        <v>1553</v>
      </c>
      <c r="H30" s="1698" t="s">
        <v>1554</v>
      </c>
      <c r="I30" s="1697" t="s">
        <v>1555</v>
      </c>
      <c r="J30" s="1698" t="s">
        <v>1556</v>
      </c>
      <c r="K30" s="1697" t="s">
        <v>1557</v>
      </c>
      <c r="L30" s="1698" t="s">
        <v>1558</v>
      </c>
      <c r="M30" s="1697" t="s">
        <v>1559</v>
      </c>
      <c r="N30" s="1698" t="s">
        <v>1560</v>
      </c>
      <c r="O30" s="1697" t="s">
        <v>1561</v>
      </c>
      <c r="P30" s="1698" t="s">
        <v>1562</v>
      </c>
      <c r="Q30" s="1697" t="s">
        <v>1563</v>
      </c>
      <c r="R30" s="1698" t="s">
        <v>1564</v>
      </c>
      <c r="S30" s="1697" t="s">
        <v>1565</v>
      </c>
      <c r="T30" s="1698" t="s">
        <v>1566</v>
      </c>
      <c r="U30" s="1697" t="s">
        <v>1567</v>
      </c>
      <c r="V30" s="1698" t="s">
        <v>1568</v>
      </c>
      <c r="W30" s="1697" t="s">
        <v>1569</v>
      </c>
      <c r="X30" s="1698" t="s">
        <v>1570</v>
      </c>
      <c r="Y30" s="1697" t="s">
        <v>1571</v>
      </c>
      <c r="Z30" s="1698" t="s">
        <v>1572</v>
      </c>
      <c r="AA30" s="1697" t="s">
        <v>1573</v>
      </c>
      <c r="AB30" s="1698" t="s">
        <v>1574</v>
      </c>
      <c r="AC30" s="1697" t="s">
        <v>1575</v>
      </c>
      <c r="AD30" s="1698" t="s">
        <v>1576</v>
      </c>
      <c r="AE30" s="1697" t="s">
        <v>1577</v>
      </c>
      <c r="AF30" s="1698" t="s">
        <v>1578</v>
      </c>
      <c r="AG30" s="1697" t="s">
        <v>1579</v>
      </c>
      <c r="AH30" s="1698" t="s">
        <v>1580</v>
      </c>
      <c r="AI30" s="1697" t="s">
        <v>1581</v>
      </c>
      <c r="AJ30" s="1698" t="s">
        <v>1582</v>
      </c>
      <c r="AK30" s="1697" t="s">
        <v>1583</v>
      </c>
      <c r="AL30" s="1698" t="s">
        <v>1584</v>
      </c>
      <c r="AM30" s="1697" t="s">
        <v>1585</v>
      </c>
      <c r="AN30" s="1760" t="s">
        <v>1586</v>
      </c>
      <c r="AO30" s="1778" t="s">
        <v>1587</v>
      </c>
      <c r="AP30" s="1701" t="s">
        <v>1588</v>
      </c>
      <c r="AQ30" s="1702" t="s">
        <v>1589</v>
      </c>
      <c r="AR30" s="1698" t="s">
        <v>1590</v>
      </c>
      <c r="AS30" s="1702" t="s">
        <v>1591</v>
      </c>
      <c r="AT30" s="1698" t="s">
        <v>1592</v>
      </c>
      <c r="AU30" s="1779" t="s">
        <v>1593</v>
      </c>
      <c r="AV30" s="1779" t="s">
        <v>1594</v>
      </c>
      <c r="AW30" s="1779" t="s">
        <v>1595</v>
      </c>
      <c r="AX30" s="1779" t="s">
        <v>1596</v>
      </c>
      <c r="AY30" s="1779" t="s">
        <v>1597</v>
      </c>
      <c r="AZ30" s="1514" t="str">
        <f t="shared" si="30"/>
        <v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BA30" s="181"/>
      <c r="BB30" s="181"/>
      <c r="CC30" s="348" t="str">
        <f>IF($AO30&gt;$F30,"* La celda 'Gestantes' debe ser menor o igual al Total de Mujeres en control. ","")</f>
        <v xml:space="preserve">* La celda 'Gestantes' debe ser menor o igual al Total de Mujeres en control. </v>
      </c>
      <c r="CD30" s="348" t="str">
        <f>IF($AP30&gt;$F30,"* La celda 'Madres de Hijos menor de 5 años' debe ser menor o igual al Total de Mujeres en control. ","")</f>
        <v xml:space="preserve">* La celda 'Madres de Hijos menor de 5 años' debe ser menor o igual al Total de Mujeres en control. </v>
      </c>
      <c r="CE30" s="348" t="str">
        <f t="shared" si="41"/>
        <v xml:space="preserve">* La celda 'Pueblos Originarios / Hombres' debe ser menor o igual al Total de Hombres en control. </v>
      </c>
      <c r="CF30" s="348" t="str">
        <f t="shared" si="3"/>
        <v xml:space="preserve">* La celda 'Pueblos Originarios / Mujeres' debe ser menor o igual al Total de Mujeres en control. </v>
      </c>
      <c r="CG30" s="348" t="str">
        <f t="shared" si="42"/>
        <v xml:space="preserve">* La celda 'Población Migrantes / Hombres' debe ser menor o igual al Total de Hombres en control. </v>
      </c>
      <c r="CH30" s="348" t="str">
        <f t="shared" si="5"/>
        <v xml:space="preserve">* La celda 'Población Migrantes / Mujeres' debe ser menor o igual al Total de Mujeres en control. </v>
      </c>
      <c r="CI30" s="348" t="str">
        <f t="shared" si="6"/>
        <v xml:space="preserve">* La celda 'Niños, Niñas, Adolescentes y Jóvenes de Población SENAME' debe ser menor o igual al Total de Ambos Sexos. </v>
      </c>
      <c r="CJ30" s="348" t="str">
        <f t="shared" si="7"/>
        <v xml:space="preserve">* La celda 'Niños, Niñas, Adolescentes y Jóvenes Mejor Niñez' debe ser menor o igual al Total de Ambos Sexos. </v>
      </c>
      <c r="CK30" s="348" t="str">
        <f t="shared" si="8"/>
        <v xml:space="preserve">* La celda 'Plan Cuidado Integral Elaborado' debe ser menor o igual al Total de Personas en control. </v>
      </c>
      <c r="CL30" s="348" t="str">
        <f t="shared" si="43"/>
        <v xml:space="preserve"> * La variable Trans Masculino no debe ser mayor al Total Mujeres.</v>
      </c>
      <c r="CM30" s="348" t="str">
        <f t="shared" si="44"/>
        <v xml:space="preserve"> * La variable Trans Femenino no debe ser mayor al Total Hombre.</v>
      </c>
      <c r="CN30" s="354"/>
      <c r="CO30" s="348" t="str">
        <f>IF(AND($F30&lt;&gt;0,$AO30=""),"* No olvide escribir en la celda de 'Gestantes' (Digite CERO si no tiene). ","")</f>
        <v/>
      </c>
      <c r="CP30" s="348" t="str">
        <f t="shared" si="34"/>
        <v/>
      </c>
      <c r="CQ30" s="348" t="str">
        <f t="shared" si="35"/>
        <v/>
      </c>
      <c r="CR30" s="348" t="str">
        <f t="shared" si="36"/>
        <v/>
      </c>
      <c r="CS30" s="348" t="str">
        <f t="shared" si="37"/>
        <v/>
      </c>
      <c r="CT30" s="348" t="str">
        <f t="shared" si="38"/>
        <v/>
      </c>
      <c r="CU30" s="348" t="str">
        <f t="shared" si="9"/>
        <v/>
      </c>
      <c r="CV30" s="348" t="str">
        <f t="shared" si="10"/>
        <v/>
      </c>
      <c r="CW30" s="348" t="str">
        <f t="shared" si="11"/>
        <v/>
      </c>
      <c r="CX30" s="175"/>
      <c r="CY30" s="175"/>
      <c r="DB30" s="358">
        <f>IF($AO30&gt;$F30,1,0)</f>
        <v>1</v>
      </c>
      <c r="DC30" s="358">
        <f t="shared" si="13"/>
        <v>1</v>
      </c>
      <c r="DD30" s="358">
        <f t="shared" si="45"/>
        <v>1</v>
      </c>
      <c r="DE30" s="358">
        <f t="shared" si="15"/>
        <v>1</v>
      </c>
      <c r="DF30" s="358">
        <f t="shared" si="46"/>
        <v>1</v>
      </c>
      <c r="DG30" s="358">
        <f t="shared" si="17"/>
        <v>1</v>
      </c>
      <c r="DH30" s="358">
        <f t="shared" si="18"/>
        <v>1</v>
      </c>
      <c r="DI30" s="358">
        <f t="shared" si="19"/>
        <v>1</v>
      </c>
      <c r="DJ30" s="358">
        <f t="shared" si="20"/>
        <v>1</v>
      </c>
      <c r="DK30" s="175"/>
      <c r="DL30" s="358">
        <f t="shared" si="21"/>
        <v>1</v>
      </c>
      <c r="DM30" s="358">
        <f t="shared" si="47"/>
        <v>1</v>
      </c>
      <c r="DN30" s="175"/>
      <c r="DO30" s="358">
        <f t="shared" si="51"/>
        <v>0</v>
      </c>
      <c r="DP30" s="358">
        <f t="shared" si="40"/>
        <v>0</v>
      </c>
      <c r="DQ30" s="358">
        <f t="shared" si="48"/>
        <v>0</v>
      </c>
      <c r="DR30" s="358">
        <f t="shared" si="24"/>
        <v>0</v>
      </c>
      <c r="DS30" s="358">
        <f t="shared" si="49"/>
        <v>0</v>
      </c>
      <c r="DT30" s="358">
        <f t="shared" si="26"/>
        <v>0</v>
      </c>
      <c r="DU30" s="358">
        <f t="shared" si="27"/>
        <v>0</v>
      </c>
      <c r="DV30" s="358">
        <f t="shared" si="28"/>
        <v>0</v>
      </c>
      <c r="DW30" s="358">
        <f t="shared" si="29"/>
        <v>0</v>
      </c>
      <c r="DX30" s="960"/>
    </row>
    <row r="31" spans="1:128" s="141" customFormat="1" ht="21" customHeight="1" x14ac:dyDescent="0.3">
      <c r="A31" s="1637" t="s">
        <v>1293</v>
      </c>
      <c r="B31" s="2351" t="s">
        <v>221</v>
      </c>
      <c r="C31" s="362" t="s">
        <v>222</v>
      </c>
      <c r="D31" s="1675" t="s">
        <v>1550</v>
      </c>
      <c r="E31" s="1676" t="s">
        <v>1551</v>
      </c>
      <c r="F31" s="1677" t="s">
        <v>1552</v>
      </c>
      <c r="G31" s="1678" t="s">
        <v>1553</v>
      </c>
      <c r="H31" s="1679" t="s">
        <v>1554</v>
      </c>
      <c r="I31" s="1678" t="s">
        <v>1555</v>
      </c>
      <c r="J31" s="1679" t="s">
        <v>1556</v>
      </c>
      <c r="K31" s="1678" t="s">
        <v>1557</v>
      </c>
      <c r="L31" s="1679" t="s">
        <v>1558</v>
      </c>
      <c r="M31" s="1678" t="s">
        <v>1559</v>
      </c>
      <c r="N31" s="1679" t="s">
        <v>1560</v>
      </c>
      <c r="O31" s="1678" t="s">
        <v>1561</v>
      </c>
      <c r="P31" s="1679" t="s">
        <v>1562</v>
      </c>
      <c r="Q31" s="1678" t="s">
        <v>1563</v>
      </c>
      <c r="R31" s="1679" t="s">
        <v>1564</v>
      </c>
      <c r="S31" s="1678" t="s">
        <v>1565</v>
      </c>
      <c r="T31" s="1679" t="s">
        <v>1566</v>
      </c>
      <c r="U31" s="1678" t="s">
        <v>1567</v>
      </c>
      <c r="V31" s="1679" t="s">
        <v>1568</v>
      </c>
      <c r="W31" s="1678" t="s">
        <v>1569</v>
      </c>
      <c r="X31" s="1679" t="s">
        <v>1570</v>
      </c>
      <c r="Y31" s="1678" t="s">
        <v>1571</v>
      </c>
      <c r="Z31" s="1679" t="s">
        <v>1572</v>
      </c>
      <c r="AA31" s="1678" t="s">
        <v>1573</v>
      </c>
      <c r="AB31" s="1679" t="s">
        <v>1574</v>
      </c>
      <c r="AC31" s="1678" t="s">
        <v>1575</v>
      </c>
      <c r="AD31" s="1679" t="s">
        <v>1576</v>
      </c>
      <c r="AE31" s="1678" t="s">
        <v>1577</v>
      </c>
      <c r="AF31" s="1679" t="s">
        <v>1578</v>
      </c>
      <c r="AG31" s="1678" t="s">
        <v>1579</v>
      </c>
      <c r="AH31" s="1679" t="s">
        <v>1580</v>
      </c>
      <c r="AI31" s="1678" t="s">
        <v>1581</v>
      </c>
      <c r="AJ31" s="1679" t="s">
        <v>1582</v>
      </c>
      <c r="AK31" s="1678" t="s">
        <v>1583</v>
      </c>
      <c r="AL31" s="1679" t="s">
        <v>1584</v>
      </c>
      <c r="AM31" s="1678" t="s">
        <v>1585</v>
      </c>
      <c r="AN31" s="1775" t="s">
        <v>1586</v>
      </c>
      <c r="AO31" s="1776" t="s">
        <v>1587</v>
      </c>
      <c r="AP31" s="1801" t="s">
        <v>1588</v>
      </c>
      <c r="AQ31" s="1683" t="s">
        <v>1589</v>
      </c>
      <c r="AR31" s="1679" t="s">
        <v>1590</v>
      </c>
      <c r="AS31" s="1683" t="s">
        <v>1591</v>
      </c>
      <c r="AT31" s="1679" t="s">
        <v>1592</v>
      </c>
      <c r="AU31" s="1777" t="s">
        <v>1593</v>
      </c>
      <c r="AV31" s="1777" t="s">
        <v>1594</v>
      </c>
      <c r="AW31" s="1777" t="s">
        <v>1595</v>
      </c>
      <c r="AX31" s="1777" t="s">
        <v>1596</v>
      </c>
      <c r="AY31" s="1777" t="s">
        <v>1597</v>
      </c>
      <c r="AZ31" s="1514" t="str">
        <f t="shared" si="30"/>
        <v>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BA31" s="181"/>
      <c r="BB31" s="181"/>
      <c r="CC31" s="354"/>
      <c r="CD31" s="354"/>
      <c r="CE31" s="348" t="str">
        <f t="shared" si="41"/>
        <v xml:space="preserve">* La celda 'Pueblos Originarios / Hombres' debe ser menor o igual al Total de Hombres en control. </v>
      </c>
      <c r="CF31" s="348" t="str">
        <f t="shared" si="3"/>
        <v xml:space="preserve">* La celda 'Pueblos Originarios / Mujeres' debe ser menor o igual al Total de Mujeres en control. </v>
      </c>
      <c r="CG31" s="348" t="str">
        <f t="shared" si="42"/>
        <v xml:space="preserve">* La celda 'Población Migrantes / Hombres' debe ser menor o igual al Total de Hombres en control. </v>
      </c>
      <c r="CH31" s="348" t="str">
        <f t="shared" si="5"/>
        <v xml:space="preserve">* La celda 'Población Migrantes / Mujeres' debe ser menor o igual al Total de Mujeres en control. </v>
      </c>
      <c r="CI31" s="348" t="str">
        <f t="shared" si="6"/>
        <v xml:space="preserve">* La celda 'Niños, Niñas, Adolescentes y Jóvenes de Población SENAME' debe ser menor o igual al Total de Ambos Sexos. </v>
      </c>
      <c r="CJ31" s="348" t="str">
        <f t="shared" si="7"/>
        <v xml:space="preserve">* La celda 'Niños, Niñas, Adolescentes y Jóvenes Mejor Niñez' debe ser menor o igual al Total de Ambos Sexos. </v>
      </c>
      <c r="CK31" s="348" t="str">
        <f t="shared" si="8"/>
        <v xml:space="preserve">* La celda 'Plan Cuidado Integral Elaborado' debe ser menor o igual al Total de Personas en control. </v>
      </c>
      <c r="CL31" s="348" t="str">
        <f t="shared" si="43"/>
        <v xml:space="preserve"> * La variable Trans Masculino no debe ser mayor al Total Mujeres.</v>
      </c>
      <c r="CM31" s="348" t="str">
        <f t="shared" si="44"/>
        <v xml:space="preserve"> * La variable Trans Femenino no debe ser mayor al Total Hombre.</v>
      </c>
      <c r="CN31" s="354"/>
      <c r="CO31" s="354"/>
      <c r="CP31" s="354"/>
      <c r="CQ31" s="348" t="str">
        <f t="shared" si="35"/>
        <v/>
      </c>
      <c r="CR31" s="348" t="str">
        <f t="shared" si="36"/>
        <v/>
      </c>
      <c r="CS31" s="348" t="str">
        <f t="shared" si="37"/>
        <v/>
      </c>
      <c r="CT31" s="348" t="str">
        <f t="shared" si="38"/>
        <v/>
      </c>
      <c r="CU31" s="348" t="str">
        <f t="shared" si="9"/>
        <v/>
      </c>
      <c r="CV31" s="348" t="str">
        <f t="shared" si="10"/>
        <v/>
      </c>
      <c r="CW31" s="348" t="str">
        <f t="shared" si="11"/>
        <v/>
      </c>
      <c r="CX31" s="175"/>
      <c r="CY31" s="175"/>
      <c r="DB31" s="352"/>
      <c r="DC31" s="352"/>
      <c r="DD31" s="358">
        <f t="shared" si="45"/>
        <v>1</v>
      </c>
      <c r="DE31" s="358">
        <f t="shared" si="15"/>
        <v>1</v>
      </c>
      <c r="DF31" s="358">
        <f t="shared" si="46"/>
        <v>1</v>
      </c>
      <c r="DG31" s="358">
        <f t="shared" si="17"/>
        <v>1</v>
      </c>
      <c r="DH31" s="358">
        <f t="shared" si="18"/>
        <v>1</v>
      </c>
      <c r="DI31" s="358">
        <f t="shared" si="19"/>
        <v>1</v>
      </c>
      <c r="DJ31" s="358">
        <f t="shared" si="20"/>
        <v>1</v>
      </c>
      <c r="DK31" s="175"/>
      <c r="DL31" s="358">
        <f t="shared" si="21"/>
        <v>1</v>
      </c>
      <c r="DM31" s="358">
        <f t="shared" si="47"/>
        <v>1</v>
      </c>
      <c r="DN31" s="175"/>
      <c r="DO31" s="352"/>
      <c r="DP31" s="352"/>
      <c r="DQ31" s="358">
        <f t="shared" si="48"/>
        <v>0</v>
      </c>
      <c r="DR31" s="358">
        <f t="shared" si="24"/>
        <v>0</v>
      </c>
      <c r="DS31" s="358">
        <f t="shared" si="49"/>
        <v>0</v>
      </c>
      <c r="DT31" s="358">
        <f t="shared" si="26"/>
        <v>0</v>
      </c>
      <c r="DU31" s="358">
        <f t="shared" si="27"/>
        <v>0</v>
      </c>
      <c r="DV31" s="358">
        <f t="shared" si="28"/>
        <v>0</v>
      </c>
      <c r="DW31" s="358">
        <f t="shared" si="29"/>
        <v>0</v>
      </c>
      <c r="DX31" s="960"/>
    </row>
    <row r="32" spans="1:128" s="141" customFormat="1" ht="21" customHeight="1" x14ac:dyDescent="0.3">
      <c r="A32" s="1637" t="s">
        <v>1294</v>
      </c>
      <c r="B32" s="2352"/>
      <c r="C32" s="363" t="s">
        <v>223</v>
      </c>
      <c r="D32" s="1737" t="s">
        <v>1550</v>
      </c>
      <c r="E32" s="1738" t="s">
        <v>1551</v>
      </c>
      <c r="F32" s="1725" t="s">
        <v>1552</v>
      </c>
      <c r="G32" s="1689" t="s">
        <v>1553</v>
      </c>
      <c r="H32" s="1690" t="s">
        <v>1554</v>
      </c>
      <c r="I32" s="1689" t="s">
        <v>1555</v>
      </c>
      <c r="J32" s="1690" t="s">
        <v>1556</v>
      </c>
      <c r="K32" s="1689" t="s">
        <v>1557</v>
      </c>
      <c r="L32" s="1690" t="s">
        <v>1558</v>
      </c>
      <c r="M32" s="1689" t="s">
        <v>1559</v>
      </c>
      <c r="N32" s="1690" t="s">
        <v>1560</v>
      </c>
      <c r="O32" s="1689" t="s">
        <v>1561</v>
      </c>
      <c r="P32" s="1694" t="s">
        <v>1562</v>
      </c>
      <c r="Q32" s="1689" t="s">
        <v>1563</v>
      </c>
      <c r="R32" s="1690" t="s">
        <v>1564</v>
      </c>
      <c r="S32" s="1689" t="s">
        <v>1565</v>
      </c>
      <c r="T32" s="1690" t="s">
        <v>1566</v>
      </c>
      <c r="U32" s="1689" t="s">
        <v>1567</v>
      </c>
      <c r="V32" s="1690" t="s">
        <v>1568</v>
      </c>
      <c r="W32" s="1689" t="s">
        <v>1569</v>
      </c>
      <c r="X32" s="1690" t="s">
        <v>1570</v>
      </c>
      <c r="Y32" s="1689" t="s">
        <v>1571</v>
      </c>
      <c r="Z32" s="1690" t="s">
        <v>1572</v>
      </c>
      <c r="AA32" s="1689" t="s">
        <v>1573</v>
      </c>
      <c r="AB32" s="1690" t="s">
        <v>1574</v>
      </c>
      <c r="AC32" s="1689" t="s">
        <v>1575</v>
      </c>
      <c r="AD32" s="1690" t="s">
        <v>1576</v>
      </c>
      <c r="AE32" s="1689" t="s">
        <v>1577</v>
      </c>
      <c r="AF32" s="1690" t="s">
        <v>1578</v>
      </c>
      <c r="AG32" s="1689" t="s">
        <v>1579</v>
      </c>
      <c r="AH32" s="1690" t="s">
        <v>1580</v>
      </c>
      <c r="AI32" s="1689" t="s">
        <v>1581</v>
      </c>
      <c r="AJ32" s="1690" t="s">
        <v>1582</v>
      </c>
      <c r="AK32" s="1689" t="s">
        <v>1583</v>
      </c>
      <c r="AL32" s="1690" t="s">
        <v>1584</v>
      </c>
      <c r="AM32" s="1689" t="s">
        <v>1585</v>
      </c>
      <c r="AN32" s="1756" t="s">
        <v>1586</v>
      </c>
      <c r="AO32" s="1793" t="s">
        <v>1587</v>
      </c>
      <c r="AP32" s="1744" t="s">
        <v>1588</v>
      </c>
      <c r="AQ32" s="1694" t="s">
        <v>1589</v>
      </c>
      <c r="AR32" s="1690" t="s">
        <v>1590</v>
      </c>
      <c r="AS32" s="1694" t="s">
        <v>1591</v>
      </c>
      <c r="AT32" s="1690" t="s">
        <v>1592</v>
      </c>
      <c r="AU32" s="1794" t="s">
        <v>1593</v>
      </c>
      <c r="AV32" s="1794" t="s">
        <v>1594</v>
      </c>
      <c r="AW32" s="1794" t="s">
        <v>1595</v>
      </c>
      <c r="AX32" s="1794" t="s">
        <v>1596</v>
      </c>
      <c r="AY32" s="1794" t="s">
        <v>1597</v>
      </c>
      <c r="AZ32" s="1514" t="str">
        <f t="shared" si="30"/>
        <v>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BA32" s="181"/>
      <c r="BB32" s="181"/>
      <c r="CC32" s="354"/>
      <c r="CD32" s="354"/>
      <c r="CE32" s="348" t="str">
        <f t="shared" si="41"/>
        <v xml:space="preserve">* La celda 'Pueblos Originarios / Hombres' debe ser menor o igual al Total de Hombres en control. </v>
      </c>
      <c r="CF32" s="348" t="str">
        <f t="shared" si="3"/>
        <v xml:space="preserve">* La celda 'Pueblos Originarios / Mujeres' debe ser menor o igual al Total de Mujeres en control. </v>
      </c>
      <c r="CG32" s="348" t="str">
        <f t="shared" si="42"/>
        <v xml:space="preserve">* La celda 'Población Migrantes / Hombres' debe ser menor o igual al Total de Hombres en control. </v>
      </c>
      <c r="CH32" s="348" t="str">
        <f t="shared" si="5"/>
        <v xml:space="preserve">* La celda 'Población Migrantes / Mujeres' debe ser menor o igual al Total de Mujeres en control. </v>
      </c>
      <c r="CI32" s="348" t="str">
        <f t="shared" si="6"/>
        <v xml:space="preserve">* La celda 'Niños, Niñas, Adolescentes y Jóvenes de Población SENAME' debe ser menor o igual al Total de Ambos Sexos. </v>
      </c>
      <c r="CJ32" s="348" t="str">
        <f t="shared" si="7"/>
        <v xml:space="preserve">* La celda 'Niños, Niñas, Adolescentes y Jóvenes Mejor Niñez' debe ser menor o igual al Total de Ambos Sexos. </v>
      </c>
      <c r="CK32" s="348" t="str">
        <f t="shared" si="8"/>
        <v xml:space="preserve">* La celda 'Plan Cuidado Integral Elaborado' debe ser menor o igual al Total de Personas en control. </v>
      </c>
      <c r="CL32" s="348" t="str">
        <f t="shared" si="43"/>
        <v xml:space="preserve"> * La variable Trans Masculino no debe ser mayor al Total Mujeres.</v>
      </c>
      <c r="CM32" s="348" t="str">
        <f t="shared" si="44"/>
        <v xml:space="preserve"> * La variable Trans Femenino no debe ser mayor al Total Hombre.</v>
      </c>
      <c r="CN32" s="354"/>
      <c r="CO32" s="354"/>
      <c r="CP32" s="354"/>
      <c r="CQ32" s="348" t="str">
        <f t="shared" si="35"/>
        <v/>
      </c>
      <c r="CR32" s="348" t="str">
        <f t="shared" si="36"/>
        <v/>
      </c>
      <c r="CS32" s="348" t="str">
        <f t="shared" si="37"/>
        <v/>
      </c>
      <c r="CT32" s="348" t="str">
        <f t="shared" si="38"/>
        <v/>
      </c>
      <c r="CU32" s="348" t="str">
        <f t="shared" si="9"/>
        <v/>
      </c>
      <c r="CV32" s="348" t="str">
        <f t="shared" si="10"/>
        <v/>
      </c>
      <c r="CW32" s="348" t="str">
        <f t="shared" si="11"/>
        <v/>
      </c>
      <c r="CX32" s="175"/>
      <c r="CY32" s="175"/>
      <c r="DB32" s="352"/>
      <c r="DC32" s="352"/>
      <c r="DD32" s="358">
        <f t="shared" si="45"/>
        <v>1</v>
      </c>
      <c r="DE32" s="358">
        <f t="shared" si="15"/>
        <v>1</v>
      </c>
      <c r="DF32" s="358">
        <f t="shared" si="46"/>
        <v>1</v>
      </c>
      <c r="DG32" s="358">
        <f t="shared" si="17"/>
        <v>1</v>
      </c>
      <c r="DH32" s="358">
        <f t="shared" si="18"/>
        <v>1</v>
      </c>
      <c r="DI32" s="358">
        <f t="shared" si="19"/>
        <v>1</v>
      </c>
      <c r="DJ32" s="358">
        <f t="shared" si="20"/>
        <v>1</v>
      </c>
      <c r="DK32" s="175"/>
      <c r="DL32" s="358">
        <f t="shared" si="21"/>
        <v>1</v>
      </c>
      <c r="DM32" s="358">
        <f t="shared" si="47"/>
        <v>1</v>
      </c>
      <c r="DN32" s="175"/>
      <c r="DO32" s="352"/>
      <c r="DP32" s="352"/>
      <c r="DQ32" s="358">
        <f t="shared" si="48"/>
        <v>0</v>
      </c>
      <c r="DR32" s="358">
        <f t="shared" si="24"/>
        <v>0</v>
      </c>
      <c r="DS32" s="358">
        <f t="shared" si="49"/>
        <v>0</v>
      </c>
      <c r="DT32" s="358">
        <f t="shared" si="26"/>
        <v>0</v>
      </c>
      <c r="DU32" s="358">
        <f t="shared" si="27"/>
        <v>0</v>
      </c>
      <c r="DV32" s="358">
        <f t="shared" si="28"/>
        <v>0</v>
      </c>
      <c r="DW32" s="358">
        <f t="shared" si="29"/>
        <v>0</v>
      </c>
      <c r="DX32" s="960"/>
    </row>
    <row r="33" spans="1:128" s="141" customFormat="1" ht="21" customHeight="1" x14ac:dyDescent="0.3">
      <c r="A33" s="1637" t="s">
        <v>1295</v>
      </c>
      <c r="B33" s="2352"/>
      <c r="C33" s="363" t="s">
        <v>224</v>
      </c>
      <c r="D33" s="1703" t="s">
        <v>1550</v>
      </c>
      <c r="E33" s="1704" t="s">
        <v>1551</v>
      </c>
      <c r="F33" s="1723" t="s">
        <v>1552</v>
      </c>
      <c r="G33" s="1689" t="s">
        <v>1553</v>
      </c>
      <c r="H33" s="1690" t="s">
        <v>1554</v>
      </c>
      <c r="I33" s="1689" t="s">
        <v>1555</v>
      </c>
      <c r="J33" s="1690" t="s">
        <v>1556</v>
      </c>
      <c r="K33" s="1689" t="s">
        <v>1557</v>
      </c>
      <c r="L33" s="1690" t="s">
        <v>1558</v>
      </c>
      <c r="M33" s="1726" t="s">
        <v>1559</v>
      </c>
      <c r="N33" s="1727" t="s">
        <v>1560</v>
      </c>
      <c r="O33" s="1726" t="s">
        <v>1561</v>
      </c>
      <c r="P33" s="1727" t="s">
        <v>1562</v>
      </c>
      <c r="Q33" s="1726" t="s">
        <v>1563</v>
      </c>
      <c r="R33" s="1727" t="s">
        <v>1564</v>
      </c>
      <c r="S33" s="1726" t="s">
        <v>1565</v>
      </c>
      <c r="T33" s="1727" t="s">
        <v>1566</v>
      </c>
      <c r="U33" s="1726" t="s">
        <v>1567</v>
      </c>
      <c r="V33" s="1727" t="s">
        <v>1568</v>
      </c>
      <c r="W33" s="1726" t="s">
        <v>1569</v>
      </c>
      <c r="X33" s="1727" t="s">
        <v>1570</v>
      </c>
      <c r="Y33" s="1726" t="s">
        <v>1571</v>
      </c>
      <c r="Z33" s="1727" t="s">
        <v>1572</v>
      </c>
      <c r="AA33" s="1726" t="s">
        <v>1573</v>
      </c>
      <c r="AB33" s="1727" t="s">
        <v>1574</v>
      </c>
      <c r="AC33" s="1726" t="s">
        <v>1575</v>
      </c>
      <c r="AD33" s="1727" t="s">
        <v>1576</v>
      </c>
      <c r="AE33" s="1726" t="s">
        <v>1577</v>
      </c>
      <c r="AF33" s="1727" t="s">
        <v>1578</v>
      </c>
      <c r="AG33" s="1726" t="s">
        <v>1579</v>
      </c>
      <c r="AH33" s="1727" t="s">
        <v>1580</v>
      </c>
      <c r="AI33" s="1726" t="s">
        <v>1581</v>
      </c>
      <c r="AJ33" s="1727" t="s">
        <v>1582</v>
      </c>
      <c r="AK33" s="1726" t="s">
        <v>1583</v>
      </c>
      <c r="AL33" s="1727" t="s">
        <v>1584</v>
      </c>
      <c r="AM33" s="1726" t="s">
        <v>1585</v>
      </c>
      <c r="AN33" s="1795" t="s">
        <v>1586</v>
      </c>
      <c r="AO33" s="1793" t="s">
        <v>1587</v>
      </c>
      <c r="AP33" s="1744" t="s">
        <v>1588</v>
      </c>
      <c r="AQ33" s="1694" t="s">
        <v>1589</v>
      </c>
      <c r="AR33" s="1690" t="s">
        <v>1590</v>
      </c>
      <c r="AS33" s="1694" t="s">
        <v>1591</v>
      </c>
      <c r="AT33" s="1690" t="s">
        <v>1592</v>
      </c>
      <c r="AU33" s="1794" t="s">
        <v>1593</v>
      </c>
      <c r="AV33" s="1794" t="s">
        <v>1594</v>
      </c>
      <c r="AW33" s="1794" t="s">
        <v>1595</v>
      </c>
      <c r="AX33" s="1794" t="s">
        <v>1596</v>
      </c>
      <c r="AY33" s="1794" t="s">
        <v>1597</v>
      </c>
      <c r="AZ33" s="1514" t="str">
        <f t="shared" si="30"/>
        <v>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BA33" s="181"/>
      <c r="BB33" s="181"/>
      <c r="CC33" s="354"/>
      <c r="CD33" s="354"/>
      <c r="CE33" s="348" t="str">
        <f t="shared" si="41"/>
        <v xml:space="preserve">* La celda 'Pueblos Originarios / Hombres' debe ser menor o igual al Total de Hombres en control. </v>
      </c>
      <c r="CF33" s="348" t="str">
        <f t="shared" si="3"/>
        <v xml:space="preserve">* La celda 'Pueblos Originarios / Mujeres' debe ser menor o igual al Total de Mujeres en control. </v>
      </c>
      <c r="CG33" s="348" t="str">
        <f t="shared" si="42"/>
        <v xml:space="preserve">* La celda 'Población Migrantes / Hombres' debe ser menor o igual al Total de Hombres en control. </v>
      </c>
      <c r="CH33" s="348" t="str">
        <f t="shared" si="5"/>
        <v xml:space="preserve">* La celda 'Población Migrantes / Mujeres' debe ser menor o igual al Total de Mujeres en control. </v>
      </c>
      <c r="CI33" s="348" t="str">
        <f t="shared" si="6"/>
        <v xml:space="preserve">* La celda 'Niños, Niñas, Adolescentes y Jóvenes de Población SENAME' debe ser menor o igual al Total de Ambos Sexos. </v>
      </c>
      <c r="CJ33" s="348" t="str">
        <f t="shared" si="7"/>
        <v xml:space="preserve">* La celda 'Niños, Niñas, Adolescentes y Jóvenes Mejor Niñez' debe ser menor o igual al Total de Ambos Sexos. </v>
      </c>
      <c r="CK33" s="348" t="str">
        <f t="shared" si="8"/>
        <v xml:space="preserve">* La celda 'Plan Cuidado Integral Elaborado' debe ser menor o igual al Total de Personas en control. </v>
      </c>
      <c r="CL33" s="348" t="str">
        <f t="shared" si="43"/>
        <v xml:space="preserve"> * La variable Trans Masculino no debe ser mayor al Total Mujeres.</v>
      </c>
      <c r="CM33" s="348" t="str">
        <f t="shared" si="44"/>
        <v xml:space="preserve"> * La variable Trans Femenino no debe ser mayor al Total Hombre.</v>
      </c>
      <c r="CN33" s="354"/>
      <c r="CO33" s="354"/>
      <c r="CP33" s="354"/>
      <c r="CQ33" s="348" t="str">
        <f t="shared" si="35"/>
        <v/>
      </c>
      <c r="CR33" s="348" t="str">
        <f t="shared" si="36"/>
        <v/>
      </c>
      <c r="CS33" s="348" t="str">
        <f t="shared" si="37"/>
        <v/>
      </c>
      <c r="CT33" s="348" t="str">
        <f t="shared" si="38"/>
        <v/>
      </c>
      <c r="CU33" s="348" t="str">
        <f t="shared" si="9"/>
        <v/>
      </c>
      <c r="CV33" s="348" t="str">
        <f t="shared" si="10"/>
        <v/>
      </c>
      <c r="CW33" s="348" t="str">
        <f t="shared" si="11"/>
        <v/>
      </c>
      <c r="CX33" s="175"/>
      <c r="CY33" s="175"/>
      <c r="DB33" s="352"/>
      <c r="DC33" s="352"/>
      <c r="DD33" s="358">
        <f t="shared" si="45"/>
        <v>1</v>
      </c>
      <c r="DE33" s="358">
        <f t="shared" si="15"/>
        <v>1</v>
      </c>
      <c r="DF33" s="358">
        <f t="shared" si="46"/>
        <v>1</v>
      </c>
      <c r="DG33" s="358">
        <f t="shared" si="17"/>
        <v>1</v>
      </c>
      <c r="DH33" s="358">
        <f t="shared" si="18"/>
        <v>1</v>
      </c>
      <c r="DI33" s="358">
        <f t="shared" si="19"/>
        <v>1</v>
      </c>
      <c r="DJ33" s="358">
        <f t="shared" si="20"/>
        <v>1</v>
      </c>
      <c r="DK33" s="175"/>
      <c r="DL33" s="358">
        <f t="shared" si="21"/>
        <v>1</v>
      </c>
      <c r="DM33" s="358">
        <f t="shared" si="47"/>
        <v>1</v>
      </c>
      <c r="DN33" s="175"/>
      <c r="DO33" s="352"/>
      <c r="DP33" s="352"/>
      <c r="DQ33" s="358">
        <f t="shared" si="48"/>
        <v>0</v>
      </c>
      <c r="DR33" s="358">
        <f t="shared" si="24"/>
        <v>0</v>
      </c>
      <c r="DS33" s="358">
        <f t="shared" si="49"/>
        <v>0</v>
      </c>
      <c r="DT33" s="358">
        <f t="shared" si="26"/>
        <v>0</v>
      </c>
      <c r="DU33" s="358">
        <f t="shared" si="27"/>
        <v>0</v>
      </c>
      <c r="DV33" s="358">
        <f t="shared" si="28"/>
        <v>0</v>
      </c>
      <c r="DW33" s="358">
        <f t="shared" si="29"/>
        <v>0</v>
      </c>
      <c r="DX33" s="960"/>
    </row>
    <row r="34" spans="1:128" s="141" customFormat="1" ht="33" customHeight="1" x14ac:dyDescent="0.3">
      <c r="A34" s="1637" t="s">
        <v>1296</v>
      </c>
      <c r="B34" s="2057"/>
      <c r="C34" s="923" t="s">
        <v>225</v>
      </c>
      <c r="D34" s="1684" t="s">
        <v>1550</v>
      </c>
      <c r="E34" s="1685" t="s">
        <v>1551</v>
      </c>
      <c r="F34" s="1686" t="s">
        <v>1552</v>
      </c>
      <c r="G34" s="1697" t="s">
        <v>1553</v>
      </c>
      <c r="H34" s="1698" t="s">
        <v>1554</v>
      </c>
      <c r="I34" s="1697" t="s">
        <v>1555</v>
      </c>
      <c r="J34" s="1698" t="s">
        <v>1556</v>
      </c>
      <c r="K34" s="1697" t="s">
        <v>1557</v>
      </c>
      <c r="L34" s="1698" t="s">
        <v>1558</v>
      </c>
      <c r="M34" s="1697" t="s">
        <v>1559</v>
      </c>
      <c r="N34" s="1698" t="s">
        <v>1560</v>
      </c>
      <c r="O34" s="1697" t="s">
        <v>1561</v>
      </c>
      <c r="P34" s="1698" t="s">
        <v>1562</v>
      </c>
      <c r="Q34" s="1745" t="s">
        <v>1563</v>
      </c>
      <c r="R34" s="1746" t="s">
        <v>1564</v>
      </c>
      <c r="S34" s="1745" t="s">
        <v>1565</v>
      </c>
      <c r="T34" s="1746" t="s">
        <v>1566</v>
      </c>
      <c r="U34" s="1745" t="s">
        <v>1567</v>
      </c>
      <c r="V34" s="1746" t="s">
        <v>1568</v>
      </c>
      <c r="W34" s="1745" t="s">
        <v>1569</v>
      </c>
      <c r="X34" s="1746" t="s">
        <v>1570</v>
      </c>
      <c r="Y34" s="1745" t="s">
        <v>1571</v>
      </c>
      <c r="Z34" s="1746" t="s">
        <v>1572</v>
      </c>
      <c r="AA34" s="1745" t="s">
        <v>1573</v>
      </c>
      <c r="AB34" s="1746" t="s">
        <v>1574</v>
      </c>
      <c r="AC34" s="1745" t="s">
        <v>1575</v>
      </c>
      <c r="AD34" s="1746" t="s">
        <v>1576</v>
      </c>
      <c r="AE34" s="1745" t="s">
        <v>1577</v>
      </c>
      <c r="AF34" s="1746" t="s">
        <v>1578</v>
      </c>
      <c r="AG34" s="1745" t="s">
        <v>1579</v>
      </c>
      <c r="AH34" s="1746" t="s">
        <v>1580</v>
      </c>
      <c r="AI34" s="1745" t="s">
        <v>1581</v>
      </c>
      <c r="AJ34" s="1746" t="s">
        <v>1582</v>
      </c>
      <c r="AK34" s="1745" t="s">
        <v>1583</v>
      </c>
      <c r="AL34" s="1746" t="s">
        <v>1584</v>
      </c>
      <c r="AM34" s="1745" t="s">
        <v>1585</v>
      </c>
      <c r="AN34" s="1802" t="s">
        <v>1586</v>
      </c>
      <c r="AO34" s="1778" t="s">
        <v>1587</v>
      </c>
      <c r="AP34" s="1748" t="s">
        <v>1588</v>
      </c>
      <c r="AQ34" s="1702" t="s">
        <v>1589</v>
      </c>
      <c r="AR34" s="1698" t="s">
        <v>1590</v>
      </c>
      <c r="AS34" s="1702" t="s">
        <v>1591</v>
      </c>
      <c r="AT34" s="1698" t="s">
        <v>1592</v>
      </c>
      <c r="AU34" s="1779" t="s">
        <v>1593</v>
      </c>
      <c r="AV34" s="1779" t="s">
        <v>1594</v>
      </c>
      <c r="AW34" s="1779" t="s">
        <v>1595</v>
      </c>
      <c r="AX34" s="1779" t="s">
        <v>1596</v>
      </c>
      <c r="AY34" s="1779" t="s">
        <v>1597</v>
      </c>
      <c r="AZ34" s="1514" t="str">
        <f t="shared" si="30"/>
        <v>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BA34" s="181"/>
      <c r="BB34" s="181"/>
      <c r="CC34" s="354"/>
      <c r="CD34" s="354"/>
      <c r="CE34" s="348" t="str">
        <f t="shared" si="41"/>
        <v xml:space="preserve">* La celda 'Pueblos Originarios / Hombres' debe ser menor o igual al Total de Hombres en control. </v>
      </c>
      <c r="CF34" s="348" t="str">
        <f t="shared" si="3"/>
        <v xml:space="preserve">* La celda 'Pueblos Originarios / Mujeres' debe ser menor o igual al Total de Mujeres en control. </v>
      </c>
      <c r="CG34" s="348" t="str">
        <f t="shared" si="42"/>
        <v xml:space="preserve">* La celda 'Población Migrantes / Hombres' debe ser menor o igual al Total de Hombres en control. </v>
      </c>
      <c r="CH34" s="348" t="str">
        <f t="shared" si="5"/>
        <v xml:space="preserve">* La celda 'Población Migrantes / Mujeres' debe ser menor o igual al Total de Mujeres en control. </v>
      </c>
      <c r="CI34" s="348" t="str">
        <f t="shared" si="6"/>
        <v xml:space="preserve">* La celda 'Niños, Niñas, Adolescentes y Jóvenes de Población SENAME' debe ser menor o igual al Total de Ambos Sexos. </v>
      </c>
      <c r="CJ34" s="348" t="str">
        <f t="shared" si="7"/>
        <v xml:space="preserve">* La celda 'Niños, Niñas, Adolescentes y Jóvenes Mejor Niñez' debe ser menor o igual al Total de Ambos Sexos. </v>
      </c>
      <c r="CK34" s="348" t="str">
        <f t="shared" si="8"/>
        <v xml:space="preserve">* La celda 'Plan Cuidado Integral Elaborado' debe ser menor o igual al Total de Personas en control. </v>
      </c>
      <c r="CL34" s="348" t="str">
        <f t="shared" si="43"/>
        <v xml:space="preserve"> * La variable Trans Masculino no debe ser mayor al Total Mujeres.</v>
      </c>
      <c r="CM34" s="348" t="str">
        <f t="shared" si="44"/>
        <v xml:space="preserve"> * La variable Trans Femenino no debe ser mayor al Total Hombre.</v>
      </c>
      <c r="CN34" s="354"/>
      <c r="CO34" s="354"/>
      <c r="CP34" s="354"/>
      <c r="CQ34" s="348" t="str">
        <f t="shared" si="35"/>
        <v/>
      </c>
      <c r="CR34" s="348" t="str">
        <f t="shared" si="36"/>
        <v/>
      </c>
      <c r="CS34" s="348" t="str">
        <f t="shared" si="37"/>
        <v/>
      </c>
      <c r="CT34" s="348" t="str">
        <f t="shared" si="38"/>
        <v/>
      </c>
      <c r="CU34" s="348" t="str">
        <f t="shared" si="9"/>
        <v/>
      </c>
      <c r="CV34" s="348" t="str">
        <f t="shared" si="10"/>
        <v/>
      </c>
      <c r="CW34" s="348" t="str">
        <f>IF(AND($D34&lt;&gt;0,$AW34=""),"* No olvide escribir en la celda Plan Cuidado integral Elaborado. (Digite CERO si no tiene). ","")</f>
        <v/>
      </c>
      <c r="CX34" s="175"/>
      <c r="CY34" s="175"/>
      <c r="DB34" s="352"/>
      <c r="DC34" s="352"/>
      <c r="DD34" s="358">
        <f t="shared" si="45"/>
        <v>1</v>
      </c>
      <c r="DE34" s="358">
        <f t="shared" si="15"/>
        <v>1</v>
      </c>
      <c r="DF34" s="358">
        <f t="shared" si="46"/>
        <v>1</v>
      </c>
      <c r="DG34" s="358">
        <f t="shared" si="17"/>
        <v>1</v>
      </c>
      <c r="DH34" s="358">
        <f t="shared" si="18"/>
        <v>1</v>
      </c>
      <c r="DI34" s="358">
        <f t="shared" si="19"/>
        <v>1</v>
      </c>
      <c r="DJ34" s="358">
        <f t="shared" si="20"/>
        <v>1</v>
      </c>
      <c r="DK34" s="175"/>
      <c r="DL34" s="358">
        <f t="shared" si="21"/>
        <v>1</v>
      </c>
      <c r="DM34" s="358">
        <f t="shared" si="47"/>
        <v>1</v>
      </c>
      <c r="DN34" s="175"/>
      <c r="DO34" s="352"/>
      <c r="DP34" s="352"/>
      <c r="DQ34" s="358">
        <f t="shared" si="48"/>
        <v>0</v>
      </c>
      <c r="DR34" s="358">
        <f t="shared" si="24"/>
        <v>0</v>
      </c>
      <c r="DS34" s="358">
        <f t="shared" si="49"/>
        <v>0</v>
      </c>
      <c r="DT34" s="358">
        <f t="shared" si="26"/>
        <v>0</v>
      </c>
      <c r="DU34" s="358">
        <f t="shared" si="27"/>
        <v>0</v>
      </c>
      <c r="DV34" s="358">
        <f t="shared" si="28"/>
        <v>0</v>
      </c>
      <c r="DW34" s="358">
        <f t="shared" si="29"/>
        <v>0</v>
      </c>
      <c r="DX34" s="960"/>
    </row>
    <row r="35" spans="1:128" s="141" customFormat="1" ht="15.75" customHeight="1" x14ac:dyDescent="0.3">
      <c r="A35" s="1637" t="s">
        <v>1297</v>
      </c>
      <c r="B35" s="2199" t="s">
        <v>226</v>
      </c>
      <c r="C35" s="362" t="s">
        <v>550</v>
      </c>
      <c r="D35" s="1749" t="s">
        <v>1550</v>
      </c>
      <c r="E35" s="1750" t="s">
        <v>1551</v>
      </c>
      <c r="F35" s="1751" t="s">
        <v>1552</v>
      </c>
      <c r="G35" s="1687" t="s">
        <v>1553</v>
      </c>
      <c r="H35" s="1688" t="s">
        <v>1554</v>
      </c>
      <c r="I35" s="1687" t="s">
        <v>1555</v>
      </c>
      <c r="J35" s="1688" t="s">
        <v>1556</v>
      </c>
      <c r="K35" s="1687" t="s">
        <v>1557</v>
      </c>
      <c r="L35" s="1688" t="s">
        <v>1558</v>
      </c>
      <c r="M35" s="1689" t="s">
        <v>1559</v>
      </c>
      <c r="N35" s="1690" t="s">
        <v>1560</v>
      </c>
      <c r="O35" s="1678" t="s">
        <v>1561</v>
      </c>
      <c r="P35" s="1694" t="s">
        <v>1562</v>
      </c>
      <c r="Q35" s="1689" t="s">
        <v>1563</v>
      </c>
      <c r="R35" s="1694" t="s">
        <v>1564</v>
      </c>
      <c r="S35" s="1689" t="s">
        <v>1565</v>
      </c>
      <c r="T35" s="1694" t="s">
        <v>1566</v>
      </c>
      <c r="U35" s="1689" t="s">
        <v>1567</v>
      </c>
      <c r="V35" s="1694" t="s">
        <v>1568</v>
      </c>
      <c r="W35" s="1689" t="s">
        <v>1569</v>
      </c>
      <c r="X35" s="1694" t="s">
        <v>1570</v>
      </c>
      <c r="Y35" s="1689" t="s">
        <v>1571</v>
      </c>
      <c r="Z35" s="1694" t="s">
        <v>1572</v>
      </c>
      <c r="AA35" s="1689" t="s">
        <v>1573</v>
      </c>
      <c r="AB35" s="1694" t="s">
        <v>1574</v>
      </c>
      <c r="AC35" s="1689" t="s">
        <v>1575</v>
      </c>
      <c r="AD35" s="1694" t="s">
        <v>1576</v>
      </c>
      <c r="AE35" s="1689" t="s">
        <v>1577</v>
      </c>
      <c r="AF35" s="1694" t="s">
        <v>1578</v>
      </c>
      <c r="AG35" s="1689" t="s">
        <v>1579</v>
      </c>
      <c r="AH35" s="1694" t="s">
        <v>1580</v>
      </c>
      <c r="AI35" s="1689" t="s">
        <v>1581</v>
      </c>
      <c r="AJ35" s="1694" t="s">
        <v>1582</v>
      </c>
      <c r="AK35" s="1689" t="s">
        <v>1583</v>
      </c>
      <c r="AL35" s="1694" t="s">
        <v>1584</v>
      </c>
      <c r="AM35" s="1689" t="s">
        <v>1585</v>
      </c>
      <c r="AN35" s="1775" t="s">
        <v>1586</v>
      </c>
      <c r="AO35" s="1776" t="s">
        <v>1587</v>
      </c>
      <c r="AP35" s="1682" t="s">
        <v>1588</v>
      </c>
      <c r="AQ35" s="1694" t="s">
        <v>1589</v>
      </c>
      <c r="AR35" s="1794" t="s">
        <v>1590</v>
      </c>
      <c r="AS35" s="1694" t="s">
        <v>1591</v>
      </c>
      <c r="AT35" s="1690" t="s">
        <v>1592</v>
      </c>
      <c r="AU35" s="1777" t="s">
        <v>1593</v>
      </c>
      <c r="AV35" s="1777" t="s">
        <v>1594</v>
      </c>
      <c r="AW35" s="1679" t="s">
        <v>1595</v>
      </c>
      <c r="AX35" s="1679" t="s">
        <v>1596</v>
      </c>
      <c r="AY35" s="1679" t="s">
        <v>1597</v>
      </c>
      <c r="AZ35" s="1514" t="str">
        <f t="shared" si="30"/>
        <v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BA35" s="181"/>
      <c r="BB35" s="181"/>
      <c r="CC35" s="348" t="str">
        <f t="shared" ref="CC35:CC53" si="52">IF($AO35&gt;$F35,"* La celda 'Gestantes' debe ser menor o igual al Total de Mujeres en control. ","")</f>
        <v xml:space="preserve">* La celda 'Gestantes' debe ser menor o igual al Total de Mujeres en control. </v>
      </c>
      <c r="CD35" s="348" t="str">
        <f t="shared" ref="CD35:CD54" si="53">IF($AP35&gt;$F35,"* La celda 'Madres de Hijos menor de 5 años' debe ser menor o igual al Total de Mujeres en control. ","")</f>
        <v xml:space="preserve">* La celda 'Madres de Hijos menor de 5 años' debe ser menor o igual al Total de Mujeres en control. </v>
      </c>
      <c r="CE35" s="348" t="str">
        <f t="shared" si="41"/>
        <v xml:space="preserve">* La celda 'Pueblos Originarios / Hombres' debe ser menor o igual al Total de Hombres en control. </v>
      </c>
      <c r="CF35" s="348" t="str">
        <f t="shared" si="3"/>
        <v xml:space="preserve">* La celda 'Pueblos Originarios / Mujeres' debe ser menor o igual al Total de Mujeres en control. </v>
      </c>
      <c r="CG35" s="348" t="str">
        <f t="shared" si="42"/>
        <v xml:space="preserve">* La celda 'Población Migrantes / Hombres' debe ser menor o igual al Total de Hombres en control. </v>
      </c>
      <c r="CH35" s="348" t="str">
        <f t="shared" si="5"/>
        <v xml:space="preserve">* La celda 'Población Migrantes / Mujeres' debe ser menor o igual al Total de Mujeres en control. </v>
      </c>
      <c r="CI35" s="348" t="str">
        <f t="shared" si="6"/>
        <v xml:space="preserve">* La celda 'Niños, Niñas, Adolescentes y Jóvenes de Población SENAME' debe ser menor o igual al Total de Ambos Sexos. </v>
      </c>
      <c r="CJ35" s="348" t="str">
        <f t="shared" si="7"/>
        <v xml:space="preserve">* La celda 'Niños, Niñas, Adolescentes y Jóvenes Mejor Niñez' debe ser menor o igual al Total de Ambos Sexos. </v>
      </c>
      <c r="CK35" s="348" t="str">
        <f t="shared" si="8"/>
        <v xml:space="preserve">* La celda 'Plan Cuidado Integral Elaborado' debe ser menor o igual al Total de Personas en control. </v>
      </c>
      <c r="CL35" s="348" t="str">
        <f t="shared" si="43"/>
        <v xml:space="preserve"> * La variable Trans Masculino no debe ser mayor al Total Mujeres.</v>
      </c>
      <c r="CM35" s="348" t="str">
        <f t="shared" si="44"/>
        <v xml:space="preserve"> * La variable Trans Femenino no debe ser mayor al Total Hombre.</v>
      </c>
      <c r="CN35" s="354"/>
      <c r="CO35" s="348" t="str">
        <f>IF(AND($F35&lt;&gt;0,$AO35=""),"* No olvide escribir en la celda de 'Gestantes' (Digite CERO si no tiene). ","")</f>
        <v/>
      </c>
      <c r="CP35" s="348" t="str">
        <f>IF(AND($F35&lt;&gt;0,$AP35=""),"* No olvide escribir en la celda de 'Madres de Hijos menor de 5 años' (Digite CERO si no tiene). ","")</f>
        <v/>
      </c>
      <c r="CQ35" s="348" t="str">
        <f t="shared" si="35"/>
        <v/>
      </c>
      <c r="CR35" s="348" t="str">
        <f t="shared" si="36"/>
        <v/>
      </c>
      <c r="CS35" s="348" t="str">
        <f t="shared" si="37"/>
        <v/>
      </c>
      <c r="CT35" s="348" t="str">
        <f t="shared" si="38"/>
        <v/>
      </c>
      <c r="CU35" s="348" t="str">
        <f t="shared" si="9"/>
        <v/>
      </c>
      <c r="CV35" s="348" t="str">
        <f t="shared" si="10"/>
        <v/>
      </c>
      <c r="CW35" s="348" t="str">
        <f t="shared" si="11"/>
        <v/>
      </c>
      <c r="CX35" s="175"/>
      <c r="CY35" s="175"/>
      <c r="DB35" s="358">
        <f t="shared" ref="DB35:DB54" si="54">IF($AO35&gt;$F35,1,0)</f>
        <v>1</v>
      </c>
      <c r="DC35" s="358">
        <f t="shared" ref="DC35:DC53" si="55">IF($AP35&gt;$F35,1,0)</f>
        <v>1</v>
      </c>
      <c r="DD35" s="358">
        <f t="shared" si="45"/>
        <v>1</v>
      </c>
      <c r="DE35" s="358">
        <f t="shared" si="15"/>
        <v>1</v>
      </c>
      <c r="DF35" s="358">
        <f t="shared" si="46"/>
        <v>1</v>
      </c>
      <c r="DG35" s="358">
        <f t="shared" si="17"/>
        <v>1</v>
      </c>
      <c r="DH35" s="358">
        <f t="shared" si="18"/>
        <v>1</v>
      </c>
      <c r="DI35" s="358">
        <f t="shared" si="19"/>
        <v>1</v>
      </c>
      <c r="DJ35" s="358">
        <f t="shared" si="20"/>
        <v>1</v>
      </c>
      <c r="DK35" s="175"/>
      <c r="DL35" s="358">
        <f t="shared" si="21"/>
        <v>1</v>
      </c>
      <c r="DM35" s="358">
        <f t="shared" si="47"/>
        <v>1</v>
      </c>
      <c r="DN35" s="175"/>
      <c r="DO35" s="358">
        <f>IF(AND($F35&lt;&gt;0,$AO35=""),1,0)</f>
        <v>0</v>
      </c>
      <c r="DP35" s="358">
        <f>IF(AND($F35&lt;&gt;0,$AP35=""),1,0)</f>
        <v>0</v>
      </c>
      <c r="DQ35" s="358">
        <f t="shared" si="48"/>
        <v>0</v>
      </c>
      <c r="DR35" s="358">
        <f t="shared" si="24"/>
        <v>0</v>
      </c>
      <c r="DS35" s="358">
        <f t="shared" si="49"/>
        <v>0</v>
      </c>
      <c r="DT35" s="358">
        <f t="shared" si="26"/>
        <v>0</v>
      </c>
      <c r="DU35" s="358">
        <f t="shared" si="27"/>
        <v>0</v>
      </c>
      <c r="DV35" s="358">
        <f t="shared" si="28"/>
        <v>0</v>
      </c>
      <c r="DW35" s="358">
        <f t="shared" si="29"/>
        <v>0</v>
      </c>
      <c r="DX35" s="960"/>
    </row>
    <row r="36" spans="1:128" s="141" customFormat="1" ht="15.75" customHeight="1" x14ac:dyDescent="0.3">
      <c r="A36" s="1637" t="s">
        <v>1298</v>
      </c>
      <c r="B36" s="2079"/>
      <c r="C36" s="1303" t="s">
        <v>818</v>
      </c>
      <c r="D36" s="1749" t="s">
        <v>1550</v>
      </c>
      <c r="E36" s="1750" t="s">
        <v>1551</v>
      </c>
      <c r="F36" s="1751" t="s">
        <v>1552</v>
      </c>
      <c r="G36" s="1689" t="s">
        <v>1553</v>
      </c>
      <c r="H36" s="1690" t="s">
        <v>1554</v>
      </c>
      <c r="I36" s="1689" t="s">
        <v>1555</v>
      </c>
      <c r="J36" s="1690" t="s">
        <v>1556</v>
      </c>
      <c r="K36" s="1689" t="s">
        <v>1557</v>
      </c>
      <c r="L36" s="1690" t="s">
        <v>1558</v>
      </c>
      <c r="M36" s="1689" t="s">
        <v>1559</v>
      </c>
      <c r="N36" s="1690" t="s">
        <v>1560</v>
      </c>
      <c r="O36" s="1689" t="s">
        <v>1561</v>
      </c>
      <c r="P36" s="1694" t="s">
        <v>1562</v>
      </c>
      <c r="Q36" s="1689" t="s">
        <v>1563</v>
      </c>
      <c r="R36" s="1694" t="s">
        <v>1564</v>
      </c>
      <c r="S36" s="1689" t="s">
        <v>1565</v>
      </c>
      <c r="T36" s="1694" t="s">
        <v>1566</v>
      </c>
      <c r="U36" s="1689" t="s">
        <v>1567</v>
      </c>
      <c r="V36" s="1694" t="s">
        <v>1568</v>
      </c>
      <c r="W36" s="1689" t="s">
        <v>1569</v>
      </c>
      <c r="X36" s="1694" t="s">
        <v>1570</v>
      </c>
      <c r="Y36" s="1689" t="s">
        <v>1571</v>
      </c>
      <c r="Z36" s="1694" t="s">
        <v>1572</v>
      </c>
      <c r="AA36" s="1689" t="s">
        <v>1573</v>
      </c>
      <c r="AB36" s="1694" t="s">
        <v>1574</v>
      </c>
      <c r="AC36" s="1689" t="s">
        <v>1575</v>
      </c>
      <c r="AD36" s="1694" t="s">
        <v>1576</v>
      </c>
      <c r="AE36" s="1689" t="s">
        <v>1577</v>
      </c>
      <c r="AF36" s="1694" t="s">
        <v>1578</v>
      </c>
      <c r="AG36" s="1689" t="s">
        <v>1579</v>
      </c>
      <c r="AH36" s="1694" t="s">
        <v>1580</v>
      </c>
      <c r="AI36" s="1689" t="s">
        <v>1581</v>
      </c>
      <c r="AJ36" s="1694" t="s">
        <v>1582</v>
      </c>
      <c r="AK36" s="1689" t="s">
        <v>1583</v>
      </c>
      <c r="AL36" s="1694" t="s">
        <v>1584</v>
      </c>
      <c r="AM36" s="1689" t="s">
        <v>1585</v>
      </c>
      <c r="AN36" s="1756" t="s">
        <v>1586</v>
      </c>
      <c r="AO36" s="1793" t="s">
        <v>1587</v>
      </c>
      <c r="AP36" s="1693" t="s">
        <v>1588</v>
      </c>
      <c r="AQ36" s="1694" t="s">
        <v>1589</v>
      </c>
      <c r="AR36" s="1794" t="s">
        <v>1590</v>
      </c>
      <c r="AS36" s="1694" t="s">
        <v>1591</v>
      </c>
      <c r="AT36" s="1690" t="s">
        <v>1592</v>
      </c>
      <c r="AU36" s="1794" t="s">
        <v>1593</v>
      </c>
      <c r="AV36" s="1794" t="s">
        <v>1594</v>
      </c>
      <c r="AW36" s="1690" t="s">
        <v>1595</v>
      </c>
      <c r="AX36" s="1690" t="s">
        <v>1596</v>
      </c>
      <c r="AY36" s="1690" t="s">
        <v>1597</v>
      </c>
      <c r="AZ36" s="1514" t="str">
        <f t="shared" si="30"/>
        <v>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BA36" s="181"/>
      <c r="BB36" s="181"/>
      <c r="CC36" s="354"/>
      <c r="CD36" s="354"/>
      <c r="CE36" s="354"/>
      <c r="CF36" s="354"/>
      <c r="CG36" s="354"/>
      <c r="CH36" s="354"/>
      <c r="CI36" s="354"/>
      <c r="CJ36" s="348" t="str">
        <f t="shared" si="7"/>
        <v xml:space="preserve">* La celda 'Niños, Niñas, Adolescentes y Jóvenes Mejor Niñez' debe ser menor o igual al Total de Ambos Sexos. </v>
      </c>
      <c r="CK36" s="348" t="str">
        <f t="shared" si="8"/>
        <v xml:space="preserve">* La celda 'Plan Cuidado Integral Elaborado' debe ser menor o igual al Total de Personas en control. </v>
      </c>
      <c r="CL36" s="348" t="str">
        <f t="shared" si="43"/>
        <v xml:space="preserve"> * La variable Trans Masculino no debe ser mayor al Total Mujeres.</v>
      </c>
      <c r="CM36" s="348" t="str">
        <f t="shared" si="44"/>
        <v xml:space="preserve"> * La variable Trans Femenino no debe ser mayor al Total Hombre.</v>
      </c>
      <c r="CN36" s="354"/>
      <c r="CO36" s="354"/>
      <c r="CP36" s="354"/>
      <c r="CQ36" s="354"/>
      <c r="CR36" s="354"/>
      <c r="CS36" s="354"/>
      <c r="CT36" s="354"/>
      <c r="CU36" s="354"/>
      <c r="CV36" s="348" t="str">
        <f t="shared" si="10"/>
        <v/>
      </c>
      <c r="CW36" s="348" t="str">
        <f t="shared" si="11"/>
        <v/>
      </c>
      <c r="CX36" s="175"/>
      <c r="CY36" s="175"/>
      <c r="DB36" s="352"/>
      <c r="DC36" s="352"/>
      <c r="DD36" s="352"/>
      <c r="DE36" s="352"/>
      <c r="DF36" s="352"/>
      <c r="DG36" s="352"/>
      <c r="DH36" s="352"/>
      <c r="DI36" s="358">
        <f t="shared" si="19"/>
        <v>1</v>
      </c>
      <c r="DJ36" s="358">
        <f t="shared" si="20"/>
        <v>1</v>
      </c>
      <c r="DK36" s="175"/>
      <c r="DL36" s="358">
        <f t="shared" si="21"/>
        <v>1</v>
      </c>
      <c r="DM36" s="358">
        <f t="shared" si="47"/>
        <v>1</v>
      </c>
      <c r="DN36" s="175"/>
      <c r="DO36" s="352"/>
      <c r="DP36" s="352"/>
      <c r="DQ36" s="352"/>
      <c r="DR36" s="352"/>
      <c r="DS36" s="352"/>
      <c r="DT36" s="352"/>
      <c r="DU36" s="352"/>
      <c r="DV36" s="358">
        <f t="shared" si="28"/>
        <v>0</v>
      </c>
      <c r="DW36" s="358">
        <f t="shared" si="29"/>
        <v>0</v>
      </c>
      <c r="DX36" s="960"/>
    </row>
    <row r="37" spans="1:128" s="141" customFormat="1" ht="15.75" customHeight="1" x14ac:dyDescent="0.3">
      <c r="A37" s="1637" t="s">
        <v>1299</v>
      </c>
      <c r="B37" s="2079"/>
      <c r="C37" s="369" t="s">
        <v>551</v>
      </c>
      <c r="D37" s="1753" t="s">
        <v>1550</v>
      </c>
      <c r="E37" s="1754" t="s">
        <v>1551</v>
      </c>
      <c r="F37" s="1755" t="s">
        <v>1552</v>
      </c>
      <c r="G37" s="1689" t="s">
        <v>1553</v>
      </c>
      <c r="H37" s="1690" t="s">
        <v>1554</v>
      </c>
      <c r="I37" s="1689" t="s">
        <v>1555</v>
      </c>
      <c r="J37" s="1690" t="s">
        <v>1556</v>
      </c>
      <c r="K37" s="1689" t="s">
        <v>1557</v>
      </c>
      <c r="L37" s="1690" t="s">
        <v>1558</v>
      </c>
      <c r="M37" s="1689" t="s">
        <v>1559</v>
      </c>
      <c r="N37" s="1690" t="s">
        <v>1560</v>
      </c>
      <c r="O37" s="1689" t="s">
        <v>1561</v>
      </c>
      <c r="P37" s="1694" t="s">
        <v>1562</v>
      </c>
      <c r="Q37" s="1689" t="s">
        <v>1563</v>
      </c>
      <c r="R37" s="1694" t="s">
        <v>1564</v>
      </c>
      <c r="S37" s="1689" t="s">
        <v>1565</v>
      </c>
      <c r="T37" s="1694" t="s">
        <v>1566</v>
      </c>
      <c r="U37" s="1689" t="s">
        <v>1567</v>
      </c>
      <c r="V37" s="1694" t="s">
        <v>1568</v>
      </c>
      <c r="W37" s="1689" t="s">
        <v>1569</v>
      </c>
      <c r="X37" s="1694" t="s">
        <v>1570</v>
      </c>
      <c r="Y37" s="1689" t="s">
        <v>1571</v>
      </c>
      <c r="Z37" s="1694" t="s">
        <v>1572</v>
      </c>
      <c r="AA37" s="1689" t="s">
        <v>1573</v>
      </c>
      <c r="AB37" s="1694" t="s">
        <v>1574</v>
      </c>
      <c r="AC37" s="1689" t="s">
        <v>1575</v>
      </c>
      <c r="AD37" s="1694" t="s">
        <v>1576</v>
      </c>
      <c r="AE37" s="1689" t="s">
        <v>1577</v>
      </c>
      <c r="AF37" s="1694" t="s">
        <v>1578</v>
      </c>
      <c r="AG37" s="1689" t="s">
        <v>1579</v>
      </c>
      <c r="AH37" s="1694" t="s">
        <v>1580</v>
      </c>
      <c r="AI37" s="1689" t="s">
        <v>1581</v>
      </c>
      <c r="AJ37" s="1694" t="s">
        <v>1582</v>
      </c>
      <c r="AK37" s="1689" t="s">
        <v>1583</v>
      </c>
      <c r="AL37" s="1694" t="s">
        <v>1584</v>
      </c>
      <c r="AM37" s="1689" t="s">
        <v>1585</v>
      </c>
      <c r="AN37" s="1756" t="s">
        <v>1586</v>
      </c>
      <c r="AO37" s="1793" t="s">
        <v>1587</v>
      </c>
      <c r="AP37" s="1693" t="s">
        <v>1588</v>
      </c>
      <c r="AQ37" s="1694" t="s">
        <v>1589</v>
      </c>
      <c r="AR37" s="1794" t="s">
        <v>1590</v>
      </c>
      <c r="AS37" s="1694" t="s">
        <v>1591</v>
      </c>
      <c r="AT37" s="1690" t="s">
        <v>1592</v>
      </c>
      <c r="AU37" s="1794" t="s">
        <v>1593</v>
      </c>
      <c r="AV37" s="1794" t="s">
        <v>1594</v>
      </c>
      <c r="AW37" s="1690" t="s">
        <v>1595</v>
      </c>
      <c r="AX37" s="1690" t="s">
        <v>1596</v>
      </c>
      <c r="AY37" s="1690" t="s">
        <v>1597</v>
      </c>
      <c r="AZ37" s="1514" t="str">
        <f t="shared" si="30"/>
        <v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BA37" s="181"/>
      <c r="BB37" s="181"/>
      <c r="CC37" s="348" t="str">
        <f t="shared" si="52"/>
        <v xml:space="preserve">* La celda 'Gestantes' debe ser menor o igual al Total de Mujeres en control. </v>
      </c>
      <c r="CD37" s="348" t="str">
        <f t="shared" si="53"/>
        <v xml:space="preserve">* La celda 'Madres de Hijos menor de 5 años' debe ser menor o igual al Total de Mujeres en control. </v>
      </c>
      <c r="CE37" s="348" t="str">
        <f t="shared" si="41"/>
        <v xml:space="preserve">* La celda 'Pueblos Originarios / Hombres' debe ser menor o igual al Total de Hombres en control. </v>
      </c>
      <c r="CF37" s="348" t="str">
        <f t="shared" si="3"/>
        <v xml:space="preserve">* La celda 'Pueblos Originarios / Mujeres' debe ser menor o igual al Total de Mujeres en control. </v>
      </c>
      <c r="CG37" s="348" t="str">
        <f t="shared" si="42"/>
        <v xml:space="preserve">* La celda 'Población Migrantes / Hombres' debe ser menor o igual al Total de Hombres en control. </v>
      </c>
      <c r="CH37" s="348" t="str">
        <f t="shared" si="5"/>
        <v xml:space="preserve">* La celda 'Población Migrantes / Mujeres' debe ser menor o igual al Total de Mujeres en control. </v>
      </c>
      <c r="CI37" s="348" t="str">
        <f t="shared" si="6"/>
        <v xml:space="preserve">* La celda 'Niños, Niñas, Adolescentes y Jóvenes de Población SENAME' debe ser menor o igual al Total de Ambos Sexos. </v>
      </c>
      <c r="CJ37" s="348" t="str">
        <f t="shared" si="7"/>
        <v xml:space="preserve">* La celda 'Niños, Niñas, Adolescentes y Jóvenes Mejor Niñez' debe ser menor o igual al Total de Ambos Sexos. </v>
      </c>
      <c r="CK37" s="348" t="str">
        <f t="shared" si="8"/>
        <v xml:space="preserve">* La celda 'Plan Cuidado Integral Elaborado' debe ser menor o igual al Total de Personas en control. </v>
      </c>
      <c r="CL37" s="348" t="str">
        <f t="shared" si="43"/>
        <v xml:space="preserve"> * La variable Trans Masculino no debe ser mayor al Total Mujeres.</v>
      </c>
      <c r="CM37" s="348" t="str">
        <f t="shared" si="44"/>
        <v xml:space="preserve"> * La variable Trans Femenino no debe ser mayor al Total Hombre.</v>
      </c>
      <c r="CN37" s="354"/>
      <c r="CO37" s="348" t="str">
        <f t="shared" ref="CO37:CO52" si="56">IF(AND($F37&lt;&gt;0,$AO37=""),"* No olvide escribir en la celda de 'Gestantes' (Digite CERO si no tiene). ","")</f>
        <v/>
      </c>
      <c r="CP37" s="348" t="str">
        <f t="shared" ref="CP37:CP52" si="57">IF(AND($F37&lt;&gt;0,$AP37=""),"* No olvide escribir en la celda de 'Madres de Hijos menor de 5 años' (Digite CERO si no tiene). ","")</f>
        <v/>
      </c>
      <c r="CQ37" s="348" t="str">
        <f t="shared" si="35"/>
        <v/>
      </c>
      <c r="CR37" s="348" t="str">
        <f t="shared" si="36"/>
        <v/>
      </c>
      <c r="CS37" s="348" t="str">
        <f t="shared" si="37"/>
        <v/>
      </c>
      <c r="CT37" s="348" t="str">
        <f t="shared" si="38"/>
        <v/>
      </c>
      <c r="CU37" s="348" t="str">
        <f t="shared" si="9"/>
        <v/>
      </c>
      <c r="CV37" s="348" t="str">
        <f t="shared" si="10"/>
        <v/>
      </c>
      <c r="CW37" s="348" t="str">
        <f t="shared" si="11"/>
        <v/>
      </c>
      <c r="CX37" s="175"/>
      <c r="CY37" s="175"/>
      <c r="DB37" s="358">
        <f t="shared" si="54"/>
        <v>1</v>
      </c>
      <c r="DC37" s="358">
        <f t="shared" si="55"/>
        <v>1</v>
      </c>
      <c r="DD37" s="358">
        <f t="shared" si="45"/>
        <v>1</v>
      </c>
      <c r="DE37" s="358">
        <f t="shared" si="15"/>
        <v>1</v>
      </c>
      <c r="DF37" s="358">
        <f t="shared" si="46"/>
        <v>1</v>
      </c>
      <c r="DG37" s="358">
        <f t="shared" si="17"/>
        <v>1</v>
      </c>
      <c r="DH37" s="358">
        <f t="shared" si="18"/>
        <v>1</v>
      </c>
      <c r="DI37" s="358">
        <f t="shared" si="19"/>
        <v>1</v>
      </c>
      <c r="DJ37" s="358">
        <f t="shared" si="20"/>
        <v>1</v>
      </c>
      <c r="DK37" s="175"/>
      <c r="DL37" s="358">
        <f t="shared" si="21"/>
        <v>1</v>
      </c>
      <c r="DM37" s="358">
        <f t="shared" si="47"/>
        <v>1</v>
      </c>
      <c r="DN37" s="175"/>
      <c r="DO37" s="358">
        <f t="shared" ref="DO37:DO54" si="58">IF(AND($F37&lt;&gt;0,$AO37=""),1,0)</f>
        <v>0</v>
      </c>
      <c r="DP37" s="358">
        <f>IF(AND($F37&lt;&gt;0,$AP37=""),1,0)</f>
        <v>0</v>
      </c>
      <c r="DQ37" s="358">
        <f t="shared" si="48"/>
        <v>0</v>
      </c>
      <c r="DR37" s="358">
        <f t="shared" si="24"/>
        <v>0</v>
      </c>
      <c r="DS37" s="358">
        <f t="shared" ref="DS37:DS43" si="59">IF(AND(E37&lt;&gt;0,AS37=""),1,0)</f>
        <v>0</v>
      </c>
      <c r="DT37" s="358">
        <f t="shared" si="26"/>
        <v>0</v>
      </c>
      <c r="DU37" s="358">
        <f t="shared" si="27"/>
        <v>0</v>
      </c>
      <c r="DV37" s="358">
        <f t="shared" si="28"/>
        <v>0</v>
      </c>
      <c r="DW37" s="358">
        <f t="shared" si="29"/>
        <v>0</v>
      </c>
      <c r="DX37" s="960"/>
    </row>
    <row r="38" spans="1:128" s="141" customFormat="1" ht="15.75" customHeight="1" x14ac:dyDescent="0.3">
      <c r="A38" s="1637" t="s">
        <v>1300</v>
      </c>
      <c r="B38" s="2079"/>
      <c r="C38" s="369" t="s">
        <v>552</v>
      </c>
      <c r="D38" s="1749" t="s">
        <v>1550</v>
      </c>
      <c r="E38" s="1750" t="s">
        <v>1551</v>
      </c>
      <c r="F38" s="1751" t="s">
        <v>1552</v>
      </c>
      <c r="G38" s="1689" t="s">
        <v>1553</v>
      </c>
      <c r="H38" s="1690" t="s">
        <v>1554</v>
      </c>
      <c r="I38" s="1689" t="s">
        <v>1555</v>
      </c>
      <c r="J38" s="1690" t="s">
        <v>1556</v>
      </c>
      <c r="K38" s="1689" t="s">
        <v>1557</v>
      </c>
      <c r="L38" s="1690" t="s">
        <v>1558</v>
      </c>
      <c r="M38" s="1689" t="s">
        <v>1559</v>
      </c>
      <c r="N38" s="1690" t="s">
        <v>1560</v>
      </c>
      <c r="O38" s="1689" t="s">
        <v>1561</v>
      </c>
      <c r="P38" s="1694" t="s">
        <v>1562</v>
      </c>
      <c r="Q38" s="1689" t="s">
        <v>1563</v>
      </c>
      <c r="R38" s="1694" t="s">
        <v>1564</v>
      </c>
      <c r="S38" s="1689" t="s">
        <v>1565</v>
      </c>
      <c r="T38" s="1694" t="s">
        <v>1566</v>
      </c>
      <c r="U38" s="1689" t="s">
        <v>1567</v>
      </c>
      <c r="V38" s="1694" t="s">
        <v>1568</v>
      </c>
      <c r="W38" s="1689" t="s">
        <v>1569</v>
      </c>
      <c r="X38" s="1694" t="s">
        <v>1570</v>
      </c>
      <c r="Y38" s="1689" t="s">
        <v>1571</v>
      </c>
      <c r="Z38" s="1694" t="s">
        <v>1572</v>
      </c>
      <c r="AA38" s="1689" t="s">
        <v>1573</v>
      </c>
      <c r="AB38" s="1694" t="s">
        <v>1574</v>
      </c>
      <c r="AC38" s="1689" t="s">
        <v>1575</v>
      </c>
      <c r="AD38" s="1694" t="s">
        <v>1576</v>
      </c>
      <c r="AE38" s="1689" t="s">
        <v>1577</v>
      </c>
      <c r="AF38" s="1694" t="s">
        <v>1578</v>
      </c>
      <c r="AG38" s="1689" t="s">
        <v>1579</v>
      </c>
      <c r="AH38" s="1694" t="s">
        <v>1580</v>
      </c>
      <c r="AI38" s="1689" t="s">
        <v>1581</v>
      </c>
      <c r="AJ38" s="1694" t="s">
        <v>1582</v>
      </c>
      <c r="AK38" s="1689" t="s">
        <v>1583</v>
      </c>
      <c r="AL38" s="1694" t="s">
        <v>1584</v>
      </c>
      <c r="AM38" s="1689" t="s">
        <v>1585</v>
      </c>
      <c r="AN38" s="1756" t="s">
        <v>1586</v>
      </c>
      <c r="AO38" s="1793" t="s">
        <v>1587</v>
      </c>
      <c r="AP38" s="1693" t="s">
        <v>1588</v>
      </c>
      <c r="AQ38" s="1694" t="s">
        <v>1589</v>
      </c>
      <c r="AR38" s="1794" t="s">
        <v>1590</v>
      </c>
      <c r="AS38" s="1694" t="s">
        <v>1591</v>
      </c>
      <c r="AT38" s="1690" t="s">
        <v>1592</v>
      </c>
      <c r="AU38" s="1794" t="s">
        <v>1593</v>
      </c>
      <c r="AV38" s="1794" t="s">
        <v>1594</v>
      </c>
      <c r="AW38" s="1690" t="s">
        <v>1595</v>
      </c>
      <c r="AX38" s="1690" t="s">
        <v>1596</v>
      </c>
      <c r="AY38" s="1690" t="s">
        <v>1597</v>
      </c>
      <c r="AZ38" s="1514" t="str">
        <f t="shared" si="30"/>
        <v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BA38" s="181"/>
      <c r="BB38" s="181"/>
      <c r="CC38" s="348" t="str">
        <f t="shared" si="52"/>
        <v xml:space="preserve">* La celda 'Gestantes' debe ser menor o igual al Total de Mujeres en control. </v>
      </c>
      <c r="CD38" s="348" t="str">
        <f t="shared" si="53"/>
        <v xml:space="preserve">* La celda 'Madres de Hijos menor de 5 años' debe ser menor o igual al Total de Mujeres en control. </v>
      </c>
      <c r="CE38" s="348" t="str">
        <f t="shared" si="41"/>
        <v xml:space="preserve">* La celda 'Pueblos Originarios / Hombres' debe ser menor o igual al Total de Hombres en control. </v>
      </c>
      <c r="CF38" s="348" t="str">
        <f t="shared" si="3"/>
        <v xml:space="preserve">* La celda 'Pueblos Originarios / Mujeres' debe ser menor o igual al Total de Mujeres en control. </v>
      </c>
      <c r="CG38" s="348" t="str">
        <f t="shared" si="42"/>
        <v xml:space="preserve">* La celda 'Población Migrantes / Hombres' debe ser menor o igual al Total de Hombres en control. </v>
      </c>
      <c r="CH38" s="348" t="str">
        <f t="shared" si="5"/>
        <v xml:space="preserve">* La celda 'Población Migrantes / Mujeres' debe ser menor o igual al Total de Mujeres en control. </v>
      </c>
      <c r="CI38" s="348" t="str">
        <f t="shared" si="6"/>
        <v xml:space="preserve">* La celda 'Niños, Niñas, Adolescentes y Jóvenes de Población SENAME' debe ser menor o igual al Total de Ambos Sexos. </v>
      </c>
      <c r="CJ38" s="348" t="str">
        <f t="shared" si="7"/>
        <v xml:space="preserve">* La celda 'Niños, Niñas, Adolescentes y Jóvenes Mejor Niñez' debe ser menor o igual al Total de Ambos Sexos. </v>
      </c>
      <c r="CK38" s="348" t="str">
        <f t="shared" si="8"/>
        <v xml:space="preserve">* La celda 'Plan Cuidado Integral Elaborado' debe ser menor o igual al Total de Personas en control. </v>
      </c>
      <c r="CL38" s="348" t="str">
        <f t="shared" si="43"/>
        <v xml:space="preserve"> * La variable Trans Masculino no debe ser mayor al Total Mujeres.</v>
      </c>
      <c r="CM38" s="348" t="str">
        <f t="shared" si="44"/>
        <v xml:space="preserve"> * La variable Trans Femenino no debe ser mayor al Total Hombre.</v>
      </c>
      <c r="CN38" s="354"/>
      <c r="CO38" s="348" t="str">
        <f t="shared" si="56"/>
        <v/>
      </c>
      <c r="CP38" s="348" t="str">
        <f t="shared" si="57"/>
        <v/>
      </c>
      <c r="CQ38" s="348" t="str">
        <f t="shared" si="35"/>
        <v/>
      </c>
      <c r="CR38" s="348" t="str">
        <f t="shared" si="36"/>
        <v/>
      </c>
      <c r="CS38" s="348" t="str">
        <f t="shared" si="37"/>
        <v/>
      </c>
      <c r="CT38" s="348" t="str">
        <f t="shared" si="38"/>
        <v/>
      </c>
      <c r="CU38" s="348" t="str">
        <f t="shared" si="9"/>
        <v/>
      </c>
      <c r="CV38" s="348" t="str">
        <f t="shared" si="10"/>
        <v/>
      </c>
      <c r="CW38" s="348" t="str">
        <f t="shared" si="11"/>
        <v/>
      </c>
      <c r="CX38" s="175"/>
      <c r="CY38" s="175"/>
      <c r="DB38" s="358">
        <f t="shared" si="54"/>
        <v>1</v>
      </c>
      <c r="DC38" s="358">
        <f t="shared" si="55"/>
        <v>1</v>
      </c>
      <c r="DD38" s="358">
        <f t="shared" si="45"/>
        <v>1</v>
      </c>
      <c r="DE38" s="358">
        <f t="shared" si="15"/>
        <v>1</v>
      </c>
      <c r="DF38" s="358">
        <f t="shared" si="46"/>
        <v>1</v>
      </c>
      <c r="DG38" s="358">
        <f t="shared" si="17"/>
        <v>1</v>
      </c>
      <c r="DH38" s="358">
        <f t="shared" si="18"/>
        <v>1</v>
      </c>
      <c r="DI38" s="358">
        <f t="shared" si="19"/>
        <v>1</v>
      </c>
      <c r="DJ38" s="358">
        <f t="shared" si="20"/>
        <v>1</v>
      </c>
      <c r="DK38" s="175"/>
      <c r="DL38" s="358">
        <f t="shared" si="21"/>
        <v>1</v>
      </c>
      <c r="DM38" s="358">
        <f t="shared" si="47"/>
        <v>1</v>
      </c>
      <c r="DN38" s="175"/>
      <c r="DO38" s="358">
        <f t="shared" si="58"/>
        <v>0</v>
      </c>
      <c r="DP38" s="358">
        <f t="shared" ref="DP38:DP39" si="60">IF(AND($F38&lt;&gt;0,$AP38=""),1,0)</f>
        <v>0</v>
      </c>
      <c r="DQ38" s="358">
        <f t="shared" si="48"/>
        <v>0</v>
      </c>
      <c r="DR38" s="358">
        <f t="shared" si="24"/>
        <v>0</v>
      </c>
      <c r="DS38" s="358">
        <f t="shared" si="59"/>
        <v>0</v>
      </c>
      <c r="DT38" s="358">
        <f t="shared" si="26"/>
        <v>0</v>
      </c>
      <c r="DU38" s="358">
        <f t="shared" si="27"/>
        <v>0</v>
      </c>
      <c r="DV38" s="358">
        <f t="shared" si="28"/>
        <v>0</v>
      </c>
      <c r="DW38" s="358">
        <f t="shared" si="29"/>
        <v>0</v>
      </c>
      <c r="DX38" s="960"/>
    </row>
    <row r="39" spans="1:128" s="141" customFormat="1" ht="15.75" customHeight="1" x14ac:dyDescent="0.3">
      <c r="A39" s="1637" t="s">
        <v>1301</v>
      </c>
      <c r="B39" s="1865"/>
      <c r="C39" s="923" t="s">
        <v>553</v>
      </c>
      <c r="D39" s="1803" t="s">
        <v>1550</v>
      </c>
      <c r="E39" s="1804" t="s">
        <v>1551</v>
      </c>
      <c r="F39" s="1805" t="s">
        <v>1552</v>
      </c>
      <c r="G39" s="1689" t="s">
        <v>1553</v>
      </c>
      <c r="H39" s="1690" t="s">
        <v>1554</v>
      </c>
      <c r="I39" s="1689" t="s">
        <v>1555</v>
      </c>
      <c r="J39" s="1690" t="s">
        <v>1556</v>
      </c>
      <c r="K39" s="1689" t="s">
        <v>1557</v>
      </c>
      <c r="L39" s="1690" t="s">
        <v>1558</v>
      </c>
      <c r="M39" s="1689" t="s">
        <v>1559</v>
      </c>
      <c r="N39" s="1690" t="s">
        <v>1560</v>
      </c>
      <c r="O39" s="1697" t="s">
        <v>1561</v>
      </c>
      <c r="P39" s="1694" t="s">
        <v>1562</v>
      </c>
      <c r="Q39" s="1689" t="s">
        <v>1563</v>
      </c>
      <c r="R39" s="1694" t="s">
        <v>1564</v>
      </c>
      <c r="S39" s="1689" t="s">
        <v>1565</v>
      </c>
      <c r="T39" s="1694" t="s">
        <v>1566</v>
      </c>
      <c r="U39" s="1689" t="s">
        <v>1567</v>
      </c>
      <c r="V39" s="1694" t="s">
        <v>1568</v>
      </c>
      <c r="W39" s="1689" t="s">
        <v>1569</v>
      </c>
      <c r="X39" s="1694" t="s">
        <v>1570</v>
      </c>
      <c r="Y39" s="1689" t="s">
        <v>1571</v>
      </c>
      <c r="Z39" s="1694" t="s">
        <v>1572</v>
      </c>
      <c r="AA39" s="1689" t="s">
        <v>1573</v>
      </c>
      <c r="AB39" s="1694" t="s">
        <v>1574</v>
      </c>
      <c r="AC39" s="1689" t="s">
        <v>1575</v>
      </c>
      <c r="AD39" s="1694" t="s">
        <v>1576</v>
      </c>
      <c r="AE39" s="1689" t="s">
        <v>1577</v>
      </c>
      <c r="AF39" s="1694" t="s">
        <v>1578</v>
      </c>
      <c r="AG39" s="1689" t="s">
        <v>1579</v>
      </c>
      <c r="AH39" s="1694" t="s">
        <v>1580</v>
      </c>
      <c r="AI39" s="1689" t="s">
        <v>1581</v>
      </c>
      <c r="AJ39" s="1694" t="s">
        <v>1582</v>
      </c>
      <c r="AK39" s="1689" t="s">
        <v>1583</v>
      </c>
      <c r="AL39" s="1694" t="s">
        <v>1584</v>
      </c>
      <c r="AM39" s="1689" t="s">
        <v>1585</v>
      </c>
      <c r="AN39" s="1760" t="s">
        <v>1586</v>
      </c>
      <c r="AO39" s="1778" t="s">
        <v>1587</v>
      </c>
      <c r="AP39" s="1701" t="s">
        <v>1588</v>
      </c>
      <c r="AQ39" s="1694" t="s">
        <v>1589</v>
      </c>
      <c r="AR39" s="1794" t="s">
        <v>1590</v>
      </c>
      <c r="AS39" s="1702" t="s">
        <v>1591</v>
      </c>
      <c r="AT39" s="1698" t="s">
        <v>1592</v>
      </c>
      <c r="AU39" s="1779" t="s">
        <v>1593</v>
      </c>
      <c r="AV39" s="1779" t="s">
        <v>1594</v>
      </c>
      <c r="AW39" s="1698" t="s">
        <v>1595</v>
      </c>
      <c r="AX39" s="1698" t="s">
        <v>1596</v>
      </c>
      <c r="AY39" s="1698" t="s">
        <v>1597</v>
      </c>
      <c r="AZ39" s="1514" t="str">
        <f t="shared" si="30"/>
        <v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BA39" s="181"/>
      <c r="BB39" s="181"/>
      <c r="CC39" s="348" t="str">
        <f t="shared" si="52"/>
        <v xml:space="preserve">* La celda 'Gestantes' debe ser menor o igual al Total de Mujeres en control. </v>
      </c>
      <c r="CD39" s="348" t="str">
        <f t="shared" si="53"/>
        <v xml:space="preserve">* La celda 'Madres de Hijos menor de 5 años' debe ser menor o igual al Total de Mujeres en control. </v>
      </c>
      <c r="CE39" s="348" t="str">
        <f t="shared" si="41"/>
        <v xml:space="preserve">* La celda 'Pueblos Originarios / Hombres' debe ser menor o igual al Total de Hombres en control. </v>
      </c>
      <c r="CF39" s="348" t="str">
        <f t="shared" si="3"/>
        <v xml:space="preserve">* La celda 'Pueblos Originarios / Mujeres' debe ser menor o igual al Total de Mujeres en control. </v>
      </c>
      <c r="CG39" s="348" t="str">
        <f t="shared" si="42"/>
        <v xml:space="preserve">* La celda 'Población Migrantes / Hombres' debe ser menor o igual al Total de Hombres en control. </v>
      </c>
      <c r="CH39" s="348" t="str">
        <f t="shared" si="5"/>
        <v xml:space="preserve">* La celda 'Población Migrantes / Mujeres' debe ser menor o igual al Total de Mujeres en control. </v>
      </c>
      <c r="CI39" s="348" t="str">
        <f t="shared" si="6"/>
        <v xml:space="preserve">* La celda 'Niños, Niñas, Adolescentes y Jóvenes de Población SENAME' debe ser menor o igual al Total de Ambos Sexos. </v>
      </c>
      <c r="CJ39" s="348" t="str">
        <f t="shared" si="7"/>
        <v xml:space="preserve">* La celda 'Niños, Niñas, Adolescentes y Jóvenes Mejor Niñez' debe ser menor o igual al Total de Ambos Sexos. </v>
      </c>
      <c r="CK39" s="348" t="str">
        <f>IF($AW39&gt;$D39,"* La celda 'Plan Cuidado Integral Elaborado' debe ser menor o igual al Total de Personas en control. ","")</f>
        <v xml:space="preserve">* La celda 'Plan Cuidado Integral Elaborado' debe ser menor o igual al Total de Personas en control. </v>
      </c>
      <c r="CL39" s="348" t="str">
        <f t="shared" si="43"/>
        <v xml:space="preserve"> * La variable Trans Masculino no debe ser mayor al Total Mujeres.</v>
      </c>
      <c r="CM39" s="348" t="str">
        <f t="shared" si="44"/>
        <v xml:space="preserve"> * La variable Trans Femenino no debe ser mayor al Total Hombre.</v>
      </c>
      <c r="CN39" s="354"/>
      <c r="CO39" s="348" t="str">
        <f t="shared" si="56"/>
        <v/>
      </c>
      <c r="CP39" s="348" t="str">
        <f t="shared" si="57"/>
        <v/>
      </c>
      <c r="CQ39" s="348" t="str">
        <f t="shared" si="35"/>
        <v/>
      </c>
      <c r="CR39" s="348" t="str">
        <f t="shared" si="36"/>
        <v/>
      </c>
      <c r="CS39" s="348" t="str">
        <f t="shared" si="37"/>
        <v/>
      </c>
      <c r="CT39" s="348" t="str">
        <f t="shared" si="38"/>
        <v/>
      </c>
      <c r="CU39" s="348" t="str">
        <f t="shared" si="9"/>
        <v/>
      </c>
      <c r="CV39" s="348" t="str">
        <f t="shared" si="10"/>
        <v/>
      </c>
      <c r="CW39" s="348" t="str">
        <f t="shared" si="11"/>
        <v/>
      </c>
      <c r="CX39" s="175"/>
      <c r="CY39" s="175"/>
      <c r="DB39" s="358">
        <f t="shared" si="54"/>
        <v>1</v>
      </c>
      <c r="DC39" s="358">
        <f t="shared" si="55"/>
        <v>1</v>
      </c>
      <c r="DD39" s="358">
        <f t="shared" si="45"/>
        <v>1</v>
      </c>
      <c r="DE39" s="358">
        <f t="shared" si="15"/>
        <v>1</v>
      </c>
      <c r="DF39" s="358">
        <f t="shared" si="46"/>
        <v>1</v>
      </c>
      <c r="DG39" s="358">
        <f t="shared" si="17"/>
        <v>1</v>
      </c>
      <c r="DH39" s="358">
        <f t="shared" si="18"/>
        <v>1</v>
      </c>
      <c r="DI39" s="358">
        <f t="shared" si="19"/>
        <v>1</v>
      </c>
      <c r="DJ39" s="358">
        <f t="shared" si="20"/>
        <v>1</v>
      </c>
      <c r="DK39" s="175"/>
      <c r="DL39" s="358">
        <f t="shared" si="21"/>
        <v>1</v>
      </c>
      <c r="DM39" s="358">
        <f t="shared" si="47"/>
        <v>1</v>
      </c>
      <c r="DN39" s="175"/>
      <c r="DO39" s="358">
        <f t="shared" si="58"/>
        <v>0</v>
      </c>
      <c r="DP39" s="358">
        <f t="shared" si="60"/>
        <v>0</v>
      </c>
      <c r="DQ39" s="358">
        <f t="shared" si="48"/>
        <v>0</v>
      </c>
      <c r="DR39" s="358">
        <f t="shared" si="24"/>
        <v>0</v>
      </c>
      <c r="DS39" s="358">
        <f t="shared" si="59"/>
        <v>0</v>
      </c>
      <c r="DT39" s="358">
        <f t="shared" si="26"/>
        <v>0</v>
      </c>
      <c r="DU39" s="358">
        <f t="shared" si="27"/>
        <v>0</v>
      </c>
      <c r="DV39" s="358">
        <f t="shared" si="28"/>
        <v>0</v>
      </c>
      <c r="DW39" s="358">
        <f t="shared" si="29"/>
        <v>0</v>
      </c>
      <c r="DX39" s="960"/>
    </row>
    <row r="40" spans="1:128" s="141" customFormat="1" ht="15.75" customHeight="1" x14ac:dyDescent="0.3">
      <c r="A40" s="1637" t="s">
        <v>1302</v>
      </c>
      <c r="B40" s="2199" t="s">
        <v>558</v>
      </c>
      <c r="C40" s="182" t="s">
        <v>112</v>
      </c>
      <c r="D40" s="1675" t="s">
        <v>1550</v>
      </c>
      <c r="E40" s="1676" t="s">
        <v>1551</v>
      </c>
      <c r="F40" s="1677" t="s">
        <v>1552</v>
      </c>
      <c r="G40" s="1678" t="s">
        <v>1553</v>
      </c>
      <c r="H40" s="1679" t="s">
        <v>1554</v>
      </c>
      <c r="I40" s="1678" t="s">
        <v>1555</v>
      </c>
      <c r="J40" s="1679" t="s">
        <v>1556</v>
      </c>
      <c r="K40" s="1678" t="s">
        <v>1557</v>
      </c>
      <c r="L40" s="1679" t="s">
        <v>1558</v>
      </c>
      <c r="M40" s="1678" t="s">
        <v>1559</v>
      </c>
      <c r="N40" s="1679" t="s">
        <v>1560</v>
      </c>
      <c r="O40" s="1678" t="s">
        <v>1561</v>
      </c>
      <c r="P40" s="1679" t="s">
        <v>1562</v>
      </c>
      <c r="Q40" s="1678" t="s">
        <v>1563</v>
      </c>
      <c r="R40" s="1679" t="s">
        <v>1564</v>
      </c>
      <c r="S40" s="1678" t="s">
        <v>1565</v>
      </c>
      <c r="T40" s="1679" t="s">
        <v>1566</v>
      </c>
      <c r="U40" s="1678" t="s">
        <v>1567</v>
      </c>
      <c r="V40" s="1679" t="s">
        <v>1568</v>
      </c>
      <c r="W40" s="1678" t="s">
        <v>1569</v>
      </c>
      <c r="X40" s="1679" t="s">
        <v>1570</v>
      </c>
      <c r="Y40" s="1678" t="s">
        <v>1571</v>
      </c>
      <c r="Z40" s="1679" t="s">
        <v>1572</v>
      </c>
      <c r="AA40" s="1678" t="s">
        <v>1573</v>
      </c>
      <c r="AB40" s="1679" t="s">
        <v>1574</v>
      </c>
      <c r="AC40" s="1678" t="s">
        <v>1575</v>
      </c>
      <c r="AD40" s="1679" t="s">
        <v>1576</v>
      </c>
      <c r="AE40" s="1678" t="s">
        <v>1577</v>
      </c>
      <c r="AF40" s="1679" t="s">
        <v>1578</v>
      </c>
      <c r="AG40" s="1678" t="s">
        <v>1579</v>
      </c>
      <c r="AH40" s="1679" t="s">
        <v>1580</v>
      </c>
      <c r="AI40" s="1678" t="s">
        <v>1581</v>
      </c>
      <c r="AJ40" s="1679" t="s">
        <v>1582</v>
      </c>
      <c r="AK40" s="1678" t="s">
        <v>1583</v>
      </c>
      <c r="AL40" s="1679" t="s">
        <v>1584</v>
      </c>
      <c r="AM40" s="1678" t="s">
        <v>1585</v>
      </c>
      <c r="AN40" s="1775" t="s">
        <v>1586</v>
      </c>
      <c r="AO40" s="1806" t="s">
        <v>1587</v>
      </c>
      <c r="AP40" s="1807" t="s">
        <v>1588</v>
      </c>
      <c r="AQ40" s="1683" t="s">
        <v>1589</v>
      </c>
      <c r="AR40" s="1679" t="s">
        <v>1590</v>
      </c>
      <c r="AS40" s="1683" t="s">
        <v>1591</v>
      </c>
      <c r="AT40" s="1679" t="s">
        <v>1592</v>
      </c>
      <c r="AU40" s="1777" t="s">
        <v>1593</v>
      </c>
      <c r="AV40" s="1777" t="s">
        <v>1594</v>
      </c>
      <c r="AW40" s="1777" t="s">
        <v>1595</v>
      </c>
      <c r="AX40" s="1777" t="s">
        <v>1596</v>
      </c>
      <c r="AY40" s="1777" t="s">
        <v>1597</v>
      </c>
      <c r="AZ40" s="1514" t="str">
        <f t="shared" si="30"/>
        <v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BA40" s="181"/>
      <c r="BB40" s="181"/>
      <c r="CC40" s="348" t="str">
        <f t="shared" si="52"/>
        <v xml:space="preserve">* La celda 'Gestantes' debe ser menor o igual al Total de Mujeres en control. </v>
      </c>
      <c r="CD40" s="348" t="str">
        <f t="shared" si="53"/>
        <v xml:space="preserve">* La celda 'Madres de Hijos menor de 5 años' debe ser menor o igual al Total de Mujeres en control. </v>
      </c>
      <c r="CE40" s="348" t="str">
        <f t="shared" si="41"/>
        <v xml:space="preserve">* La celda 'Pueblos Originarios / Hombres' debe ser menor o igual al Total de Hombres en control. </v>
      </c>
      <c r="CF40" s="348" t="str">
        <f t="shared" si="3"/>
        <v xml:space="preserve">* La celda 'Pueblos Originarios / Mujeres' debe ser menor o igual al Total de Mujeres en control. </v>
      </c>
      <c r="CG40" s="348" t="str">
        <f t="shared" si="42"/>
        <v xml:space="preserve">* La celda 'Población Migrantes / Hombres' debe ser menor o igual al Total de Hombres en control. </v>
      </c>
      <c r="CH40" s="348" t="str">
        <f t="shared" si="5"/>
        <v xml:space="preserve">* La celda 'Población Migrantes / Mujeres' debe ser menor o igual al Total de Mujeres en control. </v>
      </c>
      <c r="CI40" s="348" t="str">
        <f t="shared" si="6"/>
        <v xml:space="preserve">* La celda 'Niños, Niñas, Adolescentes y Jóvenes de Población SENAME' debe ser menor o igual al Total de Ambos Sexos. </v>
      </c>
      <c r="CJ40" s="348" t="str">
        <f t="shared" si="7"/>
        <v xml:space="preserve">* La celda 'Niños, Niñas, Adolescentes y Jóvenes Mejor Niñez' debe ser menor o igual al Total de Ambos Sexos. </v>
      </c>
      <c r="CK40" s="348" t="str">
        <f t="shared" si="8"/>
        <v xml:space="preserve">* La celda 'Plan Cuidado Integral Elaborado' debe ser menor o igual al Total de Personas en control. </v>
      </c>
      <c r="CL40" s="348" t="str">
        <f t="shared" si="43"/>
        <v xml:space="preserve"> * La variable Trans Masculino no debe ser mayor al Total Mujeres.</v>
      </c>
      <c r="CM40" s="348" t="str">
        <f t="shared" si="44"/>
        <v xml:space="preserve"> * La variable Trans Femenino no debe ser mayor al Total Hombre.</v>
      </c>
      <c r="CN40" s="354"/>
      <c r="CO40" s="348" t="str">
        <f t="shared" si="56"/>
        <v/>
      </c>
      <c r="CP40" s="348" t="str">
        <f t="shared" si="57"/>
        <v/>
      </c>
      <c r="CQ40" s="348" t="str">
        <f t="shared" si="35"/>
        <v/>
      </c>
      <c r="CR40" s="348" t="str">
        <f t="shared" si="36"/>
        <v/>
      </c>
      <c r="CS40" s="348" t="str">
        <f t="shared" si="37"/>
        <v/>
      </c>
      <c r="CT40" s="348" t="str">
        <f t="shared" si="38"/>
        <v/>
      </c>
      <c r="CU40" s="348" t="str">
        <f t="shared" si="9"/>
        <v/>
      </c>
      <c r="CV40" s="348" t="str">
        <f t="shared" si="10"/>
        <v/>
      </c>
      <c r="CW40" s="348" t="str">
        <f t="shared" si="11"/>
        <v/>
      </c>
      <c r="CX40" s="175"/>
      <c r="CY40" s="175"/>
      <c r="DB40" s="358">
        <f t="shared" si="54"/>
        <v>1</v>
      </c>
      <c r="DC40" s="358">
        <f t="shared" si="55"/>
        <v>1</v>
      </c>
      <c r="DD40" s="358">
        <f t="shared" si="45"/>
        <v>1</v>
      </c>
      <c r="DE40" s="358">
        <f t="shared" si="15"/>
        <v>1</v>
      </c>
      <c r="DF40" s="358">
        <f t="shared" si="46"/>
        <v>1</v>
      </c>
      <c r="DG40" s="358">
        <f t="shared" si="17"/>
        <v>1</v>
      </c>
      <c r="DH40" s="358">
        <f t="shared" si="18"/>
        <v>1</v>
      </c>
      <c r="DI40" s="358">
        <f t="shared" si="19"/>
        <v>1</v>
      </c>
      <c r="DJ40" s="358">
        <f t="shared" si="20"/>
        <v>1</v>
      </c>
      <c r="DK40" s="175"/>
      <c r="DL40" s="358">
        <f t="shared" si="21"/>
        <v>1</v>
      </c>
      <c r="DM40" s="358">
        <f t="shared" si="47"/>
        <v>1</v>
      </c>
      <c r="DN40" s="175"/>
      <c r="DO40" s="352"/>
      <c r="DP40" s="352"/>
      <c r="DQ40" s="358">
        <f t="shared" si="48"/>
        <v>0</v>
      </c>
      <c r="DR40" s="358">
        <f t="shared" si="24"/>
        <v>0</v>
      </c>
      <c r="DS40" s="358">
        <f t="shared" si="59"/>
        <v>0</v>
      </c>
      <c r="DT40" s="358">
        <f t="shared" si="26"/>
        <v>0</v>
      </c>
      <c r="DU40" s="358">
        <f t="shared" si="27"/>
        <v>0</v>
      </c>
      <c r="DV40" s="358">
        <f t="shared" si="28"/>
        <v>0</v>
      </c>
      <c r="DW40" s="358">
        <f t="shared" si="29"/>
        <v>0</v>
      </c>
      <c r="DX40" s="960"/>
    </row>
    <row r="41" spans="1:128" s="141" customFormat="1" ht="15.75" customHeight="1" x14ac:dyDescent="0.3">
      <c r="A41" s="1637" t="s">
        <v>1303</v>
      </c>
      <c r="B41" s="2079"/>
      <c r="C41" s="183" t="s">
        <v>113</v>
      </c>
      <c r="D41" s="1703" t="s">
        <v>1550</v>
      </c>
      <c r="E41" s="1704" t="s">
        <v>1551</v>
      </c>
      <c r="F41" s="1723" t="s">
        <v>1552</v>
      </c>
      <c r="G41" s="1687" t="s">
        <v>1553</v>
      </c>
      <c r="H41" s="1688" t="s">
        <v>1554</v>
      </c>
      <c r="I41" s="1687" t="s">
        <v>1555</v>
      </c>
      <c r="J41" s="1688" t="s">
        <v>1556</v>
      </c>
      <c r="K41" s="1687" t="s">
        <v>1557</v>
      </c>
      <c r="L41" s="1688" t="s">
        <v>1558</v>
      </c>
      <c r="M41" s="1687" t="s">
        <v>1559</v>
      </c>
      <c r="N41" s="1688" t="s">
        <v>1560</v>
      </c>
      <c r="O41" s="1687" t="s">
        <v>1561</v>
      </c>
      <c r="P41" s="1688" t="s">
        <v>1562</v>
      </c>
      <c r="Q41" s="1687" t="s">
        <v>1563</v>
      </c>
      <c r="R41" s="1688" t="s">
        <v>1564</v>
      </c>
      <c r="S41" s="1687" t="s">
        <v>1565</v>
      </c>
      <c r="T41" s="1688" t="s">
        <v>1566</v>
      </c>
      <c r="U41" s="1687" t="s">
        <v>1567</v>
      </c>
      <c r="V41" s="1688" t="s">
        <v>1568</v>
      </c>
      <c r="W41" s="1687" t="s">
        <v>1569</v>
      </c>
      <c r="X41" s="1688" t="s">
        <v>1570</v>
      </c>
      <c r="Y41" s="1687" t="s">
        <v>1571</v>
      </c>
      <c r="Z41" s="1688" t="s">
        <v>1572</v>
      </c>
      <c r="AA41" s="1687" t="s">
        <v>1573</v>
      </c>
      <c r="AB41" s="1688" t="s">
        <v>1574</v>
      </c>
      <c r="AC41" s="1687" t="s">
        <v>1575</v>
      </c>
      <c r="AD41" s="1688" t="s">
        <v>1576</v>
      </c>
      <c r="AE41" s="1687" t="s">
        <v>1577</v>
      </c>
      <c r="AF41" s="1688" t="s">
        <v>1578</v>
      </c>
      <c r="AG41" s="1687" t="s">
        <v>1579</v>
      </c>
      <c r="AH41" s="1688" t="s">
        <v>1580</v>
      </c>
      <c r="AI41" s="1687" t="s">
        <v>1581</v>
      </c>
      <c r="AJ41" s="1688" t="s">
        <v>1582</v>
      </c>
      <c r="AK41" s="1687" t="s">
        <v>1583</v>
      </c>
      <c r="AL41" s="1688" t="s">
        <v>1584</v>
      </c>
      <c r="AM41" s="1687" t="s">
        <v>1585</v>
      </c>
      <c r="AN41" s="1752" t="s">
        <v>1586</v>
      </c>
      <c r="AO41" s="1808" t="s">
        <v>1587</v>
      </c>
      <c r="AP41" s="1762" t="s">
        <v>1588</v>
      </c>
      <c r="AQ41" s="1711" t="s">
        <v>1589</v>
      </c>
      <c r="AR41" s="1688" t="s">
        <v>1590</v>
      </c>
      <c r="AS41" s="1711" t="s">
        <v>1591</v>
      </c>
      <c r="AT41" s="1688" t="s">
        <v>1592</v>
      </c>
      <c r="AU41" s="1792" t="s">
        <v>1593</v>
      </c>
      <c r="AV41" s="1792" t="s">
        <v>1594</v>
      </c>
      <c r="AW41" s="1792" t="s">
        <v>1595</v>
      </c>
      <c r="AX41" s="1792" t="s">
        <v>1596</v>
      </c>
      <c r="AY41" s="1792" t="s">
        <v>1597</v>
      </c>
      <c r="AZ41" s="1514" t="str">
        <f t="shared" si="30"/>
        <v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BA41" s="181"/>
      <c r="BB41" s="181"/>
      <c r="CC41" s="348" t="str">
        <f t="shared" si="52"/>
        <v xml:space="preserve">* La celda 'Gestantes' debe ser menor o igual al Total de Mujeres en control. </v>
      </c>
      <c r="CD41" s="348" t="str">
        <f t="shared" si="53"/>
        <v xml:space="preserve">* La celda 'Madres de Hijos menor de 5 años' debe ser menor o igual al Total de Mujeres en control. </v>
      </c>
      <c r="CE41" s="348" t="str">
        <f t="shared" si="41"/>
        <v xml:space="preserve">* La celda 'Pueblos Originarios / Hombres' debe ser menor o igual al Total de Hombres en control. </v>
      </c>
      <c r="CF41" s="348" t="str">
        <f t="shared" si="3"/>
        <v xml:space="preserve">* La celda 'Pueblos Originarios / Mujeres' debe ser menor o igual al Total de Mujeres en control. </v>
      </c>
      <c r="CG41" s="348" t="str">
        <f t="shared" si="42"/>
        <v xml:space="preserve">* La celda 'Población Migrantes / Hombres' debe ser menor o igual al Total de Hombres en control. </v>
      </c>
      <c r="CH41" s="348" t="str">
        <f t="shared" si="5"/>
        <v xml:space="preserve">* La celda 'Población Migrantes / Mujeres' debe ser menor o igual al Total de Mujeres en control. </v>
      </c>
      <c r="CI41" s="348" t="str">
        <f t="shared" si="6"/>
        <v xml:space="preserve">* La celda 'Niños, Niñas, Adolescentes y Jóvenes de Población SENAME' debe ser menor o igual al Total de Ambos Sexos. </v>
      </c>
      <c r="CJ41" s="348" t="str">
        <f t="shared" si="7"/>
        <v xml:space="preserve">* La celda 'Niños, Niñas, Adolescentes y Jóvenes Mejor Niñez' debe ser menor o igual al Total de Ambos Sexos. </v>
      </c>
      <c r="CK41" s="348" t="str">
        <f t="shared" si="8"/>
        <v xml:space="preserve">* La celda 'Plan Cuidado Integral Elaborado' debe ser menor o igual al Total de Personas en control. </v>
      </c>
      <c r="CL41" s="348" t="str">
        <f t="shared" si="43"/>
        <v xml:space="preserve"> * La variable Trans Masculino no debe ser mayor al Total Mujeres.</v>
      </c>
      <c r="CM41" s="348" t="str">
        <f t="shared" si="44"/>
        <v xml:space="preserve"> * La variable Trans Femenino no debe ser mayor al Total Hombre.</v>
      </c>
      <c r="CN41" s="354"/>
      <c r="CO41" s="348" t="str">
        <f t="shared" si="56"/>
        <v/>
      </c>
      <c r="CP41" s="348" t="str">
        <f t="shared" si="57"/>
        <v/>
      </c>
      <c r="CQ41" s="348" t="str">
        <f t="shared" si="35"/>
        <v/>
      </c>
      <c r="CR41" s="348" t="str">
        <f t="shared" si="36"/>
        <v/>
      </c>
      <c r="CS41" s="348" t="str">
        <f t="shared" si="37"/>
        <v/>
      </c>
      <c r="CT41" s="348" t="str">
        <f t="shared" si="38"/>
        <v/>
      </c>
      <c r="CU41" s="348" t="str">
        <f t="shared" si="9"/>
        <v/>
      </c>
      <c r="CV41" s="348" t="str">
        <f t="shared" si="10"/>
        <v/>
      </c>
      <c r="CW41" s="348" t="str">
        <f t="shared" si="11"/>
        <v/>
      </c>
      <c r="CX41" s="175"/>
      <c r="CY41" s="175"/>
      <c r="DB41" s="358">
        <f t="shared" si="54"/>
        <v>1</v>
      </c>
      <c r="DC41" s="358">
        <f t="shared" si="55"/>
        <v>1</v>
      </c>
      <c r="DD41" s="358">
        <f t="shared" si="45"/>
        <v>1</v>
      </c>
      <c r="DE41" s="358">
        <f t="shared" si="15"/>
        <v>1</v>
      </c>
      <c r="DF41" s="358">
        <f t="shared" si="46"/>
        <v>1</v>
      </c>
      <c r="DG41" s="358">
        <f t="shared" si="17"/>
        <v>1</v>
      </c>
      <c r="DH41" s="358">
        <f t="shared" si="18"/>
        <v>1</v>
      </c>
      <c r="DI41" s="358">
        <f t="shared" si="19"/>
        <v>1</v>
      </c>
      <c r="DJ41" s="358">
        <f t="shared" si="20"/>
        <v>1</v>
      </c>
      <c r="DK41" s="175"/>
      <c r="DL41" s="358">
        <f t="shared" si="21"/>
        <v>1</v>
      </c>
      <c r="DM41" s="358">
        <f t="shared" si="47"/>
        <v>1</v>
      </c>
      <c r="DN41" s="175"/>
      <c r="DO41" s="352"/>
      <c r="DP41" s="352"/>
      <c r="DQ41" s="358">
        <f t="shared" si="48"/>
        <v>0</v>
      </c>
      <c r="DR41" s="358">
        <f t="shared" si="24"/>
        <v>0</v>
      </c>
      <c r="DS41" s="358">
        <f t="shared" si="59"/>
        <v>0</v>
      </c>
      <c r="DT41" s="358">
        <f t="shared" si="26"/>
        <v>0</v>
      </c>
      <c r="DU41" s="358">
        <f t="shared" si="27"/>
        <v>0</v>
      </c>
      <c r="DV41" s="358">
        <f t="shared" si="28"/>
        <v>0</v>
      </c>
      <c r="DW41" s="358">
        <f t="shared" si="29"/>
        <v>0</v>
      </c>
      <c r="DX41" s="960"/>
    </row>
    <row r="42" spans="1:128" s="141" customFormat="1" ht="15.75" customHeight="1" x14ac:dyDescent="0.3">
      <c r="A42" s="1637" t="s">
        <v>1304</v>
      </c>
      <c r="B42" s="1865"/>
      <c r="C42" s="184" t="s">
        <v>399</v>
      </c>
      <c r="D42" s="1763" t="s">
        <v>1550</v>
      </c>
      <c r="E42" s="1764" t="s">
        <v>1551</v>
      </c>
      <c r="F42" s="1765" t="s">
        <v>1552</v>
      </c>
      <c r="G42" s="1695" t="s">
        <v>1553</v>
      </c>
      <c r="H42" s="1696" t="s">
        <v>1554</v>
      </c>
      <c r="I42" s="1695" t="s">
        <v>1555</v>
      </c>
      <c r="J42" s="1696" t="s">
        <v>1556</v>
      </c>
      <c r="K42" s="1695" t="s">
        <v>1557</v>
      </c>
      <c r="L42" s="1696" t="s">
        <v>1558</v>
      </c>
      <c r="M42" s="1695" t="s">
        <v>1559</v>
      </c>
      <c r="N42" s="1696" t="s">
        <v>1560</v>
      </c>
      <c r="O42" s="1695" t="s">
        <v>1561</v>
      </c>
      <c r="P42" s="1696" t="s">
        <v>1562</v>
      </c>
      <c r="Q42" s="1695" t="s">
        <v>1563</v>
      </c>
      <c r="R42" s="1696" t="s">
        <v>1564</v>
      </c>
      <c r="S42" s="1695" t="s">
        <v>1565</v>
      </c>
      <c r="T42" s="1696" t="s">
        <v>1566</v>
      </c>
      <c r="U42" s="1695" t="s">
        <v>1567</v>
      </c>
      <c r="V42" s="1696" t="s">
        <v>1568</v>
      </c>
      <c r="W42" s="1695" t="s">
        <v>1569</v>
      </c>
      <c r="X42" s="1696" t="s">
        <v>1570</v>
      </c>
      <c r="Y42" s="1695" t="s">
        <v>1571</v>
      </c>
      <c r="Z42" s="1696" t="s">
        <v>1572</v>
      </c>
      <c r="AA42" s="1695" t="s">
        <v>1573</v>
      </c>
      <c r="AB42" s="1696" t="s">
        <v>1574</v>
      </c>
      <c r="AC42" s="1695" t="s">
        <v>1575</v>
      </c>
      <c r="AD42" s="1696" t="s">
        <v>1576</v>
      </c>
      <c r="AE42" s="1695" t="s">
        <v>1577</v>
      </c>
      <c r="AF42" s="1696" t="s">
        <v>1578</v>
      </c>
      <c r="AG42" s="1695" t="s">
        <v>1579</v>
      </c>
      <c r="AH42" s="1696" t="s">
        <v>1580</v>
      </c>
      <c r="AI42" s="1695" t="s">
        <v>1581</v>
      </c>
      <c r="AJ42" s="1696" t="s">
        <v>1582</v>
      </c>
      <c r="AK42" s="1695" t="s">
        <v>1583</v>
      </c>
      <c r="AL42" s="1696" t="s">
        <v>1584</v>
      </c>
      <c r="AM42" s="1695" t="s">
        <v>1585</v>
      </c>
      <c r="AN42" s="1780" t="s">
        <v>1586</v>
      </c>
      <c r="AO42" s="1809" t="s">
        <v>1587</v>
      </c>
      <c r="AP42" s="1810" t="s">
        <v>1588</v>
      </c>
      <c r="AQ42" s="1783" t="s">
        <v>1589</v>
      </c>
      <c r="AR42" s="1696" t="s">
        <v>1590</v>
      </c>
      <c r="AS42" s="1783" t="s">
        <v>1591</v>
      </c>
      <c r="AT42" s="1696" t="s">
        <v>1592</v>
      </c>
      <c r="AU42" s="1784" t="s">
        <v>1593</v>
      </c>
      <c r="AV42" s="1784" t="s">
        <v>1594</v>
      </c>
      <c r="AW42" s="1784" t="s">
        <v>1595</v>
      </c>
      <c r="AX42" s="1784" t="s">
        <v>1596</v>
      </c>
      <c r="AY42" s="1784" t="s">
        <v>1597</v>
      </c>
      <c r="AZ42" s="1514" t="str">
        <f t="shared" si="30"/>
        <v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BA42" s="181"/>
      <c r="BB42" s="181"/>
      <c r="CC42" s="348" t="str">
        <f t="shared" si="52"/>
        <v xml:space="preserve">* La celda 'Gestantes' debe ser menor o igual al Total de Mujeres en control. </v>
      </c>
      <c r="CD42" s="348" t="str">
        <f t="shared" si="53"/>
        <v xml:space="preserve">* La celda 'Madres de Hijos menor de 5 años' debe ser menor o igual al Total de Mujeres en control. </v>
      </c>
      <c r="CE42" s="348" t="str">
        <f t="shared" si="41"/>
        <v xml:space="preserve">* La celda 'Pueblos Originarios / Hombres' debe ser menor o igual al Total de Hombres en control. </v>
      </c>
      <c r="CF42" s="348" t="str">
        <f t="shared" si="3"/>
        <v xml:space="preserve">* La celda 'Pueblos Originarios / Mujeres' debe ser menor o igual al Total de Mujeres en control. </v>
      </c>
      <c r="CG42" s="348" t="str">
        <f t="shared" si="42"/>
        <v xml:space="preserve">* La celda 'Población Migrantes / Hombres' debe ser menor o igual al Total de Hombres en control. </v>
      </c>
      <c r="CH42" s="348" t="str">
        <f t="shared" si="5"/>
        <v xml:space="preserve">* La celda 'Población Migrantes / Mujeres' debe ser menor o igual al Total de Mujeres en control. </v>
      </c>
      <c r="CI42" s="348" t="str">
        <f t="shared" si="6"/>
        <v xml:space="preserve">* La celda 'Niños, Niñas, Adolescentes y Jóvenes de Población SENAME' debe ser menor o igual al Total de Ambos Sexos. </v>
      </c>
      <c r="CJ42" s="348" t="str">
        <f t="shared" si="7"/>
        <v xml:space="preserve">* La celda 'Niños, Niñas, Adolescentes y Jóvenes Mejor Niñez' debe ser menor o igual al Total de Ambos Sexos. </v>
      </c>
      <c r="CK42" s="348" t="str">
        <f t="shared" si="8"/>
        <v xml:space="preserve">* La celda 'Plan Cuidado Integral Elaborado' debe ser menor o igual al Total de Personas en control. </v>
      </c>
      <c r="CL42" s="348" t="str">
        <f t="shared" si="43"/>
        <v xml:space="preserve"> * La variable Trans Masculino no debe ser mayor al Total Mujeres.</v>
      </c>
      <c r="CM42" s="348" t="str">
        <f t="shared" si="44"/>
        <v xml:space="preserve"> * La variable Trans Femenino no debe ser mayor al Total Hombre.</v>
      </c>
      <c r="CN42" s="354"/>
      <c r="CO42" s="348" t="str">
        <f t="shared" si="56"/>
        <v/>
      </c>
      <c r="CP42" s="348" t="str">
        <f t="shared" si="57"/>
        <v/>
      </c>
      <c r="CQ42" s="348" t="str">
        <f t="shared" si="35"/>
        <v/>
      </c>
      <c r="CR42" s="348" t="str">
        <f t="shared" si="36"/>
        <v/>
      </c>
      <c r="CS42" s="348" t="str">
        <f t="shared" si="37"/>
        <v/>
      </c>
      <c r="CT42" s="348" t="str">
        <f t="shared" si="38"/>
        <v/>
      </c>
      <c r="CU42" s="348" t="str">
        <f t="shared" si="9"/>
        <v/>
      </c>
      <c r="CV42" s="348" t="str">
        <f t="shared" si="10"/>
        <v/>
      </c>
      <c r="CW42" s="348" t="str">
        <f t="shared" si="11"/>
        <v/>
      </c>
      <c r="CX42" s="175"/>
      <c r="CY42" s="175"/>
      <c r="DB42" s="358">
        <f t="shared" si="54"/>
        <v>1</v>
      </c>
      <c r="DC42" s="358">
        <f t="shared" si="55"/>
        <v>1</v>
      </c>
      <c r="DD42" s="358">
        <f t="shared" si="45"/>
        <v>1</v>
      </c>
      <c r="DE42" s="358">
        <f t="shared" si="15"/>
        <v>1</v>
      </c>
      <c r="DF42" s="358">
        <f t="shared" si="46"/>
        <v>1</v>
      </c>
      <c r="DG42" s="358">
        <f t="shared" si="17"/>
        <v>1</v>
      </c>
      <c r="DH42" s="358">
        <f t="shared" si="18"/>
        <v>1</v>
      </c>
      <c r="DI42" s="358">
        <f t="shared" si="19"/>
        <v>1</v>
      </c>
      <c r="DJ42" s="358">
        <f t="shared" si="20"/>
        <v>1</v>
      </c>
      <c r="DK42" s="175"/>
      <c r="DL42" s="358">
        <f t="shared" si="21"/>
        <v>1</v>
      </c>
      <c r="DM42" s="358">
        <f t="shared" si="47"/>
        <v>1</v>
      </c>
      <c r="DN42" s="175"/>
      <c r="DO42" s="352"/>
      <c r="DP42" s="352"/>
      <c r="DQ42" s="358">
        <f t="shared" si="48"/>
        <v>0</v>
      </c>
      <c r="DR42" s="358">
        <f t="shared" si="24"/>
        <v>0</v>
      </c>
      <c r="DS42" s="358">
        <f t="shared" si="59"/>
        <v>0</v>
      </c>
      <c r="DT42" s="358">
        <f t="shared" si="26"/>
        <v>0</v>
      </c>
      <c r="DU42" s="358">
        <f t="shared" si="27"/>
        <v>0</v>
      </c>
      <c r="DV42" s="358">
        <f t="shared" si="28"/>
        <v>0</v>
      </c>
      <c r="DW42" s="358">
        <f t="shared" si="29"/>
        <v>0</v>
      </c>
      <c r="DX42" s="960"/>
    </row>
    <row r="43" spans="1:128" s="141" customFormat="1" ht="18.600000000000001" customHeight="1" x14ac:dyDescent="0.3">
      <c r="A43" s="1637" t="s">
        <v>1305</v>
      </c>
      <c r="B43" s="2366" t="s">
        <v>840</v>
      </c>
      <c r="C43" s="2367"/>
      <c r="D43" s="1703" t="s">
        <v>1550</v>
      </c>
      <c r="E43" s="1704" t="s">
        <v>1551</v>
      </c>
      <c r="F43" s="1723" t="s">
        <v>1552</v>
      </c>
      <c r="G43" s="1687" t="s">
        <v>1553</v>
      </c>
      <c r="H43" s="1688" t="s">
        <v>1554</v>
      </c>
      <c r="I43" s="1687" t="s">
        <v>1555</v>
      </c>
      <c r="J43" s="1688" t="s">
        <v>1556</v>
      </c>
      <c r="K43" s="1687" t="s">
        <v>1557</v>
      </c>
      <c r="L43" s="1688" t="s">
        <v>1558</v>
      </c>
      <c r="M43" s="1687" t="s">
        <v>1559</v>
      </c>
      <c r="N43" s="1688" t="s">
        <v>1560</v>
      </c>
      <c r="O43" s="1687" t="s">
        <v>1561</v>
      </c>
      <c r="P43" s="1688" t="s">
        <v>1562</v>
      </c>
      <c r="Q43" s="1687" t="s">
        <v>1563</v>
      </c>
      <c r="R43" s="1688" t="s">
        <v>1564</v>
      </c>
      <c r="S43" s="1687" t="s">
        <v>1565</v>
      </c>
      <c r="T43" s="1688" t="s">
        <v>1566</v>
      </c>
      <c r="U43" s="1687" t="s">
        <v>1567</v>
      </c>
      <c r="V43" s="1688" t="s">
        <v>1568</v>
      </c>
      <c r="W43" s="1687" t="s">
        <v>1569</v>
      </c>
      <c r="X43" s="1688" t="s">
        <v>1570</v>
      </c>
      <c r="Y43" s="1687" t="s">
        <v>1571</v>
      </c>
      <c r="Z43" s="1688" t="s">
        <v>1572</v>
      </c>
      <c r="AA43" s="1687" t="s">
        <v>1573</v>
      </c>
      <c r="AB43" s="1688" t="s">
        <v>1574</v>
      </c>
      <c r="AC43" s="1687" t="s">
        <v>1575</v>
      </c>
      <c r="AD43" s="1688" t="s">
        <v>1576</v>
      </c>
      <c r="AE43" s="1687" t="s">
        <v>1577</v>
      </c>
      <c r="AF43" s="1688" t="s">
        <v>1578</v>
      </c>
      <c r="AG43" s="1687" t="s">
        <v>1579</v>
      </c>
      <c r="AH43" s="1688" t="s">
        <v>1580</v>
      </c>
      <c r="AI43" s="1687" t="s">
        <v>1581</v>
      </c>
      <c r="AJ43" s="1688" t="s">
        <v>1582</v>
      </c>
      <c r="AK43" s="1687" t="s">
        <v>1583</v>
      </c>
      <c r="AL43" s="1688" t="s">
        <v>1584</v>
      </c>
      <c r="AM43" s="1687" t="s">
        <v>1585</v>
      </c>
      <c r="AN43" s="1752" t="s">
        <v>1586</v>
      </c>
      <c r="AO43" s="1791" t="s">
        <v>1587</v>
      </c>
      <c r="AP43" s="1710" t="s">
        <v>1588</v>
      </c>
      <c r="AQ43" s="1711" t="s">
        <v>1589</v>
      </c>
      <c r="AR43" s="1688" t="s">
        <v>1590</v>
      </c>
      <c r="AS43" s="1711" t="s">
        <v>1591</v>
      </c>
      <c r="AT43" s="1688" t="s">
        <v>1592</v>
      </c>
      <c r="AU43" s="1792" t="s">
        <v>1593</v>
      </c>
      <c r="AV43" s="1792" t="s">
        <v>1594</v>
      </c>
      <c r="AW43" s="1792" t="s">
        <v>1595</v>
      </c>
      <c r="AX43" s="1792" t="s">
        <v>1596</v>
      </c>
      <c r="AY43" s="1792" t="s">
        <v>1597</v>
      </c>
      <c r="AZ43" s="1514" t="str">
        <f t="shared" si="30"/>
        <v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BA43" s="181"/>
      <c r="BB43" s="181"/>
      <c r="CC43" s="348" t="str">
        <f t="shared" si="52"/>
        <v xml:space="preserve">* La celda 'Gestantes' debe ser menor o igual al Total de Mujeres en control. </v>
      </c>
      <c r="CD43" s="348" t="str">
        <f t="shared" si="53"/>
        <v xml:space="preserve">* La celda 'Madres de Hijos menor de 5 años' debe ser menor o igual al Total de Mujeres en control. </v>
      </c>
      <c r="CE43" s="348" t="str">
        <f t="shared" si="41"/>
        <v xml:space="preserve">* La celda 'Pueblos Originarios / Hombres' debe ser menor o igual al Total de Hombres en control. </v>
      </c>
      <c r="CF43" s="348" t="str">
        <f t="shared" si="3"/>
        <v xml:space="preserve">* La celda 'Pueblos Originarios / Mujeres' debe ser menor o igual al Total de Mujeres en control. </v>
      </c>
      <c r="CG43" s="348" t="str">
        <f t="shared" si="42"/>
        <v xml:space="preserve">* La celda 'Población Migrantes / Hombres' debe ser menor o igual al Total de Hombres en control. </v>
      </c>
      <c r="CH43" s="348" t="str">
        <f t="shared" si="5"/>
        <v xml:space="preserve">* La celda 'Población Migrantes / Mujeres' debe ser menor o igual al Total de Mujeres en control. </v>
      </c>
      <c r="CI43" s="348" t="str">
        <f t="shared" si="6"/>
        <v xml:space="preserve">* La celda 'Niños, Niñas, Adolescentes y Jóvenes de Población SENAME' debe ser menor o igual al Total de Ambos Sexos. </v>
      </c>
      <c r="CJ43" s="348" t="str">
        <f t="shared" si="7"/>
        <v xml:space="preserve">* La celda 'Niños, Niñas, Adolescentes y Jóvenes Mejor Niñez' debe ser menor o igual al Total de Ambos Sexos. </v>
      </c>
      <c r="CK43" s="348" t="str">
        <f t="shared" si="8"/>
        <v xml:space="preserve">* La celda 'Plan Cuidado Integral Elaborado' debe ser menor o igual al Total de Personas en control. </v>
      </c>
      <c r="CL43" s="348" t="str">
        <f t="shared" si="43"/>
        <v xml:space="preserve"> * La variable Trans Masculino no debe ser mayor al Total Mujeres.</v>
      </c>
      <c r="CM43" s="348" t="str">
        <f t="shared" si="44"/>
        <v xml:space="preserve"> * La variable Trans Femenino no debe ser mayor al Total Hombre.</v>
      </c>
      <c r="CN43" s="354"/>
      <c r="CO43" s="348" t="str">
        <f t="shared" si="56"/>
        <v/>
      </c>
      <c r="CP43" s="348" t="str">
        <f t="shared" si="57"/>
        <v/>
      </c>
      <c r="CQ43" s="348" t="str">
        <f t="shared" si="35"/>
        <v/>
      </c>
      <c r="CR43" s="348" t="str">
        <f t="shared" si="36"/>
        <v/>
      </c>
      <c r="CS43" s="348" t="str">
        <f t="shared" si="37"/>
        <v/>
      </c>
      <c r="CT43" s="348" t="str">
        <f t="shared" si="38"/>
        <v/>
      </c>
      <c r="CU43" s="348" t="str">
        <f t="shared" si="9"/>
        <v/>
      </c>
      <c r="CV43" s="348" t="str">
        <f t="shared" si="10"/>
        <v/>
      </c>
      <c r="CW43" s="348" t="str">
        <f t="shared" si="11"/>
        <v/>
      </c>
      <c r="CX43" s="175"/>
      <c r="CY43" s="175"/>
      <c r="DB43" s="358">
        <f t="shared" si="54"/>
        <v>1</v>
      </c>
      <c r="DC43" s="358">
        <f t="shared" si="55"/>
        <v>1</v>
      </c>
      <c r="DD43" s="358">
        <f t="shared" si="45"/>
        <v>1</v>
      </c>
      <c r="DE43" s="358">
        <f t="shared" si="15"/>
        <v>1</v>
      </c>
      <c r="DF43" s="358">
        <f t="shared" si="46"/>
        <v>1</v>
      </c>
      <c r="DG43" s="358">
        <f t="shared" si="17"/>
        <v>1</v>
      </c>
      <c r="DH43" s="358">
        <f t="shared" si="18"/>
        <v>1</v>
      </c>
      <c r="DI43" s="358">
        <f t="shared" si="19"/>
        <v>1</v>
      </c>
      <c r="DJ43" s="358">
        <f t="shared" si="20"/>
        <v>1</v>
      </c>
      <c r="DK43" s="175"/>
      <c r="DL43" s="358">
        <f t="shared" si="21"/>
        <v>1</v>
      </c>
      <c r="DM43" s="358">
        <f t="shared" si="47"/>
        <v>1</v>
      </c>
      <c r="DN43" s="175"/>
      <c r="DO43" s="358">
        <f t="shared" si="58"/>
        <v>0</v>
      </c>
      <c r="DP43" s="358">
        <f>IF(AND($F43&lt;&gt;0,$AP43=""),1,0)</f>
        <v>0</v>
      </c>
      <c r="DQ43" s="358">
        <f t="shared" si="48"/>
        <v>0</v>
      </c>
      <c r="DR43" s="358">
        <f t="shared" si="24"/>
        <v>0</v>
      </c>
      <c r="DS43" s="358">
        <f t="shared" si="59"/>
        <v>0</v>
      </c>
      <c r="DT43" s="358">
        <f t="shared" si="26"/>
        <v>0</v>
      </c>
      <c r="DU43" s="358">
        <f t="shared" si="27"/>
        <v>0</v>
      </c>
      <c r="DV43" s="358">
        <f t="shared" si="28"/>
        <v>0</v>
      </c>
      <c r="DW43" s="358">
        <f t="shared" si="29"/>
        <v>0</v>
      </c>
      <c r="DX43" s="960"/>
    </row>
    <row r="44" spans="1:128" s="141" customFormat="1" ht="18.600000000000001" customHeight="1" x14ac:dyDescent="0.3">
      <c r="A44" s="1637" t="s">
        <v>1306</v>
      </c>
      <c r="B44" s="1303" t="s">
        <v>699</v>
      </c>
      <c r="C44" s="921"/>
      <c r="D44" s="1703" t="s">
        <v>1550</v>
      </c>
      <c r="E44" s="1704" t="s">
        <v>1551</v>
      </c>
      <c r="F44" s="1723" t="s">
        <v>1552</v>
      </c>
      <c r="G44" s="1687" t="s">
        <v>1553</v>
      </c>
      <c r="H44" s="1688" t="s">
        <v>1554</v>
      </c>
      <c r="I44" s="1687" t="s">
        <v>1555</v>
      </c>
      <c r="J44" s="1688" t="s">
        <v>1556</v>
      </c>
      <c r="K44" s="1687" t="s">
        <v>1557</v>
      </c>
      <c r="L44" s="1688" t="s">
        <v>1558</v>
      </c>
      <c r="M44" s="1687" t="s">
        <v>1559</v>
      </c>
      <c r="N44" s="1688" t="s">
        <v>1560</v>
      </c>
      <c r="O44" s="1687" t="s">
        <v>1561</v>
      </c>
      <c r="P44" s="1688" t="s">
        <v>1562</v>
      </c>
      <c r="Q44" s="1687" t="s">
        <v>1563</v>
      </c>
      <c r="R44" s="1688" t="s">
        <v>1564</v>
      </c>
      <c r="S44" s="1687" t="s">
        <v>1565</v>
      </c>
      <c r="T44" s="1688" t="s">
        <v>1566</v>
      </c>
      <c r="U44" s="1687" t="s">
        <v>1567</v>
      </c>
      <c r="V44" s="1688" t="s">
        <v>1568</v>
      </c>
      <c r="W44" s="1687" t="s">
        <v>1569</v>
      </c>
      <c r="X44" s="1688" t="s">
        <v>1570</v>
      </c>
      <c r="Y44" s="1687" t="s">
        <v>1571</v>
      </c>
      <c r="Z44" s="1688" t="s">
        <v>1572</v>
      </c>
      <c r="AA44" s="1687" t="s">
        <v>1573</v>
      </c>
      <c r="AB44" s="1688" t="s">
        <v>1574</v>
      </c>
      <c r="AC44" s="1687" t="s">
        <v>1575</v>
      </c>
      <c r="AD44" s="1688" t="s">
        <v>1576</v>
      </c>
      <c r="AE44" s="1687" t="s">
        <v>1577</v>
      </c>
      <c r="AF44" s="1688" t="s">
        <v>1578</v>
      </c>
      <c r="AG44" s="1687" t="s">
        <v>1579</v>
      </c>
      <c r="AH44" s="1688" t="s">
        <v>1580</v>
      </c>
      <c r="AI44" s="1687" t="s">
        <v>1581</v>
      </c>
      <c r="AJ44" s="1688" t="s">
        <v>1582</v>
      </c>
      <c r="AK44" s="1687" t="s">
        <v>1583</v>
      </c>
      <c r="AL44" s="1688" t="s">
        <v>1584</v>
      </c>
      <c r="AM44" s="1687" t="s">
        <v>1585</v>
      </c>
      <c r="AN44" s="1752" t="s">
        <v>1586</v>
      </c>
      <c r="AO44" s="1791" t="s">
        <v>1587</v>
      </c>
      <c r="AP44" s="1710" t="s">
        <v>1588</v>
      </c>
      <c r="AQ44" s="1711" t="s">
        <v>1589</v>
      </c>
      <c r="AR44" s="1688" t="s">
        <v>1590</v>
      </c>
      <c r="AS44" s="1711" t="s">
        <v>1591</v>
      </c>
      <c r="AT44" s="1688" t="s">
        <v>1592</v>
      </c>
      <c r="AU44" s="1792" t="s">
        <v>1593</v>
      </c>
      <c r="AV44" s="1792" t="s">
        <v>1594</v>
      </c>
      <c r="AW44" s="1792" t="s">
        <v>1595</v>
      </c>
      <c r="AX44" s="1792" t="s">
        <v>1596</v>
      </c>
      <c r="AY44" s="1792" t="s">
        <v>1597</v>
      </c>
      <c r="AZ44" s="1514" t="str">
        <f t="shared" si="30"/>
        <v>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BA44" s="181"/>
      <c r="BB44" s="181"/>
      <c r="CC44" s="354"/>
      <c r="CD44" s="354"/>
      <c r="CE44" s="354"/>
      <c r="CF44" s="354"/>
      <c r="CG44" s="354"/>
      <c r="CH44" s="354"/>
      <c r="CI44" s="354"/>
      <c r="CJ44" s="348" t="str">
        <f t="shared" si="7"/>
        <v xml:space="preserve">* La celda 'Niños, Niñas, Adolescentes y Jóvenes Mejor Niñez' debe ser menor o igual al Total de Ambos Sexos. </v>
      </c>
      <c r="CK44" s="348" t="str">
        <f t="shared" si="8"/>
        <v xml:space="preserve">* La celda 'Plan Cuidado Integral Elaborado' debe ser menor o igual al Total de Personas en control. </v>
      </c>
      <c r="CL44" s="348" t="str">
        <f t="shared" si="43"/>
        <v xml:space="preserve"> * La variable Trans Masculino no debe ser mayor al Total Mujeres.</v>
      </c>
      <c r="CM44" s="348" t="str">
        <f t="shared" si="44"/>
        <v xml:space="preserve"> * La variable Trans Femenino no debe ser mayor al Total Hombre.</v>
      </c>
      <c r="CN44" s="354"/>
      <c r="CO44" s="354"/>
      <c r="CP44" s="354"/>
      <c r="CQ44" s="354"/>
      <c r="CR44" s="354"/>
      <c r="CS44" s="354"/>
      <c r="CT44" s="354"/>
      <c r="CU44" s="354"/>
      <c r="CV44" s="348" t="str">
        <f t="shared" si="10"/>
        <v/>
      </c>
      <c r="CW44" s="348" t="str">
        <f t="shared" si="11"/>
        <v/>
      </c>
      <c r="CX44" s="175"/>
      <c r="CY44" s="175"/>
      <c r="DB44" s="352"/>
      <c r="DC44" s="352"/>
      <c r="DD44" s="352"/>
      <c r="DE44" s="352"/>
      <c r="DF44" s="352"/>
      <c r="DG44" s="352"/>
      <c r="DH44" s="352"/>
      <c r="DI44" s="358">
        <f t="shared" si="19"/>
        <v>1</v>
      </c>
      <c r="DJ44" s="358">
        <f t="shared" si="20"/>
        <v>1</v>
      </c>
      <c r="DK44" s="175"/>
      <c r="DL44" s="358">
        <f t="shared" si="21"/>
        <v>1</v>
      </c>
      <c r="DM44" s="358">
        <f t="shared" si="47"/>
        <v>1</v>
      </c>
      <c r="DN44" s="175"/>
      <c r="DO44" s="352"/>
      <c r="DP44" s="352"/>
      <c r="DQ44" s="352"/>
      <c r="DR44" s="352"/>
      <c r="DS44" s="352"/>
      <c r="DT44" s="352"/>
      <c r="DU44" s="352"/>
      <c r="DV44" s="358">
        <f t="shared" si="28"/>
        <v>0</v>
      </c>
      <c r="DW44" s="358">
        <f t="shared" si="29"/>
        <v>0</v>
      </c>
      <c r="DX44" s="960"/>
    </row>
    <row r="45" spans="1:128" ht="18.600000000000001" customHeight="1" x14ac:dyDescent="0.3">
      <c r="A45" s="1637" t="s">
        <v>1307</v>
      </c>
      <c r="B45" s="2385" t="s">
        <v>227</v>
      </c>
      <c r="C45" s="2385"/>
      <c r="D45" s="1737" t="s">
        <v>1550</v>
      </c>
      <c r="E45" s="1738" t="s">
        <v>1551</v>
      </c>
      <c r="F45" s="1725" t="s">
        <v>1552</v>
      </c>
      <c r="G45" s="1689" t="s">
        <v>1553</v>
      </c>
      <c r="H45" s="1690" t="s">
        <v>1554</v>
      </c>
      <c r="I45" s="1689" t="s">
        <v>1555</v>
      </c>
      <c r="J45" s="1690" t="s">
        <v>1556</v>
      </c>
      <c r="K45" s="1689" t="s">
        <v>1557</v>
      </c>
      <c r="L45" s="1690" t="s">
        <v>1558</v>
      </c>
      <c r="M45" s="1689" t="s">
        <v>1559</v>
      </c>
      <c r="N45" s="1690" t="s">
        <v>1560</v>
      </c>
      <c r="O45" s="1689" t="s">
        <v>1561</v>
      </c>
      <c r="P45" s="1690" t="s">
        <v>1562</v>
      </c>
      <c r="Q45" s="1689" t="s">
        <v>1563</v>
      </c>
      <c r="R45" s="1690" t="s">
        <v>1564</v>
      </c>
      <c r="S45" s="1689" t="s">
        <v>1565</v>
      </c>
      <c r="T45" s="1690" t="s">
        <v>1566</v>
      </c>
      <c r="U45" s="1689" t="s">
        <v>1567</v>
      </c>
      <c r="V45" s="1690" t="s">
        <v>1568</v>
      </c>
      <c r="W45" s="1689" t="s">
        <v>1569</v>
      </c>
      <c r="X45" s="1690" t="s">
        <v>1570</v>
      </c>
      <c r="Y45" s="1689" t="s">
        <v>1571</v>
      </c>
      <c r="Z45" s="1690" t="s">
        <v>1572</v>
      </c>
      <c r="AA45" s="1689" t="s">
        <v>1573</v>
      </c>
      <c r="AB45" s="1690" t="s">
        <v>1574</v>
      </c>
      <c r="AC45" s="1689" t="s">
        <v>1575</v>
      </c>
      <c r="AD45" s="1690" t="s">
        <v>1576</v>
      </c>
      <c r="AE45" s="1689" t="s">
        <v>1577</v>
      </c>
      <c r="AF45" s="1690" t="s">
        <v>1578</v>
      </c>
      <c r="AG45" s="1689" t="s">
        <v>1579</v>
      </c>
      <c r="AH45" s="1690" t="s">
        <v>1580</v>
      </c>
      <c r="AI45" s="1689" t="s">
        <v>1581</v>
      </c>
      <c r="AJ45" s="1690" t="s">
        <v>1582</v>
      </c>
      <c r="AK45" s="1689" t="s">
        <v>1583</v>
      </c>
      <c r="AL45" s="1690" t="s">
        <v>1584</v>
      </c>
      <c r="AM45" s="1689" t="s">
        <v>1585</v>
      </c>
      <c r="AN45" s="1756" t="s">
        <v>1586</v>
      </c>
      <c r="AO45" s="1793" t="s">
        <v>1587</v>
      </c>
      <c r="AP45" s="1693" t="s">
        <v>1588</v>
      </c>
      <c r="AQ45" s="1694" t="s">
        <v>1589</v>
      </c>
      <c r="AR45" s="1690" t="s">
        <v>1590</v>
      </c>
      <c r="AS45" s="1694" t="s">
        <v>1591</v>
      </c>
      <c r="AT45" s="1690" t="s">
        <v>1592</v>
      </c>
      <c r="AU45" s="1794" t="s">
        <v>1593</v>
      </c>
      <c r="AV45" s="1794" t="s">
        <v>1594</v>
      </c>
      <c r="AW45" s="1794" t="s">
        <v>1595</v>
      </c>
      <c r="AX45" s="1794" t="s">
        <v>1596</v>
      </c>
      <c r="AY45" s="1794" t="s">
        <v>1597</v>
      </c>
      <c r="AZ45" s="1514" t="str">
        <f t="shared" si="30"/>
        <v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CC45" s="348" t="str">
        <f t="shared" si="52"/>
        <v xml:space="preserve">* La celda 'Gestantes' debe ser menor o igual al Total de Mujeres en control. </v>
      </c>
      <c r="CD45" s="348" t="str">
        <f t="shared" si="53"/>
        <v xml:space="preserve">* La celda 'Madres de Hijos menor de 5 años' debe ser menor o igual al Total de Mujeres en control. </v>
      </c>
      <c r="CE45" s="348" t="str">
        <f t="shared" si="41"/>
        <v xml:space="preserve">* La celda 'Pueblos Originarios / Hombres' debe ser menor o igual al Total de Hombres en control. </v>
      </c>
      <c r="CF45" s="348" t="str">
        <f t="shared" si="3"/>
        <v xml:space="preserve">* La celda 'Pueblos Originarios / Mujeres' debe ser menor o igual al Total de Mujeres en control. </v>
      </c>
      <c r="CG45" s="348" t="str">
        <f t="shared" si="42"/>
        <v xml:space="preserve">* La celda 'Población Migrantes / Hombres' debe ser menor o igual al Total de Hombres en control. </v>
      </c>
      <c r="CH45" s="348" t="str">
        <f t="shared" si="5"/>
        <v xml:space="preserve">* La celda 'Población Migrantes / Mujeres' debe ser menor o igual al Total de Mujeres en control. </v>
      </c>
      <c r="CI45" s="348" t="str">
        <f t="shared" si="6"/>
        <v xml:space="preserve">* La celda 'Niños, Niñas, Adolescentes y Jóvenes de Población SENAME' debe ser menor o igual al Total de Ambos Sexos. </v>
      </c>
      <c r="CJ45" s="348" t="str">
        <f t="shared" si="7"/>
        <v xml:space="preserve">* La celda 'Niños, Niñas, Adolescentes y Jóvenes Mejor Niñez' debe ser menor o igual al Total de Ambos Sexos. </v>
      </c>
      <c r="CK45" s="348" t="str">
        <f t="shared" si="8"/>
        <v xml:space="preserve">* La celda 'Plan Cuidado Integral Elaborado' debe ser menor o igual al Total de Personas en control. </v>
      </c>
      <c r="CL45" s="348" t="str">
        <f t="shared" si="43"/>
        <v xml:space="preserve"> * La variable Trans Masculino no debe ser mayor al Total Mujeres.</v>
      </c>
      <c r="CM45" s="348" t="str">
        <f t="shared" si="44"/>
        <v xml:space="preserve"> * La variable Trans Femenino no debe ser mayor al Total Hombre.</v>
      </c>
      <c r="CN45" s="354"/>
      <c r="CO45" s="348" t="str">
        <f t="shared" si="56"/>
        <v/>
      </c>
      <c r="CP45" s="348" t="str">
        <f t="shared" si="57"/>
        <v/>
      </c>
      <c r="CQ45" s="348" t="str">
        <f t="shared" si="35"/>
        <v/>
      </c>
      <c r="CR45" s="348" t="str">
        <f t="shared" si="36"/>
        <v/>
      </c>
      <c r="CS45" s="348" t="str">
        <f t="shared" si="37"/>
        <v/>
      </c>
      <c r="CT45" s="348" t="str">
        <f t="shared" si="38"/>
        <v/>
      </c>
      <c r="CU45" s="348" t="str">
        <f t="shared" si="9"/>
        <v/>
      </c>
      <c r="CV45" s="348" t="str">
        <f t="shared" si="10"/>
        <v/>
      </c>
      <c r="CW45" s="348" t="str">
        <f t="shared" si="11"/>
        <v/>
      </c>
      <c r="DB45" s="358">
        <f t="shared" si="54"/>
        <v>1</v>
      </c>
      <c r="DC45" s="358">
        <f t="shared" si="55"/>
        <v>1</v>
      </c>
      <c r="DD45" s="358">
        <f t="shared" si="45"/>
        <v>1</v>
      </c>
      <c r="DE45" s="358">
        <f t="shared" si="15"/>
        <v>1</v>
      </c>
      <c r="DF45" s="358">
        <f t="shared" si="46"/>
        <v>1</v>
      </c>
      <c r="DG45" s="358">
        <f t="shared" si="17"/>
        <v>1</v>
      </c>
      <c r="DH45" s="358">
        <f t="shared" si="18"/>
        <v>1</v>
      </c>
      <c r="DI45" s="358">
        <f t="shared" si="19"/>
        <v>1</v>
      </c>
      <c r="DJ45" s="358">
        <f t="shared" si="20"/>
        <v>1</v>
      </c>
      <c r="DL45" s="358">
        <f t="shared" si="21"/>
        <v>1</v>
      </c>
      <c r="DM45" s="358">
        <f t="shared" si="47"/>
        <v>1</v>
      </c>
      <c r="DO45" s="358">
        <f t="shared" si="58"/>
        <v>0</v>
      </c>
      <c r="DP45" s="358">
        <f>IF(AND($F45&lt;&gt;0,$AP45=""),1,0)</f>
        <v>0</v>
      </c>
      <c r="DQ45" s="358">
        <f t="shared" si="48"/>
        <v>0</v>
      </c>
      <c r="DR45" s="358">
        <f t="shared" si="24"/>
        <v>0</v>
      </c>
      <c r="DS45" s="358">
        <f>IF(AND(E45&lt;&gt;0,AS45=""),1,0)</f>
        <v>0</v>
      </c>
      <c r="DT45" s="358">
        <f t="shared" si="26"/>
        <v>0</v>
      </c>
      <c r="DU45" s="358">
        <f t="shared" si="27"/>
        <v>0</v>
      </c>
      <c r="DV45" s="358">
        <f t="shared" si="28"/>
        <v>0</v>
      </c>
      <c r="DW45" s="358">
        <f t="shared" si="29"/>
        <v>0</v>
      </c>
      <c r="DX45" s="960"/>
    </row>
    <row r="46" spans="1:128" ht="18.600000000000001" customHeight="1" x14ac:dyDescent="0.3">
      <c r="A46" s="1637" t="s">
        <v>1308</v>
      </c>
      <c r="B46" s="2385" t="s">
        <v>228</v>
      </c>
      <c r="C46" s="2385"/>
      <c r="D46" s="1737" t="s">
        <v>1550</v>
      </c>
      <c r="E46" s="1738" t="s">
        <v>1551</v>
      </c>
      <c r="F46" s="1725" t="s">
        <v>1552</v>
      </c>
      <c r="G46" s="1689" t="s">
        <v>1553</v>
      </c>
      <c r="H46" s="1690" t="s">
        <v>1554</v>
      </c>
      <c r="I46" s="1689" t="s">
        <v>1555</v>
      </c>
      <c r="J46" s="1690" t="s">
        <v>1556</v>
      </c>
      <c r="K46" s="1689" t="s">
        <v>1557</v>
      </c>
      <c r="L46" s="1690" t="s">
        <v>1558</v>
      </c>
      <c r="M46" s="1689" t="s">
        <v>1559</v>
      </c>
      <c r="N46" s="1690" t="s">
        <v>1560</v>
      </c>
      <c r="O46" s="1689" t="s">
        <v>1561</v>
      </c>
      <c r="P46" s="1690" t="s">
        <v>1562</v>
      </c>
      <c r="Q46" s="1689" t="s">
        <v>1563</v>
      </c>
      <c r="R46" s="1690" t="s">
        <v>1564</v>
      </c>
      <c r="S46" s="1689" t="s">
        <v>1565</v>
      </c>
      <c r="T46" s="1690" t="s">
        <v>1566</v>
      </c>
      <c r="U46" s="1689" t="s">
        <v>1567</v>
      </c>
      <c r="V46" s="1690" t="s">
        <v>1568</v>
      </c>
      <c r="W46" s="1689" t="s">
        <v>1569</v>
      </c>
      <c r="X46" s="1690" t="s">
        <v>1570</v>
      </c>
      <c r="Y46" s="1689" t="s">
        <v>1571</v>
      </c>
      <c r="Z46" s="1690" t="s">
        <v>1572</v>
      </c>
      <c r="AA46" s="1689" t="s">
        <v>1573</v>
      </c>
      <c r="AB46" s="1690" t="s">
        <v>1574</v>
      </c>
      <c r="AC46" s="1689" t="s">
        <v>1575</v>
      </c>
      <c r="AD46" s="1690" t="s">
        <v>1576</v>
      </c>
      <c r="AE46" s="1689" t="s">
        <v>1577</v>
      </c>
      <c r="AF46" s="1690" t="s">
        <v>1578</v>
      </c>
      <c r="AG46" s="1689" t="s">
        <v>1579</v>
      </c>
      <c r="AH46" s="1690" t="s">
        <v>1580</v>
      </c>
      <c r="AI46" s="1689" t="s">
        <v>1581</v>
      </c>
      <c r="AJ46" s="1690" t="s">
        <v>1582</v>
      </c>
      <c r="AK46" s="1689" t="s">
        <v>1583</v>
      </c>
      <c r="AL46" s="1690" t="s">
        <v>1584</v>
      </c>
      <c r="AM46" s="1689" t="s">
        <v>1585</v>
      </c>
      <c r="AN46" s="1756" t="s">
        <v>1586</v>
      </c>
      <c r="AO46" s="1793" t="s">
        <v>1587</v>
      </c>
      <c r="AP46" s="1693" t="s">
        <v>1588</v>
      </c>
      <c r="AQ46" s="1694" t="s">
        <v>1589</v>
      </c>
      <c r="AR46" s="1690" t="s">
        <v>1590</v>
      </c>
      <c r="AS46" s="1694" t="s">
        <v>1591</v>
      </c>
      <c r="AT46" s="1690" t="s">
        <v>1592</v>
      </c>
      <c r="AU46" s="1794" t="s">
        <v>1593</v>
      </c>
      <c r="AV46" s="1794" t="s">
        <v>1594</v>
      </c>
      <c r="AW46" s="1794" t="s">
        <v>1595</v>
      </c>
      <c r="AX46" s="1794" t="s">
        <v>1596</v>
      </c>
      <c r="AY46" s="1794" t="s">
        <v>1597</v>
      </c>
      <c r="AZ46" s="1514" t="str">
        <f t="shared" si="30"/>
        <v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CC46" s="348" t="str">
        <f t="shared" si="52"/>
        <v xml:space="preserve">* La celda 'Gestantes' debe ser menor o igual al Total de Mujeres en control. </v>
      </c>
      <c r="CD46" s="348" t="str">
        <f t="shared" si="53"/>
        <v xml:space="preserve">* La celda 'Madres de Hijos menor de 5 años' debe ser menor o igual al Total de Mujeres en control. </v>
      </c>
      <c r="CE46" s="348" t="str">
        <f t="shared" si="41"/>
        <v xml:space="preserve">* La celda 'Pueblos Originarios / Hombres' debe ser menor o igual al Total de Hombres en control. </v>
      </c>
      <c r="CF46" s="348" t="str">
        <f t="shared" si="3"/>
        <v xml:space="preserve">* La celda 'Pueblos Originarios / Mujeres' debe ser menor o igual al Total de Mujeres en control. </v>
      </c>
      <c r="CG46" s="348" t="str">
        <f t="shared" si="42"/>
        <v xml:space="preserve">* La celda 'Población Migrantes / Hombres' debe ser menor o igual al Total de Hombres en control. </v>
      </c>
      <c r="CH46" s="348" t="str">
        <f t="shared" si="5"/>
        <v xml:space="preserve">* La celda 'Población Migrantes / Mujeres' debe ser menor o igual al Total de Mujeres en control. </v>
      </c>
      <c r="CI46" s="348" t="str">
        <f t="shared" si="6"/>
        <v xml:space="preserve">* La celda 'Niños, Niñas, Adolescentes y Jóvenes de Población SENAME' debe ser menor o igual al Total de Ambos Sexos. </v>
      </c>
      <c r="CJ46" s="348" t="str">
        <f t="shared" si="7"/>
        <v xml:space="preserve">* La celda 'Niños, Niñas, Adolescentes y Jóvenes Mejor Niñez' debe ser menor o igual al Total de Ambos Sexos. </v>
      </c>
      <c r="CK46" s="348" t="str">
        <f t="shared" si="8"/>
        <v xml:space="preserve">* La celda 'Plan Cuidado Integral Elaborado' debe ser menor o igual al Total de Personas en control. </v>
      </c>
      <c r="CL46" s="348" t="str">
        <f t="shared" si="43"/>
        <v xml:space="preserve"> * La variable Trans Masculino no debe ser mayor al Total Mujeres.</v>
      </c>
      <c r="CM46" s="348" t="str">
        <f t="shared" si="44"/>
        <v xml:space="preserve"> * La variable Trans Femenino no debe ser mayor al Total Hombre.</v>
      </c>
      <c r="CN46" s="354"/>
      <c r="CO46" s="348" t="str">
        <f t="shared" si="56"/>
        <v/>
      </c>
      <c r="CP46" s="348" t="str">
        <f t="shared" si="57"/>
        <v/>
      </c>
      <c r="CQ46" s="348" t="str">
        <f t="shared" si="35"/>
        <v/>
      </c>
      <c r="CR46" s="348" t="str">
        <f t="shared" si="36"/>
        <v/>
      </c>
      <c r="CS46" s="348" t="str">
        <f t="shared" si="37"/>
        <v/>
      </c>
      <c r="CT46" s="348" t="str">
        <f t="shared" si="38"/>
        <v/>
      </c>
      <c r="CU46" s="348" t="str">
        <f t="shared" si="9"/>
        <v/>
      </c>
      <c r="CV46" s="348" t="str">
        <f t="shared" si="10"/>
        <v/>
      </c>
      <c r="CW46" s="348" t="str">
        <f t="shared" si="11"/>
        <v/>
      </c>
      <c r="DB46" s="358">
        <f t="shared" si="54"/>
        <v>1</v>
      </c>
      <c r="DC46" s="358">
        <f t="shared" si="55"/>
        <v>1</v>
      </c>
      <c r="DD46" s="358">
        <f t="shared" si="45"/>
        <v>1</v>
      </c>
      <c r="DE46" s="358">
        <f t="shared" si="15"/>
        <v>1</v>
      </c>
      <c r="DF46" s="358">
        <f t="shared" si="46"/>
        <v>1</v>
      </c>
      <c r="DG46" s="358">
        <f t="shared" si="17"/>
        <v>1</v>
      </c>
      <c r="DH46" s="358">
        <f t="shared" si="18"/>
        <v>1</v>
      </c>
      <c r="DI46" s="358">
        <f t="shared" si="19"/>
        <v>1</v>
      </c>
      <c r="DJ46" s="358">
        <f t="shared" si="20"/>
        <v>1</v>
      </c>
      <c r="DL46" s="358">
        <f t="shared" si="21"/>
        <v>1</v>
      </c>
      <c r="DM46" s="358">
        <f t="shared" si="47"/>
        <v>1</v>
      </c>
      <c r="DO46" s="358">
        <f t="shared" si="58"/>
        <v>0</v>
      </c>
      <c r="DP46" s="358">
        <f t="shared" ref="DP46:DP47" si="61">IF(AND($F46&lt;&gt;0,$AP46=""),1,0)</f>
        <v>0</v>
      </c>
      <c r="DQ46" s="358">
        <f t="shared" si="48"/>
        <v>0</v>
      </c>
      <c r="DR46" s="358">
        <f t="shared" si="24"/>
        <v>0</v>
      </c>
      <c r="DS46" s="358">
        <f>IF(AND(E46&lt;&gt;0,AS46=""),1,0)</f>
        <v>0</v>
      </c>
      <c r="DT46" s="358">
        <f t="shared" si="26"/>
        <v>0</v>
      </c>
      <c r="DU46" s="358">
        <f t="shared" si="27"/>
        <v>0</v>
      </c>
      <c r="DV46" s="358">
        <f t="shared" si="28"/>
        <v>0</v>
      </c>
      <c r="DW46" s="358">
        <f t="shared" si="29"/>
        <v>0</v>
      </c>
      <c r="DX46" s="960"/>
    </row>
    <row r="47" spans="1:128" ht="18.600000000000001" customHeight="1" x14ac:dyDescent="0.3">
      <c r="A47" s="1637" t="s">
        <v>1309</v>
      </c>
      <c r="B47" s="2386" t="s">
        <v>229</v>
      </c>
      <c r="C47" s="2386"/>
      <c r="D47" s="1684" t="s">
        <v>1550</v>
      </c>
      <c r="E47" s="1685" t="s">
        <v>1551</v>
      </c>
      <c r="F47" s="1686" t="s">
        <v>1552</v>
      </c>
      <c r="G47" s="1697" t="s">
        <v>1553</v>
      </c>
      <c r="H47" s="1698" t="s">
        <v>1554</v>
      </c>
      <c r="I47" s="1697" t="s">
        <v>1555</v>
      </c>
      <c r="J47" s="1698" t="s">
        <v>1556</v>
      </c>
      <c r="K47" s="1697" t="s">
        <v>1557</v>
      </c>
      <c r="L47" s="1698" t="s">
        <v>1558</v>
      </c>
      <c r="M47" s="1697" t="s">
        <v>1559</v>
      </c>
      <c r="N47" s="1698" t="s">
        <v>1560</v>
      </c>
      <c r="O47" s="1697" t="s">
        <v>1561</v>
      </c>
      <c r="P47" s="1698" t="s">
        <v>1562</v>
      </c>
      <c r="Q47" s="1697" t="s">
        <v>1563</v>
      </c>
      <c r="R47" s="1698" t="s">
        <v>1564</v>
      </c>
      <c r="S47" s="1697" t="s">
        <v>1565</v>
      </c>
      <c r="T47" s="1698" t="s">
        <v>1566</v>
      </c>
      <c r="U47" s="1697" t="s">
        <v>1567</v>
      </c>
      <c r="V47" s="1698" t="s">
        <v>1568</v>
      </c>
      <c r="W47" s="1697" t="s">
        <v>1569</v>
      </c>
      <c r="X47" s="1698" t="s">
        <v>1570</v>
      </c>
      <c r="Y47" s="1697" t="s">
        <v>1571</v>
      </c>
      <c r="Z47" s="1698" t="s">
        <v>1572</v>
      </c>
      <c r="AA47" s="1697" t="s">
        <v>1573</v>
      </c>
      <c r="AB47" s="1698" t="s">
        <v>1574</v>
      </c>
      <c r="AC47" s="1697" t="s">
        <v>1575</v>
      </c>
      <c r="AD47" s="1698" t="s">
        <v>1576</v>
      </c>
      <c r="AE47" s="1697" t="s">
        <v>1577</v>
      </c>
      <c r="AF47" s="1698" t="s">
        <v>1578</v>
      </c>
      <c r="AG47" s="1697" t="s">
        <v>1579</v>
      </c>
      <c r="AH47" s="1698" t="s">
        <v>1580</v>
      </c>
      <c r="AI47" s="1697" t="s">
        <v>1581</v>
      </c>
      <c r="AJ47" s="1698" t="s">
        <v>1582</v>
      </c>
      <c r="AK47" s="1697" t="s">
        <v>1583</v>
      </c>
      <c r="AL47" s="1698" t="s">
        <v>1584</v>
      </c>
      <c r="AM47" s="1697" t="s">
        <v>1585</v>
      </c>
      <c r="AN47" s="1760" t="s">
        <v>1586</v>
      </c>
      <c r="AO47" s="1778" t="s">
        <v>1587</v>
      </c>
      <c r="AP47" s="1701" t="s">
        <v>1588</v>
      </c>
      <c r="AQ47" s="1702" t="s">
        <v>1589</v>
      </c>
      <c r="AR47" s="1698" t="s">
        <v>1590</v>
      </c>
      <c r="AS47" s="1702" t="s">
        <v>1591</v>
      </c>
      <c r="AT47" s="1698" t="s">
        <v>1592</v>
      </c>
      <c r="AU47" s="1779" t="s">
        <v>1593</v>
      </c>
      <c r="AV47" s="1779" t="s">
        <v>1594</v>
      </c>
      <c r="AW47" s="1779" t="s">
        <v>1595</v>
      </c>
      <c r="AX47" s="1779" t="s">
        <v>1596</v>
      </c>
      <c r="AY47" s="1779" t="s">
        <v>1597</v>
      </c>
      <c r="AZ47" s="1514" t="str">
        <f t="shared" si="30"/>
        <v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CC47" s="348" t="str">
        <f t="shared" si="52"/>
        <v xml:space="preserve">* La celda 'Gestantes' debe ser menor o igual al Total de Mujeres en control. </v>
      </c>
      <c r="CD47" s="348" t="str">
        <f t="shared" si="53"/>
        <v xml:space="preserve">* La celda 'Madres de Hijos menor de 5 años' debe ser menor o igual al Total de Mujeres en control. </v>
      </c>
      <c r="CE47" s="348" t="str">
        <f t="shared" si="41"/>
        <v xml:space="preserve">* La celda 'Pueblos Originarios / Hombres' debe ser menor o igual al Total de Hombres en control. </v>
      </c>
      <c r="CF47" s="348" t="str">
        <f t="shared" si="3"/>
        <v xml:space="preserve">* La celda 'Pueblos Originarios / Mujeres' debe ser menor o igual al Total de Mujeres en control. </v>
      </c>
      <c r="CG47" s="348" t="str">
        <f t="shared" si="42"/>
        <v xml:space="preserve">* La celda 'Población Migrantes / Hombres' debe ser menor o igual al Total de Hombres en control. </v>
      </c>
      <c r="CH47" s="348" t="str">
        <f t="shared" si="5"/>
        <v xml:space="preserve">* La celda 'Población Migrantes / Mujeres' debe ser menor o igual al Total de Mujeres en control. </v>
      </c>
      <c r="CI47" s="348" t="str">
        <f t="shared" si="6"/>
        <v xml:space="preserve">* La celda 'Niños, Niñas, Adolescentes y Jóvenes de Población SENAME' debe ser menor o igual al Total de Ambos Sexos. </v>
      </c>
      <c r="CJ47" s="348" t="str">
        <f t="shared" si="7"/>
        <v xml:space="preserve">* La celda 'Niños, Niñas, Adolescentes y Jóvenes Mejor Niñez' debe ser menor o igual al Total de Ambos Sexos. </v>
      </c>
      <c r="CK47" s="348" t="str">
        <f t="shared" si="8"/>
        <v xml:space="preserve">* La celda 'Plan Cuidado Integral Elaborado' debe ser menor o igual al Total de Personas en control. </v>
      </c>
      <c r="CL47" s="348" t="str">
        <f t="shared" si="43"/>
        <v xml:space="preserve"> * La variable Trans Masculino no debe ser mayor al Total Mujeres.</v>
      </c>
      <c r="CM47" s="348" t="str">
        <f t="shared" si="44"/>
        <v xml:space="preserve"> * La variable Trans Femenino no debe ser mayor al Total Hombre.</v>
      </c>
      <c r="CN47" s="354"/>
      <c r="CO47" s="348" t="str">
        <f t="shared" si="56"/>
        <v/>
      </c>
      <c r="CP47" s="348" t="str">
        <f t="shared" si="57"/>
        <v/>
      </c>
      <c r="CQ47" s="348" t="str">
        <f t="shared" si="35"/>
        <v/>
      </c>
      <c r="CR47" s="348" t="str">
        <f t="shared" si="36"/>
        <v/>
      </c>
      <c r="CS47" s="348" t="str">
        <f t="shared" si="37"/>
        <v/>
      </c>
      <c r="CT47" s="348" t="str">
        <f t="shared" si="38"/>
        <v/>
      </c>
      <c r="CU47" s="348" t="str">
        <f t="shared" si="9"/>
        <v/>
      </c>
      <c r="CV47" s="348" t="str">
        <f t="shared" si="10"/>
        <v/>
      </c>
      <c r="CW47" s="348" t="str">
        <f t="shared" si="11"/>
        <v/>
      </c>
      <c r="DB47" s="358">
        <f t="shared" si="54"/>
        <v>1</v>
      </c>
      <c r="DC47" s="358">
        <f t="shared" si="55"/>
        <v>1</v>
      </c>
      <c r="DD47" s="358">
        <f t="shared" si="45"/>
        <v>1</v>
      </c>
      <c r="DE47" s="358">
        <f t="shared" si="15"/>
        <v>1</v>
      </c>
      <c r="DF47" s="358">
        <f t="shared" si="46"/>
        <v>1</v>
      </c>
      <c r="DG47" s="358">
        <f t="shared" si="17"/>
        <v>1</v>
      </c>
      <c r="DH47" s="358">
        <f t="shared" si="18"/>
        <v>1</v>
      </c>
      <c r="DI47" s="358">
        <f t="shared" si="19"/>
        <v>1</v>
      </c>
      <c r="DJ47" s="358">
        <f t="shared" si="20"/>
        <v>1</v>
      </c>
      <c r="DL47" s="358">
        <f t="shared" si="21"/>
        <v>1</v>
      </c>
      <c r="DM47" s="358">
        <f t="shared" si="47"/>
        <v>1</v>
      </c>
      <c r="DO47" s="358">
        <f t="shared" si="58"/>
        <v>0</v>
      </c>
      <c r="DP47" s="358">
        <f t="shared" si="61"/>
        <v>0</v>
      </c>
      <c r="DQ47" s="358">
        <f t="shared" si="48"/>
        <v>0</v>
      </c>
      <c r="DR47" s="358">
        <f t="shared" si="24"/>
        <v>0</v>
      </c>
      <c r="DS47" s="358">
        <f>IF(AND(E47&lt;&gt;0,AS47=""),1,0)</f>
        <v>0</v>
      </c>
      <c r="DT47" s="358">
        <f t="shared" si="26"/>
        <v>0</v>
      </c>
      <c r="DU47" s="358">
        <f t="shared" si="27"/>
        <v>0</v>
      </c>
      <c r="DV47" s="358">
        <f t="shared" si="28"/>
        <v>0</v>
      </c>
      <c r="DW47" s="358">
        <f t="shared" si="29"/>
        <v>0</v>
      </c>
      <c r="DX47" s="960"/>
    </row>
    <row r="48" spans="1:128" ht="18.600000000000001" customHeight="1" x14ac:dyDescent="0.3">
      <c r="A48" s="1637" t="s">
        <v>1310</v>
      </c>
      <c r="B48" s="2387" t="s">
        <v>230</v>
      </c>
      <c r="C48" s="1143" t="s">
        <v>603</v>
      </c>
      <c r="D48" s="1713" t="s">
        <v>1550</v>
      </c>
      <c r="E48" s="1713" t="s">
        <v>1551</v>
      </c>
      <c r="F48" s="1714" t="s">
        <v>1552</v>
      </c>
      <c r="G48" s="1717" t="s">
        <v>1553</v>
      </c>
      <c r="H48" s="1718" t="s">
        <v>1554</v>
      </c>
      <c r="I48" s="1717" t="s">
        <v>1555</v>
      </c>
      <c r="J48" s="1718" t="s">
        <v>1556</v>
      </c>
      <c r="K48" s="1717" t="s">
        <v>1557</v>
      </c>
      <c r="L48" s="1718" t="s">
        <v>1558</v>
      </c>
      <c r="M48" s="1717" t="s">
        <v>1559</v>
      </c>
      <c r="N48" s="1718" t="s">
        <v>1560</v>
      </c>
      <c r="O48" s="1717" t="s">
        <v>1561</v>
      </c>
      <c r="P48" s="1718" t="s">
        <v>1562</v>
      </c>
      <c r="Q48" s="1717" t="s">
        <v>1563</v>
      </c>
      <c r="R48" s="1718" t="s">
        <v>1564</v>
      </c>
      <c r="S48" s="1717" t="s">
        <v>1565</v>
      </c>
      <c r="T48" s="1718" t="s">
        <v>1566</v>
      </c>
      <c r="U48" s="1717" t="s">
        <v>1567</v>
      </c>
      <c r="V48" s="1718" t="s">
        <v>1568</v>
      </c>
      <c r="W48" s="1717" t="s">
        <v>1569</v>
      </c>
      <c r="X48" s="1718" t="s">
        <v>1570</v>
      </c>
      <c r="Y48" s="1717" t="s">
        <v>1571</v>
      </c>
      <c r="Z48" s="1718" t="s">
        <v>1572</v>
      </c>
      <c r="AA48" s="1717" t="s">
        <v>1573</v>
      </c>
      <c r="AB48" s="1718" t="s">
        <v>1574</v>
      </c>
      <c r="AC48" s="1717" t="s">
        <v>1575</v>
      </c>
      <c r="AD48" s="1718" t="s">
        <v>1576</v>
      </c>
      <c r="AE48" s="1717" t="s">
        <v>1577</v>
      </c>
      <c r="AF48" s="1718" t="s">
        <v>1578</v>
      </c>
      <c r="AG48" s="1717" t="s">
        <v>1579</v>
      </c>
      <c r="AH48" s="1718" t="s">
        <v>1580</v>
      </c>
      <c r="AI48" s="1717" t="s">
        <v>1581</v>
      </c>
      <c r="AJ48" s="1718" t="s">
        <v>1582</v>
      </c>
      <c r="AK48" s="1717" t="s">
        <v>1583</v>
      </c>
      <c r="AL48" s="1718" t="s">
        <v>1584</v>
      </c>
      <c r="AM48" s="1717" t="s">
        <v>1585</v>
      </c>
      <c r="AN48" s="1811" t="s">
        <v>1586</v>
      </c>
      <c r="AO48" s="1791" t="s">
        <v>1587</v>
      </c>
      <c r="AP48" s="1710" t="s">
        <v>1588</v>
      </c>
      <c r="AQ48" s="1711" t="s">
        <v>1589</v>
      </c>
      <c r="AR48" s="1688" t="s">
        <v>1590</v>
      </c>
      <c r="AS48" s="1722" t="s">
        <v>1591</v>
      </c>
      <c r="AT48" s="1718" t="s">
        <v>1592</v>
      </c>
      <c r="AU48" s="1812" t="s">
        <v>1593</v>
      </c>
      <c r="AV48" s="1812" t="s">
        <v>1594</v>
      </c>
      <c r="AW48" s="1812" t="s">
        <v>1595</v>
      </c>
      <c r="AX48" s="1812" t="s">
        <v>1596</v>
      </c>
      <c r="AY48" s="1812" t="s">
        <v>1597</v>
      </c>
      <c r="AZ48" s="1514" t="str">
        <f t="shared" si="30"/>
        <v>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CC48" s="354"/>
      <c r="CD48" s="354"/>
      <c r="CE48" s="354"/>
      <c r="CF48" s="354"/>
      <c r="CG48" s="354"/>
      <c r="CH48" s="354"/>
      <c r="CI48" s="354"/>
      <c r="CJ48" s="348" t="str">
        <f t="shared" si="7"/>
        <v xml:space="preserve">* La celda 'Niños, Niñas, Adolescentes y Jóvenes Mejor Niñez' debe ser menor o igual al Total de Ambos Sexos. </v>
      </c>
      <c r="CK48" s="348" t="str">
        <f t="shared" si="8"/>
        <v xml:space="preserve">* La celda 'Plan Cuidado Integral Elaborado' debe ser menor o igual al Total de Personas en control. </v>
      </c>
      <c r="CL48" s="348" t="str">
        <f t="shared" si="43"/>
        <v xml:space="preserve"> * La variable Trans Masculino no debe ser mayor al Total Mujeres.</v>
      </c>
      <c r="CM48" s="348" t="str">
        <f t="shared" si="44"/>
        <v xml:space="preserve"> * La variable Trans Femenino no debe ser mayor al Total Hombre.</v>
      </c>
      <c r="CN48" s="354"/>
      <c r="CO48" s="354"/>
      <c r="CP48" s="354"/>
      <c r="CQ48" s="354"/>
      <c r="CR48" s="354"/>
      <c r="CS48" s="354"/>
      <c r="CT48" s="354"/>
      <c r="CU48" s="354"/>
      <c r="CV48" s="348" t="str">
        <f t="shared" si="10"/>
        <v/>
      </c>
      <c r="CW48" s="348" t="str">
        <f t="shared" si="11"/>
        <v/>
      </c>
      <c r="DB48" s="352"/>
      <c r="DC48" s="352"/>
      <c r="DD48" s="352"/>
      <c r="DE48" s="352"/>
      <c r="DF48" s="352"/>
      <c r="DG48" s="352"/>
      <c r="DH48" s="352"/>
      <c r="DI48" s="358">
        <f t="shared" si="19"/>
        <v>1</v>
      </c>
      <c r="DJ48" s="358">
        <f t="shared" si="20"/>
        <v>1</v>
      </c>
      <c r="DL48" s="358">
        <f t="shared" si="21"/>
        <v>1</v>
      </c>
      <c r="DM48" s="358">
        <f t="shared" si="47"/>
        <v>1</v>
      </c>
      <c r="DO48" s="352"/>
      <c r="DP48" s="352"/>
      <c r="DQ48" s="352"/>
      <c r="DR48" s="352"/>
      <c r="DS48" s="352"/>
      <c r="DT48" s="352"/>
      <c r="DU48" s="352"/>
      <c r="DV48" s="358">
        <f t="shared" si="28"/>
        <v>0</v>
      </c>
      <c r="DW48" s="358">
        <f t="shared" si="29"/>
        <v>0</v>
      </c>
      <c r="DX48" s="960"/>
    </row>
    <row r="49" spans="1:128" ht="18.600000000000001" customHeight="1" x14ac:dyDescent="0.3">
      <c r="A49" s="1637" t="s">
        <v>1311</v>
      </c>
      <c r="B49" s="2388"/>
      <c r="C49" s="1144" t="s">
        <v>604</v>
      </c>
      <c r="D49" s="1740" t="s">
        <v>1550</v>
      </c>
      <c r="E49" s="1740" t="s">
        <v>1551</v>
      </c>
      <c r="F49" s="1741" t="s">
        <v>1552</v>
      </c>
      <c r="G49" s="1731" t="s">
        <v>1553</v>
      </c>
      <c r="H49" s="1732" t="s">
        <v>1554</v>
      </c>
      <c r="I49" s="1731" t="s">
        <v>1555</v>
      </c>
      <c r="J49" s="1732" t="s">
        <v>1556</v>
      </c>
      <c r="K49" s="1731" t="s">
        <v>1557</v>
      </c>
      <c r="L49" s="1732" t="s">
        <v>1558</v>
      </c>
      <c r="M49" s="1731" t="s">
        <v>1559</v>
      </c>
      <c r="N49" s="1732" t="s">
        <v>1560</v>
      </c>
      <c r="O49" s="1731" t="s">
        <v>1561</v>
      </c>
      <c r="P49" s="1732" t="s">
        <v>1562</v>
      </c>
      <c r="Q49" s="1731" t="s">
        <v>1563</v>
      </c>
      <c r="R49" s="1732" t="s">
        <v>1564</v>
      </c>
      <c r="S49" s="1731" t="s">
        <v>1565</v>
      </c>
      <c r="T49" s="1732" t="s">
        <v>1566</v>
      </c>
      <c r="U49" s="1731" t="s">
        <v>1567</v>
      </c>
      <c r="V49" s="1732" t="s">
        <v>1568</v>
      </c>
      <c r="W49" s="1731" t="s">
        <v>1569</v>
      </c>
      <c r="X49" s="1732" t="s">
        <v>1570</v>
      </c>
      <c r="Y49" s="1731" t="s">
        <v>1571</v>
      </c>
      <c r="Z49" s="1732" t="s">
        <v>1572</v>
      </c>
      <c r="AA49" s="1731" t="s">
        <v>1573</v>
      </c>
      <c r="AB49" s="1732" t="s">
        <v>1574</v>
      </c>
      <c r="AC49" s="1731" t="s">
        <v>1575</v>
      </c>
      <c r="AD49" s="1732" t="s">
        <v>1576</v>
      </c>
      <c r="AE49" s="1731" t="s">
        <v>1577</v>
      </c>
      <c r="AF49" s="1732" t="s">
        <v>1578</v>
      </c>
      <c r="AG49" s="1731" t="s">
        <v>1579</v>
      </c>
      <c r="AH49" s="1732" t="s">
        <v>1580</v>
      </c>
      <c r="AI49" s="1731" t="s">
        <v>1581</v>
      </c>
      <c r="AJ49" s="1732" t="s">
        <v>1582</v>
      </c>
      <c r="AK49" s="1731" t="s">
        <v>1583</v>
      </c>
      <c r="AL49" s="1732" t="s">
        <v>1584</v>
      </c>
      <c r="AM49" s="1731" t="s">
        <v>1585</v>
      </c>
      <c r="AN49" s="1798" t="s">
        <v>1586</v>
      </c>
      <c r="AO49" s="1793" t="s">
        <v>1587</v>
      </c>
      <c r="AP49" s="1693" t="s">
        <v>1588</v>
      </c>
      <c r="AQ49" s="1694" t="s">
        <v>1589</v>
      </c>
      <c r="AR49" s="1690" t="s">
        <v>1590</v>
      </c>
      <c r="AS49" s="1736" t="s">
        <v>1591</v>
      </c>
      <c r="AT49" s="1732" t="s">
        <v>1592</v>
      </c>
      <c r="AU49" s="1800" t="s">
        <v>1593</v>
      </c>
      <c r="AV49" s="1800" t="s">
        <v>1594</v>
      </c>
      <c r="AW49" s="1800" t="s">
        <v>1595</v>
      </c>
      <c r="AX49" s="1800" t="s">
        <v>1596</v>
      </c>
      <c r="AY49" s="1800" t="s">
        <v>1597</v>
      </c>
      <c r="AZ49" s="1514" t="str">
        <f t="shared" si="30"/>
        <v>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CC49" s="354"/>
      <c r="CD49" s="354"/>
      <c r="CE49" s="354"/>
      <c r="CF49" s="354"/>
      <c r="CG49" s="354"/>
      <c r="CH49" s="354"/>
      <c r="CI49" s="354"/>
      <c r="CJ49" s="348" t="str">
        <f t="shared" si="7"/>
        <v xml:space="preserve">* La celda 'Niños, Niñas, Adolescentes y Jóvenes Mejor Niñez' debe ser menor o igual al Total de Ambos Sexos. </v>
      </c>
      <c r="CK49" s="348" t="str">
        <f t="shared" si="8"/>
        <v xml:space="preserve">* La celda 'Plan Cuidado Integral Elaborado' debe ser menor o igual al Total de Personas en control. </v>
      </c>
      <c r="CL49" s="348" t="str">
        <f>IF(AND(F49&gt;0,OR(AX49=""))," * No olvide digitar la variable Trans Masculino. (Digite Cero si no tiene).",IF(AX49&gt;F49," * La variable Trans Masculino no debe ser mayor al Total Mujeres.",""))</f>
        <v xml:space="preserve"> * La variable Trans Masculino no debe ser mayor al Total Mujeres.</v>
      </c>
      <c r="CM49" s="348" t="str">
        <f t="shared" si="44"/>
        <v xml:space="preserve"> * La variable Trans Femenino no debe ser mayor al Total Hombre.</v>
      </c>
      <c r="CN49" s="354"/>
      <c r="CO49" s="354"/>
      <c r="CP49" s="354"/>
      <c r="CQ49" s="354"/>
      <c r="CR49" s="354"/>
      <c r="CS49" s="354"/>
      <c r="CT49" s="354"/>
      <c r="CU49" s="354"/>
      <c r="CV49" s="348" t="str">
        <f t="shared" si="10"/>
        <v/>
      </c>
      <c r="CW49" s="348" t="str">
        <f t="shared" si="11"/>
        <v/>
      </c>
      <c r="DB49" s="352"/>
      <c r="DC49" s="352"/>
      <c r="DD49" s="352"/>
      <c r="DE49" s="352"/>
      <c r="DF49" s="352"/>
      <c r="DG49" s="352"/>
      <c r="DH49" s="352"/>
      <c r="DI49" s="358">
        <f t="shared" si="19"/>
        <v>1</v>
      </c>
      <c r="DJ49" s="358">
        <f t="shared" si="20"/>
        <v>1</v>
      </c>
      <c r="DL49" s="358">
        <f t="shared" si="21"/>
        <v>1</v>
      </c>
      <c r="DM49" s="358">
        <f t="shared" si="47"/>
        <v>1</v>
      </c>
      <c r="DO49" s="352"/>
      <c r="DP49" s="352"/>
      <c r="DQ49" s="352"/>
      <c r="DR49" s="352"/>
      <c r="DS49" s="352"/>
      <c r="DT49" s="352"/>
      <c r="DU49" s="352"/>
      <c r="DV49" s="358">
        <f t="shared" si="28"/>
        <v>0</v>
      </c>
      <c r="DW49" s="358">
        <f t="shared" si="29"/>
        <v>0</v>
      </c>
      <c r="DX49" s="960"/>
    </row>
    <row r="50" spans="1:128" ht="18.600000000000001" customHeight="1" x14ac:dyDescent="0.3">
      <c r="A50" s="1637" t="s">
        <v>1312</v>
      </c>
      <c r="B50" s="2388"/>
      <c r="C50" s="1144" t="s">
        <v>605</v>
      </c>
      <c r="D50" s="1740" t="s">
        <v>1550</v>
      </c>
      <c r="E50" s="1740" t="s">
        <v>1551</v>
      </c>
      <c r="F50" s="1741" t="s">
        <v>1552</v>
      </c>
      <c r="G50" s="1731" t="s">
        <v>1553</v>
      </c>
      <c r="H50" s="1732" t="s">
        <v>1554</v>
      </c>
      <c r="I50" s="1731" t="s">
        <v>1555</v>
      </c>
      <c r="J50" s="1732" t="s">
        <v>1556</v>
      </c>
      <c r="K50" s="1731" t="s">
        <v>1557</v>
      </c>
      <c r="L50" s="1732" t="s">
        <v>1558</v>
      </c>
      <c r="M50" s="1731" t="s">
        <v>1559</v>
      </c>
      <c r="N50" s="1732" t="s">
        <v>1560</v>
      </c>
      <c r="O50" s="1731" t="s">
        <v>1561</v>
      </c>
      <c r="P50" s="1732" t="s">
        <v>1562</v>
      </c>
      <c r="Q50" s="1731" t="s">
        <v>1563</v>
      </c>
      <c r="R50" s="1732" t="s">
        <v>1564</v>
      </c>
      <c r="S50" s="1731" t="s">
        <v>1565</v>
      </c>
      <c r="T50" s="1732" t="s">
        <v>1566</v>
      </c>
      <c r="U50" s="1731" t="s">
        <v>1567</v>
      </c>
      <c r="V50" s="1732" t="s">
        <v>1568</v>
      </c>
      <c r="W50" s="1731" t="s">
        <v>1569</v>
      </c>
      <c r="X50" s="1732" t="s">
        <v>1570</v>
      </c>
      <c r="Y50" s="1731" t="s">
        <v>1571</v>
      </c>
      <c r="Z50" s="1732" t="s">
        <v>1572</v>
      </c>
      <c r="AA50" s="1731" t="s">
        <v>1573</v>
      </c>
      <c r="AB50" s="1732" t="s">
        <v>1574</v>
      </c>
      <c r="AC50" s="1731" t="s">
        <v>1575</v>
      </c>
      <c r="AD50" s="1732" t="s">
        <v>1576</v>
      </c>
      <c r="AE50" s="1731" t="s">
        <v>1577</v>
      </c>
      <c r="AF50" s="1732" t="s">
        <v>1578</v>
      </c>
      <c r="AG50" s="1731" t="s">
        <v>1579</v>
      </c>
      <c r="AH50" s="1732" t="s">
        <v>1580</v>
      </c>
      <c r="AI50" s="1731" t="s">
        <v>1581</v>
      </c>
      <c r="AJ50" s="1732" t="s">
        <v>1582</v>
      </c>
      <c r="AK50" s="1731" t="s">
        <v>1583</v>
      </c>
      <c r="AL50" s="1732" t="s">
        <v>1584</v>
      </c>
      <c r="AM50" s="1731" t="s">
        <v>1585</v>
      </c>
      <c r="AN50" s="1798" t="s">
        <v>1586</v>
      </c>
      <c r="AO50" s="1793" t="s">
        <v>1587</v>
      </c>
      <c r="AP50" s="1693" t="s">
        <v>1588</v>
      </c>
      <c r="AQ50" s="1694" t="s">
        <v>1589</v>
      </c>
      <c r="AR50" s="1690" t="s">
        <v>1590</v>
      </c>
      <c r="AS50" s="1736" t="s">
        <v>1591</v>
      </c>
      <c r="AT50" s="1732" t="s">
        <v>1592</v>
      </c>
      <c r="AU50" s="1800" t="s">
        <v>1593</v>
      </c>
      <c r="AV50" s="1800" t="s">
        <v>1594</v>
      </c>
      <c r="AW50" s="1800" t="s">
        <v>1595</v>
      </c>
      <c r="AX50" s="1800" t="s">
        <v>1596</v>
      </c>
      <c r="AY50" s="1800" t="s">
        <v>1597</v>
      </c>
      <c r="AZ50" s="1514" t="str">
        <f t="shared" si="30"/>
        <v>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CC50" s="354"/>
      <c r="CD50" s="354"/>
      <c r="CE50" s="354"/>
      <c r="CF50" s="354"/>
      <c r="CG50" s="354"/>
      <c r="CH50" s="354"/>
      <c r="CI50" s="354"/>
      <c r="CJ50" s="348" t="str">
        <f t="shared" si="7"/>
        <v xml:space="preserve">* La celda 'Niños, Niñas, Adolescentes y Jóvenes Mejor Niñez' debe ser menor o igual al Total de Ambos Sexos. </v>
      </c>
      <c r="CK50" s="348" t="str">
        <f t="shared" si="8"/>
        <v xml:space="preserve">* La celda 'Plan Cuidado Integral Elaborado' debe ser menor o igual al Total de Personas en control. </v>
      </c>
      <c r="CL50" s="348" t="str">
        <f t="shared" si="43"/>
        <v xml:space="preserve"> * La variable Trans Masculino no debe ser mayor al Total Mujeres.</v>
      </c>
      <c r="CM50" s="348" t="str">
        <f t="shared" si="44"/>
        <v xml:space="preserve"> * La variable Trans Femenino no debe ser mayor al Total Hombre.</v>
      </c>
      <c r="CN50" s="354"/>
      <c r="CO50" s="354"/>
      <c r="CP50" s="354"/>
      <c r="CQ50" s="354"/>
      <c r="CR50" s="354"/>
      <c r="CS50" s="354"/>
      <c r="CT50" s="354"/>
      <c r="CU50" s="354"/>
      <c r="CV50" s="348" t="str">
        <f t="shared" si="10"/>
        <v/>
      </c>
      <c r="CW50" s="348" t="str">
        <f t="shared" si="11"/>
        <v/>
      </c>
      <c r="DB50" s="352"/>
      <c r="DC50" s="352"/>
      <c r="DD50" s="352"/>
      <c r="DE50" s="352"/>
      <c r="DF50" s="352"/>
      <c r="DG50" s="352"/>
      <c r="DH50" s="352"/>
      <c r="DI50" s="358">
        <f t="shared" si="19"/>
        <v>1</v>
      </c>
      <c r="DJ50" s="358">
        <f t="shared" si="20"/>
        <v>1</v>
      </c>
      <c r="DL50" s="358">
        <f t="shared" si="21"/>
        <v>1</v>
      </c>
      <c r="DM50" s="358">
        <f t="shared" si="47"/>
        <v>1</v>
      </c>
      <c r="DO50" s="352"/>
      <c r="DP50" s="352"/>
      <c r="DQ50" s="352"/>
      <c r="DR50" s="352"/>
      <c r="DS50" s="352"/>
      <c r="DT50" s="352"/>
      <c r="DU50" s="352"/>
      <c r="DV50" s="358">
        <f t="shared" si="28"/>
        <v>0</v>
      </c>
      <c r="DW50" s="358">
        <f t="shared" si="29"/>
        <v>0</v>
      </c>
      <c r="DX50" s="960"/>
    </row>
    <row r="51" spans="1:128" ht="18.600000000000001" customHeight="1" x14ac:dyDescent="0.3">
      <c r="A51" s="1637" t="s">
        <v>1313</v>
      </c>
      <c r="B51" s="2388"/>
      <c r="C51" s="1144" t="s">
        <v>606</v>
      </c>
      <c r="D51" s="1740" t="s">
        <v>1550</v>
      </c>
      <c r="E51" s="1740" t="s">
        <v>1551</v>
      </c>
      <c r="F51" s="1741" t="s">
        <v>1552</v>
      </c>
      <c r="G51" s="1731" t="s">
        <v>1553</v>
      </c>
      <c r="H51" s="1732" t="s">
        <v>1554</v>
      </c>
      <c r="I51" s="1731" t="s">
        <v>1555</v>
      </c>
      <c r="J51" s="1732" t="s">
        <v>1556</v>
      </c>
      <c r="K51" s="1731" t="s">
        <v>1557</v>
      </c>
      <c r="L51" s="1732" t="s">
        <v>1558</v>
      </c>
      <c r="M51" s="1731" t="s">
        <v>1559</v>
      </c>
      <c r="N51" s="1732" t="s">
        <v>1560</v>
      </c>
      <c r="O51" s="1731" t="s">
        <v>1561</v>
      </c>
      <c r="P51" s="1732" t="s">
        <v>1562</v>
      </c>
      <c r="Q51" s="1731" t="s">
        <v>1563</v>
      </c>
      <c r="R51" s="1732" t="s">
        <v>1564</v>
      </c>
      <c r="S51" s="1731" t="s">
        <v>1565</v>
      </c>
      <c r="T51" s="1732" t="s">
        <v>1566</v>
      </c>
      <c r="U51" s="1731" t="s">
        <v>1567</v>
      </c>
      <c r="V51" s="1732" t="s">
        <v>1568</v>
      </c>
      <c r="W51" s="1731" t="s">
        <v>1569</v>
      </c>
      <c r="X51" s="1732" t="s">
        <v>1570</v>
      </c>
      <c r="Y51" s="1731" t="s">
        <v>1571</v>
      </c>
      <c r="Z51" s="1732" t="s">
        <v>1572</v>
      </c>
      <c r="AA51" s="1731" t="s">
        <v>1573</v>
      </c>
      <c r="AB51" s="1732" t="s">
        <v>1574</v>
      </c>
      <c r="AC51" s="1731" t="s">
        <v>1575</v>
      </c>
      <c r="AD51" s="1732" t="s">
        <v>1576</v>
      </c>
      <c r="AE51" s="1731" t="s">
        <v>1577</v>
      </c>
      <c r="AF51" s="1732" t="s">
        <v>1578</v>
      </c>
      <c r="AG51" s="1731" t="s">
        <v>1579</v>
      </c>
      <c r="AH51" s="1732" t="s">
        <v>1580</v>
      </c>
      <c r="AI51" s="1731" t="s">
        <v>1581</v>
      </c>
      <c r="AJ51" s="1732" t="s">
        <v>1582</v>
      </c>
      <c r="AK51" s="1731" t="s">
        <v>1583</v>
      </c>
      <c r="AL51" s="1732" t="s">
        <v>1584</v>
      </c>
      <c r="AM51" s="1731" t="s">
        <v>1585</v>
      </c>
      <c r="AN51" s="1798" t="s">
        <v>1586</v>
      </c>
      <c r="AO51" s="1793" t="s">
        <v>1587</v>
      </c>
      <c r="AP51" s="1693" t="s">
        <v>1588</v>
      </c>
      <c r="AQ51" s="1694" t="s">
        <v>1589</v>
      </c>
      <c r="AR51" s="1690" t="s">
        <v>1590</v>
      </c>
      <c r="AS51" s="1736" t="s">
        <v>1591</v>
      </c>
      <c r="AT51" s="1732" t="s">
        <v>1592</v>
      </c>
      <c r="AU51" s="1800" t="s">
        <v>1593</v>
      </c>
      <c r="AV51" s="1800" t="s">
        <v>1594</v>
      </c>
      <c r="AW51" s="1800" t="s">
        <v>1595</v>
      </c>
      <c r="AX51" s="1800" t="s">
        <v>1596</v>
      </c>
      <c r="AY51" s="1800" t="s">
        <v>1597</v>
      </c>
      <c r="AZ51" s="1514" t="str">
        <f t="shared" si="30"/>
        <v>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CC51" s="354"/>
      <c r="CD51" s="354"/>
      <c r="CE51" s="354"/>
      <c r="CF51" s="354"/>
      <c r="CG51" s="354"/>
      <c r="CH51" s="354"/>
      <c r="CI51" s="354"/>
      <c r="CJ51" s="348" t="str">
        <f t="shared" si="7"/>
        <v xml:space="preserve">* La celda 'Niños, Niñas, Adolescentes y Jóvenes Mejor Niñez' debe ser menor o igual al Total de Ambos Sexos. </v>
      </c>
      <c r="CK51" s="348" t="str">
        <f t="shared" si="8"/>
        <v xml:space="preserve">* La celda 'Plan Cuidado Integral Elaborado' debe ser menor o igual al Total de Personas en control. </v>
      </c>
      <c r="CL51" s="348" t="str">
        <f t="shared" si="43"/>
        <v xml:space="preserve"> * La variable Trans Masculino no debe ser mayor al Total Mujeres.</v>
      </c>
      <c r="CM51" s="348" t="str">
        <f t="shared" si="44"/>
        <v xml:space="preserve"> * La variable Trans Femenino no debe ser mayor al Total Hombre.</v>
      </c>
      <c r="CN51" s="354"/>
      <c r="CO51" s="354"/>
      <c r="CP51" s="354"/>
      <c r="CQ51" s="354"/>
      <c r="CR51" s="354"/>
      <c r="CS51" s="354"/>
      <c r="CT51" s="354"/>
      <c r="CU51" s="354"/>
      <c r="CV51" s="348" t="str">
        <f t="shared" si="10"/>
        <v/>
      </c>
      <c r="CW51" s="348" t="str">
        <f t="shared" si="11"/>
        <v/>
      </c>
      <c r="DB51" s="352"/>
      <c r="DC51" s="352"/>
      <c r="DD51" s="352"/>
      <c r="DE51" s="352"/>
      <c r="DF51" s="352"/>
      <c r="DG51" s="352"/>
      <c r="DH51" s="352"/>
      <c r="DI51" s="358">
        <f t="shared" si="19"/>
        <v>1</v>
      </c>
      <c r="DJ51" s="358">
        <f t="shared" si="20"/>
        <v>1</v>
      </c>
      <c r="DL51" s="358">
        <f t="shared" si="21"/>
        <v>1</v>
      </c>
      <c r="DM51" s="358">
        <f t="shared" si="47"/>
        <v>1</v>
      </c>
      <c r="DO51" s="352"/>
      <c r="DP51" s="352"/>
      <c r="DQ51" s="352"/>
      <c r="DR51" s="352"/>
      <c r="DS51" s="352"/>
      <c r="DT51" s="352"/>
      <c r="DU51" s="352"/>
      <c r="DV51" s="358">
        <f t="shared" si="28"/>
        <v>0</v>
      </c>
      <c r="DW51" s="358">
        <f t="shared" si="29"/>
        <v>0</v>
      </c>
      <c r="DX51" s="960"/>
    </row>
    <row r="52" spans="1:128" ht="18.600000000000001" customHeight="1" x14ac:dyDescent="0.3">
      <c r="A52" s="1637" t="s">
        <v>1314</v>
      </c>
      <c r="B52" s="2389"/>
      <c r="C52" s="1145" t="s">
        <v>607</v>
      </c>
      <c r="D52" s="1684" t="s">
        <v>1550</v>
      </c>
      <c r="E52" s="1685" t="s">
        <v>1551</v>
      </c>
      <c r="F52" s="1686" t="s">
        <v>1552</v>
      </c>
      <c r="G52" s="1697" t="s">
        <v>1553</v>
      </c>
      <c r="H52" s="1698" t="s">
        <v>1554</v>
      </c>
      <c r="I52" s="1697" t="s">
        <v>1555</v>
      </c>
      <c r="J52" s="1698" t="s">
        <v>1556</v>
      </c>
      <c r="K52" s="1697" t="s">
        <v>1557</v>
      </c>
      <c r="L52" s="1698" t="s">
        <v>1558</v>
      </c>
      <c r="M52" s="1697" t="s">
        <v>1559</v>
      </c>
      <c r="N52" s="1698" t="s">
        <v>1560</v>
      </c>
      <c r="O52" s="1697" t="s">
        <v>1561</v>
      </c>
      <c r="P52" s="1698" t="s">
        <v>1562</v>
      </c>
      <c r="Q52" s="1697" t="s">
        <v>1563</v>
      </c>
      <c r="R52" s="1698" t="s">
        <v>1564</v>
      </c>
      <c r="S52" s="1697" t="s">
        <v>1565</v>
      </c>
      <c r="T52" s="1698" t="s">
        <v>1566</v>
      </c>
      <c r="U52" s="1697" t="s">
        <v>1567</v>
      </c>
      <c r="V52" s="1698" t="s">
        <v>1568</v>
      </c>
      <c r="W52" s="1697" t="s">
        <v>1569</v>
      </c>
      <c r="X52" s="1698" t="s">
        <v>1570</v>
      </c>
      <c r="Y52" s="1697" t="s">
        <v>1571</v>
      </c>
      <c r="Z52" s="1698" t="s">
        <v>1572</v>
      </c>
      <c r="AA52" s="1697" t="s">
        <v>1573</v>
      </c>
      <c r="AB52" s="1698" t="s">
        <v>1574</v>
      </c>
      <c r="AC52" s="1697" t="s">
        <v>1575</v>
      </c>
      <c r="AD52" s="1698" t="s">
        <v>1576</v>
      </c>
      <c r="AE52" s="1697" t="s">
        <v>1577</v>
      </c>
      <c r="AF52" s="1698" t="s">
        <v>1578</v>
      </c>
      <c r="AG52" s="1697" t="s">
        <v>1579</v>
      </c>
      <c r="AH52" s="1698" t="s">
        <v>1580</v>
      </c>
      <c r="AI52" s="1697" t="s">
        <v>1581</v>
      </c>
      <c r="AJ52" s="1698" t="s">
        <v>1582</v>
      </c>
      <c r="AK52" s="1697" t="s">
        <v>1583</v>
      </c>
      <c r="AL52" s="1698" t="s">
        <v>1584</v>
      </c>
      <c r="AM52" s="1697" t="s">
        <v>1585</v>
      </c>
      <c r="AN52" s="1760" t="s">
        <v>1586</v>
      </c>
      <c r="AO52" s="1778" t="s">
        <v>1587</v>
      </c>
      <c r="AP52" s="1701" t="s">
        <v>1588</v>
      </c>
      <c r="AQ52" s="1702" t="s">
        <v>1589</v>
      </c>
      <c r="AR52" s="1698" t="s">
        <v>1590</v>
      </c>
      <c r="AS52" s="1702" t="s">
        <v>1591</v>
      </c>
      <c r="AT52" s="1698" t="s">
        <v>1592</v>
      </c>
      <c r="AU52" s="1779" t="s">
        <v>1593</v>
      </c>
      <c r="AV52" s="1779" t="s">
        <v>1594</v>
      </c>
      <c r="AW52" s="1779" t="s">
        <v>1595</v>
      </c>
      <c r="AX52" s="1779" t="s">
        <v>1596</v>
      </c>
      <c r="AY52" s="1779" t="s">
        <v>1597</v>
      </c>
      <c r="AZ52" s="1514" t="str">
        <f t="shared" si="30"/>
        <v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CC52" s="348" t="str">
        <f t="shared" si="52"/>
        <v xml:space="preserve">* La celda 'Gestantes' debe ser menor o igual al Total de Mujeres en control. </v>
      </c>
      <c r="CD52" s="348" t="str">
        <f t="shared" si="53"/>
        <v xml:space="preserve">* La celda 'Madres de Hijos menor de 5 años' debe ser menor o igual al Total de Mujeres en control. </v>
      </c>
      <c r="CE52" s="348" t="str">
        <f t="shared" si="41"/>
        <v xml:space="preserve">* La celda 'Pueblos Originarios / Hombres' debe ser menor o igual al Total de Hombres en control. </v>
      </c>
      <c r="CF52" s="348" t="str">
        <f t="shared" si="3"/>
        <v xml:space="preserve">* La celda 'Pueblos Originarios / Mujeres' debe ser menor o igual al Total de Mujeres en control. </v>
      </c>
      <c r="CG52" s="348" t="str">
        <f t="shared" si="42"/>
        <v xml:space="preserve">* La celda 'Población Migrantes / Hombres' debe ser menor o igual al Total de Hombres en control. </v>
      </c>
      <c r="CH52" s="348" t="str">
        <f t="shared" si="5"/>
        <v xml:space="preserve">* La celda 'Población Migrantes / Mujeres' debe ser menor o igual al Total de Mujeres en control. </v>
      </c>
      <c r="CI52" s="348" t="str">
        <f t="shared" si="6"/>
        <v xml:space="preserve">* La celda 'Niños, Niñas, Adolescentes y Jóvenes de Población SENAME' debe ser menor o igual al Total de Ambos Sexos. </v>
      </c>
      <c r="CJ52" s="348" t="str">
        <f t="shared" si="7"/>
        <v xml:space="preserve">* La celda 'Niños, Niñas, Adolescentes y Jóvenes Mejor Niñez' debe ser menor o igual al Total de Ambos Sexos. </v>
      </c>
      <c r="CK52" s="348" t="str">
        <f t="shared" si="8"/>
        <v xml:space="preserve">* La celda 'Plan Cuidado Integral Elaborado' debe ser menor o igual al Total de Personas en control. </v>
      </c>
      <c r="CL52" s="348" t="str">
        <f t="shared" si="43"/>
        <v xml:space="preserve"> * La variable Trans Masculino no debe ser mayor al Total Mujeres.</v>
      </c>
      <c r="CM52" s="348" t="str">
        <f t="shared" si="44"/>
        <v xml:space="preserve"> * La variable Trans Femenino no debe ser mayor al Total Hombre.</v>
      </c>
      <c r="CN52" s="354"/>
      <c r="CO52" s="348" t="str">
        <f t="shared" si="56"/>
        <v/>
      </c>
      <c r="CP52" s="348" t="str">
        <f t="shared" si="57"/>
        <v/>
      </c>
      <c r="CQ52" s="348" t="str">
        <f t="shared" si="35"/>
        <v/>
      </c>
      <c r="CR52" s="348" t="str">
        <f t="shared" si="36"/>
        <v/>
      </c>
      <c r="CS52" s="348" t="str">
        <f t="shared" si="37"/>
        <v/>
      </c>
      <c r="CT52" s="348" t="str">
        <f t="shared" si="38"/>
        <v/>
      </c>
      <c r="CU52" s="348" t="str">
        <f t="shared" si="9"/>
        <v/>
      </c>
      <c r="CV52" s="348" t="str">
        <f t="shared" si="10"/>
        <v/>
      </c>
      <c r="CW52" s="348" t="str">
        <f t="shared" si="11"/>
        <v/>
      </c>
      <c r="DB52" s="358">
        <f t="shared" si="54"/>
        <v>1</v>
      </c>
      <c r="DC52" s="358">
        <f t="shared" si="55"/>
        <v>1</v>
      </c>
      <c r="DD52" s="358">
        <f t="shared" si="45"/>
        <v>1</v>
      </c>
      <c r="DE52" s="358">
        <f t="shared" si="15"/>
        <v>1</v>
      </c>
      <c r="DF52" s="358">
        <f t="shared" si="46"/>
        <v>1</v>
      </c>
      <c r="DG52" s="358">
        <f t="shared" si="17"/>
        <v>1</v>
      </c>
      <c r="DH52" s="358">
        <f t="shared" si="18"/>
        <v>1</v>
      </c>
      <c r="DI52" s="358">
        <f t="shared" si="19"/>
        <v>1</v>
      </c>
      <c r="DJ52" s="358">
        <f t="shared" si="20"/>
        <v>1</v>
      </c>
      <c r="DL52" s="358">
        <f t="shared" si="21"/>
        <v>1</v>
      </c>
      <c r="DM52" s="358">
        <f t="shared" si="47"/>
        <v>1</v>
      </c>
      <c r="DO52" s="358">
        <f t="shared" si="58"/>
        <v>0</v>
      </c>
      <c r="DP52" s="358">
        <f>IF(AND($F52&lt;&gt;0,$AP52=""),1,0)</f>
        <v>0</v>
      </c>
      <c r="DQ52" s="358">
        <f t="shared" si="48"/>
        <v>0</v>
      </c>
      <c r="DR52" s="358">
        <f t="shared" si="24"/>
        <v>0</v>
      </c>
      <c r="DS52" s="358">
        <f>IF(AND(E52&lt;&gt;0,AS52=""),1,0)</f>
        <v>0</v>
      </c>
      <c r="DT52" s="358">
        <f t="shared" si="26"/>
        <v>0</v>
      </c>
      <c r="DU52" s="358">
        <f t="shared" si="27"/>
        <v>0</v>
      </c>
      <c r="DV52" s="358">
        <f t="shared" si="28"/>
        <v>0</v>
      </c>
      <c r="DW52" s="358">
        <f t="shared" si="29"/>
        <v>0</v>
      </c>
      <c r="DX52" s="960"/>
    </row>
    <row r="53" spans="1:128" ht="19.2" customHeight="1" x14ac:dyDescent="0.3">
      <c r="A53" s="1637" t="s">
        <v>1315</v>
      </c>
      <c r="B53" s="1014" t="s">
        <v>554</v>
      </c>
      <c r="C53" s="1015"/>
      <c r="D53" s="1713" t="s">
        <v>1550</v>
      </c>
      <c r="E53" s="1713" t="s">
        <v>1551</v>
      </c>
      <c r="F53" s="1714" t="s">
        <v>1552</v>
      </c>
      <c r="G53" s="1717" t="s">
        <v>1553</v>
      </c>
      <c r="H53" s="1718" t="s">
        <v>1554</v>
      </c>
      <c r="I53" s="1717" t="s">
        <v>1555</v>
      </c>
      <c r="J53" s="1718" t="s">
        <v>1556</v>
      </c>
      <c r="K53" s="1717" t="s">
        <v>1557</v>
      </c>
      <c r="L53" s="1718" t="s">
        <v>1558</v>
      </c>
      <c r="M53" s="1717" t="s">
        <v>1559</v>
      </c>
      <c r="N53" s="1718" t="s">
        <v>1560</v>
      </c>
      <c r="O53" s="1717" t="s">
        <v>1561</v>
      </c>
      <c r="P53" s="1718" t="s">
        <v>1562</v>
      </c>
      <c r="Q53" s="1717" t="s">
        <v>1563</v>
      </c>
      <c r="R53" s="1718" t="s">
        <v>1564</v>
      </c>
      <c r="S53" s="1717" t="s">
        <v>1565</v>
      </c>
      <c r="T53" s="1718" t="s">
        <v>1566</v>
      </c>
      <c r="U53" s="1717" t="s">
        <v>1567</v>
      </c>
      <c r="V53" s="1718" t="s">
        <v>1568</v>
      </c>
      <c r="W53" s="1717" t="s">
        <v>1569</v>
      </c>
      <c r="X53" s="1718" t="s">
        <v>1570</v>
      </c>
      <c r="Y53" s="1717" t="s">
        <v>1571</v>
      </c>
      <c r="Z53" s="1718" t="s">
        <v>1572</v>
      </c>
      <c r="AA53" s="1717" t="s">
        <v>1573</v>
      </c>
      <c r="AB53" s="1718" t="s">
        <v>1574</v>
      </c>
      <c r="AC53" s="1717" t="s">
        <v>1575</v>
      </c>
      <c r="AD53" s="1718" t="s">
        <v>1576</v>
      </c>
      <c r="AE53" s="1717" t="s">
        <v>1577</v>
      </c>
      <c r="AF53" s="1718" t="s">
        <v>1578</v>
      </c>
      <c r="AG53" s="1717" t="s">
        <v>1579</v>
      </c>
      <c r="AH53" s="1718" t="s">
        <v>1580</v>
      </c>
      <c r="AI53" s="1717" t="s">
        <v>1581</v>
      </c>
      <c r="AJ53" s="1718" t="s">
        <v>1582</v>
      </c>
      <c r="AK53" s="1717" t="s">
        <v>1583</v>
      </c>
      <c r="AL53" s="1718" t="s">
        <v>1584</v>
      </c>
      <c r="AM53" s="1717" t="s">
        <v>1585</v>
      </c>
      <c r="AN53" s="1811" t="s">
        <v>1586</v>
      </c>
      <c r="AO53" s="1791" t="s">
        <v>1587</v>
      </c>
      <c r="AP53" s="1710" t="s">
        <v>1588</v>
      </c>
      <c r="AQ53" s="1722" t="s">
        <v>1589</v>
      </c>
      <c r="AR53" s="1718" t="s">
        <v>1590</v>
      </c>
      <c r="AS53" s="1722" t="s">
        <v>1591</v>
      </c>
      <c r="AT53" s="1718" t="s">
        <v>1592</v>
      </c>
      <c r="AU53" s="1812" t="s">
        <v>1593</v>
      </c>
      <c r="AV53" s="1812" t="s">
        <v>1594</v>
      </c>
      <c r="AW53" s="1812" t="s">
        <v>1595</v>
      </c>
      <c r="AX53" s="1812" t="s">
        <v>1596</v>
      </c>
      <c r="AY53" s="1812" t="s">
        <v>1597</v>
      </c>
      <c r="AZ53" s="1514" t="str">
        <f t="shared" si="30"/>
        <v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CC53" s="348" t="str">
        <f t="shared" si="52"/>
        <v xml:space="preserve">* La celda 'Gestantes' debe ser menor o igual al Total de Mujeres en control. </v>
      </c>
      <c r="CD53" s="348" t="str">
        <f t="shared" si="53"/>
        <v xml:space="preserve">* La celda 'Madres de Hijos menor de 5 años' debe ser menor o igual al Total de Mujeres en control. </v>
      </c>
      <c r="CE53" s="348" t="str">
        <f t="shared" si="41"/>
        <v xml:space="preserve">* La celda 'Pueblos Originarios / Hombres' debe ser menor o igual al Total de Hombres en control. </v>
      </c>
      <c r="CF53" s="348" t="str">
        <f t="shared" si="3"/>
        <v xml:space="preserve">* La celda 'Pueblos Originarios / Mujeres' debe ser menor o igual al Total de Mujeres en control. </v>
      </c>
      <c r="CG53" s="348" t="str">
        <f t="shared" si="42"/>
        <v xml:space="preserve">* La celda 'Población Migrantes / Hombres' debe ser menor o igual al Total de Hombres en control. </v>
      </c>
      <c r="CH53" s="348" t="str">
        <f t="shared" si="5"/>
        <v xml:space="preserve">* La celda 'Población Migrantes / Mujeres' debe ser menor o igual al Total de Mujeres en control. </v>
      </c>
      <c r="CI53" s="348" t="str">
        <f t="shared" si="6"/>
        <v xml:space="preserve">* La celda 'Niños, Niñas, Adolescentes y Jóvenes de Población SENAME' debe ser menor o igual al Total de Ambos Sexos. </v>
      </c>
      <c r="CJ53" s="348" t="str">
        <f t="shared" si="7"/>
        <v xml:space="preserve">* La celda 'Niños, Niñas, Adolescentes y Jóvenes Mejor Niñez' debe ser menor o igual al Total de Ambos Sexos. </v>
      </c>
      <c r="CK53" s="348" t="str">
        <f t="shared" si="8"/>
        <v xml:space="preserve">* La celda 'Plan Cuidado Integral Elaborado' debe ser menor o igual al Total de Personas en control. </v>
      </c>
      <c r="CL53" s="348" t="str">
        <f t="shared" si="43"/>
        <v xml:space="preserve"> * La variable Trans Masculino no debe ser mayor al Total Mujeres.</v>
      </c>
      <c r="CM53" s="348" t="str">
        <f t="shared" si="44"/>
        <v xml:space="preserve"> * La variable Trans Femenino no debe ser mayor al Total Hombre.</v>
      </c>
      <c r="CN53" s="354"/>
      <c r="CO53" s="348" t="str">
        <f>IF(AND($F53&lt;&gt;0,$AO53=""),"* No olvide escribir en la celda de 'Gestantes' (Digite CERO si no tiene). ","")</f>
        <v/>
      </c>
      <c r="CP53" s="348" t="str">
        <f>IF(AND($F53&lt;&gt;0,$AP53=""),"* No olvide escribir en la celda de 'Madres de Hijos menor de 5 años' (Digite CERO si no tiene). ","")</f>
        <v/>
      </c>
      <c r="CQ53" s="348" t="str">
        <f t="shared" si="35"/>
        <v/>
      </c>
      <c r="CR53" s="348" t="str">
        <f t="shared" si="36"/>
        <v/>
      </c>
      <c r="CS53" s="348" t="str">
        <f t="shared" si="37"/>
        <v/>
      </c>
      <c r="CT53" s="348" t="str">
        <f t="shared" si="38"/>
        <v/>
      </c>
      <c r="CU53" s="348" t="str">
        <f t="shared" si="9"/>
        <v/>
      </c>
      <c r="CV53" s="348" t="str">
        <f t="shared" si="10"/>
        <v/>
      </c>
      <c r="CW53" s="348" t="str">
        <f t="shared" si="11"/>
        <v/>
      </c>
      <c r="DB53" s="358">
        <f t="shared" si="54"/>
        <v>1</v>
      </c>
      <c r="DC53" s="358">
        <f t="shared" si="55"/>
        <v>1</v>
      </c>
      <c r="DD53" s="358">
        <f t="shared" si="45"/>
        <v>1</v>
      </c>
      <c r="DE53" s="358">
        <f t="shared" si="15"/>
        <v>1</v>
      </c>
      <c r="DF53" s="358">
        <f t="shared" si="46"/>
        <v>1</v>
      </c>
      <c r="DG53" s="358">
        <f t="shared" si="17"/>
        <v>1</v>
      </c>
      <c r="DH53" s="358">
        <f t="shared" si="18"/>
        <v>1</v>
      </c>
      <c r="DI53" s="358">
        <f t="shared" si="19"/>
        <v>1</v>
      </c>
      <c r="DJ53" s="358">
        <f t="shared" si="20"/>
        <v>1</v>
      </c>
      <c r="DL53" s="358">
        <f t="shared" si="21"/>
        <v>1</v>
      </c>
      <c r="DM53" s="358">
        <f t="shared" si="47"/>
        <v>1</v>
      </c>
      <c r="DO53" s="358">
        <f t="shared" si="58"/>
        <v>0</v>
      </c>
      <c r="DP53" s="358">
        <f>IF(AND($F53&lt;&gt;0,$AP53=""),1,0)</f>
        <v>0</v>
      </c>
      <c r="DQ53" s="358">
        <f t="shared" si="48"/>
        <v>0</v>
      </c>
      <c r="DR53" s="358">
        <f t="shared" si="24"/>
        <v>0</v>
      </c>
      <c r="DS53" s="358">
        <f>IF(AND(E53&lt;&gt;0,AS53=""),1,0)</f>
        <v>0</v>
      </c>
      <c r="DT53" s="358">
        <f t="shared" si="26"/>
        <v>0</v>
      </c>
      <c r="DU53" s="358">
        <f t="shared" si="27"/>
        <v>0</v>
      </c>
      <c r="DV53" s="358">
        <f t="shared" si="28"/>
        <v>0</v>
      </c>
      <c r="DW53" s="358">
        <f t="shared" si="29"/>
        <v>0</v>
      </c>
      <c r="DX53" s="960"/>
    </row>
    <row r="54" spans="1:128" ht="19.2" customHeight="1" x14ac:dyDescent="0.3">
      <c r="A54" s="1637" t="s">
        <v>1316</v>
      </c>
      <c r="B54" s="2377" t="s">
        <v>358</v>
      </c>
      <c r="C54" s="2390"/>
      <c r="D54" s="1684" t="s">
        <v>1550</v>
      </c>
      <c r="E54" s="1813" t="s">
        <v>1551</v>
      </c>
      <c r="F54" s="1768" t="s">
        <v>1552</v>
      </c>
      <c r="G54" s="1697" t="s">
        <v>1553</v>
      </c>
      <c r="H54" s="1698" t="s">
        <v>1554</v>
      </c>
      <c r="I54" s="1697" t="s">
        <v>1555</v>
      </c>
      <c r="J54" s="1698" t="s">
        <v>1556</v>
      </c>
      <c r="K54" s="1697" t="s">
        <v>1557</v>
      </c>
      <c r="L54" s="1698" t="s">
        <v>1558</v>
      </c>
      <c r="M54" s="1697" t="s">
        <v>1559</v>
      </c>
      <c r="N54" s="1698" t="s">
        <v>1560</v>
      </c>
      <c r="O54" s="1697" t="s">
        <v>1561</v>
      </c>
      <c r="P54" s="1698" t="s">
        <v>1562</v>
      </c>
      <c r="Q54" s="1697" t="s">
        <v>1563</v>
      </c>
      <c r="R54" s="1698" t="s">
        <v>1564</v>
      </c>
      <c r="S54" s="1697" t="s">
        <v>1565</v>
      </c>
      <c r="T54" s="1698" t="s">
        <v>1566</v>
      </c>
      <c r="U54" s="1697" t="s">
        <v>1567</v>
      </c>
      <c r="V54" s="1698" t="s">
        <v>1568</v>
      </c>
      <c r="W54" s="1697" t="s">
        <v>1569</v>
      </c>
      <c r="X54" s="1698" t="s">
        <v>1570</v>
      </c>
      <c r="Y54" s="1697" t="s">
        <v>1571</v>
      </c>
      <c r="Z54" s="1698" t="s">
        <v>1572</v>
      </c>
      <c r="AA54" s="1697" t="s">
        <v>1573</v>
      </c>
      <c r="AB54" s="1698" t="s">
        <v>1574</v>
      </c>
      <c r="AC54" s="1697" t="s">
        <v>1575</v>
      </c>
      <c r="AD54" s="1698" t="s">
        <v>1576</v>
      </c>
      <c r="AE54" s="1697" t="s">
        <v>1577</v>
      </c>
      <c r="AF54" s="1698" t="s">
        <v>1578</v>
      </c>
      <c r="AG54" s="1697" t="s">
        <v>1579</v>
      </c>
      <c r="AH54" s="1698" t="s">
        <v>1580</v>
      </c>
      <c r="AI54" s="1697" t="s">
        <v>1581</v>
      </c>
      <c r="AJ54" s="1698" t="s">
        <v>1582</v>
      </c>
      <c r="AK54" s="1697" t="s">
        <v>1583</v>
      </c>
      <c r="AL54" s="1698" t="s">
        <v>1584</v>
      </c>
      <c r="AM54" s="1697" t="s">
        <v>1585</v>
      </c>
      <c r="AN54" s="1760" t="s">
        <v>1586</v>
      </c>
      <c r="AO54" s="1778" t="s">
        <v>1587</v>
      </c>
      <c r="AP54" s="1701" t="s">
        <v>1588</v>
      </c>
      <c r="AQ54" s="1702" t="s">
        <v>1589</v>
      </c>
      <c r="AR54" s="1698" t="s">
        <v>1590</v>
      </c>
      <c r="AS54" s="1702" t="s">
        <v>1591</v>
      </c>
      <c r="AT54" s="1698" t="s">
        <v>1592</v>
      </c>
      <c r="AU54" s="1779" t="s">
        <v>1593</v>
      </c>
      <c r="AV54" s="1779" t="s">
        <v>1594</v>
      </c>
      <c r="AW54" s="1779" t="s">
        <v>1595</v>
      </c>
      <c r="AX54" s="1779" t="s">
        <v>1596</v>
      </c>
      <c r="AY54" s="1779" t="s">
        <v>1597</v>
      </c>
      <c r="AZ54" s="1514" t="str">
        <f t="shared" si="30"/>
        <v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CC54" s="348" t="str">
        <f>IF($AO54&gt;$F54,"* La celda 'Gestantes' debe ser menor o igual al Total de Mujeres en control. ","")</f>
        <v xml:space="preserve">* La celda 'Gestantes' debe ser menor o igual al Total de Mujeres en control. </v>
      </c>
      <c r="CD54" s="348" t="str">
        <f t="shared" si="53"/>
        <v xml:space="preserve">* La celda 'Madres de Hijos menor de 5 años' debe ser menor o igual al Total de Mujeres en control. </v>
      </c>
      <c r="CE54" s="348" t="str">
        <f t="shared" si="41"/>
        <v xml:space="preserve">* La celda 'Pueblos Originarios / Hombres' debe ser menor o igual al Total de Hombres en control. </v>
      </c>
      <c r="CF54" s="348" t="str">
        <f t="shared" si="3"/>
        <v xml:space="preserve">* La celda 'Pueblos Originarios / Mujeres' debe ser menor o igual al Total de Mujeres en control. </v>
      </c>
      <c r="CG54" s="348" t="str">
        <f t="shared" si="42"/>
        <v xml:space="preserve">* La celda 'Población Migrantes / Hombres' debe ser menor o igual al Total de Hombres en control. </v>
      </c>
      <c r="CH54" s="348" t="str">
        <f t="shared" si="5"/>
        <v xml:space="preserve">* La celda 'Población Migrantes / Mujeres' debe ser menor o igual al Total de Mujeres en control. </v>
      </c>
      <c r="CI54" s="348" t="str">
        <f t="shared" si="6"/>
        <v xml:space="preserve">* La celda 'Niños, Niñas, Adolescentes y Jóvenes de Población SENAME' debe ser menor o igual al Total de Ambos Sexos. </v>
      </c>
      <c r="CJ54" s="348" t="str">
        <f t="shared" si="7"/>
        <v xml:space="preserve">* La celda 'Niños, Niñas, Adolescentes y Jóvenes Mejor Niñez' debe ser menor o igual al Total de Ambos Sexos. </v>
      </c>
      <c r="CK54" s="348" t="str">
        <f t="shared" si="8"/>
        <v xml:space="preserve">* La celda 'Plan Cuidado Integral Elaborado' debe ser menor o igual al Total de Personas en control. </v>
      </c>
      <c r="CL54" s="348" t="str">
        <f t="shared" si="43"/>
        <v xml:space="preserve"> * La variable Trans Masculino no debe ser mayor al Total Mujeres.</v>
      </c>
      <c r="CM54" s="348" t="str">
        <f t="shared" si="44"/>
        <v xml:space="preserve"> * La variable Trans Femenino no debe ser mayor al Total Hombre.</v>
      </c>
      <c r="CN54" s="354"/>
      <c r="CO54" s="348" t="str">
        <f>IF(AND($F54&lt;&gt;0,$AO54=""),"* No olvide escribir en la celda de 'Gestantes' (Digite CERO si no tiene). ","")</f>
        <v/>
      </c>
      <c r="CP54" s="348" t="str">
        <f>IF(AND($F54&lt;&gt;0,$AP54=""),"* No olvide escribir en la celda de 'Madres de Hijos menor de 5 años' (Digite CERO si no tiene). ","")</f>
        <v/>
      </c>
      <c r="CQ54" s="348" t="str">
        <f t="shared" si="35"/>
        <v/>
      </c>
      <c r="CR54" s="348" t="str">
        <f t="shared" si="36"/>
        <v/>
      </c>
      <c r="CS54" s="348" t="str">
        <f t="shared" si="37"/>
        <v/>
      </c>
      <c r="CT54" s="348" t="str">
        <f t="shared" si="38"/>
        <v/>
      </c>
      <c r="CU54" s="348" t="str">
        <f t="shared" si="9"/>
        <v/>
      </c>
      <c r="CV54" s="348" t="str">
        <f t="shared" si="10"/>
        <v/>
      </c>
      <c r="CW54" s="348" t="str">
        <f t="shared" si="11"/>
        <v/>
      </c>
      <c r="DB54" s="358">
        <f t="shared" si="54"/>
        <v>1</v>
      </c>
      <c r="DC54" s="358">
        <f>IF($AP54&gt;$F54,1,0)</f>
        <v>1</v>
      </c>
      <c r="DD54" s="358">
        <f t="shared" si="45"/>
        <v>1</v>
      </c>
      <c r="DE54" s="358">
        <f t="shared" si="15"/>
        <v>1</v>
      </c>
      <c r="DF54" s="358">
        <f t="shared" si="46"/>
        <v>1</v>
      </c>
      <c r="DG54" s="358">
        <f t="shared" si="17"/>
        <v>1</v>
      </c>
      <c r="DH54" s="358">
        <f t="shared" si="18"/>
        <v>1</v>
      </c>
      <c r="DI54" s="358">
        <f t="shared" si="19"/>
        <v>1</v>
      </c>
      <c r="DJ54" s="358">
        <f t="shared" si="20"/>
        <v>1</v>
      </c>
      <c r="DL54" s="358">
        <f t="shared" si="21"/>
        <v>1</v>
      </c>
      <c r="DM54" s="358">
        <f t="shared" si="47"/>
        <v>1</v>
      </c>
      <c r="DO54" s="358">
        <f t="shared" si="58"/>
        <v>0</v>
      </c>
      <c r="DP54" s="358">
        <f>IF(AND($F54&lt;&gt;0,$AP54=""),1,0)</f>
        <v>0</v>
      </c>
      <c r="DQ54" s="358">
        <f>IF(AND($E54&lt;&gt;0,$AQ54=""),1,IF(AND($F54&lt;&gt;0,$AR54=""),1,0))</f>
        <v>0</v>
      </c>
      <c r="DR54" s="358">
        <f t="shared" si="24"/>
        <v>0</v>
      </c>
      <c r="DS54" s="358">
        <f>IF(AND(E54&lt;&gt;0,AS54=""),1,0)</f>
        <v>0</v>
      </c>
      <c r="DT54" s="358">
        <f t="shared" si="26"/>
        <v>0</v>
      </c>
      <c r="DU54" s="358">
        <f t="shared" si="27"/>
        <v>0</v>
      </c>
      <c r="DV54" s="358">
        <f t="shared" si="28"/>
        <v>0</v>
      </c>
      <c r="DW54" s="358">
        <f t="shared" si="29"/>
        <v>0</v>
      </c>
      <c r="DX54" s="960"/>
    </row>
    <row r="55" spans="1:128" s="291" customFormat="1" ht="27" customHeight="1" x14ac:dyDescent="0.3">
      <c r="B55" s="451" t="s">
        <v>535</v>
      </c>
      <c r="C55" s="436"/>
      <c r="D55" s="436"/>
      <c r="E55" s="436"/>
      <c r="F55" s="433"/>
      <c r="G55" s="433"/>
      <c r="H55" s="433"/>
      <c r="I55" s="433"/>
      <c r="J55" s="433"/>
      <c r="K55" s="433"/>
      <c r="L55" s="433"/>
      <c r="M55" s="433"/>
      <c r="N55" s="433"/>
      <c r="O55" s="433"/>
      <c r="P55" s="433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75"/>
      <c r="AB55" s="175"/>
      <c r="AC55" s="175"/>
      <c r="AD55" s="175"/>
      <c r="AE55" s="175"/>
      <c r="AF55" s="175"/>
      <c r="AG55" s="175"/>
      <c r="AH55" s="175"/>
      <c r="AI55" s="175"/>
      <c r="AJ55" s="175"/>
      <c r="AK55" s="175"/>
      <c r="AL55" s="175"/>
      <c r="AM55" s="175"/>
      <c r="AN55" s="175"/>
      <c r="AO55" s="175"/>
      <c r="AP55" s="175"/>
      <c r="AQ55" s="175"/>
      <c r="AR55" s="175"/>
      <c r="AS55" s="175"/>
      <c r="AT55" s="175"/>
      <c r="AU55" s="175"/>
      <c r="AV55" s="175"/>
      <c r="AW55" s="175"/>
      <c r="AX55" s="175"/>
      <c r="AY55" s="175"/>
      <c r="AZ55" s="351"/>
      <c r="CC55" s="175"/>
      <c r="CD55" s="175"/>
      <c r="CE55" s="175"/>
      <c r="CF55" s="175"/>
      <c r="CG55" s="175"/>
      <c r="CH55" s="175"/>
      <c r="CI55" s="175"/>
      <c r="CJ55" s="175"/>
      <c r="CK55" s="175"/>
      <c r="CL55" s="175"/>
      <c r="CM55" s="175"/>
      <c r="CN55" s="175"/>
      <c r="CO55" s="175"/>
      <c r="CP55" s="175"/>
      <c r="CQ55" s="175"/>
      <c r="CR55" s="175"/>
      <c r="CS55" s="175"/>
      <c r="CT55" s="175"/>
      <c r="CU55" s="175"/>
      <c r="CV55" s="175"/>
      <c r="CW55" s="175"/>
      <c r="CX55" s="175"/>
      <c r="CY55" s="175"/>
      <c r="CZ55" s="175"/>
      <c r="DA55" s="175"/>
      <c r="DB55" s="175"/>
      <c r="DC55" s="175"/>
      <c r="DD55" s="175"/>
      <c r="DE55" s="175"/>
      <c r="DF55" s="175"/>
      <c r="DG55" s="175"/>
      <c r="DH55" s="175"/>
      <c r="DI55" s="175"/>
      <c r="DJ55" s="175"/>
      <c r="DK55" s="175"/>
      <c r="DL55" s="175"/>
      <c r="DM55" s="175"/>
      <c r="DN55" s="175"/>
      <c r="DO55" s="175"/>
      <c r="DP55" s="175"/>
      <c r="DQ55" s="175"/>
      <c r="DR55" s="175"/>
      <c r="DS55" s="175"/>
      <c r="DT55" s="175"/>
      <c r="DU55" s="175"/>
      <c r="DV55" s="960"/>
      <c r="DW55" s="175"/>
      <c r="DX55" s="175"/>
    </row>
    <row r="56" spans="1:128" s="291" customFormat="1" ht="27" customHeight="1" x14ac:dyDescent="0.3">
      <c r="B56" s="2350" t="s">
        <v>231</v>
      </c>
      <c r="C56" s="2350" t="s">
        <v>232</v>
      </c>
      <c r="D56" s="2107" t="s">
        <v>104</v>
      </c>
      <c r="E56" s="2107"/>
      <c r="F56" s="2107"/>
      <c r="G56" s="2107" t="s">
        <v>14</v>
      </c>
      <c r="H56" s="2107"/>
      <c r="I56" s="2107"/>
      <c r="J56" s="2107"/>
      <c r="K56" s="2107"/>
      <c r="L56" s="2107"/>
      <c r="M56" s="2107"/>
      <c r="N56" s="2107"/>
      <c r="O56" s="2107"/>
      <c r="P56" s="2107"/>
      <c r="Q56" s="2107"/>
      <c r="R56" s="2107"/>
      <c r="S56" s="2107"/>
      <c r="T56" s="2107"/>
      <c r="U56" s="2107"/>
      <c r="V56" s="2107"/>
      <c r="W56" s="2107"/>
      <c r="X56" s="2107"/>
      <c r="Y56" s="2107"/>
      <c r="Z56" s="2107"/>
      <c r="AA56" s="2107"/>
      <c r="AB56" s="2107"/>
      <c r="AC56" s="2107"/>
      <c r="AD56" s="2107"/>
      <c r="AE56" s="2107"/>
      <c r="AF56" s="2107"/>
      <c r="AG56" s="2107"/>
      <c r="AH56" s="2107"/>
      <c r="AI56" s="2107"/>
      <c r="AJ56" s="2107"/>
      <c r="AK56" s="2107"/>
      <c r="AL56" s="2107"/>
      <c r="AM56" s="2107"/>
      <c r="AN56" s="2107"/>
      <c r="AO56" s="175"/>
      <c r="AP56" s="175"/>
      <c r="AQ56" s="175"/>
      <c r="AR56" s="175"/>
      <c r="AS56" s="175"/>
      <c r="AT56" s="175"/>
      <c r="AU56" s="175"/>
      <c r="AV56" s="175"/>
      <c r="AW56" s="175"/>
      <c r="AX56" s="175"/>
      <c r="AY56" s="175"/>
      <c r="AZ56" s="351"/>
      <c r="CC56" s="175"/>
      <c r="CD56" s="175"/>
      <c r="CE56" s="175"/>
      <c r="CF56" s="175"/>
      <c r="CG56" s="175"/>
      <c r="CH56" s="175"/>
      <c r="CI56" s="175"/>
      <c r="CJ56" s="175"/>
      <c r="CK56" s="175"/>
      <c r="CL56" s="175"/>
      <c r="CM56" s="175"/>
      <c r="CN56" s="175"/>
      <c r="CO56" s="175"/>
      <c r="CP56" s="175"/>
      <c r="CQ56" s="175"/>
      <c r="CR56" s="175"/>
      <c r="CS56" s="175"/>
      <c r="CT56" s="175"/>
      <c r="CU56" s="175"/>
      <c r="CV56" s="175"/>
      <c r="CW56" s="175"/>
      <c r="CX56" s="175"/>
      <c r="CY56" s="175"/>
      <c r="CZ56" s="175"/>
      <c r="DA56" s="175"/>
      <c r="DB56" s="175"/>
      <c r="DC56" s="175"/>
      <c r="DD56" s="175"/>
      <c r="DE56" s="175"/>
      <c r="DF56" s="175"/>
      <c r="DG56" s="175"/>
      <c r="DH56" s="175"/>
      <c r="DI56" s="175"/>
      <c r="DJ56" s="175"/>
      <c r="DK56" s="175"/>
      <c r="DL56" s="175"/>
      <c r="DM56" s="175"/>
      <c r="DN56" s="175"/>
      <c r="DO56" s="175"/>
      <c r="DP56" s="175"/>
      <c r="DQ56" s="175"/>
      <c r="DR56" s="175"/>
      <c r="DS56" s="175"/>
      <c r="DT56" s="175"/>
      <c r="DU56" s="175"/>
      <c r="DV56" s="960"/>
      <c r="DW56" s="175"/>
      <c r="DX56" s="175"/>
    </row>
    <row r="57" spans="1:128" s="291" customFormat="1" ht="27" customHeight="1" x14ac:dyDescent="0.3">
      <c r="B57" s="2350"/>
      <c r="C57" s="2350"/>
      <c r="D57" s="2107"/>
      <c r="E57" s="2107"/>
      <c r="F57" s="2107"/>
      <c r="G57" s="2107" t="s">
        <v>206</v>
      </c>
      <c r="H57" s="2107"/>
      <c r="I57" s="2107" t="s">
        <v>207</v>
      </c>
      <c r="J57" s="2107"/>
      <c r="K57" s="1989" t="s">
        <v>128</v>
      </c>
      <c r="L57" s="1989"/>
      <c r="M57" s="1989" t="s">
        <v>17</v>
      </c>
      <c r="N57" s="1989"/>
      <c r="O57" s="1989" t="s">
        <v>18</v>
      </c>
      <c r="P57" s="1989"/>
      <c r="Q57" s="1989" t="s">
        <v>19</v>
      </c>
      <c r="R57" s="1989"/>
      <c r="S57" s="1989" t="s">
        <v>20</v>
      </c>
      <c r="T57" s="1989"/>
      <c r="U57" s="1989" t="s">
        <v>21</v>
      </c>
      <c r="V57" s="1989"/>
      <c r="W57" s="1989" t="s">
        <v>22</v>
      </c>
      <c r="X57" s="1989"/>
      <c r="Y57" s="1989" t="s">
        <v>23</v>
      </c>
      <c r="Z57" s="1989"/>
      <c r="AA57" s="1989" t="s">
        <v>24</v>
      </c>
      <c r="AB57" s="1989"/>
      <c r="AC57" s="1989" t="s">
        <v>208</v>
      </c>
      <c r="AD57" s="1989"/>
      <c r="AE57" s="1989" t="s">
        <v>209</v>
      </c>
      <c r="AF57" s="1989"/>
      <c r="AG57" s="2332" t="s">
        <v>181</v>
      </c>
      <c r="AH57" s="2332"/>
      <c r="AI57" s="2332" t="s">
        <v>182</v>
      </c>
      <c r="AJ57" s="2332"/>
      <c r="AK57" s="2332" t="s">
        <v>183</v>
      </c>
      <c r="AL57" s="2332"/>
      <c r="AM57" s="2275" t="s">
        <v>195</v>
      </c>
      <c r="AN57" s="2275"/>
      <c r="AO57" s="175"/>
      <c r="AP57" s="175"/>
      <c r="AQ57" s="175"/>
      <c r="AR57" s="175"/>
      <c r="AS57" s="175"/>
      <c r="AT57" s="175"/>
      <c r="AU57" s="175"/>
      <c r="AV57" s="175"/>
      <c r="AW57" s="175"/>
      <c r="AX57" s="175"/>
      <c r="AY57" s="175"/>
      <c r="AZ57" s="351"/>
      <c r="CC57" s="175"/>
      <c r="CD57" s="175"/>
      <c r="CE57" s="175"/>
      <c r="CF57" s="175"/>
      <c r="CG57" s="175"/>
      <c r="CH57" s="175"/>
      <c r="CI57" s="175"/>
      <c r="CJ57" s="175"/>
      <c r="CK57" s="175"/>
      <c r="CL57" s="175"/>
      <c r="CM57" s="175"/>
      <c r="CN57" s="175"/>
      <c r="CO57" s="175"/>
      <c r="CP57" s="175"/>
      <c r="CQ57" s="175"/>
      <c r="CR57" s="175"/>
      <c r="CS57" s="175"/>
      <c r="CT57" s="175"/>
      <c r="CU57" s="175"/>
      <c r="CV57" s="175"/>
      <c r="CW57" s="175"/>
      <c r="CX57" s="175"/>
      <c r="CY57" s="175"/>
      <c r="CZ57" s="175"/>
      <c r="DA57" s="175"/>
      <c r="DB57" s="175"/>
      <c r="DC57" s="175"/>
      <c r="DD57" s="175"/>
      <c r="DE57" s="175"/>
      <c r="DF57" s="175"/>
      <c r="DG57" s="175"/>
      <c r="DH57" s="175"/>
      <c r="DI57" s="175"/>
      <c r="DJ57" s="175"/>
      <c r="DK57" s="175"/>
      <c r="DL57" s="175"/>
      <c r="DM57" s="175"/>
      <c r="DN57" s="175"/>
      <c r="DO57" s="175"/>
      <c r="DP57" s="175"/>
      <c r="DQ57" s="175"/>
      <c r="DR57" s="175"/>
      <c r="DS57" s="175"/>
      <c r="DT57" s="175"/>
      <c r="DU57" s="175"/>
      <c r="DV57" s="960"/>
      <c r="DW57" s="175"/>
      <c r="DX57" s="175"/>
    </row>
    <row r="58" spans="1:128" s="291" customFormat="1" ht="27" customHeight="1" x14ac:dyDescent="0.3">
      <c r="B58" s="2350"/>
      <c r="C58" s="2350"/>
      <c r="D58" s="176" t="s">
        <v>93</v>
      </c>
      <c r="E58" s="60" t="s">
        <v>31</v>
      </c>
      <c r="F58" s="357" t="s">
        <v>94</v>
      </c>
      <c r="G58" s="356" t="s">
        <v>31</v>
      </c>
      <c r="H58" s="357" t="s">
        <v>94</v>
      </c>
      <c r="I58" s="356" t="s">
        <v>31</v>
      </c>
      <c r="J58" s="357" t="s">
        <v>94</v>
      </c>
      <c r="K58" s="356" t="s">
        <v>31</v>
      </c>
      <c r="L58" s="357" t="s">
        <v>94</v>
      </c>
      <c r="M58" s="356" t="s">
        <v>31</v>
      </c>
      <c r="N58" s="357" t="s">
        <v>94</v>
      </c>
      <c r="O58" s="356" t="s">
        <v>31</v>
      </c>
      <c r="P58" s="357" t="s">
        <v>94</v>
      </c>
      <c r="Q58" s="356" t="s">
        <v>31</v>
      </c>
      <c r="R58" s="357" t="s">
        <v>94</v>
      </c>
      <c r="S58" s="356" t="s">
        <v>31</v>
      </c>
      <c r="T58" s="357" t="s">
        <v>94</v>
      </c>
      <c r="U58" s="356" t="s">
        <v>31</v>
      </c>
      <c r="V58" s="357" t="s">
        <v>94</v>
      </c>
      <c r="W58" s="356" t="s">
        <v>31</v>
      </c>
      <c r="X58" s="357" t="s">
        <v>94</v>
      </c>
      <c r="Y58" s="356" t="s">
        <v>31</v>
      </c>
      <c r="Z58" s="357" t="s">
        <v>94</v>
      </c>
      <c r="AA58" s="356" t="s">
        <v>31</v>
      </c>
      <c r="AB58" s="357" t="s">
        <v>94</v>
      </c>
      <c r="AC58" s="356" t="s">
        <v>31</v>
      </c>
      <c r="AD58" s="357" t="s">
        <v>94</v>
      </c>
      <c r="AE58" s="356" t="s">
        <v>31</v>
      </c>
      <c r="AF58" s="357" t="s">
        <v>94</v>
      </c>
      <c r="AG58" s="356" t="s">
        <v>31</v>
      </c>
      <c r="AH58" s="357" t="s">
        <v>94</v>
      </c>
      <c r="AI58" s="356" t="s">
        <v>31</v>
      </c>
      <c r="AJ58" s="357" t="s">
        <v>94</v>
      </c>
      <c r="AK58" s="356" t="s">
        <v>31</v>
      </c>
      <c r="AL58" s="357" t="s">
        <v>94</v>
      </c>
      <c r="AM58" s="356" t="s">
        <v>31</v>
      </c>
      <c r="AN58" s="357" t="s">
        <v>94</v>
      </c>
      <c r="AO58" s="175"/>
      <c r="AP58" s="175"/>
      <c r="AQ58" s="175"/>
      <c r="AR58" s="175"/>
      <c r="AS58" s="175"/>
      <c r="AT58" s="175"/>
      <c r="AU58" s="175"/>
      <c r="AV58" s="175"/>
      <c r="AW58" s="175"/>
      <c r="AX58" s="175"/>
      <c r="AY58" s="175"/>
      <c r="AZ58" s="351"/>
      <c r="CC58" s="175"/>
      <c r="CD58" s="175"/>
      <c r="CE58" s="175"/>
      <c r="CF58" s="175"/>
      <c r="CG58" s="175"/>
      <c r="CH58" s="175"/>
      <c r="CI58" s="175"/>
      <c r="CJ58" s="175"/>
      <c r="CK58" s="175"/>
      <c r="CL58" s="175"/>
      <c r="CM58" s="175"/>
      <c r="CN58" s="175"/>
      <c r="CO58" s="175"/>
      <c r="CP58" s="175"/>
      <c r="CQ58" s="175"/>
      <c r="CR58" s="175"/>
      <c r="CS58" s="175"/>
      <c r="CT58" s="175"/>
      <c r="CU58" s="175"/>
      <c r="CV58" s="175"/>
      <c r="CW58" s="175"/>
      <c r="CX58" s="175"/>
      <c r="CY58" s="175"/>
      <c r="CZ58" s="175"/>
      <c r="DA58" s="175"/>
      <c r="DB58" s="175"/>
      <c r="DC58" s="175"/>
      <c r="DD58" s="175"/>
      <c r="DE58" s="175"/>
      <c r="DF58" s="175"/>
      <c r="DG58" s="175"/>
      <c r="DH58" s="175"/>
      <c r="DI58" s="175"/>
      <c r="DJ58" s="175"/>
      <c r="DK58" s="175"/>
      <c r="DL58" s="175"/>
      <c r="DM58" s="175"/>
      <c r="DN58" s="175"/>
      <c r="DO58" s="175"/>
      <c r="DP58" s="175"/>
      <c r="DQ58" s="175"/>
      <c r="DR58" s="175"/>
      <c r="DS58" s="175"/>
      <c r="DT58" s="175"/>
      <c r="DU58" s="175"/>
      <c r="DV58" s="960"/>
      <c r="DW58" s="175"/>
      <c r="DX58" s="175"/>
    </row>
    <row r="59" spans="1:128" ht="20.399999999999999" customHeight="1" x14ac:dyDescent="0.3">
      <c r="A59" s="1637" t="s">
        <v>1317</v>
      </c>
      <c r="B59" s="185" t="s">
        <v>233</v>
      </c>
      <c r="C59" s="186" t="s">
        <v>210</v>
      </c>
      <c r="D59" s="278" t="s">
        <v>1550</v>
      </c>
      <c r="E59" s="279" t="s">
        <v>1551</v>
      </c>
      <c r="F59" s="280" t="s">
        <v>1552</v>
      </c>
      <c r="G59" s="859" t="s">
        <v>1553</v>
      </c>
      <c r="H59" s="860" t="s">
        <v>1554</v>
      </c>
      <c r="I59" s="859" t="s">
        <v>1555</v>
      </c>
      <c r="J59" s="860" t="s">
        <v>1556</v>
      </c>
      <c r="K59" s="859" t="s">
        <v>1557</v>
      </c>
      <c r="L59" s="860" t="s">
        <v>1558</v>
      </c>
      <c r="M59" s="859" t="s">
        <v>1559</v>
      </c>
      <c r="N59" s="860" t="s">
        <v>1560</v>
      </c>
      <c r="O59" s="859" t="s">
        <v>1561</v>
      </c>
      <c r="P59" s="860" t="s">
        <v>1562</v>
      </c>
      <c r="Q59" s="859" t="s">
        <v>1563</v>
      </c>
      <c r="R59" s="860" t="s">
        <v>1564</v>
      </c>
      <c r="S59" s="859" t="s">
        <v>1565</v>
      </c>
      <c r="T59" s="860" t="s">
        <v>1566</v>
      </c>
      <c r="U59" s="859" t="s">
        <v>1567</v>
      </c>
      <c r="V59" s="860" t="s">
        <v>1568</v>
      </c>
      <c r="W59" s="859" t="s">
        <v>1569</v>
      </c>
      <c r="X59" s="860" t="s">
        <v>1570</v>
      </c>
      <c r="Y59" s="859" t="s">
        <v>1571</v>
      </c>
      <c r="Z59" s="860" t="s">
        <v>1572</v>
      </c>
      <c r="AA59" s="859" t="s">
        <v>1573</v>
      </c>
      <c r="AB59" s="860" t="s">
        <v>1574</v>
      </c>
      <c r="AC59" s="859" t="s">
        <v>1575</v>
      </c>
      <c r="AD59" s="860" t="s">
        <v>1576</v>
      </c>
      <c r="AE59" s="859" t="s">
        <v>1577</v>
      </c>
      <c r="AF59" s="860" t="s">
        <v>1578</v>
      </c>
      <c r="AG59" s="859" t="s">
        <v>1579</v>
      </c>
      <c r="AH59" s="860" t="s">
        <v>1580</v>
      </c>
      <c r="AI59" s="859" t="s">
        <v>1581</v>
      </c>
      <c r="AJ59" s="860" t="s">
        <v>1582</v>
      </c>
      <c r="AK59" s="859" t="s">
        <v>1583</v>
      </c>
      <c r="AL59" s="860" t="s">
        <v>1584</v>
      </c>
      <c r="AM59" s="859" t="s">
        <v>1585</v>
      </c>
      <c r="AN59" s="864" t="s">
        <v>1586</v>
      </c>
      <c r="AO59" s="409"/>
      <c r="AZ59" s="343"/>
      <c r="DO59" s="175"/>
      <c r="DP59" s="175"/>
      <c r="DQ59" s="175"/>
      <c r="DS59" s="960"/>
      <c r="DT59" s="960"/>
      <c r="DU59" s="960"/>
      <c r="DV59" s="960"/>
    </row>
    <row r="60" spans="1:128" s="141" customFormat="1" ht="20.399999999999999" customHeight="1" x14ac:dyDescent="0.3">
      <c r="A60" s="1637" t="s">
        <v>1318</v>
      </c>
      <c r="B60" s="185" t="s">
        <v>234</v>
      </c>
      <c r="C60" s="186" t="s">
        <v>210</v>
      </c>
      <c r="D60" s="278" t="s">
        <v>1550</v>
      </c>
      <c r="E60" s="279" t="s">
        <v>1551</v>
      </c>
      <c r="F60" s="280" t="s">
        <v>1552</v>
      </c>
      <c r="G60" s="859" t="s">
        <v>1553</v>
      </c>
      <c r="H60" s="860" t="s">
        <v>1554</v>
      </c>
      <c r="I60" s="859" t="s">
        <v>1555</v>
      </c>
      <c r="J60" s="860" t="s">
        <v>1556</v>
      </c>
      <c r="K60" s="859" t="s">
        <v>1557</v>
      </c>
      <c r="L60" s="860" t="s">
        <v>1558</v>
      </c>
      <c r="M60" s="859" t="s">
        <v>1559</v>
      </c>
      <c r="N60" s="860" t="s">
        <v>1560</v>
      </c>
      <c r="O60" s="859" t="s">
        <v>1561</v>
      </c>
      <c r="P60" s="860" t="s">
        <v>1562</v>
      </c>
      <c r="Q60" s="859" t="s">
        <v>1563</v>
      </c>
      <c r="R60" s="860" t="s">
        <v>1564</v>
      </c>
      <c r="S60" s="859" t="s">
        <v>1565</v>
      </c>
      <c r="T60" s="860" t="s">
        <v>1566</v>
      </c>
      <c r="U60" s="859" t="s">
        <v>1567</v>
      </c>
      <c r="V60" s="860" t="s">
        <v>1568</v>
      </c>
      <c r="W60" s="859" t="s">
        <v>1569</v>
      </c>
      <c r="X60" s="860" t="s">
        <v>1570</v>
      </c>
      <c r="Y60" s="859" t="s">
        <v>1571</v>
      </c>
      <c r="Z60" s="860" t="s">
        <v>1572</v>
      </c>
      <c r="AA60" s="859" t="s">
        <v>1573</v>
      </c>
      <c r="AB60" s="860" t="s">
        <v>1574</v>
      </c>
      <c r="AC60" s="859" t="s">
        <v>1575</v>
      </c>
      <c r="AD60" s="860" t="s">
        <v>1576</v>
      </c>
      <c r="AE60" s="859" t="s">
        <v>1577</v>
      </c>
      <c r="AF60" s="860" t="s">
        <v>1578</v>
      </c>
      <c r="AG60" s="859" t="s">
        <v>1579</v>
      </c>
      <c r="AH60" s="860" t="s">
        <v>1580</v>
      </c>
      <c r="AI60" s="859" t="s">
        <v>1581</v>
      </c>
      <c r="AJ60" s="860" t="s">
        <v>1582</v>
      </c>
      <c r="AK60" s="859" t="s">
        <v>1583</v>
      </c>
      <c r="AL60" s="860" t="s">
        <v>1584</v>
      </c>
      <c r="AM60" s="859" t="s">
        <v>1585</v>
      </c>
      <c r="AN60" s="864" t="s">
        <v>1586</v>
      </c>
      <c r="AO60" s="409"/>
      <c r="AP60" s="175"/>
      <c r="AQ60" s="175"/>
      <c r="AR60" s="175"/>
      <c r="AS60" s="175"/>
      <c r="AT60" s="175"/>
      <c r="AU60" s="175"/>
      <c r="AV60" s="175"/>
      <c r="AW60" s="175"/>
      <c r="AX60" s="175"/>
      <c r="AY60" s="175"/>
      <c r="AZ60" s="1518"/>
      <c r="DJ60" s="175"/>
      <c r="DK60" s="175"/>
      <c r="DL60" s="175"/>
      <c r="DM60" s="175"/>
      <c r="DV60" s="960"/>
    </row>
    <row r="61" spans="1:128" s="141" customFormat="1" ht="26.4" customHeight="1" x14ac:dyDescent="0.3">
      <c r="B61" s="954" t="s">
        <v>366</v>
      </c>
      <c r="C61" s="1304"/>
      <c r="D61" s="175"/>
      <c r="E61" s="175"/>
      <c r="F61" s="175"/>
      <c r="G61" s="175"/>
      <c r="H61" s="175"/>
      <c r="I61" s="175"/>
      <c r="J61" s="175"/>
      <c r="K61" s="175"/>
      <c r="L61" s="175"/>
      <c r="M61" s="175"/>
      <c r="N61" s="175"/>
      <c r="O61" s="175"/>
      <c r="P61" s="364"/>
      <c r="Q61" s="364"/>
      <c r="R61" s="364"/>
      <c r="S61" s="364"/>
      <c r="T61" s="364"/>
      <c r="U61" s="364"/>
      <c r="V61" s="364"/>
      <c r="W61" s="364"/>
      <c r="X61" s="364"/>
      <c r="Y61" s="364"/>
      <c r="Z61" s="364"/>
      <c r="AA61" s="364"/>
      <c r="AB61" s="364"/>
      <c r="AC61" s="364"/>
      <c r="AD61" s="364"/>
      <c r="AE61" s="364"/>
      <c r="AF61" s="364"/>
      <c r="AG61" s="364"/>
      <c r="AH61" s="364"/>
      <c r="AI61" s="364"/>
      <c r="AJ61" s="364"/>
      <c r="AK61" s="364"/>
      <c r="AL61" s="364"/>
      <c r="AM61" s="364"/>
      <c r="AN61" s="364"/>
      <c r="AO61" s="1305"/>
      <c r="AP61" s="291"/>
      <c r="AQ61" s="291"/>
      <c r="AR61" s="291"/>
      <c r="AS61" s="291"/>
      <c r="AT61" s="291"/>
      <c r="AU61" s="291"/>
      <c r="AV61" s="291"/>
      <c r="AW61" s="291"/>
      <c r="AX61" s="291"/>
      <c r="AY61" s="291"/>
      <c r="AZ61" s="343"/>
      <c r="BA61" s="175"/>
      <c r="BB61" s="175"/>
      <c r="BC61" s="175"/>
      <c r="CC61" s="175"/>
      <c r="CD61" s="175"/>
      <c r="CE61" s="175"/>
      <c r="CF61" s="175"/>
      <c r="CG61" s="175"/>
      <c r="CH61" s="175"/>
      <c r="CI61" s="175"/>
      <c r="CJ61" s="175"/>
      <c r="CK61" s="175"/>
      <c r="CL61" s="175"/>
      <c r="CM61" s="175"/>
      <c r="CN61" s="175"/>
      <c r="CO61" s="175"/>
      <c r="CP61" s="175"/>
      <c r="CQ61" s="175"/>
      <c r="CR61" s="175"/>
      <c r="CS61" s="175"/>
      <c r="CT61" s="175"/>
      <c r="CX61" s="175"/>
      <c r="CY61" s="175"/>
      <c r="CZ61" s="175"/>
      <c r="DA61" s="175"/>
      <c r="DB61" s="175"/>
      <c r="DC61" s="175"/>
      <c r="DD61" s="175"/>
      <c r="DE61" s="175"/>
      <c r="DF61" s="175"/>
      <c r="DG61" s="175"/>
      <c r="DH61" s="175"/>
      <c r="DI61" s="175"/>
      <c r="DJ61" s="175"/>
      <c r="DK61" s="175"/>
      <c r="DL61" s="175"/>
      <c r="DM61" s="175"/>
      <c r="DN61" s="175"/>
      <c r="DO61" s="175"/>
      <c r="DP61" s="175"/>
      <c r="DQ61" s="175"/>
      <c r="DR61" s="175"/>
      <c r="DV61" s="960"/>
    </row>
    <row r="62" spans="1:128" s="141" customFormat="1" ht="18.75" customHeight="1" x14ac:dyDescent="0.3">
      <c r="A62" s="1648"/>
      <c r="B62" s="2378" t="s">
        <v>151</v>
      </c>
      <c r="C62" s="2379"/>
      <c r="D62" s="2369" t="s">
        <v>13</v>
      </c>
      <c r="E62" s="2370"/>
      <c r="F62" s="2371"/>
      <c r="G62" s="2114" t="s">
        <v>46</v>
      </c>
      <c r="H62" s="2145"/>
      <c r="I62" s="2145"/>
      <c r="J62" s="2145"/>
      <c r="K62" s="2145"/>
      <c r="L62" s="2145"/>
      <c r="M62" s="2145"/>
      <c r="N62" s="2145"/>
      <c r="O62" s="2145"/>
      <c r="P62" s="2368"/>
      <c r="Q62" s="2333" t="s">
        <v>465</v>
      </c>
      <c r="R62" s="2318"/>
      <c r="S62" s="364"/>
      <c r="T62" s="364"/>
      <c r="U62" s="364"/>
      <c r="V62" s="364"/>
      <c r="W62" s="364"/>
      <c r="X62" s="364"/>
      <c r="Y62" s="364"/>
      <c r="Z62" s="364"/>
      <c r="AA62" s="364"/>
      <c r="AB62" s="364"/>
      <c r="AC62" s="364"/>
      <c r="AD62" s="364"/>
      <c r="AE62" s="364"/>
      <c r="AF62" s="364"/>
      <c r="AG62" s="364"/>
      <c r="AH62" s="364"/>
      <c r="AI62" s="364"/>
      <c r="AJ62" s="364"/>
      <c r="AK62" s="364"/>
      <c r="AL62" s="364"/>
      <c r="AM62" s="364"/>
      <c r="AN62" s="364"/>
      <c r="AO62" s="1305"/>
      <c r="AP62" s="291"/>
      <c r="AQ62" s="291"/>
      <c r="AR62" s="291"/>
      <c r="AS62" s="291"/>
      <c r="AT62" s="291"/>
      <c r="AU62" s="291"/>
      <c r="AV62" s="291"/>
      <c r="AW62" s="291"/>
      <c r="AX62" s="291"/>
      <c r="AY62" s="291"/>
      <c r="AZ62" s="343"/>
      <c r="BA62" s="175"/>
      <c r="BB62" s="175"/>
      <c r="BC62" s="175"/>
      <c r="CC62" s="175"/>
      <c r="CD62" s="175"/>
      <c r="CE62" s="175"/>
      <c r="CF62" s="175"/>
      <c r="CG62" s="175"/>
      <c r="CH62" s="175"/>
      <c r="CI62" s="175"/>
      <c r="CJ62" s="175"/>
      <c r="CK62" s="175"/>
      <c r="CL62" s="336"/>
      <c r="CM62" s="336"/>
      <c r="CN62" s="175"/>
      <c r="CO62" s="175"/>
      <c r="CP62" s="175"/>
      <c r="CQ62" s="175"/>
      <c r="CR62" s="175"/>
      <c r="CS62" s="175"/>
      <c r="CT62" s="175"/>
      <c r="CX62" s="319"/>
      <c r="CY62" s="319"/>
      <c r="CZ62" s="319"/>
      <c r="DA62" s="61"/>
      <c r="DB62" s="434"/>
      <c r="DC62" s="175"/>
      <c r="DD62" s="175"/>
      <c r="DE62" s="175"/>
      <c r="DF62" s="175"/>
      <c r="DG62" s="175"/>
      <c r="DH62" s="175"/>
      <c r="DI62" s="175"/>
      <c r="DJ62" s="175"/>
      <c r="DK62" s="175"/>
      <c r="DL62" s="175"/>
      <c r="DM62" s="175"/>
      <c r="DN62" s="175"/>
      <c r="DO62" s="175"/>
      <c r="DP62" s="175"/>
      <c r="DQ62" s="175"/>
      <c r="DR62" s="175"/>
      <c r="DV62" s="960"/>
    </row>
    <row r="63" spans="1:128" s="141" customFormat="1" ht="23.25" customHeight="1" x14ac:dyDescent="0.3">
      <c r="A63" s="1648"/>
      <c r="B63" s="2380"/>
      <c r="C63" s="2381"/>
      <c r="D63" s="2372"/>
      <c r="E63" s="2373"/>
      <c r="F63" s="2374"/>
      <c r="G63" s="2107" t="s">
        <v>206</v>
      </c>
      <c r="H63" s="2107"/>
      <c r="I63" s="2107" t="s">
        <v>207</v>
      </c>
      <c r="J63" s="2107"/>
      <c r="K63" s="1989" t="s">
        <v>128</v>
      </c>
      <c r="L63" s="1989"/>
      <c r="M63" s="1989" t="s">
        <v>17</v>
      </c>
      <c r="N63" s="1989"/>
      <c r="O63" s="1989" t="s">
        <v>18</v>
      </c>
      <c r="P63" s="1989"/>
      <c r="Q63" s="2323"/>
      <c r="R63" s="2320"/>
      <c r="S63" s="364"/>
      <c r="T63" s="364"/>
      <c r="U63" s="364"/>
      <c r="V63" s="364"/>
      <c r="W63" s="364"/>
      <c r="X63" s="364"/>
      <c r="Y63" s="364"/>
      <c r="Z63" s="364"/>
      <c r="AA63" s="364"/>
      <c r="AB63" s="364"/>
      <c r="AC63" s="364"/>
      <c r="AD63" s="364"/>
      <c r="AE63" s="364"/>
      <c r="AF63" s="364"/>
      <c r="AG63" s="364"/>
      <c r="AH63" s="364"/>
      <c r="AI63" s="364"/>
      <c r="AJ63" s="364"/>
      <c r="AK63" s="364"/>
      <c r="AL63" s="364"/>
      <c r="AM63" s="364"/>
      <c r="AN63" s="364"/>
      <c r="AO63" s="1305"/>
      <c r="AP63" s="291"/>
      <c r="AQ63" s="291"/>
      <c r="AR63" s="291"/>
      <c r="AS63" s="291"/>
      <c r="AT63" s="291"/>
      <c r="AU63" s="291"/>
      <c r="AV63" s="291"/>
      <c r="AW63" s="291"/>
      <c r="AX63" s="291"/>
      <c r="AY63" s="291"/>
      <c r="AZ63" s="343"/>
      <c r="BA63" s="175"/>
      <c r="BB63" s="175"/>
      <c r="BC63" s="175"/>
      <c r="CC63" s="175"/>
      <c r="CD63" s="175"/>
      <c r="CE63" s="61"/>
      <c r="CF63" s="61"/>
      <c r="CG63" s="336"/>
      <c r="CH63" s="336"/>
      <c r="CI63" s="175"/>
      <c r="CJ63" s="175"/>
      <c r="CK63" s="175"/>
      <c r="CL63" s="175"/>
      <c r="CM63" s="175"/>
      <c r="CN63" s="175"/>
      <c r="CO63" s="175"/>
      <c r="CP63" s="175"/>
      <c r="CQ63" s="175"/>
      <c r="CR63" s="175"/>
      <c r="CS63" s="175"/>
      <c r="CT63" s="336"/>
      <c r="CX63" s="61"/>
      <c r="CY63" s="61"/>
      <c r="CZ63" s="61"/>
      <c r="DA63" s="61"/>
      <c r="DB63" s="61"/>
      <c r="DC63" s="175"/>
      <c r="DD63" s="175"/>
      <c r="DE63" s="175"/>
      <c r="DF63" s="175"/>
      <c r="DG63" s="336"/>
      <c r="DH63" s="336"/>
      <c r="DI63" s="175"/>
      <c r="DJ63" s="175"/>
      <c r="DK63" s="175"/>
      <c r="DL63" s="175"/>
      <c r="DM63" s="175"/>
      <c r="DN63" s="175"/>
      <c r="DO63" s="175"/>
      <c r="DP63" s="175"/>
      <c r="DQ63" s="175"/>
      <c r="DR63" s="336"/>
      <c r="DV63" s="960"/>
    </row>
    <row r="64" spans="1:128" s="57" customFormat="1" ht="27.75" customHeight="1" x14ac:dyDescent="0.3">
      <c r="A64" s="1649"/>
      <c r="B64" s="2382"/>
      <c r="C64" s="2383"/>
      <c r="D64" s="1384" t="s">
        <v>367</v>
      </c>
      <c r="E64" s="1352" t="s">
        <v>31</v>
      </c>
      <c r="F64" s="357" t="s">
        <v>94</v>
      </c>
      <c r="G64" s="356" t="s">
        <v>31</v>
      </c>
      <c r="H64" s="357" t="s">
        <v>94</v>
      </c>
      <c r="I64" s="356" t="s">
        <v>31</v>
      </c>
      <c r="J64" s="357" t="s">
        <v>94</v>
      </c>
      <c r="K64" s="356" t="s">
        <v>31</v>
      </c>
      <c r="L64" s="357" t="s">
        <v>94</v>
      </c>
      <c r="M64" s="356" t="s">
        <v>31</v>
      </c>
      <c r="N64" s="357" t="s">
        <v>94</v>
      </c>
      <c r="O64" s="356" t="s">
        <v>31</v>
      </c>
      <c r="P64" s="939" t="s">
        <v>94</v>
      </c>
      <c r="Q64" s="955" t="s">
        <v>31</v>
      </c>
      <c r="R64" s="450" t="s">
        <v>94</v>
      </c>
      <c r="S64" s="364"/>
      <c r="T64" s="364"/>
      <c r="U64" s="364"/>
      <c r="V64" s="364"/>
      <c r="W64" s="364"/>
      <c r="X64" s="364"/>
      <c r="Y64" s="364"/>
      <c r="Z64" s="364"/>
      <c r="AA64" s="364"/>
      <c r="AB64" s="364"/>
      <c r="AC64" s="364"/>
      <c r="AD64" s="364"/>
      <c r="AE64" s="364"/>
      <c r="AF64" s="364"/>
      <c r="AG64" s="364"/>
      <c r="AH64" s="364"/>
      <c r="AI64" s="364"/>
      <c r="AJ64" s="364"/>
      <c r="AK64" s="364"/>
      <c r="AL64" s="364"/>
      <c r="AM64" s="364"/>
      <c r="AN64" s="364"/>
      <c r="AO64" s="1305"/>
      <c r="AP64" s="291"/>
      <c r="AQ64" s="291"/>
      <c r="AR64" s="291"/>
      <c r="AS64" s="291"/>
      <c r="AT64" s="291"/>
      <c r="AU64" s="291"/>
      <c r="AV64" s="291"/>
      <c r="AW64" s="291"/>
      <c r="AX64" s="291"/>
      <c r="AY64" s="291"/>
      <c r="AZ64" s="1513"/>
      <c r="BA64" s="178"/>
      <c r="BB64" s="178"/>
      <c r="BC64" s="178"/>
      <c r="CC64" s="175"/>
      <c r="CD64" s="175"/>
      <c r="CE64" s="175"/>
      <c r="CF64" s="175"/>
      <c r="CG64" s="61"/>
      <c r="CH64" s="61"/>
      <c r="CI64" s="175"/>
      <c r="CJ64" s="175"/>
      <c r="CK64" s="175"/>
      <c r="CL64" s="175"/>
      <c r="CM64" s="175"/>
      <c r="CN64" s="175"/>
      <c r="CO64" s="175"/>
      <c r="CP64" s="175"/>
      <c r="CQ64" s="175"/>
      <c r="CR64" s="175"/>
      <c r="CS64" s="175"/>
      <c r="CT64" s="61"/>
      <c r="CX64" s="175"/>
      <c r="CY64" s="175"/>
      <c r="CZ64" s="175"/>
      <c r="DA64" s="175"/>
      <c r="DB64" s="175"/>
      <c r="DC64" s="175"/>
      <c r="DD64" s="175"/>
      <c r="DE64" s="175"/>
      <c r="DF64" s="175"/>
      <c r="DG64" s="61"/>
      <c r="DH64" s="61"/>
      <c r="DI64" s="175"/>
      <c r="DJ64" s="175"/>
      <c r="DK64" s="175"/>
      <c r="DL64" s="175"/>
      <c r="DM64" s="175"/>
      <c r="DN64" s="175"/>
      <c r="DO64" s="175"/>
      <c r="DP64" s="175"/>
      <c r="DQ64" s="175"/>
      <c r="DR64" s="61"/>
      <c r="DV64" s="960"/>
    </row>
    <row r="65" spans="1:127" s="141" customFormat="1" ht="18" customHeight="1" x14ac:dyDescent="0.3">
      <c r="A65" s="1637" t="s">
        <v>1319</v>
      </c>
      <c r="B65" s="2344" t="s">
        <v>513</v>
      </c>
      <c r="C65" s="2345"/>
      <c r="D65" s="1393" t="s">
        <v>1550</v>
      </c>
      <c r="E65" s="1394" t="s">
        <v>1551</v>
      </c>
      <c r="F65" s="540" t="s">
        <v>1552</v>
      </c>
      <c r="G65" s="859" t="s">
        <v>1553</v>
      </c>
      <c r="H65" s="860" t="s">
        <v>1554</v>
      </c>
      <c r="I65" s="859" t="s">
        <v>1555</v>
      </c>
      <c r="J65" s="860" t="s">
        <v>1556</v>
      </c>
      <c r="K65" s="859" t="s">
        <v>1557</v>
      </c>
      <c r="L65" s="860" t="s">
        <v>1558</v>
      </c>
      <c r="M65" s="859" t="s">
        <v>1559</v>
      </c>
      <c r="N65" s="860" t="s">
        <v>1560</v>
      </c>
      <c r="O65" s="859" t="s">
        <v>1561</v>
      </c>
      <c r="P65" s="940" t="s">
        <v>1562</v>
      </c>
      <c r="Q65" s="860" t="s">
        <v>1563</v>
      </c>
      <c r="R65" s="861" t="s">
        <v>1564</v>
      </c>
      <c r="S65" s="1514" t="str">
        <f>CB65&amp;CC65&amp;CD65&amp;CE65&amp;CF65&amp;CG65&amp;CH65&amp;CI65&amp;CJ65&amp;CK65&amp;CL65&amp;CM65&amp;CN65&amp;CO65&amp;CP65&amp;CQ65&amp;CR65&amp;CT65&amp;CU65&amp;CV65&amp;CW65&amp;CX65&amp;CY65</f>
        <v xml:space="preserve"> * La variable Población Migrantes Hombres no debe ser mayor al Total Hombres. * La variable Población Migrantes Mujeres no debe ser mayor al Total Mujeres.</v>
      </c>
      <c r="T65" s="175"/>
      <c r="U65" s="175"/>
      <c r="V65" s="960"/>
      <c r="W65" s="175"/>
      <c r="X65" s="175"/>
      <c r="Y65" s="175"/>
      <c r="Z65" s="175"/>
      <c r="AA65" s="175"/>
      <c r="AB65" s="175"/>
      <c r="AC65" s="175"/>
      <c r="AD65" s="175"/>
      <c r="AE65" s="175"/>
      <c r="AF65" s="175"/>
      <c r="AG65" s="175"/>
      <c r="AH65" s="175"/>
      <c r="AI65" s="175"/>
      <c r="AJ65" s="175"/>
      <c r="AK65" s="175"/>
      <c r="AL65" s="175"/>
      <c r="AM65" s="175"/>
      <c r="AN65" s="175"/>
      <c r="AO65" s="175"/>
      <c r="AP65" s="175"/>
      <c r="AQ65" s="175"/>
      <c r="AR65" s="175"/>
      <c r="AS65" s="175"/>
      <c r="AT65" s="175"/>
      <c r="AU65" s="175"/>
      <c r="AV65" s="175"/>
      <c r="AW65" s="175"/>
      <c r="AX65" s="175"/>
      <c r="AY65" s="175"/>
      <c r="AZ65" s="1518"/>
      <c r="BA65" s="178"/>
      <c r="BB65" s="178"/>
      <c r="BC65" s="178"/>
      <c r="CC65" s="354"/>
      <c r="CD65" s="354"/>
      <c r="CE65" s="354"/>
      <c r="CF65" s="354"/>
      <c r="CG65" s="348" t="str">
        <f>IF(AND(E65&gt;0,OR(Q65=""))," * No olvide digitar la variable Población Migrantes Hombres (Digite Cero si no tiene).",IF(Q65&gt;E65," * La variable Población Migrantes Hombres no debe ser mayor al Total Hombres.",""))</f>
        <v xml:space="preserve"> * La variable Población Migrantes Hombres no debe ser mayor al Total Hombres.</v>
      </c>
      <c r="CH65" s="348" t="str">
        <f>IF(AND(F65&gt;0,OR(R65=""))," * No olvide digitar la variable Población Migrantes Mujeres (Digite Cero si no tiene).",IF(R65&gt;F65," * La variable Población Migrantes Mujeres no debe ser mayor al Total Mujeres.",""))</f>
        <v xml:space="preserve"> * La variable Población Migrantes Mujeres no debe ser mayor al Total Mujeres.</v>
      </c>
      <c r="CI65" s="175"/>
      <c r="CJ65" s="175"/>
      <c r="CK65" s="175"/>
      <c r="CL65" s="175"/>
      <c r="CM65" s="175"/>
      <c r="CN65" s="175"/>
      <c r="CO65" s="175"/>
      <c r="CP65" s="175"/>
      <c r="CQ65" s="175"/>
      <c r="CR65" s="175"/>
      <c r="CS65" s="175"/>
      <c r="CT65" s="175"/>
      <c r="CX65" s="175"/>
      <c r="CY65" s="175"/>
      <c r="CZ65" s="175"/>
      <c r="DA65" s="175"/>
      <c r="DB65" s="352"/>
      <c r="DC65" s="352"/>
      <c r="DD65" s="352"/>
      <c r="DE65" s="352"/>
      <c r="DF65" s="358">
        <f>IF(($Q65)&gt;$E65,1,0)</f>
        <v>1</v>
      </c>
      <c r="DG65" s="358">
        <f>IF($R65&gt;$F65,1,0)</f>
        <v>1</v>
      </c>
      <c r="DH65" s="358">
        <f>IF(AND($E65&lt;&gt;0,$Q65=""),1,0)</f>
        <v>0</v>
      </c>
      <c r="DI65" s="358">
        <f>IF(AND($F65&lt;&gt;0,$R65=""),1,0)</f>
        <v>0</v>
      </c>
      <c r="DJ65" s="352"/>
      <c r="DK65" s="175"/>
      <c r="DL65" s="175"/>
      <c r="DM65" s="175"/>
      <c r="DN65" s="175"/>
      <c r="DO65" s="175"/>
      <c r="DU65" s="960"/>
    </row>
    <row r="66" spans="1:127" s="141" customFormat="1" ht="36" customHeight="1" x14ac:dyDescent="0.3">
      <c r="B66" s="2348" t="s">
        <v>537</v>
      </c>
      <c r="C66" s="2349"/>
      <c r="D66" s="2349"/>
      <c r="E66" s="2349"/>
      <c r="F66" s="2349"/>
      <c r="G66" s="2349"/>
      <c r="H66" s="2349"/>
      <c r="I66" s="2349"/>
      <c r="J66" s="2349"/>
      <c r="K66" s="2349"/>
      <c r="L66" s="2349"/>
      <c r="M66" s="2349"/>
      <c r="N66" s="2349"/>
      <c r="O66" s="2349"/>
      <c r="P66" s="2349"/>
      <c r="Q66" s="175"/>
      <c r="R66" s="175"/>
      <c r="Y66" s="55"/>
      <c r="Z66" s="175"/>
      <c r="AA66" s="175"/>
      <c r="AB66" s="175"/>
      <c r="AC66" s="55"/>
      <c r="AD66" s="181"/>
      <c r="AZ66" s="1513"/>
      <c r="BA66" s="178"/>
      <c r="BB66" s="178"/>
      <c r="BC66" s="178"/>
      <c r="CC66" s="175"/>
      <c r="CD66" s="175"/>
      <c r="CE66" s="175"/>
      <c r="CF66" s="175"/>
      <c r="CG66" s="175"/>
      <c r="CH66" s="175"/>
      <c r="CI66" s="175"/>
      <c r="CJ66" s="175"/>
      <c r="CK66" s="175"/>
      <c r="CL66" s="175"/>
      <c r="CM66" s="175"/>
      <c r="CN66" s="175"/>
      <c r="CO66" s="175"/>
      <c r="CP66" s="175"/>
      <c r="CQ66" s="175"/>
      <c r="CR66" s="175"/>
      <c r="CS66" s="175"/>
      <c r="CT66" s="175"/>
      <c r="CX66" s="175"/>
      <c r="CY66" s="175"/>
      <c r="CZ66" s="175"/>
      <c r="DA66" s="175"/>
      <c r="DB66" s="175"/>
      <c r="DC66" s="175"/>
      <c r="DD66" s="175"/>
      <c r="DE66" s="175"/>
      <c r="DF66" s="175"/>
      <c r="DG66" s="175"/>
      <c r="DH66" s="175"/>
      <c r="DI66" s="175"/>
      <c r="DJ66" s="175"/>
      <c r="DK66" s="175"/>
      <c r="DL66" s="175"/>
      <c r="DM66" s="175"/>
      <c r="DN66" s="175"/>
      <c r="DO66" s="175"/>
      <c r="DP66" s="175"/>
      <c r="DQ66" s="175"/>
      <c r="DU66" s="960"/>
    </row>
    <row r="67" spans="1:127" s="141" customFormat="1" ht="18" customHeight="1" x14ac:dyDescent="0.3">
      <c r="B67" s="2107" t="s">
        <v>151</v>
      </c>
      <c r="C67" s="2107"/>
      <c r="D67" s="2107" t="s">
        <v>104</v>
      </c>
      <c r="E67" s="2107"/>
      <c r="F67" s="2107"/>
      <c r="G67" s="2107" t="s">
        <v>14</v>
      </c>
      <c r="H67" s="2107"/>
      <c r="I67" s="2107"/>
      <c r="J67" s="2107"/>
      <c r="K67" s="2107"/>
      <c r="L67" s="2107"/>
      <c r="M67" s="2107"/>
      <c r="N67" s="2107"/>
      <c r="O67" s="2107"/>
      <c r="P67" s="2107"/>
      <c r="Q67" s="2107"/>
      <c r="R67" s="2107"/>
      <c r="S67" s="2107"/>
      <c r="T67" s="2107"/>
      <c r="U67" s="2107"/>
      <c r="V67" s="2107"/>
      <c r="W67" s="2107"/>
      <c r="X67" s="2107"/>
      <c r="Y67" s="2107"/>
      <c r="Z67" s="2107"/>
      <c r="AA67" s="2107"/>
      <c r="AB67" s="2107"/>
      <c r="AC67" s="2107"/>
      <c r="AD67" s="2107"/>
      <c r="AE67" s="2107"/>
      <c r="AF67" s="2107"/>
      <c r="AG67" s="2107"/>
      <c r="AH67" s="2107"/>
      <c r="AI67" s="2107"/>
      <c r="AJ67" s="2107"/>
      <c r="AK67" s="2107"/>
      <c r="AL67" s="2107"/>
      <c r="AM67" s="2107"/>
      <c r="AN67" s="2100"/>
      <c r="AO67" s="2327" t="s">
        <v>205</v>
      </c>
      <c r="AP67" s="2314" t="s">
        <v>356</v>
      </c>
      <c r="AQ67" s="2314" t="s">
        <v>15</v>
      </c>
      <c r="AR67" s="2314"/>
      <c r="AS67" s="2325" t="s">
        <v>804</v>
      </c>
      <c r="AT67" s="2318"/>
      <c r="AU67" s="2329" t="s">
        <v>715</v>
      </c>
      <c r="AV67" s="2318" t="s">
        <v>686</v>
      </c>
      <c r="AW67" s="2318" t="s">
        <v>570</v>
      </c>
      <c r="AX67" s="2317" t="s">
        <v>819</v>
      </c>
      <c r="AY67" s="2318"/>
      <c r="AZ67" s="1513"/>
      <c r="BA67" s="178"/>
      <c r="BB67" s="178"/>
      <c r="BC67" s="178"/>
      <c r="CC67" s="175"/>
      <c r="CD67" s="175"/>
      <c r="CE67" s="175"/>
      <c r="CF67" s="175"/>
      <c r="CG67" s="175"/>
      <c r="CH67" s="175"/>
      <c r="CI67" s="175"/>
      <c r="CJ67" s="175"/>
      <c r="CK67" s="175"/>
      <c r="CL67" s="175"/>
      <c r="CM67" s="175"/>
      <c r="CN67" s="175"/>
      <c r="CO67" s="175"/>
      <c r="CP67" s="175"/>
      <c r="CQ67" s="175"/>
      <c r="CR67" s="175"/>
      <c r="CS67" s="175"/>
      <c r="CT67" s="175"/>
      <c r="CX67" s="175"/>
      <c r="CY67" s="175"/>
      <c r="CZ67" s="175"/>
      <c r="DA67" s="175"/>
      <c r="DB67" s="175"/>
      <c r="DC67" s="175"/>
      <c r="DD67" s="175"/>
      <c r="DE67" s="175"/>
      <c r="DF67" s="175"/>
      <c r="DG67" s="175"/>
      <c r="DH67" s="175"/>
      <c r="DI67" s="175"/>
      <c r="DJ67" s="175"/>
      <c r="DK67" s="175"/>
      <c r="DL67" s="175"/>
      <c r="DM67" s="175"/>
      <c r="DN67" s="175"/>
      <c r="DO67" s="175"/>
      <c r="DP67" s="175"/>
      <c r="DQ67" s="175"/>
      <c r="DU67" s="960"/>
    </row>
    <row r="68" spans="1:127" s="141" customFormat="1" ht="18" customHeight="1" x14ac:dyDescent="0.2">
      <c r="B68" s="2107"/>
      <c r="C68" s="2107"/>
      <c r="D68" s="2107"/>
      <c r="E68" s="2107"/>
      <c r="F68" s="2107"/>
      <c r="G68" s="2113" t="s">
        <v>206</v>
      </c>
      <c r="H68" s="2100"/>
      <c r="I68" s="2107" t="s">
        <v>207</v>
      </c>
      <c r="J68" s="2100"/>
      <c r="K68" s="2114" t="s">
        <v>128</v>
      </c>
      <c r="L68" s="2115"/>
      <c r="M68" s="2114" t="s">
        <v>17</v>
      </c>
      <c r="N68" s="2115"/>
      <c r="O68" s="2114" t="s">
        <v>18</v>
      </c>
      <c r="P68" s="2115"/>
      <c r="Q68" s="2114" t="s">
        <v>19</v>
      </c>
      <c r="R68" s="2115"/>
      <c r="S68" s="2114" t="s">
        <v>20</v>
      </c>
      <c r="T68" s="2115"/>
      <c r="U68" s="2114" t="s">
        <v>21</v>
      </c>
      <c r="V68" s="2115"/>
      <c r="W68" s="2114" t="s">
        <v>22</v>
      </c>
      <c r="X68" s="2115"/>
      <c r="Y68" s="2114" t="s">
        <v>23</v>
      </c>
      <c r="Z68" s="2115"/>
      <c r="AA68" s="2114" t="s">
        <v>24</v>
      </c>
      <c r="AB68" s="2115"/>
      <c r="AC68" s="2114" t="s">
        <v>208</v>
      </c>
      <c r="AD68" s="2115"/>
      <c r="AE68" s="2114" t="s">
        <v>209</v>
      </c>
      <c r="AF68" s="2115"/>
      <c r="AG68" s="2117" t="s">
        <v>181</v>
      </c>
      <c r="AH68" s="2118"/>
      <c r="AI68" s="2117" t="s">
        <v>182</v>
      </c>
      <c r="AJ68" s="2118"/>
      <c r="AK68" s="2117" t="s">
        <v>183</v>
      </c>
      <c r="AL68" s="2118"/>
      <c r="AM68" s="2330" t="s">
        <v>195</v>
      </c>
      <c r="AN68" s="2331"/>
      <c r="AO68" s="2328"/>
      <c r="AP68" s="2315"/>
      <c r="AQ68" s="2316"/>
      <c r="AR68" s="2316"/>
      <c r="AS68" s="2326"/>
      <c r="AT68" s="2320"/>
      <c r="AU68" s="2315"/>
      <c r="AV68" s="2324"/>
      <c r="AW68" s="2324"/>
      <c r="AX68" s="2319"/>
      <c r="AY68" s="2320"/>
      <c r="AZ68" s="1513"/>
      <c r="BA68" s="178"/>
      <c r="BB68" s="178"/>
      <c r="BC68" s="178"/>
      <c r="CC68" s="317" t="s">
        <v>205</v>
      </c>
      <c r="CD68" s="317" t="s">
        <v>568</v>
      </c>
      <c r="CE68" s="317" t="s">
        <v>538</v>
      </c>
      <c r="CF68" s="317" t="s">
        <v>538</v>
      </c>
      <c r="CG68" s="317" t="s">
        <v>539</v>
      </c>
      <c r="CH68" s="317" t="s">
        <v>539</v>
      </c>
      <c r="CI68" s="317" t="s">
        <v>567</v>
      </c>
      <c r="CJ68" s="317" t="s">
        <v>874</v>
      </c>
      <c r="CK68" s="1425" t="s">
        <v>570</v>
      </c>
      <c r="CL68" s="317" t="s">
        <v>873</v>
      </c>
      <c r="CM68" s="317" t="s">
        <v>873</v>
      </c>
      <c r="CN68" s="354"/>
      <c r="CO68" s="317" t="s">
        <v>205</v>
      </c>
      <c r="CP68" s="317" t="s">
        <v>568</v>
      </c>
      <c r="CQ68" s="317" t="s">
        <v>538</v>
      </c>
      <c r="CR68" s="317" t="s">
        <v>538</v>
      </c>
      <c r="CS68" s="317" t="s">
        <v>539</v>
      </c>
      <c r="CT68" s="317" t="s">
        <v>539</v>
      </c>
      <c r="CU68" s="317" t="s">
        <v>567</v>
      </c>
      <c r="CV68" s="317" t="s">
        <v>874</v>
      </c>
      <c r="CW68" s="406" t="s">
        <v>576</v>
      </c>
      <c r="CX68" s="336"/>
      <c r="CY68" s="175"/>
      <c r="CZ68" s="175"/>
      <c r="DA68" s="175"/>
      <c r="DB68" s="1611" t="s">
        <v>205</v>
      </c>
      <c r="DC68" s="1611" t="s">
        <v>568</v>
      </c>
      <c r="DD68" s="1614" t="s">
        <v>538</v>
      </c>
      <c r="DE68" s="1614" t="s">
        <v>538</v>
      </c>
      <c r="DF68" s="1614" t="s">
        <v>539</v>
      </c>
      <c r="DG68" s="1614" t="s">
        <v>539</v>
      </c>
      <c r="DH68" s="2310" t="s">
        <v>541</v>
      </c>
      <c r="DI68" s="2310" t="s">
        <v>872</v>
      </c>
      <c r="DJ68" s="2310" t="s">
        <v>570</v>
      </c>
      <c r="DK68" s="336"/>
      <c r="DL68" s="1614" t="s">
        <v>873</v>
      </c>
      <c r="DM68" s="1614" t="s">
        <v>873</v>
      </c>
      <c r="DN68" s="336"/>
      <c r="DO68" s="1614" t="s">
        <v>205</v>
      </c>
      <c r="DP68" s="1614" t="s">
        <v>568</v>
      </c>
      <c r="DQ68" s="1614" t="s">
        <v>538</v>
      </c>
      <c r="DR68" s="1614" t="s">
        <v>538</v>
      </c>
      <c r="DS68" s="1614" t="s">
        <v>539</v>
      </c>
      <c r="DT68" s="1614" t="s">
        <v>539</v>
      </c>
      <c r="DU68" s="2310" t="s">
        <v>541</v>
      </c>
      <c r="DV68" s="2310" t="s">
        <v>872</v>
      </c>
      <c r="DW68" s="2310" t="s">
        <v>570</v>
      </c>
    </row>
    <row r="69" spans="1:127" s="141" customFormat="1" ht="29.25" customHeight="1" x14ac:dyDescent="0.2">
      <c r="B69" s="2107"/>
      <c r="C69" s="2107"/>
      <c r="D69" s="188" t="s">
        <v>93</v>
      </c>
      <c r="E69" s="365" t="s">
        <v>31</v>
      </c>
      <c r="F69" s="366" t="s">
        <v>94</v>
      </c>
      <c r="G69" s="367" t="s">
        <v>31</v>
      </c>
      <c r="H69" s="366" t="s">
        <v>94</v>
      </c>
      <c r="I69" s="367" t="s">
        <v>31</v>
      </c>
      <c r="J69" s="366" t="s">
        <v>94</v>
      </c>
      <c r="K69" s="367" t="s">
        <v>31</v>
      </c>
      <c r="L69" s="366" t="s">
        <v>94</v>
      </c>
      <c r="M69" s="367" t="s">
        <v>31</v>
      </c>
      <c r="N69" s="366" t="s">
        <v>94</v>
      </c>
      <c r="O69" s="367" t="s">
        <v>31</v>
      </c>
      <c r="P69" s="366" t="s">
        <v>94</v>
      </c>
      <c r="Q69" s="367" t="s">
        <v>31</v>
      </c>
      <c r="R69" s="366" t="s">
        <v>94</v>
      </c>
      <c r="S69" s="367" t="s">
        <v>31</v>
      </c>
      <c r="T69" s="366" t="s">
        <v>94</v>
      </c>
      <c r="U69" s="367" t="s">
        <v>31</v>
      </c>
      <c r="V69" s="366" t="s">
        <v>94</v>
      </c>
      <c r="W69" s="367" t="s">
        <v>31</v>
      </c>
      <c r="X69" s="366" t="s">
        <v>94</v>
      </c>
      <c r="Y69" s="367" t="s">
        <v>31</v>
      </c>
      <c r="Z69" s="366" t="s">
        <v>94</v>
      </c>
      <c r="AA69" s="367" t="s">
        <v>31</v>
      </c>
      <c r="AB69" s="366" t="s">
        <v>94</v>
      </c>
      <c r="AC69" s="367" t="s">
        <v>31</v>
      </c>
      <c r="AD69" s="366" t="s">
        <v>94</v>
      </c>
      <c r="AE69" s="367" t="s">
        <v>31</v>
      </c>
      <c r="AF69" s="366" t="s">
        <v>94</v>
      </c>
      <c r="AG69" s="189" t="s">
        <v>129</v>
      </c>
      <c r="AH69" s="190" t="s">
        <v>94</v>
      </c>
      <c r="AI69" s="189" t="s">
        <v>129</v>
      </c>
      <c r="AJ69" s="190" t="s">
        <v>94</v>
      </c>
      <c r="AK69" s="189" t="s">
        <v>129</v>
      </c>
      <c r="AL69" s="190" t="s">
        <v>94</v>
      </c>
      <c r="AM69" s="142" t="s">
        <v>31</v>
      </c>
      <c r="AN69" s="191" t="s">
        <v>94</v>
      </c>
      <c r="AO69" s="2328"/>
      <c r="AP69" s="2315"/>
      <c r="AQ69" s="1073" t="s">
        <v>31</v>
      </c>
      <c r="AR69" s="1074" t="s">
        <v>94</v>
      </c>
      <c r="AS69" s="1071" t="s">
        <v>31</v>
      </c>
      <c r="AT69" s="450" t="s">
        <v>94</v>
      </c>
      <c r="AU69" s="2316"/>
      <c r="AV69" s="2320"/>
      <c r="AW69" s="2320"/>
      <c r="AX69" s="1267" t="s">
        <v>463</v>
      </c>
      <c r="AY69" s="1267" t="s">
        <v>820</v>
      </c>
      <c r="AZ69" s="1513"/>
      <c r="BA69" s="175"/>
      <c r="BB69" s="178"/>
      <c r="BC69" s="178"/>
      <c r="CC69" s="317"/>
      <c r="CD69" s="317"/>
      <c r="CE69" s="406" t="s">
        <v>31</v>
      </c>
      <c r="CF69" s="406" t="s">
        <v>94</v>
      </c>
      <c r="CG69" s="406" t="s">
        <v>31</v>
      </c>
      <c r="CH69" s="406" t="s">
        <v>94</v>
      </c>
      <c r="CI69" s="317"/>
      <c r="CJ69" s="317"/>
      <c r="CK69" s="1425"/>
      <c r="CL69" s="406" t="s">
        <v>463</v>
      </c>
      <c r="CM69" s="406" t="s">
        <v>464</v>
      </c>
      <c r="CN69" s="354"/>
      <c r="CO69" s="406" t="s">
        <v>540</v>
      </c>
      <c r="CP69" s="406" t="s">
        <v>540</v>
      </c>
      <c r="CQ69" s="406" t="s">
        <v>31</v>
      </c>
      <c r="CR69" s="406" t="s">
        <v>94</v>
      </c>
      <c r="CS69" s="406" t="s">
        <v>31</v>
      </c>
      <c r="CT69" s="406" t="s">
        <v>94</v>
      </c>
      <c r="CU69" s="406" t="s">
        <v>540</v>
      </c>
      <c r="CV69" s="406" t="s">
        <v>540</v>
      </c>
      <c r="CW69" s="406" t="s">
        <v>540</v>
      </c>
      <c r="CX69" s="61"/>
      <c r="CY69" s="175"/>
      <c r="CZ69" s="175"/>
      <c r="DA69" s="175"/>
      <c r="DB69" s="991"/>
      <c r="DC69" s="991"/>
      <c r="DD69" s="1615" t="s">
        <v>31</v>
      </c>
      <c r="DE69" s="1615" t="s">
        <v>94</v>
      </c>
      <c r="DF69" s="1615" t="s">
        <v>31</v>
      </c>
      <c r="DG69" s="1615" t="s">
        <v>94</v>
      </c>
      <c r="DH69" s="2311"/>
      <c r="DI69" s="2311"/>
      <c r="DJ69" s="2311"/>
      <c r="DK69" s="336"/>
      <c r="DL69" s="1615" t="s">
        <v>463</v>
      </c>
      <c r="DM69" s="1615" t="s">
        <v>464</v>
      </c>
      <c r="DN69" s="61"/>
      <c r="DO69" s="1615" t="s">
        <v>540</v>
      </c>
      <c r="DP69" s="1615" t="s">
        <v>540</v>
      </c>
      <c r="DQ69" s="1615" t="s">
        <v>31</v>
      </c>
      <c r="DR69" s="1615" t="s">
        <v>94</v>
      </c>
      <c r="DS69" s="1615" t="s">
        <v>31</v>
      </c>
      <c r="DT69" s="1615" t="s">
        <v>94</v>
      </c>
      <c r="DU69" s="2311"/>
      <c r="DV69" s="2311"/>
      <c r="DW69" s="2311"/>
    </row>
    <row r="70" spans="1:127" s="141" customFormat="1" ht="22.5" customHeight="1" x14ac:dyDescent="0.3">
      <c r="A70" s="1637" t="s">
        <v>1320</v>
      </c>
      <c r="B70" s="2346" t="s">
        <v>459</v>
      </c>
      <c r="C70" s="2347"/>
      <c r="D70" s="1657" t="s">
        <v>1550</v>
      </c>
      <c r="E70" s="1658" t="s">
        <v>1551</v>
      </c>
      <c r="F70" s="1659" t="s">
        <v>1552</v>
      </c>
      <c r="G70" s="1660" t="s">
        <v>1553</v>
      </c>
      <c r="H70" s="1661" t="s">
        <v>1554</v>
      </c>
      <c r="I70" s="1660" t="s">
        <v>1555</v>
      </c>
      <c r="J70" s="1662" t="s">
        <v>1556</v>
      </c>
      <c r="K70" s="1660" t="s">
        <v>1557</v>
      </c>
      <c r="L70" s="1661" t="s">
        <v>1558</v>
      </c>
      <c r="M70" s="1660" t="s">
        <v>1559</v>
      </c>
      <c r="N70" s="1662" t="s">
        <v>1560</v>
      </c>
      <c r="O70" s="1660" t="s">
        <v>1561</v>
      </c>
      <c r="P70" s="1661" t="s">
        <v>1562</v>
      </c>
      <c r="Q70" s="1660" t="s">
        <v>1563</v>
      </c>
      <c r="R70" s="1662" t="s">
        <v>1564</v>
      </c>
      <c r="S70" s="1660" t="s">
        <v>1565</v>
      </c>
      <c r="T70" s="1661" t="s">
        <v>1566</v>
      </c>
      <c r="U70" s="1660" t="s">
        <v>1567</v>
      </c>
      <c r="V70" s="1662" t="s">
        <v>1568</v>
      </c>
      <c r="W70" s="1660" t="s">
        <v>1569</v>
      </c>
      <c r="X70" s="1661" t="s">
        <v>1570</v>
      </c>
      <c r="Y70" s="1660" t="s">
        <v>1571</v>
      </c>
      <c r="Z70" s="1662" t="s">
        <v>1572</v>
      </c>
      <c r="AA70" s="1660" t="s">
        <v>1573</v>
      </c>
      <c r="AB70" s="1661" t="s">
        <v>1574</v>
      </c>
      <c r="AC70" s="1660" t="s">
        <v>1575</v>
      </c>
      <c r="AD70" s="1662" t="s">
        <v>1576</v>
      </c>
      <c r="AE70" s="1660" t="s">
        <v>1577</v>
      </c>
      <c r="AF70" s="1661" t="s">
        <v>1578</v>
      </c>
      <c r="AG70" s="1660" t="s">
        <v>1579</v>
      </c>
      <c r="AH70" s="1662" t="s">
        <v>1580</v>
      </c>
      <c r="AI70" s="1660" t="s">
        <v>1581</v>
      </c>
      <c r="AJ70" s="1661" t="s">
        <v>1582</v>
      </c>
      <c r="AK70" s="1660" t="s">
        <v>1583</v>
      </c>
      <c r="AL70" s="1662" t="s">
        <v>1584</v>
      </c>
      <c r="AM70" s="1660" t="s">
        <v>1585</v>
      </c>
      <c r="AN70" s="1661" t="s">
        <v>1586</v>
      </c>
      <c r="AO70" s="1663" t="s">
        <v>1587</v>
      </c>
      <c r="AP70" s="1664" t="s">
        <v>1588</v>
      </c>
      <c r="AQ70" s="1664" t="s">
        <v>1589</v>
      </c>
      <c r="AR70" s="1664" t="s">
        <v>1590</v>
      </c>
      <c r="AS70" s="1665" t="s">
        <v>1591</v>
      </c>
      <c r="AT70" s="1662" t="s">
        <v>1592</v>
      </c>
      <c r="AU70" s="1662" t="s">
        <v>1593</v>
      </c>
      <c r="AV70" s="1662" t="s">
        <v>1594</v>
      </c>
      <c r="AW70" s="1662" t="s">
        <v>1595</v>
      </c>
      <c r="AX70" s="1662" t="s">
        <v>1596</v>
      </c>
      <c r="AY70" s="1662" t="s">
        <v>1597</v>
      </c>
      <c r="AZ70" s="1514" t="str">
        <f>$CC70&amp;CD70&amp;CE70&amp;CF70&amp;CG70&amp;CH70&amp;CI70&amp;CJ70&amp;CK70&amp;CL70&amp;CM70&amp;CO70&amp;CP70&amp;CQ70&amp;CR70&amp;CS70&amp;CT70&amp;CU70&amp;CV70&amp;CW70</f>
        <v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BA70" s="178"/>
      <c r="BB70" s="178"/>
      <c r="BC70" s="178"/>
      <c r="CC70" s="348" t="str">
        <f t="shared" ref="CC70" si="62">IF($AO70&gt;$F70,"* La celda 'Gestantes' debe ser menor o igual al Total de Mujeres en control. ","")</f>
        <v xml:space="preserve">* La celda 'Gestantes' debe ser menor o igual al Total de Mujeres en control. </v>
      </c>
      <c r="CD70" s="348" t="str">
        <f t="shared" ref="CD70" si="63">IF($AP70&gt;$F70,"* La celda 'Madres de Hijos menor de 5 años' debe ser menor o igual al Total de Mujeres en control. ","")</f>
        <v xml:space="preserve">* La celda 'Madres de Hijos menor de 5 años' debe ser menor o igual al Total de Mujeres en control. </v>
      </c>
      <c r="CE70" s="348" t="str">
        <f>IF(($AQ70)&gt;$E70,"* La celda 'Pueblos Originarios / Hombres' debe ser menor o igual al Total de Hombres en control. ","")</f>
        <v xml:space="preserve">* La celda 'Pueblos Originarios / Hombres' debe ser menor o igual al Total de Hombres en control. </v>
      </c>
      <c r="CF70" s="348" t="str">
        <f>IF($AR70&gt;$F70,"* La celda 'Pueblos Originarios / Mujeres' debe ser menor o igual al Total de Mujeres en control. ","")</f>
        <v xml:space="preserve">* La celda 'Pueblos Originarios / Mujeres' debe ser menor o igual al Total de Mujeres en control. </v>
      </c>
      <c r="CG70" s="348" t="str">
        <f>IF(($AS70)&gt;$E70,"* La celda 'Población Migrantes / Hombres' debe ser menor o igual al Total de Hombres en control. ","")</f>
        <v xml:space="preserve">* La celda 'Población Migrantes / Hombres' debe ser menor o igual al Total de Hombres en control. </v>
      </c>
      <c r="CH70" s="348" t="str">
        <f>IF($AT70&gt;$F70,"* La celda 'Población Migrantes / Mujeres' debe ser menor o igual al Total de Mujeres en control. ","")</f>
        <v xml:space="preserve">* La celda 'Población Migrantes / Mujeres' debe ser menor o igual al Total de Mujeres en control. </v>
      </c>
      <c r="CI70" s="348" t="str">
        <f>IF($AU70&gt;$D70,"* La celda 'Niños, Niñas, Adolescentes y Jóvenes de Población SENAME' debe ser menor o igual al Total de Ambos Sexos. ","")</f>
        <v xml:space="preserve">* La celda 'Niños, Niñas, Adolescentes y Jóvenes de Población SENAME' debe ser menor o igual al Total de Ambos Sexos. </v>
      </c>
      <c r="CJ70" s="348" t="str">
        <f>IF($AV70&gt;$D70,"* La celda 'Niños, Niñas, Adolescentes y Jóvenes Mejor Niñez' debe ser menor o igual al Total de Ambos Sexos. ","")</f>
        <v xml:space="preserve">* La celda 'Niños, Niñas, Adolescentes y Jóvenes Mejor Niñez' debe ser menor o igual al Total de Ambos Sexos. </v>
      </c>
      <c r="CK70" s="348" t="str">
        <f>IF($AW70&gt;$D70,"* La celda 'Plan Cuidado Integral Elaborado' debe ser menor o igual al Total de Personas en control. ","")</f>
        <v xml:space="preserve">* La celda 'Plan Cuidado Integral Elaborado' debe ser menor o igual al Total de Personas en control. </v>
      </c>
      <c r="CL70" s="348" t="str">
        <f>IF(AND(F70&gt;0,OR(AX70=""))," * No olvide digitar la variable Trans Masculino. (Digite Cero si no tiene).",IF(AX70&gt;F70," * La variable Trans Masculino no debe ser mayor al Total Mujeres.",""))</f>
        <v xml:space="preserve"> * La variable Trans Masculino no debe ser mayor al Total Mujeres.</v>
      </c>
      <c r="CM70" s="348" t="str">
        <f>IF(AND(E70&gt;0,OR(AY70=""))," * No olvide digitar la variable Trans Femenino. (Digite Cero si no tiene).",IF(AY70&gt;E70," * La variable Trans Femenino no debe ser mayor al Total Hombre.",""))</f>
        <v xml:space="preserve"> * La variable Trans Femenino no debe ser mayor al Total Hombre.</v>
      </c>
      <c r="CN70" s="354"/>
      <c r="CO70" s="348" t="str">
        <f>IF(AND($F70&lt;&gt;0,$AO70=""),"* No olvide escribir en la celda de 'Gestantes' (Digite CERO si no tiene). ","")</f>
        <v/>
      </c>
      <c r="CP70" s="348" t="str">
        <f>IF(AND($F70&lt;&gt;0,$AP70=""),"* No olvide escribir en la celda de 'Madres de Hijos menor de 5 años' (Digite CERO si no tiene). ","")</f>
        <v/>
      </c>
      <c r="CQ70" s="348" t="str">
        <f>IF(AND($E70&lt;&gt;0,$AQ70=""),"* No olvide escribir en las celdas de Pueblos Originarios Hombres. (Digite CERO si no tiene).  ","")</f>
        <v/>
      </c>
      <c r="CR70" s="348" t="str">
        <f>IF(AND($F70&lt;&gt;0,$AR70=""),"* No olvide escribir en las celdas de Pueblos Originarios Mujeres (Digite CERO si no tiene).  ","")</f>
        <v/>
      </c>
      <c r="CS70" s="348" t="str">
        <f>IF(AND($E70&lt;&gt;0,$AS70=""),"* No olvide escribir en las celdas de Población Migrantes Hombres. (Digite CERO si no tiene). ","")</f>
        <v/>
      </c>
      <c r="CT70" s="348" t="str">
        <f>IF(AND($F70&lt;&gt;0,$AT70=""),"* No olvide escribir en las celdas de Población Migrantes Mujeres. (Digite CERO si no tiene). ","")</f>
        <v/>
      </c>
      <c r="CU70" s="348" t="str">
        <f>IF(AND($D70&lt;&gt;0,$AU70=""),"* No olvide escribir en la celda de Niños, Niñas, Adolescentes y Jóvenes SENAME. (Digite CERO si no tiene). ","")</f>
        <v/>
      </c>
      <c r="CV70" s="348" t="str">
        <f>IF(AND($D70&lt;&gt;0,$AV70=""),"* No olvide escribir en la celda Niños, Niñas, Adolescentes y Jóvenes Mejor Niñez. (Digite CERO si no tiene). ","")</f>
        <v/>
      </c>
      <c r="CW70" s="348" t="str">
        <f>IF(AND($D70&lt;&gt;0,$AW70=""),"* No olvide escribir en la celda Plan Cuidado integral Elaborado. (Digite CERO si no tiene). ","")</f>
        <v/>
      </c>
      <c r="CX70" s="175"/>
      <c r="CY70" s="175"/>
      <c r="CZ70" s="175"/>
      <c r="DA70" s="175"/>
      <c r="DB70" s="358">
        <f>IF($AO70&gt;$F70,1,0)</f>
        <v>1</v>
      </c>
      <c r="DC70" s="358">
        <f>IF($AP70&gt;$F70,1,0)</f>
        <v>1</v>
      </c>
      <c r="DD70" s="358">
        <f>IF(($AQ70)&gt;$E70,1,0)</f>
        <v>1</v>
      </c>
      <c r="DE70" s="358">
        <f>IF($AR70&gt;$F70,1,0)</f>
        <v>1</v>
      </c>
      <c r="DF70" s="358">
        <f>IF(($AS70)&gt;$E70,1,0)</f>
        <v>1</v>
      </c>
      <c r="DG70" s="358">
        <f>IF($AT70&gt;$F70,1,0)</f>
        <v>1</v>
      </c>
      <c r="DH70" s="358">
        <f>IF($AU70&gt;$D70,1,0)</f>
        <v>1</v>
      </c>
      <c r="DI70" s="358">
        <f>IF($AV70&gt;$D70,1,0)</f>
        <v>1</v>
      </c>
      <c r="DJ70" s="358">
        <f>IF($AW70&gt;$D70,1,0)</f>
        <v>1</v>
      </c>
      <c r="DK70" s="175"/>
      <c r="DL70" s="358">
        <f>IF(AND(F70&gt;0,OR(AX70="")),1,IF((AX70)&gt;F70,1,0))</f>
        <v>1</v>
      </c>
      <c r="DM70" s="358">
        <f>IF(AND(E70&gt;0,OR(AY70="")),1,IF((AY70)&gt;E70,1,0))</f>
        <v>1</v>
      </c>
      <c r="DN70" s="175"/>
      <c r="DO70" s="358">
        <f>IF(AND($F70&lt;&gt;0,$AO70=""),1,0)</f>
        <v>0</v>
      </c>
      <c r="DP70" s="358">
        <f>IF(AND($F70&lt;&gt;0,$AP70=""),1,0)</f>
        <v>0</v>
      </c>
      <c r="DQ70" s="358">
        <f>IF(AND($E70&lt;&gt;0,$AQ70=""),1,0)</f>
        <v>0</v>
      </c>
      <c r="DR70" s="358">
        <f>IF(AND(F70&lt;&gt;0,AR70=""),1,0)</f>
        <v>0</v>
      </c>
      <c r="DS70" s="358">
        <f>IF(AND(E70&lt;&gt;0,AS70=""),1,0)</f>
        <v>0</v>
      </c>
      <c r="DT70" s="358">
        <f>IF(AND(F70&lt;&gt;0,AT70=""),1,0)</f>
        <v>0</v>
      </c>
      <c r="DU70" s="358">
        <f>IF(AND($D70&lt;&gt;0,AU70=""),1,0)</f>
        <v>0</v>
      </c>
      <c r="DV70" s="358">
        <f>IF(AND($D70&lt;&gt;0,AV70=""),1,0)</f>
        <v>0</v>
      </c>
      <c r="DW70" s="358">
        <f>IF(AND($D70&lt;&gt;0,AW70=""),1,0)</f>
        <v>0</v>
      </c>
    </row>
    <row r="71" spans="1:127" s="141" customFormat="1" ht="18" customHeight="1" x14ac:dyDescent="0.3">
      <c r="A71" s="1647"/>
      <c r="B71" s="2346" t="s">
        <v>211</v>
      </c>
      <c r="C71" s="2347"/>
      <c r="D71" s="1666"/>
      <c r="E71" s="1667"/>
      <c r="F71" s="1668"/>
      <c r="G71" s="1666"/>
      <c r="H71" s="1668"/>
      <c r="I71" s="1666"/>
      <c r="J71" s="1668"/>
      <c r="K71" s="1666"/>
      <c r="L71" s="1668"/>
      <c r="M71" s="1666"/>
      <c r="N71" s="1668"/>
      <c r="O71" s="1666"/>
      <c r="P71" s="1668"/>
      <c r="Q71" s="1666"/>
      <c r="R71" s="1668"/>
      <c r="S71" s="1666"/>
      <c r="T71" s="1668"/>
      <c r="U71" s="1666"/>
      <c r="V71" s="1668"/>
      <c r="W71" s="1669"/>
      <c r="X71" s="1668"/>
      <c r="Y71" s="1666"/>
      <c r="Z71" s="1668"/>
      <c r="AA71" s="1666"/>
      <c r="AB71" s="1668"/>
      <c r="AC71" s="1666"/>
      <c r="AD71" s="1668"/>
      <c r="AE71" s="1666"/>
      <c r="AF71" s="1668"/>
      <c r="AG71" s="1666"/>
      <c r="AH71" s="1668"/>
      <c r="AI71" s="1666"/>
      <c r="AJ71" s="1668"/>
      <c r="AK71" s="1666"/>
      <c r="AL71" s="1668"/>
      <c r="AM71" s="1666"/>
      <c r="AN71" s="1670"/>
      <c r="AO71" s="1671"/>
      <c r="AP71" s="1672"/>
      <c r="AQ71" s="1672"/>
      <c r="AR71" s="1672"/>
      <c r="AS71" s="1669"/>
      <c r="AT71" s="1670"/>
      <c r="AU71" s="1673"/>
      <c r="AV71" s="1672"/>
      <c r="AW71" s="1674"/>
      <c r="AX71" s="1674"/>
      <c r="AY71" s="1674"/>
      <c r="AZ71" s="1514"/>
      <c r="BA71" s="178"/>
      <c r="BB71" s="178"/>
      <c r="BC71" s="178"/>
      <c r="CC71" s="354"/>
      <c r="CD71" s="354"/>
      <c r="CE71" s="354"/>
      <c r="CF71" s="354"/>
      <c r="CG71" s="354"/>
      <c r="CH71" s="354"/>
      <c r="CI71" s="354"/>
      <c r="CJ71" s="354"/>
      <c r="CK71" s="448"/>
      <c r="CL71" s="354"/>
      <c r="CM71" s="354"/>
      <c r="CN71" s="354"/>
      <c r="CO71" s="354"/>
      <c r="CP71" s="354"/>
      <c r="CQ71" s="354"/>
      <c r="CR71" s="354"/>
      <c r="CS71" s="354"/>
      <c r="CT71" s="448"/>
      <c r="CU71" s="448"/>
      <c r="CV71" s="448"/>
      <c r="CW71" s="448"/>
      <c r="CY71" s="175"/>
      <c r="CZ71" s="175"/>
      <c r="DA71" s="175"/>
      <c r="DB71" s="352"/>
      <c r="DC71" s="352"/>
      <c r="DD71" s="352"/>
      <c r="DE71" s="352"/>
      <c r="DF71" s="352"/>
      <c r="DG71" s="352"/>
      <c r="DH71" s="352"/>
      <c r="DI71" s="352"/>
      <c r="DJ71" s="352"/>
      <c r="DK71" s="175"/>
      <c r="DL71" s="352"/>
      <c r="DM71" s="352"/>
      <c r="DN71" s="175"/>
      <c r="DO71" s="352"/>
      <c r="DP71" s="352"/>
      <c r="DQ71" s="352"/>
      <c r="DR71" s="352"/>
      <c r="DS71" s="352"/>
      <c r="DT71" s="352"/>
      <c r="DU71" s="449"/>
      <c r="DV71" s="449"/>
      <c r="DW71" s="449"/>
    </row>
    <row r="72" spans="1:127" s="141" customFormat="1" ht="21" customHeight="1" x14ac:dyDescent="0.3">
      <c r="A72" s="1637" t="s">
        <v>1321</v>
      </c>
      <c r="B72" s="2376" t="s">
        <v>398</v>
      </c>
      <c r="C72" s="179" t="s">
        <v>212</v>
      </c>
      <c r="D72" s="1675" t="s">
        <v>1550</v>
      </c>
      <c r="E72" s="1676" t="s">
        <v>1551</v>
      </c>
      <c r="F72" s="1677" t="s">
        <v>1552</v>
      </c>
      <c r="G72" s="1678" t="s">
        <v>1553</v>
      </c>
      <c r="H72" s="1679" t="s">
        <v>1554</v>
      </c>
      <c r="I72" s="1678" t="s">
        <v>1555</v>
      </c>
      <c r="J72" s="1679" t="s">
        <v>1556</v>
      </c>
      <c r="K72" s="1678" t="s">
        <v>1557</v>
      </c>
      <c r="L72" s="1679" t="s">
        <v>1558</v>
      </c>
      <c r="M72" s="1678" t="s">
        <v>1559</v>
      </c>
      <c r="N72" s="1679" t="s">
        <v>1560</v>
      </c>
      <c r="O72" s="1678" t="s">
        <v>1561</v>
      </c>
      <c r="P72" s="1679" t="s">
        <v>1562</v>
      </c>
      <c r="Q72" s="1678" t="s">
        <v>1563</v>
      </c>
      <c r="R72" s="1679" t="s">
        <v>1564</v>
      </c>
      <c r="S72" s="1678" t="s">
        <v>1565</v>
      </c>
      <c r="T72" s="1679" t="s">
        <v>1566</v>
      </c>
      <c r="U72" s="1678" t="s">
        <v>1567</v>
      </c>
      <c r="V72" s="1679" t="s">
        <v>1568</v>
      </c>
      <c r="W72" s="1678" t="s">
        <v>1569</v>
      </c>
      <c r="X72" s="1679" t="s">
        <v>1570</v>
      </c>
      <c r="Y72" s="1678" t="s">
        <v>1571</v>
      </c>
      <c r="Z72" s="1679" t="s">
        <v>1572</v>
      </c>
      <c r="AA72" s="1678" t="s">
        <v>1573</v>
      </c>
      <c r="AB72" s="1679" t="s">
        <v>1574</v>
      </c>
      <c r="AC72" s="1678" t="s">
        <v>1575</v>
      </c>
      <c r="AD72" s="1679" t="s">
        <v>1576</v>
      </c>
      <c r="AE72" s="1678" t="s">
        <v>1577</v>
      </c>
      <c r="AF72" s="1679" t="s">
        <v>1578</v>
      </c>
      <c r="AG72" s="1678" t="s">
        <v>1579</v>
      </c>
      <c r="AH72" s="1679" t="s">
        <v>1580</v>
      </c>
      <c r="AI72" s="1678" t="s">
        <v>1581</v>
      </c>
      <c r="AJ72" s="1679" t="s">
        <v>1582</v>
      </c>
      <c r="AK72" s="1678" t="s">
        <v>1583</v>
      </c>
      <c r="AL72" s="1679" t="s">
        <v>1584</v>
      </c>
      <c r="AM72" s="1678" t="s">
        <v>1585</v>
      </c>
      <c r="AN72" s="1680" t="s">
        <v>1586</v>
      </c>
      <c r="AO72" s="1681" t="s">
        <v>1587</v>
      </c>
      <c r="AP72" s="1682" t="s">
        <v>1588</v>
      </c>
      <c r="AQ72" s="1682" t="s">
        <v>1589</v>
      </c>
      <c r="AR72" s="1682" t="s">
        <v>1590</v>
      </c>
      <c r="AS72" s="1683" t="s">
        <v>1591</v>
      </c>
      <c r="AT72" s="1679" t="s">
        <v>1592</v>
      </c>
      <c r="AU72" s="1679" t="s">
        <v>1593</v>
      </c>
      <c r="AV72" s="1679" t="s">
        <v>1594</v>
      </c>
      <c r="AW72" s="1679" t="s">
        <v>1595</v>
      </c>
      <c r="AX72" s="1679" t="s">
        <v>1596</v>
      </c>
      <c r="AY72" s="1679" t="s">
        <v>1597</v>
      </c>
      <c r="AZ72" s="1514" t="str">
        <f>$CC72&amp;CD72&amp;CE72&amp;CF72&amp;CG72&amp;CH72&amp;CI72&amp;CJ72&amp;CK72&amp;CL72&amp;CM72&amp;CO72&amp;CP72&amp;CQ72&amp;CR72&amp;CS72&amp;CT72&amp;CU72&amp;CV72&amp;CW72</f>
        <v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BA72" s="178"/>
      <c r="BB72" s="178"/>
      <c r="BC72" s="178"/>
      <c r="CC72" s="348" t="str">
        <f>IF($AO72&gt;$F72,"* La celda 'Gestantes' debe ser menor o igual al Total de Mujeres en control. ","")</f>
        <v xml:space="preserve">* La celda 'Gestantes' debe ser menor o igual al Total de Mujeres en control. </v>
      </c>
      <c r="CD72" s="348" t="str">
        <f t="shared" ref="CD72:CD111" si="64">IF($AP72&gt;$F72,"* La celda 'Madres de Hijos menor de 5 años' debe ser menor o igual al Total de Mujeres en control. ","")</f>
        <v xml:space="preserve">* La celda 'Madres de Hijos menor de 5 años' debe ser menor o igual al Total de Mujeres en control. </v>
      </c>
      <c r="CE72" s="348" t="str">
        <f t="shared" ref="CE72:CE80" si="65">IF(($AQ72)&gt;$E72,"* La celda 'Pueblos Originarios / Hombres' debe ser menor o igual al Total de Hombres en control. ","")</f>
        <v xml:space="preserve">* La celda 'Pueblos Originarios / Hombres' debe ser menor o igual al Total de Hombres en control. </v>
      </c>
      <c r="CF72" s="348" t="str">
        <f t="shared" ref="CF72:CF111" si="66">IF($AR72&gt;$F72,"* La celda 'Pueblos Originarios / Mujeres' debe ser menor o igual al Total de Mujeres en control. ","")</f>
        <v xml:space="preserve">* La celda 'Pueblos Originarios / Mujeres' debe ser menor o igual al Total de Mujeres en control. </v>
      </c>
      <c r="CG72" s="348" t="str">
        <f t="shared" ref="CG72:CG80" si="67">IF(($AS72)&gt;$E72,"* La celda 'Población Migrantes / Hombres' debe ser menor o igual al Total de Hombres en control. ","")</f>
        <v xml:space="preserve">* La celda 'Población Migrantes / Hombres' debe ser menor o igual al Total de Hombres en control. </v>
      </c>
      <c r="CH72" s="348" t="str">
        <f t="shared" ref="CH72:CH111" si="68">IF($AT72&gt;$F72,"* La celda 'Población Migrantes / Mujeres' debe ser menor o igual al Total de Mujeres en control. ","")</f>
        <v xml:space="preserve">* La celda 'Población Migrantes / Mujeres' debe ser menor o igual al Total de Mujeres en control. </v>
      </c>
      <c r="CI72" s="348" t="str">
        <f t="shared" ref="CI72:CI111" si="69">IF($AU72&gt;$D72,"* La celda 'Niños, Niñas, Adolescentes y Jóvenes de Población SENAME' debe ser menor o igual al Total de Ambos Sexos. ","")</f>
        <v xml:space="preserve">* La celda 'Niños, Niñas, Adolescentes y Jóvenes de Población SENAME' debe ser menor o igual al Total de Ambos Sexos. </v>
      </c>
      <c r="CJ72" s="348" t="str">
        <f t="shared" ref="CJ72:CJ111" si="70">IF($AV72&gt;$D72,"* La celda 'Niños, Niñas, Adolescentes y Jóvenes Mejor Niñez' debe ser menor o igual al Total de Ambos Sexos. ","")</f>
        <v xml:space="preserve">* La celda 'Niños, Niñas, Adolescentes y Jóvenes Mejor Niñez' debe ser menor o igual al Total de Ambos Sexos. </v>
      </c>
      <c r="CK72" s="348" t="str">
        <f t="shared" ref="CK72:CK111" si="71">IF($AW72&gt;$D72,"* La celda 'Plan Cuidado Integral Elaborado' debe ser menor o igual al Total de Personas en control. ","")</f>
        <v xml:space="preserve">* La celda 'Plan Cuidado Integral Elaborado' debe ser menor o igual al Total de Personas en control. </v>
      </c>
      <c r="CL72" s="348" t="str">
        <f>IF(AND(F72&gt;0,OR(AX72=""))," * No olvide digitar la variable Trans Masculino. (Digite Cero si no tiene).",IF(AX72&gt;F72," * La variable Trans Masculino no debe ser mayor al Total Mujeres.",""))</f>
        <v xml:space="preserve"> * La variable Trans Masculino no debe ser mayor al Total Mujeres.</v>
      </c>
      <c r="CM72" s="348" t="str">
        <f>IF(AND(E72&gt;0,OR(AY72=""))," * No olvide digitar la variable Trans Femenino. (Digite Cero si no tiene).",IF(AY72&gt;E72," * La variable Trans Femenino no debe ser mayor al Total Hombre.",""))</f>
        <v xml:space="preserve"> * La variable Trans Femenino no debe ser mayor al Total Hombre.</v>
      </c>
      <c r="CN72" s="354"/>
      <c r="CO72" s="348" t="str">
        <f t="shared" ref="CO72:CO80" si="72">IF(AND($F72&lt;&gt;0,$AO72=""),"* No olvide escribir en la celda de 'Gestantes' (Digite CERO si no tiene). ","")</f>
        <v/>
      </c>
      <c r="CP72" s="348" t="str">
        <f t="shared" ref="CP72:CP80" si="73">IF(AND($F72&lt;&gt;0,$AP72=""),"* No olvide escribir en la celda de 'Madres de Hijos menor de 5 años' (Digite CERO si no tiene). ","")</f>
        <v/>
      </c>
      <c r="CQ72" s="348" t="str">
        <f>IF(AND($E72&lt;&gt;0,$AQ72=""),"* No olvide escribir en las celdas de Pueblos Originarios Hombres. (Digite CERO si no tiene).  ","")</f>
        <v/>
      </c>
      <c r="CR72" s="348" t="str">
        <f>IF(AND($F72&lt;&gt;0,$AR72=""),"* No olvide escribir en las celdas de Pueblos Originarios Mujeres (Digite CERO si no tiene).  ","")</f>
        <v/>
      </c>
      <c r="CS72" s="348" t="str">
        <f>IF(AND($E72&lt;&gt;0,$AS72=""),"* No olvide escribir en las celdas de Población Migrantes Hombres. (Digite CERO si no tiene). ","")</f>
        <v/>
      </c>
      <c r="CT72" s="348" t="str">
        <f>IF(AND($F72&lt;&gt;0,$AT72=""),"* No olvide escribir en las celdas de Población Migrantes Mujeres. (Digite CERO si no tiene). ","")</f>
        <v/>
      </c>
      <c r="CU72" s="348" t="str">
        <f t="shared" ref="CU72:CU111" si="74">IF(AND($D72&lt;&gt;0,$AU72=""),"* No olvide escribir en la celda de Niños, Niñas, Adolescentes y Jóvenes SENAME. (Digite CERO si no tiene). ","")</f>
        <v/>
      </c>
      <c r="CV72" s="348" t="str">
        <f t="shared" ref="CV72:CV111" si="75">IF(AND($D72&lt;&gt;0,$AV72=""),"* No olvide escribir en la celda Niños, Niñas, Adolescentes y Jóvenes Mejor Niñez. (Digite CERO si no tiene). ","")</f>
        <v/>
      </c>
      <c r="CW72" s="348" t="str">
        <f t="shared" ref="CW72:CW111" si="76">IF(AND($D72&lt;&gt;0,$AW72=""),"* No olvide escribir en la celda Plan Cuidado integral Elaborado. (Digite CERO si no tiene). ","")</f>
        <v/>
      </c>
      <c r="CX72" s="175"/>
      <c r="CY72" s="175"/>
      <c r="CZ72" s="175"/>
      <c r="DA72" s="175"/>
      <c r="DB72" s="358">
        <f t="shared" ref="DB72:DB91" si="77">IF($AO72&gt;$F72,1,0)</f>
        <v>1</v>
      </c>
      <c r="DC72" s="358">
        <f t="shared" ref="DC72:DC80" si="78">IF($AP72&gt;$F72,1,0)</f>
        <v>1</v>
      </c>
      <c r="DD72" s="358">
        <f t="shared" ref="DD72:DD80" si="79">IF(($AQ72)&gt;$E72,1,0)</f>
        <v>1</v>
      </c>
      <c r="DE72" s="358">
        <f t="shared" ref="DE72:DE111" si="80">IF($AR72&gt;$F72,1,0)</f>
        <v>1</v>
      </c>
      <c r="DF72" s="358">
        <f t="shared" ref="DF72:DF80" si="81">IF(($AS72)&gt;$E72,1,0)</f>
        <v>1</v>
      </c>
      <c r="DG72" s="358">
        <f t="shared" ref="DG72:DG111" si="82">IF($AT72&gt;$F72,1,0)</f>
        <v>1</v>
      </c>
      <c r="DH72" s="358">
        <f t="shared" ref="DH72:DH111" si="83">IF($AU72&gt;$D72,1,0)</f>
        <v>1</v>
      </c>
      <c r="DI72" s="358">
        <f t="shared" ref="DI72:DI111" si="84">IF($AV72&gt;$D72,1,0)</f>
        <v>1</v>
      </c>
      <c r="DJ72" s="358">
        <f t="shared" ref="DJ72:DJ111" si="85">IF($AW72&gt;$D72,1,0)</f>
        <v>1</v>
      </c>
      <c r="DK72" s="175"/>
      <c r="DL72" s="358">
        <f t="shared" ref="DL72:DL111" si="86">IF(AND(F72&gt;0,OR(AX72="")),1,IF((AX72)&gt;F72,1,0))</f>
        <v>1</v>
      </c>
      <c r="DM72" s="358">
        <f t="shared" ref="DM72:DM80" si="87">IF(AND(E72&gt;0,OR(AY72="")),1,IF((AY72)&gt;E72,1,0))</f>
        <v>1</v>
      </c>
      <c r="DN72" s="175"/>
      <c r="DO72" s="358">
        <f t="shared" ref="DO72:DO80" si="88">IF(AND($F72&lt;&gt;0,$AO72=""),1,0)</f>
        <v>0</v>
      </c>
      <c r="DP72" s="358">
        <f t="shared" ref="DP72:DP79" si="89">IF(AND($F72&lt;&gt;0,$AP72=""),1,0)</f>
        <v>0</v>
      </c>
      <c r="DQ72" s="358">
        <f t="shared" ref="DQ72:DQ80" si="90">IF(AND($E72&lt;&gt;0,$AQ72=""),1,0)</f>
        <v>0</v>
      </c>
      <c r="DR72" s="358">
        <f t="shared" ref="DR72:DR92" si="91">IF(AND(F72&lt;&gt;0,AR72=""),1,0)</f>
        <v>0</v>
      </c>
      <c r="DS72" s="358">
        <f t="shared" ref="DS72:DS80" si="92">IF(AND(E72&lt;&gt;0,AS72=""),1,0)</f>
        <v>0</v>
      </c>
      <c r="DT72" s="358">
        <f t="shared" ref="DT72:DT92" si="93">IF(AND(F72&lt;&gt;0,AT72=""),1,0)</f>
        <v>0</v>
      </c>
      <c r="DU72" s="358">
        <f t="shared" ref="DU72:DU92" si="94">IF(AND($D72&lt;&gt;0,AU72=""),1,0)</f>
        <v>0</v>
      </c>
      <c r="DV72" s="358">
        <f t="shared" ref="DV72:DV111" si="95">IF(AND($D72&lt;&gt;0,AV72=""),1,0)</f>
        <v>0</v>
      </c>
      <c r="DW72" s="358">
        <f t="shared" ref="DW72:DW111" si="96">IF(AND($D72&lt;&gt;0,AW72=""),1,0)</f>
        <v>0</v>
      </c>
    </row>
    <row r="73" spans="1:127" s="141" customFormat="1" ht="21" customHeight="1" x14ac:dyDescent="0.3">
      <c r="A73" s="1637" t="s">
        <v>1322</v>
      </c>
      <c r="B73" s="2377"/>
      <c r="C73" s="180" t="s">
        <v>397</v>
      </c>
      <c r="D73" s="1684" t="s">
        <v>1550</v>
      </c>
      <c r="E73" s="1685" t="s">
        <v>1551</v>
      </c>
      <c r="F73" s="1686" t="s">
        <v>1552</v>
      </c>
      <c r="G73" s="1687" t="s">
        <v>1553</v>
      </c>
      <c r="H73" s="1688" t="s">
        <v>1554</v>
      </c>
      <c r="I73" s="1687" t="s">
        <v>1555</v>
      </c>
      <c r="J73" s="1688" t="s">
        <v>1556</v>
      </c>
      <c r="K73" s="1687" t="s">
        <v>1557</v>
      </c>
      <c r="L73" s="1688" t="s">
        <v>1558</v>
      </c>
      <c r="M73" s="1689" t="s">
        <v>1559</v>
      </c>
      <c r="N73" s="1690" t="s">
        <v>1560</v>
      </c>
      <c r="O73" s="1689" t="s">
        <v>1561</v>
      </c>
      <c r="P73" s="1690" t="s">
        <v>1562</v>
      </c>
      <c r="Q73" s="1689" t="s">
        <v>1563</v>
      </c>
      <c r="R73" s="1690" t="s">
        <v>1564</v>
      </c>
      <c r="S73" s="1689" t="s">
        <v>1565</v>
      </c>
      <c r="T73" s="1690" t="s">
        <v>1566</v>
      </c>
      <c r="U73" s="1689" t="s">
        <v>1567</v>
      </c>
      <c r="V73" s="1690" t="s">
        <v>1568</v>
      </c>
      <c r="W73" s="1689" t="s">
        <v>1569</v>
      </c>
      <c r="X73" s="1690" t="s">
        <v>1570</v>
      </c>
      <c r="Y73" s="1689" t="s">
        <v>1571</v>
      </c>
      <c r="Z73" s="1690" t="s">
        <v>1572</v>
      </c>
      <c r="AA73" s="1689" t="s">
        <v>1573</v>
      </c>
      <c r="AB73" s="1690" t="s">
        <v>1574</v>
      </c>
      <c r="AC73" s="1689" t="s">
        <v>1575</v>
      </c>
      <c r="AD73" s="1690" t="s">
        <v>1576</v>
      </c>
      <c r="AE73" s="1689" t="s">
        <v>1577</v>
      </c>
      <c r="AF73" s="1690" t="s">
        <v>1578</v>
      </c>
      <c r="AG73" s="1689" t="s">
        <v>1579</v>
      </c>
      <c r="AH73" s="1690" t="s">
        <v>1580</v>
      </c>
      <c r="AI73" s="1689" t="s">
        <v>1581</v>
      </c>
      <c r="AJ73" s="1690" t="s">
        <v>1582</v>
      </c>
      <c r="AK73" s="1689" t="s">
        <v>1583</v>
      </c>
      <c r="AL73" s="1690" t="s">
        <v>1584</v>
      </c>
      <c r="AM73" s="1689" t="s">
        <v>1585</v>
      </c>
      <c r="AN73" s="1691" t="s">
        <v>1586</v>
      </c>
      <c r="AO73" s="1692" t="s">
        <v>1587</v>
      </c>
      <c r="AP73" s="1693" t="s">
        <v>1588</v>
      </c>
      <c r="AQ73" s="1693" t="s">
        <v>1589</v>
      </c>
      <c r="AR73" s="1693" t="s">
        <v>1590</v>
      </c>
      <c r="AS73" s="1694" t="s">
        <v>1591</v>
      </c>
      <c r="AT73" s="1690" t="s">
        <v>1592</v>
      </c>
      <c r="AU73" s="1690" t="s">
        <v>1593</v>
      </c>
      <c r="AV73" s="1690" t="s">
        <v>1594</v>
      </c>
      <c r="AW73" s="1690" t="s">
        <v>1595</v>
      </c>
      <c r="AX73" s="1690" t="s">
        <v>1596</v>
      </c>
      <c r="AY73" s="1690" t="s">
        <v>1597</v>
      </c>
      <c r="AZ73" s="1514" t="str">
        <f t="shared" ref="AZ73:AZ111" si="97">$CC73&amp;CD73&amp;CE73&amp;CF73&amp;CG73&amp;CH73&amp;CI73&amp;CJ73&amp;CK73&amp;CL73&amp;CM73&amp;CO73&amp;CP73&amp;CQ73&amp;CR73&amp;CS73&amp;CT73&amp;CU73&amp;CV73&amp;CW73</f>
        <v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BA73" s="181"/>
      <c r="BB73" s="181"/>
      <c r="BC73" s="181"/>
      <c r="CC73" s="348" t="str">
        <f t="shared" ref="CC73:CC111" si="98">IF($AO73&gt;$F73,"* La celda 'Gestantes' debe ser menor o igual al Total de Mujeres en control. ","")</f>
        <v xml:space="preserve">* La celda 'Gestantes' debe ser menor o igual al Total de Mujeres en control. </v>
      </c>
      <c r="CD73" s="348" t="str">
        <f t="shared" si="64"/>
        <v xml:space="preserve">* La celda 'Madres de Hijos menor de 5 años' debe ser menor o igual al Total de Mujeres en control. </v>
      </c>
      <c r="CE73" s="348" t="str">
        <f t="shared" si="65"/>
        <v xml:space="preserve">* La celda 'Pueblos Originarios / Hombres' debe ser menor o igual al Total de Hombres en control. </v>
      </c>
      <c r="CF73" s="348" t="str">
        <f t="shared" si="66"/>
        <v xml:space="preserve">* La celda 'Pueblos Originarios / Mujeres' debe ser menor o igual al Total de Mujeres en control. </v>
      </c>
      <c r="CG73" s="348" t="str">
        <f t="shared" si="67"/>
        <v xml:space="preserve">* La celda 'Población Migrantes / Hombres' debe ser menor o igual al Total de Hombres en control. </v>
      </c>
      <c r="CH73" s="348" t="str">
        <f t="shared" si="68"/>
        <v xml:space="preserve">* La celda 'Población Migrantes / Mujeres' debe ser menor o igual al Total de Mujeres en control. </v>
      </c>
      <c r="CI73" s="348" t="str">
        <f t="shared" si="69"/>
        <v xml:space="preserve">* La celda 'Niños, Niñas, Adolescentes y Jóvenes de Población SENAME' debe ser menor o igual al Total de Ambos Sexos. </v>
      </c>
      <c r="CJ73" s="348" t="str">
        <f t="shared" si="70"/>
        <v xml:space="preserve">* La celda 'Niños, Niñas, Adolescentes y Jóvenes Mejor Niñez' debe ser menor o igual al Total de Ambos Sexos. </v>
      </c>
      <c r="CK73" s="348" t="str">
        <f t="shared" si="71"/>
        <v xml:space="preserve">* La celda 'Plan Cuidado Integral Elaborado' debe ser menor o igual al Total de Personas en control. </v>
      </c>
      <c r="CL73" s="348" t="str">
        <f t="shared" ref="CL73:CL80" si="99">IF(AND(F73&gt;0,OR(AX73=""))," * No olvide digitar la variable Trans Masculino. (Digite Cero si no tiene).",IF(AX73&gt;F73," * La variable Trans Masculino no debe ser mayor al Total Mujeres.",""))</f>
        <v xml:space="preserve"> * La variable Trans Masculino no debe ser mayor al Total Mujeres.</v>
      </c>
      <c r="CM73" s="348" t="str">
        <f t="shared" ref="CM73:CM80" si="100">IF(AND(E73&gt;0,OR(AY73=""))," * No olvide digitar la variable Trans Femenino. (Digite Cero si no tiene).",IF(AY73&gt;E73," * La variable Trans Femenino no debe ser mayor al Total Hombre.",""))</f>
        <v xml:space="preserve"> * La variable Trans Femenino no debe ser mayor al Total Hombre.</v>
      </c>
      <c r="CN73" s="354"/>
      <c r="CO73" s="348" t="str">
        <f t="shared" si="72"/>
        <v/>
      </c>
      <c r="CP73" s="348" t="str">
        <f t="shared" si="73"/>
        <v/>
      </c>
      <c r="CQ73" s="348" t="str">
        <f t="shared" ref="CQ73:CQ111" si="101">IF(AND($E73&lt;&gt;0,$AQ73=""),"* No olvide escribir en las celdas de Pueblos Originarios Hombres. (Digite CERO si no tiene).  ","")</f>
        <v/>
      </c>
      <c r="CR73" s="348" t="str">
        <f t="shared" ref="CR73:CR111" si="102">IF(AND($F73&lt;&gt;0,$AR73=""),"* No olvide escribir en las celdas de Pueblos Originarios Mujeres (Digite CERO si no tiene).  ","")</f>
        <v/>
      </c>
      <c r="CS73" s="348" t="str">
        <f t="shared" ref="CS73:CS111" si="103">IF(AND($E73&lt;&gt;0,$AS73=""),"* No olvide escribir en las celdas de Población Migrantes Hombres. (Digite CERO si no tiene). ","")</f>
        <v/>
      </c>
      <c r="CT73" s="348" t="str">
        <f t="shared" ref="CT73:CT111" si="104">IF(AND($F73&lt;&gt;0,$AT73=""),"* No olvide escribir en las celdas de Población Migrantes Mujeres. (Digite CERO si no tiene). ","")</f>
        <v/>
      </c>
      <c r="CU73" s="348" t="str">
        <f t="shared" si="74"/>
        <v/>
      </c>
      <c r="CV73" s="348" t="str">
        <f t="shared" si="75"/>
        <v/>
      </c>
      <c r="CW73" s="348" t="str">
        <f t="shared" si="76"/>
        <v/>
      </c>
      <c r="CX73" s="175"/>
      <c r="DB73" s="358">
        <f t="shared" si="77"/>
        <v>1</v>
      </c>
      <c r="DC73" s="358">
        <f t="shared" si="78"/>
        <v>1</v>
      </c>
      <c r="DD73" s="358">
        <f t="shared" si="79"/>
        <v>1</v>
      </c>
      <c r="DE73" s="358">
        <f t="shared" si="80"/>
        <v>1</v>
      </c>
      <c r="DF73" s="358">
        <f t="shared" si="81"/>
        <v>1</v>
      </c>
      <c r="DG73" s="358">
        <f t="shared" si="82"/>
        <v>1</v>
      </c>
      <c r="DH73" s="358">
        <f t="shared" si="83"/>
        <v>1</v>
      </c>
      <c r="DI73" s="358">
        <f t="shared" si="84"/>
        <v>1</v>
      </c>
      <c r="DJ73" s="358">
        <f t="shared" si="85"/>
        <v>1</v>
      </c>
      <c r="DK73" s="175"/>
      <c r="DL73" s="358">
        <f t="shared" si="86"/>
        <v>1</v>
      </c>
      <c r="DM73" s="358">
        <f t="shared" si="87"/>
        <v>1</v>
      </c>
      <c r="DN73" s="175"/>
      <c r="DO73" s="358">
        <f t="shared" si="88"/>
        <v>0</v>
      </c>
      <c r="DP73" s="358">
        <f t="shared" si="89"/>
        <v>0</v>
      </c>
      <c r="DQ73" s="358">
        <f t="shared" si="90"/>
        <v>0</v>
      </c>
      <c r="DR73" s="358">
        <f t="shared" si="91"/>
        <v>0</v>
      </c>
      <c r="DS73" s="358">
        <f t="shared" si="92"/>
        <v>0</v>
      </c>
      <c r="DT73" s="358">
        <f t="shared" si="93"/>
        <v>0</v>
      </c>
      <c r="DU73" s="358">
        <f t="shared" si="94"/>
        <v>0</v>
      </c>
      <c r="DV73" s="358">
        <f t="shared" si="95"/>
        <v>0</v>
      </c>
      <c r="DW73" s="358">
        <f t="shared" si="96"/>
        <v>0</v>
      </c>
    </row>
    <row r="74" spans="1:127" s="141" customFormat="1" ht="21" customHeight="1" x14ac:dyDescent="0.3">
      <c r="A74" s="1637" t="s">
        <v>1323</v>
      </c>
      <c r="B74" s="2343" t="s">
        <v>213</v>
      </c>
      <c r="C74" s="2343"/>
      <c r="D74" s="1657" t="s">
        <v>1550</v>
      </c>
      <c r="E74" s="1658" t="s">
        <v>1551</v>
      </c>
      <c r="F74" s="1659" t="s">
        <v>1552</v>
      </c>
      <c r="G74" s="1695" t="s">
        <v>1553</v>
      </c>
      <c r="H74" s="1696" t="s">
        <v>1554</v>
      </c>
      <c r="I74" s="1695" t="s">
        <v>1555</v>
      </c>
      <c r="J74" s="1696" t="s">
        <v>1556</v>
      </c>
      <c r="K74" s="1695" t="s">
        <v>1557</v>
      </c>
      <c r="L74" s="1696" t="s">
        <v>1558</v>
      </c>
      <c r="M74" s="1697" t="s">
        <v>1559</v>
      </c>
      <c r="N74" s="1698" t="s">
        <v>1560</v>
      </c>
      <c r="O74" s="1697" t="s">
        <v>1561</v>
      </c>
      <c r="P74" s="1698" t="s">
        <v>1562</v>
      </c>
      <c r="Q74" s="1697" t="s">
        <v>1563</v>
      </c>
      <c r="R74" s="1698" t="s">
        <v>1564</v>
      </c>
      <c r="S74" s="1697" t="s">
        <v>1565</v>
      </c>
      <c r="T74" s="1698" t="s">
        <v>1566</v>
      </c>
      <c r="U74" s="1697" t="s">
        <v>1567</v>
      </c>
      <c r="V74" s="1698" t="s">
        <v>1568</v>
      </c>
      <c r="W74" s="1697" t="s">
        <v>1569</v>
      </c>
      <c r="X74" s="1698" t="s">
        <v>1570</v>
      </c>
      <c r="Y74" s="1697" t="s">
        <v>1571</v>
      </c>
      <c r="Z74" s="1698" t="s">
        <v>1572</v>
      </c>
      <c r="AA74" s="1697" t="s">
        <v>1573</v>
      </c>
      <c r="AB74" s="1698" t="s">
        <v>1574</v>
      </c>
      <c r="AC74" s="1697" t="s">
        <v>1575</v>
      </c>
      <c r="AD74" s="1698" t="s">
        <v>1576</v>
      </c>
      <c r="AE74" s="1697" t="s">
        <v>1577</v>
      </c>
      <c r="AF74" s="1698" t="s">
        <v>1578</v>
      </c>
      <c r="AG74" s="1697" t="s">
        <v>1579</v>
      </c>
      <c r="AH74" s="1698" t="s">
        <v>1580</v>
      </c>
      <c r="AI74" s="1697" t="s">
        <v>1581</v>
      </c>
      <c r="AJ74" s="1698" t="s">
        <v>1582</v>
      </c>
      <c r="AK74" s="1697" t="s">
        <v>1583</v>
      </c>
      <c r="AL74" s="1698" t="s">
        <v>1584</v>
      </c>
      <c r="AM74" s="1697" t="s">
        <v>1585</v>
      </c>
      <c r="AN74" s="1699" t="s">
        <v>1586</v>
      </c>
      <c r="AO74" s="1700" t="s">
        <v>1587</v>
      </c>
      <c r="AP74" s="1701" t="s">
        <v>1588</v>
      </c>
      <c r="AQ74" s="1701" t="s">
        <v>1589</v>
      </c>
      <c r="AR74" s="1701" t="s">
        <v>1590</v>
      </c>
      <c r="AS74" s="1702" t="s">
        <v>1591</v>
      </c>
      <c r="AT74" s="1698" t="s">
        <v>1592</v>
      </c>
      <c r="AU74" s="1698" t="s">
        <v>1593</v>
      </c>
      <c r="AV74" s="1698" t="s">
        <v>1594</v>
      </c>
      <c r="AW74" s="1698" t="s">
        <v>1595</v>
      </c>
      <c r="AX74" s="1698" t="s">
        <v>1596</v>
      </c>
      <c r="AY74" s="1698" t="s">
        <v>1597</v>
      </c>
      <c r="AZ74" s="1514" t="str">
        <f t="shared" si="97"/>
        <v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BA74" s="181"/>
      <c r="BB74" s="181"/>
      <c r="BC74" s="181"/>
      <c r="CC74" s="348" t="str">
        <f t="shared" si="98"/>
        <v xml:space="preserve">* La celda 'Gestantes' debe ser menor o igual al Total de Mujeres en control. </v>
      </c>
      <c r="CD74" s="348" t="str">
        <f t="shared" si="64"/>
        <v xml:space="preserve">* La celda 'Madres de Hijos menor de 5 años' debe ser menor o igual al Total de Mujeres en control. </v>
      </c>
      <c r="CE74" s="348" t="str">
        <f t="shared" si="65"/>
        <v xml:space="preserve">* La celda 'Pueblos Originarios / Hombres' debe ser menor o igual al Total de Hombres en control. </v>
      </c>
      <c r="CF74" s="348" t="str">
        <f t="shared" si="66"/>
        <v xml:space="preserve">* La celda 'Pueblos Originarios / Mujeres' debe ser menor o igual al Total de Mujeres en control. </v>
      </c>
      <c r="CG74" s="348" t="str">
        <f t="shared" si="67"/>
        <v xml:space="preserve">* La celda 'Población Migrantes / Hombres' debe ser menor o igual al Total de Hombres en control. </v>
      </c>
      <c r="CH74" s="348" t="str">
        <f t="shared" si="68"/>
        <v xml:space="preserve">* La celda 'Población Migrantes / Mujeres' debe ser menor o igual al Total de Mujeres en control. </v>
      </c>
      <c r="CI74" s="348" t="str">
        <f t="shared" si="69"/>
        <v xml:space="preserve">* La celda 'Niños, Niñas, Adolescentes y Jóvenes de Población SENAME' debe ser menor o igual al Total de Ambos Sexos. </v>
      </c>
      <c r="CJ74" s="348" t="str">
        <f t="shared" si="70"/>
        <v xml:space="preserve">* La celda 'Niños, Niñas, Adolescentes y Jóvenes Mejor Niñez' debe ser menor o igual al Total de Ambos Sexos. </v>
      </c>
      <c r="CK74" s="348" t="str">
        <f t="shared" si="71"/>
        <v xml:space="preserve">* La celda 'Plan Cuidado Integral Elaborado' debe ser menor o igual al Total de Personas en control. </v>
      </c>
      <c r="CL74" s="348" t="str">
        <f t="shared" si="99"/>
        <v xml:space="preserve"> * La variable Trans Masculino no debe ser mayor al Total Mujeres.</v>
      </c>
      <c r="CM74" s="348" t="str">
        <f t="shared" si="100"/>
        <v xml:space="preserve"> * La variable Trans Femenino no debe ser mayor al Total Hombre.</v>
      </c>
      <c r="CN74" s="354"/>
      <c r="CO74" s="348" t="str">
        <f t="shared" si="72"/>
        <v/>
      </c>
      <c r="CP74" s="348" t="str">
        <f t="shared" si="73"/>
        <v/>
      </c>
      <c r="CQ74" s="348" t="str">
        <f t="shared" si="101"/>
        <v/>
      </c>
      <c r="CR74" s="348" t="str">
        <f t="shared" si="102"/>
        <v/>
      </c>
      <c r="CS74" s="348" t="str">
        <f t="shared" si="103"/>
        <v/>
      </c>
      <c r="CT74" s="348" t="str">
        <f t="shared" si="104"/>
        <v/>
      </c>
      <c r="CU74" s="348" t="str">
        <f t="shared" si="74"/>
        <v/>
      </c>
      <c r="CV74" s="348" t="str">
        <f t="shared" si="75"/>
        <v/>
      </c>
      <c r="CW74" s="348" t="str">
        <f t="shared" si="76"/>
        <v/>
      </c>
      <c r="CX74" s="175"/>
      <c r="DB74" s="358">
        <f t="shared" si="77"/>
        <v>1</v>
      </c>
      <c r="DC74" s="358">
        <f t="shared" si="78"/>
        <v>1</v>
      </c>
      <c r="DD74" s="358">
        <f t="shared" si="79"/>
        <v>1</v>
      </c>
      <c r="DE74" s="358">
        <f t="shared" si="80"/>
        <v>1</v>
      </c>
      <c r="DF74" s="358">
        <f t="shared" si="81"/>
        <v>1</v>
      </c>
      <c r="DG74" s="358">
        <f t="shared" si="82"/>
        <v>1</v>
      </c>
      <c r="DH74" s="358">
        <f t="shared" si="83"/>
        <v>1</v>
      </c>
      <c r="DI74" s="358">
        <f t="shared" si="84"/>
        <v>1</v>
      </c>
      <c r="DJ74" s="358">
        <f t="shared" si="85"/>
        <v>1</v>
      </c>
      <c r="DK74" s="175"/>
      <c r="DL74" s="358">
        <f t="shared" si="86"/>
        <v>1</v>
      </c>
      <c r="DM74" s="358">
        <f t="shared" si="87"/>
        <v>1</v>
      </c>
      <c r="DN74" s="175"/>
      <c r="DO74" s="358">
        <f t="shared" si="88"/>
        <v>0</v>
      </c>
      <c r="DP74" s="358">
        <f t="shared" si="89"/>
        <v>0</v>
      </c>
      <c r="DQ74" s="358">
        <f t="shared" si="90"/>
        <v>0</v>
      </c>
      <c r="DR74" s="358">
        <f t="shared" si="91"/>
        <v>0</v>
      </c>
      <c r="DS74" s="358">
        <f t="shared" si="92"/>
        <v>0</v>
      </c>
      <c r="DT74" s="358">
        <f t="shared" si="93"/>
        <v>0</v>
      </c>
      <c r="DU74" s="358">
        <f t="shared" si="94"/>
        <v>0</v>
      </c>
      <c r="DV74" s="358">
        <f t="shared" si="95"/>
        <v>0</v>
      </c>
      <c r="DW74" s="358">
        <f t="shared" si="96"/>
        <v>0</v>
      </c>
    </row>
    <row r="75" spans="1:127" s="141" customFormat="1" ht="18" customHeight="1" x14ac:dyDescent="0.3">
      <c r="A75" s="1637" t="s">
        <v>1324</v>
      </c>
      <c r="B75" s="2199" t="s">
        <v>547</v>
      </c>
      <c r="C75" s="1183" t="s">
        <v>548</v>
      </c>
      <c r="D75" s="1703" t="s">
        <v>1550</v>
      </c>
      <c r="E75" s="1704" t="s">
        <v>1551</v>
      </c>
      <c r="F75" s="1705" t="s">
        <v>1552</v>
      </c>
      <c r="G75" s="1706" t="s">
        <v>1553</v>
      </c>
      <c r="H75" s="1707" t="s">
        <v>1554</v>
      </c>
      <c r="I75" s="1687" t="s">
        <v>1555</v>
      </c>
      <c r="J75" s="1688" t="s">
        <v>1556</v>
      </c>
      <c r="K75" s="1687" t="s">
        <v>1557</v>
      </c>
      <c r="L75" s="1688" t="s">
        <v>1558</v>
      </c>
      <c r="M75" s="1687" t="s">
        <v>1559</v>
      </c>
      <c r="N75" s="1688" t="s">
        <v>1560</v>
      </c>
      <c r="O75" s="1687" t="s">
        <v>1561</v>
      </c>
      <c r="P75" s="1688" t="s">
        <v>1562</v>
      </c>
      <c r="Q75" s="1687" t="s">
        <v>1563</v>
      </c>
      <c r="R75" s="1688" t="s">
        <v>1564</v>
      </c>
      <c r="S75" s="1687" t="s">
        <v>1565</v>
      </c>
      <c r="T75" s="1688" t="s">
        <v>1566</v>
      </c>
      <c r="U75" s="1687" t="s">
        <v>1567</v>
      </c>
      <c r="V75" s="1688" t="s">
        <v>1568</v>
      </c>
      <c r="W75" s="1687" t="s">
        <v>1569</v>
      </c>
      <c r="X75" s="1688" t="s">
        <v>1570</v>
      </c>
      <c r="Y75" s="1687" t="s">
        <v>1571</v>
      </c>
      <c r="Z75" s="1688" t="s">
        <v>1572</v>
      </c>
      <c r="AA75" s="1687" t="s">
        <v>1573</v>
      </c>
      <c r="AB75" s="1688" t="s">
        <v>1574</v>
      </c>
      <c r="AC75" s="1687" t="s">
        <v>1575</v>
      </c>
      <c r="AD75" s="1688" t="s">
        <v>1576</v>
      </c>
      <c r="AE75" s="1687" t="s">
        <v>1577</v>
      </c>
      <c r="AF75" s="1688" t="s">
        <v>1578</v>
      </c>
      <c r="AG75" s="1687" t="s">
        <v>1579</v>
      </c>
      <c r="AH75" s="1688" t="s">
        <v>1580</v>
      </c>
      <c r="AI75" s="1687" t="s">
        <v>1581</v>
      </c>
      <c r="AJ75" s="1688" t="s">
        <v>1582</v>
      </c>
      <c r="AK75" s="1687" t="s">
        <v>1583</v>
      </c>
      <c r="AL75" s="1688" t="s">
        <v>1584</v>
      </c>
      <c r="AM75" s="1687" t="s">
        <v>1585</v>
      </c>
      <c r="AN75" s="1708" t="s">
        <v>1586</v>
      </c>
      <c r="AO75" s="1709" t="s">
        <v>1587</v>
      </c>
      <c r="AP75" s="1710" t="s">
        <v>1588</v>
      </c>
      <c r="AQ75" s="1710" t="s">
        <v>1589</v>
      </c>
      <c r="AR75" s="1710" t="s">
        <v>1590</v>
      </c>
      <c r="AS75" s="1711" t="s">
        <v>1591</v>
      </c>
      <c r="AT75" s="1688" t="s">
        <v>1592</v>
      </c>
      <c r="AU75" s="1688" t="s">
        <v>1593</v>
      </c>
      <c r="AV75" s="1688" t="s">
        <v>1594</v>
      </c>
      <c r="AW75" s="1688" t="s">
        <v>1595</v>
      </c>
      <c r="AX75" s="1688" t="s">
        <v>1596</v>
      </c>
      <c r="AY75" s="1688" t="s">
        <v>1597</v>
      </c>
      <c r="AZ75" s="1514" t="str">
        <f t="shared" si="97"/>
        <v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BA75" s="181"/>
      <c r="BB75" s="181"/>
      <c r="BC75" s="181"/>
      <c r="CC75" s="348" t="str">
        <f t="shared" si="98"/>
        <v xml:space="preserve">* La celda 'Gestantes' debe ser menor o igual al Total de Mujeres en control. </v>
      </c>
      <c r="CD75" s="348" t="str">
        <f t="shared" si="64"/>
        <v xml:space="preserve">* La celda 'Madres de Hijos menor de 5 años' debe ser menor o igual al Total de Mujeres en control. </v>
      </c>
      <c r="CE75" s="348" t="str">
        <f t="shared" si="65"/>
        <v xml:space="preserve">* La celda 'Pueblos Originarios / Hombres' debe ser menor o igual al Total de Hombres en control. </v>
      </c>
      <c r="CF75" s="348" t="str">
        <f t="shared" si="66"/>
        <v xml:space="preserve">* La celda 'Pueblos Originarios / Mujeres' debe ser menor o igual al Total de Mujeres en control. </v>
      </c>
      <c r="CG75" s="348" t="str">
        <f t="shared" si="67"/>
        <v xml:space="preserve">* La celda 'Población Migrantes / Hombres' debe ser menor o igual al Total de Hombres en control. </v>
      </c>
      <c r="CH75" s="348" t="str">
        <f t="shared" si="68"/>
        <v xml:space="preserve">* La celda 'Población Migrantes / Mujeres' debe ser menor o igual al Total de Mujeres en control. </v>
      </c>
      <c r="CI75" s="348" t="str">
        <f t="shared" si="69"/>
        <v xml:space="preserve">* La celda 'Niños, Niñas, Adolescentes y Jóvenes de Población SENAME' debe ser menor o igual al Total de Ambos Sexos. </v>
      </c>
      <c r="CJ75" s="348" t="str">
        <f t="shared" si="70"/>
        <v xml:space="preserve">* La celda 'Niños, Niñas, Adolescentes y Jóvenes Mejor Niñez' debe ser menor o igual al Total de Ambos Sexos. </v>
      </c>
      <c r="CK75" s="348" t="str">
        <f t="shared" si="71"/>
        <v xml:space="preserve">* La celda 'Plan Cuidado Integral Elaborado' debe ser menor o igual al Total de Personas en control. </v>
      </c>
      <c r="CL75" s="348" t="str">
        <f t="shared" si="99"/>
        <v xml:space="preserve"> * La variable Trans Masculino no debe ser mayor al Total Mujeres.</v>
      </c>
      <c r="CM75" s="348" t="str">
        <f t="shared" si="100"/>
        <v xml:space="preserve"> * La variable Trans Femenino no debe ser mayor al Total Hombre.</v>
      </c>
      <c r="CN75" s="354"/>
      <c r="CO75" s="348" t="str">
        <f t="shared" si="72"/>
        <v/>
      </c>
      <c r="CP75" s="348" t="str">
        <f t="shared" si="73"/>
        <v/>
      </c>
      <c r="CQ75" s="348" t="str">
        <f t="shared" si="101"/>
        <v/>
      </c>
      <c r="CR75" s="348" t="str">
        <f t="shared" si="102"/>
        <v/>
      </c>
      <c r="CS75" s="348" t="str">
        <f t="shared" si="103"/>
        <v/>
      </c>
      <c r="CT75" s="348" t="str">
        <f t="shared" si="104"/>
        <v/>
      </c>
      <c r="CU75" s="348" t="str">
        <f t="shared" si="74"/>
        <v/>
      </c>
      <c r="CV75" s="348" t="str">
        <f t="shared" si="75"/>
        <v/>
      </c>
      <c r="CW75" s="348" t="str">
        <f t="shared" si="76"/>
        <v/>
      </c>
      <c r="CX75" s="175"/>
      <c r="DB75" s="358">
        <f t="shared" si="77"/>
        <v>1</v>
      </c>
      <c r="DC75" s="358">
        <f t="shared" si="78"/>
        <v>1</v>
      </c>
      <c r="DD75" s="358">
        <f t="shared" si="79"/>
        <v>1</v>
      </c>
      <c r="DE75" s="358">
        <f t="shared" si="80"/>
        <v>1</v>
      </c>
      <c r="DF75" s="358">
        <f t="shared" si="81"/>
        <v>1</v>
      </c>
      <c r="DG75" s="358">
        <f t="shared" si="82"/>
        <v>1</v>
      </c>
      <c r="DH75" s="358">
        <f t="shared" si="83"/>
        <v>1</v>
      </c>
      <c r="DI75" s="358">
        <f t="shared" si="84"/>
        <v>1</v>
      </c>
      <c r="DJ75" s="358">
        <f t="shared" si="85"/>
        <v>1</v>
      </c>
      <c r="DK75" s="175"/>
      <c r="DL75" s="358">
        <f t="shared" si="86"/>
        <v>1</v>
      </c>
      <c r="DM75" s="358">
        <f t="shared" si="87"/>
        <v>1</v>
      </c>
      <c r="DN75" s="175"/>
      <c r="DO75" s="358">
        <f t="shared" si="88"/>
        <v>0</v>
      </c>
      <c r="DP75" s="358">
        <f t="shared" si="89"/>
        <v>0</v>
      </c>
      <c r="DQ75" s="358">
        <f t="shared" si="90"/>
        <v>0</v>
      </c>
      <c r="DR75" s="358">
        <f t="shared" si="91"/>
        <v>0</v>
      </c>
      <c r="DS75" s="358">
        <f t="shared" si="92"/>
        <v>0</v>
      </c>
      <c r="DT75" s="358">
        <f t="shared" si="93"/>
        <v>0</v>
      </c>
      <c r="DU75" s="358">
        <f t="shared" si="94"/>
        <v>0</v>
      </c>
      <c r="DV75" s="358">
        <f t="shared" si="95"/>
        <v>0</v>
      </c>
      <c r="DW75" s="358">
        <f t="shared" si="96"/>
        <v>0</v>
      </c>
    </row>
    <row r="76" spans="1:127" s="141" customFormat="1" ht="25.5" customHeight="1" x14ac:dyDescent="0.3">
      <c r="A76" s="1637" t="s">
        <v>1325</v>
      </c>
      <c r="B76" s="1865"/>
      <c r="C76" s="1268" t="s">
        <v>549</v>
      </c>
      <c r="D76" s="1712" t="s">
        <v>1550</v>
      </c>
      <c r="E76" s="1713" t="s">
        <v>1551</v>
      </c>
      <c r="F76" s="1714" t="s">
        <v>1552</v>
      </c>
      <c r="G76" s="1715" t="s">
        <v>1553</v>
      </c>
      <c r="H76" s="1716" t="s">
        <v>1554</v>
      </c>
      <c r="I76" s="1717" t="s">
        <v>1555</v>
      </c>
      <c r="J76" s="1718" t="s">
        <v>1556</v>
      </c>
      <c r="K76" s="1717" t="s">
        <v>1557</v>
      </c>
      <c r="L76" s="1718" t="s">
        <v>1558</v>
      </c>
      <c r="M76" s="1717" t="s">
        <v>1559</v>
      </c>
      <c r="N76" s="1718" t="s">
        <v>1560</v>
      </c>
      <c r="O76" s="1717" t="s">
        <v>1561</v>
      </c>
      <c r="P76" s="1718" t="s">
        <v>1562</v>
      </c>
      <c r="Q76" s="1717" t="s">
        <v>1563</v>
      </c>
      <c r="R76" s="1718" t="s">
        <v>1564</v>
      </c>
      <c r="S76" s="1717" t="s">
        <v>1565</v>
      </c>
      <c r="T76" s="1718" t="s">
        <v>1566</v>
      </c>
      <c r="U76" s="1717" t="s">
        <v>1567</v>
      </c>
      <c r="V76" s="1718" t="s">
        <v>1568</v>
      </c>
      <c r="W76" s="1717" t="s">
        <v>1569</v>
      </c>
      <c r="X76" s="1718" t="s">
        <v>1570</v>
      </c>
      <c r="Y76" s="1717" t="s">
        <v>1571</v>
      </c>
      <c r="Z76" s="1718" t="s">
        <v>1572</v>
      </c>
      <c r="AA76" s="1717" t="s">
        <v>1573</v>
      </c>
      <c r="AB76" s="1718" t="s">
        <v>1574</v>
      </c>
      <c r="AC76" s="1717" t="s">
        <v>1575</v>
      </c>
      <c r="AD76" s="1718" t="s">
        <v>1576</v>
      </c>
      <c r="AE76" s="1717" t="s">
        <v>1577</v>
      </c>
      <c r="AF76" s="1718" t="s">
        <v>1578</v>
      </c>
      <c r="AG76" s="1717" t="s">
        <v>1579</v>
      </c>
      <c r="AH76" s="1718" t="s">
        <v>1580</v>
      </c>
      <c r="AI76" s="1717" t="s">
        <v>1581</v>
      </c>
      <c r="AJ76" s="1718" t="s">
        <v>1582</v>
      </c>
      <c r="AK76" s="1717" t="s">
        <v>1583</v>
      </c>
      <c r="AL76" s="1718" t="s">
        <v>1584</v>
      </c>
      <c r="AM76" s="1717" t="s">
        <v>1585</v>
      </c>
      <c r="AN76" s="1719" t="s">
        <v>1586</v>
      </c>
      <c r="AO76" s="1720" t="s">
        <v>1587</v>
      </c>
      <c r="AP76" s="1721" t="s">
        <v>1588</v>
      </c>
      <c r="AQ76" s="1721" t="s">
        <v>1589</v>
      </c>
      <c r="AR76" s="1721" t="s">
        <v>1590</v>
      </c>
      <c r="AS76" s="1722" t="s">
        <v>1591</v>
      </c>
      <c r="AT76" s="1718" t="s">
        <v>1592</v>
      </c>
      <c r="AU76" s="1718" t="s">
        <v>1593</v>
      </c>
      <c r="AV76" s="1718" t="s">
        <v>1594</v>
      </c>
      <c r="AW76" s="1718" t="s">
        <v>1595</v>
      </c>
      <c r="AX76" s="1718" t="s">
        <v>1596</v>
      </c>
      <c r="AY76" s="1718" t="s">
        <v>1597</v>
      </c>
      <c r="AZ76" s="1514" t="str">
        <f t="shared" si="97"/>
        <v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BA76" s="181"/>
      <c r="BB76" s="181"/>
      <c r="BC76" s="181"/>
      <c r="CC76" s="348" t="str">
        <f t="shared" si="98"/>
        <v xml:space="preserve">* La celda 'Gestantes' debe ser menor o igual al Total de Mujeres en control. </v>
      </c>
      <c r="CD76" s="348" t="str">
        <f t="shared" si="64"/>
        <v xml:space="preserve">* La celda 'Madres de Hijos menor de 5 años' debe ser menor o igual al Total de Mujeres en control. </v>
      </c>
      <c r="CE76" s="348" t="str">
        <f t="shared" si="65"/>
        <v xml:space="preserve">* La celda 'Pueblos Originarios / Hombres' debe ser menor o igual al Total de Hombres en control. </v>
      </c>
      <c r="CF76" s="348" t="str">
        <f t="shared" si="66"/>
        <v xml:space="preserve">* La celda 'Pueblos Originarios / Mujeres' debe ser menor o igual al Total de Mujeres en control. </v>
      </c>
      <c r="CG76" s="348" t="str">
        <f t="shared" si="67"/>
        <v xml:space="preserve">* La celda 'Población Migrantes / Hombres' debe ser menor o igual al Total de Hombres en control. </v>
      </c>
      <c r="CH76" s="348" t="str">
        <f t="shared" si="68"/>
        <v xml:space="preserve">* La celda 'Población Migrantes / Mujeres' debe ser menor o igual al Total de Mujeres en control. </v>
      </c>
      <c r="CI76" s="348" t="str">
        <f t="shared" si="69"/>
        <v xml:space="preserve">* La celda 'Niños, Niñas, Adolescentes y Jóvenes de Población SENAME' debe ser menor o igual al Total de Ambos Sexos. </v>
      </c>
      <c r="CJ76" s="348" t="str">
        <f t="shared" si="70"/>
        <v xml:space="preserve">* La celda 'Niños, Niñas, Adolescentes y Jóvenes Mejor Niñez' debe ser menor o igual al Total de Ambos Sexos. </v>
      </c>
      <c r="CK76" s="348" t="str">
        <f t="shared" si="71"/>
        <v xml:space="preserve">* La celda 'Plan Cuidado Integral Elaborado' debe ser menor o igual al Total de Personas en control. </v>
      </c>
      <c r="CL76" s="348" t="str">
        <f t="shared" si="99"/>
        <v xml:space="preserve"> * La variable Trans Masculino no debe ser mayor al Total Mujeres.</v>
      </c>
      <c r="CM76" s="348" t="str">
        <f t="shared" si="100"/>
        <v xml:space="preserve"> * La variable Trans Femenino no debe ser mayor al Total Hombre.</v>
      </c>
      <c r="CN76" s="354"/>
      <c r="CO76" s="348" t="str">
        <f t="shared" si="72"/>
        <v/>
      </c>
      <c r="CP76" s="348" t="str">
        <f t="shared" si="73"/>
        <v/>
      </c>
      <c r="CQ76" s="348" t="str">
        <f t="shared" si="101"/>
        <v/>
      </c>
      <c r="CR76" s="348" t="str">
        <f t="shared" si="102"/>
        <v/>
      </c>
      <c r="CS76" s="348" t="str">
        <f t="shared" si="103"/>
        <v/>
      </c>
      <c r="CT76" s="348" t="str">
        <f t="shared" si="104"/>
        <v/>
      </c>
      <c r="CU76" s="348" t="str">
        <f t="shared" si="74"/>
        <v/>
      </c>
      <c r="CV76" s="348" t="str">
        <f t="shared" si="75"/>
        <v/>
      </c>
      <c r="CW76" s="348" t="str">
        <f t="shared" si="76"/>
        <v/>
      </c>
      <c r="CX76" s="175"/>
      <c r="DB76" s="358">
        <f t="shared" si="77"/>
        <v>1</v>
      </c>
      <c r="DC76" s="358">
        <f t="shared" si="78"/>
        <v>1</v>
      </c>
      <c r="DD76" s="358">
        <f t="shared" si="79"/>
        <v>1</v>
      </c>
      <c r="DE76" s="358">
        <f t="shared" si="80"/>
        <v>1</v>
      </c>
      <c r="DF76" s="358">
        <f t="shared" si="81"/>
        <v>1</v>
      </c>
      <c r="DG76" s="358">
        <f t="shared" si="82"/>
        <v>1</v>
      </c>
      <c r="DH76" s="358">
        <f t="shared" si="83"/>
        <v>1</v>
      </c>
      <c r="DI76" s="358">
        <f t="shared" si="84"/>
        <v>1</v>
      </c>
      <c r="DJ76" s="358">
        <f t="shared" si="85"/>
        <v>1</v>
      </c>
      <c r="DK76" s="175"/>
      <c r="DL76" s="358">
        <f t="shared" si="86"/>
        <v>1</v>
      </c>
      <c r="DM76" s="358">
        <f t="shared" si="87"/>
        <v>1</v>
      </c>
      <c r="DN76" s="175"/>
      <c r="DO76" s="358">
        <f t="shared" si="88"/>
        <v>0</v>
      </c>
      <c r="DP76" s="358">
        <f t="shared" si="89"/>
        <v>0</v>
      </c>
      <c r="DQ76" s="358">
        <f t="shared" si="90"/>
        <v>0</v>
      </c>
      <c r="DR76" s="358">
        <f t="shared" si="91"/>
        <v>0</v>
      </c>
      <c r="DS76" s="358">
        <f t="shared" si="92"/>
        <v>0</v>
      </c>
      <c r="DT76" s="358">
        <f t="shared" si="93"/>
        <v>0</v>
      </c>
      <c r="DU76" s="358">
        <f t="shared" si="94"/>
        <v>0</v>
      </c>
      <c r="DV76" s="358">
        <f t="shared" si="95"/>
        <v>0</v>
      </c>
      <c r="DW76" s="358">
        <f t="shared" si="96"/>
        <v>0</v>
      </c>
    </row>
    <row r="77" spans="1:127" s="141" customFormat="1" ht="25.5" customHeight="1" x14ac:dyDescent="0.3">
      <c r="A77" s="1637" t="s">
        <v>1326</v>
      </c>
      <c r="B77" s="2346" t="s">
        <v>339</v>
      </c>
      <c r="C77" s="2353"/>
      <c r="D77" s="1657" t="s">
        <v>1550</v>
      </c>
      <c r="E77" s="1658" t="s">
        <v>1551</v>
      </c>
      <c r="F77" s="1659" t="s">
        <v>1552</v>
      </c>
      <c r="G77" s="1660" t="s">
        <v>1553</v>
      </c>
      <c r="H77" s="1662" t="s">
        <v>1554</v>
      </c>
      <c r="I77" s="1660" t="s">
        <v>1555</v>
      </c>
      <c r="J77" s="1662" t="s">
        <v>1556</v>
      </c>
      <c r="K77" s="1660" t="s">
        <v>1557</v>
      </c>
      <c r="L77" s="1662" t="s">
        <v>1558</v>
      </c>
      <c r="M77" s="1660" t="s">
        <v>1559</v>
      </c>
      <c r="N77" s="1662" t="s">
        <v>1560</v>
      </c>
      <c r="O77" s="1660" t="s">
        <v>1561</v>
      </c>
      <c r="P77" s="1662" t="s">
        <v>1562</v>
      </c>
      <c r="Q77" s="1660" t="s">
        <v>1563</v>
      </c>
      <c r="R77" s="1662" t="s">
        <v>1564</v>
      </c>
      <c r="S77" s="1660" t="s">
        <v>1565</v>
      </c>
      <c r="T77" s="1662" t="s">
        <v>1566</v>
      </c>
      <c r="U77" s="1660" t="s">
        <v>1567</v>
      </c>
      <c r="V77" s="1662" t="s">
        <v>1568</v>
      </c>
      <c r="W77" s="1660" t="s">
        <v>1569</v>
      </c>
      <c r="X77" s="1662" t="s">
        <v>1570</v>
      </c>
      <c r="Y77" s="1660" t="s">
        <v>1571</v>
      </c>
      <c r="Z77" s="1662" t="s">
        <v>1572</v>
      </c>
      <c r="AA77" s="1660" t="s">
        <v>1573</v>
      </c>
      <c r="AB77" s="1662" t="s">
        <v>1574</v>
      </c>
      <c r="AC77" s="1660" t="s">
        <v>1575</v>
      </c>
      <c r="AD77" s="1662" t="s">
        <v>1576</v>
      </c>
      <c r="AE77" s="1660" t="s">
        <v>1577</v>
      </c>
      <c r="AF77" s="1662" t="s">
        <v>1578</v>
      </c>
      <c r="AG77" s="1660" t="s">
        <v>1579</v>
      </c>
      <c r="AH77" s="1662" t="s">
        <v>1580</v>
      </c>
      <c r="AI77" s="1660" t="s">
        <v>1581</v>
      </c>
      <c r="AJ77" s="1662" t="s">
        <v>1582</v>
      </c>
      <c r="AK77" s="1660" t="s">
        <v>1583</v>
      </c>
      <c r="AL77" s="1662" t="s">
        <v>1584</v>
      </c>
      <c r="AM77" s="1660" t="s">
        <v>1585</v>
      </c>
      <c r="AN77" s="1661" t="s">
        <v>1586</v>
      </c>
      <c r="AO77" s="1663" t="s">
        <v>1587</v>
      </c>
      <c r="AP77" s="1664" t="s">
        <v>1588</v>
      </c>
      <c r="AQ77" s="1664" t="s">
        <v>1589</v>
      </c>
      <c r="AR77" s="1664" t="s">
        <v>1590</v>
      </c>
      <c r="AS77" s="1665" t="s">
        <v>1591</v>
      </c>
      <c r="AT77" s="1662" t="s">
        <v>1592</v>
      </c>
      <c r="AU77" s="1662" t="s">
        <v>1593</v>
      </c>
      <c r="AV77" s="1662" t="s">
        <v>1594</v>
      </c>
      <c r="AW77" s="1662" t="s">
        <v>1595</v>
      </c>
      <c r="AX77" s="1662" t="s">
        <v>1596</v>
      </c>
      <c r="AY77" s="1662" t="s">
        <v>1597</v>
      </c>
      <c r="AZ77" s="1514" t="str">
        <f t="shared" si="97"/>
        <v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BA77" s="181"/>
      <c r="BB77" s="181"/>
      <c r="BC77" s="181"/>
      <c r="CC77" s="348" t="str">
        <f t="shared" si="98"/>
        <v xml:space="preserve">* La celda 'Gestantes' debe ser menor o igual al Total de Mujeres en control. </v>
      </c>
      <c r="CD77" s="348" t="str">
        <f t="shared" si="64"/>
        <v xml:space="preserve">* La celda 'Madres de Hijos menor de 5 años' debe ser menor o igual al Total de Mujeres en control. </v>
      </c>
      <c r="CE77" s="348" t="str">
        <f t="shared" si="65"/>
        <v xml:space="preserve">* La celda 'Pueblos Originarios / Hombres' debe ser menor o igual al Total de Hombres en control. </v>
      </c>
      <c r="CF77" s="348" t="str">
        <f t="shared" si="66"/>
        <v xml:space="preserve">* La celda 'Pueblos Originarios / Mujeres' debe ser menor o igual al Total de Mujeres en control. </v>
      </c>
      <c r="CG77" s="348" t="str">
        <f t="shared" si="67"/>
        <v xml:space="preserve">* La celda 'Población Migrantes / Hombres' debe ser menor o igual al Total de Hombres en control. </v>
      </c>
      <c r="CH77" s="348" t="str">
        <f t="shared" si="68"/>
        <v xml:space="preserve">* La celda 'Población Migrantes / Mujeres' debe ser menor o igual al Total de Mujeres en control. </v>
      </c>
      <c r="CI77" s="348" t="str">
        <f t="shared" si="69"/>
        <v xml:space="preserve">* La celda 'Niños, Niñas, Adolescentes y Jóvenes de Población SENAME' debe ser menor o igual al Total de Ambos Sexos. </v>
      </c>
      <c r="CJ77" s="348" t="str">
        <f t="shared" si="70"/>
        <v xml:space="preserve">* La celda 'Niños, Niñas, Adolescentes y Jóvenes Mejor Niñez' debe ser menor o igual al Total de Ambos Sexos. </v>
      </c>
      <c r="CK77" s="348" t="str">
        <f t="shared" si="71"/>
        <v xml:space="preserve">* La celda 'Plan Cuidado Integral Elaborado' debe ser menor o igual al Total de Personas en control. </v>
      </c>
      <c r="CL77" s="348" t="str">
        <f t="shared" si="99"/>
        <v xml:space="preserve"> * La variable Trans Masculino no debe ser mayor al Total Mujeres.</v>
      </c>
      <c r="CM77" s="348" t="str">
        <f t="shared" si="100"/>
        <v xml:space="preserve"> * La variable Trans Femenino no debe ser mayor al Total Hombre.</v>
      </c>
      <c r="CN77" s="354"/>
      <c r="CO77" s="348" t="str">
        <f t="shared" si="72"/>
        <v/>
      </c>
      <c r="CP77" s="348" t="str">
        <f t="shared" si="73"/>
        <v/>
      </c>
      <c r="CQ77" s="348" t="str">
        <f t="shared" si="101"/>
        <v/>
      </c>
      <c r="CR77" s="348" t="str">
        <f t="shared" si="102"/>
        <v/>
      </c>
      <c r="CS77" s="348" t="str">
        <f t="shared" si="103"/>
        <v/>
      </c>
      <c r="CT77" s="348" t="str">
        <f t="shared" si="104"/>
        <v/>
      </c>
      <c r="CU77" s="348" t="str">
        <f>IF(AND($D77&lt;&gt;0,$AU77=""),"* No olvide escribir en la celda de Niños, Niñas, Adolescentes y Jóvenes SENAME. (Digite CERO si no tiene). ","")</f>
        <v/>
      </c>
      <c r="CV77" s="348" t="str">
        <f t="shared" si="75"/>
        <v/>
      </c>
      <c r="CW77" s="348" t="str">
        <f t="shared" si="76"/>
        <v/>
      </c>
      <c r="CX77" s="175"/>
      <c r="DB77" s="358">
        <f t="shared" si="77"/>
        <v>1</v>
      </c>
      <c r="DC77" s="358">
        <f t="shared" si="78"/>
        <v>1</v>
      </c>
      <c r="DD77" s="358">
        <f t="shared" si="79"/>
        <v>1</v>
      </c>
      <c r="DE77" s="358">
        <f t="shared" si="80"/>
        <v>1</v>
      </c>
      <c r="DF77" s="358">
        <f t="shared" si="81"/>
        <v>1</v>
      </c>
      <c r="DG77" s="358">
        <f t="shared" si="82"/>
        <v>1</v>
      </c>
      <c r="DH77" s="358">
        <f t="shared" si="83"/>
        <v>1</v>
      </c>
      <c r="DI77" s="358">
        <f t="shared" si="84"/>
        <v>1</v>
      </c>
      <c r="DJ77" s="358">
        <f t="shared" si="85"/>
        <v>1</v>
      </c>
      <c r="DK77" s="175"/>
      <c r="DL77" s="358">
        <f t="shared" si="86"/>
        <v>1</v>
      </c>
      <c r="DM77" s="358">
        <f t="shared" si="87"/>
        <v>1</v>
      </c>
      <c r="DN77" s="175"/>
      <c r="DO77" s="358">
        <f t="shared" si="88"/>
        <v>0</v>
      </c>
      <c r="DP77" s="358">
        <f t="shared" si="89"/>
        <v>0</v>
      </c>
      <c r="DQ77" s="358">
        <f t="shared" si="90"/>
        <v>0</v>
      </c>
      <c r="DR77" s="358">
        <f t="shared" si="91"/>
        <v>0</v>
      </c>
      <c r="DS77" s="358">
        <f t="shared" si="92"/>
        <v>0</v>
      </c>
      <c r="DT77" s="358">
        <f t="shared" si="93"/>
        <v>0</v>
      </c>
      <c r="DU77" s="358">
        <f t="shared" si="94"/>
        <v>0</v>
      </c>
      <c r="DV77" s="358">
        <f t="shared" si="95"/>
        <v>0</v>
      </c>
      <c r="DW77" s="358">
        <f t="shared" si="96"/>
        <v>0</v>
      </c>
    </row>
    <row r="78" spans="1:127" s="141" customFormat="1" ht="19.95" customHeight="1" x14ac:dyDescent="0.3">
      <c r="A78" s="1637" t="s">
        <v>1327</v>
      </c>
      <c r="B78" s="2362" t="s">
        <v>214</v>
      </c>
      <c r="C78" s="179" t="s">
        <v>235</v>
      </c>
      <c r="D78" s="1703" t="s">
        <v>1550</v>
      </c>
      <c r="E78" s="1704" t="s">
        <v>1551</v>
      </c>
      <c r="F78" s="1723" t="s">
        <v>1552</v>
      </c>
      <c r="G78" s="1687" t="s">
        <v>1553</v>
      </c>
      <c r="H78" s="1688" t="s">
        <v>1554</v>
      </c>
      <c r="I78" s="1687" t="s">
        <v>1555</v>
      </c>
      <c r="J78" s="1688" t="s">
        <v>1556</v>
      </c>
      <c r="K78" s="1687" t="s">
        <v>1557</v>
      </c>
      <c r="L78" s="1688" t="s">
        <v>1558</v>
      </c>
      <c r="M78" s="1687" t="s">
        <v>1559</v>
      </c>
      <c r="N78" s="1688" t="s">
        <v>1560</v>
      </c>
      <c r="O78" s="1687" t="s">
        <v>1561</v>
      </c>
      <c r="P78" s="1688" t="s">
        <v>1562</v>
      </c>
      <c r="Q78" s="1687" t="s">
        <v>1563</v>
      </c>
      <c r="R78" s="1688" t="s">
        <v>1564</v>
      </c>
      <c r="S78" s="1687" t="s">
        <v>1565</v>
      </c>
      <c r="T78" s="1688" t="s">
        <v>1566</v>
      </c>
      <c r="U78" s="1687" t="s">
        <v>1567</v>
      </c>
      <c r="V78" s="1688" t="s">
        <v>1568</v>
      </c>
      <c r="W78" s="1687" t="s">
        <v>1569</v>
      </c>
      <c r="X78" s="1688" t="s">
        <v>1570</v>
      </c>
      <c r="Y78" s="1687" t="s">
        <v>1571</v>
      </c>
      <c r="Z78" s="1688" t="s">
        <v>1572</v>
      </c>
      <c r="AA78" s="1687" t="s">
        <v>1573</v>
      </c>
      <c r="AB78" s="1688" t="s">
        <v>1574</v>
      </c>
      <c r="AC78" s="1687" t="s">
        <v>1575</v>
      </c>
      <c r="AD78" s="1688" t="s">
        <v>1576</v>
      </c>
      <c r="AE78" s="1687" t="s">
        <v>1577</v>
      </c>
      <c r="AF78" s="1688" t="s">
        <v>1578</v>
      </c>
      <c r="AG78" s="1687" t="s">
        <v>1579</v>
      </c>
      <c r="AH78" s="1688" t="s">
        <v>1580</v>
      </c>
      <c r="AI78" s="1687" t="s">
        <v>1581</v>
      </c>
      <c r="AJ78" s="1688" t="s">
        <v>1582</v>
      </c>
      <c r="AK78" s="1687" t="s">
        <v>1583</v>
      </c>
      <c r="AL78" s="1688" t="s">
        <v>1584</v>
      </c>
      <c r="AM78" s="1687" t="s">
        <v>1585</v>
      </c>
      <c r="AN78" s="1708" t="s">
        <v>1586</v>
      </c>
      <c r="AO78" s="1709" t="s">
        <v>1587</v>
      </c>
      <c r="AP78" s="1710" t="s">
        <v>1588</v>
      </c>
      <c r="AQ78" s="1710" t="s">
        <v>1589</v>
      </c>
      <c r="AR78" s="1710" t="s">
        <v>1590</v>
      </c>
      <c r="AS78" s="1711" t="s">
        <v>1591</v>
      </c>
      <c r="AT78" s="1688" t="s">
        <v>1592</v>
      </c>
      <c r="AU78" s="1688" t="s">
        <v>1593</v>
      </c>
      <c r="AV78" s="1688" t="s">
        <v>1594</v>
      </c>
      <c r="AW78" s="1688" t="s">
        <v>1595</v>
      </c>
      <c r="AX78" s="1688" t="s">
        <v>1596</v>
      </c>
      <c r="AY78" s="1688" t="s">
        <v>1597</v>
      </c>
      <c r="AZ78" s="1514" t="str">
        <f t="shared" si="97"/>
        <v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BA78" s="181"/>
      <c r="BB78" s="181"/>
      <c r="BC78" s="181"/>
      <c r="CC78" s="348" t="str">
        <f t="shared" si="98"/>
        <v xml:space="preserve">* La celda 'Gestantes' debe ser menor o igual al Total de Mujeres en control. </v>
      </c>
      <c r="CD78" s="348" t="str">
        <f t="shared" si="64"/>
        <v xml:space="preserve">* La celda 'Madres de Hijos menor de 5 años' debe ser menor o igual al Total de Mujeres en control. </v>
      </c>
      <c r="CE78" s="348" t="str">
        <f t="shared" si="65"/>
        <v xml:space="preserve">* La celda 'Pueblos Originarios / Hombres' debe ser menor o igual al Total de Hombres en control. </v>
      </c>
      <c r="CF78" s="348" t="str">
        <f t="shared" si="66"/>
        <v xml:space="preserve">* La celda 'Pueblos Originarios / Mujeres' debe ser menor o igual al Total de Mujeres en control. </v>
      </c>
      <c r="CG78" s="348" t="str">
        <f t="shared" si="67"/>
        <v xml:space="preserve">* La celda 'Población Migrantes / Hombres' debe ser menor o igual al Total de Hombres en control. </v>
      </c>
      <c r="CH78" s="348" t="str">
        <f t="shared" si="68"/>
        <v xml:space="preserve">* La celda 'Población Migrantes / Mujeres' debe ser menor o igual al Total de Mujeres en control. </v>
      </c>
      <c r="CI78" s="348" t="str">
        <f t="shared" si="69"/>
        <v xml:space="preserve">* La celda 'Niños, Niñas, Adolescentes y Jóvenes de Población SENAME' debe ser menor o igual al Total de Ambos Sexos. </v>
      </c>
      <c r="CJ78" s="348" t="str">
        <f t="shared" si="70"/>
        <v xml:space="preserve">* La celda 'Niños, Niñas, Adolescentes y Jóvenes Mejor Niñez' debe ser menor o igual al Total de Ambos Sexos. </v>
      </c>
      <c r="CK78" s="348" t="str">
        <f t="shared" si="71"/>
        <v xml:space="preserve">* La celda 'Plan Cuidado Integral Elaborado' debe ser menor o igual al Total de Personas en control. </v>
      </c>
      <c r="CL78" s="348" t="str">
        <f t="shared" si="99"/>
        <v xml:space="preserve"> * La variable Trans Masculino no debe ser mayor al Total Mujeres.</v>
      </c>
      <c r="CM78" s="348" t="str">
        <f t="shared" si="100"/>
        <v xml:space="preserve"> * La variable Trans Femenino no debe ser mayor al Total Hombre.</v>
      </c>
      <c r="CN78" s="354"/>
      <c r="CO78" s="348" t="str">
        <f t="shared" si="72"/>
        <v/>
      </c>
      <c r="CP78" s="348" t="str">
        <f t="shared" si="73"/>
        <v/>
      </c>
      <c r="CQ78" s="348" t="str">
        <f t="shared" si="101"/>
        <v/>
      </c>
      <c r="CR78" s="348" t="str">
        <f t="shared" si="102"/>
        <v/>
      </c>
      <c r="CS78" s="348" t="str">
        <f t="shared" si="103"/>
        <v/>
      </c>
      <c r="CT78" s="348" t="str">
        <f t="shared" si="104"/>
        <v/>
      </c>
      <c r="CU78" s="348" t="str">
        <f t="shared" si="74"/>
        <v/>
      </c>
      <c r="CV78" s="348" t="str">
        <f t="shared" si="75"/>
        <v/>
      </c>
      <c r="CW78" s="348" t="str">
        <f t="shared" si="76"/>
        <v/>
      </c>
      <c r="CX78" s="175"/>
      <c r="DB78" s="358">
        <f t="shared" si="77"/>
        <v>1</v>
      </c>
      <c r="DC78" s="358">
        <f t="shared" si="78"/>
        <v>1</v>
      </c>
      <c r="DD78" s="358">
        <f t="shared" si="79"/>
        <v>1</v>
      </c>
      <c r="DE78" s="358">
        <f t="shared" si="80"/>
        <v>1</v>
      </c>
      <c r="DF78" s="358">
        <f t="shared" si="81"/>
        <v>1</v>
      </c>
      <c r="DG78" s="358">
        <f t="shared" si="82"/>
        <v>1</v>
      </c>
      <c r="DH78" s="358">
        <f t="shared" si="83"/>
        <v>1</v>
      </c>
      <c r="DI78" s="358">
        <f t="shared" si="84"/>
        <v>1</v>
      </c>
      <c r="DJ78" s="358">
        <f t="shared" si="85"/>
        <v>1</v>
      </c>
      <c r="DK78" s="175"/>
      <c r="DL78" s="358">
        <f t="shared" si="86"/>
        <v>1</v>
      </c>
      <c r="DM78" s="358">
        <f t="shared" si="87"/>
        <v>1</v>
      </c>
      <c r="DN78" s="175"/>
      <c r="DO78" s="358">
        <f t="shared" si="88"/>
        <v>0</v>
      </c>
      <c r="DP78" s="358">
        <f t="shared" si="89"/>
        <v>0</v>
      </c>
      <c r="DQ78" s="358">
        <f t="shared" si="90"/>
        <v>0</v>
      </c>
      <c r="DR78" s="358">
        <f t="shared" si="91"/>
        <v>0</v>
      </c>
      <c r="DS78" s="358">
        <f t="shared" si="92"/>
        <v>0</v>
      </c>
      <c r="DT78" s="358">
        <f t="shared" si="93"/>
        <v>0</v>
      </c>
      <c r="DU78" s="358">
        <f t="shared" si="94"/>
        <v>0</v>
      </c>
      <c r="DV78" s="358">
        <f t="shared" si="95"/>
        <v>0</v>
      </c>
      <c r="DW78" s="358">
        <f t="shared" si="96"/>
        <v>0</v>
      </c>
    </row>
    <row r="79" spans="1:127" s="141" customFormat="1" ht="19.95" customHeight="1" x14ac:dyDescent="0.3">
      <c r="A79" s="1637" t="s">
        <v>1328</v>
      </c>
      <c r="B79" s="2363"/>
      <c r="C79" s="334" t="s">
        <v>236</v>
      </c>
      <c r="D79" s="1703" t="s">
        <v>1550</v>
      </c>
      <c r="E79" s="1704" t="s">
        <v>1551</v>
      </c>
      <c r="F79" s="1723" t="s">
        <v>1552</v>
      </c>
      <c r="G79" s="1689" t="s">
        <v>1553</v>
      </c>
      <c r="H79" s="1690" t="s">
        <v>1554</v>
      </c>
      <c r="I79" s="1689" t="s">
        <v>1555</v>
      </c>
      <c r="J79" s="1690" t="s">
        <v>1556</v>
      </c>
      <c r="K79" s="1689" t="s">
        <v>1557</v>
      </c>
      <c r="L79" s="1690" t="s">
        <v>1558</v>
      </c>
      <c r="M79" s="1689" t="s">
        <v>1559</v>
      </c>
      <c r="N79" s="1690" t="s">
        <v>1560</v>
      </c>
      <c r="O79" s="1689" t="s">
        <v>1561</v>
      </c>
      <c r="P79" s="1690" t="s">
        <v>1562</v>
      </c>
      <c r="Q79" s="1689" t="s">
        <v>1563</v>
      </c>
      <c r="R79" s="1690" t="s">
        <v>1564</v>
      </c>
      <c r="S79" s="1689" t="s">
        <v>1565</v>
      </c>
      <c r="T79" s="1690" t="s">
        <v>1566</v>
      </c>
      <c r="U79" s="1689" t="s">
        <v>1567</v>
      </c>
      <c r="V79" s="1690" t="s">
        <v>1568</v>
      </c>
      <c r="W79" s="1689" t="s">
        <v>1569</v>
      </c>
      <c r="X79" s="1690" t="s">
        <v>1570</v>
      </c>
      <c r="Y79" s="1689" t="s">
        <v>1571</v>
      </c>
      <c r="Z79" s="1690" t="s">
        <v>1572</v>
      </c>
      <c r="AA79" s="1689" t="s">
        <v>1573</v>
      </c>
      <c r="AB79" s="1690" t="s">
        <v>1574</v>
      </c>
      <c r="AC79" s="1689" t="s">
        <v>1575</v>
      </c>
      <c r="AD79" s="1690" t="s">
        <v>1576</v>
      </c>
      <c r="AE79" s="1689" t="s">
        <v>1577</v>
      </c>
      <c r="AF79" s="1690" t="s">
        <v>1578</v>
      </c>
      <c r="AG79" s="1689" t="s">
        <v>1579</v>
      </c>
      <c r="AH79" s="1690" t="s">
        <v>1580</v>
      </c>
      <c r="AI79" s="1689" t="s">
        <v>1581</v>
      </c>
      <c r="AJ79" s="1690" t="s">
        <v>1582</v>
      </c>
      <c r="AK79" s="1689" t="s">
        <v>1583</v>
      </c>
      <c r="AL79" s="1690" t="s">
        <v>1584</v>
      </c>
      <c r="AM79" s="1689" t="s">
        <v>1585</v>
      </c>
      <c r="AN79" s="1691" t="s">
        <v>1586</v>
      </c>
      <c r="AO79" s="1692" t="s">
        <v>1587</v>
      </c>
      <c r="AP79" s="1693" t="s">
        <v>1588</v>
      </c>
      <c r="AQ79" s="1693" t="s">
        <v>1589</v>
      </c>
      <c r="AR79" s="1693" t="s">
        <v>1590</v>
      </c>
      <c r="AS79" s="1694" t="s">
        <v>1591</v>
      </c>
      <c r="AT79" s="1690" t="s">
        <v>1592</v>
      </c>
      <c r="AU79" s="1690" t="s">
        <v>1593</v>
      </c>
      <c r="AV79" s="1690" t="s">
        <v>1594</v>
      </c>
      <c r="AW79" s="1690" t="s">
        <v>1595</v>
      </c>
      <c r="AX79" s="1690" t="s">
        <v>1596</v>
      </c>
      <c r="AY79" s="1690" t="s">
        <v>1597</v>
      </c>
      <c r="AZ79" s="1514" t="str">
        <f t="shared" si="97"/>
        <v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BA79" s="181"/>
      <c r="BB79" s="181"/>
      <c r="BC79" s="181"/>
      <c r="CC79" s="348" t="str">
        <f t="shared" si="98"/>
        <v xml:space="preserve">* La celda 'Gestantes' debe ser menor o igual al Total de Mujeres en control. </v>
      </c>
      <c r="CD79" s="348" t="str">
        <f t="shared" si="64"/>
        <v xml:space="preserve">* La celda 'Madres de Hijos menor de 5 años' debe ser menor o igual al Total de Mujeres en control. </v>
      </c>
      <c r="CE79" s="348" t="str">
        <f t="shared" si="65"/>
        <v xml:space="preserve">* La celda 'Pueblos Originarios / Hombres' debe ser menor o igual al Total de Hombres en control. </v>
      </c>
      <c r="CF79" s="348" t="str">
        <f t="shared" si="66"/>
        <v xml:space="preserve">* La celda 'Pueblos Originarios / Mujeres' debe ser menor o igual al Total de Mujeres en control. </v>
      </c>
      <c r="CG79" s="348" t="str">
        <f t="shared" si="67"/>
        <v xml:space="preserve">* La celda 'Población Migrantes / Hombres' debe ser menor o igual al Total de Hombres en control. </v>
      </c>
      <c r="CH79" s="348" t="str">
        <f t="shared" si="68"/>
        <v xml:space="preserve">* La celda 'Población Migrantes / Mujeres' debe ser menor o igual al Total de Mujeres en control. </v>
      </c>
      <c r="CI79" s="348" t="str">
        <f t="shared" si="69"/>
        <v xml:space="preserve">* La celda 'Niños, Niñas, Adolescentes y Jóvenes de Población SENAME' debe ser menor o igual al Total de Ambos Sexos. </v>
      </c>
      <c r="CJ79" s="348" t="str">
        <f t="shared" si="70"/>
        <v xml:space="preserve">* La celda 'Niños, Niñas, Adolescentes y Jóvenes Mejor Niñez' debe ser menor o igual al Total de Ambos Sexos. </v>
      </c>
      <c r="CK79" s="348" t="str">
        <f t="shared" si="71"/>
        <v xml:space="preserve">* La celda 'Plan Cuidado Integral Elaborado' debe ser menor o igual al Total de Personas en control. </v>
      </c>
      <c r="CL79" s="348" t="str">
        <f t="shared" si="99"/>
        <v xml:space="preserve"> * La variable Trans Masculino no debe ser mayor al Total Mujeres.</v>
      </c>
      <c r="CM79" s="348" t="str">
        <f t="shared" si="100"/>
        <v xml:space="preserve"> * La variable Trans Femenino no debe ser mayor al Total Hombre.</v>
      </c>
      <c r="CN79" s="354"/>
      <c r="CO79" s="348" t="str">
        <f t="shared" si="72"/>
        <v/>
      </c>
      <c r="CP79" s="348" t="str">
        <f t="shared" si="73"/>
        <v/>
      </c>
      <c r="CQ79" s="348" t="str">
        <f t="shared" si="101"/>
        <v/>
      </c>
      <c r="CR79" s="348" t="str">
        <f t="shared" si="102"/>
        <v/>
      </c>
      <c r="CS79" s="348" t="str">
        <f t="shared" si="103"/>
        <v/>
      </c>
      <c r="CT79" s="348" t="str">
        <f t="shared" si="104"/>
        <v/>
      </c>
      <c r="CU79" s="348" t="str">
        <f t="shared" si="74"/>
        <v/>
      </c>
      <c r="CV79" s="348" t="str">
        <f t="shared" si="75"/>
        <v/>
      </c>
      <c r="CW79" s="348" t="str">
        <f t="shared" si="76"/>
        <v/>
      </c>
      <c r="CX79" s="175"/>
      <c r="DB79" s="358">
        <f>IF($AO79&gt;$F79,1,0)</f>
        <v>1</v>
      </c>
      <c r="DC79" s="358">
        <f t="shared" si="78"/>
        <v>1</v>
      </c>
      <c r="DD79" s="358">
        <f t="shared" si="79"/>
        <v>1</v>
      </c>
      <c r="DE79" s="358">
        <f t="shared" si="80"/>
        <v>1</v>
      </c>
      <c r="DF79" s="358">
        <f t="shared" si="81"/>
        <v>1</v>
      </c>
      <c r="DG79" s="358">
        <f t="shared" si="82"/>
        <v>1</v>
      </c>
      <c r="DH79" s="358">
        <f t="shared" si="83"/>
        <v>1</v>
      </c>
      <c r="DI79" s="358">
        <f t="shared" si="84"/>
        <v>1</v>
      </c>
      <c r="DJ79" s="358">
        <f t="shared" si="85"/>
        <v>1</v>
      </c>
      <c r="DK79" s="175"/>
      <c r="DL79" s="358">
        <f t="shared" si="86"/>
        <v>1</v>
      </c>
      <c r="DM79" s="358">
        <f t="shared" si="87"/>
        <v>1</v>
      </c>
      <c r="DN79" s="175"/>
      <c r="DO79" s="358">
        <f t="shared" si="88"/>
        <v>0</v>
      </c>
      <c r="DP79" s="358">
        <f t="shared" si="89"/>
        <v>0</v>
      </c>
      <c r="DQ79" s="358">
        <f t="shared" si="90"/>
        <v>0</v>
      </c>
      <c r="DR79" s="358">
        <f t="shared" si="91"/>
        <v>0</v>
      </c>
      <c r="DS79" s="358">
        <f t="shared" si="92"/>
        <v>0</v>
      </c>
      <c r="DT79" s="358">
        <f t="shared" si="93"/>
        <v>0</v>
      </c>
      <c r="DU79" s="358">
        <f t="shared" si="94"/>
        <v>0</v>
      </c>
      <c r="DV79" s="358">
        <f t="shared" si="95"/>
        <v>0</v>
      </c>
      <c r="DW79" s="358">
        <f t="shared" si="96"/>
        <v>0</v>
      </c>
    </row>
    <row r="80" spans="1:127" s="141" customFormat="1" ht="19.95" customHeight="1" x14ac:dyDescent="0.3">
      <c r="A80" s="1637" t="s">
        <v>1329</v>
      </c>
      <c r="B80" s="2363"/>
      <c r="C80" s="334" t="s">
        <v>514</v>
      </c>
      <c r="D80" s="1703" t="s">
        <v>1550</v>
      </c>
      <c r="E80" s="1704" t="s">
        <v>1551</v>
      </c>
      <c r="F80" s="1723" t="s">
        <v>1552</v>
      </c>
      <c r="G80" s="1689" t="s">
        <v>1553</v>
      </c>
      <c r="H80" s="1690" t="s">
        <v>1554</v>
      </c>
      <c r="I80" s="1689" t="s">
        <v>1555</v>
      </c>
      <c r="J80" s="1690" t="s">
        <v>1556</v>
      </c>
      <c r="K80" s="1689" t="s">
        <v>1557</v>
      </c>
      <c r="L80" s="1690" t="s">
        <v>1558</v>
      </c>
      <c r="M80" s="1689" t="s">
        <v>1559</v>
      </c>
      <c r="N80" s="1690" t="s">
        <v>1560</v>
      </c>
      <c r="O80" s="1689" t="s">
        <v>1561</v>
      </c>
      <c r="P80" s="1690" t="s">
        <v>1562</v>
      </c>
      <c r="Q80" s="1689" t="s">
        <v>1563</v>
      </c>
      <c r="R80" s="1690" t="s">
        <v>1564</v>
      </c>
      <c r="S80" s="1689" t="s">
        <v>1565</v>
      </c>
      <c r="T80" s="1690" t="s">
        <v>1566</v>
      </c>
      <c r="U80" s="1689" t="s">
        <v>1567</v>
      </c>
      <c r="V80" s="1690" t="s">
        <v>1568</v>
      </c>
      <c r="W80" s="1689" t="s">
        <v>1569</v>
      </c>
      <c r="X80" s="1690" t="s">
        <v>1570</v>
      </c>
      <c r="Y80" s="1689" t="s">
        <v>1571</v>
      </c>
      <c r="Z80" s="1690" t="s">
        <v>1572</v>
      </c>
      <c r="AA80" s="1689" t="s">
        <v>1573</v>
      </c>
      <c r="AB80" s="1690" t="s">
        <v>1574</v>
      </c>
      <c r="AC80" s="1689" t="s">
        <v>1575</v>
      </c>
      <c r="AD80" s="1690" t="s">
        <v>1576</v>
      </c>
      <c r="AE80" s="1689" t="s">
        <v>1577</v>
      </c>
      <c r="AF80" s="1690" t="s">
        <v>1578</v>
      </c>
      <c r="AG80" s="1689" t="s">
        <v>1579</v>
      </c>
      <c r="AH80" s="1690" t="s">
        <v>1580</v>
      </c>
      <c r="AI80" s="1689" t="s">
        <v>1581</v>
      </c>
      <c r="AJ80" s="1690" t="s">
        <v>1582</v>
      </c>
      <c r="AK80" s="1689" t="s">
        <v>1583</v>
      </c>
      <c r="AL80" s="1690" t="s">
        <v>1584</v>
      </c>
      <c r="AM80" s="1689" t="s">
        <v>1585</v>
      </c>
      <c r="AN80" s="1691" t="s">
        <v>1586</v>
      </c>
      <c r="AO80" s="1692" t="s">
        <v>1587</v>
      </c>
      <c r="AP80" s="1693" t="s">
        <v>1588</v>
      </c>
      <c r="AQ80" s="1693" t="s">
        <v>1589</v>
      </c>
      <c r="AR80" s="1693" t="s">
        <v>1590</v>
      </c>
      <c r="AS80" s="1694" t="s">
        <v>1591</v>
      </c>
      <c r="AT80" s="1690" t="s">
        <v>1592</v>
      </c>
      <c r="AU80" s="1690" t="s">
        <v>1593</v>
      </c>
      <c r="AV80" s="1690" t="s">
        <v>1594</v>
      </c>
      <c r="AW80" s="1690" t="s">
        <v>1595</v>
      </c>
      <c r="AX80" s="1690" t="s">
        <v>1596</v>
      </c>
      <c r="AY80" s="1690" t="s">
        <v>1597</v>
      </c>
      <c r="AZ80" s="1514" t="str">
        <f t="shared" si="97"/>
        <v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BA80" s="181"/>
      <c r="BB80" s="181"/>
      <c r="BC80" s="181"/>
      <c r="CC80" s="348" t="str">
        <f t="shared" si="98"/>
        <v xml:space="preserve">* La celda 'Gestantes' debe ser menor o igual al Total de Mujeres en control. </v>
      </c>
      <c r="CD80" s="348" t="str">
        <f t="shared" si="64"/>
        <v xml:space="preserve">* La celda 'Madres de Hijos menor de 5 años' debe ser menor o igual al Total de Mujeres en control. </v>
      </c>
      <c r="CE80" s="348" t="str">
        <f t="shared" si="65"/>
        <v xml:space="preserve">* La celda 'Pueblos Originarios / Hombres' debe ser menor o igual al Total de Hombres en control. </v>
      </c>
      <c r="CF80" s="348" t="str">
        <f t="shared" si="66"/>
        <v xml:space="preserve">* La celda 'Pueblos Originarios / Mujeres' debe ser menor o igual al Total de Mujeres en control. </v>
      </c>
      <c r="CG80" s="348" t="str">
        <f t="shared" si="67"/>
        <v xml:space="preserve">* La celda 'Población Migrantes / Hombres' debe ser menor o igual al Total de Hombres en control. </v>
      </c>
      <c r="CH80" s="348" t="str">
        <f t="shared" si="68"/>
        <v xml:space="preserve">* La celda 'Población Migrantes / Mujeres' debe ser menor o igual al Total de Mujeres en control. </v>
      </c>
      <c r="CI80" s="348" t="str">
        <f t="shared" si="69"/>
        <v xml:space="preserve">* La celda 'Niños, Niñas, Adolescentes y Jóvenes de Población SENAME' debe ser menor o igual al Total de Ambos Sexos. </v>
      </c>
      <c r="CJ80" s="348" t="str">
        <f t="shared" si="70"/>
        <v xml:space="preserve">* La celda 'Niños, Niñas, Adolescentes y Jóvenes Mejor Niñez' debe ser menor o igual al Total de Ambos Sexos. </v>
      </c>
      <c r="CK80" s="348" t="str">
        <f t="shared" si="71"/>
        <v xml:space="preserve">* La celda 'Plan Cuidado Integral Elaborado' debe ser menor o igual al Total de Personas en control. </v>
      </c>
      <c r="CL80" s="348" t="str">
        <f t="shared" si="99"/>
        <v xml:space="preserve"> * La variable Trans Masculino no debe ser mayor al Total Mujeres.</v>
      </c>
      <c r="CM80" s="348" t="str">
        <f t="shared" si="100"/>
        <v xml:space="preserve"> * La variable Trans Femenino no debe ser mayor al Total Hombre.</v>
      </c>
      <c r="CN80" s="354"/>
      <c r="CO80" s="348" t="str">
        <f t="shared" si="72"/>
        <v/>
      </c>
      <c r="CP80" s="348" t="str">
        <f t="shared" si="73"/>
        <v/>
      </c>
      <c r="CQ80" s="348" t="str">
        <f t="shared" si="101"/>
        <v/>
      </c>
      <c r="CR80" s="348" t="str">
        <f t="shared" si="102"/>
        <v/>
      </c>
      <c r="CS80" s="348" t="str">
        <f t="shared" si="103"/>
        <v/>
      </c>
      <c r="CT80" s="348" t="str">
        <f t="shared" si="104"/>
        <v/>
      </c>
      <c r="CU80" s="348" t="str">
        <f t="shared" si="74"/>
        <v/>
      </c>
      <c r="CV80" s="348" t="str">
        <f t="shared" si="75"/>
        <v/>
      </c>
      <c r="CW80" s="348" t="str">
        <f t="shared" si="76"/>
        <v/>
      </c>
      <c r="CX80" s="175"/>
      <c r="DB80" s="358">
        <f t="shared" si="77"/>
        <v>1</v>
      </c>
      <c r="DC80" s="358">
        <f t="shared" si="78"/>
        <v>1</v>
      </c>
      <c r="DD80" s="358">
        <f t="shared" si="79"/>
        <v>1</v>
      </c>
      <c r="DE80" s="358">
        <f t="shared" si="80"/>
        <v>1</v>
      </c>
      <c r="DF80" s="358">
        <f t="shared" si="81"/>
        <v>1</v>
      </c>
      <c r="DG80" s="358">
        <f t="shared" si="82"/>
        <v>1</v>
      </c>
      <c r="DH80" s="358">
        <f t="shared" si="83"/>
        <v>1</v>
      </c>
      <c r="DI80" s="358">
        <f t="shared" si="84"/>
        <v>1</v>
      </c>
      <c r="DJ80" s="358">
        <f t="shared" si="85"/>
        <v>1</v>
      </c>
      <c r="DK80" s="175"/>
      <c r="DL80" s="358">
        <f t="shared" si="86"/>
        <v>1</v>
      </c>
      <c r="DM80" s="358">
        <f t="shared" si="87"/>
        <v>1</v>
      </c>
      <c r="DN80" s="175"/>
      <c r="DO80" s="358">
        <f t="shared" si="88"/>
        <v>0</v>
      </c>
      <c r="DP80" s="358">
        <f>IF(AND($F80&lt;&gt;0,$AP80=""),1,0)</f>
        <v>0</v>
      </c>
      <c r="DQ80" s="358">
        <f t="shared" si="90"/>
        <v>0</v>
      </c>
      <c r="DR80" s="358">
        <f t="shared" si="91"/>
        <v>0</v>
      </c>
      <c r="DS80" s="358">
        <f t="shared" si="92"/>
        <v>0</v>
      </c>
      <c r="DT80" s="358">
        <f t="shared" si="93"/>
        <v>0</v>
      </c>
      <c r="DU80" s="358">
        <f t="shared" si="94"/>
        <v>0</v>
      </c>
      <c r="DV80" s="358">
        <f t="shared" si="95"/>
        <v>0</v>
      </c>
      <c r="DW80" s="358">
        <f t="shared" si="96"/>
        <v>0</v>
      </c>
    </row>
    <row r="81" spans="1:127" s="141" customFormat="1" ht="19.95" customHeight="1" x14ac:dyDescent="0.3">
      <c r="A81" s="1637" t="s">
        <v>1330</v>
      </c>
      <c r="B81" s="2363"/>
      <c r="C81" s="335" t="s">
        <v>218</v>
      </c>
      <c r="D81" s="1703" t="s">
        <v>1550</v>
      </c>
      <c r="E81" s="1724" t="s">
        <v>1551</v>
      </c>
      <c r="F81" s="1725" t="s">
        <v>1552</v>
      </c>
      <c r="G81" s="1726" t="s">
        <v>1553</v>
      </c>
      <c r="H81" s="1727" t="s">
        <v>1554</v>
      </c>
      <c r="I81" s="1726" t="s">
        <v>1555</v>
      </c>
      <c r="J81" s="1727" t="s">
        <v>1556</v>
      </c>
      <c r="K81" s="1726" t="s">
        <v>1557</v>
      </c>
      <c r="L81" s="1690" t="s">
        <v>1558</v>
      </c>
      <c r="M81" s="1726" t="s">
        <v>1559</v>
      </c>
      <c r="N81" s="1690" t="s">
        <v>1560</v>
      </c>
      <c r="O81" s="1726" t="s">
        <v>1561</v>
      </c>
      <c r="P81" s="1690" t="s">
        <v>1562</v>
      </c>
      <c r="Q81" s="1726" t="s">
        <v>1563</v>
      </c>
      <c r="R81" s="1690" t="s">
        <v>1564</v>
      </c>
      <c r="S81" s="1726" t="s">
        <v>1565</v>
      </c>
      <c r="T81" s="1690" t="s">
        <v>1566</v>
      </c>
      <c r="U81" s="1726" t="s">
        <v>1567</v>
      </c>
      <c r="V81" s="1690" t="s">
        <v>1568</v>
      </c>
      <c r="W81" s="1726" t="s">
        <v>1569</v>
      </c>
      <c r="X81" s="1690" t="s">
        <v>1570</v>
      </c>
      <c r="Y81" s="1726" t="s">
        <v>1571</v>
      </c>
      <c r="Z81" s="1690" t="s">
        <v>1572</v>
      </c>
      <c r="AA81" s="1726" t="s">
        <v>1573</v>
      </c>
      <c r="AB81" s="1690" t="s">
        <v>1574</v>
      </c>
      <c r="AC81" s="1726" t="s">
        <v>1575</v>
      </c>
      <c r="AD81" s="1690" t="s">
        <v>1576</v>
      </c>
      <c r="AE81" s="1726" t="s">
        <v>1577</v>
      </c>
      <c r="AF81" s="1727" t="s">
        <v>1578</v>
      </c>
      <c r="AG81" s="1726" t="s">
        <v>1579</v>
      </c>
      <c r="AH81" s="1727" t="s">
        <v>1580</v>
      </c>
      <c r="AI81" s="1726" t="s">
        <v>1581</v>
      </c>
      <c r="AJ81" s="1727" t="s">
        <v>1582</v>
      </c>
      <c r="AK81" s="1726" t="s">
        <v>1583</v>
      </c>
      <c r="AL81" s="1727" t="s">
        <v>1584</v>
      </c>
      <c r="AM81" s="1726" t="s">
        <v>1585</v>
      </c>
      <c r="AN81" s="1728" t="s">
        <v>1586</v>
      </c>
      <c r="AO81" s="1729" t="s">
        <v>1587</v>
      </c>
      <c r="AP81" s="1693" t="s">
        <v>1588</v>
      </c>
      <c r="AQ81" s="1730" t="s">
        <v>1589</v>
      </c>
      <c r="AR81" s="1693" t="s">
        <v>1590</v>
      </c>
      <c r="AS81" s="1724" t="s">
        <v>1591</v>
      </c>
      <c r="AT81" s="1690" t="s">
        <v>1592</v>
      </c>
      <c r="AU81" s="1690" t="s">
        <v>1593</v>
      </c>
      <c r="AV81" s="1690" t="s">
        <v>1594</v>
      </c>
      <c r="AW81" s="1690" t="s">
        <v>1595</v>
      </c>
      <c r="AX81" s="1690" t="s">
        <v>1596</v>
      </c>
      <c r="AY81" s="1690" t="s">
        <v>1597</v>
      </c>
      <c r="AZ81" s="1514" t="str">
        <f t="shared" si="97"/>
        <v>* La celda 'Gestantes' debe ser menor o igual al Total de Mujeres en control. * La celda 'Madres de Hijos menor de 5 años' debe ser menor o igual al Total de Mujeres en control. * La celda 'Pueblos Originarios / Mujeres' debe ser menor o igual al Total de Mujeres en control. * La celda 'Población Migrantes / Mujeres' debe ser menor o igual al Total de Mujeres en control. * La celda 'Niños, Niñas, Adolescentes y Jóvenes de Población SENAME' debe ser menor o igual al Total de Ambos Sexos. 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</v>
      </c>
      <c r="BA81" s="181"/>
      <c r="BB81" s="181"/>
      <c r="BC81" s="181"/>
      <c r="CC81" s="348" t="str">
        <f t="shared" si="98"/>
        <v xml:space="preserve">* La celda 'Gestantes' debe ser menor o igual al Total de Mujeres en control. </v>
      </c>
      <c r="CD81" s="348" t="str">
        <f t="shared" si="64"/>
        <v xml:space="preserve">* La celda 'Madres de Hijos menor de 5 años' debe ser menor o igual al Total de Mujeres en control. </v>
      </c>
      <c r="CE81" s="354"/>
      <c r="CF81" s="348" t="str">
        <f t="shared" si="66"/>
        <v xml:space="preserve">* La celda 'Pueblos Originarios / Mujeres' debe ser menor o igual al Total de Mujeres en control. </v>
      </c>
      <c r="CG81" s="354"/>
      <c r="CH81" s="348" t="str">
        <f t="shared" si="68"/>
        <v xml:space="preserve">* La celda 'Población Migrantes / Mujeres' debe ser menor o igual al Total de Mujeres en control. </v>
      </c>
      <c r="CI81" s="348" t="str">
        <f t="shared" si="69"/>
        <v xml:space="preserve">* La celda 'Niños, Niñas, Adolescentes y Jóvenes de Población SENAME' debe ser menor o igual al Total de Ambos Sexos. </v>
      </c>
      <c r="CJ81" s="348" t="str">
        <f t="shared" si="70"/>
        <v xml:space="preserve">* La celda 'Niños, Niñas, Adolescentes y Jóvenes Mejor Niñez' debe ser menor o igual al Total de Ambos Sexos. </v>
      </c>
      <c r="CK81" s="348" t="str">
        <f t="shared" si="71"/>
        <v xml:space="preserve">* La celda 'Plan Cuidado Integral Elaborado' debe ser menor o igual al Total de Personas en control. </v>
      </c>
      <c r="CL81" s="348" t="str">
        <f>IF(AND(F81&gt;0,OR(AX81=""))," * No olvide digitar la variable Trans Masculino. (Digite Cero si no tiene).",IF(AX81&gt;F81," * La variable Trans Masculino no debe ser mayor al Total Mujeres.",""))</f>
        <v xml:space="preserve"> * La variable Trans Masculino no debe ser mayor al Total Mujeres.</v>
      </c>
      <c r="CM81" s="354"/>
      <c r="CN81" s="354"/>
      <c r="CO81" s="354"/>
      <c r="CP81" s="348" t="str">
        <f>IF(AND($F81&lt;&gt;0,$AP81=""),"* No olvide escribir en la celda de 'Madres de Hijos menor de 5 años' (Digite CERO si no tiene). ","")</f>
        <v/>
      </c>
      <c r="CQ81" s="354"/>
      <c r="CR81" s="348" t="str">
        <f t="shared" si="102"/>
        <v/>
      </c>
      <c r="CS81" s="354"/>
      <c r="CT81" s="348" t="str">
        <f t="shared" si="104"/>
        <v/>
      </c>
      <c r="CU81" s="348" t="str">
        <f t="shared" si="74"/>
        <v/>
      </c>
      <c r="CV81" s="348" t="str">
        <f>IF(AND($D81&lt;&gt;0,$AV81=""),"* No olvide escribir en la celda Niños, Niñas, Adolescentes y Jóvenes Mejor Niñez. (Digite CERO si no tiene). ","")</f>
        <v/>
      </c>
      <c r="CW81" s="348" t="str">
        <f t="shared" si="76"/>
        <v/>
      </c>
      <c r="CX81" s="175"/>
      <c r="DB81" s="352"/>
      <c r="DC81" s="358">
        <f>IF($AP81&gt;$F81,1,0)</f>
        <v>1</v>
      </c>
      <c r="DD81" s="352"/>
      <c r="DE81" s="358">
        <f t="shared" si="80"/>
        <v>1</v>
      </c>
      <c r="DF81" s="352"/>
      <c r="DG81" s="358">
        <f t="shared" si="82"/>
        <v>1</v>
      </c>
      <c r="DH81" s="358">
        <f t="shared" si="83"/>
        <v>1</v>
      </c>
      <c r="DI81" s="358">
        <f t="shared" si="84"/>
        <v>1</v>
      </c>
      <c r="DJ81" s="358">
        <f t="shared" si="85"/>
        <v>1</v>
      </c>
      <c r="DK81" s="175"/>
      <c r="DL81" s="358">
        <f t="shared" si="86"/>
        <v>1</v>
      </c>
      <c r="DM81" s="352"/>
      <c r="DN81" s="175"/>
      <c r="DO81" s="352"/>
      <c r="DP81" s="358">
        <f>IF(AND($F81&lt;&gt;0,$AP81=""),1,0)</f>
        <v>0</v>
      </c>
      <c r="DQ81" s="352"/>
      <c r="DR81" s="358">
        <f t="shared" si="91"/>
        <v>0</v>
      </c>
      <c r="DS81" s="352"/>
      <c r="DT81" s="358">
        <f t="shared" si="93"/>
        <v>0</v>
      </c>
      <c r="DU81" s="358">
        <f t="shared" si="94"/>
        <v>0</v>
      </c>
      <c r="DV81" s="358">
        <f t="shared" si="95"/>
        <v>0</v>
      </c>
      <c r="DW81" s="358">
        <f t="shared" si="96"/>
        <v>0</v>
      </c>
    </row>
    <row r="82" spans="1:127" s="141" customFormat="1" ht="19.95" customHeight="1" x14ac:dyDescent="0.3">
      <c r="A82" s="1637" t="s">
        <v>1331</v>
      </c>
      <c r="B82" s="2364"/>
      <c r="C82" s="180" t="s">
        <v>219</v>
      </c>
      <c r="D82" s="1684" t="s">
        <v>1550</v>
      </c>
      <c r="E82" s="1685" t="s">
        <v>1551</v>
      </c>
      <c r="F82" s="1686" t="s">
        <v>1552</v>
      </c>
      <c r="G82" s="1731" t="s">
        <v>1553</v>
      </c>
      <c r="H82" s="1732" t="s">
        <v>1554</v>
      </c>
      <c r="I82" s="1731" t="s">
        <v>1555</v>
      </c>
      <c r="J82" s="1732" t="s">
        <v>1556</v>
      </c>
      <c r="K82" s="1731" t="s">
        <v>1557</v>
      </c>
      <c r="L82" s="1732" t="s">
        <v>1558</v>
      </c>
      <c r="M82" s="1731" t="s">
        <v>1559</v>
      </c>
      <c r="N82" s="1732" t="s">
        <v>1560</v>
      </c>
      <c r="O82" s="1731" t="s">
        <v>1561</v>
      </c>
      <c r="P82" s="1732" t="s">
        <v>1562</v>
      </c>
      <c r="Q82" s="1731" t="s">
        <v>1563</v>
      </c>
      <c r="R82" s="1732" t="s">
        <v>1564</v>
      </c>
      <c r="S82" s="1731" t="s">
        <v>1565</v>
      </c>
      <c r="T82" s="1732" t="s">
        <v>1566</v>
      </c>
      <c r="U82" s="1731" t="s">
        <v>1567</v>
      </c>
      <c r="V82" s="1732" t="s">
        <v>1568</v>
      </c>
      <c r="W82" s="1731" t="s">
        <v>1569</v>
      </c>
      <c r="X82" s="1732" t="s">
        <v>1570</v>
      </c>
      <c r="Y82" s="1731" t="s">
        <v>1571</v>
      </c>
      <c r="Z82" s="1732" t="s">
        <v>1572</v>
      </c>
      <c r="AA82" s="1731" t="s">
        <v>1573</v>
      </c>
      <c r="AB82" s="1732" t="s">
        <v>1574</v>
      </c>
      <c r="AC82" s="1731" t="s">
        <v>1575</v>
      </c>
      <c r="AD82" s="1732" t="s">
        <v>1576</v>
      </c>
      <c r="AE82" s="1731" t="s">
        <v>1577</v>
      </c>
      <c r="AF82" s="1732" t="s">
        <v>1578</v>
      </c>
      <c r="AG82" s="1731" t="s">
        <v>1579</v>
      </c>
      <c r="AH82" s="1732" t="s">
        <v>1580</v>
      </c>
      <c r="AI82" s="1731" t="s">
        <v>1581</v>
      </c>
      <c r="AJ82" s="1732" t="s">
        <v>1582</v>
      </c>
      <c r="AK82" s="1731" t="s">
        <v>1583</v>
      </c>
      <c r="AL82" s="1732" t="s">
        <v>1584</v>
      </c>
      <c r="AM82" s="1731" t="s">
        <v>1585</v>
      </c>
      <c r="AN82" s="1733" t="s">
        <v>1586</v>
      </c>
      <c r="AO82" s="1734" t="s">
        <v>1587</v>
      </c>
      <c r="AP82" s="1735" t="s">
        <v>1588</v>
      </c>
      <c r="AQ82" s="1735" t="s">
        <v>1589</v>
      </c>
      <c r="AR82" s="1735" t="s">
        <v>1590</v>
      </c>
      <c r="AS82" s="1736" t="s">
        <v>1591</v>
      </c>
      <c r="AT82" s="1732" t="s">
        <v>1592</v>
      </c>
      <c r="AU82" s="1732" t="s">
        <v>1593</v>
      </c>
      <c r="AV82" s="1732" t="s">
        <v>1594</v>
      </c>
      <c r="AW82" s="1732" t="s">
        <v>1595</v>
      </c>
      <c r="AX82" s="1732" t="s">
        <v>1596</v>
      </c>
      <c r="AY82" s="1732" t="s">
        <v>1597</v>
      </c>
      <c r="AZ82" s="1514" t="str">
        <f t="shared" si="97"/>
        <v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BA82" s="181"/>
      <c r="BB82" s="181"/>
      <c r="BC82" s="181"/>
      <c r="CC82" s="348" t="str">
        <f t="shared" si="98"/>
        <v xml:space="preserve">* La celda 'Gestantes' debe ser menor o igual al Total de Mujeres en control. </v>
      </c>
      <c r="CD82" s="348" t="str">
        <f t="shared" si="64"/>
        <v xml:space="preserve">* La celda 'Madres de Hijos menor de 5 años' debe ser menor o igual al Total de Mujeres en control. </v>
      </c>
      <c r="CE82" s="348" t="str">
        <f t="shared" ref="CE82:CE111" si="105">IF(($AQ82)&gt;$E82,"* La celda 'Pueblos Originarios / Hombres' debe ser menor o igual al Total de Hombres en control. ","")</f>
        <v xml:space="preserve">* La celda 'Pueblos Originarios / Hombres' debe ser menor o igual al Total de Hombres en control. </v>
      </c>
      <c r="CF82" s="348" t="str">
        <f t="shared" si="66"/>
        <v xml:space="preserve">* La celda 'Pueblos Originarios / Mujeres' debe ser menor o igual al Total de Mujeres en control. </v>
      </c>
      <c r="CG82" s="348" t="str">
        <f t="shared" ref="CG82:CG111" si="106">IF(($AS82)&gt;$E82,"* La celda 'Población Migrantes / Hombres' debe ser menor o igual al Total de Hombres en control. ","")</f>
        <v xml:space="preserve">* La celda 'Población Migrantes / Hombres' debe ser menor o igual al Total de Hombres en control. </v>
      </c>
      <c r="CH82" s="348" t="str">
        <f t="shared" si="68"/>
        <v xml:space="preserve">* La celda 'Población Migrantes / Mujeres' debe ser menor o igual al Total de Mujeres en control. </v>
      </c>
      <c r="CI82" s="348" t="str">
        <f t="shared" si="69"/>
        <v xml:space="preserve">* La celda 'Niños, Niñas, Adolescentes y Jóvenes de Población SENAME' debe ser menor o igual al Total de Ambos Sexos. </v>
      </c>
      <c r="CJ82" s="348" t="str">
        <f t="shared" si="70"/>
        <v xml:space="preserve">* La celda 'Niños, Niñas, Adolescentes y Jóvenes Mejor Niñez' debe ser menor o igual al Total de Ambos Sexos. </v>
      </c>
      <c r="CK82" s="348" t="str">
        <f t="shared" si="71"/>
        <v xml:space="preserve">* La celda 'Plan Cuidado Integral Elaborado' debe ser menor o igual al Total de Personas en control. </v>
      </c>
      <c r="CL82" s="348" t="str">
        <f t="shared" ref="CL82:CL105" si="107">IF(AND(F82&gt;0,OR(AX82=""))," * No olvide digitar la variable Trans Masculino. (Digite Cero si no tiene).",IF(AX82&gt;F82," * La variable Trans Masculino no debe ser mayor al Total Mujeres.",""))</f>
        <v xml:space="preserve"> * La variable Trans Masculino no debe ser mayor al Total Mujeres.</v>
      </c>
      <c r="CM82" s="348" t="str">
        <f t="shared" ref="CM82:CM111" si="108">IF(AND(E82&gt;0,OR(AY82=""))," * No olvide digitar la variable Trans Femenino. (Digite Cero si no tiene).",IF(AY82&gt;E82," * La variable Trans Femenino no debe ser mayor al Total Hombre.",""))</f>
        <v xml:space="preserve"> * La variable Trans Femenino no debe ser mayor al Total Hombre.</v>
      </c>
      <c r="CN82" s="354"/>
      <c r="CO82" s="348" t="str">
        <f t="shared" ref="CO82:CO93" si="109">IF(AND($F82&lt;&gt;0,$AO82=""),"* No olvide escribir en la celda de 'Gestantes' (Digite CERO si no tiene). ","")</f>
        <v/>
      </c>
      <c r="CP82" s="348" t="str">
        <f t="shared" ref="CP82:CP93" si="110">IF(AND($F82&lt;&gt;0,$AP82=""),"* No olvide escribir en la celda de 'Madres de Hijos menor de 5 años' (Digite CERO si no tiene). ","")</f>
        <v/>
      </c>
      <c r="CQ82" s="348" t="str">
        <f t="shared" si="101"/>
        <v/>
      </c>
      <c r="CR82" s="348" t="str">
        <f t="shared" si="102"/>
        <v/>
      </c>
      <c r="CS82" s="348" t="str">
        <f t="shared" si="103"/>
        <v/>
      </c>
      <c r="CT82" s="348" t="str">
        <f t="shared" si="104"/>
        <v/>
      </c>
      <c r="CU82" s="348" t="str">
        <f t="shared" si="74"/>
        <v/>
      </c>
      <c r="CV82" s="348" t="str">
        <f t="shared" si="75"/>
        <v/>
      </c>
      <c r="CW82" s="348" t="str">
        <f t="shared" si="76"/>
        <v/>
      </c>
      <c r="CX82" s="175"/>
      <c r="DB82" s="358">
        <f t="shared" si="77"/>
        <v>1</v>
      </c>
      <c r="DC82" s="358">
        <f t="shared" ref="DC82:DC87" si="111">IF($AP82&gt;$F82,1,0)</f>
        <v>1</v>
      </c>
      <c r="DD82" s="358">
        <f t="shared" ref="DD82:DD111" si="112">IF(($AQ82)&gt;$E82,1,0)</f>
        <v>1</v>
      </c>
      <c r="DE82" s="358">
        <f t="shared" si="80"/>
        <v>1</v>
      </c>
      <c r="DF82" s="358">
        <f t="shared" ref="DF82:DF111" si="113">IF(($AS82)&gt;$E82,1,0)</f>
        <v>1</v>
      </c>
      <c r="DG82" s="358">
        <f t="shared" si="82"/>
        <v>1</v>
      </c>
      <c r="DH82" s="358">
        <f t="shared" si="83"/>
        <v>1</v>
      </c>
      <c r="DI82" s="358">
        <f t="shared" si="84"/>
        <v>1</v>
      </c>
      <c r="DJ82" s="358">
        <f t="shared" si="85"/>
        <v>1</v>
      </c>
      <c r="DK82" s="175"/>
      <c r="DL82" s="358">
        <f t="shared" si="86"/>
        <v>1</v>
      </c>
      <c r="DM82" s="358">
        <f t="shared" ref="DM82:DM111" si="114">IF(AND(E82&gt;0,OR(AY82="")),1,IF((AY82)&gt;E82,1,0))</f>
        <v>1</v>
      </c>
      <c r="DN82" s="175"/>
      <c r="DO82" s="358">
        <f t="shared" ref="DO82:DO86" si="115">IF(AND($F82&lt;&gt;0,$AO82=""),1,0)</f>
        <v>0</v>
      </c>
      <c r="DP82" s="358">
        <f t="shared" ref="DP82:DP87" si="116">IF(AND($F82&lt;&gt;0,$AP82=""),1,0)</f>
        <v>0</v>
      </c>
      <c r="DQ82" s="358">
        <f t="shared" ref="DQ82:DQ86" si="117">IF(AND($E82&lt;&gt;0,$AQ82=""),1,0)</f>
        <v>0</v>
      </c>
      <c r="DR82" s="358">
        <f t="shared" si="91"/>
        <v>0</v>
      </c>
      <c r="DS82" s="358">
        <f t="shared" ref="DS82:DS92" si="118">IF(AND(E82&lt;&gt;0,AS82=""),1,0)</f>
        <v>0</v>
      </c>
      <c r="DT82" s="358">
        <f t="shared" si="93"/>
        <v>0</v>
      </c>
      <c r="DU82" s="358">
        <f t="shared" si="94"/>
        <v>0</v>
      </c>
      <c r="DV82" s="358">
        <f t="shared" si="95"/>
        <v>0</v>
      </c>
      <c r="DW82" s="358">
        <f t="shared" si="96"/>
        <v>0</v>
      </c>
    </row>
    <row r="83" spans="1:127" s="141" customFormat="1" ht="21" customHeight="1" x14ac:dyDescent="0.3">
      <c r="A83" s="1637" t="s">
        <v>1332</v>
      </c>
      <c r="B83" s="2354" t="s">
        <v>220</v>
      </c>
      <c r="C83" s="1301" t="s">
        <v>704</v>
      </c>
      <c r="D83" s="1675" t="s">
        <v>1550</v>
      </c>
      <c r="E83" s="1676" t="s">
        <v>1551</v>
      </c>
      <c r="F83" s="1677" t="s">
        <v>1552</v>
      </c>
      <c r="G83" s="1678" t="s">
        <v>1553</v>
      </c>
      <c r="H83" s="1679" t="s">
        <v>1554</v>
      </c>
      <c r="I83" s="1678" t="s">
        <v>1555</v>
      </c>
      <c r="J83" s="1679" t="s">
        <v>1556</v>
      </c>
      <c r="K83" s="1678" t="s">
        <v>1557</v>
      </c>
      <c r="L83" s="1679" t="s">
        <v>1558</v>
      </c>
      <c r="M83" s="1678" t="s">
        <v>1559</v>
      </c>
      <c r="N83" s="1679" t="s">
        <v>1560</v>
      </c>
      <c r="O83" s="1678" t="s">
        <v>1561</v>
      </c>
      <c r="P83" s="1679" t="s">
        <v>1562</v>
      </c>
      <c r="Q83" s="1678" t="s">
        <v>1563</v>
      </c>
      <c r="R83" s="1679" t="s">
        <v>1564</v>
      </c>
      <c r="S83" s="1678" t="s">
        <v>1565</v>
      </c>
      <c r="T83" s="1679" t="s">
        <v>1566</v>
      </c>
      <c r="U83" s="1678" t="s">
        <v>1567</v>
      </c>
      <c r="V83" s="1679" t="s">
        <v>1568</v>
      </c>
      <c r="W83" s="1678" t="s">
        <v>1569</v>
      </c>
      <c r="X83" s="1679" t="s">
        <v>1570</v>
      </c>
      <c r="Y83" s="1678" t="s">
        <v>1571</v>
      </c>
      <c r="Z83" s="1679" t="s">
        <v>1572</v>
      </c>
      <c r="AA83" s="1678" t="s">
        <v>1573</v>
      </c>
      <c r="AB83" s="1679" t="s">
        <v>1574</v>
      </c>
      <c r="AC83" s="1678" t="s">
        <v>1575</v>
      </c>
      <c r="AD83" s="1679" t="s">
        <v>1576</v>
      </c>
      <c r="AE83" s="1678" t="s">
        <v>1577</v>
      </c>
      <c r="AF83" s="1679" t="s">
        <v>1578</v>
      </c>
      <c r="AG83" s="1678" t="s">
        <v>1579</v>
      </c>
      <c r="AH83" s="1679" t="s">
        <v>1580</v>
      </c>
      <c r="AI83" s="1678" t="s">
        <v>1581</v>
      </c>
      <c r="AJ83" s="1679" t="s">
        <v>1582</v>
      </c>
      <c r="AK83" s="1678" t="s">
        <v>1583</v>
      </c>
      <c r="AL83" s="1679" t="s">
        <v>1584</v>
      </c>
      <c r="AM83" s="1678" t="s">
        <v>1585</v>
      </c>
      <c r="AN83" s="1680" t="s">
        <v>1586</v>
      </c>
      <c r="AO83" s="1681" t="s">
        <v>1587</v>
      </c>
      <c r="AP83" s="1682" t="s">
        <v>1588</v>
      </c>
      <c r="AQ83" s="1682" t="s">
        <v>1589</v>
      </c>
      <c r="AR83" s="1682" t="s">
        <v>1590</v>
      </c>
      <c r="AS83" s="1683" t="s">
        <v>1591</v>
      </c>
      <c r="AT83" s="1679" t="s">
        <v>1592</v>
      </c>
      <c r="AU83" s="1679" t="s">
        <v>1593</v>
      </c>
      <c r="AV83" s="1679" t="s">
        <v>1594</v>
      </c>
      <c r="AW83" s="1679" t="s">
        <v>1595</v>
      </c>
      <c r="AX83" s="1679" t="s">
        <v>1596</v>
      </c>
      <c r="AY83" s="1679" t="s">
        <v>1597</v>
      </c>
      <c r="AZ83" s="1514" t="str">
        <f t="shared" si="97"/>
        <v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BA83" s="181"/>
      <c r="BB83" s="181"/>
      <c r="BC83" s="181"/>
      <c r="CC83" s="348" t="str">
        <f t="shared" si="98"/>
        <v xml:space="preserve">* La celda 'Gestantes' debe ser menor o igual al Total de Mujeres en control. </v>
      </c>
      <c r="CD83" s="348" t="str">
        <f t="shared" si="64"/>
        <v xml:space="preserve">* La celda 'Madres de Hijos menor de 5 años' debe ser menor o igual al Total de Mujeres en control. </v>
      </c>
      <c r="CE83" s="348" t="str">
        <f t="shared" si="105"/>
        <v xml:space="preserve">* La celda 'Pueblos Originarios / Hombres' debe ser menor o igual al Total de Hombres en control. </v>
      </c>
      <c r="CF83" s="348" t="str">
        <f t="shared" si="66"/>
        <v xml:space="preserve">* La celda 'Pueblos Originarios / Mujeres' debe ser menor o igual al Total de Mujeres en control. </v>
      </c>
      <c r="CG83" s="348" t="str">
        <f t="shared" si="106"/>
        <v xml:space="preserve">* La celda 'Población Migrantes / Hombres' debe ser menor o igual al Total de Hombres en control. </v>
      </c>
      <c r="CH83" s="348" t="str">
        <f t="shared" si="68"/>
        <v xml:space="preserve">* La celda 'Población Migrantes / Mujeres' debe ser menor o igual al Total de Mujeres en control. </v>
      </c>
      <c r="CI83" s="348" t="str">
        <f t="shared" si="69"/>
        <v xml:space="preserve">* La celda 'Niños, Niñas, Adolescentes y Jóvenes de Población SENAME' debe ser menor o igual al Total de Ambos Sexos. </v>
      </c>
      <c r="CJ83" s="348" t="str">
        <f t="shared" si="70"/>
        <v xml:space="preserve">* La celda 'Niños, Niñas, Adolescentes y Jóvenes Mejor Niñez' debe ser menor o igual al Total de Ambos Sexos. </v>
      </c>
      <c r="CK83" s="348" t="str">
        <f t="shared" si="71"/>
        <v xml:space="preserve">* La celda 'Plan Cuidado Integral Elaborado' debe ser menor o igual al Total de Personas en control. </v>
      </c>
      <c r="CL83" s="348" t="str">
        <f t="shared" si="107"/>
        <v xml:space="preserve"> * La variable Trans Masculino no debe ser mayor al Total Mujeres.</v>
      </c>
      <c r="CM83" s="348" t="str">
        <f t="shared" si="108"/>
        <v xml:space="preserve"> * La variable Trans Femenino no debe ser mayor al Total Hombre.</v>
      </c>
      <c r="CN83" s="354"/>
      <c r="CO83" s="348" t="str">
        <f t="shared" si="109"/>
        <v/>
      </c>
      <c r="CP83" s="348" t="str">
        <f t="shared" si="110"/>
        <v/>
      </c>
      <c r="CQ83" s="348" t="str">
        <f t="shared" si="101"/>
        <v/>
      </c>
      <c r="CR83" s="348" t="str">
        <f t="shared" si="102"/>
        <v/>
      </c>
      <c r="CS83" s="348" t="str">
        <f t="shared" si="103"/>
        <v/>
      </c>
      <c r="CT83" s="348" t="str">
        <f t="shared" si="104"/>
        <v/>
      </c>
      <c r="CU83" s="348" t="str">
        <f t="shared" si="74"/>
        <v/>
      </c>
      <c r="CV83" s="348" t="str">
        <f t="shared" si="75"/>
        <v/>
      </c>
      <c r="CW83" s="348" t="str">
        <f t="shared" si="76"/>
        <v/>
      </c>
      <c r="CX83" s="175"/>
      <c r="DB83" s="358">
        <f>IF($AO83&gt;$F83,1,0)</f>
        <v>1</v>
      </c>
      <c r="DC83" s="358">
        <f t="shared" si="111"/>
        <v>1</v>
      </c>
      <c r="DD83" s="358">
        <f t="shared" si="112"/>
        <v>1</v>
      </c>
      <c r="DE83" s="358">
        <f t="shared" si="80"/>
        <v>1</v>
      </c>
      <c r="DF83" s="358">
        <f t="shared" si="113"/>
        <v>1</v>
      </c>
      <c r="DG83" s="358">
        <f t="shared" si="82"/>
        <v>1</v>
      </c>
      <c r="DH83" s="358">
        <f t="shared" si="83"/>
        <v>1</v>
      </c>
      <c r="DI83" s="358">
        <f t="shared" si="84"/>
        <v>1</v>
      </c>
      <c r="DJ83" s="358">
        <f t="shared" si="85"/>
        <v>1</v>
      </c>
      <c r="DK83" s="175"/>
      <c r="DL83" s="358">
        <f t="shared" si="86"/>
        <v>1</v>
      </c>
      <c r="DM83" s="358">
        <f t="shared" si="114"/>
        <v>1</v>
      </c>
      <c r="DN83" s="175"/>
      <c r="DO83" s="358">
        <f t="shared" si="115"/>
        <v>0</v>
      </c>
      <c r="DP83" s="358">
        <f t="shared" si="116"/>
        <v>0</v>
      </c>
      <c r="DQ83" s="358">
        <f t="shared" si="117"/>
        <v>0</v>
      </c>
      <c r="DR83" s="358">
        <f t="shared" si="91"/>
        <v>0</v>
      </c>
      <c r="DS83" s="358">
        <f t="shared" si="118"/>
        <v>0</v>
      </c>
      <c r="DT83" s="358">
        <f t="shared" si="93"/>
        <v>0</v>
      </c>
      <c r="DU83" s="358">
        <f t="shared" si="94"/>
        <v>0</v>
      </c>
      <c r="DV83" s="358">
        <f t="shared" si="95"/>
        <v>0</v>
      </c>
      <c r="DW83" s="358">
        <f t="shared" si="96"/>
        <v>0</v>
      </c>
    </row>
    <row r="84" spans="1:127" s="141" customFormat="1" ht="21" customHeight="1" x14ac:dyDescent="0.3">
      <c r="A84" s="1637" t="s">
        <v>1333</v>
      </c>
      <c r="B84" s="2355"/>
      <c r="C84" s="922" t="s">
        <v>705</v>
      </c>
      <c r="D84" s="1737" t="s">
        <v>1550</v>
      </c>
      <c r="E84" s="1738" t="s">
        <v>1551</v>
      </c>
      <c r="F84" s="1725" t="s">
        <v>1552</v>
      </c>
      <c r="G84" s="1689" t="s">
        <v>1553</v>
      </c>
      <c r="H84" s="1690" t="s">
        <v>1554</v>
      </c>
      <c r="I84" s="1689" t="s">
        <v>1555</v>
      </c>
      <c r="J84" s="1690" t="s">
        <v>1556</v>
      </c>
      <c r="K84" s="1689" t="s">
        <v>1557</v>
      </c>
      <c r="L84" s="1690" t="s">
        <v>1558</v>
      </c>
      <c r="M84" s="1689" t="s">
        <v>1559</v>
      </c>
      <c r="N84" s="1690" t="s">
        <v>1560</v>
      </c>
      <c r="O84" s="1689" t="s">
        <v>1561</v>
      </c>
      <c r="P84" s="1690" t="s">
        <v>1562</v>
      </c>
      <c r="Q84" s="1689" t="s">
        <v>1563</v>
      </c>
      <c r="R84" s="1690" t="s">
        <v>1564</v>
      </c>
      <c r="S84" s="1689" t="s">
        <v>1565</v>
      </c>
      <c r="T84" s="1690" t="s">
        <v>1566</v>
      </c>
      <c r="U84" s="1689" t="s">
        <v>1567</v>
      </c>
      <c r="V84" s="1690" t="s">
        <v>1568</v>
      </c>
      <c r="W84" s="1689" t="s">
        <v>1569</v>
      </c>
      <c r="X84" s="1690" t="s">
        <v>1570</v>
      </c>
      <c r="Y84" s="1689" t="s">
        <v>1571</v>
      </c>
      <c r="Z84" s="1690" t="s">
        <v>1572</v>
      </c>
      <c r="AA84" s="1689" t="s">
        <v>1573</v>
      </c>
      <c r="AB84" s="1690" t="s">
        <v>1574</v>
      </c>
      <c r="AC84" s="1689" t="s">
        <v>1575</v>
      </c>
      <c r="AD84" s="1690" t="s">
        <v>1576</v>
      </c>
      <c r="AE84" s="1689" t="s">
        <v>1577</v>
      </c>
      <c r="AF84" s="1690" t="s">
        <v>1578</v>
      </c>
      <c r="AG84" s="1689" t="s">
        <v>1579</v>
      </c>
      <c r="AH84" s="1690" t="s">
        <v>1580</v>
      </c>
      <c r="AI84" s="1689" t="s">
        <v>1581</v>
      </c>
      <c r="AJ84" s="1690" t="s">
        <v>1582</v>
      </c>
      <c r="AK84" s="1689" t="s">
        <v>1583</v>
      </c>
      <c r="AL84" s="1690" t="s">
        <v>1584</v>
      </c>
      <c r="AM84" s="1689" t="s">
        <v>1585</v>
      </c>
      <c r="AN84" s="1691" t="s">
        <v>1586</v>
      </c>
      <c r="AO84" s="1692" t="s">
        <v>1587</v>
      </c>
      <c r="AP84" s="1693" t="s">
        <v>1588</v>
      </c>
      <c r="AQ84" s="1693" t="s">
        <v>1589</v>
      </c>
      <c r="AR84" s="1693" t="s">
        <v>1590</v>
      </c>
      <c r="AS84" s="1694" t="s">
        <v>1591</v>
      </c>
      <c r="AT84" s="1690" t="s">
        <v>1592</v>
      </c>
      <c r="AU84" s="1690" t="s">
        <v>1593</v>
      </c>
      <c r="AV84" s="1690" t="s">
        <v>1594</v>
      </c>
      <c r="AW84" s="1690" t="s">
        <v>1595</v>
      </c>
      <c r="AX84" s="1690" t="s">
        <v>1596</v>
      </c>
      <c r="AY84" s="1690" t="s">
        <v>1597</v>
      </c>
      <c r="AZ84" s="1514" t="str">
        <f t="shared" si="97"/>
        <v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BA84" s="181"/>
      <c r="BB84" s="181"/>
      <c r="BC84" s="181"/>
      <c r="CC84" s="348" t="str">
        <f t="shared" si="98"/>
        <v xml:space="preserve">* La celda 'Gestantes' debe ser menor o igual al Total de Mujeres en control. </v>
      </c>
      <c r="CD84" s="348" t="str">
        <f t="shared" si="64"/>
        <v xml:space="preserve">* La celda 'Madres de Hijos menor de 5 años' debe ser menor o igual al Total de Mujeres en control. </v>
      </c>
      <c r="CE84" s="348" t="str">
        <f t="shared" si="105"/>
        <v xml:space="preserve">* La celda 'Pueblos Originarios / Hombres' debe ser menor o igual al Total de Hombres en control. </v>
      </c>
      <c r="CF84" s="348" t="str">
        <f t="shared" si="66"/>
        <v xml:space="preserve">* La celda 'Pueblos Originarios / Mujeres' debe ser menor o igual al Total de Mujeres en control. </v>
      </c>
      <c r="CG84" s="348" t="str">
        <f t="shared" si="106"/>
        <v xml:space="preserve">* La celda 'Población Migrantes / Hombres' debe ser menor o igual al Total de Hombres en control. </v>
      </c>
      <c r="CH84" s="348" t="str">
        <f t="shared" si="68"/>
        <v xml:space="preserve">* La celda 'Población Migrantes / Mujeres' debe ser menor o igual al Total de Mujeres en control. </v>
      </c>
      <c r="CI84" s="348" t="str">
        <f t="shared" si="69"/>
        <v xml:space="preserve">* La celda 'Niños, Niñas, Adolescentes y Jóvenes de Población SENAME' debe ser menor o igual al Total de Ambos Sexos. </v>
      </c>
      <c r="CJ84" s="348" t="str">
        <f t="shared" si="70"/>
        <v xml:space="preserve">* La celda 'Niños, Niñas, Adolescentes y Jóvenes Mejor Niñez' debe ser menor o igual al Total de Ambos Sexos. </v>
      </c>
      <c r="CK84" s="348" t="str">
        <f t="shared" si="71"/>
        <v xml:space="preserve">* La celda 'Plan Cuidado Integral Elaborado' debe ser menor o igual al Total de Personas en control. </v>
      </c>
      <c r="CL84" s="348" t="str">
        <f t="shared" si="107"/>
        <v xml:space="preserve"> * La variable Trans Masculino no debe ser mayor al Total Mujeres.</v>
      </c>
      <c r="CM84" s="348" t="str">
        <f t="shared" si="108"/>
        <v xml:space="preserve"> * La variable Trans Femenino no debe ser mayor al Total Hombre.</v>
      </c>
      <c r="CN84" s="354"/>
      <c r="CO84" s="348" t="str">
        <f t="shared" si="109"/>
        <v/>
      </c>
      <c r="CP84" s="348" t="str">
        <f t="shared" si="110"/>
        <v/>
      </c>
      <c r="CQ84" s="348" t="str">
        <f t="shared" si="101"/>
        <v/>
      </c>
      <c r="CR84" s="348" t="str">
        <f t="shared" si="102"/>
        <v/>
      </c>
      <c r="CS84" s="348" t="str">
        <f t="shared" si="103"/>
        <v/>
      </c>
      <c r="CT84" s="348" t="str">
        <f t="shared" si="104"/>
        <v/>
      </c>
      <c r="CU84" s="348" t="str">
        <f t="shared" si="74"/>
        <v/>
      </c>
      <c r="CV84" s="348" t="str">
        <f t="shared" si="75"/>
        <v/>
      </c>
      <c r="CW84" s="348" t="str">
        <f t="shared" si="76"/>
        <v/>
      </c>
      <c r="CX84" s="175"/>
      <c r="DB84" s="358">
        <f t="shared" si="77"/>
        <v>1</v>
      </c>
      <c r="DC84" s="358">
        <f t="shared" si="111"/>
        <v>1</v>
      </c>
      <c r="DD84" s="358">
        <f t="shared" si="112"/>
        <v>1</v>
      </c>
      <c r="DE84" s="358">
        <f t="shared" si="80"/>
        <v>1</v>
      </c>
      <c r="DF84" s="358">
        <f t="shared" si="113"/>
        <v>1</v>
      </c>
      <c r="DG84" s="358">
        <f t="shared" si="82"/>
        <v>1</v>
      </c>
      <c r="DH84" s="358">
        <f t="shared" si="83"/>
        <v>1</v>
      </c>
      <c r="DI84" s="358">
        <f t="shared" si="84"/>
        <v>1</v>
      </c>
      <c r="DJ84" s="358">
        <f t="shared" si="85"/>
        <v>1</v>
      </c>
      <c r="DK84" s="175"/>
      <c r="DL84" s="358">
        <f t="shared" si="86"/>
        <v>1</v>
      </c>
      <c r="DM84" s="358">
        <f t="shared" si="114"/>
        <v>1</v>
      </c>
      <c r="DN84" s="175"/>
      <c r="DO84" s="358">
        <f t="shared" si="115"/>
        <v>0</v>
      </c>
      <c r="DP84" s="358">
        <f t="shared" si="116"/>
        <v>0</v>
      </c>
      <c r="DQ84" s="358">
        <f t="shared" si="117"/>
        <v>0</v>
      </c>
      <c r="DR84" s="358">
        <f t="shared" si="91"/>
        <v>0</v>
      </c>
      <c r="DS84" s="358">
        <f t="shared" si="118"/>
        <v>0</v>
      </c>
      <c r="DT84" s="358">
        <f t="shared" si="93"/>
        <v>0</v>
      </c>
      <c r="DU84" s="358">
        <f t="shared" si="94"/>
        <v>0</v>
      </c>
      <c r="DV84" s="358">
        <f t="shared" si="95"/>
        <v>0</v>
      </c>
      <c r="DW84" s="358">
        <f t="shared" si="96"/>
        <v>0</v>
      </c>
    </row>
    <row r="85" spans="1:127" s="141" customFormat="1" ht="21" customHeight="1" x14ac:dyDescent="0.3">
      <c r="A85" s="1637" t="s">
        <v>1334</v>
      </c>
      <c r="B85" s="2356"/>
      <c r="C85" s="1302" t="s">
        <v>706</v>
      </c>
      <c r="D85" s="1739" t="s">
        <v>1550</v>
      </c>
      <c r="E85" s="1740" t="s">
        <v>1551</v>
      </c>
      <c r="F85" s="1741" t="s">
        <v>1552</v>
      </c>
      <c r="G85" s="1731" t="s">
        <v>1553</v>
      </c>
      <c r="H85" s="1732" t="s">
        <v>1554</v>
      </c>
      <c r="I85" s="1731" t="s">
        <v>1555</v>
      </c>
      <c r="J85" s="1732" t="s">
        <v>1556</v>
      </c>
      <c r="K85" s="1731" t="s">
        <v>1557</v>
      </c>
      <c r="L85" s="1732" t="s">
        <v>1558</v>
      </c>
      <c r="M85" s="1731" t="s">
        <v>1559</v>
      </c>
      <c r="N85" s="1732" t="s">
        <v>1560</v>
      </c>
      <c r="O85" s="1731" t="s">
        <v>1561</v>
      </c>
      <c r="P85" s="1732" t="s">
        <v>1562</v>
      </c>
      <c r="Q85" s="1731" t="s">
        <v>1563</v>
      </c>
      <c r="R85" s="1732" t="s">
        <v>1564</v>
      </c>
      <c r="S85" s="1731" t="s">
        <v>1565</v>
      </c>
      <c r="T85" s="1732" t="s">
        <v>1566</v>
      </c>
      <c r="U85" s="1731" t="s">
        <v>1567</v>
      </c>
      <c r="V85" s="1732" t="s">
        <v>1568</v>
      </c>
      <c r="W85" s="1731" t="s">
        <v>1569</v>
      </c>
      <c r="X85" s="1732" t="s">
        <v>1570</v>
      </c>
      <c r="Y85" s="1731" t="s">
        <v>1571</v>
      </c>
      <c r="Z85" s="1732" t="s">
        <v>1572</v>
      </c>
      <c r="AA85" s="1731" t="s">
        <v>1573</v>
      </c>
      <c r="AB85" s="1732" t="s">
        <v>1574</v>
      </c>
      <c r="AC85" s="1731" t="s">
        <v>1575</v>
      </c>
      <c r="AD85" s="1732" t="s">
        <v>1576</v>
      </c>
      <c r="AE85" s="1731" t="s">
        <v>1577</v>
      </c>
      <c r="AF85" s="1732" t="s">
        <v>1578</v>
      </c>
      <c r="AG85" s="1731" t="s">
        <v>1579</v>
      </c>
      <c r="AH85" s="1732" t="s">
        <v>1580</v>
      </c>
      <c r="AI85" s="1731" t="s">
        <v>1581</v>
      </c>
      <c r="AJ85" s="1732" t="s">
        <v>1582</v>
      </c>
      <c r="AK85" s="1731" t="s">
        <v>1583</v>
      </c>
      <c r="AL85" s="1732" t="s">
        <v>1584</v>
      </c>
      <c r="AM85" s="1731" t="s">
        <v>1585</v>
      </c>
      <c r="AN85" s="1733" t="s">
        <v>1586</v>
      </c>
      <c r="AO85" s="1734" t="s">
        <v>1587</v>
      </c>
      <c r="AP85" s="1735" t="s">
        <v>1588</v>
      </c>
      <c r="AQ85" s="1735" t="s">
        <v>1589</v>
      </c>
      <c r="AR85" s="1735" t="s">
        <v>1590</v>
      </c>
      <c r="AS85" s="1736" t="s">
        <v>1591</v>
      </c>
      <c r="AT85" s="1732" t="s">
        <v>1592</v>
      </c>
      <c r="AU85" s="1732" t="s">
        <v>1593</v>
      </c>
      <c r="AV85" s="1732" t="s">
        <v>1594</v>
      </c>
      <c r="AW85" s="1732" t="s">
        <v>1595</v>
      </c>
      <c r="AX85" s="1732" t="s">
        <v>1596</v>
      </c>
      <c r="AY85" s="1732" t="s">
        <v>1597</v>
      </c>
      <c r="AZ85" s="1514" t="str">
        <f t="shared" si="97"/>
        <v>* La celda 'Gestantes' debe ser menor o igual al Total de Mujeres en control. * La celda 'Madres de Hijos menor de 5 años' debe ser menor o igual al Total de Mujeres en control. 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BA85" s="181"/>
      <c r="BB85" s="181"/>
      <c r="BC85" s="181"/>
      <c r="CC85" s="348" t="str">
        <f t="shared" si="98"/>
        <v xml:space="preserve">* La celda 'Gestantes' debe ser menor o igual al Total de Mujeres en control. </v>
      </c>
      <c r="CD85" s="348" t="str">
        <f t="shared" si="64"/>
        <v xml:space="preserve">* La celda 'Madres de Hijos menor de 5 años' debe ser menor o igual al Total de Mujeres en control. </v>
      </c>
      <c r="CE85" s="348"/>
      <c r="CF85" s="348"/>
      <c r="CG85" s="348"/>
      <c r="CH85" s="348"/>
      <c r="CI85" s="348"/>
      <c r="CJ85" s="348" t="str">
        <f t="shared" si="70"/>
        <v xml:space="preserve">* La celda 'Niños, Niñas, Adolescentes y Jóvenes Mejor Niñez' debe ser menor o igual al Total de Ambos Sexos. </v>
      </c>
      <c r="CK85" s="348" t="str">
        <f t="shared" si="71"/>
        <v xml:space="preserve">* La celda 'Plan Cuidado Integral Elaborado' debe ser menor o igual al Total de Personas en control. </v>
      </c>
      <c r="CL85" s="348" t="str">
        <f t="shared" si="107"/>
        <v xml:space="preserve"> * La variable Trans Masculino no debe ser mayor al Total Mujeres.</v>
      </c>
      <c r="CM85" s="348" t="str">
        <f t="shared" si="108"/>
        <v xml:space="preserve"> * La variable Trans Femenino no debe ser mayor al Total Hombre.</v>
      </c>
      <c r="CN85" s="354"/>
      <c r="CO85" s="348" t="str">
        <f t="shared" si="109"/>
        <v/>
      </c>
      <c r="CP85" s="348" t="str">
        <f t="shared" si="110"/>
        <v/>
      </c>
      <c r="CQ85" s="348" t="str">
        <f t="shared" si="101"/>
        <v/>
      </c>
      <c r="CR85" s="348" t="str">
        <f t="shared" si="102"/>
        <v/>
      </c>
      <c r="CS85" s="348" t="str">
        <f t="shared" si="103"/>
        <v/>
      </c>
      <c r="CT85" s="348" t="str">
        <f t="shared" si="104"/>
        <v/>
      </c>
      <c r="CU85" s="348" t="str">
        <f t="shared" si="74"/>
        <v/>
      </c>
      <c r="CV85" s="348" t="str">
        <f t="shared" si="75"/>
        <v/>
      </c>
      <c r="CW85" s="348" t="str">
        <f t="shared" si="76"/>
        <v/>
      </c>
      <c r="CX85" s="175"/>
      <c r="DB85" s="358">
        <f t="shared" si="77"/>
        <v>1</v>
      </c>
      <c r="DC85" s="358">
        <f t="shared" si="111"/>
        <v>1</v>
      </c>
      <c r="DD85" s="358">
        <f t="shared" si="112"/>
        <v>1</v>
      </c>
      <c r="DE85" s="358">
        <f t="shared" si="80"/>
        <v>1</v>
      </c>
      <c r="DF85" s="358">
        <f t="shared" si="113"/>
        <v>1</v>
      </c>
      <c r="DG85" s="358">
        <f t="shared" si="82"/>
        <v>1</v>
      </c>
      <c r="DH85" s="358">
        <f t="shared" si="83"/>
        <v>1</v>
      </c>
      <c r="DI85" s="358">
        <f t="shared" si="84"/>
        <v>1</v>
      </c>
      <c r="DJ85" s="358">
        <f t="shared" si="85"/>
        <v>1</v>
      </c>
      <c r="DK85" s="175"/>
      <c r="DL85" s="358">
        <f t="shared" si="86"/>
        <v>1</v>
      </c>
      <c r="DM85" s="358">
        <f t="shared" si="114"/>
        <v>1</v>
      </c>
      <c r="DN85" s="175"/>
      <c r="DO85" s="358">
        <f t="shared" si="115"/>
        <v>0</v>
      </c>
      <c r="DP85" s="358">
        <f t="shared" si="116"/>
        <v>0</v>
      </c>
      <c r="DQ85" s="358">
        <f t="shared" si="117"/>
        <v>0</v>
      </c>
      <c r="DR85" s="358">
        <f t="shared" si="91"/>
        <v>0</v>
      </c>
      <c r="DS85" s="358">
        <f t="shared" si="118"/>
        <v>0</v>
      </c>
      <c r="DT85" s="358">
        <f t="shared" si="93"/>
        <v>0</v>
      </c>
      <c r="DU85" s="358">
        <f t="shared" si="94"/>
        <v>0</v>
      </c>
      <c r="DV85" s="358">
        <f t="shared" si="95"/>
        <v>0</v>
      </c>
      <c r="DW85" s="358">
        <f t="shared" si="96"/>
        <v>0</v>
      </c>
    </row>
    <row r="86" spans="1:127" s="141" customFormat="1" ht="21" customHeight="1" x14ac:dyDescent="0.3">
      <c r="A86" s="1637" t="s">
        <v>1335</v>
      </c>
      <c r="B86" s="2356"/>
      <c r="C86" s="1302" t="s">
        <v>707</v>
      </c>
      <c r="D86" s="1739" t="s">
        <v>1550</v>
      </c>
      <c r="E86" s="1740" t="s">
        <v>1551</v>
      </c>
      <c r="F86" s="1741" t="s">
        <v>1552</v>
      </c>
      <c r="G86" s="1731" t="s">
        <v>1553</v>
      </c>
      <c r="H86" s="1732" t="s">
        <v>1554</v>
      </c>
      <c r="I86" s="1731" t="s">
        <v>1555</v>
      </c>
      <c r="J86" s="1732" t="s">
        <v>1556</v>
      </c>
      <c r="K86" s="1731" t="s">
        <v>1557</v>
      </c>
      <c r="L86" s="1732" t="s">
        <v>1558</v>
      </c>
      <c r="M86" s="1731" t="s">
        <v>1559</v>
      </c>
      <c r="N86" s="1732" t="s">
        <v>1560</v>
      </c>
      <c r="O86" s="1731" t="s">
        <v>1561</v>
      </c>
      <c r="P86" s="1732" t="s">
        <v>1562</v>
      </c>
      <c r="Q86" s="1731" t="s">
        <v>1563</v>
      </c>
      <c r="R86" s="1732" t="s">
        <v>1564</v>
      </c>
      <c r="S86" s="1731" t="s">
        <v>1565</v>
      </c>
      <c r="T86" s="1732" t="s">
        <v>1566</v>
      </c>
      <c r="U86" s="1731" t="s">
        <v>1567</v>
      </c>
      <c r="V86" s="1732" t="s">
        <v>1568</v>
      </c>
      <c r="W86" s="1731" t="s">
        <v>1569</v>
      </c>
      <c r="X86" s="1732" t="s">
        <v>1570</v>
      </c>
      <c r="Y86" s="1731" t="s">
        <v>1571</v>
      </c>
      <c r="Z86" s="1732" t="s">
        <v>1572</v>
      </c>
      <c r="AA86" s="1731" t="s">
        <v>1573</v>
      </c>
      <c r="AB86" s="1732" t="s">
        <v>1574</v>
      </c>
      <c r="AC86" s="1731" t="s">
        <v>1575</v>
      </c>
      <c r="AD86" s="1732" t="s">
        <v>1576</v>
      </c>
      <c r="AE86" s="1731" t="s">
        <v>1577</v>
      </c>
      <c r="AF86" s="1732" t="s">
        <v>1578</v>
      </c>
      <c r="AG86" s="1731" t="s">
        <v>1579</v>
      </c>
      <c r="AH86" s="1732" t="s">
        <v>1580</v>
      </c>
      <c r="AI86" s="1731" t="s">
        <v>1581</v>
      </c>
      <c r="AJ86" s="1732" t="s">
        <v>1582</v>
      </c>
      <c r="AK86" s="1731" t="s">
        <v>1583</v>
      </c>
      <c r="AL86" s="1732" t="s">
        <v>1584</v>
      </c>
      <c r="AM86" s="1731" t="s">
        <v>1585</v>
      </c>
      <c r="AN86" s="1733" t="s">
        <v>1586</v>
      </c>
      <c r="AO86" s="1734" t="s">
        <v>1587</v>
      </c>
      <c r="AP86" s="1735" t="s">
        <v>1588</v>
      </c>
      <c r="AQ86" s="1735" t="s">
        <v>1589</v>
      </c>
      <c r="AR86" s="1735" t="s">
        <v>1590</v>
      </c>
      <c r="AS86" s="1736" t="s">
        <v>1591</v>
      </c>
      <c r="AT86" s="1732" t="s">
        <v>1592</v>
      </c>
      <c r="AU86" s="1732" t="s">
        <v>1593</v>
      </c>
      <c r="AV86" s="1732" t="s">
        <v>1594</v>
      </c>
      <c r="AW86" s="1732" t="s">
        <v>1595</v>
      </c>
      <c r="AX86" s="1732" t="s">
        <v>1596</v>
      </c>
      <c r="AY86" s="1732" t="s">
        <v>1597</v>
      </c>
      <c r="AZ86" s="1514" t="str">
        <f t="shared" si="97"/>
        <v>* La celda 'Gestantes' debe ser menor o igual al Total de Mujeres en control. * La celda 'Madres de Hijos menor de 5 años' debe ser menor o igual al Total de Mujeres en control. 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BA86" s="181"/>
      <c r="BB86" s="181"/>
      <c r="BC86" s="181"/>
      <c r="CC86" s="348" t="str">
        <f t="shared" si="98"/>
        <v xml:space="preserve">* La celda 'Gestantes' debe ser menor o igual al Total de Mujeres en control. </v>
      </c>
      <c r="CD86" s="348" t="str">
        <f t="shared" si="64"/>
        <v xml:space="preserve">* La celda 'Madres de Hijos menor de 5 años' debe ser menor o igual al Total de Mujeres en control. </v>
      </c>
      <c r="CE86" s="348"/>
      <c r="CF86" s="348"/>
      <c r="CG86" s="348"/>
      <c r="CH86" s="348"/>
      <c r="CI86" s="348"/>
      <c r="CJ86" s="348" t="str">
        <f t="shared" si="70"/>
        <v xml:space="preserve">* La celda 'Niños, Niñas, Adolescentes y Jóvenes Mejor Niñez' debe ser menor o igual al Total de Ambos Sexos. </v>
      </c>
      <c r="CK86" s="348" t="str">
        <f t="shared" si="71"/>
        <v xml:space="preserve">* La celda 'Plan Cuidado Integral Elaborado' debe ser menor o igual al Total de Personas en control. </v>
      </c>
      <c r="CL86" s="348" t="str">
        <f t="shared" si="107"/>
        <v xml:space="preserve"> * La variable Trans Masculino no debe ser mayor al Total Mujeres.</v>
      </c>
      <c r="CM86" s="348" t="str">
        <f t="shared" si="108"/>
        <v xml:space="preserve"> * La variable Trans Femenino no debe ser mayor al Total Hombre.</v>
      </c>
      <c r="CN86" s="354"/>
      <c r="CO86" s="348" t="str">
        <f t="shared" si="109"/>
        <v/>
      </c>
      <c r="CP86" s="348" t="str">
        <f t="shared" si="110"/>
        <v/>
      </c>
      <c r="CQ86" s="348" t="str">
        <f t="shared" si="101"/>
        <v/>
      </c>
      <c r="CR86" s="348" t="str">
        <f t="shared" si="102"/>
        <v/>
      </c>
      <c r="CS86" s="348" t="str">
        <f t="shared" si="103"/>
        <v/>
      </c>
      <c r="CT86" s="348" t="str">
        <f t="shared" si="104"/>
        <v/>
      </c>
      <c r="CU86" s="348" t="str">
        <f t="shared" si="74"/>
        <v/>
      </c>
      <c r="CV86" s="348" t="str">
        <f t="shared" si="75"/>
        <v/>
      </c>
      <c r="CW86" s="348" t="str">
        <f t="shared" si="76"/>
        <v/>
      </c>
      <c r="CX86" s="175"/>
      <c r="DB86" s="358">
        <f t="shared" si="77"/>
        <v>1</v>
      </c>
      <c r="DC86" s="358">
        <f>IF($AP86&gt;$F86,1,0)</f>
        <v>1</v>
      </c>
      <c r="DD86" s="358">
        <f t="shared" si="112"/>
        <v>1</v>
      </c>
      <c r="DE86" s="358">
        <f t="shared" si="80"/>
        <v>1</v>
      </c>
      <c r="DF86" s="358">
        <f t="shared" si="113"/>
        <v>1</v>
      </c>
      <c r="DG86" s="358">
        <f t="shared" si="82"/>
        <v>1</v>
      </c>
      <c r="DH86" s="358">
        <f t="shared" si="83"/>
        <v>1</v>
      </c>
      <c r="DI86" s="358">
        <f t="shared" si="84"/>
        <v>1</v>
      </c>
      <c r="DJ86" s="358">
        <f t="shared" si="85"/>
        <v>1</v>
      </c>
      <c r="DK86" s="175"/>
      <c r="DL86" s="358">
        <f t="shared" si="86"/>
        <v>1</v>
      </c>
      <c r="DM86" s="358">
        <f t="shared" si="114"/>
        <v>1</v>
      </c>
      <c r="DN86" s="175"/>
      <c r="DO86" s="358">
        <f t="shared" si="115"/>
        <v>0</v>
      </c>
      <c r="DP86" s="358">
        <f t="shared" si="116"/>
        <v>0</v>
      </c>
      <c r="DQ86" s="358">
        <f t="shared" si="117"/>
        <v>0</v>
      </c>
      <c r="DR86" s="358">
        <f t="shared" si="91"/>
        <v>0</v>
      </c>
      <c r="DS86" s="358">
        <f t="shared" si="118"/>
        <v>0</v>
      </c>
      <c r="DT86" s="358">
        <f t="shared" si="93"/>
        <v>0</v>
      </c>
      <c r="DU86" s="358">
        <f t="shared" si="94"/>
        <v>0</v>
      </c>
      <c r="DV86" s="358">
        <f t="shared" si="95"/>
        <v>0</v>
      </c>
      <c r="DW86" s="358">
        <f t="shared" si="96"/>
        <v>0</v>
      </c>
    </row>
    <row r="87" spans="1:127" s="141" customFormat="1" ht="21" customHeight="1" x14ac:dyDescent="0.3">
      <c r="A87" s="1637" t="s">
        <v>1336</v>
      </c>
      <c r="B87" s="2357"/>
      <c r="C87" s="937" t="s">
        <v>708</v>
      </c>
      <c r="D87" s="1739" t="s">
        <v>1550</v>
      </c>
      <c r="E87" s="1740" t="s">
        <v>1551</v>
      </c>
      <c r="F87" s="1741" t="s">
        <v>1552</v>
      </c>
      <c r="G87" s="1697" t="s">
        <v>1553</v>
      </c>
      <c r="H87" s="1698" t="s">
        <v>1554</v>
      </c>
      <c r="I87" s="1697" t="s">
        <v>1555</v>
      </c>
      <c r="J87" s="1698" t="s">
        <v>1556</v>
      </c>
      <c r="K87" s="1697" t="s">
        <v>1557</v>
      </c>
      <c r="L87" s="1698" t="s">
        <v>1558</v>
      </c>
      <c r="M87" s="1697" t="s">
        <v>1559</v>
      </c>
      <c r="N87" s="1698" t="s">
        <v>1560</v>
      </c>
      <c r="O87" s="1697" t="s">
        <v>1561</v>
      </c>
      <c r="P87" s="1698" t="s">
        <v>1562</v>
      </c>
      <c r="Q87" s="1697" t="s">
        <v>1563</v>
      </c>
      <c r="R87" s="1698" t="s">
        <v>1564</v>
      </c>
      <c r="S87" s="1697" t="s">
        <v>1565</v>
      </c>
      <c r="T87" s="1698" t="s">
        <v>1566</v>
      </c>
      <c r="U87" s="1697" t="s">
        <v>1567</v>
      </c>
      <c r="V87" s="1698" t="s">
        <v>1568</v>
      </c>
      <c r="W87" s="1697" t="s">
        <v>1569</v>
      </c>
      <c r="X87" s="1698" t="s">
        <v>1570</v>
      </c>
      <c r="Y87" s="1697" t="s">
        <v>1571</v>
      </c>
      <c r="Z87" s="1698" t="s">
        <v>1572</v>
      </c>
      <c r="AA87" s="1697" t="s">
        <v>1573</v>
      </c>
      <c r="AB87" s="1698" t="s">
        <v>1574</v>
      </c>
      <c r="AC87" s="1697" t="s">
        <v>1575</v>
      </c>
      <c r="AD87" s="1698" t="s">
        <v>1576</v>
      </c>
      <c r="AE87" s="1697" t="s">
        <v>1577</v>
      </c>
      <c r="AF87" s="1698" t="s">
        <v>1578</v>
      </c>
      <c r="AG87" s="1697" t="s">
        <v>1579</v>
      </c>
      <c r="AH87" s="1698" t="s">
        <v>1580</v>
      </c>
      <c r="AI87" s="1697" t="s">
        <v>1581</v>
      </c>
      <c r="AJ87" s="1698" t="s">
        <v>1582</v>
      </c>
      <c r="AK87" s="1697" t="s">
        <v>1583</v>
      </c>
      <c r="AL87" s="1698" t="s">
        <v>1584</v>
      </c>
      <c r="AM87" s="1697" t="s">
        <v>1585</v>
      </c>
      <c r="AN87" s="1699" t="s">
        <v>1586</v>
      </c>
      <c r="AO87" s="1700" t="s">
        <v>1587</v>
      </c>
      <c r="AP87" s="1701" t="s">
        <v>1588</v>
      </c>
      <c r="AQ87" s="1701" t="s">
        <v>1589</v>
      </c>
      <c r="AR87" s="1701" t="s">
        <v>1590</v>
      </c>
      <c r="AS87" s="1702" t="s">
        <v>1591</v>
      </c>
      <c r="AT87" s="1698" t="s">
        <v>1592</v>
      </c>
      <c r="AU87" s="1698" t="s">
        <v>1593</v>
      </c>
      <c r="AV87" s="1698" t="s">
        <v>1594</v>
      </c>
      <c r="AW87" s="1698" t="s">
        <v>1595</v>
      </c>
      <c r="AX87" s="1698" t="s">
        <v>1596</v>
      </c>
      <c r="AY87" s="1698" t="s">
        <v>1597</v>
      </c>
      <c r="AZ87" s="1514" t="str">
        <f t="shared" si="97"/>
        <v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BA87" s="181"/>
      <c r="BB87" s="181"/>
      <c r="BC87" s="181"/>
      <c r="CC87" s="348" t="str">
        <f t="shared" si="98"/>
        <v xml:space="preserve">* La celda 'Gestantes' debe ser menor o igual al Total de Mujeres en control. </v>
      </c>
      <c r="CD87" s="348" t="str">
        <f t="shared" si="64"/>
        <v xml:space="preserve">* La celda 'Madres de Hijos menor de 5 años' debe ser menor o igual al Total de Mujeres en control. </v>
      </c>
      <c r="CE87" s="348" t="str">
        <f t="shared" si="105"/>
        <v xml:space="preserve">* La celda 'Pueblos Originarios / Hombres' debe ser menor o igual al Total de Hombres en control. </v>
      </c>
      <c r="CF87" s="348" t="str">
        <f t="shared" si="66"/>
        <v xml:space="preserve">* La celda 'Pueblos Originarios / Mujeres' debe ser menor o igual al Total de Mujeres en control. </v>
      </c>
      <c r="CG87" s="348" t="str">
        <f t="shared" si="106"/>
        <v xml:space="preserve">* La celda 'Población Migrantes / Hombres' debe ser menor o igual al Total de Hombres en control. </v>
      </c>
      <c r="CH87" s="348" t="str">
        <f t="shared" si="68"/>
        <v xml:space="preserve">* La celda 'Población Migrantes / Mujeres' debe ser menor o igual al Total de Mujeres en control. </v>
      </c>
      <c r="CI87" s="348" t="str">
        <f t="shared" si="69"/>
        <v xml:space="preserve">* La celda 'Niños, Niñas, Adolescentes y Jóvenes de Población SENAME' debe ser menor o igual al Total de Ambos Sexos. </v>
      </c>
      <c r="CJ87" s="348" t="str">
        <f t="shared" si="70"/>
        <v xml:space="preserve">* La celda 'Niños, Niñas, Adolescentes y Jóvenes Mejor Niñez' debe ser menor o igual al Total de Ambos Sexos. </v>
      </c>
      <c r="CK87" s="348" t="str">
        <f t="shared" si="71"/>
        <v xml:space="preserve">* La celda 'Plan Cuidado Integral Elaborado' debe ser menor o igual al Total de Personas en control. </v>
      </c>
      <c r="CL87" s="348" t="str">
        <f t="shared" si="107"/>
        <v xml:space="preserve"> * La variable Trans Masculino no debe ser mayor al Total Mujeres.</v>
      </c>
      <c r="CM87" s="348" t="str">
        <f t="shared" si="108"/>
        <v xml:space="preserve"> * La variable Trans Femenino no debe ser mayor al Total Hombre.</v>
      </c>
      <c r="CN87" s="354"/>
      <c r="CO87" s="348" t="str">
        <f t="shared" si="109"/>
        <v/>
      </c>
      <c r="CP87" s="348" t="str">
        <f t="shared" si="110"/>
        <v/>
      </c>
      <c r="CQ87" s="348" t="str">
        <f t="shared" si="101"/>
        <v/>
      </c>
      <c r="CR87" s="348" t="str">
        <f t="shared" si="102"/>
        <v/>
      </c>
      <c r="CS87" s="348" t="str">
        <f t="shared" si="103"/>
        <v/>
      </c>
      <c r="CT87" s="348" t="str">
        <f t="shared" si="104"/>
        <v/>
      </c>
      <c r="CU87" s="348" t="str">
        <f t="shared" si="74"/>
        <v/>
      </c>
      <c r="CV87" s="348" t="str">
        <f t="shared" si="75"/>
        <v/>
      </c>
      <c r="CW87" s="348" t="str">
        <f t="shared" si="76"/>
        <v/>
      </c>
      <c r="CX87" s="175"/>
      <c r="DB87" s="358">
        <f t="shared" si="77"/>
        <v>1</v>
      </c>
      <c r="DC87" s="358">
        <f t="shared" si="111"/>
        <v>1</v>
      </c>
      <c r="DD87" s="358">
        <f t="shared" si="112"/>
        <v>1</v>
      </c>
      <c r="DE87" s="358">
        <f t="shared" si="80"/>
        <v>1</v>
      </c>
      <c r="DF87" s="358">
        <f t="shared" si="113"/>
        <v>1</v>
      </c>
      <c r="DG87" s="358">
        <f t="shared" si="82"/>
        <v>1</v>
      </c>
      <c r="DH87" s="358">
        <f t="shared" si="83"/>
        <v>1</v>
      </c>
      <c r="DI87" s="358">
        <f t="shared" si="84"/>
        <v>1</v>
      </c>
      <c r="DJ87" s="358">
        <f t="shared" si="85"/>
        <v>1</v>
      </c>
      <c r="DK87" s="175"/>
      <c r="DL87" s="358">
        <f t="shared" si="86"/>
        <v>1</v>
      </c>
      <c r="DM87" s="358">
        <f t="shared" si="114"/>
        <v>1</v>
      </c>
      <c r="DN87" s="175"/>
      <c r="DO87" s="358">
        <f>IF(AND($F87&lt;&gt;0,$AO87=""),1,0)</f>
        <v>0</v>
      </c>
      <c r="DP87" s="358">
        <f t="shared" si="116"/>
        <v>0</v>
      </c>
      <c r="DQ87" s="358">
        <f t="shared" ref="DQ87:DQ91" si="119">IF(AND($E87&lt;&gt;0,$AQ87=""),1,0)</f>
        <v>0</v>
      </c>
      <c r="DR87" s="358">
        <f t="shared" si="91"/>
        <v>0</v>
      </c>
      <c r="DS87" s="358">
        <f t="shared" si="118"/>
        <v>0</v>
      </c>
      <c r="DT87" s="358">
        <f t="shared" si="93"/>
        <v>0</v>
      </c>
      <c r="DU87" s="358">
        <f t="shared" si="94"/>
        <v>0</v>
      </c>
      <c r="DV87" s="358">
        <f t="shared" si="95"/>
        <v>0</v>
      </c>
      <c r="DW87" s="358">
        <f t="shared" si="96"/>
        <v>0</v>
      </c>
    </row>
    <row r="88" spans="1:127" s="141" customFormat="1" ht="26.4" customHeight="1" x14ac:dyDescent="0.3">
      <c r="A88" s="1637" t="s">
        <v>1337</v>
      </c>
      <c r="B88" s="2351" t="s">
        <v>221</v>
      </c>
      <c r="C88" s="362" t="s">
        <v>222</v>
      </c>
      <c r="D88" s="1675" t="s">
        <v>1550</v>
      </c>
      <c r="E88" s="1676" t="s">
        <v>1551</v>
      </c>
      <c r="F88" s="1677" t="s">
        <v>1552</v>
      </c>
      <c r="G88" s="1687" t="s">
        <v>1553</v>
      </c>
      <c r="H88" s="1688" t="s">
        <v>1554</v>
      </c>
      <c r="I88" s="1687" t="s">
        <v>1555</v>
      </c>
      <c r="J88" s="1688" t="s">
        <v>1556</v>
      </c>
      <c r="K88" s="1678" t="s">
        <v>1557</v>
      </c>
      <c r="L88" s="1679" t="s">
        <v>1558</v>
      </c>
      <c r="M88" s="1678" t="s">
        <v>1559</v>
      </c>
      <c r="N88" s="1679" t="s">
        <v>1560</v>
      </c>
      <c r="O88" s="1678" t="s">
        <v>1561</v>
      </c>
      <c r="P88" s="1679" t="s">
        <v>1562</v>
      </c>
      <c r="Q88" s="1678" t="s">
        <v>1563</v>
      </c>
      <c r="R88" s="1679" t="s">
        <v>1564</v>
      </c>
      <c r="S88" s="1678" t="s">
        <v>1565</v>
      </c>
      <c r="T88" s="1679" t="s">
        <v>1566</v>
      </c>
      <c r="U88" s="1678" t="s">
        <v>1567</v>
      </c>
      <c r="V88" s="1679" t="s">
        <v>1568</v>
      </c>
      <c r="W88" s="1678" t="s">
        <v>1569</v>
      </c>
      <c r="X88" s="1679" t="s">
        <v>1570</v>
      </c>
      <c r="Y88" s="1678" t="s">
        <v>1571</v>
      </c>
      <c r="Z88" s="1679" t="s">
        <v>1572</v>
      </c>
      <c r="AA88" s="1678" t="s">
        <v>1573</v>
      </c>
      <c r="AB88" s="1679" t="s">
        <v>1574</v>
      </c>
      <c r="AC88" s="1678" t="s">
        <v>1575</v>
      </c>
      <c r="AD88" s="1679" t="s">
        <v>1576</v>
      </c>
      <c r="AE88" s="1678" t="s">
        <v>1577</v>
      </c>
      <c r="AF88" s="1679" t="s">
        <v>1578</v>
      </c>
      <c r="AG88" s="1678" t="s">
        <v>1579</v>
      </c>
      <c r="AH88" s="1679" t="s">
        <v>1580</v>
      </c>
      <c r="AI88" s="1678" t="s">
        <v>1581</v>
      </c>
      <c r="AJ88" s="1679" t="s">
        <v>1582</v>
      </c>
      <c r="AK88" s="1678" t="s">
        <v>1583</v>
      </c>
      <c r="AL88" s="1679" t="s">
        <v>1584</v>
      </c>
      <c r="AM88" s="1687" t="s">
        <v>1585</v>
      </c>
      <c r="AN88" s="1742" t="s">
        <v>1586</v>
      </c>
      <c r="AO88" s="1681" t="s">
        <v>1587</v>
      </c>
      <c r="AP88" s="1743" t="s">
        <v>1588</v>
      </c>
      <c r="AQ88" s="1710" t="s">
        <v>1589</v>
      </c>
      <c r="AR88" s="1710" t="s">
        <v>1590</v>
      </c>
      <c r="AS88" s="1711" t="s">
        <v>1591</v>
      </c>
      <c r="AT88" s="1688" t="s">
        <v>1592</v>
      </c>
      <c r="AU88" s="1688" t="s">
        <v>1593</v>
      </c>
      <c r="AV88" s="1688" t="s">
        <v>1594</v>
      </c>
      <c r="AW88" s="1688" t="s">
        <v>1595</v>
      </c>
      <c r="AX88" s="1688" t="s">
        <v>1596</v>
      </c>
      <c r="AY88" s="1688" t="s">
        <v>1597</v>
      </c>
      <c r="AZ88" s="1514" t="str">
        <f t="shared" si="97"/>
        <v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BA88" s="181"/>
      <c r="BB88" s="181"/>
      <c r="BC88" s="181"/>
      <c r="CC88" s="348" t="str">
        <f t="shared" si="98"/>
        <v xml:space="preserve">* La celda 'Gestantes' debe ser menor o igual al Total de Mujeres en control. </v>
      </c>
      <c r="CD88" s="348" t="str">
        <f t="shared" si="64"/>
        <v xml:space="preserve">* La celda 'Madres de Hijos menor de 5 años' debe ser menor o igual al Total de Mujeres en control. </v>
      </c>
      <c r="CE88" s="348" t="str">
        <f t="shared" si="105"/>
        <v xml:space="preserve">* La celda 'Pueblos Originarios / Hombres' debe ser menor o igual al Total de Hombres en control. </v>
      </c>
      <c r="CF88" s="348" t="str">
        <f t="shared" si="66"/>
        <v xml:space="preserve">* La celda 'Pueblos Originarios / Mujeres' debe ser menor o igual al Total de Mujeres en control. </v>
      </c>
      <c r="CG88" s="348" t="str">
        <f t="shared" si="106"/>
        <v xml:space="preserve">* La celda 'Población Migrantes / Hombres' debe ser menor o igual al Total de Hombres en control. </v>
      </c>
      <c r="CH88" s="348" t="str">
        <f t="shared" si="68"/>
        <v xml:space="preserve">* La celda 'Población Migrantes / Mujeres' debe ser menor o igual al Total de Mujeres en control. </v>
      </c>
      <c r="CI88" s="348" t="str">
        <f t="shared" si="69"/>
        <v xml:space="preserve">* La celda 'Niños, Niñas, Adolescentes y Jóvenes de Población SENAME' debe ser menor o igual al Total de Ambos Sexos. </v>
      </c>
      <c r="CJ88" s="348" t="str">
        <f t="shared" si="70"/>
        <v xml:space="preserve">* La celda 'Niños, Niñas, Adolescentes y Jóvenes Mejor Niñez' debe ser menor o igual al Total de Ambos Sexos. </v>
      </c>
      <c r="CK88" s="348" t="str">
        <f t="shared" si="71"/>
        <v xml:space="preserve">* La celda 'Plan Cuidado Integral Elaborado' debe ser menor o igual al Total de Personas en control. </v>
      </c>
      <c r="CL88" s="348" t="str">
        <f t="shared" si="107"/>
        <v xml:space="preserve"> * La variable Trans Masculino no debe ser mayor al Total Mujeres.</v>
      </c>
      <c r="CM88" s="348" t="str">
        <f t="shared" si="108"/>
        <v xml:space="preserve"> * La variable Trans Femenino no debe ser mayor al Total Hombre.</v>
      </c>
      <c r="CN88" s="354"/>
      <c r="CO88" s="348" t="str">
        <f t="shared" si="109"/>
        <v/>
      </c>
      <c r="CP88" s="348" t="str">
        <f t="shared" si="110"/>
        <v/>
      </c>
      <c r="CQ88" s="348" t="str">
        <f t="shared" si="101"/>
        <v/>
      </c>
      <c r="CR88" s="348" t="str">
        <f t="shared" si="102"/>
        <v/>
      </c>
      <c r="CS88" s="348" t="str">
        <f t="shared" si="103"/>
        <v/>
      </c>
      <c r="CT88" s="348" t="str">
        <f t="shared" si="104"/>
        <v/>
      </c>
      <c r="CU88" s="348" t="str">
        <f t="shared" si="74"/>
        <v/>
      </c>
      <c r="CV88" s="348" t="str">
        <f t="shared" si="75"/>
        <v/>
      </c>
      <c r="CW88" s="348" t="str">
        <f t="shared" si="76"/>
        <v/>
      </c>
      <c r="CX88" s="175"/>
      <c r="DB88" s="358">
        <f t="shared" si="77"/>
        <v>1</v>
      </c>
      <c r="DC88" s="352"/>
      <c r="DD88" s="358">
        <f t="shared" si="112"/>
        <v>1</v>
      </c>
      <c r="DE88" s="358">
        <f t="shared" si="80"/>
        <v>1</v>
      </c>
      <c r="DF88" s="358">
        <f t="shared" si="113"/>
        <v>1</v>
      </c>
      <c r="DG88" s="358">
        <f t="shared" si="82"/>
        <v>1</v>
      </c>
      <c r="DH88" s="358">
        <f t="shared" si="83"/>
        <v>1</v>
      </c>
      <c r="DI88" s="358">
        <f t="shared" si="84"/>
        <v>1</v>
      </c>
      <c r="DJ88" s="358">
        <f t="shared" si="85"/>
        <v>1</v>
      </c>
      <c r="DK88" s="175"/>
      <c r="DL88" s="358">
        <f t="shared" si="86"/>
        <v>1</v>
      </c>
      <c r="DM88" s="358">
        <f t="shared" si="114"/>
        <v>1</v>
      </c>
      <c r="DN88" s="175"/>
      <c r="DO88" s="358">
        <f>IF(AND($F88&lt;&gt;0,$AO88=""),1,0)</f>
        <v>0</v>
      </c>
      <c r="DP88" s="352"/>
      <c r="DQ88" s="358">
        <f t="shared" si="119"/>
        <v>0</v>
      </c>
      <c r="DR88" s="358">
        <f t="shared" si="91"/>
        <v>0</v>
      </c>
      <c r="DS88" s="358">
        <f t="shared" si="118"/>
        <v>0</v>
      </c>
      <c r="DT88" s="358">
        <f t="shared" si="93"/>
        <v>0</v>
      </c>
      <c r="DU88" s="358">
        <f t="shared" si="94"/>
        <v>0</v>
      </c>
      <c r="DV88" s="358">
        <f t="shared" si="95"/>
        <v>0</v>
      </c>
      <c r="DW88" s="358">
        <f t="shared" si="96"/>
        <v>0</v>
      </c>
    </row>
    <row r="89" spans="1:127" s="141" customFormat="1" ht="26.4" customHeight="1" x14ac:dyDescent="0.3">
      <c r="A89" s="1637" t="s">
        <v>1338</v>
      </c>
      <c r="B89" s="2352"/>
      <c r="C89" s="363" t="s">
        <v>223</v>
      </c>
      <c r="D89" s="1737" t="s">
        <v>1550</v>
      </c>
      <c r="E89" s="1738" t="s">
        <v>1551</v>
      </c>
      <c r="F89" s="1725" t="s">
        <v>1552</v>
      </c>
      <c r="G89" s="1687" t="s">
        <v>1553</v>
      </c>
      <c r="H89" s="1688" t="s">
        <v>1554</v>
      </c>
      <c r="I89" s="1687" t="s">
        <v>1555</v>
      </c>
      <c r="J89" s="1688" t="s">
        <v>1556</v>
      </c>
      <c r="K89" s="1689" t="s">
        <v>1557</v>
      </c>
      <c r="L89" s="1690" t="s">
        <v>1558</v>
      </c>
      <c r="M89" s="1689" t="s">
        <v>1559</v>
      </c>
      <c r="N89" s="1690" t="s">
        <v>1560</v>
      </c>
      <c r="O89" s="1689" t="s">
        <v>1561</v>
      </c>
      <c r="P89" s="1690" t="s">
        <v>1562</v>
      </c>
      <c r="Q89" s="1689" t="s">
        <v>1563</v>
      </c>
      <c r="R89" s="1690" t="s">
        <v>1564</v>
      </c>
      <c r="S89" s="1689" t="s">
        <v>1565</v>
      </c>
      <c r="T89" s="1690" t="s">
        <v>1566</v>
      </c>
      <c r="U89" s="1687" t="s">
        <v>1567</v>
      </c>
      <c r="V89" s="1688" t="s">
        <v>1568</v>
      </c>
      <c r="W89" s="1717" t="s">
        <v>1569</v>
      </c>
      <c r="X89" s="1718" t="s">
        <v>1570</v>
      </c>
      <c r="Y89" s="1687" t="s">
        <v>1571</v>
      </c>
      <c r="Z89" s="1688" t="s">
        <v>1572</v>
      </c>
      <c r="AA89" s="1687" t="s">
        <v>1573</v>
      </c>
      <c r="AB89" s="1688" t="s">
        <v>1574</v>
      </c>
      <c r="AC89" s="1687" t="s">
        <v>1575</v>
      </c>
      <c r="AD89" s="1688" t="s">
        <v>1576</v>
      </c>
      <c r="AE89" s="1687" t="s">
        <v>1577</v>
      </c>
      <c r="AF89" s="1688" t="s">
        <v>1578</v>
      </c>
      <c r="AG89" s="1687" t="s">
        <v>1579</v>
      </c>
      <c r="AH89" s="1688" t="s">
        <v>1580</v>
      </c>
      <c r="AI89" s="1687" t="s">
        <v>1581</v>
      </c>
      <c r="AJ89" s="1688" t="s">
        <v>1582</v>
      </c>
      <c r="AK89" s="1687" t="s">
        <v>1583</v>
      </c>
      <c r="AL89" s="1688" t="s">
        <v>1584</v>
      </c>
      <c r="AM89" s="1687" t="s">
        <v>1585</v>
      </c>
      <c r="AN89" s="1742" t="s">
        <v>1586</v>
      </c>
      <c r="AO89" s="1709" t="s">
        <v>1587</v>
      </c>
      <c r="AP89" s="1744" t="s">
        <v>1588</v>
      </c>
      <c r="AQ89" s="1710" t="s">
        <v>1589</v>
      </c>
      <c r="AR89" s="1710" t="s">
        <v>1590</v>
      </c>
      <c r="AS89" s="1711" t="s">
        <v>1591</v>
      </c>
      <c r="AT89" s="1688" t="s">
        <v>1592</v>
      </c>
      <c r="AU89" s="1688" t="s">
        <v>1593</v>
      </c>
      <c r="AV89" s="1688" t="s">
        <v>1594</v>
      </c>
      <c r="AW89" s="1688" t="s">
        <v>1595</v>
      </c>
      <c r="AX89" s="1688" t="s">
        <v>1596</v>
      </c>
      <c r="AY89" s="1688" t="s">
        <v>1597</v>
      </c>
      <c r="AZ89" s="1514" t="str">
        <f t="shared" si="97"/>
        <v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BA89" s="181"/>
      <c r="BB89" s="181"/>
      <c r="BC89" s="181"/>
      <c r="CC89" s="348" t="str">
        <f t="shared" si="98"/>
        <v xml:space="preserve">* La celda 'Gestantes' debe ser menor o igual al Total de Mujeres en control. </v>
      </c>
      <c r="CD89" s="348" t="str">
        <f t="shared" si="64"/>
        <v xml:space="preserve">* La celda 'Madres de Hijos menor de 5 años' debe ser menor o igual al Total de Mujeres en control. </v>
      </c>
      <c r="CE89" s="348" t="str">
        <f t="shared" si="105"/>
        <v xml:space="preserve">* La celda 'Pueblos Originarios / Hombres' debe ser menor o igual al Total de Hombres en control. </v>
      </c>
      <c r="CF89" s="348" t="str">
        <f t="shared" si="66"/>
        <v xml:space="preserve">* La celda 'Pueblos Originarios / Mujeres' debe ser menor o igual al Total de Mujeres en control. </v>
      </c>
      <c r="CG89" s="348" t="str">
        <f t="shared" si="106"/>
        <v xml:space="preserve">* La celda 'Población Migrantes / Hombres' debe ser menor o igual al Total de Hombres en control. </v>
      </c>
      <c r="CH89" s="348" t="str">
        <f t="shared" si="68"/>
        <v xml:space="preserve">* La celda 'Población Migrantes / Mujeres' debe ser menor o igual al Total de Mujeres en control. </v>
      </c>
      <c r="CI89" s="348" t="str">
        <f t="shared" si="69"/>
        <v xml:space="preserve">* La celda 'Niños, Niñas, Adolescentes y Jóvenes de Población SENAME' debe ser menor o igual al Total de Ambos Sexos. </v>
      </c>
      <c r="CJ89" s="348" t="str">
        <f t="shared" si="70"/>
        <v xml:space="preserve">* La celda 'Niños, Niñas, Adolescentes y Jóvenes Mejor Niñez' debe ser menor o igual al Total de Ambos Sexos. </v>
      </c>
      <c r="CK89" s="348" t="str">
        <f t="shared" si="71"/>
        <v xml:space="preserve">* La celda 'Plan Cuidado Integral Elaborado' debe ser menor o igual al Total de Personas en control. </v>
      </c>
      <c r="CL89" s="348" t="str">
        <f t="shared" si="107"/>
        <v xml:space="preserve"> * La variable Trans Masculino no debe ser mayor al Total Mujeres.</v>
      </c>
      <c r="CM89" s="348" t="str">
        <f t="shared" si="108"/>
        <v xml:space="preserve"> * La variable Trans Femenino no debe ser mayor al Total Hombre.</v>
      </c>
      <c r="CN89" s="354"/>
      <c r="CO89" s="348" t="str">
        <f t="shared" si="109"/>
        <v/>
      </c>
      <c r="CP89" s="348" t="str">
        <f t="shared" si="110"/>
        <v/>
      </c>
      <c r="CQ89" s="348" t="str">
        <f t="shared" si="101"/>
        <v/>
      </c>
      <c r="CR89" s="348" t="str">
        <f t="shared" si="102"/>
        <v/>
      </c>
      <c r="CS89" s="348" t="str">
        <f t="shared" si="103"/>
        <v/>
      </c>
      <c r="CT89" s="348" t="str">
        <f t="shared" si="104"/>
        <v/>
      </c>
      <c r="CU89" s="348" t="str">
        <f t="shared" si="74"/>
        <v/>
      </c>
      <c r="CV89" s="348" t="str">
        <f t="shared" si="75"/>
        <v/>
      </c>
      <c r="CW89" s="348" t="str">
        <f t="shared" si="76"/>
        <v/>
      </c>
      <c r="CX89" s="175"/>
      <c r="DB89" s="358">
        <f>IF($AO89&gt;$F89,1,0)</f>
        <v>1</v>
      </c>
      <c r="DC89" s="352"/>
      <c r="DD89" s="358">
        <f t="shared" si="112"/>
        <v>1</v>
      </c>
      <c r="DE89" s="358">
        <f t="shared" si="80"/>
        <v>1</v>
      </c>
      <c r="DF89" s="358">
        <f t="shared" si="113"/>
        <v>1</v>
      </c>
      <c r="DG89" s="358">
        <f t="shared" si="82"/>
        <v>1</v>
      </c>
      <c r="DH89" s="358">
        <f t="shared" si="83"/>
        <v>1</v>
      </c>
      <c r="DI89" s="358">
        <f t="shared" si="84"/>
        <v>1</v>
      </c>
      <c r="DJ89" s="358">
        <f t="shared" si="85"/>
        <v>1</v>
      </c>
      <c r="DK89" s="175"/>
      <c r="DL89" s="358">
        <f t="shared" si="86"/>
        <v>1</v>
      </c>
      <c r="DM89" s="358">
        <f t="shared" si="114"/>
        <v>1</v>
      </c>
      <c r="DN89" s="175"/>
      <c r="DO89" s="358">
        <f t="shared" ref="DO89:DO91" si="120">IF(AND($F89&lt;&gt;0,$AO89=""),1,0)</f>
        <v>0</v>
      </c>
      <c r="DP89" s="352"/>
      <c r="DQ89" s="358">
        <f t="shared" si="119"/>
        <v>0</v>
      </c>
      <c r="DR89" s="358">
        <f t="shared" si="91"/>
        <v>0</v>
      </c>
      <c r="DS89" s="358">
        <f t="shared" si="118"/>
        <v>0</v>
      </c>
      <c r="DT89" s="358">
        <f t="shared" si="93"/>
        <v>0</v>
      </c>
      <c r="DU89" s="358">
        <f t="shared" si="94"/>
        <v>0</v>
      </c>
      <c r="DV89" s="358">
        <f t="shared" si="95"/>
        <v>0</v>
      </c>
      <c r="DW89" s="358">
        <f t="shared" si="96"/>
        <v>0</v>
      </c>
    </row>
    <row r="90" spans="1:127" s="141" customFormat="1" ht="26.4" customHeight="1" x14ac:dyDescent="0.3">
      <c r="A90" s="1637" t="s">
        <v>1339</v>
      </c>
      <c r="B90" s="2352"/>
      <c r="C90" s="363" t="s">
        <v>224</v>
      </c>
      <c r="D90" s="1737" t="s">
        <v>1550</v>
      </c>
      <c r="E90" s="1738" t="s">
        <v>1551</v>
      </c>
      <c r="F90" s="1725" t="s">
        <v>1552</v>
      </c>
      <c r="G90" s="1687" t="s">
        <v>1553</v>
      </c>
      <c r="H90" s="1688" t="s">
        <v>1554</v>
      </c>
      <c r="I90" s="1687" t="s">
        <v>1555</v>
      </c>
      <c r="J90" s="1688" t="s">
        <v>1556</v>
      </c>
      <c r="K90" s="1687" t="s">
        <v>1557</v>
      </c>
      <c r="L90" s="1690" t="s">
        <v>1558</v>
      </c>
      <c r="M90" s="1726" t="s">
        <v>1559</v>
      </c>
      <c r="N90" s="1727" t="s">
        <v>1560</v>
      </c>
      <c r="O90" s="1726" t="s">
        <v>1561</v>
      </c>
      <c r="P90" s="1727" t="s">
        <v>1562</v>
      </c>
      <c r="Q90" s="1726" t="s">
        <v>1563</v>
      </c>
      <c r="R90" s="1727" t="s">
        <v>1564</v>
      </c>
      <c r="S90" s="1726" t="s">
        <v>1565</v>
      </c>
      <c r="T90" s="1727" t="s">
        <v>1566</v>
      </c>
      <c r="U90" s="1726" t="s">
        <v>1567</v>
      </c>
      <c r="V90" s="1727" t="s">
        <v>1568</v>
      </c>
      <c r="W90" s="1706" t="s">
        <v>1569</v>
      </c>
      <c r="X90" s="1707" t="s">
        <v>1570</v>
      </c>
      <c r="Y90" s="1726" t="s">
        <v>1571</v>
      </c>
      <c r="Z90" s="1727" t="s">
        <v>1572</v>
      </c>
      <c r="AA90" s="1726" t="s">
        <v>1573</v>
      </c>
      <c r="AB90" s="1727" t="s">
        <v>1574</v>
      </c>
      <c r="AC90" s="1726" t="s">
        <v>1575</v>
      </c>
      <c r="AD90" s="1727" t="s">
        <v>1576</v>
      </c>
      <c r="AE90" s="1726" t="s">
        <v>1577</v>
      </c>
      <c r="AF90" s="1727" t="s">
        <v>1578</v>
      </c>
      <c r="AG90" s="1726" t="s">
        <v>1579</v>
      </c>
      <c r="AH90" s="1727" t="s">
        <v>1580</v>
      </c>
      <c r="AI90" s="1726" t="s">
        <v>1581</v>
      </c>
      <c r="AJ90" s="1727" t="s">
        <v>1582</v>
      </c>
      <c r="AK90" s="1726" t="s">
        <v>1583</v>
      </c>
      <c r="AL90" s="1727" t="s">
        <v>1584</v>
      </c>
      <c r="AM90" s="1726" t="s">
        <v>1585</v>
      </c>
      <c r="AN90" s="1728" t="s">
        <v>1586</v>
      </c>
      <c r="AO90" s="1709" t="s">
        <v>1587</v>
      </c>
      <c r="AP90" s="1744" t="s">
        <v>1588</v>
      </c>
      <c r="AQ90" s="1710" t="s">
        <v>1589</v>
      </c>
      <c r="AR90" s="1710" t="s">
        <v>1590</v>
      </c>
      <c r="AS90" s="1711" t="s">
        <v>1591</v>
      </c>
      <c r="AT90" s="1688" t="s">
        <v>1592</v>
      </c>
      <c r="AU90" s="1688" t="s">
        <v>1593</v>
      </c>
      <c r="AV90" s="1688" t="s">
        <v>1594</v>
      </c>
      <c r="AW90" s="1688" t="s">
        <v>1595</v>
      </c>
      <c r="AX90" s="1688" t="s">
        <v>1596</v>
      </c>
      <c r="AY90" s="1688" t="s">
        <v>1597</v>
      </c>
      <c r="AZ90" s="1514" t="str">
        <f t="shared" si="97"/>
        <v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BA90" s="181"/>
      <c r="BB90" s="181"/>
      <c r="BC90" s="181"/>
      <c r="CC90" s="348" t="str">
        <f t="shared" si="98"/>
        <v xml:space="preserve">* La celda 'Gestantes' debe ser menor o igual al Total de Mujeres en control. </v>
      </c>
      <c r="CD90" s="348" t="str">
        <f t="shared" si="64"/>
        <v xml:space="preserve">* La celda 'Madres de Hijos menor de 5 años' debe ser menor o igual al Total de Mujeres en control. </v>
      </c>
      <c r="CE90" s="348" t="str">
        <f t="shared" si="105"/>
        <v xml:space="preserve">* La celda 'Pueblos Originarios / Hombres' debe ser menor o igual al Total de Hombres en control. </v>
      </c>
      <c r="CF90" s="348" t="str">
        <f t="shared" si="66"/>
        <v xml:space="preserve">* La celda 'Pueblos Originarios / Mujeres' debe ser menor o igual al Total de Mujeres en control. </v>
      </c>
      <c r="CG90" s="348" t="str">
        <f t="shared" si="106"/>
        <v xml:space="preserve">* La celda 'Población Migrantes / Hombres' debe ser menor o igual al Total de Hombres en control. </v>
      </c>
      <c r="CH90" s="348" t="str">
        <f t="shared" si="68"/>
        <v xml:space="preserve">* La celda 'Población Migrantes / Mujeres' debe ser menor o igual al Total de Mujeres en control. </v>
      </c>
      <c r="CI90" s="348" t="str">
        <f t="shared" si="69"/>
        <v xml:space="preserve">* La celda 'Niños, Niñas, Adolescentes y Jóvenes de Población SENAME' debe ser menor o igual al Total de Ambos Sexos. </v>
      </c>
      <c r="CJ90" s="348" t="str">
        <f t="shared" si="70"/>
        <v xml:space="preserve">* La celda 'Niños, Niñas, Adolescentes y Jóvenes Mejor Niñez' debe ser menor o igual al Total de Ambos Sexos. </v>
      </c>
      <c r="CK90" s="348" t="str">
        <f t="shared" si="71"/>
        <v xml:space="preserve">* La celda 'Plan Cuidado Integral Elaborado' debe ser menor o igual al Total de Personas en control. </v>
      </c>
      <c r="CL90" s="348" t="str">
        <f t="shared" si="107"/>
        <v xml:space="preserve"> * La variable Trans Masculino no debe ser mayor al Total Mujeres.</v>
      </c>
      <c r="CM90" s="348" t="str">
        <f t="shared" si="108"/>
        <v xml:space="preserve"> * La variable Trans Femenino no debe ser mayor al Total Hombre.</v>
      </c>
      <c r="CN90" s="354"/>
      <c r="CO90" s="348" t="str">
        <f t="shared" si="109"/>
        <v/>
      </c>
      <c r="CP90" s="348" t="str">
        <f t="shared" si="110"/>
        <v/>
      </c>
      <c r="CQ90" s="348" t="str">
        <f t="shared" si="101"/>
        <v/>
      </c>
      <c r="CR90" s="348" t="str">
        <f t="shared" si="102"/>
        <v/>
      </c>
      <c r="CS90" s="348" t="str">
        <f t="shared" si="103"/>
        <v/>
      </c>
      <c r="CT90" s="348" t="str">
        <f t="shared" si="104"/>
        <v/>
      </c>
      <c r="CU90" s="348" t="str">
        <f t="shared" si="74"/>
        <v/>
      </c>
      <c r="CV90" s="348" t="str">
        <f t="shared" si="75"/>
        <v/>
      </c>
      <c r="CW90" s="348" t="str">
        <f t="shared" si="76"/>
        <v/>
      </c>
      <c r="CX90" s="175"/>
      <c r="DB90" s="358">
        <f t="shared" si="77"/>
        <v>1</v>
      </c>
      <c r="DC90" s="352"/>
      <c r="DD90" s="358">
        <f t="shared" si="112"/>
        <v>1</v>
      </c>
      <c r="DE90" s="358">
        <f t="shared" si="80"/>
        <v>1</v>
      </c>
      <c r="DF90" s="358">
        <f t="shared" si="113"/>
        <v>1</v>
      </c>
      <c r="DG90" s="358">
        <f t="shared" si="82"/>
        <v>1</v>
      </c>
      <c r="DH90" s="358">
        <f t="shared" si="83"/>
        <v>1</v>
      </c>
      <c r="DI90" s="358">
        <f t="shared" si="84"/>
        <v>1</v>
      </c>
      <c r="DJ90" s="358">
        <f t="shared" si="85"/>
        <v>1</v>
      </c>
      <c r="DK90" s="175"/>
      <c r="DL90" s="358">
        <f t="shared" si="86"/>
        <v>1</v>
      </c>
      <c r="DM90" s="358">
        <f t="shared" si="114"/>
        <v>1</v>
      </c>
      <c r="DN90" s="175"/>
      <c r="DO90" s="358">
        <f t="shared" si="120"/>
        <v>0</v>
      </c>
      <c r="DP90" s="352"/>
      <c r="DQ90" s="358">
        <f t="shared" si="119"/>
        <v>0</v>
      </c>
      <c r="DR90" s="358">
        <f t="shared" si="91"/>
        <v>0</v>
      </c>
      <c r="DS90" s="358">
        <f t="shared" si="118"/>
        <v>0</v>
      </c>
      <c r="DT90" s="358">
        <f t="shared" si="93"/>
        <v>0</v>
      </c>
      <c r="DU90" s="358">
        <f t="shared" si="94"/>
        <v>0</v>
      </c>
      <c r="DV90" s="358">
        <f t="shared" si="95"/>
        <v>0</v>
      </c>
      <c r="DW90" s="358">
        <f t="shared" si="96"/>
        <v>0</v>
      </c>
    </row>
    <row r="91" spans="1:127" s="141" customFormat="1" ht="26.4" customHeight="1" x14ac:dyDescent="0.3">
      <c r="A91" s="1637" t="s">
        <v>1340</v>
      </c>
      <c r="B91" s="2352"/>
      <c r="C91" s="363" t="s">
        <v>225</v>
      </c>
      <c r="D91" s="1684" t="s">
        <v>1550</v>
      </c>
      <c r="E91" s="1685" t="s">
        <v>1551</v>
      </c>
      <c r="F91" s="1686" t="s">
        <v>1552</v>
      </c>
      <c r="G91" s="1697" t="s">
        <v>1553</v>
      </c>
      <c r="H91" s="1698" t="s">
        <v>1554</v>
      </c>
      <c r="I91" s="1697" t="s">
        <v>1555</v>
      </c>
      <c r="J91" s="1698" t="s">
        <v>1556</v>
      </c>
      <c r="K91" s="1697" t="s">
        <v>1557</v>
      </c>
      <c r="L91" s="1698" t="s">
        <v>1558</v>
      </c>
      <c r="M91" s="1697" t="s">
        <v>1559</v>
      </c>
      <c r="N91" s="1698" t="s">
        <v>1560</v>
      </c>
      <c r="O91" s="1697" t="s">
        <v>1561</v>
      </c>
      <c r="P91" s="1698" t="s">
        <v>1562</v>
      </c>
      <c r="Q91" s="1745" t="s">
        <v>1563</v>
      </c>
      <c r="R91" s="1746" t="s">
        <v>1564</v>
      </c>
      <c r="S91" s="1745" t="s">
        <v>1565</v>
      </c>
      <c r="T91" s="1746" t="s">
        <v>1566</v>
      </c>
      <c r="U91" s="1745" t="s">
        <v>1567</v>
      </c>
      <c r="V91" s="1746" t="s">
        <v>1568</v>
      </c>
      <c r="W91" s="1745" t="s">
        <v>1569</v>
      </c>
      <c r="X91" s="1746" t="s">
        <v>1570</v>
      </c>
      <c r="Y91" s="1745" t="s">
        <v>1571</v>
      </c>
      <c r="Z91" s="1746" t="s">
        <v>1572</v>
      </c>
      <c r="AA91" s="1745" t="s">
        <v>1573</v>
      </c>
      <c r="AB91" s="1746" t="s">
        <v>1574</v>
      </c>
      <c r="AC91" s="1745" t="s">
        <v>1575</v>
      </c>
      <c r="AD91" s="1746" t="s">
        <v>1576</v>
      </c>
      <c r="AE91" s="1745" t="s">
        <v>1577</v>
      </c>
      <c r="AF91" s="1746" t="s">
        <v>1578</v>
      </c>
      <c r="AG91" s="1745" t="s">
        <v>1579</v>
      </c>
      <c r="AH91" s="1746" t="s">
        <v>1580</v>
      </c>
      <c r="AI91" s="1745" t="s">
        <v>1581</v>
      </c>
      <c r="AJ91" s="1746" t="s">
        <v>1582</v>
      </c>
      <c r="AK91" s="1745" t="s">
        <v>1583</v>
      </c>
      <c r="AL91" s="1746" t="s">
        <v>1584</v>
      </c>
      <c r="AM91" s="1745" t="s">
        <v>1585</v>
      </c>
      <c r="AN91" s="1747" t="s">
        <v>1586</v>
      </c>
      <c r="AO91" s="1700" t="s">
        <v>1587</v>
      </c>
      <c r="AP91" s="1748" t="s">
        <v>1588</v>
      </c>
      <c r="AQ91" s="1701" t="s">
        <v>1589</v>
      </c>
      <c r="AR91" s="1701" t="s">
        <v>1590</v>
      </c>
      <c r="AS91" s="1702" t="s">
        <v>1591</v>
      </c>
      <c r="AT91" s="1698" t="s">
        <v>1592</v>
      </c>
      <c r="AU91" s="1698" t="s">
        <v>1593</v>
      </c>
      <c r="AV91" s="1698" t="s">
        <v>1594</v>
      </c>
      <c r="AW91" s="1698" t="s">
        <v>1595</v>
      </c>
      <c r="AX91" s="1698" t="s">
        <v>1596</v>
      </c>
      <c r="AY91" s="1698" t="s">
        <v>1597</v>
      </c>
      <c r="AZ91" s="1514" t="str">
        <f t="shared" si="97"/>
        <v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BA91" s="181"/>
      <c r="BB91" s="181"/>
      <c r="BC91" s="181"/>
      <c r="CC91" s="348" t="str">
        <f t="shared" si="98"/>
        <v xml:space="preserve">* La celda 'Gestantes' debe ser menor o igual al Total de Mujeres en control. </v>
      </c>
      <c r="CD91" s="348" t="str">
        <f t="shared" si="64"/>
        <v xml:space="preserve">* La celda 'Madres de Hijos menor de 5 años' debe ser menor o igual al Total de Mujeres en control. </v>
      </c>
      <c r="CE91" s="348" t="str">
        <f t="shared" si="105"/>
        <v xml:space="preserve">* La celda 'Pueblos Originarios / Hombres' debe ser menor o igual al Total de Hombres en control. </v>
      </c>
      <c r="CF91" s="348" t="str">
        <f t="shared" si="66"/>
        <v xml:space="preserve">* La celda 'Pueblos Originarios / Mujeres' debe ser menor o igual al Total de Mujeres en control. </v>
      </c>
      <c r="CG91" s="348" t="str">
        <f t="shared" si="106"/>
        <v xml:space="preserve">* La celda 'Población Migrantes / Hombres' debe ser menor o igual al Total de Hombres en control. </v>
      </c>
      <c r="CH91" s="348" t="str">
        <f t="shared" si="68"/>
        <v xml:space="preserve">* La celda 'Población Migrantes / Mujeres' debe ser menor o igual al Total de Mujeres en control. </v>
      </c>
      <c r="CI91" s="348" t="str">
        <f t="shared" si="69"/>
        <v xml:space="preserve">* La celda 'Niños, Niñas, Adolescentes y Jóvenes de Población SENAME' debe ser menor o igual al Total de Ambos Sexos. </v>
      </c>
      <c r="CJ91" s="348" t="str">
        <f t="shared" si="70"/>
        <v xml:space="preserve">* La celda 'Niños, Niñas, Adolescentes y Jóvenes Mejor Niñez' debe ser menor o igual al Total de Ambos Sexos. </v>
      </c>
      <c r="CK91" s="348" t="str">
        <f t="shared" si="71"/>
        <v xml:space="preserve">* La celda 'Plan Cuidado Integral Elaborado' debe ser menor o igual al Total de Personas en control. </v>
      </c>
      <c r="CL91" s="348" t="str">
        <f t="shared" si="107"/>
        <v xml:space="preserve"> * La variable Trans Masculino no debe ser mayor al Total Mujeres.</v>
      </c>
      <c r="CM91" s="348" t="str">
        <f t="shared" si="108"/>
        <v xml:space="preserve"> * La variable Trans Femenino no debe ser mayor al Total Hombre.</v>
      </c>
      <c r="CN91" s="354"/>
      <c r="CO91" s="348" t="str">
        <f t="shared" si="109"/>
        <v/>
      </c>
      <c r="CP91" s="348" t="str">
        <f t="shared" si="110"/>
        <v/>
      </c>
      <c r="CQ91" s="348" t="str">
        <f t="shared" si="101"/>
        <v/>
      </c>
      <c r="CR91" s="348" t="str">
        <f t="shared" si="102"/>
        <v/>
      </c>
      <c r="CS91" s="348" t="str">
        <f t="shared" si="103"/>
        <v/>
      </c>
      <c r="CT91" s="348" t="str">
        <f t="shared" si="104"/>
        <v/>
      </c>
      <c r="CU91" s="348" t="str">
        <f t="shared" si="74"/>
        <v/>
      </c>
      <c r="CV91" s="348" t="str">
        <f t="shared" si="75"/>
        <v/>
      </c>
      <c r="CW91" s="348" t="str">
        <f>IF(AND($D91&lt;&gt;0,$AW91=""),"* No olvide escribir en la celda Plan Cuidado integral Elaborado. (Digite CERO si no tiene). ","")</f>
        <v/>
      </c>
      <c r="CX91" s="175"/>
      <c r="DB91" s="358">
        <f t="shared" si="77"/>
        <v>1</v>
      </c>
      <c r="DC91" s="352"/>
      <c r="DD91" s="358">
        <f t="shared" si="112"/>
        <v>1</v>
      </c>
      <c r="DE91" s="358">
        <f t="shared" si="80"/>
        <v>1</v>
      </c>
      <c r="DF91" s="358">
        <f t="shared" si="113"/>
        <v>1</v>
      </c>
      <c r="DG91" s="358">
        <f t="shared" si="82"/>
        <v>1</v>
      </c>
      <c r="DH91" s="358">
        <f t="shared" si="83"/>
        <v>1</v>
      </c>
      <c r="DI91" s="358">
        <f t="shared" si="84"/>
        <v>1</v>
      </c>
      <c r="DJ91" s="358">
        <f t="shared" si="85"/>
        <v>1</v>
      </c>
      <c r="DK91" s="175"/>
      <c r="DL91" s="358">
        <f t="shared" si="86"/>
        <v>1</v>
      </c>
      <c r="DM91" s="358">
        <f t="shared" si="114"/>
        <v>1</v>
      </c>
      <c r="DN91" s="175"/>
      <c r="DO91" s="358">
        <f t="shared" si="120"/>
        <v>0</v>
      </c>
      <c r="DP91" s="352"/>
      <c r="DQ91" s="358">
        <f t="shared" si="119"/>
        <v>0</v>
      </c>
      <c r="DR91" s="358">
        <f t="shared" si="91"/>
        <v>0</v>
      </c>
      <c r="DS91" s="358">
        <f t="shared" si="118"/>
        <v>0</v>
      </c>
      <c r="DT91" s="358">
        <f t="shared" si="93"/>
        <v>0</v>
      </c>
      <c r="DU91" s="358">
        <f t="shared" si="94"/>
        <v>0</v>
      </c>
      <c r="DV91" s="358">
        <f t="shared" si="95"/>
        <v>0</v>
      </c>
      <c r="DW91" s="358">
        <f t="shared" si="96"/>
        <v>0</v>
      </c>
    </row>
    <row r="92" spans="1:127" s="141" customFormat="1" ht="18" customHeight="1" x14ac:dyDescent="0.3">
      <c r="A92" s="1637" t="s">
        <v>1341</v>
      </c>
      <c r="B92" s="2199" t="s">
        <v>226</v>
      </c>
      <c r="C92" s="362" t="s">
        <v>550</v>
      </c>
      <c r="D92" s="1749" t="s">
        <v>1550</v>
      </c>
      <c r="E92" s="1750" t="s">
        <v>1551</v>
      </c>
      <c r="F92" s="1751" t="s">
        <v>1552</v>
      </c>
      <c r="G92" s="1687" t="s">
        <v>1553</v>
      </c>
      <c r="H92" s="1688" t="s">
        <v>1554</v>
      </c>
      <c r="I92" s="1687" t="s">
        <v>1555</v>
      </c>
      <c r="J92" s="1688" t="s">
        <v>1556</v>
      </c>
      <c r="K92" s="1687" t="s">
        <v>1557</v>
      </c>
      <c r="L92" s="1688" t="s">
        <v>1558</v>
      </c>
      <c r="M92" s="1687" t="s">
        <v>1559</v>
      </c>
      <c r="N92" s="1688" t="s">
        <v>1560</v>
      </c>
      <c r="O92" s="1687" t="s">
        <v>1561</v>
      </c>
      <c r="P92" s="1711" t="s">
        <v>1562</v>
      </c>
      <c r="Q92" s="1687" t="s">
        <v>1563</v>
      </c>
      <c r="R92" s="1711" t="s">
        <v>1564</v>
      </c>
      <c r="S92" s="1687" t="s">
        <v>1565</v>
      </c>
      <c r="T92" s="1711" t="s">
        <v>1566</v>
      </c>
      <c r="U92" s="1687" t="s">
        <v>1567</v>
      </c>
      <c r="V92" s="1711" t="s">
        <v>1568</v>
      </c>
      <c r="W92" s="1687" t="s">
        <v>1569</v>
      </c>
      <c r="X92" s="1711" t="s">
        <v>1570</v>
      </c>
      <c r="Y92" s="1687" t="s">
        <v>1571</v>
      </c>
      <c r="Z92" s="1711" t="s">
        <v>1572</v>
      </c>
      <c r="AA92" s="1687" t="s">
        <v>1573</v>
      </c>
      <c r="AB92" s="1711" t="s">
        <v>1574</v>
      </c>
      <c r="AC92" s="1687" t="s">
        <v>1575</v>
      </c>
      <c r="AD92" s="1711" t="s">
        <v>1576</v>
      </c>
      <c r="AE92" s="1687" t="s">
        <v>1577</v>
      </c>
      <c r="AF92" s="1711" t="s">
        <v>1578</v>
      </c>
      <c r="AG92" s="1687" t="s">
        <v>1579</v>
      </c>
      <c r="AH92" s="1711" t="s">
        <v>1580</v>
      </c>
      <c r="AI92" s="1687" t="s">
        <v>1581</v>
      </c>
      <c r="AJ92" s="1711" t="s">
        <v>1582</v>
      </c>
      <c r="AK92" s="1687" t="s">
        <v>1583</v>
      </c>
      <c r="AL92" s="1711" t="s">
        <v>1584</v>
      </c>
      <c r="AM92" s="1687" t="s">
        <v>1585</v>
      </c>
      <c r="AN92" s="1752" t="s">
        <v>1586</v>
      </c>
      <c r="AO92" s="1709" t="s">
        <v>1587</v>
      </c>
      <c r="AP92" s="1710" t="s">
        <v>1588</v>
      </c>
      <c r="AQ92" s="1710" t="s">
        <v>1589</v>
      </c>
      <c r="AR92" s="1710" t="s">
        <v>1590</v>
      </c>
      <c r="AS92" s="1711" t="s">
        <v>1591</v>
      </c>
      <c r="AT92" s="1688" t="s">
        <v>1592</v>
      </c>
      <c r="AU92" s="1688" t="s">
        <v>1593</v>
      </c>
      <c r="AV92" s="1688" t="s">
        <v>1594</v>
      </c>
      <c r="AW92" s="1688" t="s">
        <v>1595</v>
      </c>
      <c r="AX92" s="1688" t="s">
        <v>1596</v>
      </c>
      <c r="AY92" s="1688" t="s">
        <v>1597</v>
      </c>
      <c r="AZ92" s="1514" t="str">
        <f t="shared" si="97"/>
        <v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BA92" s="181"/>
      <c r="BB92" s="181"/>
      <c r="BC92" s="181"/>
      <c r="CC92" s="348" t="str">
        <f t="shared" si="98"/>
        <v xml:space="preserve">* La celda 'Gestantes' debe ser menor o igual al Total de Mujeres en control. </v>
      </c>
      <c r="CD92" s="348" t="str">
        <f t="shared" si="64"/>
        <v xml:space="preserve">* La celda 'Madres de Hijos menor de 5 años' debe ser menor o igual al Total de Mujeres en control. </v>
      </c>
      <c r="CE92" s="348" t="str">
        <f t="shared" si="105"/>
        <v xml:space="preserve">* La celda 'Pueblos Originarios / Hombres' debe ser menor o igual al Total de Hombres en control. </v>
      </c>
      <c r="CF92" s="348" t="str">
        <f t="shared" si="66"/>
        <v xml:space="preserve">* La celda 'Pueblos Originarios / Mujeres' debe ser menor o igual al Total de Mujeres en control. </v>
      </c>
      <c r="CG92" s="348" t="str">
        <f t="shared" si="106"/>
        <v xml:space="preserve">* La celda 'Población Migrantes / Hombres' debe ser menor o igual al Total de Hombres en control. </v>
      </c>
      <c r="CH92" s="348" t="str">
        <f t="shared" si="68"/>
        <v xml:space="preserve">* La celda 'Población Migrantes / Mujeres' debe ser menor o igual al Total de Mujeres en control. </v>
      </c>
      <c r="CI92" s="348" t="str">
        <f t="shared" si="69"/>
        <v xml:space="preserve">* La celda 'Niños, Niñas, Adolescentes y Jóvenes de Población SENAME' debe ser menor o igual al Total de Ambos Sexos. </v>
      </c>
      <c r="CJ92" s="348" t="str">
        <f t="shared" si="70"/>
        <v xml:space="preserve">* La celda 'Niños, Niñas, Adolescentes y Jóvenes Mejor Niñez' debe ser menor o igual al Total de Ambos Sexos. </v>
      </c>
      <c r="CK92" s="348" t="str">
        <f t="shared" si="71"/>
        <v xml:space="preserve">* La celda 'Plan Cuidado Integral Elaborado' debe ser menor o igual al Total de Personas en control. </v>
      </c>
      <c r="CL92" s="348" t="str">
        <f t="shared" si="107"/>
        <v xml:space="preserve"> * La variable Trans Masculino no debe ser mayor al Total Mujeres.</v>
      </c>
      <c r="CM92" s="348" t="str">
        <f t="shared" si="108"/>
        <v xml:space="preserve"> * La variable Trans Femenino no debe ser mayor al Total Hombre.</v>
      </c>
      <c r="CN92" s="354"/>
      <c r="CO92" s="348" t="str">
        <f t="shared" si="109"/>
        <v/>
      </c>
      <c r="CP92" s="348" t="str">
        <f t="shared" si="110"/>
        <v/>
      </c>
      <c r="CQ92" s="348" t="str">
        <f t="shared" si="101"/>
        <v/>
      </c>
      <c r="CR92" s="348" t="str">
        <f t="shared" si="102"/>
        <v/>
      </c>
      <c r="CS92" s="348" t="str">
        <f t="shared" si="103"/>
        <v/>
      </c>
      <c r="CT92" s="348" t="str">
        <f t="shared" si="104"/>
        <v/>
      </c>
      <c r="CU92" s="348" t="str">
        <f t="shared" si="74"/>
        <v/>
      </c>
      <c r="CV92" s="348" t="str">
        <f t="shared" si="75"/>
        <v/>
      </c>
      <c r="CW92" s="348" t="str">
        <f t="shared" si="76"/>
        <v/>
      </c>
      <c r="CX92" s="175"/>
      <c r="DB92" s="358"/>
      <c r="DC92" s="358"/>
      <c r="DD92" s="358">
        <f t="shared" si="112"/>
        <v>1</v>
      </c>
      <c r="DE92" s="358">
        <f t="shared" si="80"/>
        <v>1</v>
      </c>
      <c r="DF92" s="358">
        <f t="shared" si="113"/>
        <v>1</v>
      </c>
      <c r="DG92" s="358">
        <f t="shared" si="82"/>
        <v>1</v>
      </c>
      <c r="DH92" s="358">
        <f t="shared" si="83"/>
        <v>1</v>
      </c>
      <c r="DI92" s="358">
        <f t="shared" si="84"/>
        <v>1</v>
      </c>
      <c r="DJ92" s="358">
        <f t="shared" si="85"/>
        <v>1</v>
      </c>
      <c r="DK92" s="175"/>
      <c r="DL92" s="358">
        <f t="shared" si="86"/>
        <v>1</v>
      </c>
      <c r="DM92" s="358">
        <f t="shared" si="114"/>
        <v>1</v>
      </c>
      <c r="DN92" s="175"/>
      <c r="DO92" s="358">
        <f>IF(AND($F92&lt;&gt;0,$AO92=""),1,0)</f>
        <v>0</v>
      </c>
      <c r="DP92" s="358">
        <f>IF(AND($F92&lt;&gt;0,$AP92=""),1,0)</f>
        <v>0</v>
      </c>
      <c r="DQ92" s="358">
        <f t="shared" ref="DQ92:DQ110" si="121">IF(AND($E92&lt;&gt;0,$AQ92=""),1,IF(AND($F92&lt;&gt;0,$AR92=""),1,0))</f>
        <v>0</v>
      </c>
      <c r="DR92" s="358">
        <f t="shared" si="91"/>
        <v>0</v>
      </c>
      <c r="DS92" s="358">
        <f t="shared" si="118"/>
        <v>0</v>
      </c>
      <c r="DT92" s="358">
        <f t="shared" si="93"/>
        <v>0</v>
      </c>
      <c r="DU92" s="358">
        <f t="shared" si="94"/>
        <v>0</v>
      </c>
      <c r="DV92" s="358">
        <f t="shared" si="95"/>
        <v>0</v>
      </c>
      <c r="DW92" s="358">
        <f t="shared" si="96"/>
        <v>0</v>
      </c>
    </row>
    <row r="93" spans="1:127" s="141" customFormat="1" ht="18" customHeight="1" x14ac:dyDescent="0.3">
      <c r="A93" s="1637" t="s">
        <v>1342</v>
      </c>
      <c r="B93" s="2079"/>
      <c r="C93" s="1306" t="s">
        <v>698</v>
      </c>
      <c r="D93" s="1753" t="s">
        <v>1550</v>
      </c>
      <c r="E93" s="1754" t="s">
        <v>1551</v>
      </c>
      <c r="F93" s="1755" t="s">
        <v>1552</v>
      </c>
      <c r="G93" s="1689" t="s">
        <v>1553</v>
      </c>
      <c r="H93" s="1690" t="s">
        <v>1554</v>
      </c>
      <c r="I93" s="1689" t="s">
        <v>1555</v>
      </c>
      <c r="J93" s="1690" t="s">
        <v>1556</v>
      </c>
      <c r="K93" s="1689" t="s">
        <v>1557</v>
      </c>
      <c r="L93" s="1690" t="s">
        <v>1558</v>
      </c>
      <c r="M93" s="1689" t="s">
        <v>1559</v>
      </c>
      <c r="N93" s="1690" t="s">
        <v>1560</v>
      </c>
      <c r="O93" s="1689" t="s">
        <v>1561</v>
      </c>
      <c r="P93" s="1694" t="s">
        <v>1562</v>
      </c>
      <c r="Q93" s="1689" t="s">
        <v>1563</v>
      </c>
      <c r="R93" s="1694" t="s">
        <v>1564</v>
      </c>
      <c r="S93" s="1689" t="s">
        <v>1565</v>
      </c>
      <c r="T93" s="1694" t="s">
        <v>1566</v>
      </c>
      <c r="U93" s="1689" t="s">
        <v>1567</v>
      </c>
      <c r="V93" s="1694" t="s">
        <v>1568</v>
      </c>
      <c r="W93" s="1689" t="s">
        <v>1569</v>
      </c>
      <c r="X93" s="1694" t="s">
        <v>1570</v>
      </c>
      <c r="Y93" s="1689" t="s">
        <v>1571</v>
      </c>
      <c r="Z93" s="1694" t="s">
        <v>1572</v>
      </c>
      <c r="AA93" s="1689" t="s">
        <v>1573</v>
      </c>
      <c r="AB93" s="1694" t="s">
        <v>1574</v>
      </c>
      <c r="AC93" s="1689" t="s">
        <v>1575</v>
      </c>
      <c r="AD93" s="1694" t="s">
        <v>1576</v>
      </c>
      <c r="AE93" s="1689" t="s">
        <v>1577</v>
      </c>
      <c r="AF93" s="1694" t="s">
        <v>1578</v>
      </c>
      <c r="AG93" s="1689" t="s">
        <v>1579</v>
      </c>
      <c r="AH93" s="1694" t="s">
        <v>1580</v>
      </c>
      <c r="AI93" s="1689" t="s">
        <v>1581</v>
      </c>
      <c r="AJ93" s="1694" t="s">
        <v>1582</v>
      </c>
      <c r="AK93" s="1689" t="s">
        <v>1583</v>
      </c>
      <c r="AL93" s="1694" t="s">
        <v>1584</v>
      </c>
      <c r="AM93" s="1689" t="s">
        <v>1585</v>
      </c>
      <c r="AN93" s="1756" t="s">
        <v>1586</v>
      </c>
      <c r="AO93" s="1692" t="s">
        <v>1587</v>
      </c>
      <c r="AP93" s="1693" t="s">
        <v>1588</v>
      </c>
      <c r="AQ93" s="1693" t="s">
        <v>1589</v>
      </c>
      <c r="AR93" s="1693" t="s">
        <v>1590</v>
      </c>
      <c r="AS93" s="1694" t="s">
        <v>1591</v>
      </c>
      <c r="AT93" s="1690" t="s">
        <v>1592</v>
      </c>
      <c r="AU93" s="1690" t="s">
        <v>1593</v>
      </c>
      <c r="AV93" s="1690" t="s">
        <v>1594</v>
      </c>
      <c r="AW93" s="1690" t="s">
        <v>1595</v>
      </c>
      <c r="AX93" s="1690" t="s">
        <v>1596</v>
      </c>
      <c r="AY93" s="1690" t="s">
        <v>1597</v>
      </c>
      <c r="AZ93" s="1514" t="str">
        <f t="shared" si="97"/>
        <v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BA93" s="181"/>
      <c r="BB93" s="181"/>
      <c r="BC93" s="181"/>
      <c r="CC93" s="348" t="str">
        <f t="shared" si="98"/>
        <v xml:space="preserve">* La celda 'Gestantes' debe ser menor o igual al Total de Mujeres en control. </v>
      </c>
      <c r="CD93" s="348" t="str">
        <f t="shared" si="64"/>
        <v xml:space="preserve">* La celda 'Madres de Hijos menor de 5 años' debe ser menor o igual al Total de Mujeres en control. </v>
      </c>
      <c r="CE93" s="348" t="str">
        <f t="shared" si="105"/>
        <v xml:space="preserve">* La celda 'Pueblos Originarios / Hombres' debe ser menor o igual al Total de Hombres en control. </v>
      </c>
      <c r="CF93" s="348" t="str">
        <f t="shared" si="66"/>
        <v xml:space="preserve">* La celda 'Pueblos Originarios / Mujeres' debe ser menor o igual al Total de Mujeres en control. </v>
      </c>
      <c r="CG93" s="348" t="str">
        <f t="shared" si="106"/>
        <v xml:space="preserve">* La celda 'Población Migrantes / Hombres' debe ser menor o igual al Total de Hombres en control. </v>
      </c>
      <c r="CH93" s="348" t="str">
        <f t="shared" si="68"/>
        <v xml:space="preserve">* La celda 'Población Migrantes / Mujeres' debe ser menor o igual al Total de Mujeres en control. </v>
      </c>
      <c r="CI93" s="348" t="str">
        <f t="shared" si="69"/>
        <v xml:space="preserve">* La celda 'Niños, Niñas, Adolescentes y Jóvenes de Población SENAME' debe ser menor o igual al Total de Ambos Sexos. </v>
      </c>
      <c r="CJ93" s="348" t="str">
        <f t="shared" si="70"/>
        <v xml:space="preserve">* La celda 'Niños, Niñas, Adolescentes y Jóvenes Mejor Niñez' debe ser menor o igual al Total de Ambos Sexos. </v>
      </c>
      <c r="CK93" s="348" t="str">
        <f t="shared" si="71"/>
        <v xml:space="preserve">* La celda 'Plan Cuidado Integral Elaborado' debe ser menor o igual al Total de Personas en control. </v>
      </c>
      <c r="CL93" s="348" t="str">
        <f t="shared" si="107"/>
        <v xml:space="preserve"> * La variable Trans Masculino no debe ser mayor al Total Mujeres.</v>
      </c>
      <c r="CM93" s="348" t="str">
        <f t="shared" si="108"/>
        <v xml:space="preserve"> * La variable Trans Femenino no debe ser mayor al Total Hombre.</v>
      </c>
      <c r="CN93" s="354"/>
      <c r="CO93" s="348" t="str">
        <f t="shared" si="109"/>
        <v/>
      </c>
      <c r="CP93" s="348" t="str">
        <f t="shared" si="110"/>
        <v/>
      </c>
      <c r="CQ93" s="348" t="str">
        <f t="shared" si="101"/>
        <v/>
      </c>
      <c r="CR93" s="348" t="str">
        <f t="shared" si="102"/>
        <v/>
      </c>
      <c r="CS93" s="348" t="str">
        <f t="shared" si="103"/>
        <v/>
      </c>
      <c r="CT93" s="348" t="str">
        <f t="shared" si="104"/>
        <v/>
      </c>
      <c r="CU93" s="348" t="str">
        <f t="shared" si="74"/>
        <v/>
      </c>
      <c r="CV93" s="348" t="str">
        <f t="shared" si="75"/>
        <v/>
      </c>
      <c r="CW93" s="348" t="str">
        <f t="shared" si="76"/>
        <v/>
      </c>
      <c r="CX93" s="175"/>
      <c r="DB93" s="352"/>
      <c r="DC93" s="352"/>
      <c r="DD93" s="352"/>
      <c r="DE93" s="352"/>
      <c r="DF93" s="352"/>
      <c r="DG93" s="352"/>
      <c r="DH93" s="352"/>
      <c r="DI93" s="358">
        <f t="shared" si="84"/>
        <v>1</v>
      </c>
      <c r="DJ93" s="358">
        <f t="shared" si="85"/>
        <v>1</v>
      </c>
      <c r="DK93" s="175"/>
      <c r="DL93" s="358">
        <f t="shared" si="86"/>
        <v>1</v>
      </c>
      <c r="DM93" s="358">
        <f t="shared" si="114"/>
        <v>1</v>
      </c>
      <c r="DN93" s="175"/>
      <c r="DO93" s="352"/>
      <c r="DP93" s="352"/>
      <c r="DQ93" s="352"/>
      <c r="DR93" s="352"/>
      <c r="DS93" s="352"/>
      <c r="DT93" s="352"/>
      <c r="DU93" s="352"/>
      <c r="DV93" s="358">
        <f t="shared" si="95"/>
        <v>0</v>
      </c>
      <c r="DW93" s="358">
        <f t="shared" si="96"/>
        <v>0</v>
      </c>
    </row>
    <row r="94" spans="1:127" ht="18" customHeight="1" x14ac:dyDescent="0.3">
      <c r="A94" s="1637" t="s">
        <v>1343</v>
      </c>
      <c r="B94" s="2079"/>
      <c r="C94" s="369" t="s">
        <v>551</v>
      </c>
      <c r="D94" s="1753" t="s">
        <v>1550</v>
      </c>
      <c r="E94" s="1754" t="s">
        <v>1551</v>
      </c>
      <c r="F94" s="1755" t="s">
        <v>1552</v>
      </c>
      <c r="G94" s="1689" t="s">
        <v>1553</v>
      </c>
      <c r="H94" s="1690" t="s">
        <v>1554</v>
      </c>
      <c r="I94" s="1689" t="s">
        <v>1555</v>
      </c>
      <c r="J94" s="1690" t="s">
        <v>1556</v>
      </c>
      <c r="K94" s="1689" t="s">
        <v>1557</v>
      </c>
      <c r="L94" s="1690" t="s">
        <v>1558</v>
      </c>
      <c r="M94" s="1689" t="s">
        <v>1559</v>
      </c>
      <c r="N94" s="1690" t="s">
        <v>1560</v>
      </c>
      <c r="O94" s="1689" t="s">
        <v>1561</v>
      </c>
      <c r="P94" s="1694" t="s">
        <v>1562</v>
      </c>
      <c r="Q94" s="1689" t="s">
        <v>1563</v>
      </c>
      <c r="R94" s="1694" t="s">
        <v>1564</v>
      </c>
      <c r="S94" s="1689" t="s">
        <v>1565</v>
      </c>
      <c r="T94" s="1694" t="s">
        <v>1566</v>
      </c>
      <c r="U94" s="1689" t="s">
        <v>1567</v>
      </c>
      <c r="V94" s="1694" t="s">
        <v>1568</v>
      </c>
      <c r="W94" s="1689" t="s">
        <v>1569</v>
      </c>
      <c r="X94" s="1694" t="s">
        <v>1570</v>
      </c>
      <c r="Y94" s="1689" t="s">
        <v>1571</v>
      </c>
      <c r="Z94" s="1694" t="s">
        <v>1572</v>
      </c>
      <c r="AA94" s="1689" t="s">
        <v>1573</v>
      </c>
      <c r="AB94" s="1694" t="s">
        <v>1574</v>
      </c>
      <c r="AC94" s="1689" t="s">
        <v>1575</v>
      </c>
      <c r="AD94" s="1694" t="s">
        <v>1576</v>
      </c>
      <c r="AE94" s="1689" t="s">
        <v>1577</v>
      </c>
      <c r="AF94" s="1694" t="s">
        <v>1578</v>
      </c>
      <c r="AG94" s="1689" t="s">
        <v>1579</v>
      </c>
      <c r="AH94" s="1694" t="s">
        <v>1580</v>
      </c>
      <c r="AI94" s="1689" t="s">
        <v>1581</v>
      </c>
      <c r="AJ94" s="1694" t="s">
        <v>1582</v>
      </c>
      <c r="AK94" s="1689" t="s">
        <v>1583</v>
      </c>
      <c r="AL94" s="1694" t="s">
        <v>1584</v>
      </c>
      <c r="AM94" s="1689" t="s">
        <v>1585</v>
      </c>
      <c r="AN94" s="1756" t="s">
        <v>1586</v>
      </c>
      <c r="AO94" s="1692" t="s">
        <v>1587</v>
      </c>
      <c r="AP94" s="1693" t="s">
        <v>1588</v>
      </c>
      <c r="AQ94" s="1693" t="s">
        <v>1589</v>
      </c>
      <c r="AR94" s="1693" t="s">
        <v>1590</v>
      </c>
      <c r="AS94" s="1694" t="s">
        <v>1591</v>
      </c>
      <c r="AT94" s="1690" t="s">
        <v>1592</v>
      </c>
      <c r="AU94" s="1690" t="s">
        <v>1593</v>
      </c>
      <c r="AV94" s="1690" t="s">
        <v>1594</v>
      </c>
      <c r="AW94" s="1690" t="s">
        <v>1595</v>
      </c>
      <c r="AX94" s="1690" t="s">
        <v>1596</v>
      </c>
      <c r="AY94" s="1690" t="s">
        <v>1597</v>
      </c>
      <c r="AZ94" s="1514" t="str">
        <f t="shared" si="97"/>
        <v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BD94" s="175"/>
      <c r="CC94" s="348" t="str">
        <f t="shared" si="98"/>
        <v xml:space="preserve">* La celda 'Gestantes' debe ser menor o igual al Total de Mujeres en control. </v>
      </c>
      <c r="CD94" s="348" t="str">
        <f t="shared" si="64"/>
        <v xml:space="preserve">* La celda 'Madres de Hijos menor de 5 años' debe ser menor o igual al Total de Mujeres en control. </v>
      </c>
      <c r="CE94" s="348" t="str">
        <f t="shared" si="105"/>
        <v xml:space="preserve">* La celda 'Pueblos Originarios / Hombres' debe ser menor o igual al Total de Hombres en control. </v>
      </c>
      <c r="CF94" s="348" t="str">
        <f t="shared" si="66"/>
        <v xml:space="preserve">* La celda 'Pueblos Originarios / Mujeres' debe ser menor o igual al Total de Mujeres en control. </v>
      </c>
      <c r="CG94" s="348" t="str">
        <f t="shared" si="106"/>
        <v xml:space="preserve">* La celda 'Población Migrantes / Hombres' debe ser menor o igual al Total de Hombres en control. </v>
      </c>
      <c r="CH94" s="348" t="str">
        <f t="shared" si="68"/>
        <v xml:space="preserve">* La celda 'Población Migrantes / Mujeres' debe ser menor o igual al Total de Mujeres en control. </v>
      </c>
      <c r="CI94" s="348" t="str">
        <f t="shared" si="69"/>
        <v xml:space="preserve">* La celda 'Niños, Niñas, Adolescentes y Jóvenes de Población SENAME' debe ser menor o igual al Total de Ambos Sexos. </v>
      </c>
      <c r="CJ94" s="348" t="str">
        <f t="shared" si="70"/>
        <v xml:space="preserve">* La celda 'Niños, Niñas, Adolescentes y Jóvenes Mejor Niñez' debe ser menor o igual al Total de Ambos Sexos. </v>
      </c>
      <c r="CK94" s="348" t="str">
        <f t="shared" si="71"/>
        <v xml:space="preserve">* La celda 'Plan Cuidado Integral Elaborado' debe ser menor o igual al Total de Personas en control. </v>
      </c>
      <c r="CL94" s="348" t="str">
        <f t="shared" si="107"/>
        <v xml:space="preserve"> * La variable Trans Masculino no debe ser mayor al Total Mujeres.</v>
      </c>
      <c r="CM94" s="348" t="str">
        <f t="shared" si="108"/>
        <v xml:space="preserve"> * La variable Trans Femenino no debe ser mayor al Total Hombre.</v>
      </c>
      <c r="CN94" s="354"/>
      <c r="CO94" s="348" t="str">
        <f t="shared" ref="CO94:CO101" si="122">IF(AND($F94&lt;&gt;0,$AO94=""),"* No olvide escribir en la celda de 'Gestantes' (Digite CERO si no tiene). ","")</f>
        <v/>
      </c>
      <c r="CP94" s="348" t="str">
        <f t="shared" ref="CP94:CP101" si="123">IF(AND($F94&lt;&gt;0,$AP94=""),"* No olvide escribir en la celda de 'Madres de Hijos menor de 5 años' (Digite CERO si no tiene). ","")</f>
        <v/>
      </c>
      <c r="CQ94" s="348" t="str">
        <f t="shared" si="101"/>
        <v/>
      </c>
      <c r="CR94" s="348" t="str">
        <f t="shared" si="102"/>
        <v/>
      </c>
      <c r="CS94" s="348" t="str">
        <f t="shared" si="103"/>
        <v/>
      </c>
      <c r="CT94" s="348" t="str">
        <f t="shared" si="104"/>
        <v/>
      </c>
      <c r="CU94" s="348" t="str">
        <f t="shared" si="74"/>
        <v/>
      </c>
      <c r="CV94" s="348" t="str">
        <f t="shared" si="75"/>
        <v/>
      </c>
      <c r="CW94" s="348" t="str">
        <f t="shared" si="76"/>
        <v/>
      </c>
      <c r="DB94" s="358">
        <f t="shared" ref="DB94:DB101" si="124">IF($AO94&gt;$F94,1,0)</f>
        <v>1</v>
      </c>
      <c r="DC94" s="358">
        <f t="shared" ref="DC94:DC101" si="125">IF($AP94&gt;$F94,1,0)</f>
        <v>1</v>
      </c>
      <c r="DD94" s="358">
        <f t="shared" si="112"/>
        <v>1</v>
      </c>
      <c r="DE94" s="358">
        <f t="shared" si="80"/>
        <v>1</v>
      </c>
      <c r="DF94" s="358">
        <f t="shared" si="113"/>
        <v>1</v>
      </c>
      <c r="DG94" s="358">
        <f t="shared" si="82"/>
        <v>1</v>
      </c>
      <c r="DH94" s="358">
        <f t="shared" si="83"/>
        <v>1</v>
      </c>
      <c r="DI94" s="358">
        <f t="shared" si="84"/>
        <v>1</v>
      </c>
      <c r="DJ94" s="358">
        <f t="shared" si="85"/>
        <v>1</v>
      </c>
      <c r="DL94" s="358">
        <f t="shared" si="86"/>
        <v>1</v>
      </c>
      <c r="DM94" s="358">
        <f t="shared" si="114"/>
        <v>1</v>
      </c>
      <c r="DO94" s="358">
        <f t="shared" ref="DO94:DO96" si="126">IF(AND($F94&lt;&gt;0,$AO94=""),1,0)</f>
        <v>0</v>
      </c>
      <c r="DP94" s="358">
        <f t="shared" ref="DP94:DP95" si="127">IF(AND($F94&lt;&gt;0,$AP94=""),1,0)</f>
        <v>0</v>
      </c>
      <c r="DQ94" s="358">
        <f t="shared" si="121"/>
        <v>0</v>
      </c>
      <c r="DR94" s="358">
        <f t="shared" ref="DR94:DR100" si="128">IF(AND(F94&lt;&gt;0,AR94=""),1,0)</f>
        <v>0</v>
      </c>
      <c r="DS94" s="358">
        <f t="shared" ref="DS94:DS100" si="129">IF(AND(E94&lt;&gt;0,AS94=""),1,0)</f>
        <v>0</v>
      </c>
      <c r="DT94" s="358">
        <f t="shared" ref="DT94:DT100" si="130">IF(AND(F94&lt;&gt;0,AT94=""),1,0)</f>
        <v>0</v>
      </c>
      <c r="DU94" s="358">
        <f t="shared" ref="DU94:DU100" si="131">IF(AND($D94&lt;&gt;0,AU94=""),1,0)</f>
        <v>0</v>
      </c>
      <c r="DV94" s="358">
        <f t="shared" si="95"/>
        <v>0</v>
      </c>
      <c r="DW94" s="358">
        <f t="shared" si="96"/>
        <v>0</v>
      </c>
    </row>
    <row r="95" spans="1:127" ht="18" customHeight="1" x14ac:dyDescent="0.3">
      <c r="A95" s="1637" t="s">
        <v>1344</v>
      </c>
      <c r="B95" s="2079"/>
      <c r="C95" s="369" t="s">
        <v>552</v>
      </c>
      <c r="D95" s="1749" t="s">
        <v>1550</v>
      </c>
      <c r="E95" s="1750" t="s">
        <v>1551</v>
      </c>
      <c r="F95" s="1751" t="s">
        <v>1552</v>
      </c>
      <c r="G95" s="1689" t="s">
        <v>1553</v>
      </c>
      <c r="H95" s="1690" t="s">
        <v>1554</v>
      </c>
      <c r="I95" s="1689" t="s">
        <v>1555</v>
      </c>
      <c r="J95" s="1690" t="s">
        <v>1556</v>
      </c>
      <c r="K95" s="1689" t="s">
        <v>1557</v>
      </c>
      <c r="L95" s="1690" t="s">
        <v>1558</v>
      </c>
      <c r="M95" s="1689" t="s">
        <v>1559</v>
      </c>
      <c r="N95" s="1690" t="s">
        <v>1560</v>
      </c>
      <c r="O95" s="1689" t="s">
        <v>1561</v>
      </c>
      <c r="P95" s="1694" t="s">
        <v>1562</v>
      </c>
      <c r="Q95" s="1689" t="s">
        <v>1563</v>
      </c>
      <c r="R95" s="1694" t="s">
        <v>1564</v>
      </c>
      <c r="S95" s="1689" t="s">
        <v>1565</v>
      </c>
      <c r="T95" s="1694" t="s">
        <v>1566</v>
      </c>
      <c r="U95" s="1689" t="s">
        <v>1567</v>
      </c>
      <c r="V95" s="1694" t="s">
        <v>1568</v>
      </c>
      <c r="W95" s="1689" t="s">
        <v>1569</v>
      </c>
      <c r="X95" s="1694" t="s">
        <v>1570</v>
      </c>
      <c r="Y95" s="1689" t="s">
        <v>1571</v>
      </c>
      <c r="Z95" s="1694" t="s">
        <v>1572</v>
      </c>
      <c r="AA95" s="1689" t="s">
        <v>1573</v>
      </c>
      <c r="AB95" s="1694" t="s">
        <v>1574</v>
      </c>
      <c r="AC95" s="1689" t="s">
        <v>1575</v>
      </c>
      <c r="AD95" s="1694" t="s">
        <v>1576</v>
      </c>
      <c r="AE95" s="1689" t="s">
        <v>1577</v>
      </c>
      <c r="AF95" s="1694" t="s">
        <v>1578</v>
      </c>
      <c r="AG95" s="1689" t="s">
        <v>1579</v>
      </c>
      <c r="AH95" s="1694" t="s">
        <v>1580</v>
      </c>
      <c r="AI95" s="1689" t="s">
        <v>1581</v>
      </c>
      <c r="AJ95" s="1694" t="s">
        <v>1582</v>
      </c>
      <c r="AK95" s="1689" t="s">
        <v>1583</v>
      </c>
      <c r="AL95" s="1694" t="s">
        <v>1584</v>
      </c>
      <c r="AM95" s="1689" t="s">
        <v>1585</v>
      </c>
      <c r="AN95" s="1756" t="s">
        <v>1586</v>
      </c>
      <c r="AO95" s="1692" t="s">
        <v>1587</v>
      </c>
      <c r="AP95" s="1693" t="s">
        <v>1588</v>
      </c>
      <c r="AQ95" s="1693" t="s">
        <v>1589</v>
      </c>
      <c r="AR95" s="1693" t="s">
        <v>1590</v>
      </c>
      <c r="AS95" s="1694" t="s">
        <v>1591</v>
      </c>
      <c r="AT95" s="1690" t="s">
        <v>1592</v>
      </c>
      <c r="AU95" s="1690" t="s">
        <v>1593</v>
      </c>
      <c r="AV95" s="1690" t="s">
        <v>1594</v>
      </c>
      <c r="AW95" s="1690" t="s">
        <v>1595</v>
      </c>
      <c r="AX95" s="1690" t="s">
        <v>1596</v>
      </c>
      <c r="AY95" s="1690" t="s">
        <v>1597</v>
      </c>
      <c r="AZ95" s="1514" t="str">
        <f t="shared" si="97"/>
        <v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BD95" s="175"/>
      <c r="CC95" s="348" t="str">
        <f>IF($AO95&gt;$F95,"* La celda 'Gestantes' debe ser menor o igual al Total de Mujeres en control. ","")</f>
        <v xml:space="preserve">* La celda 'Gestantes' debe ser menor o igual al Total de Mujeres en control. </v>
      </c>
      <c r="CD95" s="348" t="str">
        <f t="shared" si="64"/>
        <v xml:space="preserve">* La celda 'Madres de Hijos menor de 5 años' debe ser menor o igual al Total de Mujeres en control. </v>
      </c>
      <c r="CE95" s="348" t="str">
        <f t="shared" si="105"/>
        <v xml:space="preserve">* La celda 'Pueblos Originarios / Hombres' debe ser menor o igual al Total de Hombres en control. </v>
      </c>
      <c r="CF95" s="348" t="str">
        <f t="shared" si="66"/>
        <v xml:space="preserve">* La celda 'Pueblos Originarios / Mujeres' debe ser menor o igual al Total de Mujeres en control. </v>
      </c>
      <c r="CG95" s="348" t="str">
        <f t="shared" si="106"/>
        <v xml:space="preserve">* La celda 'Población Migrantes / Hombres' debe ser menor o igual al Total de Hombres en control. </v>
      </c>
      <c r="CH95" s="348" t="str">
        <f t="shared" si="68"/>
        <v xml:space="preserve">* La celda 'Población Migrantes / Mujeres' debe ser menor o igual al Total de Mujeres en control. </v>
      </c>
      <c r="CI95" s="348" t="str">
        <f t="shared" si="69"/>
        <v xml:space="preserve">* La celda 'Niños, Niñas, Adolescentes y Jóvenes de Población SENAME' debe ser menor o igual al Total de Ambos Sexos. </v>
      </c>
      <c r="CJ95" s="348" t="str">
        <f t="shared" si="70"/>
        <v xml:space="preserve">* La celda 'Niños, Niñas, Adolescentes y Jóvenes Mejor Niñez' debe ser menor o igual al Total de Ambos Sexos. </v>
      </c>
      <c r="CK95" s="348" t="str">
        <f t="shared" si="71"/>
        <v xml:space="preserve">* La celda 'Plan Cuidado Integral Elaborado' debe ser menor o igual al Total de Personas en control. </v>
      </c>
      <c r="CL95" s="348" t="str">
        <f t="shared" si="107"/>
        <v xml:space="preserve"> * La variable Trans Masculino no debe ser mayor al Total Mujeres.</v>
      </c>
      <c r="CM95" s="348" t="str">
        <f t="shared" si="108"/>
        <v xml:space="preserve"> * La variable Trans Femenino no debe ser mayor al Total Hombre.</v>
      </c>
      <c r="CN95" s="354"/>
      <c r="CO95" s="348" t="str">
        <f t="shared" si="122"/>
        <v/>
      </c>
      <c r="CP95" s="348" t="str">
        <f t="shared" si="123"/>
        <v/>
      </c>
      <c r="CQ95" s="348" t="str">
        <f t="shared" si="101"/>
        <v/>
      </c>
      <c r="CR95" s="348" t="str">
        <f t="shared" si="102"/>
        <v/>
      </c>
      <c r="CS95" s="348" t="str">
        <f t="shared" si="103"/>
        <v/>
      </c>
      <c r="CT95" s="348" t="str">
        <f t="shared" si="104"/>
        <v/>
      </c>
      <c r="CU95" s="348" t="str">
        <f t="shared" si="74"/>
        <v/>
      </c>
      <c r="CV95" s="348" t="str">
        <f t="shared" si="75"/>
        <v/>
      </c>
      <c r="CW95" s="348" t="str">
        <f t="shared" si="76"/>
        <v/>
      </c>
      <c r="DB95" s="358">
        <f t="shared" si="124"/>
        <v>1</v>
      </c>
      <c r="DC95" s="358">
        <f t="shared" si="125"/>
        <v>1</v>
      </c>
      <c r="DD95" s="358">
        <f t="shared" si="112"/>
        <v>1</v>
      </c>
      <c r="DE95" s="358">
        <f t="shared" si="80"/>
        <v>1</v>
      </c>
      <c r="DF95" s="358">
        <f t="shared" si="113"/>
        <v>1</v>
      </c>
      <c r="DG95" s="358">
        <f t="shared" si="82"/>
        <v>1</v>
      </c>
      <c r="DH95" s="358">
        <f t="shared" si="83"/>
        <v>1</v>
      </c>
      <c r="DI95" s="358">
        <f t="shared" si="84"/>
        <v>1</v>
      </c>
      <c r="DJ95" s="358">
        <f t="shared" si="85"/>
        <v>1</v>
      </c>
      <c r="DL95" s="358">
        <f t="shared" si="86"/>
        <v>1</v>
      </c>
      <c r="DM95" s="358">
        <f t="shared" si="114"/>
        <v>1</v>
      </c>
      <c r="DO95" s="358">
        <f t="shared" si="126"/>
        <v>0</v>
      </c>
      <c r="DP95" s="358">
        <f t="shared" si="127"/>
        <v>0</v>
      </c>
      <c r="DQ95" s="358">
        <f>IF(AND($E95&lt;&gt;0,$AQ95=""),1,0)</f>
        <v>0</v>
      </c>
      <c r="DR95" s="358">
        <f>IF(AND(F95&lt;&gt;0,AR95=""),1,0)</f>
        <v>0</v>
      </c>
      <c r="DS95" s="358">
        <f t="shared" si="129"/>
        <v>0</v>
      </c>
      <c r="DT95" s="358">
        <f t="shared" si="130"/>
        <v>0</v>
      </c>
      <c r="DU95" s="358">
        <f t="shared" si="131"/>
        <v>0</v>
      </c>
      <c r="DV95" s="358">
        <f t="shared" si="95"/>
        <v>0</v>
      </c>
      <c r="DW95" s="358">
        <f t="shared" si="96"/>
        <v>0</v>
      </c>
    </row>
    <row r="96" spans="1:127" ht="18" customHeight="1" x14ac:dyDescent="0.3">
      <c r="A96" s="1637" t="s">
        <v>1345</v>
      </c>
      <c r="B96" s="1865"/>
      <c r="C96" s="923" t="s">
        <v>553</v>
      </c>
      <c r="D96" s="1757" t="s">
        <v>1550</v>
      </c>
      <c r="E96" s="1758" t="s">
        <v>1551</v>
      </c>
      <c r="F96" s="1759" t="s">
        <v>1552</v>
      </c>
      <c r="G96" s="1697" t="s">
        <v>1553</v>
      </c>
      <c r="H96" s="1698" t="s">
        <v>1554</v>
      </c>
      <c r="I96" s="1697" t="s">
        <v>1555</v>
      </c>
      <c r="J96" s="1698" t="s">
        <v>1556</v>
      </c>
      <c r="K96" s="1697" t="s">
        <v>1557</v>
      </c>
      <c r="L96" s="1698" t="s">
        <v>1558</v>
      </c>
      <c r="M96" s="1697" t="s">
        <v>1559</v>
      </c>
      <c r="N96" s="1698" t="s">
        <v>1560</v>
      </c>
      <c r="O96" s="1697" t="s">
        <v>1561</v>
      </c>
      <c r="P96" s="1702" t="s">
        <v>1562</v>
      </c>
      <c r="Q96" s="1697" t="s">
        <v>1563</v>
      </c>
      <c r="R96" s="1702" t="s">
        <v>1564</v>
      </c>
      <c r="S96" s="1697" t="s">
        <v>1565</v>
      </c>
      <c r="T96" s="1702" t="s">
        <v>1566</v>
      </c>
      <c r="U96" s="1697" t="s">
        <v>1567</v>
      </c>
      <c r="V96" s="1702" t="s">
        <v>1568</v>
      </c>
      <c r="W96" s="1697" t="s">
        <v>1569</v>
      </c>
      <c r="X96" s="1702" t="s">
        <v>1570</v>
      </c>
      <c r="Y96" s="1697" t="s">
        <v>1571</v>
      </c>
      <c r="Z96" s="1702" t="s">
        <v>1572</v>
      </c>
      <c r="AA96" s="1697" t="s">
        <v>1573</v>
      </c>
      <c r="AB96" s="1702" t="s">
        <v>1574</v>
      </c>
      <c r="AC96" s="1697" t="s">
        <v>1575</v>
      </c>
      <c r="AD96" s="1702" t="s">
        <v>1576</v>
      </c>
      <c r="AE96" s="1697" t="s">
        <v>1577</v>
      </c>
      <c r="AF96" s="1702" t="s">
        <v>1578</v>
      </c>
      <c r="AG96" s="1697" t="s">
        <v>1579</v>
      </c>
      <c r="AH96" s="1702" t="s">
        <v>1580</v>
      </c>
      <c r="AI96" s="1697" t="s">
        <v>1581</v>
      </c>
      <c r="AJ96" s="1702" t="s">
        <v>1582</v>
      </c>
      <c r="AK96" s="1697" t="s">
        <v>1583</v>
      </c>
      <c r="AL96" s="1702" t="s">
        <v>1584</v>
      </c>
      <c r="AM96" s="1697" t="s">
        <v>1585</v>
      </c>
      <c r="AN96" s="1760" t="s">
        <v>1586</v>
      </c>
      <c r="AO96" s="1700" t="s">
        <v>1587</v>
      </c>
      <c r="AP96" s="1701" t="s">
        <v>1588</v>
      </c>
      <c r="AQ96" s="1701" t="s">
        <v>1589</v>
      </c>
      <c r="AR96" s="1701" t="s">
        <v>1590</v>
      </c>
      <c r="AS96" s="1702" t="s">
        <v>1591</v>
      </c>
      <c r="AT96" s="1698" t="s">
        <v>1592</v>
      </c>
      <c r="AU96" s="1698" t="s">
        <v>1593</v>
      </c>
      <c r="AV96" s="1698" t="s">
        <v>1594</v>
      </c>
      <c r="AW96" s="1698" t="s">
        <v>1595</v>
      </c>
      <c r="AX96" s="1698" t="s">
        <v>1596</v>
      </c>
      <c r="AY96" s="1698" t="s">
        <v>1597</v>
      </c>
      <c r="AZ96" s="1514" t="str">
        <f t="shared" si="97"/>
        <v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BD96" s="175"/>
      <c r="CC96" s="348" t="str">
        <f t="shared" si="98"/>
        <v xml:space="preserve">* La celda 'Gestantes' debe ser menor o igual al Total de Mujeres en control. </v>
      </c>
      <c r="CD96" s="348" t="str">
        <f t="shared" si="64"/>
        <v xml:space="preserve">* La celda 'Madres de Hijos menor de 5 años' debe ser menor o igual al Total de Mujeres en control. </v>
      </c>
      <c r="CE96" s="348" t="str">
        <f t="shared" si="105"/>
        <v xml:space="preserve">* La celda 'Pueblos Originarios / Hombres' debe ser menor o igual al Total de Hombres en control. </v>
      </c>
      <c r="CF96" s="348" t="str">
        <f t="shared" si="66"/>
        <v xml:space="preserve">* La celda 'Pueblos Originarios / Mujeres' debe ser menor o igual al Total de Mujeres en control. </v>
      </c>
      <c r="CG96" s="348" t="str">
        <f t="shared" si="106"/>
        <v xml:space="preserve">* La celda 'Población Migrantes / Hombres' debe ser menor o igual al Total de Hombres en control. </v>
      </c>
      <c r="CH96" s="348" t="str">
        <f t="shared" si="68"/>
        <v xml:space="preserve">* La celda 'Población Migrantes / Mujeres' debe ser menor o igual al Total de Mujeres en control. </v>
      </c>
      <c r="CI96" s="348" t="str">
        <f t="shared" si="69"/>
        <v xml:space="preserve">* La celda 'Niños, Niñas, Adolescentes y Jóvenes de Población SENAME' debe ser menor o igual al Total de Ambos Sexos. </v>
      </c>
      <c r="CJ96" s="348" t="str">
        <f t="shared" si="70"/>
        <v xml:space="preserve">* La celda 'Niños, Niñas, Adolescentes y Jóvenes Mejor Niñez' debe ser menor o igual al Total de Ambos Sexos. </v>
      </c>
      <c r="CK96" s="348" t="str">
        <f>IF($AW96&gt;$D96,"* La celda 'Plan Cuidado Integral Elaborado' debe ser menor o igual al Total de Personas en control. ","")</f>
        <v xml:space="preserve">* La celda 'Plan Cuidado Integral Elaborado' debe ser menor o igual al Total de Personas en control. </v>
      </c>
      <c r="CL96" s="348" t="str">
        <f t="shared" si="107"/>
        <v xml:space="preserve"> * La variable Trans Masculino no debe ser mayor al Total Mujeres.</v>
      </c>
      <c r="CM96" s="348" t="str">
        <f t="shared" si="108"/>
        <v xml:space="preserve"> * La variable Trans Femenino no debe ser mayor al Total Hombre.</v>
      </c>
      <c r="CN96" s="354"/>
      <c r="CO96" s="348" t="str">
        <f t="shared" si="122"/>
        <v/>
      </c>
      <c r="CP96" s="348" t="str">
        <f t="shared" si="123"/>
        <v/>
      </c>
      <c r="CQ96" s="348" t="str">
        <f t="shared" si="101"/>
        <v/>
      </c>
      <c r="CR96" s="348" t="str">
        <f t="shared" si="102"/>
        <v/>
      </c>
      <c r="CS96" s="348" t="str">
        <f t="shared" si="103"/>
        <v/>
      </c>
      <c r="CT96" s="348" t="str">
        <f t="shared" si="104"/>
        <v/>
      </c>
      <c r="CU96" s="348" t="str">
        <f t="shared" si="74"/>
        <v/>
      </c>
      <c r="CV96" s="348" t="str">
        <f t="shared" si="75"/>
        <v/>
      </c>
      <c r="CW96" s="348" t="str">
        <f t="shared" si="76"/>
        <v/>
      </c>
      <c r="DB96" s="358">
        <f t="shared" si="124"/>
        <v>1</v>
      </c>
      <c r="DC96" s="358">
        <f t="shared" si="125"/>
        <v>1</v>
      </c>
      <c r="DD96" s="358">
        <f t="shared" si="112"/>
        <v>1</v>
      </c>
      <c r="DE96" s="358">
        <f t="shared" si="80"/>
        <v>1</v>
      </c>
      <c r="DF96" s="358">
        <f t="shared" si="113"/>
        <v>1</v>
      </c>
      <c r="DG96" s="358">
        <f t="shared" si="82"/>
        <v>1</v>
      </c>
      <c r="DH96" s="358">
        <f t="shared" si="83"/>
        <v>1</v>
      </c>
      <c r="DI96" s="358">
        <f t="shared" si="84"/>
        <v>1</v>
      </c>
      <c r="DJ96" s="358">
        <f t="shared" si="85"/>
        <v>1</v>
      </c>
      <c r="DL96" s="358">
        <f t="shared" si="86"/>
        <v>1</v>
      </c>
      <c r="DM96" s="358">
        <f t="shared" si="114"/>
        <v>1</v>
      </c>
      <c r="DO96" s="358">
        <f t="shared" si="126"/>
        <v>0</v>
      </c>
      <c r="DP96" s="358">
        <f>IF(AND($F96&lt;&gt;0,$AP96=""),1,0)</f>
        <v>0</v>
      </c>
      <c r="DQ96" s="358">
        <f t="shared" si="121"/>
        <v>0</v>
      </c>
      <c r="DR96" s="358">
        <f t="shared" si="128"/>
        <v>0</v>
      </c>
      <c r="DS96" s="358">
        <f t="shared" si="129"/>
        <v>0</v>
      </c>
      <c r="DT96" s="358">
        <f t="shared" si="130"/>
        <v>0</v>
      </c>
      <c r="DU96" s="358">
        <f t="shared" si="131"/>
        <v>0</v>
      </c>
      <c r="DV96" s="358">
        <f t="shared" si="95"/>
        <v>0</v>
      </c>
      <c r="DW96" s="358">
        <f t="shared" si="96"/>
        <v>0</v>
      </c>
    </row>
    <row r="97" spans="1:127" ht="17.399999999999999" customHeight="1" x14ac:dyDescent="0.3">
      <c r="A97" s="1637" t="s">
        <v>1346</v>
      </c>
      <c r="B97" s="2199" t="s">
        <v>558</v>
      </c>
      <c r="C97" s="182" t="s">
        <v>112</v>
      </c>
      <c r="D97" s="1703" t="s">
        <v>1550</v>
      </c>
      <c r="E97" s="1704" t="s">
        <v>1551</v>
      </c>
      <c r="F97" s="1723" t="s">
        <v>1552</v>
      </c>
      <c r="G97" s="1687" t="s">
        <v>1553</v>
      </c>
      <c r="H97" s="1688" t="s">
        <v>1554</v>
      </c>
      <c r="I97" s="1687" t="s">
        <v>1555</v>
      </c>
      <c r="J97" s="1688" t="s">
        <v>1556</v>
      </c>
      <c r="K97" s="1687" t="s">
        <v>1557</v>
      </c>
      <c r="L97" s="1688" t="s">
        <v>1558</v>
      </c>
      <c r="M97" s="1687" t="s">
        <v>1559</v>
      </c>
      <c r="N97" s="1688" t="s">
        <v>1560</v>
      </c>
      <c r="O97" s="1687" t="s">
        <v>1561</v>
      </c>
      <c r="P97" s="1688" t="s">
        <v>1562</v>
      </c>
      <c r="Q97" s="1687" t="s">
        <v>1563</v>
      </c>
      <c r="R97" s="1688" t="s">
        <v>1564</v>
      </c>
      <c r="S97" s="1687" t="s">
        <v>1565</v>
      </c>
      <c r="T97" s="1688" t="s">
        <v>1566</v>
      </c>
      <c r="U97" s="1687" t="s">
        <v>1567</v>
      </c>
      <c r="V97" s="1688" t="s">
        <v>1568</v>
      </c>
      <c r="W97" s="1687" t="s">
        <v>1569</v>
      </c>
      <c r="X97" s="1688" t="s">
        <v>1570</v>
      </c>
      <c r="Y97" s="1687" t="s">
        <v>1571</v>
      </c>
      <c r="Z97" s="1688" t="s">
        <v>1572</v>
      </c>
      <c r="AA97" s="1687" t="s">
        <v>1573</v>
      </c>
      <c r="AB97" s="1688" t="s">
        <v>1574</v>
      </c>
      <c r="AC97" s="1687" t="s">
        <v>1575</v>
      </c>
      <c r="AD97" s="1688" t="s">
        <v>1576</v>
      </c>
      <c r="AE97" s="1687" t="s">
        <v>1577</v>
      </c>
      <c r="AF97" s="1688" t="s">
        <v>1578</v>
      </c>
      <c r="AG97" s="1687" t="s">
        <v>1579</v>
      </c>
      <c r="AH97" s="1688" t="s">
        <v>1580</v>
      </c>
      <c r="AI97" s="1687" t="s">
        <v>1581</v>
      </c>
      <c r="AJ97" s="1688" t="s">
        <v>1582</v>
      </c>
      <c r="AK97" s="1687" t="s">
        <v>1583</v>
      </c>
      <c r="AL97" s="1688" t="s">
        <v>1584</v>
      </c>
      <c r="AM97" s="1687" t="s">
        <v>1585</v>
      </c>
      <c r="AN97" s="1688" t="s">
        <v>1586</v>
      </c>
      <c r="AO97" s="1761" t="s">
        <v>1587</v>
      </c>
      <c r="AP97" s="1762" t="s">
        <v>1588</v>
      </c>
      <c r="AQ97" s="1710" t="s">
        <v>1589</v>
      </c>
      <c r="AR97" s="1710" t="s">
        <v>1590</v>
      </c>
      <c r="AS97" s="1711" t="s">
        <v>1591</v>
      </c>
      <c r="AT97" s="1688" t="s">
        <v>1592</v>
      </c>
      <c r="AU97" s="1688" t="s">
        <v>1593</v>
      </c>
      <c r="AV97" s="1688" t="s">
        <v>1594</v>
      </c>
      <c r="AW97" s="1688" t="s">
        <v>1595</v>
      </c>
      <c r="AX97" s="1688" t="s">
        <v>1596</v>
      </c>
      <c r="AY97" s="1688" t="s">
        <v>1597</v>
      </c>
      <c r="AZ97" s="1514" t="str">
        <f t="shared" si="97"/>
        <v>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BD97" s="175"/>
      <c r="CC97" s="354"/>
      <c r="CD97" s="354"/>
      <c r="CE97" s="348" t="str">
        <f t="shared" si="105"/>
        <v xml:space="preserve">* La celda 'Pueblos Originarios / Hombres' debe ser menor o igual al Total de Hombres en control. </v>
      </c>
      <c r="CF97" s="348" t="str">
        <f t="shared" si="66"/>
        <v xml:space="preserve">* La celda 'Pueblos Originarios / Mujeres' debe ser menor o igual al Total de Mujeres en control. </v>
      </c>
      <c r="CG97" s="348" t="str">
        <f t="shared" si="106"/>
        <v xml:space="preserve">* La celda 'Población Migrantes / Hombres' debe ser menor o igual al Total de Hombres en control. </v>
      </c>
      <c r="CH97" s="348" t="str">
        <f t="shared" si="68"/>
        <v xml:space="preserve">* La celda 'Población Migrantes / Mujeres' debe ser menor o igual al Total de Mujeres en control. </v>
      </c>
      <c r="CI97" s="348" t="str">
        <f t="shared" si="69"/>
        <v xml:space="preserve">* La celda 'Niños, Niñas, Adolescentes y Jóvenes de Población SENAME' debe ser menor o igual al Total de Ambos Sexos. </v>
      </c>
      <c r="CJ97" s="348" t="str">
        <f t="shared" si="70"/>
        <v xml:space="preserve">* La celda 'Niños, Niñas, Adolescentes y Jóvenes Mejor Niñez' debe ser menor o igual al Total de Ambos Sexos. </v>
      </c>
      <c r="CK97" s="348" t="str">
        <f t="shared" si="71"/>
        <v xml:space="preserve">* La celda 'Plan Cuidado Integral Elaborado' debe ser menor o igual al Total de Personas en control. </v>
      </c>
      <c r="CL97" s="348" t="str">
        <f t="shared" si="107"/>
        <v xml:space="preserve"> * La variable Trans Masculino no debe ser mayor al Total Mujeres.</v>
      </c>
      <c r="CM97" s="348" t="str">
        <f t="shared" si="108"/>
        <v xml:space="preserve"> * La variable Trans Femenino no debe ser mayor al Total Hombre.</v>
      </c>
      <c r="CN97" s="354"/>
      <c r="CO97" s="354"/>
      <c r="CP97" s="354"/>
      <c r="CQ97" s="348" t="str">
        <f t="shared" si="101"/>
        <v/>
      </c>
      <c r="CR97" s="348" t="str">
        <f t="shared" si="102"/>
        <v/>
      </c>
      <c r="CS97" s="348" t="str">
        <f t="shared" si="103"/>
        <v/>
      </c>
      <c r="CT97" s="348" t="str">
        <f t="shared" si="104"/>
        <v/>
      </c>
      <c r="CU97" s="348" t="str">
        <f t="shared" si="74"/>
        <v/>
      </c>
      <c r="CV97" s="348" t="str">
        <f t="shared" si="75"/>
        <v/>
      </c>
      <c r="CW97" s="348" t="str">
        <f t="shared" si="76"/>
        <v/>
      </c>
      <c r="DB97" s="352"/>
      <c r="DC97" s="352"/>
      <c r="DD97" s="358">
        <f t="shared" si="112"/>
        <v>1</v>
      </c>
      <c r="DE97" s="358">
        <f t="shared" si="80"/>
        <v>1</v>
      </c>
      <c r="DF97" s="358">
        <f t="shared" si="113"/>
        <v>1</v>
      </c>
      <c r="DG97" s="358">
        <f t="shared" si="82"/>
        <v>1</v>
      </c>
      <c r="DH97" s="358">
        <f t="shared" si="83"/>
        <v>1</v>
      </c>
      <c r="DI97" s="358">
        <f t="shared" si="84"/>
        <v>1</v>
      </c>
      <c r="DJ97" s="358">
        <f t="shared" si="85"/>
        <v>1</v>
      </c>
      <c r="DL97" s="358">
        <f t="shared" si="86"/>
        <v>1</v>
      </c>
      <c r="DM97" s="358">
        <f t="shared" si="114"/>
        <v>1</v>
      </c>
      <c r="DO97" s="352"/>
      <c r="DP97" s="352"/>
      <c r="DQ97" s="358">
        <f t="shared" si="121"/>
        <v>0</v>
      </c>
      <c r="DR97" s="358">
        <f t="shared" si="128"/>
        <v>0</v>
      </c>
      <c r="DS97" s="358">
        <f t="shared" si="129"/>
        <v>0</v>
      </c>
      <c r="DT97" s="358">
        <f t="shared" si="130"/>
        <v>0</v>
      </c>
      <c r="DU97" s="358">
        <f t="shared" si="131"/>
        <v>0</v>
      </c>
      <c r="DV97" s="358">
        <f t="shared" si="95"/>
        <v>0</v>
      </c>
      <c r="DW97" s="358">
        <f t="shared" si="96"/>
        <v>0</v>
      </c>
    </row>
    <row r="98" spans="1:127" ht="17.399999999999999" customHeight="1" x14ac:dyDescent="0.3">
      <c r="A98" s="1637" t="s">
        <v>1347</v>
      </c>
      <c r="B98" s="2079"/>
      <c r="C98" s="183" t="s">
        <v>113</v>
      </c>
      <c r="D98" s="1703" t="s">
        <v>1550</v>
      </c>
      <c r="E98" s="1704" t="s">
        <v>1551</v>
      </c>
      <c r="F98" s="1723" t="s">
        <v>1552</v>
      </c>
      <c r="G98" s="1689" t="s">
        <v>1553</v>
      </c>
      <c r="H98" s="1690" t="s">
        <v>1554</v>
      </c>
      <c r="I98" s="1689" t="s">
        <v>1555</v>
      </c>
      <c r="J98" s="1690" t="s">
        <v>1556</v>
      </c>
      <c r="K98" s="1689" t="s">
        <v>1557</v>
      </c>
      <c r="L98" s="1690" t="s">
        <v>1558</v>
      </c>
      <c r="M98" s="1689" t="s">
        <v>1559</v>
      </c>
      <c r="N98" s="1690" t="s">
        <v>1560</v>
      </c>
      <c r="O98" s="1689" t="s">
        <v>1561</v>
      </c>
      <c r="P98" s="1690" t="s">
        <v>1562</v>
      </c>
      <c r="Q98" s="1689" t="s">
        <v>1563</v>
      </c>
      <c r="R98" s="1690" t="s">
        <v>1564</v>
      </c>
      <c r="S98" s="1689" t="s">
        <v>1565</v>
      </c>
      <c r="T98" s="1690" t="s">
        <v>1566</v>
      </c>
      <c r="U98" s="1689" t="s">
        <v>1567</v>
      </c>
      <c r="V98" s="1690" t="s">
        <v>1568</v>
      </c>
      <c r="W98" s="1689" t="s">
        <v>1569</v>
      </c>
      <c r="X98" s="1690" t="s">
        <v>1570</v>
      </c>
      <c r="Y98" s="1689" t="s">
        <v>1571</v>
      </c>
      <c r="Z98" s="1690" t="s">
        <v>1572</v>
      </c>
      <c r="AA98" s="1689" t="s">
        <v>1573</v>
      </c>
      <c r="AB98" s="1690" t="s">
        <v>1574</v>
      </c>
      <c r="AC98" s="1689" t="s">
        <v>1575</v>
      </c>
      <c r="AD98" s="1690" t="s">
        <v>1576</v>
      </c>
      <c r="AE98" s="1689" t="s">
        <v>1577</v>
      </c>
      <c r="AF98" s="1690" t="s">
        <v>1578</v>
      </c>
      <c r="AG98" s="1689" t="s">
        <v>1579</v>
      </c>
      <c r="AH98" s="1690" t="s">
        <v>1580</v>
      </c>
      <c r="AI98" s="1689" t="s">
        <v>1581</v>
      </c>
      <c r="AJ98" s="1690" t="s">
        <v>1582</v>
      </c>
      <c r="AK98" s="1689" t="s">
        <v>1583</v>
      </c>
      <c r="AL98" s="1690" t="s">
        <v>1584</v>
      </c>
      <c r="AM98" s="1689" t="s">
        <v>1585</v>
      </c>
      <c r="AN98" s="1690" t="s">
        <v>1586</v>
      </c>
      <c r="AO98" s="1729" t="s">
        <v>1587</v>
      </c>
      <c r="AP98" s="1730" t="s">
        <v>1588</v>
      </c>
      <c r="AQ98" s="1693" t="s">
        <v>1589</v>
      </c>
      <c r="AR98" s="1693" t="s">
        <v>1590</v>
      </c>
      <c r="AS98" s="1694" t="s">
        <v>1591</v>
      </c>
      <c r="AT98" s="1690" t="s">
        <v>1592</v>
      </c>
      <c r="AU98" s="1690" t="s">
        <v>1593</v>
      </c>
      <c r="AV98" s="1690" t="s">
        <v>1594</v>
      </c>
      <c r="AW98" s="1690" t="s">
        <v>1595</v>
      </c>
      <c r="AX98" s="1690" t="s">
        <v>1596</v>
      </c>
      <c r="AY98" s="1690" t="s">
        <v>1597</v>
      </c>
      <c r="AZ98" s="1514" t="str">
        <f t="shared" si="97"/>
        <v>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BD98" s="175"/>
      <c r="CC98" s="354"/>
      <c r="CD98" s="354"/>
      <c r="CE98" s="348" t="str">
        <f t="shared" si="105"/>
        <v xml:space="preserve">* La celda 'Pueblos Originarios / Hombres' debe ser menor o igual al Total de Hombres en control. </v>
      </c>
      <c r="CF98" s="348" t="str">
        <f t="shared" si="66"/>
        <v xml:space="preserve">* La celda 'Pueblos Originarios / Mujeres' debe ser menor o igual al Total de Mujeres en control. </v>
      </c>
      <c r="CG98" s="348" t="str">
        <f t="shared" si="106"/>
        <v xml:space="preserve">* La celda 'Población Migrantes / Hombres' debe ser menor o igual al Total de Hombres en control. </v>
      </c>
      <c r="CH98" s="348" t="str">
        <f t="shared" si="68"/>
        <v xml:space="preserve">* La celda 'Población Migrantes / Mujeres' debe ser menor o igual al Total de Mujeres en control. </v>
      </c>
      <c r="CI98" s="348" t="str">
        <f t="shared" si="69"/>
        <v xml:space="preserve">* La celda 'Niños, Niñas, Adolescentes y Jóvenes de Población SENAME' debe ser menor o igual al Total de Ambos Sexos. </v>
      </c>
      <c r="CJ98" s="348" t="str">
        <f t="shared" si="70"/>
        <v xml:space="preserve">* La celda 'Niños, Niñas, Adolescentes y Jóvenes Mejor Niñez' debe ser menor o igual al Total de Ambos Sexos. </v>
      </c>
      <c r="CK98" s="348" t="str">
        <f t="shared" si="71"/>
        <v xml:space="preserve">* La celda 'Plan Cuidado Integral Elaborado' debe ser menor o igual al Total de Personas en control. </v>
      </c>
      <c r="CL98" s="348" t="str">
        <f t="shared" si="107"/>
        <v xml:space="preserve"> * La variable Trans Masculino no debe ser mayor al Total Mujeres.</v>
      </c>
      <c r="CM98" s="348" t="str">
        <f t="shared" si="108"/>
        <v xml:space="preserve"> * La variable Trans Femenino no debe ser mayor al Total Hombre.</v>
      </c>
      <c r="CN98" s="354"/>
      <c r="CO98" s="354"/>
      <c r="CP98" s="354"/>
      <c r="CQ98" s="348" t="str">
        <f t="shared" si="101"/>
        <v/>
      </c>
      <c r="CR98" s="348" t="str">
        <f t="shared" si="102"/>
        <v/>
      </c>
      <c r="CS98" s="348" t="str">
        <f t="shared" si="103"/>
        <v/>
      </c>
      <c r="CT98" s="348" t="str">
        <f t="shared" si="104"/>
        <v/>
      </c>
      <c r="CU98" s="348" t="str">
        <f t="shared" si="74"/>
        <v/>
      </c>
      <c r="CV98" s="348" t="str">
        <f t="shared" si="75"/>
        <v/>
      </c>
      <c r="CW98" s="348" t="str">
        <f t="shared" si="76"/>
        <v/>
      </c>
      <c r="DB98" s="352"/>
      <c r="DC98" s="352"/>
      <c r="DD98" s="358">
        <f t="shared" si="112"/>
        <v>1</v>
      </c>
      <c r="DE98" s="358">
        <f t="shared" si="80"/>
        <v>1</v>
      </c>
      <c r="DF98" s="358">
        <f t="shared" si="113"/>
        <v>1</v>
      </c>
      <c r="DG98" s="358">
        <f t="shared" si="82"/>
        <v>1</v>
      </c>
      <c r="DH98" s="358">
        <f t="shared" si="83"/>
        <v>1</v>
      </c>
      <c r="DI98" s="358">
        <f t="shared" si="84"/>
        <v>1</v>
      </c>
      <c r="DJ98" s="358">
        <f t="shared" si="85"/>
        <v>1</v>
      </c>
      <c r="DL98" s="358">
        <f t="shared" si="86"/>
        <v>1</v>
      </c>
      <c r="DM98" s="358">
        <f t="shared" si="114"/>
        <v>1</v>
      </c>
      <c r="DO98" s="352"/>
      <c r="DP98" s="352"/>
      <c r="DQ98" s="358">
        <f t="shared" si="121"/>
        <v>0</v>
      </c>
      <c r="DR98" s="358">
        <f t="shared" si="128"/>
        <v>0</v>
      </c>
      <c r="DS98" s="358">
        <f t="shared" si="129"/>
        <v>0</v>
      </c>
      <c r="DT98" s="358">
        <f t="shared" si="130"/>
        <v>0</v>
      </c>
      <c r="DU98" s="358">
        <f t="shared" si="131"/>
        <v>0</v>
      </c>
      <c r="DV98" s="358">
        <f t="shared" si="95"/>
        <v>0</v>
      </c>
      <c r="DW98" s="358">
        <f t="shared" si="96"/>
        <v>0</v>
      </c>
    </row>
    <row r="99" spans="1:127" ht="17.399999999999999" customHeight="1" x14ac:dyDescent="0.3">
      <c r="A99" s="1637" t="s">
        <v>1348</v>
      </c>
      <c r="B99" s="1865"/>
      <c r="C99" s="184" t="s">
        <v>399</v>
      </c>
      <c r="D99" s="1763" t="s">
        <v>1550</v>
      </c>
      <c r="E99" s="1764" t="s">
        <v>1551</v>
      </c>
      <c r="F99" s="1765" t="s">
        <v>1552</v>
      </c>
      <c r="G99" s="1697" t="s">
        <v>1553</v>
      </c>
      <c r="H99" s="1698" t="s">
        <v>1554</v>
      </c>
      <c r="I99" s="1697" t="s">
        <v>1555</v>
      </c>
      <c r="J99" s="1698" t="s">
        <v>1556</v>
      </c>
      <c r="K99" s="1697" t="s">
        <v>1557</v>
      </c>
      <c r="L99" s="1698" t="s">
        <v>1558</v>
      </c>
      <c r="M99" s="1697" t="s">
        <v>1559</v>
      </c>
      <c r="N99" s="1698" t="s">
        <v>1560</v>
      </c>
      <c r="O99" s="1697" t="s">
        <v>1561</v>
      </c>
      <c r="P99" s="1698" t="s">
        <v>1562</v>
      </c>
      <c r="Q99" s="1697" t="s">
        <v>1563</v>
      </c>
      <c r="R99" s="1698" t="s">
        <v>1564</v>
      </c>
      <c r="S99" s="1697" t="s">
        <v>1565</v>
      </c>
      <c r="T99" s="1698" t="s">
        <v>1566</v>
      </c>
      <c r="U99" s="1697" t="s">
        <v>1567</v>
      </c>
      <c r="V99" s="1698" t="s">
        <v>1568</v>
      </c>
      <c r="W99" s="1697" t="s">
        <v>1569</v>
      </c>
      <c r="X99" s="1698" t="s">
        <v>1570</v>
      </c>
      <c r="Y99" s="1697" t="s">
        <v>1571</v>
      </c>
      <c r="Z99" s="1698" t="s">
        <v>1572</v>
      </c>
      <c r="AA99" s="1697" t="s">
        <v>1573</v>
      </c>
      <c r="AB99" s="1698" t="s">
        <v>1574</v>
      </c>
      <c r="AC99" s="1697" t="s">
        <v>1575</v>
      </c>
      <c r="AD99" s="1698" t="s">
        <v>1576</v>
      </c>
      <c r="AE99" s="1697" t="s">
        <v>1577</v>
      </c>
      <c r="AF99" s="1698" t="s">
        <v>1578</v>
      </c>
      <c r="AG99" s="1697" t="s">
        <v>1579</v>
      </c>
      <c r="AH99" s="1698" t="s">
        <v>1580</v>
      </c>
      <c r="AI99" s="1697" t="s">
        <v>1581</v>
      </c>
      <c r="AJ99" s="1698" t="s">
        <v>1582</v>
      </c>
      <c r="AK99" s="1697" t="s">
        <v>1583</v>
      </c>
      <c r="AL99" s="1698" t="s">
        <v>1584</v>
      </c>
      <c r="AM99" s="1697" t="s">
        <v>1585</v>
      </c>
      <c r="AN99" s="1698" t="s">
        <v>1586</v>
      </c>
      <c r="AO99" s="1766" t="s">
        <v>1587</v>
      </c>
      <c r="AP99" s="1767" t="s">
        <v>1588</v>
      </c>
      <c r="AQ99" s="1701" t="s">
        <v>1589</v>
      </c>
      <c r="AR99" s="1701" t="s">
        <v>1590</v>
      </c>
      <c r="AS99" s="1702" t="s">
        <v>1591</v>
      </c>
      <c r="AT99" s="1698" t="s">
        <v>1592</v>
      </c>
      <c r="AU99" s="1698" t="s">
        <v>1593</v>
      </c>
      <c r="AV99" s="1698" t="s">
        <v>1594</v>
      </c>
      <c r="AW99" s="1698" t="s">
        <v>1595</v>
      </c>
      <c r="AX99" s="1698" t="s">
        <v>1596</v>
      </c>
      <c r="AY99" s="1698" t="s">
        <v>1597</v>
      </c>
      <c r="AZ99" s="1514" t="str">
        <f t="shared" si="97"/>
        <v>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BD99" s="175"/>
      <c r="CC99" s="354"/>
      <c r="CD99" s="354"/>
      <c r="CE99" s="348" t="str">
        <f t="shared" si="105"/>
        <v xml:space="preserve">* La celda 'Pueblos Originarios / Hombres' debe ser menor o igual al Total de Hombres en control. </v>
      </c>
      <c r="CF99" s="348" t="str">
        <f t="shared" si="66"/>
        <v xml:space="preserve">* La celda 'Pueblos Originarios / Mujeres' debe ser menor o igual al Total de Mujeres en control. </v>
      </c>
      <c r="CG99" s="348" t="str">
        <f t="shared" si="106"/>
        <v xml:space="preserve">* La celda 'Población Migrantes / Hombres' debe ser menor o igual al Total de Hombres en control. </v>
      </c>
      <c r="CH99" s="348" t="str">
        <f t="shared" si="68"/>
        <v xml:space="preserve">* La celda 'Población Migrantes / Mujeres' debe ser menor o igual al Total de Mujeres en control. </v>
      </c>
      <c r="CI99" s="348" t="str">
        <f t="shared" si="69"/>
        <v xml:space="preserve">* La celda 'Niños, Niñas, Adolescentes y Jóvenes de Población SENAME' debe ser menor o igual al Total de Ambos Sexos. </v>
      </c>
      <c r="CJ99" s="348" t="str">
        <f t="shared" si="70"/>
        <v xml:space="preserve">* La celda 'Niños, Niñas, Adolescentes y Jóvenes Mejor Niñez' debe ser menor o igual al Total de Ambos Sexos. </v>
      </c>
      <c r="CK99" s="348" t="str">
        <f t="shared" si="71"/>
        <v xml:space="preserve">* La celda 'Plan Cuidado Integral Elaborado' debe ser menor o igual al Total de Personas en control. </v>
      </c>
      <c r="CL99" s="348" t="str">
        <f t="shared" si="107"/>
        <v xml:space="preserve"> * La variable Trans Masculino no debe ser mayor al Total Mujeres.</v>
      </c>
      <c r="CM99" s="348" t="str">
        <f t="shared" si="108"/>
        <v xml:space="preserve"> * La variable Trans Femenino no debe ser mayor al Total Hombre.</v>
      </c>
      <c r="CN99" s="354"/>
      <c r="CO99" s="354"/>
      <c r="CP99" s="354"/>
      <c r="CQ99" s="348" t="str">
        <f t="shared" si="101"/>
        <v/>
      </c>
      <c r="CR99" s="348" t="str">
        <f t="shared" si="102"/>
        <v/>
      </c>
      <c r="CS99" s="348" t="str">
        <f t="shared" si="103"/>
        <v/>
      </c>
      <c r="CT99" s="348" t="str">
        <f t="shared" si="104"/>
        <v/>
      </c>
      <c r="CU99" s="348" t="str">
        <f t="shared" si="74"/>
        <v/>
      </c>
      <c r="CV99" s="348" t="str">
        <f t="shared" si="75"/>
        <v/>
      </c>
      <c r="CW99" s="348" t="str">
        <f t="shared" si="76"/>
        <v/>
      </c>
      <c r="DB99" s="352"/>
      <c r="DC99" s="352"/>
      <c r="DD99" s="358">
        <f t="shared" si="112"/>
        <v>1</v>
      </c>
      <c r="DE99" s="358">
        <f t="shared" si="80"/>
        <v>1</v>
      </c>
      <c r="DF99" s="358">
        <f t="shared" si="113"/>
        <v>1</v>
      </c>
      <c r="DG99" s="358">
        <f t="shared" si="82"/>
        <v>1</v>
      </c>
      <c r="DH99" s="358">
        <f t="shared" si="83"/>
        <v>1</v>
      </c>
      <c r="DI99" s="358">
        <f t="shared" si="84"/>
        <v>1</v>
      </c>
      <c r="DJ99" s="358">
        <f t="shared" si="85"/>
        <v>1</v>
      </c>
      <c r="DL99" s="358">
        <f t="shared" si="86"/>
        <v>1</v>
      </c>
      <c r="DM99" s="358">
        <f t="shared" si="114"/>
        <v>1</v>
      </c>
      <c r="DO99" s="352"/>
      <c r="DP99" s="352"/>
      <c r="DQ99" s="358">
        <f t="shared" si="121"/>
        <v>0</v>
      </c>
      <c r="DR99" s="358">
        <f t="shared" si="128"/>
        <v>0</v>
      </c>
      <c r="DS99" s="358">
        <f t="shared" si="129"/>
        <v>0</v>
      </c>
      <c r="DT99" s="358">
        <f t="shared" si="130"/>
        <v>0</v>
      </c>
      <c r="DU99" s="358">
        <f t="shared" si="131"/>
        <v>0</v>
      </c>
      <c r="DV99" s="358">
        <f t="shared" si="95"/>
        <v>0</v>
      </c>
      <c r="DW99" s="358">
        <f t="shared" si="96"/>
        <v>0</v>
      </c>
    </row>
    <row r="100" spans="1:127" ht="19.95" customHeight="1" x14ac:dyDescent="0.3">
      <c r="A100" s="1637" t="s">
        <v>1349</v>
      </c>
      <c r="B100" s="2366" t="s">
        <v>840</v>
      </c>
      <c r="C100" s="2367"/>
      <c r="D100" s="1738" t="s">
        <v>1550</v>
      </c>
      <c r="E100" s="1738" t="s">
        <v>1551</v>
      </c>
      <c r="F100" s="1738" t="s">
        <v>1552</v>
      </c>
      <c r="G100" s="1687" t="s">
        <v>1553</v>
      </c>
      <c r="H100" s="1688" t="s">
        <v>1554</v>
      </c>
      <c r="I100" s="1687" t="s">
        <v>1555</v>
      </c>
      <c r="J100" s="1688" t="s">
        <v>1556</v>
      </c>
      <c r="K100" s="1687" t="s">
        <v>1557</v>
      </c>
      <c r="L100" s="1688" t="s">
        <v>1558</v>
      </c>
      <c r="M100" s="1687" t="s">
        <v>1559</v>
      </c>
      <c r="N100" s="1688" t="s">
        <v>1560</v>
      </c>
      <c r="O100" s="1687" t="s">
        <v>1561</v>
      </c>
      <c r="P100" s="1688" t="s">
        <v>1562</v>
      </c>
      <c r="Q100" s="1687" t="s">
        <v>1563</v>
      </c>
      <c r="R100" s="1688" t="s">
        <v>1564</v>
      </c>
      <c r="S100" s="1687" t="s">
        <v>1565</v>
      </c>
      <c r="T100" s="1688" t="s">
        <v>1566</v>
      </c>
      <c r="U100" s="1687" t="s">
        <v>1567</v>
      </c>
      <c r="V100" s="1688" t="s">
        <v>1568</v>
      </c>
      <c r="W100" s="1687" t="s">
        <v>1569</v>
      </c>
      <c r="X100" s="1688" t="s">
        <v>1570</v>
      </c>
      <c r="Y100" s="1687" t="s">
        <v>1571</v>
      </c>
      <c r="Z100" s="1688" t="s">
        <v>1572</v>
      </c>
      <c r="AA100" s="1687" t="s">
        <v>1573</v>
      </c>
      <c r="AB100" s="1688" t="s">
        <v>1574</v>
      </c>
      <c r="AC100" s="1687" t="s">
        <v>1575</v>
      </c>
      <c r="AD100" s="1688" t="s">
        <v>1576</v>
      </c>
      <c r="AE100" s="1687" t="s">
        <v>1577</v>
      </c>
      <c r="AF100" s="1688" t="s">
        <v>1578</v>
      </c>
      <c r="AG100" s="1687" t="s">
        <v>1579</v>
      </c>
      <c r="AH100" s="1688" t="s">
        <v>1580</v>
      </c>
      <c r="AI100" s="1687" t="s">
        <v>1581</v>
      </c>
      <c r="AJ100" s="1688" t="s">
        <v>1582</v>
      </c>
      <c r="AK100" s="1687" t="s">
        <v>1583</v>
      </c>
      <c r="AL100" s="1688" t="s">
        <v>1584</v>
      </c>
      <c r="AM100" s="1687" t="s">
        <v>1585</v>
      </c>
      <c r="AN100" s="1688" t="s">
        <v>1586</v>
      </c>
      <c r="AO100" s="1709" t="s">
        <v>1587</v>
      </c>
      <c r="AP100" s="1710" t="s">
        <v>1588</v>
      </c>
      <c r="AQ100" s="1710" t="s">
        <v>1589</v>
      </c>
      <c r="AR100" s="1710" t="s">
        <v>1590</v>
      </c>
      <c r="AS100" s="1711" t="s">
        <v>1591</v>
      </c>
      <c r="AT100" s="1688" t="s">
        <v>1592</v>
      </c>
      <c r="AU100" s="1688" t="s">
        <v>1593</v>
      </c>
      <c r="AV100" s="1688" t="s">
        <v>1594</v>
      </c>
      <c r="AW100" s="1688" t="s">
        <v>1595</v>
      </c>
      <c r="AX100" s="1688" t="s">
        <v>1596</v>
      </c>
      <c r="AY100" s="1688" t="s">
        <v>1597</v>
      </c>
      <c r="AZ100" s="1514" t="str">
        <f t="shared" si="97"/>
        <v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BD100" s="175"/>
      <c r="CC100" s="348" t="str">
        <f t="shared" si="98"/>
        <v xml:space="preserve">* La celda 'Gestantes' debe ser menor o igual al Total de Mujeres en control. </v>
      </c>
      <c r="CD100" s="348" t="str">
        <f t="shared" si="64"/>
        <v xml:space="preserve">* La celda 'Madres de Hijos menor de 5 años' debe ser menor o igual al Total de Mujeres en control. </v>
      </c>
      <c r="CE100" s="348" t="str">
        <f t="shared" si="105"/>
        <v xml:space="preserve">* La celda 'Pueblos Originarios / Hombres' debe ser menor o igual al Total de Hombres en control. </v>
      </c>
      <c r="CF100" s="348" t="str">
        <f t="shared" si="66"/>
        <v xml:space="preserve">* La celda 'Pueblos Originarios / Mujeres' debe ser menor o igual al Total de Mujeres en control. </v>
      </c>
      <c r="CG100" s="348" t="str">
        <f t="shared" si="106"/>
        <v xml:space="preserve">* La celda 'Población Migrantes / Hombres' debe ser menor o igual al Total de Hombres en control. </v>
      </c>
      <c r="CH100" s="348" t="str">
        <f t="shared" si="68"/>
        <v xml:space="preserve">* La celda 'Población Migrantes / Mujeres' debe ser menor o igual al Total de Mujeres en control. </v>
      </c>
      <c r="CI100" s="348" t="str">
        <f t="shared" si="69"/>
        <v xml:space="preserve">* La celda 'Niños, Niñas, Adolescentes y Jóvenes de Población SENAME' debe ser menor o igual al Total de Ambos Sexos. </v>
      </c>
      <c r="CJ100" s="348" t="str">
        <f t="shared" si="70"/>
        <v xml:space="preserve">* La celda 'Niños, Niñas, Adolescentes y Jóvenes Mejor Niñez' debe ser menor o igual al Total de Ambos Sexos. </v>
      </c>
      <c r="CK100" s="348" t="str">
        <f t="shared" si="71"/>
        <v xml:space="preserve">* La celda 'Plan Cuidado Integral Elaborado' debe ser menor o igual al Total de Personas en control. </v>
      </c>
      <c r="CL100" s="348" t="str">
        <f t="shared" si="107"/>
        <v xml:space="preserve"> * La variable Trans Masculino no debe ser mayor al Total Mujeres.</v>
      </c>
      <c r="CM100" s="348" t="str">
        <f t="shared" si="108"/>
        <v xml:space="preserve"> * La variable Trans Femenino no debe ser mayor al Total Hombre.</v>
      </c>
      <c r="CN100" s="354"/>
      <c r="CO100" s="348" t="str">
        <f t="shared" si="122"/>
        <v/>
      </c>
      <c r="CP100" s="348" t="str">
        <f t="shared" si="123"/>
        <v/>
      </c>
      <c r="CQ100" s="348" t="str">
        <f t="shared" si="101"/>
        <v/>
      </c>
      <c r="CR100" s="348" t="str">
        <f t="shared" si="102"/>
        <v/>
      </c>
      <c r="CS100" s="348" t="str">
        <f t="shared" si="103"/>
        <v/>
      </c>
      <c r="CT100" s="348" t="str">
        <f t="shared" si="104"/>
        <v/>
      </c>
      <c r="CU100" s="348" t="str">
        <f t="shared" si="74"/>
        <v/>
      </c>
      <c r="CV100" s="348" t="str">
        <f t="shared" si="75"/>
        <v/>
      </c>
      <c r="CW100" s="348" t="str">
        <f t="shared" si="76"/>
        <v/>
      </c>
      <c r="DB100" s="358">
        <f t="shared" si="124"/>
        <v>1</v>
      </c>
      <c r="DC100" s="358">
        <f t="shared" si="125"/>
        <v>1</v>
      </c>
      <c r="DD100" s="358">
        <f t="shared" si="112"/>
        <v>1</v>
      </c>
      <c r="DE100" s="358">
        <f t="shared" si="80"/>
        <v>1</v>
      </c>
      <c r="DF100" s="358">
        <f t="shared" si="113"/>
        <v>1</v>
      </c>
      <c r="DG100" s="358">
        <f t="shared" si="82"/>
        <v>1</v>
      </c>
      <c r="DH100" s="358">
        <f t="shared" si="83"/>
        <v>1</v>
      </c>
      <c r="DI100" s="358">
        <f t="shared" si="84"/>
        <v>1</v>
      </c>
      <c r="DJ100" s="358">
        <f t="shared" si="85"/>
        <v>1</v>
      </c>
      <c r="DL100" s="358">
        <f t="shared" si="86"/>
        <v>1</v>
      </c>
      <c r="DM100" s="358">
        <f t="shared" si="114"/>
        <v>1</v>
      </c>
      <c r="DO100" s="358">
        <f>IF(AND($F100&lt;&gt;0,$AO100=""),1,0)</f>
        <v>0</v>
      </c>
      <c r="DP100" s="358">
        <f>IF(AND($F100&lt;&gt;0,$AP100=""),1,0)</f>
        <v>0</v>
      </c>
      <c r="DQ100" s="358">
        <f t="shared" si="121"/>
        <v>0</v>
      </c>
      <c r="DR100" s="358">
        <f t="shared" si="128"/>
        <v>0</v>
      </c>
      <c r="DS100" s="358">
        <f t="shared" si="129"/>
        <v>0</v>
      </c>
      <c r="DT100" s="358">
        <f t="shared" si="130"/>
        <v>0</v>
      </c>
      <c r="DU100" s="358">
        <f t="shared" si="131"/>
        <v>0</v>
      </c>
      <c r="DV100" s="358">
        <f t="shared" si="95"/>
        <v>0</v>
      </c>
      <c r="DW100" s="358">
        <f t="shared" si="96"/>
        <v>0</v>
      </c>
    </row>
    <row r="101" spans="1:127" ht="19.95" customHeight="1" x14ac:dyDescent="0.3">
      <c r="A101" s="1637" t="s">
        <v>1350</v>
      </c>
      <c r="B101" s="1303" t="s">
        <v>699</v>
      </c>
      <c r="C101" s="1183"/>
      <c r="D101" s="1704" t="s">
        <v>1550</v>
      </c>
      <c r="E101" s="1704" t="s">
        <v>1551</v>
      </c>
      <c r="F101" s="1723" t="s">
        <v>1552</v>
      </c>
      <c r="G101" s="1687" t="s">
        <v>1553</v>
      </c>
      <c r="H101" s="1688" t="s">
        <v>1554</v>
      </c>
      <c r="I101" s="1687" t="s">
        <v>1555</v>
      </c>
      <c r="J101" s="1688" t="s">
        <v>1556</v>
      </c>
      <c r="K101" s="1687" t="s">
        <v>1557</v>
      </c>
      <c r="L101" s="1688" t="s">
        <v>1558</v>
      </c>
      <c r="M101" s="1687" t="s">
        <v>1559</v>
      </c>
      <c r="N101" s="1688" t="s">
        <v>1560</v>
      </c>
      <c r="O101" s="1687" t="s">
        <v>1561</v>
      </c>
      <c r="P101" s="1688" t="s">
        <v>1562</v>
      </c>
      <c r="Q101" s="1687" t="s">
        <v>1563</v>
      </c>
      <c r="R101" s="1688" t="s">
        <v>1564</v>
      </c>
      <c r="S101" s="1687" t="s">
        <v>1565</v>
      </c>
      <c r="T101" s="1688" t="s">
        <v>1566</v>
      </c>
      <c r="U101" s="1687" t="s">
        <v>1567</v>
      </c>
      <c r="V101" s="1688" t="s">
        <v>1568</v>
      </c>
      <c r="W101" s="1687" t="s">
        <v>1569</v>
      </c>
      <c r="X101" s="1688" t="s">
        <v>1570</v>
      </c>
      <c r="Y101" s="1687" t="s">
        <v>1571</v>
      </c>
      <c r="Z101" s="1688" t="s">
        <v>1572</v>
      </c>
      <c r="AA101" s="1687" t="s">
        <v>1573</v>
      </c>
      <c r="AB101" s="1688" t="s">
        <v>1574</v>
      </c>
      <c r="AC101" s="1687" t="s">
        <v>1575</v>
      </c>
      <c r="AD101" s="1688" t="s">
        <v>1576</v>
      </c>
      <c r="AE101" s="1687" t="s">
        <v>1577</v>
      </c>
      <c r="AF101" s="1688" t="s">
        <v>1578</v>
      </c>
      <c r="AG101" s="1687" t="s">
        <v>1579</v>
      </c>
      <c r="AH101" s="1688" t="s">
        <v>1580</v>
      </c>
      <c r="AI101" s="1687" t="s">
        <v>1581</v>
      </c>
      <c r="AJ101" s="1688" t="s">
        <v>1582</v>
      </c>
      <c r="AK101" s="1687" t="s">
        <v>1583</v>
      </c>
      <c r="AL101" s="1688" t="s">
        <v>1584</v>
      </c>
      <c r="AM101" s="1687" t="s">
        <v>1585</v>
      </c>
      <c r="AN101" s="1688" t="s">
        <v>1586</v>
      </c>
      <c r="AO101" s="1709" t="s">
        <v>1587</v>
      </c>
      <c r="AP101" s="1710" t="s">
        <v>1588</v>
      </c>
      <c r="AQ101" s="1710" t="s">
        <v>1589</v>
      </c>
      <c r="AR101" s="1710" t="s">
        <v>1590</v>
      </c>
      <c r="AS101" s="1711" t="s">
        <v>1591</v>
      </c>
      <c r="AT101" s="1688" t="s">
        <v>1592</v>
      </c>
      <c r="AU101" s="1688" t="s">
        <v>1593</v>
      </c>
      <c r="AV101" s="1688" t="s">
        <v>1594</v>
      </c>
      <c r="AW101" s="1688" t="s">
        <v>1595</v>
      </c>
      <c r="AX101" s="1688" t="s">
        <v>1596</v>
      </c>
      <c r="AY101" s="1688" t="s">
        <v>1597</v>
      </c>
      <c r="AZ101" s="1514" t="str">
        <f t="shared" si="97"/>
        <v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BD101" s="175"/>
      <c r="CC101" s="348" t="str">
        <f t="shared" si="98"/>
        <v xml:space="preserve">* La celda 'Gestantes' debe ser menor o igual al Total de Mujeres en control. </v>
      </c>
      <c r="CD101" s="348" t="str">
        <f t="shared" si="64"/>
        <v xml:space="preserve">* La celda 'Madres de Hijos menor de 5 años' debe ser menor o igual al Total de Mujeres en control. </v>
      </c>
      <c r="CE101" s="348" t="str">
        <f t="shared" si="105"/>
        <v xml:space="preserve">* La celda 'Pueblos Originarios / Hombres' debe ser menor o igual al Total de Hombres en control. </v>
      </c>
      <c r="CF101" s="348" t="str">
        <f t="shared" si="66"/>
        <v xml:space="preserve">* La celda 'Pueblos Originarios / Mujeres' debe ser menor o igual al Total de Mujeres en control. </v>
      </c>
      <c r="CG101" s="348" t="str">
        <f t="shared" si="106"/>
        <v xml:space="preserve">* La celda 'Población Migrantes / Hombres' debe ser menor o igual al Total de Hombres en control. </v>
      </c>
      <c r="CH101" s="348" t="str">
        <f t="shared" si="68"/>
        <v xml:space="preserve">* La celda 'Población Migrantes / Mujeres' debe ser menor o igual al Total de Mujeres en control. </v>
      </c>
      <c r="CI101" s="348" t="str">
        <f t="shared" si="69"/>
        <v xml:space="preserve">* La celda 'Niños, Niñas, Adolescentes y Jóvenes de Población SENAME' debe ser menor o igual al Total de Ambos Sexos. </v>
      </c>
      <c r="CJ101" s="348" t="str">
        <f t="shared" si="70"/>
        <v xml:space="preserve">* La celda 'Niños, Niñas, Adolescentes y Jóvenes Mejor Niñez' debe ser menor o igual al Total de Ambos Sexos. </v>
      </c>
      <c r="CK101" s="348" t="str">
        <f t="shared" si="71"/>
        <v xml:space="preserve">* La celda 'Plan Cuidado Integral Elaborado' debe ser menor o igual al Total de Personas en control. </v>
      </c>
      <c r="CL101" s="348" t="str">
        <f t="shared" si="107"/>
        <v xml:space="preserve"> * La variable Trans Masculino no debe ser mayor al Total Mujeres.</v>
      </c>
      <c r="CM101" s="348" t="str">
        <f t="shared" si="108"/>
        <v xml:space="preserve"> * La variable Trans Femenino no debe ser mayor al Total Hombre.</v>
      </c>
      <c r="CN101" s="354"/>
      <c r="CO101" s="348" t="str">
        <f t="shared" si="122"/>
        <v/>
      </c>
      <c r="CP101" s="348" t="str">
        <f t="shared" si="123"/>
        <v/>
      </c>
      <c r="CQ101" s="348" t="str">
        <f t="shared" si="101"/>
        <v/>
      </c>
      <c r="CR101" s="348" t="str">
        <f t="shared" si="102"/>
        <v/>
      </c>
      <c r="CS101" s="348" t="str">
        <f t="shared" si="103"/>
        <v/>
      </c>
      <c r="CT101" s="348" t="str">
        <f t="shared" si="104"/>
        <v/>
      </c>
      <c r="CU101" s="348" t="str">
        <f t="shared" si="74"/>
        <v/>
      </c>
      <c r="CV101" s="348" t="str">
        <f t="shared" si="75"/>
        <v/>
      </c>
      <c r="CW101" s="348" t="str">
        <f t="shared" si="76"/>
        <v/>
      </c>
      <c r="DB101" s="358">
        <f t="shared" si="124"/>
        <v>1</v>
      </c>
      <c r="DC101" s="358">
        <f t="shared" si="125"/>
        <v>1</v>
      </c>
      <c r="DD101" s="358">
        <f t="shared" si="112"/>
        <v>1</v>
      </c>
      <c r="DE101" s="358">
        <f t="shared" si="80"/>
        <v>1</v>
      </c>
      <c r="DF101" s="358">
        <f t="shared" si="113"/>
        <v>1</v>
      </c>
      <c r="DG101" s="358">
        <f t="shared" si="82"/>
        <v>1</v>
      </c>
      <c r="DH101" s="358">
        <f t="shared" si="83"/>
        <v>1</v>
      </c>
      <c r="DI101" s="358">
        <f t="shared" si="84"/>
        <v>1</v>
      </c>
      <c r="DJ101" s="358">
        <f t="shared" si="85"/>
        <v>1</v>
      </c>
      <c r="DL101" s="358">
        <f t="shared" si="86"/>
        <v>1</v>
      </c>
      <c r="DM101" s="358">
        <f t="shared" si="114"/>
        <v>1</v>
      </c>
      <c r="DO101" s="358">
        <f>IF(AND($F101&lt;&gt;0,$AO101=""),1,0)</f>
        <v>0</v>
      </c>
      <c r="DP101" s="358">
        <f>IF(AND($F101&lt;&gt;0,$AP101=""),1,0)</f>
        <v>0</v>
      </c>
      <c r="DQ101" s="358">
        <f t="shared" si="121"/>
        <v>0</v>
      </c>
      <c r="DR101" s="358">
        <f t="shared" ref="DR101" si="132">IF(AND(F101&lt;&gt;0,AR101=""),1,0)</f>
        <v>0</v>
      </c>
      <c r="DS101" s="358">
        <f t="shared" ref="DS101" si="133">IF(AND(E101&lt;&gt;0,AS101=""),1,0)</f>
        <v>0</v>
      </c>
      <c r="DT101" s="358">
        <f t="shared" ref="DT101" si="134">IF(AND(F101&lt;&gt;0,AT101=""),1,0)</f>
        <v>0</v>
      </c>
      <c r="DU101" s="358">
        <f t="shared" ref="DU101" si="135">IF(AND($D101&lt;&gt;0,AU101=""),1,0)</f>
        <v>0</v>
      </c>
      <c r="DV101" s="358">
        <f t="shared" si="95"/>
        <v>0</v>
      </c>
      <c r="DW101" s="358">
        <f t="shared" si="96"/>
        <v>0</v>
      </c>
    </row>
    <row r="102" spans="1:127" ht="19.95" customHeight="1" x14ac:dyDescent="0.3">
      <c r="A102" s="1637" t="s">
        <v>1351</v>
      </c>
      <c r="B102" s="2358" t="s">
        <v>227</v>
      </c>
      <c r="C102" s="2359"/>
      <c r="D102" s="1738" t="s">
        <v>1550</v>
      </c>
      <c r="E102" s="1738" t="s">
        <v>1551</v>
      </c>
      <c r="F102" s="1725" t="s">
        <v>1552</v>
      </c>
      <c r="G102" s="1689" t="s">
        <v>1553</v>
      </c>
      <c r="H102" s="1690" t="s">
        <v>1554</v>
      </c>
      <c r="I102" s="1689" t="s">
        <v>1555</v>
      </c>
      <c r="J102" s="1690" t="s">
        <v>1556</v>
      </c>
      <c r="K102" s="1689" t="s">
        <v>1557</v>
      </c>
      <c r="L102" s="1690" t="s">
        <v>1558</v>
      </c>
      <c r="M102" s="1689" t="s">
        <v>1559</v>
      </c>
      <c r="N102" s="1690" t="s">
        <v>1560</v>
      </c>
      <c r="O102" s="1689" t="s">
        <v>1561</v>
      </c>
      <c r="P102" s="1690" t="s">
        <v>1562</v>
      </c>
      <c r="Q102" s="1689" t="s">
        <v>1563</v>
      </c>
      <c r="R102" s="1690" t="s">
        <v>1564</v>
      </c>
      <c r="S102" s="1689" t="s">
        <v>1565</v>
      </c>
      <c r="T102" s="1690" t="s">
        <v>1566</v>
      </c>
      <c r="U102" s="1689" t="s">
        <v>1567</v>
      </c>
      <c r="V102" s="1690" t="s">
        <v>1568</v>
      </c>
      <c r="W102" s="1689" t="s">
        <v>1569</v>
      </c>
      <c r="X102" s="1690" t="s">
        <v>1570</v>
      </c>
      <c r="Y102" s="1689" t="s">
        <v>1571</v>
      </c>
      <c r="Z102" s="1690" t="s">
        <v>1572</v>
      </c>
      <c r="AA102" s="1689" t="s">
        <v>1573</v>
      </c>
      <c r="AB102" s="1690" t="s">
        <v>1574</v>
      </c>
      <c r="AC102" s="1689" t="s">
        <v>1575</v>
      </c>
      <c r="AD102" s="1690" t="s">
        <v>1576</v>
      </c>
      <c r="AE102" s="1689" t="s">
        <v>1577</v>
      </c>
      <c r="AF102" s="1690" t="s">
        <v>1578</v>
      </c>
      <c r="AG102" s="1689" t="s">
        <v>1579</v>
      </c>
      <c r="AH102" s="1690" t="s">
        <v>1580</v>
      </c>
      <c r="AI102" s="1689" t="s">
        <v>1581</v>
      </c>
      <c r="AJ102" s="1690" t="s">
        <v>1582</v>
      </c>
      <c r="AK102" s="1689" t="s">
        <v>1583</v>
      </c>
      <c r="AL102" s="1690" t="s">
        <v>1584</v>
      </c>
      <c r="AM102" s="1689" t="s">
        <v>1585</v>
      </c>
      <c r="AN102" s="1690" t="s">
        <v>1586</v>
      </c>
      <c r="AO102" s="1692" t="s">
        <v>1587</v>
      </c>
      <c r="AP102" s="1693" t="s">
        <v>1588</v>
      </c>
      <c r="AQ102" s="1693" t="s">
        <v>1589</v>
      </c>
      <c r="AR102" s="1693" t="s">
        <v>1590</v>
      </c>
      <c r="AS102" s="1694" t="s">
        <v>1591</v>
      </c>
      <c r="AT102" s="1690" t="s">
        <v>1592</v>
      </c>
      <c r="AU102" s="1690" t="s">
        <v>1593</v>
      </c>
      <c r="AV102" s="1690" t="s">
        <v>1594</v>
      </c>
      <c r="AW102" s="1690" t="s">
        <v>1595</v>
      </c>
      <c r="AX102" s="1690" t="s">
        <v>1596</v>
      </c>
      <c r="AY102" s="1690" t="s">
        <v>1597</v>
      </c>
      <c r="AZ102" s="1514" t="str">
        <f t="shared" si="97"/>
        <v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BD102" s="175"/>
      <c r="CC102" s="348" t="str">
        <f t="shared" si="98"/>
        <v xml:space="preserve">* La celda 'Gestantes' debe ser menor o igual al Total de Mujeres en control. </v>
      </c>
      <c r="CD102" s="348" t="str">
        <f t="shared" si="64"/>
        <v xml:space="preserve">* La celda 'Madres de Hijos menor de 5 años' debe ser menor o igual al Total de Mujeres en control. </v>
      </c>
      <c r="CE102" s="348" t="str">
        <f t="shared" si="105"/>
        <v xml:space="preserve">* La celda 'Pueblos Originarios / Hombres' debe ser menor o igual al Total de Hombres en control. </v>
      </c>
      <c r="CF102" s="348" t="str">
        <f t="shared" si="66"/>
        <v xml:space="preserve">* La celda 'Pueblos Originarios / Mujeres' debe ser menor o igual al Total de Mujeres en control. </v>
      </c>
      <c r="CG102" s="348" t="str">
        <f t="shared" si="106"/>
        <v xml:space="preserve">* La celda 'Población Migrantes / Hombres' debe ser menor o igual al Total de Hombres en control. </v>
      </c>
      <c r="CH102" s="348" t="str">
        <f t="shared" si="68"/>
        <v xml:space="preserve">* La celda 'Población Migrantes / Mujeres' debe ser menor o igual al Total de Mujeres en control. </v>
      </c>
      <c r="CI102" s="348" t="str">
        <f t="shared" si="69"/>
        <v xml:space="preserve">* La celda 'Niños, Niñas, Adolescentes y Jóvenes de Población SENAME' debe ser menor o igual al Total de Ambos Sexos. </v>
      </c>
      <c r="CJ102" s="348" t="str">
        <f t="shared" si="70"/>
        <v xml:space="preserve">* La celda 'Niños, Niñas, Adolescentes y Jóvenes Mejor Niñez' debe ser menor o igual al Total de Ambos Sexos. </v>
      </c>
      <c r="CK102" s="348" t="str">
        <f t="shared" si="71"/>
        <v xml:space="preserve">* La celda 'Plan Cuidado Integral Elaborado' debe ser menor o igual al Total de Personas en control. </v>
      </c>
      <c r="CL102" s="348" t="str">
        <f t="shared" si="107"/>
        <v xml:space="preserve"> * La variable Trans Masculino no debe ser mayor al Total Mujeres.</v>
      </c>
      <c r="CM102" s="348" t="str">
        <f t="shared" si="108"/>
        <v xml:space="preserve"> * La variable Trans Femenino no debe ser mayor al Total Hombre.</v>
      </c>
      <c r="CN102" s="354"/>
      <c r="CO102" s="348" t="str">
        <f t="shared" ref="CO102:CO108" si="136">IF(AND($F102&lt;&gt;0,$AO102=""),"* No olvide escribir en la celda de 'Gestantes' (Digite CERO si no tiene). ","")</f>
        <v/>
      </c>
      <c r="CP102" s="348" t="str">
        <f t="shared" ref="CP102:CP108" si="137">IF(AND($F102&lt;&gt;0,$AP102=""),"* No olvide escribir en la celda de 'Madres de Hijos menor de 5 años' (Digite CERO si no tiene). ","")</f>
        <v/>
      </c>
      <c r="CQ102" s="348" t="str">
        <f t="shared" si="101"/>
        <v/>
      </c>
      <c r="CR102" s="348" t="str">
        <f t="shared" si="102"/>
        <v/>
      </c>
      <c r="CS102" s="348" t="str">
        <f t="shared" si="103"/>
        <v/>
      </c>
      <c r="CT102" s="348" t="str">
        <f t="shared" si="104"/>
        <v/>
      </c>
      <c r="CU102" s="348" t="str">
        <f t="shared" si="74"/>
        <v/>
      </c>
      <c r="CV102" s="348" t="str">
        <f t="shared" si="75"/>
        <v/>
      </c>
      <c r="CW102" s="348" t="str">
        <f t="shared" si="76"/>
        <v/>
      </c>
      <c r="DB102" s="358">
        <f t="shared" ref="DB102:DB108" si="138">IF($AO102&gt;$F102,1,0)</f>
        <v>1</v>
      </c>
      <c r="DC102" s="358">
        <f t="shared" ref="DC102:DC108" si="139">IF($AP102&gt;$F102,1,0)</f>
        <v>1</v>
      </c>
      <c r="DD102" s="358">
        <f t="shared" si="112"/>
        <v>1</v>
      </c>
      <c r="DE102" s="358">
        <f t="shared" si="80"/>
        <v>1</v>
      </c>
      <c r="DF102" s="358">
        <f t="shared" si="113"/>
        <v>1</v>
      </c>
      <c r="DG102" s="358">
        <f t="shared" si="82"/>
        <v>1</v>
      </c>
      <c r="DH102" s="358">
        <f t="shared" si="83"/>
        <v>1</v>
      </c>
      <c r="DI102" s="358">
        <f t="shared" si="84"/>
        <v>1</v>
      </c>
      <c r="DJ102" s="358">
        <f t="shared" si="85"/>
        <v>1</v>
      </c>
      <c r="DL102" s="358">
        <f t="shared" si="86"/>
        <v>1</v>
      </c>
      <c r="DM102" s="358">
        <f t="shared" si="114"/>
        <v>1</v>
      </c>
      <c r="DO102" s="358">
        <f t="shared" ref="DO102:DO108" si="140">IF(AND($F102&lt;&gt;0,$AO102=""),1,0)</f>
        <v>0</v>
      </c>
      <c r="DP102" s="358">
        <f t="shared" ref="DP102:DP108" si="141">IF(AND($F102&lt;&gt;0,$AP102=""),1,0)</f>
        <v>0</v>
      </c>
      <c r="DQ102" s="358">
        <f t="shared" si="121"/>
        <v>0</v>
      </c>
      <c r="DR102" s="358">
        <f t="shared" ref="DR102:DR104" si="142">IF(AND(F102&lt;&gt;0,AR102=""),1,0)</f>
        <v>0</v>
      </c>
      <c r="DS102" s="358">
        <f>IF(AND(E102&lt;&gt;0,AS102=""),1,0)</f>
        <v>0</v>
      </c>
      <c r="DT102" s="358">
        <f t="shared" ref="DT102:DT104" si="143">IF(AND(F102&lt;&gt;0,AT102=""),1,0)</f>
        <v>0</v>
      </c>
      <c r="DU102" s="358">
        <f t="shared" ref="DU102:DU104" si="144">IF(AND($D102&lt;&gt;0,AU102=""),1,0)</f>
        <v>0</v>
      </c>
      <c r="DV102" s="358">
        <f t="shared" si="95"/>
        <v>0</v>
      </c>
      <c r="DW102" s="358">
        <f t="shared" si="96"/>
        <v>0</v>
      </c>
    </row>
    <row r="103" spans="1:127" ht="19.95" customHeight="1" x14ac:dyDescent="0.3">
      <c r="A103" s="1637" t="s">
        <v>1352</v>
      </c>
      <c r="B103" s="2358" t="s">
        <v>228</v>
      </c>
      <c r="C103" s="2359"/>
      <c r="D103" s="1738" t="s">
        <v>1550</v>
      </c>
      <c r="E103" s="1738" t="s">
        <v>1551</v>
      </c>
      <c r="F103" s="1725" t="s">
        <v>1552</v>
      </c>
      <c r="G103" s="1689" t="s">
        <v>1553</v>
      </c>
      <c r="H103" s="1690" t="s">
        <v>1554</v>
      </c>
      <c r="I103" s="1689" t="s">
        <v>1555</v>
      </c>
      <c r="J103" s="1690" t="s">
        <v>1556</v>
      </c>
      <c r="K103" s="1689" t="s">
        <v>1557</v>
      </c>
      <c r="L103" s="1690" t="s">
        <v>1558</v>
      </c>
      <c r="M103" s="1689" t="s">
        <v>1559</v>
      </c>
      <c r="N103" s="1690" t="s">
        <v>1560</v>
      </c>
      <c r="O103" s="1689" t="s">
        <v>1561</v>
      </c>
      <c r="P103" s="1690" t="s">
        <v>1562</v>
      </c>
      <c r="Q103" s="1689" t="s">
        <v>1563</v>
      </c>
      <c r="R103" s="1690" t="s">
        <v>1564</v>
      </c>
      <c r="S103" s="1689" t="s">
        <v>1565</v>
      </c>
      <c r="T103" s="1690" t="s">
        <v>1566</v>
      </c>
      <c r="U103" s="1689" t="s">
        <v>1567</v>
      </c>
      <c r="V103" s="1690" t="s">
        <v>1568</v>
      </c>
      <c r="W103" s="1689" t="s">
        <v>1569</v>
      </c>
      <c r="X103" s="1690" t="s">
        <v>1570</v>
      </c>
      <c r="Y103" s="1689" t="s">
        <v>1571</v>
      </c>
      <c r="Z103" s="1690" t="s">
        <v>1572</v>
      </c>
      <c r="AA103" s="1689" t="s">
        <v>1573</v>
      </c>
      <c r="AB103" s="1690" t="s">
        <v>1574</v>
      </c>
      <c r="AC103" s="1689" t="s">
        <v>1575</v>
      </c>
      <c r="AD103" s="1690" t="s">
        <v>1576</v>
      </c>
      <c r="AE103" s="1689" t="s">
        <v>1577</v>
      </c>
      <c r="AF103" s="1690" t="s">
        <v>1578</v>
      </c>
      <c r="AG103" s="1689" t="s">
        <v>1579</v>
      </c>
      <c r="AH103" s="1690" t="s">
        <v>1580</v>
      </c>
      <c r="AI103" s="1689" t="s">
        <v>1581</v>
      </c>
      <c r="AJ103" s="1690" t="s">
        <v>1582</v>
      </c>
      <c r="AK103" s="1689" t="s">
        <v>1583</v>
      </c>
      <c r="AL103" s="1690" t="s">
        <v>1584</v>
      </c>
      <c r="AM103" s="1689" t="s">
        <v>1585</v>
      </c>
      <c r="AN103" s="1690" t="s">
        <v>1586</v>
      </c>
      <c r="AO103" s="1692" t="s">
        <v>1587</v>
      </c>
      <c r="AP103" s="1693" t="s">
        <v>1588</v>
      </c>
      <c r="AQ103" s="1693" t="s">
        <v>1589</v>
      </c>
      <c r="AR103" s="1693" t="s">
        <v>1590</v>
      </c>
      <c r="AS103" s="1694" t="s">
        <v>1591</v>
      </c>
      <c r="AT103" s="1690" t="s">
        <v>1592</v>
      </c>
      <c r="AU103" s="1690" t="s">
        <v>1593</v>
      </c>
      <c r="AV103" s="1690" t="s">
        <v>1594</v>
      </c>
      <c r="AW103" s="1690" t="s">
        <v>1595</v>
      </c>
      <c r="AX103" s="1690" t="s">
        <v>1596</v>
      </c>
      <c r="AY103" s="1690" t="s">
        <v>1597</v>
      </c>
      <c r="AZ103" s="1514" t="str">
        <f t="shared" si="97"/>
        <v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BD103" s="175"/>
      <c r="CC103" s="348" t="str">
        <f t="shared" si="98"/>
        <v xml:space="preserve">* La celda 'Gestantes' debe ser menor o igual al Total de Mujeres en control. </v>
      </c>
      <c r="CD103" s="348" t="str">
        <f t="shared" si="64"/>
        <v xml:space="preserve">* La celda 'Madres de Hijos menor de 5 años' debe ser menor o igual al Total de Mujeres en control. </v>
      </c>
      <c r="CE103" s="348" t="str">
        <f t="shared" si="105"/>
        <v xml:space="preserve">* La celda 'Pueblos Originarios / Hombres' debe ser menor o igual al Total de Hombres en control. </v>
      </c>
      <c r="CF103" s="348" t="str">
        <f t="shared" si="66"/>
        <v xml:space="preserve">* La celda 'Pueblos Originarios / Mujeres' debe ser menor o igual al Total de Mujeres en control. </v>
      </c>
      <c r="CG103" s="348" t="str">
        <f t="shared" si="106"/>
        <v xml:space="preserve">* La celda 'Población Migrantes / Hombres' debe ser menor o igual al Total de Hombres en control. </v>
      </c>
      <c r="CH103" s="348" t="str">
        <f t="shared" si="68"/>
        <v xml:space="preserve">* La celda 'Población Migrantes / Mujeres' debe ser menor o igual al Total de Mujeres en control. </v>
      </c>
      <c r="CI103" s="348" t="str">
        <f t="shared" si="69"/>
        <v xml:space="preserve">* La celda 'Niños, Niñas, Adolescentes y Jóvenes de Población SENAME' debe ser menor o igual al Total de Ambos Sexos. </v>
      </c>
      <c r="CJ103" s="348" t="str">
        <f t="shared" si="70"/>
        <v xml:space="preserve">* La celda 'Niños, Niñas, Adolescentes y Jóvenes Mejor Niñez' debe ser menor o igual al Total de Ambos Sexos. </v>
      </c>
      <c r="CK103" s="348" t="str">
        <f t="shared" si="71"/>
        <v xml:space="preserve">* La celda 'Plan Cuidado Integral Elaborado' debe ser menor o igual al Total de Personas en control. </v>
      </c>
      <c r="CL103" s="348" t="str">
        <f t="shared" si="107"/>
        <v xml:space="preserve"> * La variable Trans Masculino no debe ser mayor al Total Mujeres.</v>
      </c>
      <c r="CM103" s="348" t="str">
        <f t="shared" si="108"/>
        <v xml:space="preserve"> * La variable Trans Femenino no debe ser mayor al Total Hombre.</v>
      </c>
      <c r="CN103" s="354"/>
      <c r="CO103" s="348" t="str">
        <f t="shared" si="136"/>
        <v/>
      </c>
      <c r="CP103" s="348" t="str">
        <f t="shared" si="137"/>
        <v/>
      </c>
      <c r="CQ103" s="348" t="str">
        <f t="shared" si="101"/>
        <v/>
      </c>
      <c r="CR103" s="348" t="str">
        <f t="shared" si="102"/>
        <v/>
      </c>
      <c r="CS103" s="348" t="str">
        <f t="shared" si="103"/>
        <v/>
      </c>
      <c r="CT103" s="348" t="str">
        <f t="shared" si="104"/>
        <v/>
      </c>
      <c r="CU103" s="348" t="str">
        <f t="shared" si="74"/>
        <v/>
      </c>
      <c r="CV103" s="348" t="str">
        <f t="shared" si="75"/>
        <v/>
      </c>
      <c r="CW103" s="348" t="str">
        <f t="shared" si="76"/>
        <v/>
      </c>
      <c r="DB103" s="358">
        <f t="shared" si="138"/>
        <v>1</v>
      </c>
      <c r="DC103" s="358">
        <f t="shared" si="139"/>
        <v>1</v>
      </c>
      <c r="DD103" s="358">
        <f t="shared" si="112"/>
        <v>1</v>
      </c>
      <c r="DE103" s="358">
        <f t="shared" si="80"/>
        <v>1</v>
      </c>
      <c r="DF103" s="358">
        <f t="shared" si="113"/>
        <v>1</v>
      </c>
      <c r="DG103" s="358">
        <f t="shared" si="82"/>
        <v>1</v>
      </c>
      <c r="DH103" s="358">
        <f t="shared" si="83"/>
        <v>1</v>
      </c>
      <c r="DI103" s="358">
        <f t="shared" si="84"/>
        <v>1</v>
      </c>
      <c r="DJ103" s="358">
        <f t="shared" si="85"/>
        <v>1</v>
      </c>
      <c r="DL103" s="358">
        <f t="shared" si="86"/>
        <v>1</v>
      </c>
      <c r="DM103" s="358">
        <f t="shared" si="114"/>
        <v>1</v>
      </c>
      <c r="DO103" s="358">
        <f t="shared" si="140"/>
        <v>0</v>
      </c>
      <c r="DP103" s="358">
        <f t="shared" si="141"/>
        <v>0</v>
      </c>
      <c r="DQ103" s="358">
        <f t="shared" si="121"/>
        <v>0</v>
      </c>
      <c r="DR103" s="358">
        <f t="shared" si="142"/>
        <v>0</v>
      </c>
      <c r="DS103" s="358">
        <f>IF(AND(E103&lt;&gt;0,AS103=""),1,0)</f>
        <v>0</v>
      </c>
      <c r="DT103" s="358">
        <f t="shared" si="143"/>
        <v>0</v>
      </c>
      <c r="DU103" s="358">
        <f t="shared" si="144"/>
        <v>0</v>
      </c>
      <c r="DV103" s="358">
        <f t="shared" si="95"/>
        <v>0</v>
      </c>
      <c r="DW103" s="358">
        <f t="shared" si="96"/>
        <v>0</v>
      </c>
    </row>
    <row r="104" spans="1:127" ht="19.95" customHeight="1" x14ac:dyDescent="0.3">
      <c r="A104" s="1637" t="s">
        <v>1353</v>
      </c>
      <c r="B104" s="2360" t="s">
        <v>229</v>
      </c>
      <c r="C104" s="2361"/>
      <c r="D104" s="1684" t="s">
        <v>1550</v>
      </c>
      <c r="E104" s="1685" t="s">
        <v>1551</v>
      </c>
      <c r="F104" s="1686" t="s">
        <v>1552</v>
      </c>
      <c r="G104" s="1697" t="s">
        <v>1553</v>
      </c>
      <c r="H104" s="1698" t="s">
        <v>1554</v>
      </c>
      <c r="I104" s="1697" t="s">
        <v>1555</v>
      </c>
      <c r="J104" s="1698" t="s">
        <v>1556</v>
      </c>
      <c r="K104" s="1697" t="s">
        <v>1557</v>
      </c>
      <c r="L104" s="1698" t="s">
        <v>1558</v>
      </c>
      <c r="M104" s="1697" t="s">
        <v>1559</v>
      </c>
      <c r="N104" s="1698" t="s">
        <v>1560</v>
      </c>
      <c r="O104" s="1697" t="s">
        <v>1561</v>
      </c>
      <c r="P104" s="1698" t="s">
        <v>1562</v>
      </c>
      <c r="Q104" s="1697" t="s">
        <v>1563</v>
      </c>
      <c r="R104" s="1698" t="s">
        <v>1564</v>
      </c>
      <c r="S104" s="1697" t="s">
        <v>1565</v>
      </c>
      <c r="T104" s="1698" t="s">
        <v>1566</v>
      </c>
      <c r="U104" s="1697" t="s">
        <v>1567</v>
      </c>
      <c r="V104" s="1698" t="s">
        <v>1568</v>
      </c>
      <c r="W104" s="1697" t="s">
        <v>1569</v>
      </c>
      <c r="X104" s="1698" t="s">
        <v>1570</v>
      </c>
      <c r="Y104" s="1697" t="s">
        <v>1571</v>
      </c>
      <c r="Z104" s="1698" t="s">
        <v>1572</v>
      </c>
      <c r="AA104" s="1697" t="s">
        <v>1573</v>
      </c>
      <c r="AB104" s="1698" t="s">
        <v>1574</v>
      </c>
      <c r="AC104" s="1697" t="s">
        <v>1575</v>
      </c>
      <c r="AD104" s="1698" t="s">
        <v>1576</v>
      </c>
      <c r="AE104" s="1697" t="s">
        <v>1577</v>
      </c>
      <c r="AF104" s="1698" t="s">
        <v>1578</v>
      </c>
      <c r="AG104" s="1697" t="s">
        <v>1579</v>
      </c>
      <c r="AH104" s="1698" t="s">
        <v>1580</v>
      </c>
      <c r="AI104" s="1697" t="s">
        <v>1581</v>
      </c>
      <c r="AJ104" s="1698" t="s">
        <v>1582</v>
      </c>
      <c r="AK104" s="1697" t="s">
        <v>1583</v>
      </c>
      <c r="AL104" s="1698" t="s">
        <v>1584</v>
      </c>
      <c r="AM104" s="1697" t="s">
        <v>1585</v>
      </c>
      <c r="AN104" s="1698" t="s">
        <v>1586</v>
      </c>
      <c r="AO104" s="1700" t="s">
        <v>1587</v>
      </c>
      <c r="AP104" s="1701" t="s">
        <v>1588</v>
      </c>
      <c r="AQ104" s="1701" t="s">
        <v>1589</v>
      </c>
      <c r="AR104" s="1701" t="s">
        <v>1590</v>
      </c>
      <c r="AS104" s="1702" t="s">
        <v>1591</v>
      </c>
      <c r="AT104" s="1698" t="s">
        <v>1592</v>
      </c>
      <c r="AU104" s="1698" t="s">
        <v>1593</v>
      </c>
      <c r="AV104" s="1698" t="s">
        <v>1594</v>
      </c>
      <c r="AW104" s="1698" t="s">
        <v>1595</v>
      </c>
      <c r="AX104" s="1698" t="s">
        <v>1596</v>
      </c>
      <c r="AY104" s="1698" t="s">
        <v>1597</v>
      </c>
      <c r="AZ104" s="1514" t="str">
        <f t="shared" si="97"/>
        <v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BD104" s="175"/>
      <c r="CC104" s="348" t="str">
        <f t="shared" si="98"/>
        <v xml:space="preserve">* La celda 'Gestantes' debe ser menor o igual al Total de Mujeres en control. </v>
      </c>
      <c r="CD104" s="348" t="str">
        <f t="shared" si="64"/>
        <v xml:space="preserve">* La celda 'Madres de Hijos menor de 5 años' debe ser menor o igual al Total de Mujeres en control. </v>
      </c>
      <c r="CE104" s="348" t="str">
        <f t="shared" si="105"/>
        <v xml:space="preserve">* La celda 'Pueblos Originarios / Hombres' debe ser menor o igual al Total de Hombres en control. </v>
      </c>
      <c r="CF104" s="348" t="str">
        <f t="shared" si="66"/>
        <v xml:space="preserve">* La celda 'Pueblos Originarios / Mujeres' debe ser menor o igual al Total de Mujeres en control. </v>
      </c>
      <c r="CG104" s="348" t="str">
        <f t="shared" si="106"/>
        <v xml:space="preserve">* La celda 'Población Migrantes / Hombres' debe ser menor o igual al Total de Hombres en control. </v>
      </c>
      <c r="CH104" s="348" t="str">
        <f t="shared" si="68"/>
        <v xml:space="preserve">* La celda 'Población Migrantes / Mujeres' debe ser menor o igual al Total de Mujeres en control. </v>
      </c>
      <c r="CI104" s="348" t="str">
        <f t="shared" si="69"/>
        <v xml:space="preserve">* La celda 'Niños, Niñas, Adolescentes y Jóvenes de Población SENAME' debe ser menor o igual al Total de Ambos Sexos. </v>
      </c>
      <c r="CJ104" s="348" t="str">
        <f t="shared" si="70"/>
        <v xml:space="preserve">* La celda 'Niños, Niñas, Adolescentes y Jóvenes Mejor Niñez' debe ser menor o igual al Total de Ambos Sexos. </v>
      </c>
      <c r="CK104" s="348" t="str">
        <f t="shared" si="71"/>
        <v xml:space="preserve">* La celda 'Plan Cuidado Integral Elaborado' debe ser menor o igual al Total de Personas en control. </v>
      </c>
      <c r="CL104" s="348" t="str">
        <f t="shared" si="107"/>
        <v xml:space="preserve"> * La variable Trans Masculino no debe ser mayor al Total Mujeres.</v>
      </c>
      <c r="CM104" s="348" t="str">
        <f t="shared" si="108"/>
        <v xml:space="preserve"> * La variable Trans Femenino no debe ser mayor al Total Hombre.</v>
      </c>
      <c r="CN104" s="354"/>
      <c r="CO104" s="348" t="str">
        <f t="shared" si="136"/>
        <v/>
      </c>
      <c r="CP104" s="348" t="str">
        <f t="shared" si="137"/>
        <v/>
      </c>
      <c r="CQ104" s="348" t="str">
        <f t="shared" si="101"/>
        <v/>
      </c>
      <c r="CR104" s="348" t="str">
        <f t="shared" si="102"/>
        <v/>
      </c>
      <c r="CS104" s="348" t="str">
        <f t="shared" si="103"/>
        <v/>
      </c>
      <c r="CT104" s="348" t="str">
        <f t="shared" si="104"/>
        <v/>
      </c>
      <c r="CU104" s="348" t="str">
        <f t="shared" si="74"/>
        <v/>
      </c>
      <c r="CV104" s="348" t="str">
        <f t="shared" si="75"/>
        <v/>
      </c>
      <c r="CW104" s="348" t="str">
        <f t="shared" si="76"/>
        <v/>
      </c>
      <c r="DB104" s="358">
        <f t="shared" si="138"/>
        <v>1</v>
      </c>
      <c r="DC104" s="358">
        <f t="shared" si="139"/>
        <v>1</v>
      </c>
      <c r="DD104" s="358">
        <f t="shared" si="112"/>
        <v>1</v>
      </c>
      <c r="DE104" s="358">
        <f t="shared" si="80"/>
        <v>1</v>
      </c>
      <c r="DF104" s="358">
        <f t="shared" si="113"/>
        <v>1</v>
      </c>
      <c r="DG104" s="358">
        <f t="shared" si="82"/>
        <v>1</v>
      </c>
      <c r="DH104" s="358">
        <f t="shared" si="83"/>
        <v>1</v>
      </c>
      <c r="DI104" s="358">
        <f t="shared" si="84"/>
        <v>1</v>
      </c>
      <c r="DJ104" s="358">
        <f t="shared" si="85"/>
        <v>1</v>
      </c>
      <c r="DL104" s="358">
        <f t="shared" si="86"/>
        <v>1</v>
      </c>
      <c r="DM104" s="358">
        <f t="shared" si="114"/>
        <v>1</v>
      </c>
      <c r="DO104" s="358">
        <f t="shared" si="140"/>
        <v>0</v>
      </c>
      <c r="DP104" s="358">
        <f t="shared" si="141"/>
        <v>0</v>
      </c>
      <c r="DQ104" s="358">
        <f t="shared" si="121"/>
        <v>0</v>
      </c>
      <c r="DR104" s="358">
        <f t="shared" si="142"/>
        <v>0</v>
      </c>
      <c r="DS104" s="358">
        <f>IF(AND(E104&lt;&gt;0,AS104=""),1,0)</f>
        <v>0</v>
      </c>
      <c r="DT104" s="358">
        <f t="shared" si="143"/>
        <v>0</v>
      </c>
      <c r="DU104" s="358">
        <f t="shared" si="144"/>
        <v>0</v>
      </c>
      <c r="DV104" s="358">
        <f t="shared" si="95"/>
        <v>0</v>
      </c>
      <c r="DW104" s="358">
        <f t="shared" si="96"/>
        <v>0</v>
      </c>
    </row>
    <row r="105" spans="1:127" ht="15" customHeight="1" x14ac:dyDescent="0.3">
      <c r="A105" s="1637" t="s">
        <v>1354</v>
      </c>
      <c r="B105" s="2365" t="s">
        <v>230</v>
      </c>
      <c r="C105" s="1143" t="s">
        <v>603</v>
      </c>
      <c r="D105" s="1713" t="s">
        <v>1550</v>
      </c>
      <c r="E105" s="1713" t="s">
        <v>1551</v>
      </c>
      <c r="F105" s="1714" t="s">
        <v>1552</v>
      </c>
      <c r="G105" s="1687" t="s">
        <v>1553</v>
      </c>
      <c r="H105" s="1688" t="s">
        <v>1554</v>
      </c>
      <c r="I105" s="1687" t="s">
        <v>1555</v>
      </c>
      <c r="J105" s="1688" t="s">
        <v>1556</v>
      </c>
      <c r="K105" s="1687" t="s">
        <v>1557</v>
      </c>
      <c r="L105" s="1688" t="s">
        <v>1558</v>
      </c>
      <c r="M105" s="1687" t="s">
        <v>1559</v>
      </c>
      <c r="N105" s="1688" t="s">
        <v>1560</v>
      </c>
      <c r="O105" s="1687" t="s">
        <v>1561</v>
      </c>
      <c r="P105" s="1688" t="s">
        <v>1562</v>
      </c>
      <c r="Q105" s="1687" t="s">
        <v>1563</v>
      </c>
      <c r="R105" s="1688" t="s">
        <v>1564</v>
      </c>
      <c r="S105" s="1687" t="s">
        <v>1565</v>
      </c>
      <c r="T105" s="1688" t="s">
        <v>1566</v>
      </c>
      <c r="U105" s="1687" t="s">
        <v>1567</v>
      </c>
      <c r="V105" s="1688" t="s">
        <v>1568</v>
      </c>
      <c r="W105" s="1687" t="s">
        <v>1569</v>
      </c>
      <c r="X105" s="1688" t="s">
        <v>1570</v>
      </c>
      <c r="Y105" s="1687" t="s">
        <v>1571</v>
      </c>
      <c r="Z105" s="1688" t="s">
        <v>1572</v>
      </c>
      <c r="AA105" s="1687" t="s">
        <v>1573</v>
      </c>
      <c r="AB105" s="1688" t="s">
        <v>1574</v>
      </c>
      <c r="AC105" s="1687" t="s">
        <v>1575</v>
      </c>
      <c r="AD105" s="1688" t="s">
        <v>1576</v>
      </c>
      <c r="AE105" s="1687" t="s">
        <v>1577</v>
      </c>
      <c r="AF105" s="1688" t="s">
        <v>1578</v>
      </c>
      <c r="AG105" s="1687" t="s">
        <v>1579</v>
      </c>
      <c r="AH105" s="1688" t="s">
        <v>1580</v>
      </c>
      <c r="AI105" s="1687" t="s">
        <v>1581</v>
      </c>
      <c r="AJ105" s="1688" t="s">
        <v>1582</v>
      </c>
      <c r="AK105" s="1687" t="s">
        <v>1583</v>
      </c>
      <c r="AL105" s="1688" t="s">
        <v>1584</v>
      </c>
      <c r="AM105" s="1687" t="s">
        <v>1585</v>
      </c>
      <c r="AN105" s="1688" t="s">
        <v>1586</v>
      </c>
      <c r="AO105" s="1709" t="s">
        <v>1587</v>
      </c>
      <c r="AP105" s="1710" t="s">
        <v>1588</v>
      </c>
      <c r="AQ105" s="1710" t="s">
        <v>1589</v>
      </c>
      <c r="AR105" s="1710" t="s">
        <v>1590</v>
      </c>
      <c r="AS105" s="1711" t="s">
        <v>1591</v>
      </c>
      <c r="AT105" s="1688" t="s">
        <v>1592</v>
      </c>
      <c r="AU105" s="1688" t="s">
        <v>1593</v>
      </c>
      <c r="AV105" s="1688" t="s">
        <v>1594</v>
      </c>
      <c r="AW105" s="1688" t="s">
        <v>1595</v>
      </c>
      <c r="AX105" s="1688" t="s">
        <v>1596</v>
      </c>
      <c r="AY105" s="1688" t="s">
        <v>1597</v>
      </c>
      <c r="AZ105" s="1514" t="str">
        <f t="shared" si="97"/>
        <v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BD105" s="175"/>
      <c r="CC105" s="348" t="str">
        <f t="shared" si="98"/>
        <v xml:space="preserve">* La celda 'Gestantes' debe ser menor o igual al Total de Mujeres en control. </v>
      </c>
      <c r="CD105" s="348" t="str">
        <f t="shared" si="64"/>
        <v xml:space="preserve">* La celda 'Madres de Hijos menor de 5 años' debe ser menor o igual al Total de Mujeres en control. </v>
      </c>
      <c r="CE105" s="348" t="str">
        <f t="shared" si="105"/>
        <v xml:space="preserve">* La celda 'Pueblos Originarios / Hombres' debe ser menor o igual al Total de Hombres en control. </v>
      </c>
      <c r="CF105" s="348" t="str">
        <f t="shared" si="66"/>
        <v xml:space="preserve">* La celda 'Pueblos Originarios / Mujeres' debe ser menor o igual al Total de Mujeres en control. </v>
      </c>
      <c r="CG105" s="348" t="str">
        <f t="shared" si="106"/>
        <v xml:space="preserve">* La celda 'Población Migrantes / Hombres' debe ser menor o igual al Total de Hombres en control. </v>
      </c>
      <c r="CH105" s="348" t="str">
        <f t="shared" si="68"/>
        <v xml:space="preserve">* La celda 'Población Migrantes / Mujeres' debe ser menor o igual al Total de Mujeres en control. </v>
      </c>
      <c r="CI105" s="348" t="str">
        <f t="shared" si="69"/>
        <v xml:space="preserve">* La celda 'Niños, Niñas, Adolescentes y Jóvenes de Población SENAME' debe ser menor o igual al Total de Ambos Sexos. </v>
      </c>
      <c r="CJ105" s="348" t="str">
        <f t="shared" si="70"/>
        <v xml:space="preserve">* La celda 'Niños, Niñas, Adolescentes y Jóvenes Mejor Niñez' debe ser menor o igual al Total de Ambos Sexos. </v>
      </c>
      <c r="CK105" s="348" t="str">
        <f t="shared" si="71"/>
        <v xml:space="preserve">* La celda 'Plan Cuidado Integral Elaborado' debe ser menor o igual al Total de Personas en control. </v>
      </c>
      <c r="CL105" s="348" t="str">
        <f t="shared" si="107"/>
        <v xml:space="preserve"> * La variable Trans Masculino no debe ser mayor al Total Mujeres.</v>
      </c>
      <c r="CM105" s="348" t="str">
        <f t="shared" si="108"/>
        <v xml:space="preserve"> * La variable Trans Femenino no debe ser mayor al Total Hombre.</v>
      </c>
      <c r="CN105" s="354"/>
      <c r="CO105" s="348" t="str">
        <f t="shared" si="136"/>
        <v/>
      </c>
      <c r="CP105" s="348" t="str">
        <f t="shared" si="137"/>
        <v/>
      </c>
      <c r="CQ105" s="348" t="str">
        <f t="shared" si="101"/>
        <v/>
      </c>
      <c r="CR105" s="348" t="str">
        <f t="shared" si="102"/>
        <v/>
      </c>
      <c r="CS105" s="348" t="str">
        <f t="shared" si="103"/>
        <v/>
      </c>
      <c r="CT105" s="348" t="str">
        <f t="shared" si="104"/>
        <v/>
      </c>
      <c r="CU105" s="348" t="str">
        <f t="shared" si="74"/>
        <v/>
      </c>
      <c r="CV105" s="348" t="str">
        <f t="shared" si="75"/>
        <v/>
      </c>
      <c r="CW105" s="348" t="str">
        <f t="shared" si="76"/>
        <v/>
      </c>
      <c r="DB105" s="358">
        <f t="shared" si="138"/>
        <v>1</v>
      </c>
      <c r="DC105" s="358">
        <f t="shared" si="139"/>
        <v>1</v>
      </c>
      <c r="DD105" s="358">
        <f t="shared" si="112"/>
        <v>1</v>
      </c>
      <c r="DE105" s="358">
        <f t="shared" si="80"/>
        <v>1</v>
      </c>
      <c r="DF105" s="358">
        <f t="shared" si="113"/>
        <v>1</v>
      </c>
      <c r="DG105" s="358">
        <f t="shared" si="82"/>
        <v>1</v>
      </c>
      <c r="DH105" s="358">
        <f t="shared" si="83"/>
        <v>1</v>
      </c>
      <c r="DI105" s="358">
        <f t="shared" si="84"/>
        <v>1</v>
      </c>
      <c r="DJ105" s="358">
        <f t="shared" si="85"/>
        <v>1</v>
      </c>
      <c r="DL105" s="358">
        <f t="shared" si="86"/>
        <v>1</v>
      </c>
      <c r="DM105" s="358">
        <f t="shared" si="114"/>
        <v>1</v>
      </c>
      <c r="DO105" s="358">
        <f t="shared" si="140"/>
        <v>0</v>
      </c>
      <c r="DP105" s="358">
        <f t="shared" si="141"/>
        <v>0</v>
      </c>
      <c r="DQ105" s="358">
        <f t="shared" si="121"/>
        <v>0</v>
      </c>
      <c r="DR105" s="358">
        <f t="shared" ref="DR105:DR108" si="145">IF(AND(F105&lt;&gt;0,AR105=""),1,0)</f>
        <v>0</v>
      </c>
      <c r="DS105" s="358">
        <f t="shared" ref="DS105:DS108" si="146">IF(AND(E105&lt;&gt;0,AS105=""),1,0)</f>
        <v>0</v>
      </c>
      <c r="DT105" s="358">
        <f t="shared" ref="DT105:DT108" si="147">IF(AND(F105&lt;&gt;0,AT105=""),1,0)</f>
        <v>0</v>
      </c>
      <c r="DU105" s="358">
        <f t="shared" ref="DU105:DU108" si="148">IF(AND($D105&lt;&gt;0,AU105=""),1,0)</f>
        <v>0</v>
      </c>
      <c r="DV105" s="358">
        <f t="shared" si="95"/>
        <v>0</v>
      </c>
      <c r="DW105" s="358">
        <f t="shared" si="96"/>
        <v>0</v>
      </c>
    </row>
    <row r="106" spans="1:127" ht="15" customHeight="1" x14ac:dyDescent="0.3">
      <c r="A106" s="1637" t="s">
        <v>1355</v>
      </c>
      <c r="B106" s="2176"/>
      <c r="C106" s="1144" t="s">
        <v>604</v>
      </c>
      <c r="D106" s="1740" t="s">
        <v>1550</v>
      </c>
      <c r="E106" s="1740" t="s">
        <v>1551</v>
      </c>
      <c r="F106" s="1741" t="s">
        <v>1552</v>
      </c>
      <c r="G106" s="1689" t="s">
        <v>1553</v>
      </c>
      <c r="H106" s="1690" t="s">
        <v>1554</v>
      </c>
      <c r="I106" s="1689" t="s">
        <v>1555</v>
      </c>
      <c r="J106" s="1690" t="s">
        <v>1556</v>
      </c>
      <c r="K106" s="1689" t="s">
        <v>1557</v>
      </c>
      <c r="L106" s="1690" t="s">
        <v>1558</v>
      </c>
      <c r="M106" s="1689" t="s">
        <v>1559</v>
      </c>
      <c r="N106" s="1690" t="s">
        <v>1560</v>
      </c>
      <c r="O106" s="1689" t="s">
        <v>1561</v>
      </c>
      <c r="P106" s="1690" t="s">
        <v>1562</v>
      </c>
      <c r="Q106" s="1689" t="s">
        <v>1563</v>
      </c>
      <c r="R106" s="1690" t="s">
        <v>1564</v>
      </c>
      <c r="S106" s="1689" t="s">
        <v>1565</v>
      </c>
      <c r="T106" s="1690" t="s">
        <v>1566</v>
      </c>
      <c r="U106" s="1689" t="s">
        <v>1567</v>
      </c>
      <c r="V106" s="1690" t="s">
        <v>1568</v>
      </c>
      <c r="W106" s="1689" t="s">
        <v>1569</v>
      </c>
      <c r="X106" s="1690" t="s">
        <v>1570</v>
      </c>
      <c r="Y106" s="1689" t="s">
        <v>1571</v>
      </c>
      <c r="Z106" s="1690" t="s">
        <v>1572</v>
      </c>
      <c r="AA106" s="1689" t="s">
        <v>1573</v>
      </c>
      <c r="AB106" s="1690" t="s">
        <v>1574</v>
      </c>
      <c r="AC106" s="1689" t="s">
        <v>1575</v>
      </c>
      <c r="AD106" s="1690" t="s">
        <v>1576</v>
      </c>
      <c r="AE106" s="1689" t="s">
        <v>1577</v>
      </c>
      <c r="AF106" s="1690" t="s">
        <v>1578</v>
      </c>
      <c r="AG106" s="1689" t="s">
        <v>1579</v>
      </c>
      <c r="AH106" s="1690" t="s">
        <v>1580</v>
      </c>
      <c r="AI106" s="1689" t="s">
        <v>1581</v>
      </c>
      <c r="AJ106" s="1690" t="s">
        <v>1582</v>
      </c>
      <c r="AK106" s="1689" t="s">
        <v>1583</v>
      </c>
      <c r="AL106" s="1690" t="s">
        <v>1584</v>
      </c>
      <c r="AM106" s="1689" t="s">
        <v>1585</v>
      </c>
      <c r="AN106" s="1690" t="s">
        <v>1586</v>
      </c>
      <c r="AO106" s="1692" t="s">
        <v>1587</v>
      </c>
      <c r="AP106" s="1693" t="s">
        <v>1588</v>
      </c>
      <c r="AQ106" s="1693" t="s">
        <v>1589</v>
      </c>
      <c r="AR106" s="1693" t="s">
        <v>1590</v>
      </c>
      <c r="AS106" s="1694" t="s">
        <v>1591</v>
      </c>
      <c r="AT106" s="1690" t="s">
        <v>1592</v>
      </c>
      <c r="AU106" s="1690" t="s">
        <v>1593</v>
      </c>
      <c r="AV106" s="1690" t="s">
        <v>1594</v>
      </c>
      <c r="AW106" s="1690" t="s">
        <v>1595</v>
      </c>
      <c r="AX106" s="1690" t="s">
        <v>1596</v>
      </c>
      <c r="AY106" s="1690" t="s">
        <v>1597</v>
      </c>
      <c r="AZ106" s="1514" t="str">
        <f t="shared" si="97"/>
        <v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BD106" s="175"/>
      <c r="CC106" s="348" t="str">
        <f t="shared" si="98"/>
        <v xml:space="preserve">* La celda 'Gestantes' debe ser menor o igual al Total de Mujeres en control. </v>
      </c>
      <c r="CD106" s="348" t="str">
        <f t="shared" si="64"/>
        <v xml:space="preserve">* La celda 'Madres de Hijos menor de 5 años' debe ser menor o igual al Total de Mujeres en control. </v>
      </c>
      <c r="CE106" s="348" t="str">
        <f t="shared" si="105"/>
        <v xml:space="preserve">* La celda 'Pueblos Originarios / Hombres' debe ser menor o igual al Total de Hombres en control. </v>
      </c>
      <c r="CF106" s="348" t="str">
        <f t="shared" si="66"/>
        <v xml:space="preserve">* La celda 'Pueblos Originarios / Mujeres' debe ser menor o igual al Total de Mujeres en control. </v>
      </c>
      <c r="CG106" s="348" t="str">
        <f t="shared" si="106"/>
        <v xml:space="preserve">* La celda 'Población Migrantes / Hombres' debe ser menor o igual al Total de Hombres en control. </v>
      </c>
      <c r="CH106" s="348" t="str">
        <f t="shared" si="68"/>
        <v xml:space="preserve">* La celda 'Población Migrantes / Mujeres' debe ser menor o igual al Total de Mujeres en control. </v>
      </c>
      <c r="CI106" s="348" t="str">
        <f t="shared" si="69"/>
        <v xml:space="preserve">* La celda 'Niños, Niñas, Adolescentes y Jóvenes de Población SENAME' debe ser menor o igual al Total de Ambos Sexos. </v>
      </c>
      <c r="CJ106" s="348" t="str">
        <f t="shared" si="70"/>
        <v xml:space="preserve">* La celda 'Niños, Niñas, Adolescentes y Jóvenes Mejor Niñez' debe ser menor o igual al Total de Ambos Sexos. </v>
      </c>
      <c r="CK106" s="348" t="str">
        <f t="shared" si="71"/>
        <v xml:space="preserve">* La celda 'Plan Cuidado Integral Elaborado' debe ser menor o igual al Total de Personas en control. </v>
      </c>
      <c r="CL106" s="348" t="str">
        <f>IF(AND(F106&gt;0,OR(AX106=""))," * No olvide digitar la variable Trans Masculino. (Digite Cero si no tiene).",IF(AX106&gt;F106," * La variable Trans Masculino no debe ser mayor al Total Mujeres.",""))</f>
        <v xml:space="preserve"> * La variable Trans Masculino no debe ser mayor al Total Mujeres.</v>
      </c>
      <c r="CM106" s="348" t="str">
        <f t="shared" si="108"/>
        <v xml:space="preserve"> * La variable Trans Femenino no debe ser mayor al Total Hombre.</v>
      </c>
      <c r="CN106" s="354"/>
      <c r="CO106" s="348" t="str">
        <f t="shared" si="136"/>
        <v/>
      </c>
      <c r="CP106" s="348" t="str">
        <f t="shared" si="137"/>
        <v/>
      </c>
      <c r="CQ106" s="348" t="str">
        <f t="shared" si="101"/>
        <v/>
      </c>
      <c r="CR106" s="348" t="str">
        <f t="shared" si="102"/>
        <v/>
      </c>
      <c r="CS106" s="348" t="str">
        <f t="shared" si="103"/>
        <v/>
      </c>
      <c r="CT106" s="348" t="str">
        <f t="shared" si="104"/>
        <v/>
      </c>
      <c r="CU106" s="348" t="str">
        <f t="shared" si="74"/>
        <v/>
      </c>
      <c r="CV106" s="348" t="str">
        <f t="shared" si="75"/>
        <v/>
      </c>
      <c r="CW106" s="348" t="str">
        <f t="shared" si="76"/>
        <v/>
      </c>
      <c r="DB106" s="358">
        <f t="shared" si="138"/>
        <v>1</v>
      </c>
      <c r="DC106" s="358">
        <f t="shared" si="139"/>
        <v>1</v>
      </c>
      <c r="DD106" s="358">
        <f t="shared" si="112"/>
        <v>1</v>
      </c>
      <c r="DE106" s="358">
        <f t="shared" si="80"/>
        <v>1</v>
      </c>
      <c r="DF106" s="358">
        <f t="shared" si="113"/>
        <v>1</v>
      </c>
      <c r="DG106" s="358">
        <f t="shared" si="82"/>
        <v>1</v>
      </c>
      <c r="DH106" s="358">
        <f t="shared" si="83"/>
        <v>1</v>
      </c>
      <c r="DI106" s="358">
        <f t="shared" si="84"/>
        <v>1</v>
      </c>
      <c r="DJ106" s="358">
        <f t="shared" si="85"/>
        <v>1</v>
      </c>
      <c r="DL106" s="358">
        <f t="shared" si="86"/>
        <v>1</v>
      </c>
      <c r="DM106" s="358">
        <f t="shared" si="114"/>
        <v>1</v>
      </c>
      <c r="DO106" s="358">
        <f t="shared" si="140"/>
        <v>0</v>
      </c>
      <c r="DP106" s="358">
        <f t="shared" si="141"/>
        <v>0</v>
      </c>
      <c r="DQ106" s="358">
        <f t="shared" si="121"/>
        <v>0</v>
      </c>
      <c r="DR106" s="358">
        <f t="shared" si="145"/>
        <v>0</v>
      </c>
      <c r="DS106" s="358">
        <f t="shared" si="146"/>
        <v>0</v>
      </c>
      <c r="DT106" s="358">
        <f t="shared" si="147"/>
        <v>0</v>
      </c>
      <c r="DU106" s="358">
        <f t="shared" si="148"/>
        <v>0</v>
      </c>
      <c r="DV106" s="358">
        <f t="shared" si="95"/>
        <v>0</v>
      </c>
      <c r="DW106" s="358">
        <f t="shared" si="96"/>
        <v>0</v>
      </c>
    </row>
    <row r="107" spans="1:127" ht="15" customHeight="1" x14ac:dyDescent="0.3">
      <c r="A107" s="1637" t="s">
        <v>1356</v>
      </c>
      <c r="B107" s="2176"/>
      <c r="C107" s="1144" t="s">
        <v>605</v>
      </c>
      <c r="D107" s="1740" t="s">
        <v>1550</v>
      </c>
      <c r="E107" s="1740" t="s">
        <v>1551</v>
      </c>
      <c r="F107" s="1741" t="s">
        <v>1552</v>
      </c>
      <c r="G107" s="1689" t="s">
        <v>1553</v>
      </c>
      <c r="H107" s="1690" t="s">
        <v>1554</v>
      </c>
      <c r="I107" s="1689" t="s">
        <v>1555</v>
      </c>
      <c r="J107" s="1690" t="s">
        <v>1556</v>
      </c>
      <c r="K107" s="1689" t="s">
        <v>1557</v>
      </c>
      <c r="L107" s="1690" t="s">
        <v>1558</v>
      </c>
      <c r="M107" s="1689" t="s">
        <v>1559</v>
      </c>
      <c r="N107" s="1690" t="s">
        <v>1560</v>
      </c>
      <c r="O107" s="1689" t="s">
        <v>1561</v>
      </c>
      <c r="P107" s="1690" t="s">
        <v>1562</v>
      </c>
      <c r="Q107" s="1689" t="s">
        <v>1563</v>
      </c>
      <c r="R107" s="1690" t="s">
        <v>1564</v>
      </c>
      <c r="S107" s="1689" t="s">
        <v>1565</v>
      </c>
      <c r="T107" s="1690" t="s">
        <v>1566</v>
      </c>
      <c r="U107" s="1689" t="s">
        <v>1567</v>
      </c>
      <c r="V107" s="1690" t="s">
        <v>1568</v>
      </c>
      <c r="W107" s="1689" t="s">
        <v>1569</v>
      </c>
      <c r="X107" s="1690" t="s">
        <v>1570</v>
      </c>
      <c r="Y107" s="1689" t="s">
        <v>1571</v>
      </c>
      <c r="Z107" s="1690" t="s">
        <v>1572</v>
      </c>
      <c r="AA107" s="1689" t="s">
        <v>1573</v>
      </c>
      <c r="AB107" s="1690" t="s">
        <v>1574</v>
      </c>
      <c r="AC107" s="1689" t="s">
        <v>1575</v>
      </c>
      <c r="AD107" s="1690" t="s">
        <v>1576</v>
      </c>
      <c r="AE107" s="1689" t="s">
        <v>1577</v>
      </c>
      <c r="AF107" s="1690" t="s">
        <v>1578</v>
      </c>
      <c r="AG107" s="1689" t="s">
        <v>1579</v>
      </c>
      <c r="AH107" s="1690" t="s">
        <v>1580</v>
      </c>
      <c r="AI107" s="1689" t="s">
        <v>1581</v>
      </c>
      <c r="AJ107" s="1690" t="s">
        <v>1582</v>
      </c>
      <c r="AK107" s="1689" t="s">
        <v>1583</v>
      </c>
      <c r="AL107" s="1690" t="s">
        <v>1584</v>
      </c>
      <c r="AM107" s="1689" t="s">
        <v>1585</v>
      </c>
      <c r="AN107" s="1690" t="s">
        <v>1586</v>
      </c>
      <c r="AO107" s="1692" t="s">
        <v>1587</v>
      </c>
      <c r="AP107" s="1693" t="s">
        <v>1588</v>
      </c>
      <c r="AQ107" s="1693" t="s">
        <v>1589</v>
      </c>
      <c r="AR107" s="1693" t="s">
        <v>1590</v>
      </c>
      <c r="AS107" s="1694" t="s">
        <v>1591</v>
      </c>
      <c r="AT107" s="1690" t="s">
        <v>1592</v>
      </c>
      <c r="AU107" s="1690" t="s">
        <v>1593</v>
      </c>
      <c r="AV107" s="1690" t="s">
        <v>1594</v>
      </c>
      <c r="AW107" s="1690" t="s">
        <v>1595</v>
      </c>
      <c r="AX107" s="1690" t="s">
        <v>1596</v>
      </c>
      <c r="AY107" s="1690" t="s">
        <v>1597</v>
      </c>
      <c r="AZ107" s="1514" t="str">
        <f>$CC107&amp;CD107&amp;CE107&amp;CF107&amp;CG107&amp;CH107&amp;CI107&amp;CJ107&amp;CK107&amp;CL107&amp;CM107&amp;CO107&amp;CP107&amp;CQ107&amp;CR107&amp;CS107&amp;CT107&amp;CU107&amp;CV107&amp;CW107</f>
        <v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BD107" s="175"/>
      <c r="CC107" s="348" t="str">
        <f t="shared" si="98"/>
        <v xml:space="preserve">* La celda 'Gestantes' debe ser menor o igual al Total de Mujeres en control. </v>
      </c>
      <c r="CD107" s="348" t="str">
        <f t="shared" si="64"/>
        <v xml:space="preserve">* La celda 'Madres de Hijos menor de 5 años' debe ser menor o igual al Total de Mujeres en control. </v>
      </c>
      <c r="CE107" s="348" t="str">
        <f t="shared" si="105"/>
        <v xml:space="preserve">* La celda 'Pueblos Originarios / Hombres' debe ser menor o igual al Total de Hombres en control. </v>
      </c>
      <c r="CF107" s="348" t="str">
        <f t="shared" si="66"/>
        <v xml:space="preserve">* La celda 'Pueblos Originarios / Mujeres' debe ser menor o igual al Total de Mujeres en control. </v>
      </c>
      <c r="CG107" s="348" t="str">
        <f t="shared" si="106"/>
        <v xml:space="preserve">* La celda 'Población Migrantes / Hombres' debe ser menor o igual al Total de Hombres en control. </v>
      </c>
      <c r="CH107" s="348" t="str">
        <f>IF($AT107&gt;$F107,"* La celda 'Población Migrantes / Mujeres' debe ser menor o igual al Total de Mujeres en control. ","")</f>
        <v xml:space="preserve">* La celda 'Población Migrantes / Mujeres' debe ser menor o igual al Total de Mujeres en control. </v>
      </c>
      <c r="CI107" s="348" t="str">
        <f t="shared" si="69"/>
        <v xml:space="preserve">* La celda 'Niños, Niñas, Adolescentes y Jóvenes de Población SENAME' debe ser menor o igual al Total de Ambos Sexos. </v>
      </c>
      <c r="CJ107" s="348" t="str">
        <f t="shared" si="70"/>
        <v xml:space="preserve">* La celda 'Niños, Niñas, Adolescentes y Jóvenes Mejor Niñez' debe ser menor o igual al Total de Ambos Sexos. </v>
      </c>
      <c r="CK107" s="348" t="str">
        <f t="shared" si="71"/>
        <v xml:space="preserve">* La celda 'Plan Cuidado Integral Elaborado' debe ser menor o igual al Total de Personas en control. </v>
      </c>
      <c r="CL107" s="348" t="str">
        <f t="shared" ref="CL107:CL111" si="149">IF(AND(F107&gt;0,OR(AX107=""))," * No olvide digitar la variable Trans Masculino. (Digite Cero si no tiene).",IF(AX107&gt;F107," * La variable Trans Masculino no debe ser mayor al Total Mujeres.",""))</f>
        <v xml:space="preserve"> * La variable Trans Masculino no debe ser mayor al Total Mujeres.</v>
      </c>
      <c r="CM107" s="348" t="str">
        <f t="shared" si="108"/>
        <v xml:space="preserve"> * La variable Trans Femenino no debe ser mayor al Total Hombre.</v>
      </c>
      <c r="CN107" s="354"/>
      <c r="CO107" s="348" t="str">
        <f t="shared" si="136"/>
        <v/>
      </c>
      <c r="CP107" s="348" t="str">
        <f t="shared" si="137"/>
        <v/>
      </c>
      <c r="CQ107" s="348" t="str">
        <f t="shared" si="101"/>
        <v/>
      </c>
      <c r="CR107" s="348" t="str">
        <f t="shared" si="102"/>
        <v/>
      </c>
      <c r="CS107" s="348" t="str">
        <f t="shared" si="103"/>
        <v/>
      </c>
      <c r="CT107" s="348" t="str">
        <f t="shared" si="104"/>
        <v/>
      </c>
      <c r="CU107" s="348" t="str">
        <f t="shared" si="74"/>
        <v/>
      </c>
      <c r="CV107" s="348" t="str">
        <f t="shared" si="75"/>
        <v/>
      </c>
      <c r="CW107" s="348" t="str">
        <f t="shared" si="76"/>
        <v/>
      </c>
      <c r="DB107" s="358">
        <f t="shared" si="138"/>
        <v>1</v>
      </c>
      <c r="DC107" s="358">
        <f t="shared" si="139"/>
        <v>1</v>
      </c>
      <c r="DD107" s="358">
        <f t="shared" si="112"/>
        <v>1</v>
      </c>
      <c r="DE107" s="358">
        <f t="shared" si="80"/>
        <v>1</v>
      </c>
      <c r="DF107" s="358">
        <f t="shared" si="113"/>
        <v>1</v>
      </c>
      <c r="DG107" s="358">
        <f t="shared" si="82"/>
        <v>1</v>
      </c>
      <c r="DH107" s="358">
        <f t="shared" si="83"/>
        <v>1</v>
      </c>
      <c r="DI107" s="358">
        <f t="shared" si="84"/>
        <v>1</v>
      </c>
      <c r="DJ107" s="358">
        <f t="shared" si="85"/>
        <v>1</v>
      </c>
      <c r="DL107" s="358">
        <f t="shared" si="86"/>
        <v>1</v>
      </c>
      <c r="DM107" s="358">
        <f t="shared" si="114"/>
        <v>1</v>
      </c>
      <c r="DO107" s="358">
        <f t="shared" si="140"/>
        <v>0</v>
      </c>
      <c r="DP107" s="358">
        <f t="shared" si="141"/>
        <v>0</v>
      </c>
      <c r="DQ107" s="358">
        <f t="shared" si="121"/>
        <v>0</v>
      </c>
      <c r="DR107" s="358">
        <f t="shared" si="145"/>
        <v>0</v>
      </c>
      <c r="DS107" s="358">
        <f t="shared" si="146"/>
        <v>0</v>
      </c>
      <c r="DT107" s="358">
        <f t="shared" si="147"/>
        <v>0</v>
      </c>
      <c r="DU107" s="358">
        <f t="shared" si="148"/>
        <v>0</v>
      </c>
      <c r="DV107" s="358">
        <f t="shared" si="95"/>
        <v>0</v>
      </c>
      <c r="DW107" s="358">
        <f t="shared" si="96"/>
        <v>0</v>
      </c>
    </row>
    <row r="108" spans="1:127" ht="15" customHeight="1" x14ac:dyDescent="0.3">
      <c r="A108" s="1637" t="s">
        <v>1357</v>
      </c>
      <c r="B108" s="2176"/>
      <c r="C108" s="1144" t="s">
        <v>606</v>
      </c>
      <c r="D108" s="1740" t="s">
        <v>1550</v>
      </c>
      <c r="E108" s="1740" t="s">
        <v>1551</v>
      </c>
      <c r="F108" s="1741" t="s">
        <v>1552</v>
      </c>
      <c r="G108" s="1689" t="s">
        <v>1553</v>
      </c>
      <c r="H108" s="1690" t="s">
        <v>1554</v>
      </c>
      <c r="I108" s="1689" t="s">
        <v>1555</v>
      </c>
      <c r="J108" s="1690" t="s">
        <v>1556</v>
      </c>
      <c r="K108" s="1689" t="s">
        <v>1557</v>
      </c>
      <c r="L108" s="1690" t="s">
        <v>1558</v>
      </c>
      <c r="M108" s="1689" t="s">
        <v>1559</v>
      </c>
      <c r="N108" s="1690" t="s">
        <v>1560</v>
      </c>
      <c r="O108" s="1689" t="s">
        <v>1561</v>
      </c>
      <c r="P108" s="1690" t="s">
        <v>1562</v>
      </c>
      <c r="Q108" s="1689" t="s">
        <v>1563</v>
      </c>
      <c r="R108" s="1690" t="s">
        <v>1564</v>
      </c>
      <c r="S108" s="1689" t="s">
        <v>1565</v>
      </c>
      <c r="T108" s="1690" t="s">
        <v>1566</v>
      </c>
      <c r="U108" s="1689" t="s">
        <v>1567</v>
      </c>
      <c r="V108" s="1690" t="s">
        <v>1568</v>
      </c>
      <c r="W108" s="1689" t="s">
        <v>1569</v>
      </c>
      <c r="X108" s="1690" t="s">
        <v>1570</v>
      </c>
      <c r="Y108" s="1689" t="s">
        <v>1571</v>
      </c>
      <c r="Z108" s="1690" t="s">
        <v>1572</v>
      </c>
      <c r="AA108" s="1689" t="s">
        <v>1573</v>
      </c>
      <c r="AB108" s="1690" t="s">
        <v>1574</v>
      </c>
      <c r="AC108" s="1689" t="s">
        <v>1575</v>
      </c>
      <c r="AD108" s="1690" t="s">
        <v>1576</v>
      </c>
      <c r="AE108" s="1689" t="s">
        <v>1577</v>
      </c>
      <c r="AF108" s="1690" t="s">
        <v>1578</v>
      </c>
      <c r="AG108" s="1689" t="s">
        <v>1579</v>
      </c>
      <c r="AH108" s="1690" t="s">
        <v>1580</v>
      </c>
      <c r="AI108" s="1689" t="s">
        <v>1581</v>
      </c>
      <c r="AJ108" s="1690" t="s">
        <v>1582</v>
      </c>
      <c r="AK108" s="1689" t="s">
        <v>1583</v>
      </c>
      <c r="AL108" s="1690" t="s">
        <v>1584</v>
      </c>
      <c r="AM108" s="1689" t="s">
        <v>1585</v>
      </c>
      <c r="AN108" s="1690" t="s">
        <v>1586</v>
      </c>
      <c r="AO108" s="1692" t="s">
        <v>1587</v>
      </c>
      <c r="AP108" s="1693" t="s">
        <v>1588</v>
      </c>
      <c r="AQ108" s="1693" t="s">
        <v>1589</v>
      </c>
      <c r="AR108" s="1693" t="s">
        <v>1590</v>
      </c>
      <c r="AS108" s="1694" t="s">
        <v>1591</v>
      </c>
      <c r="AT108" s="1690" t="s">
        <v>1592</v>
      </c>
      <c r="AU108" s="1690" t="s">
        <v>1593</v>
      </c>
      <c r="AV108" s="1690" t="s">
        <v>1594</v>
      </c>
      <c r="AW108" s="1690" t="s">
        <v>1595</v>
      </c>
      <c r="AX108" s="1690" t="s">
        <v>1596</v>
      </c>
      <c r="AY108" s="1690" t="s">
        <v>1597</v>
      </c>
      <c r="AZ108" s="1514" t="str">
        <f t="shared" si="97"/>
        <v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BD108" s="175"/>
      <c r="CC108" s="348" t="str">
        <f t="shared" si="98"/>
        <v xml:space="preserve">* La celda 'Gestantes' debe ser menor o igual al Total de Mujeres en control. </v>
      </c>
      <c r="CD108" s="348" t="str">
        <f t="shared" si="64"/>
        <v xml:space="preserve">* La celda 'Madres de Hijos menor de 5 años' debe ser menor o igual al Total de Mujeres en control. </v>
      </c>
      <c r="CE108" s="348" t="str">
        <f t="shared" si="105"/>
        <v xml:space="preserve">* La celda 'Pueblos Originarios / Hombres' debe ser menor o igual al Total de Hombres en control. </v>
      </c>
      <c r="CF108" s="348" t="str">
        <f t="shared" si="66"/>
        <v xml:space="preserve">* La celda 'Pueblos Originarios / Mujeres' debe ser menor o igual al Total de Mujeres en control. </v>
      </c>
      <c r="CG108" s="348" t="str">
        <f t="shared" si="106"/>
        <v xml:space="preserve">* La celda 'Población Migrantes / Hombres' debe ser menor o igual al Total de Hombres en control. </v>
      </c>
      <c r="CH108" s="348" t="str">
        <f t="shared" si="68"/>
        <v xml:space="preserve">* La celda 'Población Migrantes / Mujeres' debe ser menor o igual al Total de Mujeres en control. </v>
      </c>
      <c r="CI108" s="348" t="str">
        <f t="shared" si="69"/>
        <v xml:space="preserve">* La celda 'Niños, Niñas, Adolescentes y Jóvenes de Población SENAME' debe ser menor o igual al Total de Ambos Sexos. </v>
      </c>
      <c r="CJ108" s="348" t="str">
        <f t="shared" si="70"/>
        <v xml:space="preserve">* La celda 'Niños, Niñas, Adolescentes y Jóvenes Mejor Niñez' debe ser menor o igual al Total de Ambos Sexos. </v>
      </c>
      <c r="CK108" s="348" t="str">
        <f t="shared" si="71"/>
        <v xml:space="preserve">* La celda 'Plan Cuidado Integral Elaborado' debe ser menor o igual al Total de Personas en control. </v>
      </c>
      <c r="CL108" s="348" t="str">
        <f t="shared" si="149"/>
        <v xml:space="preserve"> * La variable Trans Masculino no debe ser mayor al Total Mujeres.</v>
      </c>
      <c r="CM108" s="348" t="str">
        <f t="shared" si="108"/>
        <v xml:space="preserve"> * La variable Trans Femenino no debe ser mayor al Total Hombre.</v>
      </c>
      <c r="CN108" s="354"/>
      <c r="CO108" s="348" t="str">
        <f t="shared" si="136"/>
        <v/>
      </c>
      <c r="CP108" s="348" t="str">
        <f t="shared" si="137"/>
        <v/>
      </c>
      <c r="CQ108" s="348" t="str">
        <f t="shared" si="101"/>
        <v/>
      </c>
      <c r="CR108" s="348" t="str">
        <f t="shared" si="102"/>
        <v/>
      </c>
      <c r="CS108" s="348" t="str">
        <f t="shared" si="103"/>
        <v/>
      </c>
      <c r="CT108" s="348" t="str">
        <f t="shared" si="104"/>
        <v/>
      </c>
      <c r="CU108" s="348" t="str">
        <f t="shared" si="74"/>
        <v/>
      </c>
      <c r="CV108" s="348" t="str">
        <f t="shared" si="75"/>
        <v/>
      </c>
      <c r="CW108" s="348" t="str">
        <f t="shared" si="76"/>
        <v/>
      </c>
      <c r="DB108" s="358">
        <f t="shared" si="138"/>
        <v>1</v>
      </c>
      <c r="DC108" s="358">
        <f t="shared" si="139"/>
        <v>1</v>
      </c>
      <c r="DD108" s="358">
        <f t="shared" si="112"/>
        <v>1</v>
      </c>
      <c r="DE108" s="358">
        <f t="shared" si="80"/>
        <v>1</v>
      </c>
      <c r="DF108" s="358">
        <f t="shared" si="113"/>
        <v>1</v>
      </c>
      <c r="DG108" s="358">
        <f t="shared" si="82"/>
        <v>1</v>
      </c>
      <c r="DH108" s="358">
        <f t="shared" si="83"/>
        <v>1</v>
      </c>
      <c r="DI108" s="358">
        <f t="shared" si="84"/>
        <v>1</v>
      </c>
      <c r="DJ108" s="358">
        <f t="shared" si="85"/>
        <v>1</v>
      </c>
      <c r="DL108" s="358">
        <f t="shared" si="86"/>
        <v>1</v>
      </c>
      <c r="DM108" s="358">
        <f t="shared" si="114"/>
        <v>1</v>
      </c>
      <c r="DO108" s="358">
        <f t="shared" si="140"/>
        <v>0</v>
      </c>
      <c r="DP108" s="358">
        <f t="shared" si="141"/>
        <v>0</v>
      </c>
      <c r="DQ108" s="358">
        <f t="shared" si="121"/>
        <v>0</v>
      </c>
      <c r="DR108" s="358">
        <f t="shared" si="145"/>
        <v>0</v>
      </c>
      <c r="DS108" s="358">
        <f t="shared" si="146"/>
        <v>0</v>
      </c>
      <c r="DT108" s="358">
        <f t="shared" si="147"/>
        <v>0</v>
      </c>
      <c r="DU108" s="358">
        <f t="shared" si="148"/>
        <v>0</v>
      </c>
      <c r="DV108" s="358">
        <f t="shared" si="95"/>
        <v>0</v>
      </c>
      <c r="DW108" s="358">
        <f t="shared" si="96"/>
        <v>0</v>
      </c>
    </row>
    <row r="109" spans="1:127" ht="15" customHeight="1" x14ac:dyDescent="0.3">
      <c r="A109" s="1637" t="s">
        <v>1358</v>
      </c>
      <c r="B109" s="2055"/>
      <c r="C109" s="1145" t="s">
        <v>607</v>
      </c>
      <c r="D109" s="1684" t="s">
        <v>1550</v>
      </c>
      <c r="E109" s="1685" t="s">
        <v>1551</v>
      </c>
      <c r="F109" s="1686" t="s">
        <v>1552</v>
      </c>
      <c r="G109" s="1697" t="s">
        <v>1553</v>
      </c>
      <c r="H109" s="1698" t="s">
        <v>1554</v>
      </c>
      <c r="I109" s="1697" t="s">
        <v>1555</v>
      </c>
      <c r="J109" s="1698" t="s">
        <v>1556</v>
      </c>
      <c r="K109" s="1697" t="s">
        <v>1557</v>
      </c>
      <c r="L109" s="1698" t="s">
        <v>1558</v>
      </c>
      <c r="M109" s="1697" t="s">
        <v>1559</v>
      </c>
      <c r="N109" s="1698" t="s">
        <v>1560</v>
      </c>
      <c r="O109" s="1697" t="s">
        <v>1561</v>
      </c>
      <c r="P109" s="1698" t="s">
        <v>1562</v>
      </c>
      <c r="Q109" s="1697" t="s">
        <v>1563</v>
      </c>
      <c r="R109" s="1698" t="s">
        <v>1564</v>
      </c>
      <c r="S109" s="1697" t="s">
        <v>1565</v>
      </c>
      <c r="T109" s="1698" t="s">
        <v>1566</v>
      </c>
      <c r="U109" s="1697" t="s">
        <v>1567</v>
      </c>
      <c r="V109" s="1698" t="s">
        <v>1568</v>
      </c>
      <c r="W109" s="1697" t="s">
        <v>1569</v>
      </c>
      <c r="X109" s="1698" t="s">
        <v>1570</v>
      </c>
      <c r="Y109" s="1697" t="s">
        <v>1571</v>
      </c>
      <c r="Z109" s="1698" t="s">
        <v>1572</v>
      </c>
      <c r="AA109" s="1697" t="s">
        <v>1573</v>
      </c>
      <c r="AB109" s="1698" t="s">
        <v>1574</v>
      </c>
      <c r="AC109" s="1697" t="s">
        <v>1575</v>
      </c>
      <c r="AD109" s="1698" t="s">
        <v>1576</v>
      </c>
      <c r="AE109" s="1697" t="s">
        <v>1577</v>
      </c>
      <c r="AF109" s="1698" t="s">
        <v>1578</v>
      </c>
      <c r="AG109" s="1697" t="s">
        <v>1579</v>
      </c>
      <c r="AH109" s="1698" t="s">
        <v>1580</v>
      </c>
      <c r="AI109" s="1697" t="s">
        <v>1581</v>
      </c>
      <c r="AJ109" s="1698" t="s">
        <v>1582</v>
      </c>
      <c r="AK109" s="1697" t="s">
        <v>1583</v>
      </c>
      <c r="AL109" s="1698" t="s">
        <v>1584</v>
      </c>
      <c r="AM109" s="1697" t="s">
        <v>1585</v>
      </c>
      <c r="AN109" s="1698" t="s">
        <v>1586</v>
      </c>
      <c r="AO109" s="1700" t="s">
        <v>1587</v>
      </c>
      <c r="AP109" s="1701" t="s">
        <v>1588</v>
      </c>
      <c r="AQ109" s="1701" t="s">
        <v>1589</v>
      </c>
      <c r="AR109" s="1701" t="s">
        <v>1590</v>
      </c>
      <c r="AS109" s="1702" t="s">
        <v>1591</v>
      </c>
      <c r="AT109" s="1698" t="s">
        <v>1592</v>
      </c>
      <c r="AU109" s="1698" t="s">
        <v>1593</v>
      </c>
      <c r="AV109" s="1698" t="s">
        <v>1594</v>
      </c>
      <c r="AW109" s="1698" t="s">
        <v>1595</v>
      </c>
      <c r="AX109" s="1698" t="s">
        <v>1596</v>
      </c>
      <c r="AY109" s="1698" t="s">
        <v>1597</v>
      </c>
      <c r="AZ109" s="1514" t="str">
        <f t="shared" si="97"/>
        <v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BD109" s="175"/>
      <c r="CC109" s="348" t="str">
        <f t="shared" si="98"/>
        <v xml:space="preserve">* La celda 'Gestantes' debe ser menor o igual al Total de Mujeres en control. </v>
      </c>
      <c r="CD109" s="348" t="str">
        <f t="shared" si="64"/>
        <v xml:space="preserve">* La celda 'Madres de Hijos menor de 5 años' debe ser menor o igual al Total de Mujeres en control. </v>
      </c>
      <c r="CE109" s="348" t="str">
        <f t="shared" si="105"/>
        <v xml:space="preserve">* La celda 'Pueblos Originarios / Hombres' debe ser menor o igual al Total de Hombres en control. </v>
      </c>
      <c r="CF109" s="348" t="str">
        <f t="shared" si="66"/>
        <v xml:space="preserve">* La celda 'Pueblos Originarios / Mujeres' debe ser menor o igual al Total de Mujeres en control. </v>
      </c>
      <c r="CG109" s="348" t="str">
        <f t="shared" si="106"/>
        <v xml:space="preserve">* La celda 'Población Migrantes / Hombres' debe ser menor o igual al Total de Hombres en control. </v>
      </c>
      <c r="CH109" s="348" t="str">
        <f t="shared" si="68"/>
        <v xml:space="preserve">* La celda 'Población Migrantes / Mujeres' debe ser menor o igual al Total de Mujeres en control. </v>
      </c>
      <c r="CI109" s="348" t="str">
        <f t="shared" si="69"/>
        <v xml:space="preserve">* La celda 'Niños, Niñas, Adolescentes y Jóvenes de Población SENAME' debe ser menor o igual al Total de Ambos Sexos. </v>
      </c>
      <c r="CJ109" s="348" t="str">
        <f t="shared" si="70"/>
        <v xml:space="preserve">* La celda 'Niños, Niñas, Adolescentes y Jóvenes Mejor Niñez' debe ser menor o igual al Total de Ambos Sexos. </v>
      </c>
      <c r="CK109" s="348" t="str">
        <f t="shared" si="71"/>
        <v xml:space="preserve">* La celda 'Plan Cuidado Integral Elaborado' debe ser menor o igual al Total de Personas en control. </v>
      </c>
      <c r="CL109" s="348" t="str">
        <f t="shared" si="149"/>
        <v xml:space="preserve"> * La variable Trans Masculino no debe ser mayor al Total Mujeres.</v>
      </c>
      <c r="CM109" s="348" t="str">
        <f t="shared" si="108"/>
        <v xml:space="preserve"> * La variable Trans Femenino no debe ser mayor al Total Hombre.</v>
      </c>
      <c r="CN109" s="354"/>
      <c r="CO109" s="348" t="str">
        <f t="shared" ref="CO109:CO111" si="150">IF(AND($F109&lt;&gt;0,$AO109=""),"* No olvide escribir en la celda de 'Gestantes' (Digite CERO si no tiene). ","")</f>
        <v/>
      </c>
      <c r="CP109" s="348" t="str">
        <f t="shared" ref="CP109:CP111" si="151">IF(AND($F109&lt;&gt;0,$AP109=""),"* No olvide escribir en la celda de 'Madres de Hijos menor de 5 años' (Digite CERO si no tiene). ","")</f>
        <v/>
      </c>
      <c r="CQ109" s="348" t="str">
        <f t="shared" si="101"/>
        <v/>
      </c>
      <c r="CR109" s="348" t="str">
        <f t="shared" si="102"/>
        <v/>
      </c>
      <c r="CS109" s="348" t="str">
        <f t="shared" si="103"/>
        <v/>
      </c>
      <c r="CT109" s="348" t="str">
        <f t="shared" si="104"/>
        <v/>
      </c>
      <c r="CU109" s="348" t="str">
        <f t="shared" si="74"/>
        <v/>
      </c>
      <c r="CV109" s="348" t="str">
        <f t="shared" si="75"/>
        <v/>
      </c>
      <c r="CW109" s="348" t="str">
        <f t="shared" si="76"/>
        <v/>
      </c>
      <c r="DB109" s="358">
        <f t="shared" ref="DB109:DB111" si="152">IF($AO109&gt;$F109,1,0)</f>
        <v>1</v>
      </c>
      <c r="DC109" s="358">
        <f t="shared" ref="DC109:DC111" si="153">IF($AP109&gt;$F109,1,0)</f>
        <v>1</v>
      </c>
      <c r="DD109" s="358">
        <f t="shared" si="112"/>
        <v>1</v>
      </c>
      <c r="DE109" s="358">
        <f t="shared" si="80"/>
        <v>1</v>
      </c>
      <c r="DF109" s="358">
        <f t="shared" si="113"/>
        <v>1</v>
      </c>
      <c r="DG109" s="358">
        <f t="shared" si="82"/>
        <v>1</v>
      </c>
      <c r="DH109" s="358">
        <f t="shared" si="83"/>
        <v>1</v>
      </c>
      <c r="DI109" s="358">
        <f t="shared" si="84"/>
        <v>1</v>
      </c>
      <c r="DJ109" s="358">
        <f t="shared" si="85"/>
        <v>1</v>
      </c>
      <c r="DL109" s="358">
        <f t="shared" si="86"/>
        <v>1</v>
      </c>
      <c r="DM109" s="358">
        <f t="shared" si="114"/>
        <v>1</v>
      </c>
      <c r="DO109" s="358">
        <f t="shared" ref="DO109:DO111" si="154">IF(AND($F109&lt;&gt;0,$AO109=""),1,0)</f>
        <v>0</v>
      </c>
      <c r="DP109" s="358">
        <f t="shared" ref="DP109:DP111" si="155">IF(AND($F109&lt;&gt;0,$AP109=""),1,0)</f>
        <v>0</v>
      </c>
      <c r="DQ109" s="358">
        <f t="shared" si="121"/>
        <v>0</v>
      </c>
      <c r="DR109" s="358">
        <f t="shared" ref="DR109:DR111" si="156">IF(AND(F109&lt;&gt;0,AR109=""),1,0)</f>
        <v>0</v>
      </c>
      <c r="DS109" s="358">
        <f>IF(AND(E109&lt;&gt;0,AS109=""),1,0)</f>
        <v>0</v>
      </c>
      <c r="DT109" s="358">
        <f t="shared" ref="DT109:DT111" si="157">IF(AND(F109&lt;&gt;0,AT109=""),1,0)</f>
        <v>0</v>
      </c>
      <c r="DU109" s="358">
        <f t="shared" ref="DU109:DU111" si="158">IF(AND($D109&lt;&gt;0,AU109=""),1,0)</f>
        <v>0</v>
      </c>
      <c r="DV109" s="358">
        <f t="shared" si="95"/>
        <v>0</v>
      </c>
      <c r="DW109" s="358">
        <f t="shared" si="96"/>
        <v>0</v>
      </c>
    </row>
    <row r="110" spans="1:127" ht="13.2" customHeight="1" x14ac:dyDescent="0.3">
      <c r="A110" s="1637" t="s">
        <v>1359</v>
      </c>
      <c r="B110" s="1016" t="s">
        <v>554</v>
      </c>
      <c r="C110" s="924"/>
      <c r="D110" s="1713" t="s">
        <v>1550</v>
      </c>
      <c r="E110" s="1713" t="s">
        <v>1551</v>
      </c>
      <c r="F110" s="1714" t="s">
        <v>1552</v>
      </c>
      <c r="G110" s="1717" t="s">
        <v>1553</v>
      </c>
      <c r="H110" s="1718" t="s">
        <v>1554</v>
      </c>
      <c r="I110" s="1717" t="s">
        <v>1555</v>
      </c>
      <c r="J110" s="1718" t="s">
        <v>1556</v>
      </c>
      <c r="K110" s="1717" t="s">
        <v>1557</v>
      </c>
      <c r="L110" s="1718" t="s">
        <v>1558</v>
      </c>
      <c r="M110" s="1717" t="s">
        <v>1559</v>
      </c>
      <c r="N110" s="1718" t="s">
        <v>1560</v>
      </c>
      <c r="O110" s="1717" t="s">
        <v>1561</v>
      </c>
      <c r="P110" s="1718" t="s">
        <v>1562</v>
      </c>
      <c r="Q110" s="1717" t="s">
        <v>1563</v>
      </c>
      <c r="R110" s="1718" t="s">
        <v>1564</v>
      </c>
      <c r="S110" s="1717" t="s">
        <v>1565</v>
      </c>
      <c r="T110" s="1718" t="s">
        <v>1566</v>
      </c>
      <c r="U110" s="1717" t="s">
        <v>1567</v>
      </c>
      <c r="V110" s="1718" t="s">
        <v>1568</v>
      </c>
      <c r="W110" s="1717" t="s">
        <v>1569</v>
      </c>
      <c r="X110" s="1718" t="s">
        <v>1570</v>
      </c>
      <c r="Y110" s="1717" t="s">
        <v>1571</v>
      </c>
      <c r="Z110" s="1718" t="s">
        <v>1572</v>
      </c>
      <c r="AA110" s="1717" t="s">
        <v>1573</v>
      </c>
      <c r="AB110" s="1718" t="s">
        <v>1574</v>
      </c>
      <c r="AC110" s="1717" t="s">
        <v>1575</v>
      </c>
      <c r="AD110" s="1718" t="s">
        <v>1576</v>
      </c>
      <c r="AE110" s="1717" t="s">
        <v>1577</v>
      </c>
      <c r="AF110" s="1718" t="s">
        <v>1578</v>
      </c>
      <c r="AG110" s="1717" t="s">
        <v>1579</v>
      </c>
      <c r="AH110" s="1718" t="s">
        <v>1580</v>
      </c>
      <c r="AI110" s="1717" t="s">
        <v>1581</v>
      </c>
      <c r="AJ110" s="1718" t="s">
        <v>1582</v>
      </c>
      <c r="AK110" s="1717" t="s">
        <v>1583</v>
      </c>
      <c r="AL110" s="1718" t="s">
        <v>1584</v>
      </c>
      <c r="AM110" s="1717" t="s">
        <v>1585</v>
      </c>
      <c r="AN110" s="1718" t="s">
        <v>1586</v>
      </c>
      <c r="AO110" s="1720" t="s">
        <v>1587</v>
      </c>
      <c r="AP110" s="1721" t="s">
        <v>1588</v>
      </c>
      <c r="AQ110" s="1721" t="s">
        <v>1589</v>
      </c>
      <c r="AR110" s="1721" t="s">
        <v>1590</v>
      </c>
      <c r="AS110" s="1722" t="s">
        <v>1591</v>
      </c>
      <c r="AT110" s="1718" t="s">
        <v>1592</v>
      </c>
      <c r="AU110" s="1718" t="s">
        <v>1593</v>
      </c>
      <c r="AV110" s="1718" t="s">
        <v>1594</v>
      </c>
      <c r="AW110" s="1718" t="s">
        <v>1595</v>
      </c>
      <c r="AX110" s="1718" t="s">
        <v>1596</v>
      </c>
      <c r="AY110" s="1718" t="s">
        <v>1597</v>
      </c>
      <c r="AZ110" s="1514" t="str">
        <f t="shared" si="97"/>
        <v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BD110" s="175"/>
      <c r="CC110" s="348" t="str">
        <f t="shared" si="98"/>
        <v xml:space="preserve">* La celda 'Gestantes' debe ser menor o igual al Total de Mujeres en control. </v>
      </c>
      <c r="CD110" s="348" t="str">
        <f t="shared" si="64"/>
        <v xml:space="preserve">* La celda 'Madres de Hijos menor de 5 años' debe ser menor o igual al Total de Mujeres en control. </v>
      </c>
      <c r="CE110" s="348" t="str">
        <f t="shared" si="105"/>
        <v xml:space="preserve">* La celda 'Pueblos Originarios / Hombres' debe ser menor o igual al Total de Hombres en control. </v>
      </c>
      <c r="CF110" s="348" t="str">
        <f t="shared" si="66"/>
        <v xml:space="preserve">* La celda 'Pueblos Originarios / Mujeres' debe ser menor o igual al Total de Mujeres en control. </v>
      </c>
      <c r="CG110" s="348" t="str">
        <f t="shared" si="106"/>
        <v xml:space="preserve">* La celda 'Población Migrantes / Hombres' debe ser menor o igual al Total de Hombres en control. </v>
      </c>
      <c r="CH110" s="348" t="str">
        <f t="shared" si="68"/>
        <v xml:space="preserve">* La celda 'Población Migrantes / Mujeres' debe ser menor o igual al Total de Mujeres en control. </v>
      </c>
      <c r="CI110" s="348" t="str">
        <f t="shared" si="69"/>
        <v xml:space="preserve">* La celda 'Niños, Niñas, Adolescentes y Jóvenes de Población SENAME' debe ser menor o igual al Total de Ambos Sexos. </v>
      </c>
      <c r="CJ110" s="348" t="str">
        <f t="shared" si="70"/>
        <v xml:space="preserve">* La celda 'Niños, Niñas, Adolescentes y Jóvenes Mejor Niñez' debe ser menor o igual al Total de Ambos Sexos. </v>
      </c>
      <c r="CK110" s="348" t="str">
        <f t="shared" si="71"/>
        <v xml:space="preserve">* La celda 'Plan Cuidado Integral Elaborado' debe ser menor o igual al Total de Personas en control. </v>
      </c>
      <c r="CL110" s="348" t="str">
        <f t="shared" si="149"/>
        <v xml:space="preserve"> * La variable Trans Masculino no debe ser mayor al Total Mujeres.</v>
      </c>
      <c r="CM110" s="348" t="str">
        <f t="shared" si="108"/>
        <v xml:space="preserve"> * La variable Trans Femenino no debe ser mayor al Total Hombre.</v>
      </c>
      <c r="CN110" s="354"/>
      <c r="CO110" s="348" t="str">
        <f t="shared" si="150"/>
        <v/>
      </c>
      <c r="CP110" s="348" t="str">
        <f t="shared" si="151"/>
        <v/>
      </c>
      <c r="CQ110" s="348" t="str">
        <f t="shared" si="101"/>
        <v/>
      </c>
      <c r="CR110" s="348" t="str">
        <f t="shared" si="102"/>
        <v/>
      </c>
      <c r="CS110" s="348" t="str">
        <f t="shared" si="103"/>
        <v/>
      </c>
      <c r="CT110" s="348" t="str">
        <f t="shared" si="104"/>
        <v/>
      </c>
      <c r="CU110" s="348" t="str">
        <f t="shared" si="74"/>
        <v/>
      </c>
      <c r="CV110" s="348" t="str">
        <f t="shared" si="75"/>
        <v/>
      </c>
      <c r="CW110" s="348" t="str">
        <f t="shared" si="76"/>
        <v/>
      </c>
      <c r="DB110" s="358">
        <f t="shared" si="152"/>
        <v>1</v>
      </c>
      <c r="DC110" s="358">
        <f t="shared" si="153"/>
        <v>1</v>
      </c>
      <c r="DD110" s="358">
        <f t="shared" si="112"/>
        <v>1</v>
      </c>
      <c r="DE110" s="358">
        <f t="shared" si="80"/>
        <v>1</v>
      </c>
      <c r="DF110" s="358">
        <f t="shared" si="113"/>
        <v>1</v>
      </c>
      <c r="DG110" s="358">
        <f t="shared" si="82"/>
        <v>1</v>
      </c>
      <c r="DH110" s="358">
        <f t="shared" si="83"/>
        <v>1</v>
      </c>
      <c r="DI110" s="358">
        <f t="shared" si="84"/>
        <v>1</v>
      </c>
      <c r="DJ110" s="358">
        <f t="shared" si="85"/>
        <v>1</v>
      </c>
      <c r="DL110" s="358">
        <f t="shared" si="86"/>
        <v>1</v>
      </c>
      <c r="DM110" s="358">
        <f t="shared" si="114"/>
        <v>1</v>
      </c>
      <c r="DO110" s="358">
        <f t="shared" si="154"/>
        <v>0</v>
      </c>
      <c r="DP110" s="358">
        <f t="shared" si="155"/>
        <v>0</v>
      </c>
      <c r="DQ110" s="358">
        <f t="shared" si="121"/>
        <v>0</v>
      </c>
      <c r="DR110" s="358">
        <f t="shared" si="156"/>
        <v>0</v>
      </c>
      <c r="DS110" s="358">
        <f>IF(AND(E110&lt;&gt;0,AS110=""),1,0)</f>
        <v>0</v>
      </c>
      <c r="DT110" s="358">
        <f t="shared" si="157"/>
        <v>0</v>
      </c>
      <c r="DU110" s="358">
        <f t="shared" si="158"/>
        <v>0</v>
      </c>
      <c r="DV110" s="358">
        <f t="shared" si="95"/>
        <v>0</v>
      </c>
      <c r="DW110" s="358">
        <f t="shared" si="96"/>
        <v>0</v>
      </c>
    </row>
    <row r="111" spans="1:127" ht="18.600000000000001" customHeight="1" x14ac:dyDescent="0.3">
      <c r="A111" s="1637" t="s">
        <v>1360</v>
      </c>
      <c r="B111" s="2360" t="s">
        <v>357</v>
      </c>
      <c r="C111" s="2361"/>
      <c r="D111" s="1684" t="s">
        <v>1550</v>
      </c>
      <c r="E111" s="1685" t="s">
        <v>1551</v>
      </c>
      <c r="F111" s="1768" t="s">
        <v>1552</v>
      </c>
      <c r="G111" s="1697" t="s">
        <v>1553</v>
      </c>
      <c r="H111" s="1698" t="s">
        <v>1554</v>
      </c>
      <c r="I111" s="1697" t="s">
        <v>1555</v>
      </c>
      <c r="J111" s="1698" t="s">
        <v>1556</v>
      </c>
      <c r="K111" s="1697" t="s">
        <v>1557</v>
      </c>
      <c r="L111" s="1698" t="s">
        <v>1558</v>
      </c>
      <c r="M111" s="1697" t="s">
        <v>1559</v>
      </c>
      <c r="N111" s="1698" t="s">
        <v>1560</v>
      </c>
      <c r="O111" s="1697" t="s">
        <v>1561</v>
      </c>
      <c r="P111" s="1698" t="s">
        <v>1562</v>
      </c>
      <c r="Q111" s="1697" t="s">
        <v>1563</v>
      </c>
      <c r="R111" s="1698" t="s">
        <v>1564</v>
      </c>
      <c r="S111" s="1697" t="s">
        <v>1565</v>
      </c>
      <c r="T111" s="1698" t="s">
        <v>1566</v>
      </c>
      <c r="U111" s="1697" t="s">
        <v>1567</v>
      </c>
      <c r="V111" s="1698" t="s">
        <v>1568</v>
      </c>
      <c r="W111" s="1697" t="s">
        <v>1569</v>
      </c>
      <c r="X111" s="1698" t="s">
        <v>1570</v>
      </c>
      <c r="Y111" s="1697" t="s">
        <v>1571</v>
      </c>
      <c r="Z111" s="1698" t="s">
        <v>1572</v>
      </c>
      <c r="AA111" s="1697" t="s">
        <v>1573</v>
      </c>
      <c r="AB111" s="1698" t="s">
        <v>1574</v>
      </c>
      <c r="AC111" s="1697" t="s">
        <v>1575</v>
      </c>
      <c r="AD111" s="1698" t="s">
        <v>1576</v>
      </c>
      <c r="AE111" s="1697" t="s">
        <v>1577</v>
      </c>
      <c r="AF111" s="1698" t="s">
        <v>1578</v>
      </c>
      <c r="AG111" s="1697" t="s">
        <v>1579</v>
      </c>
      <c r="AH111" s="1698" t="s">
        <v>1580</v>
      </c>
      <c r="AI111" s="1697" t="s">
        <v>1581</v>
      </c>
      <c r="AJ111" s="1698" t="s">
        <v>1582</v>
      </c>
      <c r="AK111" s="1697" t="s">
        <v>1583</v>
      </c>
      <c r="AL111" s="1698" t="s">
        <v>1584</v>
      </c>
      <c r="AM111" s="1697" t="s">
        <v>1585</v>
      </c>
      <c r="AN111" s="1698" t="s">
        <v>1586</v>
      </c>
      <c r="AO111" s="1700" t="s">
        <v>1587</v>
      </c>
      <c r="AP111" s="1701" t="s">
        <v>1588</v>
      </c>
      <c r="AQ111" s="1701" t="s">
        <v>1589</v>
      </c>
      <c r="AR111" s="1701" t="s">
        <v>1590</v>
      </c>
      <c r="AS111" s="1702" t="s">
        <v>1591</v>
      </c>
      <c r="AT111" s="1698" t="s">
        <v>1592</v>
      </c>
      <c r="AU111" s="1698" t="s">
        <v>1593</v>
      </c>
      <c r="AV111" s="1698" t="s">
        <v>1594</v>
      </c>
      <c r="AW111" s="1698" t="s">
        <v>1595</v>
      </c>
      <c r="AX111" s="1698" t="s">
        <v>1596</v>
      </c>
      <c r="AY111" s="1698" t="s">
        <v>1597</v>
      </c>
      <c r="AZ111" s="1514" t="str">
        <f t="shared" si="97"/>
        <v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BD111" s="175"/>
      <c r="CC111" s="348" t="str">
        <f t="shared" si="98"/>
        <v xml:space="preserve">* La celda 'Gestantes' debe ser menor o igual al Total de Mujeres en control. </v>
      </c>
      <c r="CD111" s="348" t="str">
        <f t="shared" si="64"/>
        <v xml:space="preserve">* La celda 'Madres de Hijos menor de 5 años' debe ser menor o igual al Total de Mujeres en control. </v>
      </c>
      <c r="CE111" s="348" t="str">
        <f t="shared" si="105"/>
        <v xml:space="preserve">* La celda 'Pueblos Originarios / Hombres' debe ser menor o igual al Total de Hombres en control. </v>
      </c>
      <c r="CF111" s="348" t="str">
        <f t="shared" si="66"/>
        <v xml:space="preserve">* La celda 'Pueblos Originarios / Mujeres' debe ser menor o igual al Total de Mujeres en control. </v>
      </c>
      <c r="CG111" s="348" t="str">
        <f t="shared" si="106"/>
        <v xml:space="preserve">* La celda 'Población Migrantes / Hombres' debe ser menor o igual al Total de Hombres en control. </v>
      </c>
      <c r="CH111" s="348" t="str">
        <f t="shared" si="68"/>
        <v xml:space="preserve">* La celda 'Población Migrantes / Mujeres' debe ser menor o igual al Total de Mujeres en control. </v>
      </c>
      <c r="CI111" s="348" t="str">
        <f t="shared" si="69"/>
        <v xml:space="preserve">* La celda 'Niños, Niñas, Adolescentes y Jóvenes de Población SENAME' debe ser menor o igual al Total de Ambos Sexos. </v>
      </c>
      <c r="CJ111" s="348" t="str">
        <f t="shared" si="70"/>
        <v xml:space="preserve">* La celda 'Niños, Niñas, Adolescentes y Jóvenes Mejor Niñez' debe ser menor o igual al Total de Ambos Sexos. </v>
      </c>
      <c r="CK111" s="348" t="str">
        <f t="shared" si="71"/>
        <v xml:space="preserve">* La celda 'Plan Cuidado Integral Elaborado' debe ser menor o igual al Total de Personas en control. </v>
      </c>
      <c r="CL111" s="348" t="str">
        <f t="shared" si="149"/>
        <v xml:space="preserve"> * La variable Trans Masculino no debe ser mayor al Total Mujeres.</v>
      </c>
      <c r="CM111" s="348" t="str">
        <f t="shared" si="108"/>
        <v xml:space="preserve"> * La variable Trans Femenino no debe ser mayor al Total Hombre.</v>
      </c>
      <c r="CN111" s="354"/>
      <c r="CO111" s="348" t="str">
        <f t="shared" si="150"/>
        <v/>
      </c>
      <c r="CP111" s="348" t="str">
        <f t="shared" si="151"/>
        <v/>
      </c>
      <c r="CQ111" s="348" t="str">
        <f t="shared" si="101"/>
        <v/>
      </c>
      <c r="CR111" s="348" t="str">
        <f t="shared" si="102"/>
        <v/>
      </c>
      <c r="CS111" s="348" t="str">
        <f t="shared" si="103"/>
        <v/>
      </c>
      <c r="CT111" s="348" t="str">
        <f t="shared" si="104"/>
        <v/>
      </c>
      <c r="CU111" s="348" t="str">
        <f t="shared" si="74"/>
        <v/>
      </c>
      <c r="CV111" s="348" t="str">
        <f t="shared" si="75"/>
        <v/>
      </c>
      <c r="CW111" s="348" t="str">
        <f t="shared" si="76"/>
        <v/>
      </c>
      <c r="DB111" s="358">
        <f t="shared" si="152"/>
        <v>1</v>
      </c>
      <c r="DC111" s="358">
        <f t="shared" si="153"/>
        <v>1</v>
      </c>
      <c r="DD111" s="358">
        <f t="shared" si="112"/>
        <v>1</v>
      </c>
      <c r="DE111" s="358">
        <f t="shared" si="80"/>
        <v>1</v>
      </c>
      <c r="DF111" s="358">
        <f t="shared" si="113"/>
        <v>1</v>
      </c>
      <c r="DG111" s="358">
        <f t="shared" si="82"/>
        <v>1</v>
      </c>
      <c r="DH111" s="358">
        <f t="shared" si="83"/>
        <v>1</v>
      </c>
      <c r="DI111" s="358">
        <f t="shared" si="84"/>
        <v>1</v>
      </c>
      <c r="DJ111" s="358">
        <f t="shared" si="85"/>
        <v>1</v>
      </c>
      <c r="DL111" s="358">
        <f t="shared" si="86"/>
        <v>1</v>
      </c>
      <c r="DM111" s="358">
        <f t="shared" si="114"/>
        <v>1</v>
      </c>
      <c r="DO111" s="358">
        <f t="shared" si="154"/>
        <v>0</v>
      </c>
      <c r="DP111" s="358">
        <f t="shared" si="155"/>
        <v>0</v>
      </c>
      <c r="DQ111" s="358">
        <f>IF(AND($E111&lt;&gt;0,$AQ111=""),1,IF(AND($F111&lt;&gt;0,$AR111=""),1,0))</f>
        <v>0</v>
      </c>
      <c r="DR111" s="358">
        <f t="shared" si="156"/>
        <v>0</v>
      </c>
      <c r="DS111" s="358">
        <f>IF(AND(E111&lt;&gt;0,AS111=""),1,0)</f>
        <v>0</v>
      </c>
      <c r="DT111" s="358">
        <f t="shared" si="157"/>
        <v>0</v>
      </c>
      <c r="DU111" s="358">
        <f t="shared" si="158"/>
        <v>0</v>
      </c>
      <c r="DV111" s="358">
        <f t="shared" si="95"/>
        <v>0</v>
      </c>
      <c r="DW111" s="358">
        <f t="shared" si="96"/>
        <v>0</v>
      </c>
    </row>
    <row r="112" spans="1:127" ht="33" customHeight="1" x14ac:dyDescent="0.3">
      <c r="B112" s="442" t="s">
        <v>237</v>
      </c>
      <c r="C112" s="433"/>
      <c r="D112" s="433"/>
      <c r="E112" s="433"/>
      <c r="F112" s="433"/>
      <c r="G112" s="433"/>
      <c r="H112" s="433"/>
      <c r="I112" s="433"/>
      <c r="J112" s="433"/>
      <c r="K112" s="433"/>
      <c r="L112" s="433"/>
      <c r="M112" s="433"/>
      <c r="N112" s="433"/>
      <c r="O112" s="433"/>
      <c r="P112" s="433"/>
      <c r="W112" s="55"/>
      <c r="AU112" s="409"/>
    </row>
    <row r="113" spans="1:236" x14ac:dyDescent="0.3">
      <c r="B113" s="2350" t="s">
        <v>231</v>
      </c>
      <c r="C113" s="2350" t="s">
        <v>232</v>
      </c>
      <c r="D113" s="2107" t="s">
        <v>104</v>
      </c>
      <c r="E113" s="2107"/>
      <c r="F113" s="2107"/>
      <c r="G113" s="2107" t="s">
        <v>14</v>
      </c>
      <c r="H113" s="2107"/>
      <c r="I113" s="2107"/>
      <c r="J113" s="2107"/>
      <c r="K113" s="2107"/>
      <c r="L113" s="2107"/>
      <c r="M113" s="2107"/>
      <c r="N113" s="2107"/>
      <c r="O113" s="2107"/>
      <c r="P113" s="2107"/>
      <c r="Q113" s="2107"/>
      <c r="R113" s="2107"/>
      <c r="S113" s="2107"/>
      <c r="T113" s="2107"/>
      <c r="U113" s="2107"/>
      <c r="V113" s="2107"/>
      <c r="W113" s="2107"/>
      <c r="X113" s="2107"/>
      <c r="Y113" s="2107"/>
      <c r="Z113" s="2107"/>
      <c r="AA113" s="2107"/>
      <c r="AB113" s="2107"/>
      <c r="AC113" s="2107"/>
      <c r="AD113" s="2107"/>
      <c r="AE113" s="2107"/>
      <c r="AF113" s="2107"/>
      <c r="AG113" s="2107"/>
      <c r="AH113" s="2107"/>
      <c r="AI113" s="2107"/>
      <c r="AJ113" s="2107"/>
      <c r="AK113" s="2107"/>
      <c r="AL113" s="2107"/>
      <c r="AM113" s="2107"/>
      <c r="AN113" s="2107"/>
      <c r="AU113" s="409"/>
    </row>
    <row r="114" spans="1:236" ht="21" customHeight="1" x14ac:dyDescent="0.3">
      <c r="B114" s="2350"/>
      <c r="C114" s="2350"/>
      <c r="D114" s="2107"/>
      <c r="E114" s="2107"/>
      <c r="F114" s="2107"/>
      <c r="G114" s="2107" t="s">
        <v>206</v>
      </c>
      <c r="H114" s="2107"/>
      <c r="I114" s="2107" t="s">
        <v>207</v>
      </c>
      <c r="J114" s="2107"/>
      <c r="K114" s="1989" t="s">
        <v>128</v>
      </c>
      <c r="L114" s="1989"/>
      <c r="M114" s="1989" t="s">
        <v>17</v>
      </c>
      <c r="N114" s="1989"/>
      <c r="O114" s="1989" t="s">
        <v>18</v>
      </c>
      <c r="P114" s="1989"/>
      <c r="Q114" s="1989" t="s">
        <v>19</v>
      </c>
      <c r="R114" s="1989"/>
      <c r="S114" s="1989" t="s">
        <v>20</v>
      </c>
      <c r="T114" s="1989"/>
      <c r="U114" s="1989" t="s">
        <v>21</v>
      </c>
      <c r="V114" s="1989"/>
      <c r="W114" s="1989" t="s">
        <v>22</v>
      </c>
      <c r="X114" s="1989"/>
      <c r="Y114" s="1989" t="s">
        <v>23</v>
      </c>
      <c r="Z114" s="1989"/>
      <c r="AA114" s="1989" t="s">
        <v>24</v>
      </c>
      <c r="AB114" s="1989"/>
      <c r="AC114" s="1989" t="s">
        <v>208</v>
      </c>
      <c r="AD114" s="1989"/>
      <c r="AE114" s="1989" t="s">
        <v>209</v>
      </c>
      <c r="AF114" s="1989"/>
      <c r="AG114" s="2332" t="s">
        <v>181</v>
      </c>
      <c r="AH114" s="2332"/>
      <c r="AI114" s="2332" t="s">
        <v>182</v>
      </c>
      <c r="AJ114" s="2332"/>
      <c r="AK114" s="2332" t="s">
        <v>183</v>
      </c>
      <c r="AL114" s="2332"/>
      <c r="AM114" s="2275" t="s">
        <v>195</v>
      </c>
      <c r="AN114" s="2275"/>
    </row>
    <row r="115" spans="1:236" ht="27.75" customHeight="1" x14ac:dyDescent="0.3">
      <c r="B115" s="2350"/>
      <c r="C115" s="2350"/>
      <c r="D115" s="176" t="s">
        <v>93</v>
      </c>
      <c r="E115" s="60" t="s">
        <v>31</v>
      </c>
      <c r="F115" s="357" t="s">
        <v>94</v>
      </c>
      <c r="G115" s="356" t="s">
        <v>31</v>
      </c>
      <c r="H115" s="357" t="s">
        <v>94</v>
      </c>
      <c r="I115" s="356" t="s">
        <v>31</v>
      </c>
      <c r="J115" s="357" t="s">
        <v>94</v>
      </c>
      <c r="K115" s="356" t="s">
        <v>31</v>
      </c>
      <c r="L115" s="357" t="s">
        <v>94</v>
      </c>
      <c r="M115" s="356" t="s">
        <v>31</v>
      </c>
      <c r="N115" s="357" t="s">
        <v>94</v>
      </c>
      <c r="O115" s="356" t="s">
        <v>31</v>
      </c>
      <c r="P115" s="357" t="s">
        <v>94</v>
      </c>
      <c r="Q115" s="356" t="s">
        <v>31</v>
      </c>
      <c r="R115" s="357" t="s">
        <v>94</v>
      </c>
      <c r="S115" s="356" t="s">
        <v>31</v>
      </c>
      <c r="T115" s="357" t="s">
        <v>94</v>
      </c>
      <c r="U115" s="356" t="s">
        <v>31</v>
      </c>
      <c r="V115" s="357" t="s">
        <v>94</v>
      </c>
      <c r="W115" s="356" t="s">
        <v>31</v>
      </c>
      <c r="X115" s="357" t="s">
        <v>94</v>
      </c>
      <c r="Y115" s="356" t="s">
        <v>31</v>
      </c>
      <c r="Z115" s="357" t="s">
        <v>94</v>
      </c>
      <c r="AA115" s="356" t="s">
        <v>31</v>
      </c>
      <c r="AB115" s="357" t="s">
        <v>94</v>
      </c>
      <c r="AC115" s="356" t="s">
        <v>31</v>
      </c>
      <c r="AD115" s="357" t="s">
        <v>94</v>
      </c>
      <c r="AE115" s="356" t="s">
        <v>31</v>
      </c>
      <c r="AF115" s="357" t="s">
        <v>94</v>
      </c>
      <c r="AG115" s="356" t="s">
        <v>31</v>
      </c>
      <c r="AH115" s="357" t="s">
        <v>94</v>
      </c>
      <c r="AI115" s="356" t="s">
        <v>31</v>
      </c>
      <c r="AJ115" s="357" t="s">
        <v>94</v>
      </c>
      <c r="AK115" s="356" t="s">
        <v>31</v>
      </c>
      <c r="AL115" s="357" t="s">
        <v>94</v>
      </c>
      <c r="AM115" s="356" t="s">
        <v>31</v>
      </c>
      <c r="AN115" s="357" t="s">
        <v>94</v>
      </c>
    </row>
    <row r="116" spans="1:236" x14ac:dyDescent="0.3">
      <c r="A116" s="1637" t="s">
        <v>1361</v>
      </c>
      <c r="B116" s="185" t="s">
        <v>233</v>
      </c>
      <c r="C116" s="186" t="s">
        <v>210</v>
      </c>
      <c r="D116" s="278" t="s">
        <v>1550</v>
      </c>
      <c r="E116" s="279" t="s">
        <v>1551</v>
      </c>
      <c r="F116" s="280" t="s">
        <v>1552</v>
      </c>
      <c r="G116" s="859" t="s">
        <v>1553</v>
      </c>
      <c r="H116" s="860" t="s">
        <v>1554</v>
      </c>
      <c r="I116" s="859" t="s">
        <v>1555</v>
      </c>
      <c r="J116" s="860" t="s">
        <v>1556</v>
      </c>
      <c r="K116" s="859" t="s">
        <v>1557</v>
      </c>
      <c r="L116" s="861" t="s">
        <v>1558</v>
      </c>
      <c r="M116" s="859" t="s">
        <v>1559</v>
      </c>
      <c r="N116" s="861" t="s">
        <v>1560</v>
      </c>
      <c r="O116" s="859" t="s">
        <v>1561</v>
      </c>
      <c r="P116" s="861" t="s">
        <v>1562</v>
      </c>
      <c r="Q116" s="859" t="s">
        <v>1563</v>
      </c>
      <c r="R116" s="860" t="s">
        <v>1564</v>
      </c>
      <c r="S116" s="859" t="s">
        <v>1565</v>
      </c>
      <c r="T116" s="860" t="s">
        <v>1566</v>
      </c>
      <c r="U116" s="859" t="s">
        <v>1567</v>
      </c>
      <c r="V116" s="861" t="s">
        <v>1568</v>
      </c>
      <c r="W116" s="859" t="s">
        <v>1569</v>
      </c>
      <c r="X116" s="861" t="s">
        <v>1570</v>
      </c>
      <c r="Y116" s="859" t="s">
        <v>1571</v>
      </c>
      <c r="Z116" s="861" t="s">
        <v>1572</v>
      </c>
      <c r="AA116" s="859" t="s">
        <v>1573</v>
      </c>
      <c r="AB116" s="860" t="s">
        <v>1574</v>
      </c>
      <c r="AC116" s="859" t="s">
        <v>1575</v>
      </c>
      <c r="AD116" s="860" t="s">
        <v>1576</v>
      </c>
      <c r="AE116" s="859" t="s">
        <v>1577</v>
      </c>
      <c r="AF116" s="861" t="s">
        <v>1578</v>
      </c>
      <c r="AG116" s="859" t="s">
        <v>1579</v>
      </c>
      <c r="AH116" s="861" t="s">
        <v>1580</v>
      </c>
      <c r="AI116" s="859" t="s">
        <v>1581</v>
      </c>
      <c r="AJ116" s="861" t="s">
        <v>1582</v>
      </c>
      <c r="AK116" s="859" t="s">
        <v>1583</v>
      </c>
      <c r="AL116" s="861" t="s">
        <v>1584</v>
      </c>
      <c r="AM116" s="859" t="s">
        <v>1585</v>
      </c>
      <c r="AN116" s="864" t="s">
        <v>1586</v>
      </c>
      <c r="AO116" s="1515"/>
    </row>
    <row r="117" spans="1:236" x14ac:dyDescent="0.3">
      <c r="A117" s="1637" t="s">
        <v>1362</v>
      </c>
      <c r="B117" s="185" t="s">
        <v>234</v>
      </c>
      <c r="C117" s="186" t="s">
        <v>210</v>
      </c>
      <c r="D117" s="278" t="s">
        <v>1550</v>
      </c>
      <c r="E117" s="279" t="s">
        <v>1551</v>
      </c>
      <c r="F117" s="280" t="s">
        <v>1552</v>
      </c>
      <c r="G117" s="859" t="s">
        <v>1553</v>
      </c>
      <c r="H117" s="860" t="s">
        <v>1554</v>
      </c>
      <c r="I117" s="859" t="s">
        <v>1555</v>
      </c>
      <c r="J117" s="860" t="s">
        <v>1556</v>
      </c>
      <c r="K117" s="859" t="s">
        <v>1557</v>
      </c>
      <c r="L117" s="861" t="s">
        <v>1558</v>
      </c>
      <c r="M117" s="859" t="s">
        <v>1559</v>
      </c>
      <c r="N117" s="861" t="s">
        <v>1560</v>
      </c>
      <c r="O117" s="859" t="s">
        <v>1561</v>
      </c>
      <c r="P117" s="861" t="s">
        <v>1562</v>
      </c>
      <c r="Q117" s="859" t="s">
        <v>1563</v>
      </c>
      <c r="R117" s="860" t="s">
        <v>1564</v>
      </c>
      <c r="S117" s="859" t="s">
        <v>1565</v>
      </c>
      <c r="T117" s="860" t="s">
        <v>1566</v>
      </c>
      <c r="U117" s="859" t="s">
        <v>1567</v>
      </c>
      <c r="V117" s="861" t="s">
        <v>1568</v>
      </c>
      <c r="W117" s="859" t="s">
        <v>1569</v>
      </c>
      <c r="X117" s="861" t="s">
        <v>1570</v>
      </c>
      <c r="Y117" s="859" t="s">
        <v>1571</v>
      </c>
      <c r="Z117" s="861" t="s">
        <v>1572</v>
      </c>
      <c r="AA117" s="859" t="s">
        <v>1573</v>
      </c>
      <c r="AB117" s="860" t="s">
        <v>1574</v>
      </c>
      <c r="AC117" s="859" t="s">
        <v>1575</v>
      </c>
      <c r="AD117" s="860" t="s">
        <v>1576</v>
      </c>
      <c r="AE117" s="859" t="s">
        <v>1577</v>
      </c>
      <c r="AF117" s="861" t="s">
        <v>1578</v>
      </c>
      <c r="AG117" s="859" t="s">
        <v>1579</v>
      </c>
      <c r="AH117" s="861" t="s">
        <v>1580</v>
      </c>
      <c r="AI117" s="859" t="s">
        <v>1581</v>
      </c>
      <c r="AJ117" s="861" t="s">
        <v>1582</v>
      </c>
      <c r="AK117" s="859" t="s">
        <v>1583</v>
      </c>
      <c r="AL117" s="861" t="s">
        <v>1584</v>
      </c>
      <c r="AM117" s="859" t="s">
        <v>1585</v>
      </c>
      <c r="AN117" s="864" t="s">
        <v>1586</v>
      </c>
      <c r="AO117" s="1515"/>
    </row>
    <row r="123" spans="1:236" s="354" customFormat="1" x14ac:dyDescent="0.3">
      <c r="B123" s="175"/>
      <c r="C123" s="175"/>
      <c r="D123" s="175"/>
      <c r="E123" s="175"/>
      <c r="F123" s="175"/>
      <c r="G123" s="175"/>
      <c r="H123" s="175"/>
      <c r="I123" s="175"/>
      <c r="J123" s="175"/>
      <c r="K123" s="175"/>
      <c r="L123" s="175"/>
      <c r="M123" s="175"/>
      <c r="N123" s="175"/>
      <c r="O123" s="175"/>
      <c r="P123" s="175"/>
      <c r="Q123" s="175"/>
      <c r="R123" s="175"/>
      <c r="S123" s="175"/>
      <c r="T123" s="175"/>
      <c r="U123" s="175"/>
      <c r="V123" s="175"/>
      <c r="W123" s="175"/>
      <c r="X123" s="175"/>
      <c r="Y123" s="175"/>
      <c r="Z123" s="175"/>
      <c r="AA123" s="175"/>
      <c r="AB123" s="175"/>
      <c r="AC123" s="175"/>
      <c r="AD123" s="175"/>
      <c r="AE123" s="175"/>
      <c r="AF123" s="175"/>
      <c r="AG123" s="175"/>
      <c r="AH123" s="175"/>
      <c r="AI123" s="175"/>
      <c r="AJ123" s="175"/>
      <c r="AK123" s="175"/>
      <c r="AL123" s="175"/>
      <c r="AM123" s="175"/>
      <c r="AN123" s="175"/>
      <c r="AO123" s="175"/>
      <c r="AP123" s="175"/>
      <c r="AQ123" s="175"/>
      <c r="AR123" s="175"/>
      <c r="AS123" s="175"/>
      <c r="AT123" s="175"/>
      <c r="AU123" s="175"/>
      <c r="AV123" s="175"/>
      <c r="AW123" s="175"/>
      <c r="AX123" s="175"/>
      <c r="AY123" s="175"/>
      <c r="AZ123" s="175"/>
      <c r="BA123" s="175"/>
      <c r="BB123" s="175"/>
      <c r="BC123" s="175"/>
      <c r="BD123" s="960"/>
      <c r="BE123" s="960"/>
      <c r="BF123" s="960"/>
      <c r="BG123" s="960"/>
      <c r="BH123" s="960"/>
      <c r="BI123" s="960"/>
      <c r="BJ123" s="960"/>
      <c r="BK123" s="960"/>
      <c r="BL123" s="960"/>
      <c r="BM123" s="960"/>
      <c r="BN123" s="960"/>
      <c r="BO123" s="960"/>
      <c r="BP123" s="960"/>
      <c r="BQ123" s="960"/>
      <c r="BR123" s="960"/>
      <c r="BS123" s="960"/>
      <c r="BT123" s="960"/>
      <c r="BU123" s="960"/>
      <c r="BV123" s="960"/>
      <c r="BW123" s="960"/>
      <c r="BX123" s="960"/>
      <c r="BY123" s="960"/>
      <c r="BZ123" s="960"/>
      <c r="CA123" s="960"/>
      <c r="CB123" s="960"/>
      <c r="CC123" s="960"/>
      <c r="CD123" s="960"/>
      <c r="CE123" s="960"/>
      <c r="CF123" s="960"/>
      <c r="CG123" s="960"/>
      <c r="CH123" s="960"/>
      <c r="CI123" s="960"/>
      <c r="CJ123" s="960"/>
      <c r="CK123" s="960"/>
      <c r="CL123" s="960"/>
      <c r="CM123" s="960"/>
      <c r="CN123" s="960"/>
      <c r="CO123" s="960"/>
      <c r="CP123" s="960"/>
      <c r="CQ123" s="960"/>
      <c r="CR123" s="960"/>
      <c r="CS123" s="960"/>
      <c r="CT123" s="960"/>
      <c r="CU123" s="960"/>
      <c r="CV123" s="960"/>
      <c r="CW123" s="960"/>
      <c r="CX123" s="960"/>
      <c r="CY123" s="960"/>
      <c r="CZ123" s="960"/>
      <c r="DA123" s="960"/>
      <c r="DB123" s="960"/>
      <c r="DC123" s="960"/>
      <c r="DD123" s="960"/>
      <c r="DE123" s="960"/>
      <c r="DF123" s="960"/>
      <c r="DG123" s="960"/>
      <c r="DH123" s="960"/>
      <c r="DI123" s="960"/>
      <c r="DJ123" s="960"/>
      <c r="DK123" s="960"/>
      <c r="DL123" s="960"/>
      <c r="DM123" s="960"/>
      <c r="DN123" s="960"/>
      <c r="DO123" s="960"/>
      <c r="DP123" s="960"/>
      <c r="DQ123" s="960"/>
      <c r="DR123" s="960"/>
      <c r="DS123" s="960"/>
      <c r="DT123" s="960"/>
      <c r="DU123" s="960"/>
      <c r="DV123" s="960"/>
      <c r="DW123" s="960"/>
      <c r="DX123" s="960"/>
      <c r="DY123" s="960"/>
      <c r="DZ123" s="960"/>
      <c r="EA123" s="960"/>
      <c r="EB123" s="960"/>
      <c r="EC123" s="960"/>
      <c r="ED123" s="960"/>
      <c r="EE123" s="960"/>
      <c r="EF123" s="960"/>
      <c r="EG123" s="960"/>
      <c r="EH123" s="960"/>
      <c r="EI123" s="960"/>
      <c r="EJ123" s="960"/>
      <c r="EK123" s="960"/>
      <c r="EL123" s="960"/>
      <c r="EM123" s="960"/>
      <c r="EN123" s="960"/>
      <c r="EO123" s="960"/>
      <c r="EP123" s="960"/>
      <c r="EQ123" s="960"/>
      <c r="ER123" s="960"/>
      <c r="ES123" s="960"/>
      <c r="ET123" s="960"/>
      <c r="EU123" s="960"/>
      <c r="EV123" s="960"/>
      <c r="EW123" s="960"/>
      <c r="EX123" s="960"/>
      <c r="EY123" s="960"/>
      <c r="EZ123" s="960"/>
      <c r="FA123" s="960"/>
      <c r="FB123" s="960"/>
      <c r="FC123" s="960"/>
      <c r="FD123" s="960"/>
      <c r="FE123" s="960"/>
      <c r="FF123" s="960"/>
      <c r="FG123" s="960"/>
      <c r="FH123" s="960"/>
      <c r="FI123" s="960"/>
      <c r="FJ123" s="960"/>
      <c r="FK123" s="960"/>
      <c r="FL123" s="960"/>
      <c r="FM123" s="960"/>
      <c r="FN123" s="960"/>
      <c r="FO123" s="960"/>
      <c r="FP123" s="960"/>
      <c r="FQ123" s="960"/>
      <c r="FR123" s="960"/>
      <c r="FS123" s="960"/>
      <c r="FT123" s="960"/>
      <c r="FU123" s="960"/>
      <c r="FV123" s="960"/>
      <c r="FW123" s="960"/>
      <c r="FX123" s="960"/>
      <c r="FY123" s="960"/>
      <c r="FZ123" s="960"/>
      <c r="GA123" s="960"/>
      <c r="GB123" s="960"/>
      <c r="GC123" s="960"/>
      <c r="GD123" s="960"/>
      <c r="GE123" s="960"/>
      <c r="GF123" s="960"/>
      <c r="GG123" s="960"/>
      <c r="GH123" s="960"/>
      <c r="GI123" s="960"/>
      <c r="GJ123" s="960"/>
      <c r="GK123" s="960"/>
      <c r="GL123" s="960"/>
      <c r="GM123" s="960"/>
      <c r="GN123" s="960"/>
      <c r="GO123" s="960"/>
      <c r="GP123" s="960"/>
      <c r="GQ123" s="960"/>
      <c r="GR123" s="960"/>
      <c r="GS123" s="960"/>
      <c r="GT123" s="960"/>
      <c r="GU123" s="960"/>
      <c r="GV123" s="960"/>
      <c r="GW123" s="960"/>
      <c r="GX123" s="960"/>
      <c r="GY123" s="960"/>
      <c r="GZ123" s="960"/>
      <c r="HA123" s="960"/>
      <c r="HB123" s="960"/>
      <c r="HC123" s="960"/>
      <c r="HD123" s="960"/>
      <c r="HE123" s="960"/>
      <c r="HF123" s="960"/>
      <c r="HG123" s="960"/>
      <c r="HH123" s="960"/>
      <c r="HI123" s="960"/>
      <c r="HJ123" s="960"/>
      <c r="HK123" s="960"/>
      <c r="HL123" s="960"/>
      <c r="HM123" s="960"/>
      <c r="HN123" s="960"/>
      <c r="HO123" s="960"/>
      <c r="HP123" s="960"/>
      <c r="HQ123" s="960"/>
      <c r="HR123" s="960"/>
      <c r="HS123" s="960"/>
      <c r="HT123" s="960"/>
      <c r="HU123" s="960"/>
      <c r="HV123" s="960"/>
      <c r="HW123" s="960"/>
      <c r="HX123" s="960"/>
      <c r="HY123" s="960"/>
      <c r="HZ123" s="960"/>
      <c r="IA123" s="960"/>
      <c r="IB123" s="960"/>
    </row>
    <row r="124" spans="1:236" s="354" customFormat="1" x14ac:dyDescent="0.3">
      <c r="B124" s="175"/>
      <c r="C124" s="175"/>
      <c r="D124" s="175"/>
      <c r="E124" s="175"/>
      <c r="F124" s="175"/>
      <c r="G124" s="175"/>
      <c r="H124" s="175"/>
      <c r="I124" s="175"/>
      <c r="J124" s="175"/>
      <c r="K124" s="175"/>
      <c r="L124" s="175"/>
      <c r="M124" s="175"/>
      <c r="N124" s="175"/>
      <c r="O124" s="175"/>
      <c r="P124" s="175"/>
      <c r="Q124" s="175"/>
      <c r="R124" s="175"/>
      <c r="S124" s="175"/>
      <c r="T124" s="175"/>
      <c r="U124" s="175"/>
      <c r="V124" s="175"/>
      <c r="W124" s="175"/>
      <c r="X124" s="175"/>
      <c r="Y124" s="175"/>
      <c r="Z124" s="175"/>
      <c r="AA124" s="175"/>
      <c r="AB124" s="175"/>
      <c r="AC124" s="175"/>
      <c r="AD124" s="175"/>
      <c r="AE124" s="175"/>
      <c r="AF124" s="175"/>
      <c r="AG124" s="175"/>
      <c r="AH124" s="175"/>
      <c r="AI124" s="175"/>
      <c r="AJ124" s="175"/>
      <c r="AK124" s="175"/>
      <c r="AL124" s="175"/>
      <c r="AM124" s="175"/>
      <c r="AN124" s="175"/>
      <c r="AO124" s="175"/>
      <c r="AP124" s="175"/>
      <c r="AQ124" s="175"/>
      <c r="AR124" s="175"/>
      <c r="AS124" s="175"/>
      <c r="AT124" s="175"/>
      <c r="AU124" s="175"/>
      <c r="AV124" s="175"/>
      <c r="AW124" s="175"/>
      <c r="AX124" s="175"/>
      <c r="AY124" s="175"/>
      <c r="AZ124" s="175"/>
      <c r="BA124" s="175"/>
      <c r="BB124" s="175"/>
      <c r="BC124" s="175"/>
      <c r="BD124" s="960"/>
      <c r="BE124" s="960"/>
      <c r="BF124" s="960"/>
      <c r="BG124" s="960"/>
      <c r="BH124" s="960"/>
      <c r="BI124" s="960"/>
      <c r="BJ124" s="960"/>
      <c r="BK124" s="960"/>
      <c r="BL124" s="960"/>
      <c r="BM124" s="960"/>
      <c r="BN124" s="960"/>
      <c r="BO124" s="960"/>
      <c r="BP124" s="960"/>
      <c r="BQ124" s="960"/>
      <c r="BR124" s="960"/>
      <c r="BS124" s="960"/>
      <c r="BT124" s="960"/>
      <c r="BU124" s="960"/>
      <c r="BV124" s="960"/>
      <c r="BW124" s="960"/>
      <c r="BX124" s="960"/>
      <c r="BY124" s="960"/>
      <c r="BZ124" s="960"/>
      <c r="CA124" s="960"/>
      <c r="CB124" s="960"/>
      <c r="CC124" s="960"/>
      <c r="CD124" s="960"/>
      <c r="CE124" s="960"/>
      <c r="CF124" s="960"/>
      <c r="CG124" s="960"/>
      <c r="CH124" s="960"/>
      <c r="CI124" s="960"/>
      <c r="CJ124" s="960"/>
      <c r="CK124" s="960"/>
      <c r="CL124" s="960"/>
      <c r="CM124" s="960"/>
      <c r="CN124" s="960"/>
      <c r="CO124" s="960"/>
      <c r="CP124" s="960"/>
      <c r="CQ124" s="960"/>
      <c r="CR124" s="960"/>
      <c r="CS124" s="960"/>
      <c r="CT124" s="960"/>
      <c r="CU124" s="960"/>
      <c r="CV124" s="960"/>
      <c r="CW124" s="960"/>
      <c r="CX124" s="960"/>
      <c r="CY124" s="960"/>
      <c r="CZ124" s="960"/>
      <c r="DA124" s="960"/>
      <c r="DB124" s="960"/>
      <c r="DC124" s="960"/>
      <c r="DD124" s="960"/>
      <c r="DE124" s="960"/>
      <c r="DF124" s="960"/>
      <c r="DG124" s="960"/>
      <c r="DH124" s="960"/>
      <c r="DI124" s="960"/>
      <c r="DJ124" s="960"/>
      <c r="DK124" s="960"/>
      <c r="DL124" s="960"/>
      <c r="DM124" s="960"/>
      <c r="DN124" s="960"/>
      <c r="DO124" s="960"/>
      <c r="DP124" s="960"/>
      <c r="DQ124" s="960"/>
      <c r="DR124" s="960"/>
      <c r="DS124" s="960"/>
      <c r="DT124" s="960"/>
      <c r="DU124" s="960"/>
      <c r="DV124" s="960"/>
      <c r="DW124" s="960"/>
      <c r="DX124" s="960"/>
      <c r="DY124" s="960"/>
      <c r="DZ124" s="960"/>
      <c r="EA124" s="960"/>
      <c r="EB124" s="960"/>
      <c r="EC124" s="960"/>
      <c r="ED124" s="960"/>
      <c r="EE124" s="960"/>
      <c r="EF124" s="960"/>
      <c r="EG124" s="960"/>
      <c r="EH124" s="960"/>
      <c r="EI124" s="960"/>
      <c r="EJ124" s="960"/>
      <c r="EK124" s="960"/>
      <c r="EL124" s="960"/>
      <c r="EM124" s="960"/>
      <c r="EN124" s="960"/>
      <c r="EO124" s="960"/>
      <c r="EP124" s="960"/>
      <c r="EQ124" s="960"/>
      <c r="ER124" s="960"/>
      <c r="ES124" s="960"/>
      <c r="ET124" s="960"/>
      <c r="EU124" s="960"/>
      <c r="EV124" s="960"/>
      <c r="EW124" s="960"/>
      <c r="EX124" s="960"/>
      <c r="EY124" s="960"/>
      <c r="EZ124" s="960"/>
      <c r="FA124" s="960"/>
      <c r="FB124" s="960"/>
      <c r="FC124" s="960"/>
      <c r="FD124" s="960"/>
      <c r="FE124" s="960"/>
      <c r="FF124" s="960"/>
      <c r="FG124" s="960"/>
      <c r="FH124" s="960"/>
      <c r="FI124" s="960"/>
      <c r="FJ124" s="960"/>
      <c r="FK124" s="960"/>
      <c r="FL124" s="960"/>
      <c r="FM124" s="960"/>
      <c r="FN124" s="960"/>
      <c r="FO124" s="960"/>
      <c r="FP124" s="960"/>
      <c r="FQ124" s="960"/>
      <c r="FR124" s="960"/>
      <c r="FS124" s="960"/>
      <c r="FT124" s="960"/>
      <c r="FU124" s="960"/>
      <c r="FV124" s="960"/>
      <c r="FW124" s="960"/>
      <c r="FX124" s="960"/>
      <c r="FY124" s="960"/>
      <c r="FZ124" s="960"/>
      <c r="GA124" s="960"/>
      <c r="GB124" s="960"/>
      <c r="GC124" s="960"/>
      <c r="GD124" s="960"/>
      <c r="GE124" s="960"/>
      <c r="GF124" s="960"/>
      <c r="GG124" s="960"/>
      <c r="GH124" s="960"/>
      <c r="GI124" s="960"/>
      <c r="GJ124" s="960"/>
      <c r="GK124" s="960"/>
      <c r="GL124" s="960"/>
      <c r="GM124" s="960"/>
      <c r="GN124" s="960"/>
      <c r="GO124" s="960"/>
      <c r="GP124" s="960"/>
      <c r="GQ124" s="960"/>
      <c r="GR124" s="960"/>
      <c r="GS124" s="960"/>
      <c r="GT124" s="960"/>
      <c r="GU124" s="960"/>
      <c r="GV124" s="960"/>
      <c r="GW124" s="960"/>
      <c r="GX124" s="960"/>
      <c r="GY124" s="960"/>
      <c r="GZ124" s="960"/>
      <c r="HA124" s="960"/>
      <c r="HB124" s="960"/>
      <c r="HC124" s="960"/>
      <c r="HD124" s="960"/>
      <c r="HE124" s="960"/>
      <c r="HF124" s="960"/>
      <c r="HG124" s="960"/>
      <c r="HH124" s="960"/>
      <c r="HI124" s="960"/>
      <c r="HJ124" s="960"/>
      <c r="HK124" s="960"/>
      <c r="HL124" s="960"/>
      <c r="HM124" s="960"/>
      <c r="HN124" s="960"/>
      <c r="HO124" s="960"/>
      <c r="HP124" s="960"/>
      <c r="HQ124" s="960"/>
      <c r="HR124" s="960"/>
      <c r="HS124" s="960"/>
      <c r="HT124" s="960"/>
      <c r="HU124" s="960"/>
      <c r="HV124" s="960"/>
      <c r="HW124" s="960"/>
      <c r="HX124" s="960"/>
      <c r="HY124" s="960"/>
      <c r="HZ124" s="960"/>
      <c r="IA124" s="960"/>
      <c r="IB124" s="960"/>
    </row>
    <row r="134" spans="2:3" ht="19.5" customHeight="1" x14ac:dyDescent="0.3"/>
    <row r="136" spans="2:3" ht="15" customHeight="1" x14ac:dyDescent="0.3"/>
    <row r="137" spans="2:3" ht="15" hidden="1" customHeight="1" x14ac:dyDescent="0.3">
      <c r="B137" s="1451">
        <f>SUM(D13:D54,D59:D60,D65,D70:D111,D116:D117)</f>
        <v>0</v>
      </c>
      <c r="C137" s="354" t="s">
        <v>317</v>
      </c>
    </row>
    <row r="138" spans="2:3" ht="15" hidden="1" customHeight="1" x14ac:dyDescent="0.3">
      <c r="B138" s="1451">
        <f>SUM(DB13:DW111)</f>
        <v>813</v>
      </c>
      <c r="C138" s="354" t="s">
        <v>318</v>
      </c>
    </row>
    <row r="139" spans="2:3" ht="15" customHeight="1" x14ac:dyDescent="0.3"/>
    <row r="140" spans="2:3" ht="15" customHeight="1" x14ac:dyDescent="0.3"/>
    <row r="141" spans="2:3" ht="15" customHeight="1" x14ac:dyDescent="0.3"/>
    <row r="142" spans="2:3" ht="15" customHeight="1" x14ac:dyDescent="0.3"/>
    <row r="143" spans="2:3" ht="15" customHeight="1" x14ac:dyDescent="0.3"/>
    <row r="144" spans="2:3" ht="15" customHeight="1" x14ac:dyDescent="0.3"/>
    <row r="145" ht="15" customHeight="1" x14ac:dyDescent="0.3"/>
    <row r="146" ht="15" customHeight="1" x14ac:dyDescent="0.3"/>
  </sheetData>
  <dataConsolidate/>
  <mergeCells count="178">
    <mergeCell ref="AE57:AF57"/>
    <mergeCell ref="S57:T57"/>
    <mergeCell ref="U57:V57"/>
    <mergeCell ref="W11:X11"/>
    <mergeCell ref="B17:C17"/>
    <mergeCell ref="B72:B73"/>
    <mergeCell ref="B71:C71"/>
    <mergeCell ref="B62:C64"/>
    <mergeCell ref="D56:F57"/>
    <mergeCell ref="B43:C43"/>
    <mergeCell ref="B13:C13"/>
    <mergeCell ref="B14:C14"/>
    <mergeCell ref="B15:B16"/>
    <mergeCell ref="B18:B19"/>
    <mergeCell ref="B46:C46"/>
    <mergeCell ref="B47:C47"/>
    <mergeCell ref="B45:C45"/>
    <mergeCell ref="B48:B52"/>
    <mergeCell ref="B56:B58"/>
    <mergeCell ref="C56:C58"/>
    <mergeCell ref="B54:C54"/>
    <mergeCell ref="B20:C20"/>
    <mergeCell ref="B21:B25"/>
    <mergeCell ref="B26:B30"/>
    <mergeCell ref="B31:B34"/>
    <mergeCell ref="B40:B42"/>
    <mergeCell ref="B35:B39"/>
    <mergeCell ref="G62:P62"/>
    <mergeCell ref="D62:F63"/>
    <mergeCell ref="G63:H63"/>
    <mergeCell ref="I63:J63"/>
    <mergeCell ref="K63:L63"/>
    <mergeCell ref="M68:N68"/>
    <mergeCell ref="O68:P68"/>
    <mergeCell ref="M57:N57"/>
    <mergeCell ref="O57:P57"/>
    <mergeCell ref="B74:C74"/>
    <mergeCell ref="B65:C65"/>
    <mergeCell ref="B70:C70"/>
    <mergeCell ref="K68:L68"/>
    <mergeCell ref="B66:P66"/>
    <mergeCell ref="B67:C69"/>
    <mergeCell ref="D67:F68"/>
    <mergeCell ref="C113:C115"/>
    <mergeCell ref="B88:B91"/>
    <mergeCell ref="B77:C77"/>
    <mergeCell ref="B83:B87"/>
    <mergeCell ref="B97:B99"/>
    <mergeCell ref="B102:C102"/>
    <mergeCell ref="B104:C104"/>
    <mergeCell ref="B78:B82"/>
    <mergeCell ref="B92:B96"/>
    <mergeCell ref="B111:C111"/>
    <mergeCell ref="B113:B115"/>
    <mergeCell ref="B105:B109"/>
    <mergeCell ref="B103:C103"/>
    <mergeCell ref="B100:C100"/>
    <mergeCell ref="B75:B76"/>
    <mergeCell ref="D113:F114"/>
    <mergeCell ref="I114:J114"/>
    <mergeCell ref="B7:V7"/>
    <mergeCell ref="I9:J9"/>
    <mergeCell ref="K9:L9"/>
    <mergeCell ref="M9:N9"/>
    <mergeCell ref="B10:C12"/>
    <mergeCell ref="D10:F11"/>
    <mergeCell ref="B9:H9"/>
    <mergeCell ref="O9:P9"/>
    <mergeCell ref="Q9:R9"/>
    <mergeCell ref="S9:T9"/>
    <mergeCell ref="G10:AN10"/>
    <mergeCell ref="U11:V11"/>
    <mergeCell ref="U9:V9"/>
    <mergeCell ref="M11:N11"/>
    <mergeCell ref="W9:X9"/>
    <mergeCell ref="Y9:Z9"/>
    <mergeCell ref="AK11:AL11"/>
    <mergeCell ref="AE11:AF11"/>
    <mergeCell ref="AG11:AH11"/>
    <mergeCell ref="AI11:AJ11"/>
    <mergeCell ref="AG9:AH9"/>
    <mergeCell ref="AM9:AN9"/>
    <mergeCell ref="AM11:AN11"/>
    <mergeCell ref="K11:L11"/>
    <mergeCell ref="U114:V114"/>
    <mergeCell ref="W114:X114"/>
    <mergeCell ref="M63:N63"/>
    <mergeCell ref="S68:T68"/>
    <mergeCell ref="Q68:R68"/>
    <mergeCell ref="Y68:Z68"/>
    <mergeCell ref="U68:V68"/>
    <mergeCell ref="O114:P114"/>
    <mergeCell ref="Q62:R63"/>
    <mergeCell ref="G67:AN67"/>
    <mergeCell ref="M114:N114"/>
    <mergeCell ref="Q114:R114"/>
    <mergeCell ref="S114:T114"/>
    <mergeCell ref="AM114:AN114"/>
    <mergeCell ref="AA114:AB114"/>
    <mergeCell ref="AC114:AD114"/>
    <mergeCell ref="AE114:AF114"/>
    <mergeCell ref="AG114:AH114"/>
    <mergeCell ref="AI114:AJ114"/>
    <mergeCell ref="AK114:AL114"/>
    <mergeCell ref="AC68:AD68"/>
    <mergeCell ref="G113:AN113"/>
    <mergeCell ref="Y114:Z114"/>
    <mergeCell ref="G114:H114"/>
    <mergeCell ref="K114:L114"/>
    <mergeCell ref="AG68:AH68"/>
    <mergeCell ref="AA68:AB68"/>
    <mergeCell ref="AI68:AJ68"/>
    <mergeCell ref="AM68:AN68"/>
    <mergeCell ref="W68:X68"/>
    <mergeCell ref="G68:H68"/>
    <mergeCell ref="I68:J68"/>
    <mergeCell ref="AK9:AL9"/>
    <mergeCell ref="G11:H11"/>
    <mergeCell ref="I11:J11"/>
    <mergeCell ref="Q57:R57"/>
    <mergeCell ref="AG57:AH57"/>
    <mergeCell ref="AI57:AJ57"/>
    <mergeCell ref="AC9:AD9"/>
    <mergeCell ref="AA9:AB9"/>
    <mergeCell ref="AE9:AF9"/>
    <mergeCell ref="AI9:AJ9"/>
    <mergeCell ref="AK57:AL57"/>
    <mergeCell ref="G56:AN56"/>
    <mergeCell ref="G57:H57"/>
    <mergeCell ref="I57:J57"/>
    <mergeCell ref="K57:L57"/>
    <mergeCell ref="AM57:AN57"/>
    <mergeCell ref="AK68:AL68"/>
    <mergeCell ref="AE68:AF68"/>
    <mergeCell ref="AS67:AT68"/>
    <mergeCell ref="AO67:AO69"/>
    <mergeCell ref="AP67:AP69"/>
    <mergeCell ref="AQ67:AR68"/>
    <mergeCell ref="AW67:AW69"/>
    <mergeCell ref="AV67:AV69"/>
    <mergeCell ref="AX67:AY68"/>
    <mergeCell ref="AU67:AU69"/>
    <mergeCell ref="CJ11:CJ12"/>
    <mergeCell ref="CL11:CM11"/>
    <mergeCell ref="CI11:CI12"/>
    <mergeCell ref="CE11:CF11"/>
    <mergeCell ref="CG11:CH11"/>
    <mergeCell ref="O11:P11"/>
    <mergeCell ref="Q11:R11"/>
    <mergeCell ref="AP10:AP12"/>
    <mergeCell ref="O63:P63"/>
    <mergeCell ref="AX10:AY11"/>
    <mergeCell ref="AO10:AO12"/>
    <mergeCell ref="AU10:AU12"/>
    <mergeCell ref="AS10:AT11"/>
    <mergeCell ref="AW10:AW12"/>
    <mergeCell ref="AC11:AD11"/>
    <mergeCell ref="Y11:Z11"/>
    <mergeCell ref="S11:T11"/>
    <mergeCell ref="W57:X57"/>
    <mergeCell ref="AV10:AV12"/>
    <mergeCell ref="AQ10:AR11"/>
    <mergeCell ref="Y57:Z57"/>
    <mergeCell ref="AA57:AB57"/>
    <mergeCell ref="AC57:AD57"/>
    <mergeCell ref="AA11:AB11"/>
    <mergeCell ref="CQ11:CR11"/>
    <mergeCell ref="CS11:CT11"/>
    <mergeCell ref="DJ11:DJ12"/>
    <mergeCell ref="DW11:DW12"/>
    <mergeCell ref="DU11:DU12"/>
    <mergeCell ref="DV11:DV12"/>
    <mergeCell ref="DJ68:DJ69"/>
    <mergeCell ref="DU68:DU69"/>
    <mergeCell ref="DV68:DV69"/>
    <mergeCell ref="DW68:DW69"/>
    <mergeCell ref="DH68:DH69"/>
    <mergeCell ref="DI68:DI69"/>
  </mergeCells>
  <phoneticPr fontId="26" type="noConversion"/>
  <conditionalFormatting sqref="CY96:DA109">
    <cfRule type="cellIs" dxfId="0" priority="1" operator="equal">
      <formula>1</formula>
    </cfRule>
  </conditionalFormatting>
  <dataValidations count="2">
    <dataValidation type="whole" operator="greaterThanOrEqual" allowBlank="1" showInputMessage="1" showErrorMessage="1" sqref="G116:AN117 G13:AY54 G59:AN60 G65:R65 G70:AY111" xr:uid="{00000000-0002-0000-0600-000000000000}">
      <formula1>0</formula1>
    </dataValidation>
    <dataValidation allowBlank="1" showInputMessage="1" showErrorMessage="1" errorTitle=" Error de ingreso" error="Debe ingresar sólo números enteros positivos." sqref="V65" xr:uid="{00000000-0002-0000-0600-000001000000}"/>
  </dataValidations>
  <pageMargins left="0.70866141732283472" right="0.70866141732283472" top="0.74803149606299213" bottom="0.74803149606299213" header="0.31496062992125984" footer="0.31496062992125984"/>
  <pageSetup scale="46" pageOrder="overThenDown" orientation="landscape" r:id="rId1"/>
  <colBreaks count="1" manualBreakCount="1">
    <brk id="22" max="92" man="1"/>
  </col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N51"/>
  <sheetViews>
    <sheetView showGridLines="0" zoomScaleNormal="100" workbookViewId="0"/>
  </sheetViews>
  <sheetFormatPr baseColWidth="10" defaultColWidth="11.44140625" defaultRowHeight="10.199999999999999" x14ac:dyDescent="0.2"/>
  <cols>
    <col min="1" max="1" width="13.6640625" style="175" customWidth="1"/>
    <col min="2" max="2" width="54" style="175" customWidth="1"/>
    <col min="3" max="13" width="11.5546875" style="175" customWidth="1"/>
    <col min="14" max="14" width="11.44140625" style="175" customWidth="1"/>
    <col min="15" max="27" width="11.44140625" style="175"/>
    <col min="28" max="79" width="11.44140625" style="175" customWidth="1"/>
    <col min="80" max="16384" width="11.44140625" style="175"/>
  </cols>
  <sheetData>
    <row r="1" spans="1:14" s="55" customFormat="1" ht="13.5" customHeight="1" x14ac:dyDescent="0.2">
      <c r="B1" s="120" t="s">
        <v>0</v>
      </c>
    </row>
    <row r="2" spans="1:14" s="55" customFormat="1" ht="13.5" customHeight="1" x14ac:dyDescent="0.2">
      <c r="B2" s="120" t="str">
        <f>CONCATENATE("COMUNA: ",NOMBRE!$B$2," - ","( ",NOMBRE!$C$2,NOMBRE!$D$2,NOMBRE!$E$2,NOMBRE!$F$2,NOMBRE!$G$2," )")</f>
        <v>COMUNA:  - (  )</v>
      </c>
    </row>
    <row r="3" spans="1:14" s="55" customFormat="1" ht="13.5" customHeight="1" x14ac:dyDescent="0.2">
      <c r="B3" s="120" t="str">
        <f>CONCATENATE("ESTABLECIMIENTO/ESTRATEGIA: ",NOMBRE!$B$3," - ","( ",NOMBRE!$C$3,NOMBRE!$D$3,NOMBRE!$E$3,NOMBRE!$F$3,NOMBRE!$G$3,NOMBRE!$H$3," )")</f>
        <v>ESTABLECIMIENTO/ESTRATEGIA:  - (  )</v>
      </c>
      <c r="E3" s="121"/>
    </row>
    <row r="4" spans="1:14" s="55" customFormat="1" ht="13.5" customHeight="1" x14ac:dyDescent="0.2">
      <c r="B4" s="120" t="str">
        <f>CONCATENATE("MES: ",NOMBRE!$B$6," - ","( ",NOMBRE!$C$6,NOMBRE!$D$6," )")</f>
        <v>MES:  - (  )</v>
      </c>
    </row>
    <row r="5" spans="1:14" s="55" customFormat="1" ht="13.5" customHeight="1" x14ac:dyDescent="0.2">
      <c r="B5" s="120" t="str">
        <f>CONCATENATE("AÑO: ",NOMBRE!$B$7)</f>
        <v>AÑO: 2023</v>
      </c>
    </row>
    <row r="6" spans="1:14" s="55" customFormat="1" ht="15" customHeight="1" x14ac:dyDescent="0.2">
      <c r="B6" s="120"/>
    </row>
    <row r="7" spans="1:14" s="57" customFormat="1" ht="21.75" customHeight="1" x14ac:dyDescent="0.2">
      <c r="B7" s="2397" t="s">
        <v>515</v>
      </c>
      <c r="C7" s="2397"/>
      <c r="D7" s="2397"/>
      <c r="E7" s="2397"/>
      <c r="F7" s="2397"/>
      <c r="G7" s="2397"/>
      <c r="H7" s="2397"/>
      <c r="I7" s="2397"/>
      <c r="J7" s="2397"/>
      <c r="K7" s="2397"/>
      <c r="L7" s="175"/>
      <c r="M7" s="175"/>
      <c r="N7" s="175"/>
    </row>
    <row r="8" spans="1:14" ht="44.1" customHeight="1" x14ac:dyDescent="0.3">
      <c r="B8" s="454" t="s">
        <v>400</v>
      </c>
      <c r="C8" s="452"/>
      <c r="D8" s="452"/>
      <c r="E8" s="368"/>
      <c r="F8" s="368"/>
      <c r="G8" s="368"/>
      <c r="H8" s="368"/>
      <c r="I8" s="368"/>
      <c r="J8" s="368"/>
      <c r="K8" s="368"/>
    </row>
    <row r="9" spans="1:14" ht="20.100000000000001" customHeight="1" x14ac:dyDescent="0.2">
      <c r="B9" s="333" t="s">
        <v>238</v>
      </c>
      <c r="C9" s="333" t="s">
        <v>13</v>
      </c>
      <c r="D9" s="361" t="s">
        <v>239</v>
      </c>
      <c r="E9" s="60" t="s">
        <v>240</v>
      </c>
      <c r="F9" s="60" t="s">
        <v>241</v>
      </c>
      <c r="G9" s="60" t="s">
        <v>242</v>
      </c>
      <c r="H9" s="60" t="s">
        <v>243</v>
      </c>
      <c r="I9" s="60" t="s">
        <v>244</v>
      </c>
      <c r="J9" s="60" t="s">
        <v>245</v>
      </c>
      <c r="K9" s="357" t="s">
        <v>246</v>
      </c>
    </row>
    <row r="10" spans="1:14" ht="15.75" customHeight="1" x14ac:dyDescent="0.25">
      <c r="A10" s="1637" t="s">
        <v>1363</v>
      </c>
      <c r="B10" s="362" t="s">
        <v>247</v>
      </c>
      <c r="C10" s="868" t="s">
        <v>1550</v>
      </c>
      <c r="D10" s="498" t="s">
        <v>1551</v>
      </c>
      <c r="E10" s="499" t="s">
        <v>1552</v>
      </c>
      <c r="F10" s="499" t="s">
        <v>1553</v>
      </c>
      <c r="G10" s="499" t="s">
        <v>1554</v>
      </c>
      <c r="H10" s="499" t="s">
        <v>1555</v>
      </c>
      <c r="I10" s="499" t="s">
        <v>1556</v>
      </c>
      <c r="J10" s="499" t="s">
        <v>1557</v>
      </c>
      <c r="K10" s="567" t="s">
        <v>1558</v>
      </c>
      <c r="L10" s="109"/>
    </row>
    <row r="11" spans="1:14" ht="18" customHeight="1" x14ac:dyDescent="0.25">
      <c r="A11" s="1637" t="s">
        <v>1364</v>
      </c>
      <c r="B11" s="363" t="s">
        <v>401</v>
      </c>
      <c r="C11" s="869" t="s">
        <v>1550</v>
      </c>
      <c r="D11" s="513" t="s">
        <v>1551</v>
      </c>
      <c r="E11" s="514" t="s">
        <v>1552</v>
      </c>
      <c r="F11" s="514" t="s">
        <v>1553</v>
      </c>
      <c r="G11" s="514" t="s">
        <v>1554</v>
      </c>
      <c r="H11" s="514" t="s">
        <v>1555</v>
      </c>
      <c r="I11" s="514" t="s">
        <v>1556</v>
      </c>
      <c r="J11" s="514" t="s">
        <v>1557</v>
      </c>
      <c r="K11" s="569" t="s">
        <v>1558</v>
      </c>
      <c r="L11" s="109"/>
    </row>
    <row r="12" spans="1:14" ht="15.75" customHeight="1" x14ac:dyDescent="0.25">
      <c r="A12" s="1637" t="s">
        <v>1365</v>
      </c>
      <c r="B12" s="369" t="s">
        <v>402</v>
      </c>
      <c r="C12" s="869" t="s">
        <v>1550</v>
      </c>
      <c r="D12" s="513" t="s">
        <v>1551</v>
      </c>
      <c r="E12" s="514" t="s">
        <v>1552</v>
      </c>
      <c r="F12" s="514" t="s">
        <v>1553</v>
      </c>
      <c r="G12" s="514" t="s">
        <v>1554</v>
      </c>
      <c r="H12" s="514" t="s">
        <v>1555</v>
      </c>
      <c r="I12" s="514" t="s">
        <v>1556</v>
      </c>
      <c r="J12" s="514" t="s">
        <v>1557</v>
      </c>
      <c r="K12" s="569" t="s">
        <v>1558</v>
      </c>
      <c r="L12" s="109"/>
    </row>
    <row r="13" spans="1:14" ht="15.75" customHeight="1" x14ac:dyDescent="0.25">
      <c r="A13" s="1637" t="s">
        <v>1366</v>
      </c>
      <c r="B13" s="369" t="s">
        <v>403</v>
      </c>
      <c r="C13" s="869" t="s">
        <v>1550</v>
      </c>
      <c r="D13" s="513" t="s">
        <v>1551</v>
      </c>
      <c r="E13" s="514" t="s">
        <v>1552</v>
      </c>
      <c r="F13" s="514" t="s">
        <v>1553</v>
      </c>
      <c r="G13" s="514" t="s">
        <v>1554</v>
      </c>
      <c r="H13" s="514" t="s">
        <v>1555</v>
      </c>
      <c r="I13" s="514" t="s">
        <v>1556</v>
      </c>
      <c r="J13" s="514" t="s">
        <v>1557</v>
      </c>
      <c r="K13" s="569" t="s">
        <v>1558</v>
      </c>
      <c r="L13" s="109"/>
    </row>
    <row r="14" spans="1:14" ht="15.75" customHeight="1" x14ac:dyDescent="0.25">
      <c r="A14" s="1637" t="s">
        <v>1367</v>
      </c>
      <c r="B14" s="370" t="s">
        <v>404</v>
      </c>
      <c r="C14" s="566" t="s">
        <v>1550</v>
      </c>
      <c r="D14" s="504" t="s">
        <v>1551</v>
      </c>
      <c r="E14" s="505" t="s">
        <v>1552</v>
      </c>
      <c r="F14" s="505" t="s">
        <v>1553</v>
      </c>
      <c r="G14" s="505" t="s">
        <v>1554</v>
      </c>
      <c r="H14" s="505" t="s">
        <v>1555</v>
      </c>
      <c r="I14" s="505" t="s">
        <v>1556</v>
      </c>
      <c r="J14" s="505" t="s">
        <v>1557</v>
      </c>
      <c r="K14" s="570" t="s">
        <v>1558</v>
      </c>
      <c r="L14" s="109"/>
    </row>
    <row r="15" spans="1:14" ht="27.6" customHeight="1" x14ac:dyDescent="0.3">
      <c r="B15" s="455" t="s">
        <v>405</v>
      </c>
      <c r="C15" s="453"/>
      <c r="D15" s="453"/>
      <c r="E15" s="291"/>
      <c r="F15" s="291"/>
      <c r="G15" s="291"/>
      <c r="H15" s="291"/>
      <c r="I15" s="291"/>
      <c r="J15" s="291"/>
      <c r="K15" s="291"/>
      <c r="L15" s="109"/>
    </row>
    <row r="16" spans="1:14" ht="15.75" customHeight="1" x14ac:dyDescent="0.2">
      <c r="B16" s="333" t="s">
        <v>238</v>
      </c>
      <c r="C16" s="333" t="s">
        <v>13</v>
      </c>
      <c r="D16" s="361" t="s">
        <v>239</v>
      </c>
      <c r="E16" s="60" t="s">
        <v>240</v>
      </c>
      <c r="F16" s="60" t="s">
        <v>241</v>
      </c>
      <c r="G16" s="60" t="s">
        <v>242</v>
      </c>
      <c r="H16" s="60" t="s">
        <v>243</v>
      </c>
      <c r="I16" s="60" t="s">
        <v>244</v>
      </c>
      <c r="J16" s="60" t="s">
        <v>245</v>
      </c>
      <c r="K16" s="324" t="s">
        <v>246</v>
      </c>
      <c r="L16" s="109"/>
    </row>
    <row r="17" spans="1:14" ht="15.75" customHeight="1" x14ac:dyDescent="0.25">
      <c r="A17" s="1637" t="s">
        <v>1368</v>
      </c>
      <c r="B17" s="362" t="s">
        <v>247</v>
      </c>
      <c r="C17" s="868" t="s">
        <v>1550</v>
      </c>
      <c r="D17" s="498" t="s">
        <v>1551</v>
      </c>
      <c r="E17" s="499" t="s">
        <v>1552</v>
      </c>
      <c r="F17" s="499" t="s">
        <v>1553</v>
      </c>
      <c r="G17" s="499" t="s">
        <v>1554</v>
      </c>
      <c r="H17" s="499" t="s">
        <v>1555</v>
      </c>
      <c r="I17" s="499" t="s">
        <v>1556</v>
      </c>
      <c r="J17" s="499" t="s">
        <v>1557</v>
      </c>
      <c r="K17" s="567" t="s">
        <v>1558</v>
      </c>
      <c r="L17" s="109"/>
    </row>
    <row r="18" spans="1:14" ht="18" customHeight="1" x14ac:dyDescent="0.25">
      <c r="A18" s="1637" t="s">
        <v>1369</v>
      </c>
      <c r="B18" s="363" t="s">
        <v>401</v>
      </c>
      <c r="C18" s="869" t="s">
        <v>1550</v>
      </c>
      <c r="D18" s="513" t="s">
        <v>1551</v>
      </c>
      <c r="E18" s="514" t="s">
        <v>1552</v>
      </c>
      <c r="F18" s="514" t="s">
        <v>1553</v>
      </c>
      <c r="G18" s="514" t="s">
        <v>1554</v>
      </c>
      <c r="H18" s="514" t="s">
        <v>1555</v>
      </c>
      <c r="I18" s="514" t="s">
        <v>1556</v>
      </c>
      <c r="J18" s="514" t="s">
        <v>1557</v>
      </c>
      <c r="K18" s="516" t="s">
        <v>1558</v>
      </c>
      <c r="L18" s="109"/>
    </row>
    <row r="19" spans="1:14" ht="15.75" customHeight="1" x14ac:dyDescent="0.25">
      <c r="A19" s="1637" t="s">
        <v>1370</v>
      </c>
      <c r="B19" s="369" t="s">
        <v>402</v>
      </c>
      <c r="C19" s="869" t="s">
        <v>1550</v>
      </c>
      <c r="D19" s="513" t="s">
        <v>1551</v>
      </c>
      <c r="E19" s="514" t="s">
        <v>1552</v>
      </c>
      <c r="F19" s="514" t="s">
        <v>1553</v>
      </c>
      <c r="G19" s="514" t="s">
        <v>1554</v>
      </c>
      <c r="H19" s="514" t="s">
        <v>1555</v>
      </c>
      <c r="I19" s="514" t="s">
        <v>1556</v>
      </c>
      <c r="J19" s="514" t="s">
        <v>1557</v>
      </c>
      <c r="K19" s="516" t="s">
        <v>1558</v>
      </c>
      <c r="L19" s="109"/>
    </row>
    <row r="20" spans="1:14" ht="15.75" customHeight="1" x14ac:dyDescent="0.25">
      <c r="A20" s="1637" t="s">
        <v>1371</v>
      </c>
      <c r="B20" s="369" t="s">
        <v>403</v>
      </c>
      <c r="C20" s="869" t="s">
        <v>1550</v>
      </c>
      <c r="D20" s="513" t="s">
        <v>1551</v>
      </c>
      <c r="E20" s="514" t="s">
        <v>1552</v>
      </c>
      <c r="F20" s="514" t="s">
        <v>1553</v>
      </c>
      <c r="G20" s="514" t="s">
        <v>1554</v>
      </c>
      <c r="H20" s="514" t="s">
        <v>1555</v>
      </c>
      <c r="I20" s="514" t="s">
        <v>1556</v>
      </c>
      <c r="J20" s="514" t="s">
        <v>1557</v>
      </c>
      <c r="K20" s="516" t="s">
        <v>1558</v>
      </c>
      <c r="L20" s="109"/>
    </row>
    <row r="21" spans="1:14" ht="15.75" customHeight="1" x14ac:dyDescent="0.25">
      <c r="A21" s="1637" t="s">
        <v>1372</v>
      </c>
      <c r="B21" s="370" t="s">
        <v>404</v>
      </c>
      <c r="C21" s="566" t="s">
        <v>1550</v>
      </c>
      <c r="D21" s="504" t="s">
        <v>1551</v>
      </c>
      <c r="E21" s="505" t="s">
        <v>1552</v>
      </c>
      <c r="F21" s="505" t="s">
        <v>1553</v>
      </c>
      <c r="G21" s="505" t="s">
        <v>1554</v>
      </c>
      <c r="H21" s="505" t="s">
        <v>1555</v>
      </c>
      <c r="I21" s="505" t="s">
        <v>1556</v>
      </c>
      <c r="J21" s="505" t="s">
        <v>1557</v>
      </c>
      <c r="K21" s="520" t="s">
        <v>1558</v>
      </c>
      <c r="L21" s="109"/>
    </row>
    <row r="22" spans="1:14" ht="30.75" customHeight="1" x14ac:dyDescent="0.3">
      <c r="B22" s="954" t="s">
        <v>406</v>
      </c>
      <c r="C22" s="55"/>
      <c r="D22" s="55"/>
      <c r="E22" s="368"/>
      <c r="F22" s="368"/>
      <c r="G22" s="368"/>
      <c r="H22" s="368"/>
      <c r="I22" s="368"/>
      <c r="J22" s="368"/>
      <c r="K22" s="368"/>
      <c r="L22" s="55"/>
    </row>
    <row r="23" spans="1:14" ht="20.100000000000001" customHeight="1" x14ac:dyDescent="0.2">
      <c r="A23" s="1650"/>
      <c r="B23" s="2394" t="s">
        <v>411</v>
      </c>
      <c r="C23" s="2395"/>
      <c r="D23" s="2396"/>
      <c r="E23" s="371" t="s">
        <v>13</v>
      </c>
      <c r="F23" s="372" t="s">
        <v>239</v>
      </c>
      <c r="G23" s="373" t="s">
        <v>240</v>
      </c>
      <c r="H23" s="373" t="s">
        <v>241</v>
      </c>
      <c r="I23" s="373" t="s">
        <v>242</v>
      </c>
      <c r="J23" s="373" t="s">
        <v>243</v>
      </c>
      <c r="K23" s="373" t="s">
        <v>244</v>
      </c>
      <c r="L23" s="374" t="s">
        <v>245</v>
      </c>
      <c r="M23" s="375" t="s">
        <v>246</v>
      </c>
      <c r="N23" s="55"/>
    </row>
    <row r="24" spans="1:14" ht="16.5" customHeight="1" x14ac:dyDescent="0.25">
      <c r="A24" s="1651" t="s">
        <v>1373</v>
      </c>
      <c r="B24" s="2406" t="s">
        <v>407</v>
      </c>
      <c r="C24" s="2406"/>
      <c r="D24" s="2407"/>
      <c r="E24" s="865" t="s">
        <v>1550</v>
      </c>
      <c r="F24" s="870" t="s">
        <v>1551</v>
      </c>
      <c r="G24" s="871" t="s">
        <v>1552</v>
      </c>
      <c r="H24" s="871" t="s">
        <v>1553</v>
      </c>
      <c r="I24" s="871" t="s">
        <v>1554</v>
      </c>
      <c r="J24" s="871" t="s">
        <v>1555</v>
      </c>
      <c r="K24" s="871" t="s">
        <v>1556</v>
      </c>
      <c r="L24" s="871" t="s">
        <v>1557</v>
      </c>
      <c r="M24" s="872" t="s">
        <v>1558</v>
      </c>
      <c r="N24" s="109"/>
    </row>
    <row r="25" spans="1:14" ht="21.75" customHeight="1" x14ac:dyDescent="0.25">
      <c r="A25" s="1637" t="s">
        <v>1374</v>
      </c>
      <c r="B25" s="2412" t="s">
        <v>408</v>
      </c>
      <c r="C25" s="2404" t="s">
        <v>495</v>
      </c>
      <c r="D25" s="2405"/>
      <c r="E25" s="866" t="s">
        <v>1550</v>
      </c>
      <c r="F25" s="873" t="s">
        <v>1551</v>
      </c>
      <c r="G25" s="874" t="s">
        <v>1552</v>
      </c>
      <c r="H25" s="874" t="s">
        <v>1553</v>
      </c>
      <c r="I25" s="874" t="s">
        <v>1554</v>
      </c>
      <c r="J25" s="874" t="s">
        <v>1555</v>
      </c>
      <c r="K25" s="874" t="s">
        <v>1556</v>
      </c>
      <c r="L25" s="874" t="s">
        <v>1557</v>
      </c>
      <c r="M25" s="875" t="s">
        <v>1558</v>
      </c>
      <c r="N25" s="109"/>
    </row>
    <row r="26" spans="1:14" ht="21.75" customHeight="1" x14ac:dyDescent="0.25">
      <c r="A26" s="1637" t="s">
        <v>1375</v>
      </c>
      <c r="B26" s="2413"/>
      <c r="C26" s="2404" t="s">
        <v>496</v>
      </c>
      <c r="D26" s="2405"/>
      <c r="E26" s="866" t="s">
        <v>1550</v>
      </c>
      <c r="F26" s="873" t="s">
        <v>1551</v>
      </c>
      <c r="G26" s="874" t="s">
        <v>1552</v>
      </c>
      <c r="H26" s="874" t="s">
        <v>1553</v>
      </c>
      <c r="I26" s="874" t="s">
        <v>1554</v>
      </c>
      <c r="J26" s="874" t="s">
        <v>1555</v>
      </c>
      <c r="K26" s="874" t="s">
        <v>1556</v>
      </c>
      <c r="L26" s="874" t="s">
        <v>1557</v>
      </c>
      <c r="M26" s="875" t="s">
        <v>1558</v>
      </c>
    </row>
    <row r="27" spans="1:14" ht="21.75" customHeight="1" x14ac:dyDescent="0.25">
      <c r="A27" s="1637" t="s">
        <v>1376</v>
      </c>
      <c r="B27" s="2414"/>
      <c r="C27" s="2402" t="s">
        <v>497</v>
      </c>
      <c r="D27" s="2403"/>
      <c r="E27" s="865" t="s">
        <v>1550</v>
      </c>
      <c r="F27" s="870" t="s">
        <v>1551</v>
      </c>
      <c r="G27" s="871" t="s">
        <v>1552</v>
      </c>
      <c r="H27" s="871" t="s">
        <v>1553</v>
      </c>
      <c r="I27" s="871" t="s">
        <v>1554</v>
      </c>
      <c r="J27" s="871" t="s">
        <v>1555</v>
      </c>
      <c r="K27" s="871" t="s">
        <v>1556</v>
      </c>
      <c r="L27" s="871" t="s">
        <v>1557</v>
      </c>
      <c r="M27" s="872" t="s">
        <v>1558</v>
      </c>
    </row>
    <row r="28" spans="1:14" ht="21.75" customHeight="1" x14ac:dyDescent="0.25">
      <c r="A28" s="1637" t="s">
        <v>1377</v>
      </c>
      <c r="B28" s="2408" t="s">
        <v>409</v>
      </c>
      <c r="C28" s="2400" t="s">
        <v>410</v>
      </c>
      <c r="D28" s="2401"/>
      <c r="E28" s="867" t="s">
        <v>1550</v>
      </c>
      <c r="F28" s="876" t="s">
        <v>1551</v>
      </c>
      <c r="G28" s="877" t="s">
        <v>1552</v>
      </c>
      <c r="H28" s="877" t="s">
        <v>1553</v>
      </c>
      <c r="I28" s="877" t="s">
        <v>1554</v>
      </c>
      <c r="J28" s="877" t="s">
        <v>1555</v>
      </c>
      <c r="K28" s="877" t="s">
        <v>1556</v>
      </c>
      <c r="L28" s="877" t="s">
        <v>1557</v>
      </c>
      <c r="M28" s="878" t="s">
        <v>1558</v>
      </c>
    </row>
    <row r="29" spans="1:14" ht="21.75" customHeight="1" x14ac:dyDescent="0.25">
      <c r="A29" s="1637" t="s">
        <v>1378</v>
      </c>
      <c r="B29" s="2409"/>
      <c r="C29" s="2398" t="s">
        <v>412</v>
      </c>
      <c r="D29" s="2399"/>
      <c r="E29" s="866" t="s">
        <v>1550</v>
      </c>
      <c r="F29" s="873" t="s">
        <v>1551</v>
      </c>
      <c r="G29" s="874" t="s">
        <v>1552</v>
      </c>
      <c r="H29" s="874" t="s">
        <v>1553</v>
      </c>
      <c r="I29" s="874" t="s">
        <v>1554</v>
      </c>
      <c r="J29" s="874" t="s">
        <v>1555</v>
      </c>
      <c r="K29" s="874" t="s">
        <v>1556</v>
      </c>
      <c r="L29" s="874" t="s">
        <v>1557</v>
      </c>
      <c r="M29" s="879" t="s">
        <v>1558</v>
      </c>
    </row>
    <row r="30" spans="1:14" ht="21.75" customHeight="1" x14ac:dyDescent="0.25">
      <c r="A30" s="1637" t="s">
        <v>1379</v>
      </c>
      <c r="B30" s="2409"/>
      <c r="C30" s="2398" t="s">
        <v>413</v>
      </c>
      <c r="D30" s="2399"/>
      <c r="E30" s="866" t="s">
        <v>1550</v>
      </c>
      <c r="F30" s="873" t="s">
        <v>1551</v>
      </c>
      <c r="G30" s="874" t="s">
        <v>1552</v>
      </c>
      <c r="H30" s="874" t="s">
        <v>1553</v>
      </c>
      <c r="I30" s="874" t="s">
        <v>1554</v>
      </c>
      <c r="J30" s="874" t="s">
        <v>1555</v>
      </c>
      <c r="K30" s="874" t="s">
        <v>1556</v>
      </c>
      <c r="L30" s="874" t="s">
        <v>1557</v>
      </c>
      <c r="M30" s="879" t="s">
        <v>1558</v>
      </c>
    </row>
    <row r="31" spans="1:14" ht="24.75" customHeight="1" x14ac:dyDescent="0.25">
      <c r="A31" s="1637" t="s">
        <v>1380</v>
      </c>
      <c r="B31" s="2409"/>
      <c r="C31" s="2398" t="s">
        <v>414</v>
      </c>
      <c r="D31" s="2399"/>
      <c r="E31" s="866" t="s">
        <v>1550</v>
      </c>
      <c r="F31" s="873" t="s">
        <v>1551</v>
      </c>
      <c r="G31" s="874" t="s">
        <v>1552</v>
      </c>
      <c r="H31" s="874" t="s">
        <v>1553</v>
      </c>
      <c r="I31" s="874" t="s">
        <v>1554</v>
      </c>
      <c r="J31" s="874" t="s">
        <v>1555</v>
      </c>
      <c r="K31" s="874" t="s">
        <v>1556</v>
      </c>
      <c r="L31" s="874" t="s">
        <v>1557</v>
      </c>
      <c r="M31" s="879" t="s">
        <v>1558</v>
      </c>
    </row>
    <row r="32" spans="1:14" ht="21.75" customHeight="1" x14ac:dyDescent="0.25">
      <c r="A32" s="1637" t="s">
        <v>1381</v>
      </c>
      <c r="B32" s="2407"/>
      <c r="C32" s="2410" t="s">
        <v>415</v>
      </c>
      <c r="D32" s="2411"/>
      <c r="E32" s="865" t="s">
        <v>1550</v>
      </c>
      <c r="F32" s="870" t="s">
        <v>1551</v>
      </c>
      <c r="G32" s="871" t="s">
        <v>1552</v>
      </c>
      <c r="H32" s="871" t="s">
        <v>1553</v>
      </c>
      <c r="I32" s="871" t="s">
        <v>1554</v>
      </c>
      <c r="J32" s="871" t="s">
        <v>1555</v>
      </c>
      <c r="K32" s="871" t="s">
        <v>1556</v>
      </c>
      <c r="L32" s="871" t="s">
        <v>1557</v>
      </c>
      <c r="M32" s="880" t="s">
        <v>1558</v>
      </c>
    </row>
    <row r="49" spans="2:3" ht="13.95" hidden="1" customHeight="1" x14ac:dyDescent="0.2">
      <c r="B49" s="1181">
        <f>SUM(C10:C14,C17:C21,E24:E32)</f>
        <v>0</v>
      </c>
      <c r="C49" s="348" t="s">
        <v>317</v>
      </c>
    </row>
    <row r="50" spans="2:3" ht="13.95" hidden="1" customHeight="1" x14ac:dyDescent="0.2">
      <c r="B50" s="1181">
        <f>SUM(0)</f>
        <v>0</v>
      </c>
      <c r="C50" s="348" t="s">
        <v>318</v>
      </c>
    </row>
    <row r="51" spans="2:3" ht="13.95" customHeight="1" x14ac:dyDescent="0.2"/>
  </sheetData>
  <mergeCells count="13">
    <mergeCell ref="B23:D23"/>
    <mergeCell ref="B7:K7"/>
    <mergeCell ref="C29:D29"/>
    <mergeCell ref="C28:D28"/>
    <mergeCell ref="C27:D27"/>
    <mergeCell ref="C26:D26"/>
    <mergeCell ref="B24:D24"/>
    <mergeCell ref="B28:B32"/>
    <mergeCell ref="C30:D30"/>
    <mergeCell ref="C31:D31"/>
    <mergeCell ref="C32:D32"/>
    <mergeCell ref="C25:D25"/>
    <mergeCell ref="B25:B27"/>
  </mergeCells>
  <phoneticPr fontId="26" type="noConversion"/>
  <dataValidations count="3">
    <dataValidation type="whole" allowBlank="1" showInputMessage="1" showErrorMessage="1" errorTitle="Error de ingreso" error="Debe ingresar sólo números enteros positivos." sqref="B1:B25 F22:K23 L1:M23 D15:K16 D1:K9 B28:B1048576 D22:E1048576 C1:C1048576 F33:M1048576 N1:XFD1048576" xr:uid="{00000000-0002-0000-0700-000000000000}">
      <formula1>0</formula1>
      <formula2>1000000000</formula2>
    </dataValidation>
    <dataValidation type="whole" operator="greaterThanOrEqual" allowBlank="1" showInputMessage="1" showErrorMessage="1" errorTitle="Error de ingreso" error="Debe ingresar sólo números enteros positivos." sqref="D10:K14 D17:K21 F24:M32" xr:uid="{00000000-0002-0000-0700-000001000000}">
      <formula1>0</formula1>
    </dataValidation>
    <dataValidation allowBlank="1" showInputMessage="1" showErrorMessage="1" errorTitle="Error de ingreso" error="Debe ingresar sólo números enteros positivos." sqref="A10:A14 A17:A21 A24:A32" xr:uid="{0CDD684D-2AC3-4892-908A-07C947D81E89}"/>
  </dataValidations>
  <pageMargins left="0.70866141732283472" right="0.70866141732283472" top="0.74803149606299213" bottom="0.74803149606299213" header="0.31496062992125984" footer="0.31496062992125984"/>
  <pageSetup scale="82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BL107"/>
  <sheetViews>
    <sheetView showGridLines="0" zoomScaleNormal="100" workbookViewId="0"/>
  </sheetViews>
  <sheetFormatPr baseColWidth="10" defaultColWidth="11.44140625" defaultRowHeight="10.199999999999999" x14ac:dyDescent="0.2"/>
  <cols>
    <col min="1" max="1" width="15.109375" style="175" customWidth="1"/>
    <col min="2" max="2" width="19.5546875" style="291" customWidth="1"/>
    <col min="3" max="3" width="36.88671875" style="291" customWidth="1"/>
    <col min="4" max="18" width="10.5546875" style="291" customWidth="1"/>
    <col min="19" max="19" width="11.6640625" style="291" customWidth="1"/>
    <col min="20" max="20" width="11.44140625" style="291"/>
    <col min="21" max="25" width="11.44140625" style="291" customWidth="1"/>
    <col min="26" max="27" width="11.6640625" style="291" customWidth="1"/>
    <col min="28" max="39" width="11.6640625" style="175" customWidth="1"/>
    <col min="40" max="60" width="11.6640625" style="175" hidden="1" customWidth="1"/>
    <col min="61" max="64" width="0" style="175" hidden="1" customWidth="1"/>
    <col min="65" max="16384" width="11.44140625" style="175"/>
  </cols>
  <sheetData>
    <row r="1" spans="1:60" ht="13.5" customHeight="1" x14ac:dyDescent="0.2">
      <c r="B1" s="192" t="s">
        <v>0</v>
      </c>
    </row>
    <row r="2" spans="1:60" ht="13.5" customHeight="1" x14ac:dyDescent="0.2">
      <c r="B2" s="192" t="str">
        <f>CONCATENATE("COMUNA: ",NOMBRE!$B$2," - ","( ",NOMBRE!$C$2,NOMBRE!$D$2,NOMBRE!$E$2,NOMBRE!$F$2,NOMBRE!$G$2," )")</f>
        <v>COMUNA:  - (  )</v>
      </c>
    </row>
    <row r="3" spans="1:60" ht="13.5" customHeight="1" x14ac:dyDescent="0.2">
      <c r="B3" s="192" t="str">
        <f>CONCATENATE("ESTABLECIMIENTO/ESTRATEGIA: ",NOMBRE!$B$3," - ","( ",NOMBRE!$C$3,NOMBRE!$D$3,NOMBRE!$E$3,NOMBRE!$F$3,NOMBRE!$G$3,NOMBRE!$H$3," )")</f>
        <v>ESTABLECIMIENTO/ESTRATEGIA:  - (  )</v>
      </c>
    </row>
    <row r="4" spans="1:60" ht="13.5" customHeight="1" x14ac:dyDescent="0.2">
      <c r="B4" s="192" t="str">
        <f>CONCATENATE("MES: ",NOMBRE!$B$6," - ","( ",NOMBRE!$C$6,NOMBRE!$D$6," )")</f>
        <v>MES:  - (  )</v>
      </c>
    </row>
    <row r="5" spans="1:60" ht="13.5" customHeight="1" x14ac:dyDescent="0.2">
      <c r="B5" s="192" t="str">
        <f>CONCATENATE("AÑO: ",NOMBRE!$B$7)</f>
        <v>AÑO: 2023</v>
      </c>
    </row>
    <row r="6" spans="1:60" ht="15" customHeight="1" x14ac:dyDescent="0.2"/>
    <row r="7" spans="1:60" ht="26.25" customHeight="1" x14ac:dyDescent="0.3">
      <c r="D7" s="2457" t="s">
        <v>516</v>
      </c>
      <c r="E7" s="2457"/>
      <c r="F7" s="2457"/>
      <c r="G7" s="2457"/>
      <c r="H7" s="2457"/>
      <c r="I7" s="2457"/>
      <c r="J7" s="2457"/>
      <c r="K7" s="2457"/>
      <c r="L7" s="2457"/>
      <c r="M7" s="2457"/>
      <c r="N7" s="2457"/>
      <c r="O7" s="2457"/>
      <c r="P7" s="2457"/>
      <c r="Q7" s="2457"/>
      <c r="R7" s="2457"/>
      <c r="S7" s="291" t="str">
        <f>AR7 &amp; AS7 &amp; AT7 &amp; AU7 &amp; AR6 &amp; AS6 &amp; AT6 &amp; AU6</f>
        <v/>
      </c>
      <c r="T7" s="895"/>
      <c r="U7" s="895"/>
    </row>
    <row r="9" spans="1:60" ht="30.75" customHeight="1" x14ac:dyDescent="0.2">
      <c r="B9" s="193" t="s">
        <v>456</v>
      </c>
      <c r="C9" s="193"/>
      <c r="D9" s="456"/>
      <c r="E9" s="456"/>
      <c r="F9" s="456"/>
      <c r="G9" s="456"/>
      <c r="H9" s="456"/>
      <c r="I9" s="456"/>
    </row>
    <row r="10" spans="1:60" s="291" customFormat="1" ht="27" customHeight="1" x14ac:dyDescent="0.2">
      <c r="B10" s="2184" t="s">
        <v>76</v>
      </c>
      <c r="C10" s="2179"/>
      <c r="D10" s="2417" t="s">
        <v>13</v>
      </c>
      <c r="E10" s="2418"/>
      <c r="F10" s="2419"/>
      <c r="G10" s="2417" t="s">
        <v>376</v>
      </c>
      <c r="H10" s="2418"/>
      <c r="I10" s="2419"/>
      <c r="J10" s="2417" t="s">
        <v>377</v>
      </c>
      <c r="K10" s="2418"/>
      <c r="L10" s="2418"/>
      <c r="M10" s="2462" t="s">
        <v>841</v>
      </c>
      <c r="N10" s="2461"/>
      <c r="O10" s="2463"/>
      <c r="P10" s="2461" t="s">
        <v>804</v>
      </c>
      <c r="Q10" s="2418"/>
      <c r="R10" s="2419"/>
      <c r="AB10" s="175"/>
      <c r="AC10" s="175"/>
      <c r="AD10" s="175"/>
      <c r="AE10" s="175"/>
      <c r="AF10" s="175"/>
      <c r="AG10" s="175"/>
      <c r="AH10" s="175"/>
      <c r="AI10" s="175"/>
      <c r="AJ10" s="175"/>
      <c r="AK10" s="175"/>
      <c r="AL10" s="175"/>
      <c r="AM10" s="175"/>
      <c r="AN10" s="2308" t="s">
        <v>538</v>
      </c>
      <c r="AO10" s="2309"/>
      <c r="AP10" s="2308" t="s">
        <v>539</v>
      </c>
      <c r="AQ10" s="2309"/>
      <c r="AR10" s="2312" t="s">
        <v>538</v>
      </c>
      <c r="AS10" s="2313"/>
      <c r="AT10" s="2312" t="s">
        <v>539</v>
      </c>
      <c r="AU10" s="2313"/>
      <c r="AV10" s="354"/>
      <c r="AW10" s="354"/>
      <c r="AX10" s="354"/>
      <c r="AY10" s="354"/>
      <c r="AZ10" s="354"/>
      <c r="BA10" s="354"/>
      <c r="BB10" s="354"/>
      <c r="BC10" s="354"/>
      <c r="BD10" s="354"/>
      <c r="BE10" s="354"/>
      <c r="BF10" s="354"/>
      <c r="BG10" s="354"/>
      <c r="BH10" s="354"/>
    </row>
    <row r="11" spans="1:60" s="291" customFormat="1" ht="28.5" customHeight="1" x14ac:dyDescent="0.3">
      <c r="B11" s="2182"/>
      <c r="C11" s="2183"/>
      <c r="D11" s="331" t="s">
        <v>93</v>
      </c>
      <c r="E11" s="176" t="s">
        <v>31</v>
      </c>
      <c r="F11" s="187" t="s">
        <v>94</v>
      </c>
      <c r="G11" s="176" t="s">
        <v>93</v>
      </c>
      <c r="H11" s="176" t="s">
        <v>31</v>
      </c>
      <c r="I11" s="187" t="s">
        <v>94</v>
      </c>
      <c r="J11" s="176" t="s">
        <v>93</v>
      </c>
      <c r="K11" s="176" t="s">
        <v>31</v>
      </c>
      <c r="L11" s="337" t="s">
        <v>94</v>
      </c>
      <c r="M11" s="284" t="s">
        <v>93</v>
      </c>
      <c r="N11" s="176" t="s">
        <v>31</v>
      </c>
      <c r="O11" s="1077" t="s">
        <v>94</v>
      </c>
      <c r="P11" s="1075" t="s">
        <v>93</v>
      </c>
      <c r="Q11" s="176" t="s">
        <v>31</v>
      </c>
      <c r="R11" s="339" t="s">
        <v>94</v>
      </c>
      <c r="W11" s="960"/>
      <c r="AB11" s="175"/>
      <c r="AC11" s="175"/>
      <c r="AD11" s="175"/>
      <c r="AE11" s="175"/>
      <c r="AF11" s="175"/>
      <c r="AG11" s="175"/>
      <c r="AH11" s="175"/>
      <c r="AI11" s="175"/>
      <c r="AJ11" s="175"/>
      <c r="AK11" s="175"/>
      <c r="AL11" s="175"/>
      <c r="AM11" s="175"/>
      <c r="AN11" s="1453" t="s">
        <v>888</v>
      </c>
      <c r="AO11" s="1453" t="s">
        <v>889</v>
      </c>
      <c r="AP11" s="1453" t="s">
        <v>888</v>
      </c>
      <c r="AQ11" s="1453" t="s">
        <v>889</v>
      </c>
      <c r="AR11" s="1452" t="s">
        <v>31</v>
      </c>
      <c r="AS11" s="1452" t="s">
        <v>94</v>
      </c>
      <c r="AT11" s="1452" t="s">
        <v>31</v>
      </c>
      <c r="AU11" s="1452" t="s">
        <v>94</v>
      </c>
      <c r="AV11" s="354"/>
      <c r="AW11" s="354"/>
      <c r="AX11" s="354"/>
      <c r="AY11" s="354"/>
      <c r="AZ11" s="354"/>
      <c r="BA11" s="354"/>
      <c r="BB11" s="354"/>
      <c r="BC11" s="354"/>
      <c r="BD11" s="354"/>
      <c r="BE11" s="354"/>
      <c r="BF11" s="354"/>
      <c r="BG11" s="354"/>
      <c r="BH11" s="354"/>
    </row>
    <row r="12" spans="1:60" s="291" customFormat="1" ht="18" customHeight="1" x14ac:dyDescent="0.25">
      <c r="A12" s="1652" t="s">
        <v>1382</v>
      </c>
      <c r="B12" s="2415" t="s">
        <v>517</v>
      </c>
      <c r="C12" s="2416"/>
      <c r="D12" s="463" t="s">
        <v>1550</v>
      </c>
      <c r="E12" s="464" t="s">
        <v>1551</v>
      </c>
      <c r="F12" s="465" t="s">
        <v>1552</v>
      </c>
      <c r="G12" s="463" t="s">
        <v>1553</v>
      </c>
      <c r="H12" s="242" t="s">
        <v>1554</v>
      </c>
      <c r="I12" s="243" t="s">
        <v>1555</v>
      </c>
      <c r="J12" s="463" t="s">
        <v>1556</v>
      </c>
      <c r="K12" s="242" t="s">
        <v>1557</v>
      </c>
      <c r="L12" s="243" t="s">
        <v>1558</v>
      </c>
      <c r="M12" s="466" t="s">
        <v>1559</v>
      </c>
      <c r="N12" s="242" t="s">
        <v>1560</v>
      </c>
      <c r="O12" s="243" t="s">
        <v>1561</v>
      </c>
      <c r="P12" s="1076" t="s">
        <v>1562</v>
      </c>
      <c r="Q12" s="242" t="s">
        <v>1563</v>
      </c>
      <c r="R12" s="243" t="s">
        <v>1564</v>
      </c>
      <c r="S12" s="351" t="str">
        <f>AN12&amp;AO12&amp;AP12&amp;AQ12&amp;AR12 &amp; AS12 &amp; AT12 &amp; AU12</f>
        <v xml:space="preserve">* La celda Pueblos Originarios / Hombres debe ser menor o igual al TOTAL ADOLESCENTES EN CONTROL / Hombres. * La celda Pueblos Originarios / Mujeres debe ser menor o igual al TOTAL ADOLESCENTES EN CONTROL / Mujeres . * La celda 'Población Migrantes / Hombres' debe ser menor o igual al TOTAL ADOLESCENTES EN CONTROL / Hombres. * La celda 'Población Migrantes / Mujeres' debe ser menor o igual al TOTAL ADOLESCENTES EN CONTROL / Mujeres. </v>
      </c>
      <c r="AB12" s="175"/>
      <c r="AC12" s="175"/>
      <c r="AD12" s="175"/>
      <c r="AE12" s="175"/>
      <c r="AF12" s="175"/>
      <c r="AG12" s="175"/>
      <c r="AH12" s="175"/>
      <c r="AI12" s="175"/>
      <c r="AJ12" s="175"/>
      <c r="AK12" s="175"/>
      <c r="AL12" s="175"/>
      <c r="AM12" s="175"/>
      <c r="AN12" s="348" t="str">
        <f>IF(AND($E12&lt;&gt;0,$N12=""),"* No olvide escribir en la celda de Pueblos Originarios / Hombres (Digite CERO si no tiene).  ","")</f>
        <v/>
      </c>
      <c r="AO12" s="348" t="str">
        <f>IF(AND($F12&lt;&gt;0,$O12=""),"* No olvide escribir en la celda de Pueblos Originarios Mujeres (Digite CERO si no tiene).  ","")</f>
        <v/>
      </c>
      <c r="AP12" s="348" t="str">
        <f>IF(AND($E12&lt;&gt;0,$Q12=""),"* No olvide escribir en la celda de Población Migrantes / Hombres (Digite CERO si no tiene). ","")</f>
        <v/>
      </c>
      <c r="AQ12" s="348" t="str">
        <f>IF(AND($F12&lt;&gt;0,$R12=""),"* No olvide escribir en la celda de Población Migrantes / Mujeres (Digite CERO si no tiene). ","")</f>
        <v/>
      </c>
      <c r="AR12" s="348" t="str">
        <f>IF(($N12)&gt;$E12,"* La celda Pueblos Originarios / Hombres debe ser menor o igual al TOTAL ADOLESCENTES EN CONTROL / Hombres. ","")</f>
        <v xml:space="preserve">* La celda Pueblos Originarios / Hombres debe ser menor o igual al TOTAL ADOLESCENTES EN CONTROL / Hombres. </v>
      </c>
      <c r="AS12" s="348" t="str">
        <f>IF($O12&gt;$F12,"* La celda Pueblos Originarios / Mujeres debe ser menor o igual al TOTAL ADOLESCENTES EN CONTROL / Mujeres . ","")</f>
        <v xml:space="preserve">* La celda Pueblos Originarios / Mujeres debe ser menor o igual al TOTAL ADOLESCENTES EN CONTROL / Mujeres . </v>
      </c>
      <c r="AT12" s="348" t="str">
        <f>IF(($Q12)&gt;$E12,"* La celda 'Población Migrantes / Hombres' debe ser menor o igual al TOTAL ADOLESCENTES EN CONTROL / Hombres. ","")</f>
        <v xml:space="preserve">* La celda 'Población Migrantes / Hombres' debe ser menor o igual al TOTAL ADOLESCENTES EN CONTROL / Hombres. </v>
      </c>
      <c r="AU12" s="348" t="str">
        <f>IF($R12&gt;$F12,"* La celda 'Población Migrantes / Mujeres' debe ser menor o igual al TOTAL ADOLESCENTES EN CONTROL / Mujeres. ","")</f>
        <v xml:space="preserve">* La celda 'Población Migrantes / Mujeres' debe ser menor o igual al TOTAL ADOLESCENTES EN CONTROL / Mujeres. </v>
      </c>
      <c r="AV12" s="354"/>
      <c r="AW12" s="354"/>
      <c r="AX12" s="354"/>
      <c r="AY12" s="354"/>
      <c r="AZ12" s="354"/>
      <c r="BA12" s="358">
        <f>IF($E12&lt;$N12, 1,0)</f>
        <v>1</v>
      </c>
      <c r="BB12" s="358">
        <f>IF($F12&lt;$O12, 1,0)</f>
        <v>1</v>
      </c>
      <c r="BC12" s="358">
        <f>IF($E12&lt;$Q12, 1,0)</f>
        <v>1</v>
      </c>
      <c r="BD12" s="358">
        <f>IF($F12&lt;$R12, 1,0)</f>
        <v>1</v>
      </c>
      <c r="BE12" s="358">
        <f>IF(AND(E12&lt;&gt;0,N12=""),1,0)</f>
        <v>0</v>
      </c>
      <c r="BF12" s="358">
        <f>IF(AND(F12&lt;&gt;0,O12=""),1,0)</f>
        <v>0</v>
      </c>
      <c r="BG12" s="358">
        <f>IF(AND(E12&lt;&gt;0,Q12=""),1,0)</f>
        <v>0</v>
      </c>
      <c r="BH12" s="358">
        <f>IF(AND(F12&lt;&gt;0,R12=""),1,0)</f>
        <v>0</v>
      </c>
    </row>
    <row r="13" spans="1:60" s="291" customFormat="1" ht="16.5" customHeight="1" x14ac:dyDescent="0.25">
      <c r="A13" s="1652" t="s">
        <v>1383</v>
      </c>
      <c r="B13" s="1938" t="s">
        <v>378</v>
      </c>
      <c r="C13" s="194" t="s">
        <v>446</v>
      </c>
      <c r="D13" s="467" t="s">
        <v>1550</v>
      </c>
      <c r="E13" s="468" t="s">
        <v>1551</v>
      </c>
      <c r="F13" s="469" t="s">
        <v>1552</v>
      </c>
      <c r="G13" s="467" t="s">
        <v>1553</v>
      </c>
      <c r="H13" s="256" t="s">
        <v>1554</v>
      </c>
      <c r="I13" s="257" t="s">
        <v>1555</v>
      </c>
      <c r="J13" s="467" t="s">
        <v>1556</v>
      </c>
      <c r="K13" s="256" t="s">
        <v>1557</v>
      </c>
      <c r="L13" s="257" t="s">
        <v>1558</v>
      </c>
      <c r="M13" s="470" t="s">
        <v>1559</v>
      </c>
      <c r="N13" s="256" t="s">
        <v>1560</v>
      </c>
      <c r="O13" s="257" t="s">
        <v>1561</v>
      </c>
      <c r="P13" s="471" t="s">
        <v>1562</v>
      </c>
      <c r="Q13" s="256" t="s">
        <v>1563</v>
      </c>
      <c r="R13" s="257" t="s">
        <v>1564</v>
      </c>
      <c r="S13" s="351" t="str">
        <f t="shared" ref="S13:S39" si="0">AN13&amp;AO13&amp;AP13&amp;AQ13&amp;AR13 &amp; AS13 &amp; AT13 &amp; AU13</f>
        <v xml:space="preserve">* La celda Pueblos Originarios / Hombres debe ser menor o igual al TOTAL ADOLESCENTES EN CONTROL / Hombres. * La celda Pueblos Originarios / Mujeres debe ser menor o igual al TOTAL ADOLESCENTES EN CONTROL / Mujeres . * La celda 'Población Migrantes / Hombres' debe ser menor o igual al TOTAL ADOLESCENTES EN CONTROL / Hombres. * La celda 'Población Migrantes / Mujeres' debe ser menor o igual al TOTAL ADOLESCENTES EN CONTROL / Mujeres. </v>
      </c>
      <c r="AB13" s="175"/>
      <c r="AC13" s="175"/>
      <c r="AD13" s="175"/>
      <c r="AE13" s="175"/>
      <c r="AF13" s="175"/>
      <c r="AG13" s="175"/>
      <c r="AH13" s="175"/>
      <c r="AI13" s="175"/>
      <c r="AJ13" s="175"/>
      <c r="AK13" s="175"/>
      <c r="AL13" s="175"/>
      <c r="AM13" s="175"/>
      <c r="AN13" s="348" t="str">
        <f t="shared" ref="AN13:AN15" si="1">IF(AND($E13&lt;&gt;0,$N13=""),"* No olvide escribir en la celda de Pueblos Originarios / Hombres (Digite CERO si no tiene).  ","")</f>
        <v/>
      </c>
      <c r="AO13" s="348" t="str">
        <f t="shared" ref="AO13:AO15" si="2">IF(AND($F13&lt;&gt;0,$O13=""),"* No olvide escribir en la celda de Pueblos Originarios Mujeres (Digite CERO si no tiene).  ","")</f>
        <v/>
      </c>
      <c r="AP13" s="348" t="str">
        <f t="shared" ref="AP13:AP15" si="3">IF(AND($E13&lt;&gt;0,$Q13=""),"* No olvide escribir en la celda de Población Migrantes / Hombres (Digite CERO si no tiene). ","")</f>
        <v/>
      </c>
      <c r="AQ13" s="348" t="str">
        <f t="shared" ref="AQ13:AQ15" si="4">IF(AND($F13&lt;&gt;0,$R13=""),"* No olvide escribir en la celda de Población Migrantes / Mujeres (Digite CERO si no tiene). ","")</f>
        <v/>
      </c>
      <c r="AR13" s="348" t="str">
        <f t="shared" ref="AR13:AR15" si="5">IF(($N13)&gt;$E13,"* La celda Pueblos Originarios / Hombres debe ser menor o igual al TOTAL ADOLESCENTES EN CONTROL / Hombres. ","")</f>
        <v xml:space="preserve">* La celda Pueblos Originarios / Hombres debe ser menor o igual al TOTAL ADOLESCENTES EN CONTROL / Hombres. </v>
      </c>
      <c r="AS13" s="348" t="str">
        <f t="shared" ref="AS13:AS15" si="6">IF($O13&gt;$F13,"* La celda Pueblos Originarios / Mujeres debe ser menor o igual al TOTAL ADOLESCENTES EN CONTROL / Mujeres . ","")</f>
        <v xml:space="preserve">* La celda Pueblos Originarios / Mujeres debe ser menor o igual al TOTAL ADOLESCENTES EN CONTROL / Mujeres . </v>
      </c>
      <c r="AT13" s="348" t="str">
        <f t="shared" ref="AT13:AT15" si="7">IF(($Q13)&gt;$E13,"* La celda 'Población Migrantes / Hombres' debe ser menor o igual al TOTAL ADOLESCENTES EN CONTROL / Hombres. ","")</f>
        <v xml:space="preserve">* La celda 'Población Migrantes / Hombres' debe ser menor o igual al TOTAL ADOLESCENTES EN CONTROL / Hombres. </v>
      </c>
      <c r="AU13" s="348" t="str">
        <f t="shared" ref="AU13:AU15" si="8">IF($R13&gt;$F13,"* La celda 'Población Migrantes / Mujeres' debe ser menor o igual al TOTAL ADOLESCENTES EN CONTROL / Mujeres. ","")</f>
        <v xml:space="preserve">* La celda 'Población Migrantes / Mujeres' debe ser menor o igual al TOTAL ADOLESCENTES EN CONTROL / Mujeres. </v>
      </c>
      <c r="AV13" s="354"/>
      <c r="AW13" s="354"/>
      <c r="AX13" s="354"/>
      <c r="AY13" s="354"/>
      <c r="AZ13" s="354"/>
      <c r="BA13" s="358">
        <f t="shared" ref="BA13:BA15" si="9">IF($E13&lt;$N13, 1,0)</f>
        <v>1</v>
      </c>
      <c r="BB13" s="358">
        <f t="shared" ref="BB13:BB15" si="10">IF($F13&lt;$O13, 1,0)</f>
        <v>1</v>
      </c>
      <c r="BC13" s="358">
        <f t="shared" ref="BC13:BC15" si="11">IF($E13&lt;$Q13, 1,0)</f>
        <v>1</v>
      </c>
      <c r="BD13" s="358">
        <f t="shared" ref="BD13:BD15" si="12">IF($F13&lt;$R13, 1,0)</f>
        <v>1</v>
      </c>
      <c r="BE13" s="358">
        <f t="shared" ref="BE13:BE15" si="13">IF(AND(E13&lt;&gt;0,N13=""),1,0)</f>
        <v>0</v>
      </c>
      <c r="BF13" s="358">
        <f t="shared" ref="BF13:BF15" si="14">IF(AND(F13&lt;&gt;0,O13=""),1,0)</f>
        <v>0</v>
      </c>
      <c r="BG13" s="358">
        <f t="shared" ref="BG13:BG15" si="15">IF(AND(E13&lt;&gt;0,Q13=""),1,0)</f>
        <v>0</v>
      </c>
      <c r="BH13" s="358">
        <f t="shared" ref="BH13:BH15" si="16">IF(AND(F13&lt;&gt;0,R13=""),1,0)</f>
        <v>0</v>
      </c>
    </row>
    <row r="14" spans="1:60" s="291" customFormat="1" ht="16.5" customHeight="1" x14ac:dyDescent="0.3">
      <c r="A14" s="1652" t="s">
        <v>1384</v>
      </c>
      <c r="B14" s="1938"/>
      <c r="C14" s="195" t="s">
        <v>447</v>
      </c>
      <c r="D14" s="472" t="s">
        <v>1550</v>
      </c>
      <c r="E14" s="473" t="s">
        <v>1551</v>
      </c>
      <c r="F14" s="469" t="s">
        <v>1552</v>
      </c>
      <c r="G14" s="472" t="s">
        <v>1553</v>
      </c>
      <c r="H14" s="258" t="s">
        <v>1554</v>
      </c>
      <c r="I14" s="259" t="s">
        <v>1555</v>
      </c>
      <c r="J14" s="472" t="s">
        <v>1556</v>
      </c>
      <c r="K14" s="258" t="s">
        <v>1557</v>
      </c>
      <c r="L14" s="259" t="s">
        <v>1558</v>
      </c>
      <c r="M14" s="474" t="s">
        <v>1559</v>
      </c>
      <c r="N14" s="258" t="s">
        <v>1560</v>
      </c>
      <c r="O14" s="259" t="s">
        <v>1561</v>
      </c>
      <c r="P14" s="475" t="s">
        <v>1562</v>
      </c>
      <c r="Q14" s="258" t="s">
        <v>1563</v>
      </c>
      <c r="R14" s="259" t="s">
        <v>1564</v>
      </c>
      <c r="S14" s="351" t="str">
        <f t="shared" si="0"/>
        <v xml:space="preserve">* La celda Pueblos Originarios / Hombres debe ser menor o igual al TOTAL ADOLESCENTES EN CONTROL / Hombres. * La celda Pueblos Originarios / Mujeres debe ser menor o igual al TOTAL ADOLESCENTES EN CONTROL / Mujeres . * La celda 'Población Migrantes / Hombres' debe ser menor o igual al TOTAL ADOLESCENTES EN CONTROL / Hombres. * La celda 'Población Migrantes / Mujeres' debe ser menor o igual al TOTAL ADOLESCENTES EN CONTROL / Mujeres. </v>
      </c>
      <c r="W14" s="960"/>
      <c r="AB14" s="175"/>
      <c r="AC14" s="175"/>
      <c r="AD14" s="175"/>
      <c r="AE14" s="175"/>
      <c r="AF14" s="175"/>
      <c r="AG14" s="175"/>
      <c r="AH14" s="175"/>
      <c r="AI14" s="175"/>
      <c r="AJ14" s="175"/>
      <c r="AK14" s="175"/>
      <c r="AL14" s="175"/>
      <c r="AM14" s="175"/>
      <c r="AN14" s="348" t="str">
        <f t="shared" si="1"/>
        <v/>
      </c>
      <c r="AO14" s="348" t="str">
        <f t="shared" si="2"/>
        <v/>
      </c>
      <c r="AP14" s="348" t="str">
        <f t="shared" si="3"/>
        <v/>
      </c>
      <c r="AQ14" s="348" t="str">
        <f t="shared" si="4"/>
        <v/>
      </c>
      <c r="AR14" s="348" t="str">
        <f t="shared" si="5"/>
        <v xml:space="preserve">* La celda Pueblos Originarios / Hombres debe ser menor o igual al TOTAL ADOLESCENTES EN CONTROL / Hombres. </v>
      </c>
      <c r="AS14" s="348" t="str">
        <f t="shared" si="6"/>
        <v xml:space="preserve">* La celda Pueblos Originarios / Mujeres debe ser menor o igual al TOTAL ADOLESCENTES EN CONTROL / Mujeres . </v>
      </c>
      <c r="AT14" s="348" t="str">
        <f t="shared" si="7"/>
        <v xml:space="preserve">* La celda 'Población Migrantes / Hombres' debe ser menor o igual al TOTAL ADOLESCENTES EN CONTROL / Hombres. </v>
      </c>
      <c r="AU14" s="348" t="str">
        <f t="shared" si="8"/>
        <v xml:space="preserve">* La celda 'Población Migrantes / Mujeres' debe ser menor o igual al TOTAL ADOLESCENTES EN CONTROL / Mujeres. </v>
      </c>
      <c r="AV14" s="354"/>
      <c r="AW14" s="354"/>
      <c r="AX14" s="354"/>
      <c r="AY14" s="354"/>
      <c r="AZ14" s="354"/>
      <c r="BA14" s="358">
        <f t="shared" si="9"/>
        <v>1</v>
      </c>
      <c r="BB14" s="358">
        <f t="shared" si="10"/>
        <v>1</v>
      </c>
      <c r="BC14" s="358">
        <f t="shared" si="11"/>
        <v>1</v>
      </c>
      <c r="BD14" s="358">
        <f t="shared" si="12"/>
        <v>1</v>
      </c>
      <c r="BE14" s="358">
        <f t="shared" si="13"/>
        <v>0</v>
      </c>
      <c r="BF14" s="358">
        <f t="shared" si="14"/>
        <v>0</v>
      </c>
      <c r="BG14" s="358">
        <f t="shared" si="15"/>
        <v>0</v>
      </c>
      <c r="BH14" s="358">
        <f t="shared" si="16"/>
        <v>0</v>
      </c>
    </row>
    <row r="15" spans="1:60" s="291" customFormat="1" ht="16.5" customHeight="1" x14ac:dyDescent="0.25">
      <c r="A15" s="1652" t="s">
        <v>1385</v>
      </c>
      <c r="B15" s="1938"/>
      <c r="C15" s="196" t="s">
        <v>448</v>
      </c>
      <c r="D15" s="476" t="s">
        <v>1550</v>
      </c>
      <c r="E15" s="477" t="s">
        <v>1551</v>
      </c>
      <c r="F15" s="478" t="s">
        <v>1552</v>
      </c>
      <c r="G15" s="476" t="s">
        <v>1553</v>
      </c>
      <c r="H15" s="260" t="s">
        <v>1554</v>
      </c>
      <c r="I15" s="261" t="s">
        <v>1555</v>
      </c>
      <c r="J15" s="476" t="s">
        <v>1556</v>
      </c>
      <c r="K15" s="260" t="s">
        <v>1557</v>
      </c>
      <c r="L15" s="261" t="s">
        <v>1558</v>
      </c>
      <c r="M15" s="479" t="s">
        <v>1559</v>
      </c>
      <c r="N15" s="260" t="s">
        <v>1560</v>
      </c>
      <c r="O15" s="261" t="s">
        <v>1561</v>
      </c>
      <c r="P15" s="478" t="s">
        <v>1562</v>
      </c>
      <c r="Q15" s="260" t="s">
        <v>1563</v>
      </c>
      <c r="R15" s="261" t="s">
        <v>1564</v>
      </c>
      <c r="S15" s="351" t="str">
        <f t="shared" si="0"/>
        <v xml:space="preserve">* La celda Pueblos Originarios / Hombres debe ser menor o igual al TOTAL ADOLESCENTES EN CONTROL / Hombres. * La celda Pueblos Originarios / Mujeres debe ser menor o igual al TOTAL ADOLESCENTES EN CONTROL / Mujeres . * La celda 'Población Migrantes / Hombres' debe ser menor o igual al TOTAL ADOLESCENTES EN CONTROL / Hombres. * La celda 'Población Migrantes / Mujeres' debe ser menor o igual al TOTAL ADOLESCENTES EN CONTROL / Mujeres. </v>
      </c>
      <c r="AB15" s="175"/>
      <c r="AC15" s="175"/>
      <c r="AD15" s="175"/>
      <c r="AE15" s="175"/>
      <c r="AF15" s="175"/>
      <c r="AG15" s="175"/>
      <c r="AH15" s="175"/>
      <c r="AI15" s="175"/>
      <c r="AJ15" s="175"/>
      <c r="AK15" s="175"/>
      <c r="AL15" s="175"/>
      <c r="AM15" s="175"/>
      <c r="AN15" s="348" t="str">
        <f t="shared" si="1"/>
        <v/>
      </c>
      <c r="AO15" s="348" t="str">
        <f t="shared" si="2"/>
        <v/>
      </c>
      <c r="AP15" s="348" t="str">
        <f t="shared" si="3"/>
        <v/>
      </c>
      <c r="AQ15" s="348" t="str">
        <f t="shared" si="4"/>
        <v/>
      </c>
      <c r="AR15" s="348" t="str">
        <f t="shared" si="5"/>
        <v xml:space="preserve">* La celda Pueblos Originarios / Hombres debe ser menor o igual al TOTAL ADOLESCENTES EN CONTROL / Hombres. </v>
      </c>
      <c r="AS15" s="348" t="str">
        <f t="shared" si="6"/>
        <v xml:space="preserve">* La celda Pueblos Originarios / Mujeres debe ser menor o igual al TOTAL ADOLESCENTES EN CONTROL / Mujeres . </v>
      </c>
      <c r="AT15" s="348" t="str">
        <f t="shared" si="7"/>
        <v xml:space="preserve">* La celda 'Población Migrantes / Hombres' debe ser menor o igual al TOTAL ADOLESCENTES EN CONTROL / Hombres. </v>
      </c>
      <c r="AU15" s="348" t="str">
        <f t="shared" si="8"/>
        <v xml:space="preserve">* La celda 'Población Migrantes / Mujeres' debe ser menor o igual al TOTAL ADOLESCENTES EN CONTROL / Mujeres. </v>
      </c>
      <c r="AV15" s="354"/>
      <c r="AW15" s="354"/>
      <c r="AX15" s="354"/>
      <c r="AY15" s="354"/>
      <c r="AZ15" s="354"/>
      <c r="BA15" s="358">
        <f t="shared" si="9"/>
        <v>1</v>
      </c>
      <c r="BB15" s="358">
        <f t="shared" si="10"/>
        <v>1</v>
      </c>
      <c r="BC15" s="358">
        <f t="shared" si="11"/>
        <v>1</v>
      </c>
      <c r="BD15" s="358">
        <f t="shared" si="12"/>
        <v>1</v>
      </c>
      <c r="BE15" s="358">
        <f t="shared" si="13"/>
        <v>0</v>
      </c>
      <c r="BF15" s="358">
        <f t="shared" si="14"/>
        <v>0</v>
      </c>
      <c r="BG15" s="358">
        <f t="shared" si="15"/>
        <v>0</v>
      </c>
      <c r="BH15" s="358">
        <f t="shared" si="16"/>
        <v>0</v>
      </c>
    </row>
    <row r="16" spans="1:60" s="291" customFormat="1" ht="13.5" customHeight="1" x14ac:dyDescent="0.25">
      <c r="A16" s="1653"/>
      <c r="B16" s="1938"/>
      <c r="C16" s="197" t="s">
        <v>102</v>
      </c>
      <c r="D16" s="480">
        <v>0</v>
      </c>
      <c r="E16" s="481">
        <v>0</v>
      </c>
      <c r="F16" s="482">
        <v>0</v>
      </c>
      <c r="G16" s="480">
        <v>0</v>
      </c>
      <c r="H16" s="481">
        <v>0</v>
      </c>
      <c r="I16" s="482">
        <v>0</v>
      </c>
      <c r="J16" s="480">
        <v>0</v>
      </c>
      <c r="K16" s="481">
        <v>0</v>
      </c>
      <c r="L16" s="483">
        <v>0</v>
      </c>
      <c r="M16" s="484">
        <v>0</v>
      </c>
      <c r="N16" s="481">
        <v>0</v>
      </c>
      <c r="O16" s="482">
        <v>0</v>
      </c>
      <c r="P16" s="482">
        <v>0</v>
      </c>
      <c r="Q16" s="481">
        <v>0</v>
      </c>
      <c r="R16" s="485">
        <v>0</v>
      </c>
      <c r="S16" s="351"/>
      <c r="AB16" s="175"/>
      <c r="AC16" s="175"/>
      <c r="AD16" s="175"/>
      <c r="AE16" s="175"/>
      <c r="AF16" s="175"/>
      <c r="AG16" s="175"/>
      <c r="AH16" s="175"/>
      <c r="AI16" s="175"/>
      <c r="AJ16" s="175"/>
      <c r="AK16" s="175"/>
      <c r="AL16" s="175"/>
      <c r="AM16" s="175"/>
      <c r="AN16" s="354"/>
      <c r="AO16" s="354"/>
      <c r="AP16" s="354"/>
      <c r="AQ16" s="354"/>
      <c r="AR16" s="354"/>
      <c r="AS16" s="354"/>
      <c r="AT16" s="354"/>
      <c r="AU16" s="354"/>
      <c r="AV16" s="354"/>
      <c r="AW16" s="354"/>
      <c r="AX16" s="354"/>
      <c r="AY16" s="354"/>
      <c r="AZ16" s="354"/>
      <c r="BA16" s="354"/>
      <c r="BB16" s="354"/>
      <c r="BC16" s="354"/>
      <c r="BD16" s="354"/>
      <c r="BE16" s="354"/>
      <c r="BF16" s="354"/>
      <c r="BG16" s="354"/>
      <c r="BH16" s="354"/>
    </row>
    <row r="17" spans="1:60" s="291" customFormat="1" ht="18.75" customHeight="1" x14ac:dyDescent="0.25">
      <c r="A17" s="1652" t="s">
        <v>1386</v>
      </c>
      <c r="B17" s="1938"/>
      <c r="C17" s="198" t="s">
        <v>534</v>
      </c>
      <c r="D17" s="467" t="s">
        <v>1550</v>
      </c>
      <c r="E17" s="468" t="s">
        <v>1551</v>
      </c>
      <c r="F17" s="469" t="s">
        <v>1552</v>
      </c>
      <c r="G17" s="467" t="s">
        <v>1553</v>
      </c>
      <c r="H17" s="244" t="s">
        <v>1554</v>
      </c>
      <c r="I17" s="245" t="s">
        <v>1555</v>
      </c>
      <c r="J17" s="467" t="s">
        <v>1556</v>
      </c>
      <c r="K17" s="244" t="s">
        <v>1557</v>
      </c>
      <c r="L17" s="268" t="s">
        <v>1558</v>
      </c>
      <c r="M17" s="486" t="s">
        <v>1559</v>
      </c>
      <c r="N17" s="244" t="s">
        <v>1560</v>
      </c>
      <c r="O17" s="245" t="s">
        <v>1561</v>
      </c>
      <c r="P17" s="469" t="s">
        <v>1562</v>
      </c>
      <c r="Q17" s="244" t="s">
        <v>1563</v>
      </c>
      <c r="R17" s="245" t="s">
        <v>1564</v>
      </c>
      <c r="S17" s="351" t="str">
        <f>AN17&amp;AO17&amp;AP17&amp;AQ17&amp;AR17 &amp; AS17 &amp; AT17 &amp; AU17</f>
        <v xml:space="preserve">* La celda Pueblos Originarios / Hombres debe ser menor o igual al TOTAL ADOLESCENTES EN CONTROL / Hombres. * La celda Pueblos Originarios / Mujeres debe ser menor o igual al TOTAL ADOLESCENTES EN CONTROL / Mujeres . * La celda 'Población Migrantes / Hombres' debe ser menor o igual al TOTAL ADOLESCENTES EN CONTROL / Hombres. * La celda 'Población Migrantes / Mujeres' debe ser menor o igual al TOTAL ADOLESCENTES EN CONTROL / Mujeres. </v>
      </c>
      <c r="AB17" s="175"/>
      <c r="AC17" s="175"/>
      <c r="AD17" s="175"/>
      <c r="AE17" s="175"/>
      <c r="AF17" s="175"/>
      <c r="AG17" s="175"/>
      <c r="AH17" s="175"/>
      <c r="AI17" s="175"/>
      <c r="AJ17" s="175"/>
      <c r="AK17" s="175"/>
      <c r="AL17" s="175"/>
      <c r="AM17" s="175"/>
      <c r="AN17" s="348" t="str">
        <f t="shared" ref="AN17:AN18" si="17">IF(AND($E17&lt;&gt;0,$N17=""),"* No olvide escribir en la celda de Pueblos Originarios / Hombres (Digite CERO si no tiene).  ","")</f>
        <v/>
      </c>
      <c r="AO17" s="348" t="str">
        <f t="shared" ref="AO17:AO18" si="18">IF(AND($F17&lt;&gt;0,$O17=""),"* No olvide escribir en la celda de Pueblos Originarios Mujeres (Digite CERO si no tiene).  ","")</f>
        <v/>
      </c>
      <c r="AP17" s="348" t="str">
        <f t="shared" ref="AP17:AP18" si="19">IF(AND($E17&lt;&gt;0,$Q17=""),"* No olvide escribir en la celda de Población Migrantes / Hombres (Digite CERO si no tiene). ","")</f>
        <v/>
      </c>
      <c r="AQ17" s="348" t="str">
        <f t="shared" ref="AQ17:AQ18" si="20">IF(AND($F17&lt;&gt;0,$R17=""),"* No olvide escribir en la celda de Población Migrantes / Mujeres (Digite CERO si no tiene). ","")</f>
        <v/>
      </c>
      <c r="AR17" s="348" t="str">
        <f t="shared" ref="AR17:AR18" si="21">IF(($N17)&gt;$E17,"* La celda Pueblos Originarios / Hombres debe ser menor o igual al TOTAL ADOLESCENTES EN CONTROL / Hombres. ","")</f>
        <v xml:space="preserve">* La celda Pueblos Originarios / Hombres debe ser menor o igual al TOTAL ADOLESCENTES EN CONTROL / Hombres. </v>
      </c>
      <c r="AS17" s="348" t="str">
        <f t="shared" ref="AS17:AS18" si="22">IF($O17&gt;$F17,"* La celda Pueblos Originarios / Mujeres debe ser menor o igual al TOTAL ADOLESCENTES EN CONTROL / Mujeres . ","")</f>
        <v xml:space="preserve">* La celda Pueblos Originarios / Mujeres debe ser menor o igual al TOTAL ADOLESCENTES EN CONTROL / Mujeres . </v>
      </c>
      <c r="AT17" s="348" t="str">
        <f t="shared" ref="AT17:AT18" si="23">IF(($Q17)&gt;$E17,"* La celda 'Población Migrantes / Hombres' debe ser menor o igual al TOTAL ADOLESCENTES EN CONTROL / Hombres. ","")</f>
        <v xml:space="preserve">* La celda 'Población Migrantes / Hombres' debe ser menor o igual al TOTAL ADOLESCENTES EN CONTROL / Hombres. </v>
      </c>
      <c r="AU17" s="348" t="str">
        <f t="shared" ref="AU17:AU18" si="24">IF($R17&gt;$F17,"* La celda 'Población Migrantes / Mujeres' debe ser menor o igual al TOTAL ADOLESCENTES EN CONTROL / Mujeres. ","")</f>
        <v xml:space="preserve">* La celda 'Población Migrantes / Mujeres' debe ser menor o igual al TOTAL ADOLESCENTES EN CONTROL / Mujeres. </v>
      </c>
      <c r="AV17" s="354"/>
      <c r="AW17" s="354"/>
      <c r="AX17" s="354"/>
      <c r="AY17" s="354"/>
      <c r="AZ17" s="354"/>
      <c r="BA17" s="358">
        <f t="shared" ref="BA17:BA18" si="25">IF($E17&lt;$N17, 1,0)</f>
        <v>1</v>
      </c>
      <c r="BB17" s="358">
        <f t="shared" ref="BB17:BB18" si="26">IF($F17&lt;$O17, 1,0)</f>
        <v>1</v>
      </c>
      <c r="BC17" s="358">
        <f t="shared" ref="BC17:BC18" si="27">IF($E17&lt;$Q17, 1,0)</f>
        <v>1</v>
      </c>
      <c r="BD17" s="358">
        <f t="shared" ref="BD17:BD18" si="28">IF($F17&lt;$R17, 1,0)</f>
        <v>1</v>
      </c>
      <c r="BE17" s="358">
        <f t="shared" ref="BE17:BE18" si="29">IF(AND(E17&lt;&gt;0,N17=""),1,0)</f>
        <v>0</v>
      </c>
      <c r="BF17" s="358">
        <f t="shared" ref="BF17:BF18" si="30">IF(AND(F17&lt;&gt;0,O17=""),1,0)</f>
        <v>0</v>
      </c>
      <c r="BG17" s="358">
        <f t="shared" ref="BG17:BG18" si="31">IF(AND(E17&lt;&gt;0,Q17=""),1,0)</f>
        <v>0</v>
      </c>
      <c r="BH17" s="358">
        <f t="shared" ref="BH17:BH18" si="32">IF(AND(F17&lt;&gt;0,R17=""),1,0)</f>
        <v>0</v>
      </c>
    </row>
    <row r="18" spans="1:60" s="291" customFormat="1" ht="18.75" customHeight="1" x14ac:dyDescent="0.25">
      <c r="A18" s="1652" t="s">
        <v>1387</v>
      </c>
      <c r="B18" s="1938"/>
      <c r="C18" s="96" t="s">
        <v>518</v>
      </c>
      <c r="D18" s="487" t="s">
        <v>1550</v>
      </c>
      <c r="E18" s="488" t="s">
        <v>1551</v>
      </c>
      <c r="F18" s="263" t="s">
        <v>1552</v>
      </c>
      <c r="G18" s="487" t="s">
        <v>1553</v>
      </c>
      <c r="H18" s="246" t="s">
        <v>1554</v>
      </c>
      <c r="I18" s="247" t="s">
        <v>1555</v>
      </c>
      <c r="J18" s="487" t="s">
        <v>1556</v>
      </c>
      <c r="K18" s="246" t="s">
        <v>1557</v>
      </c>
      <c r="L18" s="283" t="s">
        <v>1558</v>
      </c>
      <c r="M18" s="489" t="s">
        <v>1559</v>
      </c>
      <c r="N18" s="246" t="s">
        <v>1560</v>
      </c>
      <c r="O18" s="247" t="s">
        <v>1561</v>
      </c>
      <c r="P18" s="490" t="s">
        <v>1562</v>
      </c>
      <c r="Q18" s="246" t="s">
        <v>1563</v>
      </c>
      <c r="R18" s="247" t="s">
        <v>1564</v>
      </c>
      <c r="S18" s="351" t="str">
        <f t="shared" si="0"/>
        <v xml:space="preserve">* La celda Pueblos Originarios / Hombres debe ser menor o igual al TOTAL ADOLESCENTES EN CONTROL / Hombres. * La celda Pueblos Originarios / Mujeres debe ser menor o igual al TOTAL ADOLESCENTES EN CONTROL / Mujeres . * La celda 'Población Migrantes / Hombres' debe ser menor o igual al TOTAL ADOLESCENTES EN CONTROL / Hombres. * La celda 'Población Migrantes / Mujeres' debe ser menor o igual al TOTAL ADOLESCENTES EN CONTROL / Mujeres. </v>
      </c>
      <c r="AB18" s="175"/>
      <c r="AC18" s="175"/>
      <c r="AD18" s="175"/>
      <c r="AE18" s="175"/>
      <c r="AF18" s="175"/>
      <c r="AG18" s="175"/>
      <c r="AH18" s="175"/>
      <c r="AI18" s="175"/>
      <c r="AJ18" s="175"/>
      <c r="AK18" s="175"/>
      <c r="AL18" s="175"/>
      <c r="AM18" s="175"/>
      <c r="AN18" s="348" t="str">
        <f t="shared" si="17"/>
        <v/>
      </c>
      <c r="AO18" s="348" t="str">
        <f t="shared" si="18"/>
        <v/>
      </c>
      <c r="AP18" s="348" t="str">
        <f t="shared" si="19"/>
        <v/>
      </c>
      <c r="AQ18" s="348" t="str">
        <f t="shared" si="20"/>
        <v/>
      </c>
      <c r="AR18" s="348" t="str">
        <f t="shared" si="21"/>
        <v xml:space="preserve">* La celda Pueblos Originarios / Hombres debe ser menor o igual al TOTAL ADOLESCENTES EN CONTROL / Hombres. </v>
      </c>
      <c r="AS18" s="348" t="str">
        <f t="shared" si="22"/>
        <v xml:space="preserve">* La celda Pueblos Originarios / Mujeres debe ser menor o igual al TOTAL ADOLESCENTES EN CONTROL / Mujeres . </v>
      </c>
      <c r="AT18" s="348" t="str">
        <f t="shared" si="23"/>
        <v xml:space="preserve">* La celda 'Población Migrantes / Hombres' debe ser menor o igual al TOTAL ADOLESCENTES EN CONTROL / Hombres. </v>
      </c>
      <c r="AU18" s="348" t="str">
        <f t="shared" si="24"/>
        <v xml:space="preserve">* La celda 'Población Migrantes / Mujeres' debe ser menor o igual al TOTAL ADOLESCENTES EN CONTROL / Mujeres. </v>
      </c>
      <c r="AV18" s="354"/>
      <c r="AW18" s="354"/>
      <c r="AX18" s="354"/>
      <c r="AY18" s="354"/>
      <c r="AZ18" s="354"/>
      <c r="BA18" s="358">
        <f t="shared" si="25"/>
        <v>1</v>
      </c>
      <c r="BB18" s="358">
        <f t="shared" si="26"/>
        <v>1</v>
      </c>
      <c r="BC18" s="358">
        <f t="shared" si="27"/>
        <v>1</v>
      </c>
      <c r="BD18" s="358">
        <f t="shared" si="28"/>
        <v>1</v>
      </c>
      <c r="BE18" s="358">
        <f t="shared" si="29"/>
        <v>0</v>
      </c>
      <c r="BF18" s="358">
        <f t="shared" si="30"/>
        <v>0</v>
      </c>
      <c r="BG18" s="358">
        <f t="shared" si="31"/>
        <v>0</v>
      </c>
      <c r="BH18" s="358">
        <f t="shared" si="32"/>
        <v>0</v>
      </c>
    </row>
    <row r="19" spans="1:60" s="291" customFormat="1" ht="18.75" customHeight="1" x14ac:dyDescent="0.25">
      <c r="A19" s="1653"/>
      <c r="B19" s="1938"/>
      <c r="C19" s="199" t="s">
        <v>102</v>
      </c>
      <c r="D19" s="463">
        <v>0</v>
      </c>
      <c r="E19" s="464">
        <v>0</v>
      </c>
      <c r="F19" s="465">
        <v>0</v>
      </c>
      <c r="G19" s="463">
        <v>0</v>
      </c>
      <c r="H19" s="464">
        <v>0</v>
      </c>
      <c r="I19" s="465">
        <v>0</v>
      </c>
      <c r="J19" s="463">
        <v>0</v>
      </c>
      <c r="K19" s="464">
        <v>0</v>
      </c>
      <c r="L19" s="491">
        <v>0</v>
      </c>
      <c r="M19" s="466">
        <v>0</v>
      </c>
      <c r="N19" s="464">
        <v>0</v>
      </c>
      <c r="O19" s="1076">
        <v>0</v>
      </c>
      <c r="P19" s="1076">
        <v>0</v>
      </c>
      <c r="Q19" s="464">
        <v>0</v>
      </c>
      <c r="R19" s="493">
        <v>0</v>
      </c>
      <c r="S19" s="351"/>
      <c r="AB19" s="175"/>
      <c r="AC19" s="175"/>
      <c r="AD19" s="175"/>
      <c r="AE19" s="175"/>
      <c r="AF19" s="175"/>
      <c r="AG19" s="175"/>
      <c r="AH19" s="175"/>
      <c r="AI19" s="175"/>
      <c r="AJ19" s="175"/>
      <c r="AK19" s="175"/>
      <c r="AL19" s="175"/>
      <c r="AM19" s="175"/>
      <c r="AN19" s="354"/>
      <c r="AO19" s="354"/>
      <c r="AP19" s="354"/>
      <c r="AQ19" s="354"/>
      <c r="AR19" s="354"/>
      <c r="AS19" s="354"/>
      <c r="AT19" s="354"/>
      <c r="AU19" s="354"/>
      <c r="AV19" s="354"/>
      <c r="AW19" s="354"/>
      <c r="AX19" s="354"/>
      <c r="AY19" s="354"/>
      <c r="AZ19" s="354"/>
      <c r="BA19" s="354"/>
      <c r="BB19" s="354"/>
      <c r="BC19" s="354"/>
      <c r="BD19" s="354"/>
      <c r="BE19" s="354"/>
      <c r="BF19" s="354"/>
      <c r="BG19" s="354"/>
      <c r="BH19" s="354"/>
    </row>
    <row r="20" spans="1:60" s="291" customFormat="1" ht="13.5" customHeight="1" x14ac:dyDescent="0.25">
      <c r="A20" s="1652" t="s">
        <v>1388</v>
      </c>
      <c r="B20" s="1939"/>
      <c r="C20" s="199" t="s">
        <v>543</v>
      </c>
      <c r="D20" s="463" t="s">
        <v>1550</v>
      </c>
      <c r="E20" s="464" t="s">
        <v>1551</v>
      </c>
      <c r="F20" s="465" t="s">
        <v>1552</v>
      </c>
      <c r="G20" s="463" t="s">
        <v>1553</v>
      </c>
      <c r="H20" s="242" t="s">
        <v>1554</v>
      </c>
      <c r="I20" s="243" t="s">
        <v>1555</v>
      </c>
      <c r="J20" s="463" t="s">
        <v>1556</v>
      </c>
      <c r="K20" s="242" t="s">
        <v>1557</v>
      </c>
      <c r="L20" s="281" t="s">
        <v>1558</v>
      </c>
      <c r="M20" s="466" t="s">
        <v>1559</v>
      </c>
      <c r="N20" s="242" t="s">
        <v>1560</v>
      </c>
      <c r="O20" s="243" t="s">
        <v>1561</v>
      </c>
      <c r="P20" s="1076" t="s">
        <v>1562</v>
      </c>
      <c r="Q20" s="242" t="s">
        <v>1563</v>
      </c>
      <c r="R20" s="243" t="s">
        <v>1564</v>
      </c>
      <c r="S20" s="351" t="str">
        <f t="shared" si="0"/>
        <v xml:space="preserve">* La celda Pueblos Originarios / Hombres debe ser menor o igual al TOTAL ADOLESCENTES EN CONTROL / Hombres. * La celda Pueblos Originarios / Mujeres debe ser menor o igual al TOTAL ADOLESCENTES EN CONTROL / Mujeres . * La celda 'Población Migrantes / Hombres' debe ser menor o igual al TOTAL ADOLESCENTES EN CONTROL / Hombres. * La celda 'Población Migrantes / Mujeres' debe ser menor o igual al TOTAL ADOLESCENTES EN CONTROL / Mujeres. </v>
      </c>
      <c r="AB20" s="175"/>
      <c r="AC20" s="175"/>
      <c r="AD20" s="175"/>
      <c r="AE20" s="175"/>
      <c r="AF20" s="175"/>
      <c r="AG20" s="175"/>
      <c r="AH20" s="175"/>
      <c r="AI20" s="175"/>
      <c r="AJ20" s="175"/>
      <c r="AK20" s="175"/>
      <c r="AL20" s="175"/>
      <c r="AM20" s="175"/>
      <c r="AN20" s="348" t="str">
        <f t="shared" ref="AN20:AN22" si="33">IF(AND($E20&lt;&gt;0,$N20=""),"* No olvide escribir en la celda de Pueblos Originarios / Hombres (Digite CERO si no tiene).  ","")</f>
        <v/>
      </c>
      <c r="AO20" s="348" t="str">
        <f t="shared" ref="AO20:AO22" si="34">IF(AND($F20&lt;&gt;0,$O20=""),"* No olvide escribir en la celda de Pueblos Originarios Mujeres (Digite CERO si no tiene).  ","")</f>
        <v/>
      </c>
      <c r="AP20" s="348" t="str">
        <f t="shared" ref="AP20:AP22" si="35">IF(AND($E20&lt;&gt;0,$Q20=""),"* No olvide escribir en la celda de Población Migrantes / Hombres (Digite CERO si no tiene). ","")</f>
        <v/>
      </c>
      <c r="AQ20" s="348" t="str">
        <f t="shared" ref="AQ20:AQ22" si="36">IF(AND($F20&lt;&gt;0,$R20=""),"* No olvide escribir en la celda de Población Migrantes / Mujeres (Digite CERO si no tiene). ","")</f>
        <v/>
      </c>
      <c r="AR20" s="348" t="str">
        <f t="shared" ref="AR20:AR22" si="37">IF(($N20)&gt;$E20,"* La celda Pueblos Originarios / Hombres debe ser menor o igual al TOTAL ADOLESCENTES EN CONTROL / Hombres. ","")</f>
        <v xml:space="preserve">* La celda Pueblos Originarios / Hombres debe ser menor o igual al TOTAL ADOLESCENTES EN CONTROL / Hombres. </v>
      </c>
      <c r="AS20" s="348" t="str">
        <f t="shared" ref="AS20:AS22" si="38">IF($O20&gt;$F20,"* La celda Pueblos Originarios / Mujeres debe ser menor o igual al TOTAL ADOLESCENTES EN CONTROL / Mujeres . ","")</f>
        <v xml:space="preserve">* La celda Pueblos Originarios / Mujeres debe ser menor o igual al TOTAL ADOLESCENTES EN CONTROL / Mujeres . </v>
      </c>
      <c r="AT20" s="348" t="str">
        <f t="shared" ref="AT20:AT22" si="39">IF(($Q20)&gt;$E20,"* La celda 'Población Migrantes / Hombres' debe ser menor o igual al TOTAL ADOLESCENTES EN CONTROL / Hombres. ","")</f>
        <v xml:space="preserve">* La celda 'Población Migrantes / Hombres' debe ser menor o igual al TOTAL ADOLESCENTES EN CONTROL / Hombres. </v>
      </c>
      <c r="AU20" s="348" t="str">
        <f t="shared" ref="AU20:AU22" si="40">IF($R20&gt;$F20,"* La celda 'Población Migrantes / Mujeres' debe ser menor o igual al TOTAL ADOLESCENTES EN CONTROL / Mujeres. ","")</f>
        <v xml:space="preserve">* La celda 'Población Migrantes / Mujeres' debe ser menor o igual al TOTAL ADOLESCENTES EN CONTROL / Mujeres. </v>
      </c>
      <c r="AV20" s="354"/>
      <c r="AW20" s="354"/>
      <c r="AX20" s="354"/>
      <c r="AY20" s="354"/>
      <c r="AZ20" s="354"/>
      <c r="BA20" s="358">
        <f t="shared" ref="BA20:BA22" si="41">IF($E20&lt;$N20, 1,0)</f>
        <v>1</v>
      </c>
      <c r="BB20" s="358">
        <f t="shared" ref="BB20:BB22" si="42">IF($F20&lt;$O20, 1,0)</f>
        <v>1</v>
      </c>
      <c r="BC20" s="358">
        <f t="shared" ref="BC20:BC22" si="43">IF($E20&lt;$Q20, 1,0)</f>
        <v>1</v>
      </c>
      <c r="BD20" s="358">
        <f t="shared" ref="BD20:BD22" si="44">IF($F20&lt;$R20, 1,0)</f>
        <v>1</v>
      </c>
      <c r="BE20" s="358">
        <f t="shared" ref="BE20:BE22" si="45">IF(AND(E20&lt;&gt;0,N20=""),1,0)</f>
        <v>0</v>
      </c>
      <c r="BF20" s="358">
        <f t="shared" ref="BF20:BF22" si="46">IF(AND(F20&lt;&gt;0,O20=""),1,0)</f>
        <v>0</v>
      </c>
      <c r="BG20" s="358">
        <f t="shared" ref="BG20:BG22" si="47">IF(AND(E20&lt;&gt;0,Q20=""),1,0)</f>
        <v>0</v>
      </c>
      <c r="BH20" s="358">
        <f t="shared" ref="BH20:BH22" si="48">IF(AND(F20&lt;&gt;0,R20=""),1,0)</f>
        <v>0</v>
      </c>
    </row>
    <row r="21" spans="1:60" s="291" customFormat="1" ht="18.75" customHeight="1" x14ac:dyDescent="0.25">
      <c r="A21" s="1652" t="s">
        <v>1389</v>
      </c>
      <c r="B21" s="1997" t="s">
        <v>98</v>
      </c>
      <c r="C21" s="201" t="s">
        <v>442</v>
      </c>
      <c r="D21" s="248" t="s">
        <v>1550</v>
      </c>
      <c r="E21" s="468" t="s">
        <v>1551</v>
      </c>
      <c r="F21" s="469" t="s">
        <v>1552</v>
      </c>
      <c r="G21" s="248" t="s">
        <v>1553</v>
      </c>
      <c r="H21" s="244" t="s">
        <v>1554</v>
      </c>
      <c r="I21" s="245" t="s">
        <v>1555</v>
      </c>
      <c r="J21" s="248" t="s">
        <v>1556</v>
      </c>
      <c r="K21" s="244" t="s">
        <v>1557</v>
      </c>
      <c r="L21" s="268" t="s">
        <v>1558</v>
      </c>
      <c r="M21" s="1273" t="s">
        <v>1559</v>
      </c>
      <c r="N21" s="244" t="s">
        <v>1560</v>
      </c>
      <c r="O21" s="245" t="s">
        <v>1561</v>
      </c>
      <c r="P21" s="1274" t="s">
        <v>1562</v>
      </c>
      <c r="Q21" s="244" t="s">
        <v>1563</v>
      </c>
      <c r="R21" s="245" t="s">
        <v>1564</v>
      </c>
      <c r="S21" s="351" t="str">
        <f t="shared" si="0"/>
        <v xml:space="preserve">* La celda Pueblos Originarios / Hombres debe ser menor o igual al TOTAL ADOLESCENTES EN CONTROL / Hombres. * La celda Pueblos Originarios / Mujeres debe ser menor o igual al TOTAL ADOLESCENTES EN CONTROL / Mujeres . * La celda 'Población Migrantes / Hombres' debe ser menor o igual al TOTAL ADOLESCENTES EN CONTROL / Hombres. * La celda 'Población Migrantes / Mujeres' debe ser menor o igual al TOTAL ADOLESCENTES EN CONTROL / Mujeres. </v>
      </c>
      <c r="AB21" s="175"/>
      <c r="AC21" s="175"/>
      <c r="AD21" s="175"/>
      <c r="AE21" s="175"/>
      <c r="AF21" s="175"/>
      <c r="AG21" s="175"/>
      <c r="AH21" s="175"/>
      <c r="AI21" s="175"/>
      <c r="AJ21" s="175"/>
      <c r="AK21" s="175"/>
      <c r="AL21" s="175"/>
      <c r="AM21" s="175"/>
      <c r="AN21" s="348" t="str">
        <f t="shared" si="33"/>
        <v/>
      </c>
      <c r="AO21" s="348" t="str">
        <f t="shared" si="34"/>
        <v/>
      </c>
      <c r="AP21" s="348" t="str">
        <f t="shared" si="35"/>
        <v/>
      </c>
      <c r="AQ21" s="348" t="str">
        <f t="shared" si="36"/>
        <v/>
      </c>
      <c r="AR21" s="348" t="str">
        <f t="shared" si="37"/>
        <v xml:space="preserve">* La celda Pueblos Originarios / Hombres debe ser menor o igual al TOTAL ADOLESCENTES EN CONTROL / Hombres. </v>
      </c>
      <c r="AS21" s="348" t="str">
        <f t="shared" si="38"/>
        <v xml:space="preserve">* La celda Pueblos Originarios / Mujeres debe ser menor o igual al TOTAL ADOLESCENTES EN CONTROL / Mujeres . </v>
      </c>
      <c r="AT21" s="348" t="str">
        <f t="shared" si="39"/>
        <v xml:space="preserve">* La celda 'Población Migrantes / Hombres' debe ser menor o igual al TOTAL ADOLESCENTES EN CONTROL / Hombres. </v>
      </c>
      <c r="AU21" s="348" t="str">
        <f t="shared" si="40"/>
        <v xml:space="preserve">* La celda 'Población Migrantes / Mujeres' debe ser menor o igual al TOTAL ADOLESCENTES EN CONTROL / Mujeres. </v>
      </c>
      <c r="AV21" s="354"/>
      <c r="AW21" s="354"/>
      <c r="AX21" s="354"/>
      <c r="AY21" s="354"/>
      <c r="AZ21" s="354"/>
      <c r="BA21" s="358">
        <f t="shared" si="41"/>
        <v>1</v>
      </c>
      <c r="BB21" s="358">
        <f t="shared" si="42"/>
        <v>1</v>
      </c>
      <c r="BC21" s="358">
        <f t="shared" si="43"/>
        <v>1</v>
      </c>
      <c r="BD21" s="358">
        <f t="shared" si="44"/>
        <v>1</v>
      </c>
      <c r="BE21" s="358">
        <f t="shared" si="45"/>
        <v>0</v>
      </c>
      <c r="BF21" s="358">
        <f t="shared" si="46"/>
        <v>0</v>
      </c>
      <c r="BG21" s="358">
        <f t="shared" si="47"/>
        <v>0</v>
      </c>
      <c r="BH21" s="358">
        <f t="shared" si="48"/>
        <v>0</v>
      </c>
    </row>
    <row r="22" spans="1:60" s="291" customFormat="1" ht="15.75" customHeight="1" x14ac:dyDescent="0.25">
      <c r="A22" s="1652" t="s">
        <v>1390</v>
      </c>
      <c r="B22" s="1938"/>
      <c r="C22" s="195" t="s">
        <v>443</v>
      </c>
      <c r="D22" s="249" t="s">
        <v>1550</v>
      </c>
      <c r="E22" s="488" t="s">
        <v>1551</v>
      </c>
      <c r="F22" s="263" t="s">
        <v>1552</v>
      </c>
      <c r="G22" s="249" t="s">
        <v>1553</v>
      </c>
      <c r="H22" s="260" t="s">
        <v>1554</v>
      </c>
      <c r="I22" s="261" t="s">
        <v>1555</v>
      </c>
      <c r="J22" s="340" t="s">
        <v>1556</v>
      </c>
      <c r="K22" s="260" t="s">
        <v>1557</v>
      </c>
      <c r="L22" s="270" t="s">
        <v>1558</v>
      </c>
      <c r="M22" s="1275" t="s">
        <v>1559</v>
      </c>
      <c r="N22" s="260" t="s">
        <v>1560</v>
      </c>
      <c r="O22" s="261" t="s">
        <v>1561</v>
      </c>
      <c r="P22" s="1276" t="s">
        <v>1562</v>
      </c>
      <c r="Q22" s="260" t="s">
        <v>1563</v>
      </c>
      <c r="R22" s="261" t="s">
        <v>1564</v>
      </c>
      <c r="S22" s="351" t="str">
        <f t="shared" si="0"/>
        <v xml:space="preserve">* La celda Pueblos Originarios / Hombres debe ser menor o igual al TOTAL ADOLESCENTES EN CONTROL / Hombres. * La celda Pueblos Originarios / Mujeres debe ser menor o igual al TOTAL ADOLESCENTES EN CONTROL / Mujeres . * La celda 'Población Migrantes / Hombres' debe ser menor o igual al TOTAL ADOLESCENTES EN CONTROL / Hombres. * La celda 'Población Migrantes / Mujeres' debe ser menor o igual al TOTAL ADOLESCENTES EN CONTROL / Mujeres. </v>
      </c>
      <c r="AB22" s="175"/>
      <c r="AC22" s="175"/>
      <c r="AD22" s="175"/>
      <c r="AE22" s="175"/>
      <c r="AF22" s="175"/>
      <c r="AG22" s="175"/>
      <c r="AH22" s="175"/>
      <c r="AI22" s="175"/>
      <c r="AJ22" s="175"/>
      <c r="AK22" s="175"/>
      <c r="AL22" s="175"/>
      <c r="AM22" s="175"/>
      <c r="AN22" s="348" t="str">
        <f t="shared" si="33"/>
        <v/>
      </c>
      <c r="AO22" s="348" t="str">
        <f t="shared" si="34"/>
        <v/>
      </c>
      <c r="AP22" s="348" t="str">
        <f t="shared" si="35"/>
        <v/>
      </c>
      <c r="AQ22" s="348" t="str">
        <f t="shared" si="36"/>
        <v/>
      </c>
      <c r="AR22" s="348" t="str">
        <f t="shared" si="37"/>
        <v xml:space="preserve">* La celda Pueblos Originarios / Hombres debe ser menor o igual al TOTAL ADOLESCENTES EN CONTROL / Hombres. </v>
      </c>
      <c r="AS22" s="348" t="str">
        <f t="shared" si="38"/>
        <v xml:space="preserve">* La celda Pueblos Originarios / Mujeres debe ser menor o igual al TOTAL ADOLESCENTES EN CONTROL / Mujeres . </v>
      </c>
      <c r="AT22" s="348" t="str">
        <f t="shared" si="39"/>
        <v xml:space="preserve">* La celda 'Población Migrantes / Hombres' debe ser menor o igual al TOTAL ADOLESCENTES EN CONTROL / Hombres. </v>
      </c>
      <c r="AU22" s="348" t="str">
        <f t="shared" si="40"/>
        <v xml:space="preserve">* La celda 'Población Migrantes / Mujeres' debe ser menor o igual al TOTAL ADOLESCENTES EN CONTROL / Mujeres. </v>
      </c>
      <c r="AV22" s="354"/>
      <c r="AW22" s="354"/>
      <c r="AX22" s="354"/>
      <c r="AY22" s="354"/>
      <c r="AZ22" s="354"/>
      <c r="BA22" s="358">
        <f t="shared" si="41"/>
        <v>1</v>
      </c>
      <c r="BB22" s="358">
        <f t="shared" si="42"/>
        <v>1</v>
      </c>
      <c r="BC22" s="358">
        <f t="shared" si="43"/>
        <v>1</v>
      </c>
      <c r="BD22" s="358">
        <f t="shared" si="44"/>
        <v>1</v>
      </c>
      <c r="BE22" s="358">
        <f t="shared" si="45"/>
        <v>0</v>
      </c>
      <c r="BF22" s="358">
        <f t="shared" si="46"/>
        <v>0</v>
      </c>
      <c r="BG22" s="358">
        <f t="shared" si="47"/>
        <v>0</v>
      </c>
      <c r="BH22" s="358">
        <f t="shared" si="48"/>
        <v>0</v>
      </c>
    </row>
    <row r="23" spans="1:60" s="291" customFormat="1" ht="13.5" customHeight="1" x14ac:dyDescent="0.25">
      <c r="A23" s="1653"/>
      <c r="B23" s="1938"/>
      <c r="C23" s="202" t="s">
        <v>102</v>
      </c>
      <c r="D23" s="250">
        <v>0</v>
      </c>
      <c r="E23" s="464">
        <v>0</v>
      </c>
      <c r="F23" s="465">
        <v>0</v>
      </c>
      <c r="G23" s="463">
        <v>0</v>
      </c>
      <c r="H23" s="464">
        <v>0</v>
      </c>
      <c r="I23" s="465">
        <v>0</v>
      </c>
      <c r="J23" s="463">
        <v>0</v>
      </c>
      <c r="K23" s="464">
        <v>0</v>
      </c>
      <c r="L23" s="491">
        <v>0</v>
      </c>
      <c r="M23" s="466">
        <v>0</v>
      </c>
      <c r="N23" s="464">
        <v>0</v>
      </c>
      <c r="O23" s="1076">
        <v>0</v>
      </c>
      <c r="P23" s="1076">
        <v>0</v>
      </c>
      <c r="Q23" s="464">
        <v>0</v>
      </c>
      <c r="R23" s="493">
        <v>0</v>
      </c>
      <c r="S23" s="351"/>
      <c r="AB23" s="175"/>
      <c r="AC23" s="175"/>
      <c r="AD23" s="175"/>
      <c r="AE23" s="175"/>
      <c r="AF23" s="175"/>
      <c r="AG23" s="175"/>
      <c r="AH23" s="175"/>
      <c r="AI23" s="175"/>
      <c r="AJ23" s="175"/>
      <c r="AK23" s="175"/>
      <c r="AL23" s="175"/>
      <c r="AM23" s="175"/>
      <c r="AN23" s="354"/>
      <c r="AO23" s="354"/>
      <c r="AP23" s="354"/>
      <c r="AQ23" s="354"/>
      <c r="AR23" s="354"/>
      <c r="AS23" s="354"/>
      <c r="AT23" s="354"/>
      <c r="AU23" s="354"/>
      <c r="AV23" s="354"/>
      <c r="AW23" s="354"/>
      <c r="AX23" s="354"/>
      <c r="AY23" s="354"/>
      <c r="AZ23" s="354"/>
      <c r="BA23" s="354"/>
      <c r="BB23" s="354"/>
      <c r="BC23" s="354"/>
      <c r="BD23" s="354"/>
      <c r="BE23" s="354"/>
      <c r="BF23" s="354"/>
      <c r="BG23" s="354"/>
      <c r="BH23" s="354"/>
    </row>
    <row r="24" spans="1:60" s="291" customFormat="1" ht="18" customHeight="1" x14ac:dyDescent="0.25">
      <c r="A24" s="1652" t="s">
        <v>1391</v>
      </c>
      <c r="B24" s="1938"/>
      <c r="C24" s="194" t="s">
        <v>519</v>
      </c>
      <c r="D24" s="248" t="s">
        <v>1550</v>
      </c>
      <c r="E24" s="468" t="s">
        <v>1551</v>
      </c>
      <c r="F24" s="469" t="s">
        <v>1552</v>
      </c>
      <c r="G24" s="248" t="s">
        <v>1553</v>
      </c>
      <c r="H24" s="244" t="s">
        <v>1554</v>
      </c>
      <c r="I24" s="245" t="s">
        <v>1555</v>
      </c>
      <c r="J24" s="248" t="s">
        <v>1556</v>
      </c>
      <c r="K24" s="244" t="s">
        <v>1557</v>
      </c>
      <c r="L24" s="272" t="s">
        <v>1558</v>
      </c>
      <c r="M24" s="1273" t="s">
        <v>1559</v>
      </c>
      <c r="N24" s="244" t="s">
        <v>1560</v>
      </c>
      <c r="O24" s="245" t="s">
        <v>1561</v>
      </c>
      <c r="P24" s="1274" t="s">
        <v>1562</v>
      </c>
      <c r="Q24" s="244" t="s">
        <v>1563</v>
      </c>
      <c r="R24" s="245" t="s">
        <v>1564</v>
      </c>
      <c r="S24" s="351" t="str">
        <f t="shared" si="0"/>
        <v xml:space="preserve">* La celda Pueblos Originarios / Hombres debe ser menor o igual al TOTAL ADOLESCENTES EN CONTROL / Hombres. * La celda Pueblos Originarios / Mujeres debe ser menor o igual al TOTAL ADOLESCENTES EN CONTROL / Mujeres . * La celda 'Población Migrantes / Hombres' debe ser menor o igual al TOTAL ADOLESCENTES EN CONTROL / Hombres. * La celda 'Población Migrantes / Mujeres' debe ser menor o igual al TOTAL ADOLESCENTES EN CONTROL / Mujeres. </v>
      </c>
      <c r="AB24" s="175"/>
      <c r="AC24" s="175"/>
      <c r="AD24" s="175"/>
      <c r="AE24" s="175"/>
      <c r="AF24" s="175"/>
      <c r="AG24" s="175"/>
      <c r="AH24" s="175"/>
      <c r="AI24" s="175"/>
      <c r="AJ24" s="175"/>
      <c r="AK24" s="175"/>
      <c r="AL24" s="175"/>
      <c r="AM24" s="175"/>
      <c r="AN24" s="348" t="str">
        <f t="shared" ref="AN24:AN25" si="49">IF(AND($E24&lt;&gt;0,$N24=""),"* No olvide escribir en la celda de Pueblos Originarios / Hombres (Digite CERO si no tiene).  ","")</f>
        <v/>
      </c>
      <c r="AO24" s="348" t="str">
        <f t="shared" ref="AO24:AO25" si="50">IF(AND($F24&lt;&gt;0,$O24=""),"* No olvide escribir en la celda de Pueblos Originarios Mujeres (Digite CERO si no tiene).  ","")</f>
        <v/>
      </c>
      <c r="AP24" s="348" t="str">
        <f t="shared" ref="AP24:AP25" si="51">IF(AND($E24&lt;&gt;0,$Q24=""),"* No olvide escribir en la celda de Población Migrantes / Hombres (Digite CERO si no tiene). ","")</f>
        <v/>
      </c>
      <c r="AQ24" s="348" t="str">
        <f t="shared" ref="AQ24:AQ25" si="52">IF(AND($F24&lt;&gt;0,$R24=""),"* No olvide escribir en la celda de Población Migrantes / Mujeres (Digite CERO si no tiene). ","")</f>
        <v/>
      </c>
      <c r="AR24" s="348" t="str">
        <f t="shared" ref="AR24:AR25" si="53">IF(($N24)&gt;$E24,"* La celda Pueblos Originarios / Hombres debe ser menor o igual al TOTAL ADOLESCENTES EN CONTROL / Hombres. ","")</f>
        <v xml:space="preserve">* La celda Pueblos Originarios / Hombres debe ser menor o igual al TOTAL ADOLESCENTES EN CONTROL / Hombres. </v>
      </c>
      <c r="AS24" s="348" t="str">
        <f t="shared" ref="AS24:AS25" si="54">IF($O24&gt;$F24,"* La celda Pueblos Originarios / Mujeres debe ser menor o igual al TOTAL ADOLESCENTES EN CONTROL / Mujeres . ","")</f>
        <v xml:space="preserve">* La celda Pueblos Originarios / Mujeres debe ser menor o igual al TOTAL ADOLESCENTES EN CONTROL / Mujeres . </v>
      </c>
      <c r="AT24" s="348" t="str">
        <f t="shared" ref="AT24:AT25" si="55">IF(($Q24)&gt;$E24,"* La celda 'Población Migrantes / Hombres' debe ser menor o igual al TOTAL ADOLESCENTES EN CONTROL / Hombres. ","")</f>
        <v xml:space="preserve">* La celda 'Población Migrantes / Hombres' debe ser menor o igual al TOTAL ADOLESCENTES EN CONTROL / Hombres. </v>
      </c>
      <c r="AU24" s="348" t="str">
        <f t="shared" ref="AU24:AU25" si="56">IF($R24&gt;$F24,"* La celda 'Población Migrantes / Mujeres' debe ser menor o igual al TOTAL ADOLESCENTES EN CONTROL / Mujeres. ","")</f>
        <v xml:space="preserve">* La celda 'Población Migrantes / Mujeres' debe ser menor o igual al TOTAL ADOLESCENTES EN CONTROL / Mujeres. </v>
      </c>
      <c r="AV24" s="354"/>
      <c r="AW24" s="354"/>
      <c r="AX24" s="354"/>
      <c r="AY24" s="354"/>
      <c r="AZ24" s="354"/>
      <c r="BA24" s="358">
        <f t="shared" ref="BA24:BA25" si="57">IF($E24&lt;$N24, 1,0)</f>
        <v>1</v>
      </c>
      <c r="BB24" s="358">
        <f t="shared" ref="BB24:BB25" si="58">IF($F24&lt;$O24, 1,0)</f>
        <v>1</v>
      </c>
      <c r="BC24" s="358">
        <f t="shared" ref="BC24:BC25" si="59">IF($E24&lt;$Q24, 1,0)</f>
        <v>1</v>
      </c>
      <c r="BD24" s="358">
        <f t="shared" ref="BD24:BD25" si="60">IF($F24&lt;$R24, 1,0)</f>
        <v>1</v>
      </c>
      <c r="BE24" s="358">
        <f t="shared" ref="BE24:BE25" si="61">IF(AND(E24&lt;&gt;0,N24=""),1,0)</f>
        <v>0</v>
      </c>
      <c r="BF24" s="358">
        <f t="shared" ref="BF24:BF25" si="62">IF(AND(F24&lt;&gt;0,O24=""),1,0)</f>
        <v>0</v>
      </c>
      <c r="BG24" s="358">
        <f t="shared" ref="BG24:BG25" si="63">IF(AND(E24&lt;&gt;0,Q24=""),1,0)</f>
        <v>0</v>
      </c>
      <c r="BH24" s="358">
        <f t="shared" ref="BH24:BH25" si="64">IF(AND(F24&lt;&gt;0,R24=""),1,0)</f>
        <v>0</v>
      </c>
    </row>
    <row r="25" spans="1:60" s="291" customFormat="1" ht="18" customHeight="1" x14ac:dyDescent="0.25">
      <c r="A25" s="1652" t="s">
        <v>1392</v>
      </c>
      <c r="B25" s="1938"/>
      <c r="C25" s="203" t="s">
        <v>444</v>
      </c>
      <c r="D25" s="249" t="s">
        <v>1550</v>
      </c>
      <c r="E25" s="488" t="s">
        <v>1551</v>
      </c>
      <c r="F25" s="263" t="s">
        <v>1552</v>
      </c>
      <c r="G25" s="249" t="s">
        <v>1553</v>
      </c>
      <c r="H25" s="246" t="s">
        <v>1554</v>
      </c>
      <c r="I25" s="247" t="s">
        <v>1555</v>
      </c>
      <c r="J25" s="249" t="s">
        <v>1556</v>
      </c>
      <c r="K25" s="246" t="s">
        <v>1557</v>
      </c>
      <c r="L25" s="270" t="s">
        <v>1558</v>
      </c>
      <c r="M25" s="1277" t="s">
        <v>1559</v>
      </c>
      <c r="N25" s="246" t="s">
        <v>1560</v>
      </c>
      <c r="O25" s="247" t="s">
        <v>1561</v>
      </c>
      <c r="P25" s="1278" t="s">
        <v>1562</v>
      </c>
      <c r="Q25" s="246" t="s">
        <v>1563</v>
      </c>
      <c r="R25" s="247" t="s">
        <v>1564</v>
      </c>
      <c r="S25" s="351" t="str">
        <f t="shared" si="0"/>
        <v xml:space="preserve">* La celda Pueblos Originarios / Hombres debe ser menor o igual al TOTAL ADOLESCENTES EN CONTROL / Hombres. * La celda Pueblos Originarios / Mujeres debe ser menor o igual al TOTAL ADOLESCENTES EN CONTROL / Mujeres . * La celda 'Población Migrantes / Hombres' debe ser menor o igual al TOTAL ADOLESCENTES EN CONTROL / Hombres. * La celda 'Población Migrantes / Mujeres' debe ser menor o igual al TOTAL ADOLESCENTES EN CONTROL / Mujeres. </v>
      </c>
      <c r="AB25" s="175"/>
      <c r="AC25" s="175"/>
      <c r="AD25" s="175"/>
      <c r="AE25" s="175"/>
      <c r="AF25" s="175"/>
      <c r="AG25" s="175"/>
      <c r="AH25" s="175"/>
      <c r="AI25" s="175"/>
      <c r="AJ25" s="175"/>
      <c r="AK25" s="175"/>
      <c r="AL25" s="175"/>
      <c r="AM25" s="175"/>
      <c r="AN25" s="348" t="str">
        <f t="shared" si="49"/>
        <v/>
      </c>
      <c r="AO25" s="348" t="str">
        <f t="shared" si="50"/>
        <v/>
      </c>
      <c r="AP25" s="348" t="str">
        <f t="shared" si="51"/>
        <v/>
      </c>
      <c r="AQ25" s="348" t="str">
        <f t="shared" si="52"/>
        <v/>
      </c>
      <c r="AR25" s="348" t="str">
        <f t="shared" si="53"/>
        <v xml:space="preserve">* La celda Pueblos Originarios / Hombres debe ser menor o igual al TOTAL ADOLESCENTES EN CONTROL / Hombres. </v>
      </c>
      <c r="AS25" s="348" t="str">
        <f t="shared" si="54"/>
        <v xml:space="preserve">* La celda Pueblos Originarios / Mujeres debe ser menor o igual al TOTAL ADOLESCENTES EN CONTROL / Mujeres . </v>
      </c>
      <c r="AT25" s="348" t="str">
        <f t="shared" si="55"/>
        <v xml:space="preserve">* La celda 'Población Migrantes / Hombres' debe ser menor o igual al TOTAL ADOLESCENTES EN CONTROL / Hombres. </v>
      </c>
      <c r="AU25" s="348" t="str">
        <f t="shared" si="56"/>
        <v xml:space="preserve">* La celda 'Población Migrantes / Mujeres' debe ser menor o igual al TOTAL ADOLESCENTES EN CONTROL / Mujeres. </v>
      </c>
      <c r="AV25" s="354"/>
      <c r="AW25" s="354"/>
      <c r="AX25" s="354"/>
      <c r="AY25" s="354"/>
      <c r="AZ25" s="354"/>
      <c r="BA25" s="358">
        <f t="shared" si="57"/>
        <v>1</v>
      </c>
      <c r="BB25" s="358">
        <f t="shared" si="58"/>
        <v>1</v>
      </c>
      <c r="BC25" s="358">
        <f t="shared" si="59"/>
        <v>1</v>
      </c>
      <c r="BD25" s="358">
        <f t="shared" si="60"/>
        <v>1</v>
      </c>
      <c r="BE25" s="358">
        <f t="shared" si="61"/>
        <v>0</v>
      </c>
      <c r="BF25" s="358">
        <f t="shared" si="62"/>
        <v>0</v>
      </c>
      <c r="BG25" s="358">
        <f t="shared" si="63"/>
        <v>0</v>
      </c>
      <c r="BH25" s="358">
        <f t="shared" si="64"/>
        <v>0</v>
      </c>
    </row>
    <row r="26" spans="1:60" s="291" customFormat="1" ht="13.5" customHeight="1" x14ac:dyDescent="0.25">
      <c r="A26" s="1653"/>
      <c r="B26" s="1938"/>
      <c r="C26" s="202" t="s">
        <v>102</v>
      </c>
      <c r="D26" s="463">
        <v>0</v>
      </c>
      <c r="E26" s="464">
        <v>0</v>
      </c>
      <c r="F26" s="465">
        <v>0</v>
      </c>
      <c r="G26" s="463">
        <v>0</v>
      </c>
      <c r="H26" s="464">
        <v>0</v>
      </c>
      <c r="I26" s="465">
        <v>0</v>
      </c>
      <c r="J26" s="463">
        <v>0</v>
      </c>
      <c r="K26" s="464">
        <v>0</v>
      </c>
      <c r="L26" s="491">
        <v>0</v>
      </c>
      <c r="M26" s="466">
        <v>0</v>
      </c>
      <c r="N26" s="464">
        <v>0</v>
      </c>
      <c r="O26" s="1076">
        <v>0</v>
      </c>
      <c r="P26" s="1076">
        <v>0</v>
      </c>
      <c r="Q26" s="464">
        <v>0</v>
      </c>
      <c r="R26" s="493">
        <v>0</v>
      </c>
      <c r="S26" s="351"/>
      <c r="AB26" s="175"/>
      <c r="AC26" s="175"/>
      <c r="AD26" s="175"/>
      <c r="AE26" s="175"/>
      <c r="AF26" s="175"/>
      <c r="AG26" s="175"/>
      <c r="AH26" s="175"/>
      <c r="AI26" s="175"/>
      <c r="AJ26" s="175"/>
      <c r="AK26" s="175"/>
      <c r="AL26" s="175"/>
      <c r="AM26" s="175"/>
      <c r="AN26" s="354"/>
      <c r="AO26" s="354"/>
      <c r="AP26" s="354"/>
      <c r="AQ26" s="354"/>
      <c r="AR26" s="354"/>
      <c r="AS26" s="354"/>
      <c r="AT26" s="354"/>
      <c r="AU26" s="354"/>
      <c r="AV26" s="354"/>
      <c r="AW26" s="354"/>
      <c r="AX26" s="354"/>
      <c r="AY26" s="354"/>
      <c r="AZ26" s="354"/>
      <c r="BA26" s="354"/>
      <c r="BB26" s="354"/>
      <c r="BC26" s="354"/>
      <c r="BD26" s="354"/>
      <c r="BE26" s="354"/>
      <c r="BF26" s="354"/>
      <c r="BG26" s="354"/>
      <c r="BH26" s="354"/>
    </row>
    <row r="27" spans="1:60" s="291" customFormat="1" ht="15.75" customHeight="1" x14ac:dyDescent="0.25">
      <c r="A27" s="1652" t="s">
        <v>1393</v>
      </c>
      <c r="B27" s="1939"/>
      <c r="C27" s="200" t="s">
        <v>445</v>
      </c>
      <c r="D27" s="1279" t="s">
        <v>1550</v>
      </c>
      <c r="E27" s="481" t="s">
        <v>1551</v>
      </c>
      <c r="F27" s="482" t="s">
        <v>1552</v>
      </c>
      <c r="G27" s="1279" t="s">
        <v>1553</v>
      </c>
      <c r="H27" s="258" t="s">
        <v>1554</v>
      </c>
      <c r="I27" s="259" t="s">
        <v>1555</v>
      </c>
      <c r="J27" s="1279" t="s">
        <v>1556</v>
      </c>
      <c r="K27" s="242" t="s">
        <v>1557</v>
      </c>
      <c r="L27" s="281" t="s">
        <v>1558</v>
      </c>
      <c r="M27" s="1280" t="s">
        <v>1559</v>
      </c>
      <c r="N27" s="242" t="s">
        <v>1560</v>
      </c>
      <c r="O27" s="243" t="s">
        <v>1561</v>
      </c>
      <c r="P27" s="1281" t="s">
        <v>1562</v>
      </c>
      <c r="Q27" s="242" t="s">
        <v>1563</v>
      </c>
      <c r="R27" s="243" t="s">
        <v>1564</v>
      </c>
      <c r="S27" s="351" t="str">
        <f t="shared" si="0"/>
        <v xml:space="preserve">* La celda Pueblos Originarios / Hombres debe ser menor o igual al TOTAL ADOLESCENTES EN CONTROL / Hombres. * La celda Pueblos Originarios / Mujeres debe ser menor o igual al TOTAL ADOLESCENTES EN CONTROL / Mujeres . * La celda 'Población Migrantes / Hombres' debe ser menor o igual al TOTAL ADOLESCENTES EN CONTROL / Hombres. * La celda 'Población Migrantes / Mujeres' debe ser menor o igual al TOTAL ADOLESCENTES EN CONTROL / Mujeres. </v>
      </c>
      <c r="AB27" s="175"/>
      <c r="AC27" s="175"/>
      <c r="AD27" s="175"/>
      <c r="AE27" s="175"/>
      <c r="AF27" s="175"/>
      <c r="AG27" s="175"/>
      <c r="AH27" s="175"/>
      <c r="AI27" s="175"/>
      <c r="AJ27" s="175"/>
      <c r="AK27" s="175"/>
      <c r="AL27" s="175"/>
      <c r="AM27" s="175"/>
      <c r="AN27" s="348" t="str">
        <f t="shared" ref="AN27:AN30" si="65">IF(AND($E27&lt;&gt;0,$N27=""),"* No olvide escribir en la celda de Pueblos Originarios / Hombres (Digite CERO si no tiene).  ","")</f>
        <v/>
      </c>
      <c r="AO27" s="348" t="str">
        <f t="shared" ref="AO27:AO30" si="66">IF(AND($F27&lt;&gt;0,$O27=""),"* No olvide escribir en la celda de Pueblos Originarios Mujeres (Digite CERO si no tiene).  ","")</f>
        <v/>
      </c>
      <c r="AP27" s="348" t="str">
        <f t="shared" ref="AP27:AP30" si="67">IF(AND($E27&lt;&gt;0,$Q27=""),"* No olvide escribir en la celda de Población Migrantes / Hombres (Digite CERO si no tiene). ","")</f>
        <v/>
      </c>
      <c r="AQ27" s="348" t="str">
        <f t="shared" ref="AQ27:AQ30" si="68">IF(AND($F27&lt;&gt;0,$R27=""),"* No olvide escribir en la celda de Población Migrantes / Mujeres (Digite CERO si no tiene). ","")</f>
        <v/>
      </c>
      <c r="AR27" s="348" t="str">
        <f t="shared" ref="AR27:AR30" si="69">IF(($N27)&gt;$E27,"* La celda Pueblos Originarios / Hombres debe ser menor o igual al TOTAL ADOLESCENTES EN CONTROL / Hombres. ","")</f>
        <v xml:space="preserve">* La celda Pueblos Originarios / Hombres debe ser menor o igual al TOTAL ADOLESCENTES EN CONTROL / Hombres. </v>
      </c>
      <c r="AS27" s="348" t="str">
        <f t="shared" ref="AS27:AS30" si="70">IF($O27&gt;$F27,"* La celda Pueblos Originarios / Mujeres debe ser menor o igual al TOTAL ADOLESCENTES EN CONTROL / Mujeres . ","")</f>
        <v xml:space="preserve">* La celda Pueblos Originarios / Mujeres debe ser menor o igual al TOTAL ADOLESCENTES EN CONTROL / Mujeres . </v>
      </c>
      <c r="AT27" s="348" t="str">
        <f t="shared" ref="AT27:AT30" si="71">IF(($Q27)&gt;$E27,"* La celda 'Población Migrantes / Hombres' debe ser menor o igual al TOTAL ADOLESCENTES EN CONTROL / Hombres. ","")</f>
        <v xml:space="preserve">* La celda 'Población Migrantes / Hombres' debe ser menor o igual al TOTAL ADOLESCENTES EN CONTROL / Hombres. </v>
      </c>
      <c r="AU27" s="348" t="str">
        <f t="shared" ref="AU27:AU30" si="72">IF($R27&gt;$F27,"* La celda 'Población Migrantes / Mujeres' debe ser menor o igual al TOTAL ADOLESCENTES EN CONTROL / Mujeres. ","")</f>
        <v xml:space="preserve">* La celda 'Población Migrantes / Mujeres' debe ser menor o igual al TOTAL ADOLESCENTES EN CONTROL / Mujeres. </v>
      </c>
      <c r="AV27" s="354"/>
      <c r="AW27" s="354"/>
      <c r="AX27" s="354"/>
      <c r="AY27" s="354"/>
      <c r="AZ27" s="354"/>
      <c r="BA27" s="358">
        <f t="shared" ref="BA27:BA30" si="73">IF($E27&lt;$N27, 1,0)</f>
        <v>1</v>
      </c>
      <c r="BB27" s="358">
        <f t="shared" ref="BB27:BB30" si="74">IF($F27&lt;$O27, 1,0)</f>
        <v>1</v>
      </c>
      <c r="BC27" s="358">
        <f t="shared" ref="BC27:BC30" si="75">IF($E27&lt;$Q27, 1,0)</f>
        <v>1</v>
      </c>
      <c r="BD27" s="358">
        <f t="shared" ref="BD27:BD30" si="76">IF($F27&lt;$R27, 1,0)</f>
        <v>1</v>
      </c>
      <c r="BE27" s="358">
        <f t="shared" ref="BE27:BE30" si="77">IF(AND(E27&lt;&gt;0,N27=""),1,0)</f>
        <v>0</v>
      </c>
      <c r="BF27" s="358">
        <f t="shared" ref="BF27:BF30" si="78">IF(AND(F27&lt;&gt;0,O27=""),1,0)</f>
        <v>0</v>
      </c>
      <c r="BG27" s="358">
        <f t="shared" ref="BG27:BG30" si="79">IF(AND(E27&lt;&gt;0,Q27=""),1,0)</f>
        <v>0</v>
      </c>
      <c r="BH27" s="358">
        <f t="shared" ref="BH27:BH30" si="80">IF(AND(F27&lt;&gt;0,R27=""),1,0)</f>
        <v>0</v>
      </c>
    </row>
    <row r="28" spans="1:60" s="291" customFormat="1" ht="15.75" customHeight="1" x14ac:dyDescent="0.25">
      <c r="A28" s="1652" t="s">
        <v>1394</v>
      </c>
      <c r="B28" s="1997" t="s">
        <v>440</v>
      </c>
      <c r="C28" s="99" t="s">
        <v>441</v>
      </c>
      <c r="D28" s="248" t="s">
        <v>1550</v>
      </c>
      <c r="E28" s="468" t="s">
        <v>1551</v>
      </c>
      <c r="F28" s="469" t="s">
        <v>1552</v>
      </c>
      <c r="G28" s="248" t="s">
        <v>1553</v>
      </c>
      <c r="H28" s="256" t="s">
        <v>1554</v>
      </c>
      <c r="I28" s="257" t="s">
        <v>1555</v>
      </c>
      <c r="J28" s="341" t="s">
        <v>1556</v>
      </c>
      <c r="K28" s="256" t="s">
        <v>1557</v>
      </c>
      <c r="L28" s="272" t="s">
        <v>1558</v>
      </c>
      <c r="M28" s="1282" t="s">
        <v>1559</v>
      </c>
      <c r="N28" s="256" t="s">
        <v>1560</v>
      </c>
      <c r="O28" s="257" t="s">
        <v>1561</v>
      </c>
      <c r="P28" s="1283" t="s">
        <v>1562</v>
      </c>
      <c r="Q28" s="256" t="s">
        <v>1563</v>
      </c>
      <c r="R28" s="257" t="s">
        <v>1564</v>
      </c>
      <c r="S28" s="351" t="str">
        <f t="shared" si="0"/>
        <v xml:space="preserve">* La celda Pueblos Originarios / Hombres debe ser menor o igual al TOTAL ADOLESCENTES EN CONTROL / Hombres. * La celda Pueblos Originarios / Mujeres debe ser menor o igual al TOTAL ADOLESCENTES EN CONTROL / Mujeres . * La celda 'Población Migrantes / Hombres' debe ser menor o igual al TOTAL ADOLESCENTES EN CONTROL / Hombres. * La celda 'Población Migrantes / Mujeres' debe ser menor o igual al TOTAL ADOLESCENTES EN CONTROL / Mujeres. </v>
      </c>
      <c r="AB28" s="175"/>
      <c r="AC28" s="175"/>
      <c r="AD28" s="175"/>
      <c r="AE28" s="175"/>
      <c r="AF28" s="175"/>
      <c r="AG28" s="175"/>
      <c r="AH28" s="175"/>
      <c r="AI28" s="175"/>
      <c r="AJ28" s="175"/>
      <c r="AK28" s="175"/>
      <c r="AL28" s="175"/>
      <c r="AM28" s="175"/>
      <c r="AN28" s="348" t="str">
        <f t="shared" si="65"/>
        <v/>
      </c>
      <c r="AO28" s="348" t="str">
        <f t="shared" si="66"/>
        <v/>
      </c>
      <c r="AP28" s="348" t="str">
        <f t="shared" si="67"/>
        <v/>
      </c>
      <c r="AQ28" s="348" t="str">
        <f t="shared" si="68"/>
        <v/>
      </c>
      <c r="AR28" s="348" t="str">
        <f t="shared" si="69"/>
        <v xml:space="preserve">* La celda Pueblos Originarios / Hombres debe ser menor o igual al TOTAL ADOLESCENTES EN CONTROL / Hombres. </v>
      </c>
      <c r="AS28" s="348" t="str">
        <f t="shared" si="70"/>
        <v xml:space="preserve">* La celda Pueblos Originarios / Mujeres debe ser menor o igual al TOTAL ADOLESCENTES EN CONTROL / Mujeres . </v>
      </c>
      <c r="AT28" s="348" t="str">
        <f t="shared" si="71"/>
        <v xml:space="preserve">* La celda 'Población Migrantes / Hombres' debe ser menor o igual al TOTAL ADOLESCENTES EN CONTROL / Hombres. </v>
      </c>
      <c r="AU28" s="348" t="str">
        <f t="shared" si="72"/>
        <v xml:space="preserve">* La celda 'Población Migrantes / Mujeres' debe ser menor o igual al TOTAL ADOLESCENTES EN CONTROL / Mujeres. </v>
      </c>
      <c r="AV28" s="354"/>
      <c r="AW28" s="354"/>
      <c r="AX28" s="354"/>
      <c r="AY28" s="354"/>
      <c r="AZ28" s="354"/>
      <c r="BA28" s="358">
        <f t="shared" si="73"/>
        <v>1</v>
      </c>
      <c r="BB28" s="358">
        <f t="shared" si="74"/>
        <v>1</v>
      </c>
      <c r="BC28" s="358">
        <f t="shared" si="75"/>
        <v>1</v>
      </c>
      <c r="BD28" s="358">
        <f t="shared" si="76"/>
        <v>1</v>
      </c>
      <c r="BE28" s="358">
        <f t="shared" si="77"/>
        <v>0</v>
      </c>
      <c r="BF28" s="358">
        <f t="shared" si="78"/>
        <v>0</v>
      </c>
      <c r="BG28" s="358">
        <f t="shared" si="79"/>
        <v>0</v>
      </c>
      <c r="BH28" s="358">
        <f t="shared" si="80"/>
        <v>0</v>
      </c>
    </row>
    <row r="29" spans="1:60" s="291" customFormat="1" ht="15.75" customHeight="1" x14ac:dyDescent="0.25">
      <c r="A29" s="1652" t="s">
        <v>1395</v>
      </c>
      <c r="B29" s="1938"/>
      <c r="C29" s="204" t="s">
        <v>520</v>
      </c>
      <c r="D29" s="252" t="s">
        <v>1550</v>
      </c>
      <c r="E29" s="473" t="s">
        <v>1551</v>
      </c>
      <c r="F29" s="469" t="s">
        <v>1552</v>
      </c>
      <c r="G29" s="252" t="s">
        <v>1553</v>
      </c>
      <c r="H29" s="258" t="s">
        <v>1554</v>
      </c>
      <c r="I29" s="259" t="s">
        <v>1555</v>
      </c>
      <c r="J29" s="252" t="s">
        <v>1556</v>
      </c>
      <c r="K29" s="258" t="s">
        <v>1557</v>
      </c>
      <c r="L29" s="282" t="s">
        <v>1558</v>
      </c>
      <c r="M29" s="1284" t="s">
        <v>1559</v>
      </c>
      <c r="N29" s="258" t="s">
        <v>1560</v>
      </c>
      <c r="O29" s="259" t="s">
        <v>1561</v>
      </c>
      <c r="P29" s="386" t="s">
        <v>1562</v>
      </c>
      <c r="Q29" s="258" t="s">
        <v>1563</v>
      </c>
      <c r="R29" s="259" t="s">
        <v>1564</v>
      </c>
      <c r="S29" s="351" t="str">
        <f t="shared" si="0"/>
        <v xml:space="preserve">* La celda Pueblos Originarios / Hombres debe ser menor o igual al TOTAL ADOLESCENTES EN CONTROL / Hombres. * La celda Pueblos Originarios / Mujeres debe ser menor o igual al TOTAL ADOLESCENTES EN CONTROL / Mujeres . * La celda 'Población Migrantes / Hombres' debe ser menor o igual al TOTAL ADOLESCENTES EN CONTROL / Hombres. * La celda 'Población Migrantes / Mujeres' debe ser menor o igual al TOTAL ADOLESCENTES EN CONTROL / Mujeres. </v>
      </c>
      <c r="AB29" s="175"/>
      <c r="AC29" s="175"/>
      <c r="AD29" s="175"/>
      <c r="AE29" s="175"/>
      <c r="AF29" s="175"/>
      <c r="AG29" s="175"/>
      <c r="AH29" s="175"/>
      <c r="AI29" s="175"/>
      <c r="AJ29" s="175"/>
      <c r="AK29" s="175"/>
      <c r="AL29" s="175"/>
      <c r="AM29" s="175"/>
      <c r="AN29" s="348" t="str">
        <f t="shared" si="65"/>
        <v/>
      </c>
      <c r="AO29" s="348" t="str">
        <f t="shared" si="66"/>
        <v/>
      </c>
      <c r="AP29" s="348" t="str">
        <f t="shared" si="67"/>
        <v/>
      </c>
      <c r="AQ29" s="348" t="str">
        <f t="shared" si="68"/>
        <v/>
      </c>
      <c r="AR29" s="348" t="str">
        <f t="shared" si="69"/>
        <v xml:space="preserve">* La celda Pueblos Originarios / Hombres debe ser menor o igual al TOTAL ADOLESCENTES EN CONTROL / Hombres. </v>
      </c>
      <c r="AS29" s="348" t="str">
        <f t="shared" si="70"/>
        <v xml:space="preserve">* La celda Pueblos Originarios / Mujeres debe ser menor o igual al TOTAL ADOLESCENTES EN CONTROL / Mujeres . </v>
      </c>
      <c r="AT29" s="348" t="str">
        <f t="shared" si="71"/>
        <v xml:space="preserve">* La celda 'Población Migrantes / Hombres' debe ser menor o igual al TOTAL ADOLESCENTES EN CONTROL / Hombres. </v>
      </c>
      <c r="AU29" s="348" t="str">
        <f t="shared" si="72"/>
        <v xml:space="preserve">* La celda 'Población Migrantes / Mujeres' debe ser menor o igual al TOTAL ADOLESCENTES EN CONTROL / Mujeres. </v>
      </c>
      <c r="AV29" s="354"/>
      <c r="AW29" s="354"/>
      <c r="AX29" s="354"/>
      <c r="AY29" s="354"/>
      <c r="AZ29" s="354"/>
      <c r="BA29" s="358">
        <f t="shared" si="73"/>
        <v>1</v>
      </c>
      <c r="BB29" s="358">
        <f t="shared" si="74"/>
        <v>1</v>
      </c>
      <c r="BC29" s="358">
        <f t="shared" si="75"/>
        <v>1</v>
      </c>
      <c r="BD29" s="358">
        <f t="shared" si="76"/>
        <v>1</v>
      </c>
      <c r="BE29" s="358">
        <f t="shared" si="77"/>
        <v>0</v>
      </c>
      <c r="BF29" s="358">
        <f t="shared" si="78"/>
        <v>0</v>
      </c>
      <c r="BG29" s="358">
        <f t="shared" si="79"/>
        <v>0</v>
      </c>
      <c r="BH29" s="358">
        <f t="shared" si="80"/>
        <v>0</v>
      </c>
    </row>
    <row r="30" spans="1:60" s="291" customFormat="1" ht="15.75" customHeight="1" x14ac:dyDescent="0.25">
      <c r="A30" s="1652" t="s">
        <v>1396</v>
      </c>
      <c r="B30" s="1938"/>
      <c r="C30" s="199" t="s">
        <v>460</v>
      </c>
      <c r="D30" s="249" t="s">
        <v>1550</v>
      </c>
      <c r="E30" s="488" t="s">
        <v>1551</v>
      </c>
      <c r="F30" s="263" t="s">
        <v>1552</v>
      </c>
      <c r="G30" s="249" t="s">
        <v>1553</v>
      </c>
      <c r="H30" s="260" t="s">
        <v>1554</v>
      </c>
      <c r="I30" s="261" t="s">
        <v>1555</v>
      </c>
      <c r="J30" s="340" t="s">
        <v>1556</v>
      </c>
      <c r="K30" s="260" t="s">
        <v>1557</v>
      </c>
      <c r="L30" s="270" t="s">
        <v>1558</v>
      </c>
      <c r="M30" s="1275" t="s">
        <v>1559</v>
      </c>
      <c r="N30" s="260" t="s">
        <v>1560</v>
      </c>
      <c r="O30" s="261" t="s">
        <v>1561</v>
      </c>
      <c r="P30" s="1276" t="s">
        <v>1562</v>
      </c>
      <c r="Q30" s="260" t="s">
        <v>1563</v>
      </c>
      <c r="R30" s="261" t="s">
        <v>1564</v>
      </c>
      <c r="S30" s="351" t="str">
        <f t="shared" si="0"/>
        <v xml:space="preserve">* La celda Pueblos Originarios / Hombres debe ser menor o igual al TOTAL ADOLESCENTES EN CONTROL / Hombres. * La celda Pueblos Originarios / Mujeres debe ser menor o igual al TOTAL ADOLESCENTES EN CONTROL / Mujeres . * La celda 'Población Migrantes / Hombres' debe ser menor o igual al TOTAL ADOLESCENTES EN CONTROL / Hombres. * La celda 'Población Migrantes / Mujeres' debe ser menor o igual al TOTAL ADOLESCENTES EN CONTROL / Mujeres. </v>
      </c>
      <c r="AB30" s="175"/>
      <c r="AC30" s="175"/>
      <c r="AD30" s="175"/>
      <c r="AE30" s="175"/>
      <c r="AF30" s="175"/>
      <c r="AG30" s="175"/>
      <c r="AH30" s="175"/>
      <c r="AI30" s="175"/>
      <c r="AJ30" s="175"/>
      <c r="AK30" s="175"/>
      <c r="AL30" s="175"/>
      <c r="AM30" s="175"/>
      <c r="AN30" s="348" t="str">
        <f t="shared" si="65"/>
        <v/>
      </c>
      <c r="AO30" s="348" t="str">
        <f t="shared" si="66"/>
        <v/>
      </c>
      <c r="AP30" s="348" t="str">
        <f t="shared" si="67"/>
        <v/>
      </c>
      <c r="AQ30" s="348" t="str">
        <f t="shared" si="68"/>
        <v/>
      </c>
      <c r="AR30" s="348" t="str">
        <f t="shared" si="69"/>
        <v xml:space="preserve">* La celda Pueblos Originarios / Hombres debe ser menor o igual al TOTAL ADOLESCENTES EN CONTROL / Hombres. </v>
      </c>
      <c r="AS30" s="348" t="str">
        <f t="shared" si="70"/>
        <v xml:space="preserve">* La celda Pueblos Originarios / Mujeres debe ser menor o igual al TOTAL ADOLESCENTES EN CONTROL / Mujeres . </v>
      </c>
      <c r="AT30" s="348" t="str">
        <f t="shared" si="71"/>
        <v xml:space="preserve">* La celda 'Población Migrantes / Hombres' debe ser menor o igual al TOTAL ADOLESCENTES EN CONTROL / Hombres. </v>
      </c>
      <c r="AU30" s="348" t="str">
        <f t="shared" si="72"/>
        <v xml:space="preserve">* La celda 'Población Migrantes / Mujeres' debe ser menor o igual al TOTAL ADOLESCENTES EN CONTROL / Mujeres. </v>
      </c>
      <c r="AV30" s="354"/>
      <c r="AW30" s="354"/>
      <c r="AX30" s="354"/>
      <c r="AY30" s="354"/>
      <c r="AZ30" s="354"/>
      <c r="BA30" s="358">
        <f t="shared" si="73"/>
        <v>1</v>
      </c>
      <c r="BB30" s="358">
        <f t="shared" si="74"/>
        <v>1</v>
      </c>
      <c r="BC30" s="358">
        <f t="shared" si="75"/>
        <v>1</v>
      </c>
      <c r="BD30" s="358">
        <f t="shared" si="76"/>
        <v>1</v>
      </c>
      <c r="BE30" s="358">
        <f t="shared" si="77"/>
        <v>0</v>
      </c>
      <c r="BF30" s="358">
        <f t="shared" si="78"/>
        <v>0</v>
      </c>
      <c r="BG30" s="358">
        <f t="shared" si="79"/>
        <v>0</v>
      </c>
      <c r="BH30" s="358">
        <f t="shared" si="80"/>
        <v>0</v>
      </c>
    </row>
    <row r="31" spans="1:60" s="291" customFormat="1" ht="13.5" customHeight="1" x14ac:dyDescent="0.25">
      <c r="A31" s="1653"/>
      <c r="B31" s="1939"/>
      <c r="C31" s="97" t="s">
        <v>13</v>
      </c>
      <c r="D31" s="463">
        <v>0</v>
      </c>
      <c r="E31" s="464">
        <v>0</v>
      </c>
      <c r="F31" s="465">
        <v>0</v>
      </c>
      <c r="G31" s="463">
        <v>0</v>
      </c>
      <c r="H31" s="464">
        <v>0</v>
      </c>
      <c r="I31" s="465">
        <v>0</v>
      </c>
      <c r="J31" s="463">
        <v>0</v>
      </c>
      <c r="K31" s="464">
        <v>0</v>
      </c>
      <c r="L31" s="492">
        <v>0</v>
      </c>
      <c r="M31" s="466">
        <v>0</v>
      </c>
      <c r="N31" s="464">
        <v>0</v>
      </c>
      <c r="O31" s="1076">
        <v>0</v>
      </c>
      <c r="P31" s="1076">
        <v>0</v>
      </c>
      <c r="Q31" s="464">
        <v>0</v>
      </c>
      <c r="R31" s="493">
        <v>0</v>
      </c>
      <c r="S31" s="351"/>
      <c r="AB31" s="175"/>
      <c r="AC31" s="175"/>
      <c r="AD31" s="175"/>
      <c r="AE31" s="175"/>
      <c r="AF31" s="175"/>
      <c r="AG31" s="175"/>
      <c r="AH31" s="175"/>
      <c r="AI31" s="175"/>
      <c r="AJ31" s="175"/>
      <c r="AK31" s="175"/>
      <c r="AL31" s="175"/>
      <c r="AM31" s="175"/>
      <c r="AN31" s="354"/>
      <c r="AO31" s="354"/>
      <c r="AP31" s="354"/>
      <c r="AQ31" s="354"/>
      <c r="AR31" s="354"/>
      <c r="AS31" s="354"/>
      <c r="AT31" s="354"/>
      <c r="AU31" s="354"/>
      <c r="AV31" s="354"/>
      <c r="AW31" s="354"/>
      <c r="AX31" s="354"/>
      <c r="AY31" s="354"/>
      <c r="AZ31" s="354"/>
      <c r="BA31" s="354"/>
      <c r="BB31" s="354"/>
      <c r="BC31" s="354"/>
      <c r="BD31" s="354"/>
      <c r="BE31" s="354"/>
      <c r="BF31" s="354"/>
      <c r="BG31" s="354"/>
      <c r="BH31" s="354"/>
    </row>
    <row r="32" spans="1:60" s="291" customFormat="1" ht="16.5" customHeight="1" x14ac:dyDescent="0.25">
      <c r="A32" s="1652" t="s">
        <v>1397</v>
      </c>
      <c r="B32" s="1938" t="s">
        <v>99</v>
      </c>
      <c r="C32" s="205" t="s">
        <v>870</v>
      </c>
      <c r="D32" s="248" t="s">
        <v>1550</v>
      </c>
      <c r="E32" s="468" t="s">
        <v>1551</v>
      </c>
      <c r="F32" s="469" t="s">
        <v>1552</v>
      </c>
      <c r="G32" s="248" t="s">
        <v>1553</v>
      </c>
      <c r="H32" s="258" t="s">
        <v>1554</v>
      </c>
      <c r="I32" s="259" t="s">
        <v>1555</v>
      </c>
      <c r="J32" s="341" t="s">
        <v>1556</v>
      </c>
      <c r="K32" s="258" t="s">
        <v>1557</v>
      </c>
      <c r="L32" s="286" t="s">
        <v>1558</v>
      </c>
      <c r="M32" s="1282" t="s">
        <v>1559</v>
      </c>
      <c r="N32" s="258" t="s">
        <v>1560</v>
      </c>
      <c r="O32" s="257" t="s">
        <v>1561</v>
      </c>
      <c r="P32" s="1283" t="s">
        <v>1562</v>
      </c>
      <c r="Q32" s="258" t="s">
        <v>1563</v>
      </c>
      <c r="R32" s="259" t="s">
        <v>1564</v>
      </c>
      <c r="S32" s="351" t="str">
        <f>AN32&amp;AO32&amp;AP32&amp;AQ32&amp;AR32 &amp; AS32 &amp; AT32 &amp; AU32</f>
        <v xml:space="preserve">* La celda Pueblos Originarios / Hombres debe ser menor o igual al TOTAL ADOLESCENTES EN CONTROL / Hombres. * La celda Pueblos Originarios / Mujeres debe ser menor o igual al TOTAL ADOLESCENTES EN CONTROL / Mujeres . * La celda 'Población Migrantes / Hombres' debe ser menor o igual al TOTAL ADOLESCENTES EN CONTROL / Hombres. * La celda 'Población Migrantes / Mujeres' debe ser menor o igual al TOTAL ADOLESCENTES EN CONTROL / Mujeres. </v>
      </c>
      <c r="AB32" s="175"/>
      <c r="AC32" s="175"/>
      <c r="AD32" s="175"/>
      <c r="AE32" s="175"/>
      <c r="AF32" s="175"/>
      <c r="AG32" s="175"/>
      <c r="AH32" s="175"/>
      <c r="AI32" s="175"/>
      <c r="AJ32" s="175"/>
      <c r="AK32" s="175"/>
      <c r="AL32" s="175"/>
      <c r="AM32" s="175"/>
      <c r="AN32" s="348" t="str">
        <f t="shared" ref="AN32:AN37" si="81">IF(AND($E32&lt;&gt;0,$N32=""),"* No olvide escribir en la celda de Pueblos Originarios / Hombres (Digite CERO si no tiene).  ","")</f>
        <v/>
      </c>
      <c r="AO32" s="348" t="str">
        <f t="shared" ref="AO32:AO37" si="82">IF(AND($F32&lt;&gt;0,$O32=""),"* No olvide escribir en la celda de Pueblos Originarios Mujeres (Digite CERO si no tiene).  ","")</f>
        <v/>
      </c>
      <c r="AP32" s="348" t="str">
        <f t="shared" ref="AP32:AP37" si="83">IF(AND($E32&lt;&gt;0,$Q32=""),"* No olvide escribir en la celda de Población Migrantes / Hombres (Digite CERO si no tiene). ","")</f>
        <v/>
      </c>
      <c r="AQ32" s="348" t="str">
        <f t="shared" ref="AQ32:AQ37" si="84">IF(AND($F32&lt;&gt;0,$R32=""),"* No olvide escribir en la celda de Población Migrantes / Mujeres (Digite CERO si no tiene). ","")</f>
        <v/>
      </c>
      <c r="AR32" s="348" t="str">
        <f t="shared" ref="AR32:AR37" si="85">IF(($N32)&gt;$E32,"* La celda Pueblos Originarios / Hombres debe ser menor o igual al TOTAL ADOLESCENTES EN CONTROL / Hombres. ","")</f>
        <v xml:space="preserve">* La celda Pueblos Originarios / Hombres debe ser menor o igual al TOTAL ADOLESCENTES EN CONTROL / Hombres. </v>
      </c>
      <c r="AS32" s="348" t="str">
        <f t="shared" ref="AS32:AS37" si="86">IF($O32&gt;$F32,"* La celda Pueblos Originarios / Mujeres debe ser menor o igual al TOTAL ADOLESCENTES EN CONTROL / Mujeres . ","")</f>
        <v xml:space="preserve">* La celda Pueblos Originarios / Mujeres debe ser menor o igual al TOTAL ADOLESCENTES EN CONTROL / Mujeres . </v>
      </c>
      <c r="AT32" s="348" t="str">
        <f t="shared" ref="AT32:AT37" si="87">IF(($Q32)&gt;$E32,"* La celda 'Población Migrantes / Hombres' debe ser menor o igual al TOTAL ADOLESCENTES EN CONTROL / Hombres. ","")</f>
        <v xml:space="preserve">* La celda 'Población Migrantes / Hombres' debe ser menor o igual al TOTAL ADOLESCENTES EN CONTROL / Hombres. </v>
      </c>
      <c r="AU32" s="348" t="str">
        <f t="shared" ref="AU32:AU37" si="88">IF($R32&gt;$F32,"* La celda 'Población Migrantes / Mujeres' debe ser menor o igual al TOTAL ADOLESCENTES EN CONTROL / Mujeres. ","")</f>
        <v xml:space="preserve">* La celda 'Población Migrantes / Mujeres' debe ser menor o igual al TOTAL ADOLESCENTES EN CONTROL / Mujeres. </v>
      </c>
      <c r="AV32" s="354"/>
      <c r="AW32" s="354"/>
      <c r="AX32" s="354"/>
      <c r="AY32" s="354"/>
      <c r="AZ32" s="354"/>
      <c r="BA32" s="358">
        <f t="shared" ref="BA32:BA37" si="89">IF($E32&lt;$N32, 1,0)</f>
        <v>1</v>
      </c>
      <c r="BB32" s="358">
        <f t="shared" ref="BB32:BB37" si="90">IF($F32&lt;$O32, 1,0)</f>
        <v>1</v>
      </c>
      <c r="BC32" s="358">
        <f t="shared" ref="BC32:BC37" si="91">IF($E32&lt;$Q32, 1,0)</f>
        <v>1</v>
      </c>
      <c r="BD32" s="358">
        <f t="shared" ref="BD32:BD37" si="92">IF($F32&lt;$R32, 1,0)</f>
        <v>1</v>
      </c>
      <c r="BE32" s="358">
        <f t="shared" ref="BE32:BE37" si="93">IF(AND(E32&lt;&gt;0,N32=""),1,0)</f>
        <v>0</v>
      </c>
      <c r="BF32" s="358">
        <f t="shared" ref="BF32:BF37" si="94">IF(AND(F32&lt;&gt;0,O32=""),1,0)</f>
        <v>0</v>
      </c>
      <c r="BG32" s="358">
        <f t="shared" ref="BG32:BG37" si="95">IF(AND(E32&lt;&gt;0,Q32=""),1,0)</f>
        <v>0</v>
      </c>
      <c r="BH32" s="358">
        <f t="shared" ref="BH32:BH37" si="96">IF(AND(F32&lt;&gt;0,R32=""),1,0)</f>
        <v>0</v>
      </c>
    </row>
    <row r="33" spans="1:60" s="291" customFormat="1" ht="16.5" customHeight="1" x14ac:dyDescent="0.25">
      <c r="A33" s="1652" t="s">
        <v>1398</v>
      </c>
      <c r="B33" s="1938"/>
      <c r="C33" s="94" t="s">
        <v>100</v>
      </c>
      <c r="D33" s="252" t="s">
        <v>1550</v>
      </c>
      <c r="E33" s="473" t="s">
        <v>1551</v>
      </c>
      <c r="F33" s="469" t="s">
        <v>1552</v>
      </c>
      <c r="G33" s="252" t="s">
        <v>1553</v>
      </c>
      <c r="H33" s="258" t="s">
        <v>1554</v>
      </c>
      <c r="I33" s="259" t="s">
        <v>1555</v>
      </c>
      <c r="J33" s="252" t="s">
        <v>1556</v>
      </c>
      <c r="K33" s="258" t="s">
        <v>1557</v>
      </c>
      <c r="L33" s="286" t="s">
        <v>1558</v>
      </c>
      <c r="M33" s="1284" t="s">
        <v>1559</v>
      </c>
      <c r="N33" s="258" t="s">
        <v>1560</v>
      </c>
      <c r="O33" s="259" t="s">
        <v>1561</v>
      </c>
      <c r="P33" s="386" t="s">
        <v>1562</v>
      </c>
      <c r="Q33" s="258" t="s">
        <v>1563</v>
      </c>
      <c r="R33" s="259" t="s">
        <v>1564</v>
      </c>
      <c r="S33" s="351" t="str">
        <f t="shared" si="0"/>
        <v xml:space="preserve">* La celda Pueblos Originarios / Hombres debe ser menor o igual al TOTAL ADOLESCENTES EN CONTROL / Hombres. * La celda Pueblos Originarios / Mujeres debe ser menor o igual al TOTAL ADOLESCENTES EN CONTROL / Mujeres . * La celda 'Población Migrantes / Hombres' debe ser menor o igual al TOTAL ADOLESCENTES EN CONTROL / Hombres. * La celda 'Población Migrantes / Mujeres' debe ser menor o igual al TOTAL ADOLESCENTES EN CONTROL / Mujeres. </v>
      </c>
      <c r="AB33" s="175"/>
      <c r="AC33" s="175"/>
      <c r="AD33" s="175"/>
      <c r="AE33" s="175"/>
      <c r="AF33" s="175"/>
      <c r="AG33" s="175"/>
      <c r="AH33" s="175"/>
      <c r="AI33" s="175"/>
      <c r="AJ33" s="175"/>
      <c r="AK33" s="175"/>
      <c r="AL33" s="175"/>
      <c r="AM33" s="175"/>
      <c r="AN33" s="348" t="str">
        <f t="shared" si="81"/>
        <v/>
      </c>
      <c r="AO33" s="348" t="str">
        <f t="shared" si="82"/>
        <v/>
      </c>
      <c r="AP33" s="348" t="str">
        <f t="shared" si="83"/>
        <v/>
      </c>
      <c r="AQ33" s="348" t="str">
        <f t="shared" si="84"/>
        <v/>
      </c>
      <c r="AR33" s="348" t="str">
        <f t="shared" si="85"/>
        <v xml:space="preserve">* La celda Pueblos Originarios / Hombres debe ser menor o igual al TOTAL ADOLESCENTES EN CONTROL / Hombres. </v>
      </c>
      <c r="AS33" s="348" t="str">
        <f t="shared" si="86"/>
        <v xml:space="preserve">* La celda Pueblos Originarios / Mujeres debe ser menor o igual al TOTAL ADOLESCENTES EN CONTROL / Mujeres . </v>
      </c>
      <c r="AT33" s="348" t="str">
        <f t="shared" si="87"/>
        <v xml:space="preserve">* La celda 'Población Migrantes / Hombres' debe ser menor o igual al TOTAL ADOLESCENTES EN CONTROL / Hombres. </v>
      </c>
      <c r="AU33" s="348" t="str">
        <f t="shared" si="88"/>
        <v xml:space="preserve">* La celda 'Población Migrantes / Mujeres' debe ser menor o igual al TOTAL ADOLESCENTES EN CONTROL / Mujeres. </v>
      </c>
      <c r="AV33" s="354"/>
      <c r="AW33" s="354"/>
      <c r="AX33" s="354"/>
      <c r="AY33" s="354"/>
      <c r="AZ33" s="354"/>
      <c r="BA33" s="358">
        <f t="shared" si="89"/>
        <v>1</v>
      </c>
      <c r="BB33" s="358">
        <f t="shared" si="90"/>
        <v>1</v>
      </c>
      <c r="BC33" s="358">
        <f t="shared" si="91"/>
        <v>1</v>
      </c>
      <c r="BD33" s="358">
        <f t="shared" si="92"/>
        <v>1</v>
      </c>
      <c r="BE33" s="358">
        <f t="shared" si="93"/>
        <v>0</v>
      </c>
      <c r="BF33" s="358">
        <f t="shared" si="94"/>
        <v>0</v>
      </c>
      <c r="BG33" s="358">
        <f t="shared" si="95"/>
        <v>0</v>
      </c>
      <c r="BH33" s="358">
        <f t="shared" si="96"/>
        <v>0</v>
      </c>
    </row>
    <row r="34" spans="1:60" s="291" customFormat="1" ht="16.5" customHeight="1" x14ac:dyDescent="0.25">
      <c r="A34" s="1652" t="s">
        <v>1399</v>
      </c>
      <c r="B34" s="1938"/>
      <c r="C34" s="204" t="s">
        <v>371</v>
      </c>
      <c r="D34" s="252" t="s">
        <v>1550</v>
      </c>
      <c r="E34" s="473" t="s">
        <v>1551</v>
      </c>
      <c r="F34" s="469" t="s">
        <v>1552</v>
      </c>
      <c r="G34" s="252" t="s">
        <v>1553</v>
      </c>
      <c r="H34" s="258" t="s">
        <v>1554</v>
      </c>
      <c r="I34" s="259" t="s">
        <v>1555</v>
      </c>
      <c r="J34" s="252" t="s">
        <v>1556</v>
      </c>
      <c r="K34" s="258" t="s">
        <v>1557</v>
      </c>
      <c r="L34" s="286" t="s">
        <v>1558</v>
      </c>
      <c r="M34" s="1284" t="s">
        <v>1559</v>
      </c>
      <c r="N34" s="258" t="s">
        <v>1560</v>
      </c>
      <c r="O34" s="259" t="s">
        <v>1561</v>
      </c>
      <c r="P34" s="386" t="s">
        <v>1562</v>
      </c>
      <c r="Q34" s="258" t="s">
        <v>1563</v>
      </c>
      <c r="R34" s="259" t="s">
        <v>1564</v>
      </c>
      <c r="S34" s="351" t="str">
        <f t="shared" si="0"/>
        <v xml:space="preserve">* La celda Pueblos Originarios / Hombres debe ser menor o igual al TOTAL ADOLESCENTES EN CONTROL / Hombres. * La celda Pueblos Originarios / Mujeres debe ser menor o igual al TOTAL ADOLESCENTES EN CONTROL / Mujeres . * La celda 'Población Migrantes / Hombres' debe ser menor o igual al TOTAL ADOLESCENTES EN CONTROL / Hombres. * La celda 'Población Migrantes / Mujeres' debe ser menor o igual al TOTAL ADOLESCENTES EN CONTROL / Mujeres. </v>
      </c>
      <c r="AB34" s="175"/>
      <c r="AC34" s="175"/>
      <c r="AD34" s="175"/>
      <c r="AE34" s="175"/>
      <c r="AF34" s="175"/>
      <c r="AG34" s="175"/>
      <c r="AH34" s="175"/>
      <c r="AI34" s="175"/>
      <c r="AJ34" s="175"/>
      <c r="AK34" s="175"/>
      <c r="AL34" s="175"/>
      <c r="AM34" s="175"/>
      <c r="AN34" s="348" t="str">
        <f t="shared" si="81"/>
        <v/>
      </c>
      <c r="AO34" s="348" t="str">
        <f t="shared" si="82"/>
        <v/>
      </c>
      <c r="AP34" s="348" t="str">
        <f t="shared" si="83"/>
        <v/>
      </c>
      <c r="AQ34" s="348" t="str">
        <f t="shared" si="84"/>
        <v/>
      </c>
      <c r="AR34" s="348" t="str">
        <f t="shared" si="85"/>
        <v xml:space="preserve">* La celda Pueblos Originarios / Hombres debe ser menor o igual al TOTAL ADOLESCENTES EN CONTROL / Hombres. </v>
      </c>
      <c r="AS34" s="348" t="str">
        <f t="shared" si="86"/>
        <v xml:space="preserve">* La celda Pueblos Originarios / Mujeres debe ser menor o igual al TOTAL ADOLESCENTES EN CONTROL / Mujeres . </v>
      </c>
      <c r="AT34" s="348" t="str">
        <f t="shared" si="87"/>
        <v xml:space="preserve">* La celda 'Población Migrantes / Hombres' debe ser menor o igual al TOTAL ADOLESCENTES EN CONTROL / Hombres. </v>
      </c>
      <c r="AU34" s="348" t="str">
        <f t="shared" si="88"/>
        <v xml:space="preserve">* La celda 'Población Migrantes / Mujeres' debe ser menor o igual al TOTAL ADOLESCENTES EN CONTROL / Mujeres. </v>
      </c>
      <c r="AV34" s="354"/>
      <c r="AW34" s="354"/>
      <c r="AX34" s="354"/>
      <c r="AY34" s="354"/>
      <c r="AZ34" s="354"/>
      <c r="BA34" s="358">
        <f t="shared" si="89"/>
        <v>1</v>
      </c>
      <c r="BB34" s="358">
        <f t="shared" si="90"/>
        <v>1</v>
      </c>
      <c r="BC34" s="358">
        <f t="shared" si="91"/>
        <v>1</v>
      </c>
      <c r="BD34" s="358">
        <f t="shared" si="92"/>
        <v>1</v>
      </c>
      <c r="BE34" s="358">
        <f t="shared" si="93"/>
        <v>0</v>
      </c>
      <c r="BF34" s="358">
        <f t="shared" si="94"/>
        <v>0</v>
      </c>
      <c r="BG34" s="358">
        <f t="shared" si="95"/>
        <v>0</v>
      </c>
      <c r="BH34" s="358">
        <f t="shared" si="96"/>
        <v>0</v>
      </c>
    </row>
    <row r="35" spans="1:60" s="291" customFormat="1" ht="16.5" customHeight="1" x14ac:dyDescent="0.25">
      <c r="A35" s="1652" t="s">
        <v>1400</v>
      </c>
      <c r="B35" s="1938"/>
      <c r="C35" s="94" t="s">
        <v>101</v>
      </c>
      <c r="D35" s="252" t="s">
        <v>1550</v>
      </c>
      <c r="E35" s="473" t="s">
        <v>1551</v>
      </c>
      <c r="F35" s="469" t="s">
        <v>1552</v>
      </c>
      <c r="G35" s="252" t="s">
        <v>1553</v>
      </c>
      <c r="H35" s="258" t="s">
        <v>1554</v>
      </c>
      <c r="I35" s="259" t="s">
        <v>1555</v>
      </c>
      <c r="J35" s="252" t="s">
        <v>1556</v>
      </c>
      <c r="K35" s="258" t="s">
        <v>1557</v>
      </c>
      <c r="L35" s="286" t="s">
        <v>1558</v>
      </c>
      <c r="M35" s="1284" t="s">
        <v>1559</v>
      </c>
      <c r="N35" s="258" t="s">
        <v>1560</v>
      </c>
      <c r="O35" s="259" t="s">
        <v>1561</v>
      </c>
      <c r="P35" s="386" t="s">
        <v>1562</v>
      </c>
      <c r="Q35" s="258" t="s">
        <v>1563</v>
      </c>
      <c r="R35" s="259" t="s">
        <v>1564</v>
      </c>
      <c r="S35" s="351" t="str">
        <f t="shared" si="0"/>
        <v xml:space="preserve">* La celda Pueblos Originarios / Hombres debe ser menor o igual al TOTAL ADOLESCENTES EN CONTROL / Hombres. * La celda Pueblos Originarios / Mujeres debe ser menor o igual al TOTAL ADOLESCENTES EN CONTROL / Mujeres . * La celda 'Población Migrantes / Hombres' debe ser menor o igual al TOTAL ADOLESCENTES EN CONTROL / Hombres. * La celda 'Población Migrantes / Mujeres' debe ser menor o igual al TOTAL ADOLESCENTES EN CONTROL / Mujeres. </v>
      </c>
      <c r="AB35" s="175"/>
      <c r="AC35" s="175"/>
      <c r="AD35" s="175"/>
      <c r="AE35" s="175"/>
      <c r="AF35" s="175"/>
      <c r="AG35" s="175"/>
      <c r="AH35" s="175"/>
      <c r="AI35" s="175"/>
      <c r="AJ35" s="175"/>
      <c r="AK35" s="175"/>
      <c r="AL35" s="175"/>
      <c r="AM35" s="175"/>
      <c r="AN35" s="348" t="str">
        <f t="shared" si="81"/>
        <v/>
      </c>
      <c r="AO35" s="348" t="str">
        <f t="shared" si="82"/>
        <v/>
      </c>
      <c r="AP35" s="348" t="str">
        <f t="shared" si="83"/>
        <v/>
      </c>
      <c r="AQ35" s="348" t="str">
        <f t="shared" si="84"/>
        <v/>
      </c>
      <c r="AR35" s="348" t="str">
        <f t="shared" si="85"/>
        <v xml:space="preserve">* La celda Pueblos Originarios / Hombres debe ser menor o igual al TOTAL ADOLESCENTES EN CONTROL / Hombres. </v>
      </c>
      <c r="AS35" s="348" t="str">
        <f t="shared" si="86"/>
        <v xml:space="preserve">* La celda Pueblos Originarios / Mujeres debe ser menor o igual al TOTAL ADOLESCENTES EN CONTROL / Mujeres . </v>
      </c>
      <c r="AT35" s="348" t="str">
        <f t="shared" si="87"/>
        <v xml:space="preserve">* La celda 'Población Migrantes / Hombres' debe ser menor o igual al TOTAL ADOLESCENTES EN CONTROL / Hombres. </v>
      </c>
      <c r="AU35" s="348" t="str">
        <f t="shared" si="88"/>
        <v xml:space="preserve">* La celda 'Población Migrantes / Mujeres' debe ser menor o igual al TOTAL ADOLESCENTES EN CONTROL / Mujeres. </v>
      </c>
      <c r="AV35" s="354"/>
      <c r="AW35" s="354"/>
      <c r="AX35" s="354"/>
      <c r="AY35" s="354"/>
      <c r="AZ35" s="354"/>
      <c r="BA35" s="358">
        <f t="shared" si="89"/>
        <v>1</v>
      </c>
      <c r="BB35" s="358">
        <f t="shared" si="90"/>
        <v>1</v>
      </c>
      <c r="BC35" s="358">
        <f t="shared" si="91"/>
        <v>1</v>
      </c>
      <c r="BD35" s="358">
        <f t="shared" si="92"/>
        <v>1</v>
      </c>
      <c r="BE35" s="358">
        <f t="shared" si="93"/>
        <v>0</v>
      </c>
      <c r="BF35" s="358">
        <f t="shared" si="94"/>
        <v>0</v>
      </c>
      <c r="BG35" s="358">
        <f t="shared" si="95"/>
        <v>0</v>
      </c>
      <c r="BH35" s="358">
        <f t="shared" si="96"/>
        <v>0</v>
      </c>
    </row>
    <row r="36" spans="1:60" s="291" customFormat="1" ht="16.5" customHeight="1" x14ac:dyDescent="0.25">
      <c r="A36" s="1652" t="s">
        <v>1401</v>
      </c>
      <c r="B36" s="1938"/>
      <c r="C36" s="94" t="s">
        <v>393</v>
      </c>
      <c r="D36" s="252" t="s">
        <v>1550</v>
      </c>
      <c r="E36" s="473" t="s">
        <v>1551</v>
      </c>
      <c r="F36" s="469" t="s">
        <v>1552</v>
      </c>
      <c r="G36" s="252" t="s">
        <v>1553</v>
      </c>
      <c r="H36" s="258" t="s">
        <v>1554</v>
      </c>
      <c r="I36" s="259" t="s">
        <v>1555</v>
      </c>
      <c r="J36" s="252" t="s">
        <v>1556</v>
      </c>
      <c r="K36" s="258" t="s">
        <v>1557</v>
      </c>
      <c r="L36" s="286" t="s">
        <v>1558</v>
      </c>
      <c r="M36" s="1284" t="s">
        <v>1559</v>
      </c>
      <c r="N36" s="258" t="s">
        <v>1560</v>
      </c>
      <c r="O36" s="259" t="s">
        <v>1561</v>
      </c>
      <c r="P36" s="386" t="s">
        <v>1562</v>
      </c>
      <c r="Q36" s="258" t="s">
        <v>1563</v>
      </c>
      <c r="R36" s="259" t="s">
        <v>1564</v>
      </c>
      <c r="S36" s="351" t="str">
        <f t="shared" si="0"/>
        <v xml:space="preserve">* La celda Pueblos Originarios / Hombres debe ser menor o igual al TOTAL ADOLESCENTES EN CONTROL / Hombres. * La celda Pueblos Originarios / Mujeres debe ser menor o igual al TOTAL ADOLESCENTES EN CONTROL / Mujeres . * La celda 'Población Migrantes / Hombres' debe ser menor o igual al TOTAL ADOLESCENTES EN CONTROL / Hombres. * La celda 'Población Migrantes / Mujeres' debe ser menor o igual al TOTAL ADOLESCENTES EN CONTROL / Mujeres. </v>
      </c>
      <c r="AB36" s="175"/>
      <c r="AC36" s="175"/>
      <c r="AD36" s="175"/>
      <c r="AE36" s="175"/>
      <c r="AF36" s="175"/>
      <c r="AG36" s="175"/>
      <c r="AH36" s="175"/>
      <c r="AI36" s="175"/>
      <c r="AJ36" s="175"/>
      <c r="AK36" s="175"/>
      <c r="AL36" s="175"/>
      <c r="AM36" s="175"/>
      <c r="AN36" s="348" t="str">
        <f t="shared" si="81"/>
        <v/>
      </c>
      <c r="AO36" s="348" t="str">
        <f t="shared" si="82"/>
        <v/>
      </c>
      <c r="AP36" s="348" t="str">
        <f t="shared" si="83"/>
        <v/>
      </c>
      <c r="AQ36" s="348" t="str">
        <f t="shared" si="84"/>
        <v/>
      </c>
      <c r="AR36" s="348" t="str">
        <f t="shared" si="85"/>
        <v xml:space="preserve">* La celda Pueblos Originarios / Hombres debe ser menor o igual al TOTAL ADOLESCENTES EN CONTROL / Hombres. </v>
      </c>
      <c r="AS36" s="348" t="str">
        <f t="shared" si="86"/>
        <v xml:space="preserve">* La celda Pueblos Originarios / Mujeres debe ser menor o igual al TOTAL ADOLESCENTES EN CONTROL / Mujeres . </v>
      </c>
      <c r="AT36" s="348" t="str">
        <f t="shared" si="87"/>
        <v xml:space="preserve">* La celda 'Población Migrantes / Hombres' debe ser menor o igual al TOTAL ADOLESCENTES EN CONTROL / Hombres. </v>
      </c>
      <c r="AU36" s="348" t="str">
        <f t="shared" si="88"/>
        <v xml:space="preserve">* La celda 'Población Migrantes / Mujeres' debe ser menor o igual al TOTAL ADOLESCENTES EN CONTROL / Mujeres. </v>
      </c>
      <c r="AV36" s="354"/>
      <c r="AW36" s="354"/>
      <c r="AX36" s="354"/>
      <c r="AY36" s="354"/>
      <c r="AZ36" s="354"/>
      <c r="BA36" s="358">
        <f t="shared" si="89"/>
        <v>1</v>
      </c>
      <c r="BB36" s="358">
        <f t="shared" si="90"/>
        <v>1</v>
      </c>
      <c r="BC36" s="358">
        <f t="shared" si="91"/>
        <v>1</v>
      </c>
      <c r="BD36" s="358">
        <f t="shared" si="92"/>
        <v>1</v>
      </c>
      <c r="BE36" s="358">
        <f t="shared" si="93"/>
        <v>0</v>
      </c>
      <c r="BF36" s="358">
        <f t="shared" si="94"/>
        <v>0</v>
      </c>
      <c r="BG36" s="358">
        <f t="shared" si="95"/>
        <v>0</v>
      </c>
      <c r="BH36" s="358">
        <f t="shared" si="96"/>
        <v>0</v>
      </c>
    </row>
    <row r="37" spans="1:60" s="291" customFormat="1" ht="16.5" customHeight="1" x14ac:dyDescent="0.25">
      <c r="A37" s="1652" t="s">
        <v>1402</v>
      </c>
      <c r="B37" s="1938"/>
      <c r="C37" s="95" t="s">
        <v>439</v>
      </c>
      <c r="D37" s="249" t="s">
        <v>1550</v>
      </c>
      <c r="E37" s="488" t="s">
        <v>1551</v>
      </c>
      <c r="F37" s="263" t="s">
        <v>1552</v>
      </c>
      <c r="G37" s="249" t="s">
        <v>1553</v>
      </c>
      <c r="H37" s="258" t="s">
        <v>1554</v>
      </c>
      <c r="I37" s="259" t="s">
        <v>1555</v>
      </c>
      <c r="J37" s="340" t="s">
        <v>1556</v>
      </c>
      <c r="K37" s="258" t="s">
        <v>1557</v>
      </c>
      <c r="L37" s="286" t="s">
        <v>1558</v>
      </c>
      <c r="M37" s="1275" t="s">
        <v>1559</v>
      </c>
      <c r="N37" s="258" t="s">
        <v>1560</v>
      </c>
      <c r="O37" s="261" t="s">
        <v>1561</v>
      </c>
      <c r="P37" s="1276" t="s">
        <v>1562</v>
      </c>
      <c r="Q37" s="258" t="s">
        <v>1563</v>
      </c>
      <c r="R37" s="259" t="s">
        <v>1564</v>
      </c>
      <c r="S37" s="351" t="str">
        <f t="shared" si="0"/>
        <v xml:space="preserve">* La celda Pueblos Originarios / Hombres debe ser menor o igual al TOTAL ADOLESCENTES EN CONTROL / Hombres. * La celda Pueblos Originarios / Mujeres debe ser menor o igual al TOTAL ADOLESCENTES EN CONTROL / Mujeres . * La celda 'Población Migrantes / Hombres' debe ser menor o igual al TOTAL ADOLESCENTES EN CONTROL / Hombres. * La celda 'Población Migrantes / Mujeres' debe ser menor o igual al TOTAL ADOLESCENTES EN CONTROL / Mujeres. </v>
      </c>
      <c r="AB37" s="175"/>
      <c r="AC37" s="175"/>
      <c r="AD37" s="175"/>
      <c r="AE37" s="175"/>
      <c r="AF37" s="175"/>
      <c r="AG37" s="175"/>
      <c r="AH37" s="175"/>
      <c r="AI37" s="175"/>
      <c r="AJ37" s="175"/>
      <c r="AK37" s="175"/>
      <c r="AL37" s="175"/>
      <c r="AM37" s="175"/>
      <c r="AN37" s="348" t="str">
        <f t="shared" si="81"/>
        <v/>
      </c>
      <c r="AO37" s="348" t="str">
        <f t="shared" si="82"/>
        <v/>
      </c>
      <c r="AP37" s="348" t="str">
        <f t="shared" si="83"/>
        <v/>
      </c>
      <c r="AQ37" s="348" t="str">
        <f t="shared" si="84"/>
        <v/>
      </c>
      <c r="AR37" s="348" t="str">
        <f t="shared" si="85"/>
        <v xml:space="preserve">* La celda Pueblos Originarios / Hombres debe ser menor o igual al TOTAL ADOLESCENTES EN CONTROL / Hombres. </v>
      </c>
      <c r="AS37" s="348" t="str">
        <f t="shared" si="86"/>
        <v xml:space="preserve">* La celda Pueblos Originarios / Mujeres debe ser menor o igual al TOTAL ADOLESCENTES EN CONTROL / Mujeres . </v>
      </c>
      <c r="AT37" s="348" t="str">
        <f t="shared" si="87"/>
        <v xml:space="preserve">* La celda 'Población Migrantes / Hombres' debe ser menor o igual al TOTAL ADOLESCENTES EN CONTROL / Hombres. </v>
      </c>
      <c r="AU37" s="348" t="str">
        <f t="shared" si="88"/>
        <v xml:space="preserve">* La celda 'Población Migrantes / Mujeres' debe ser menor o igual al TOTAL ADOLESCENTES EN CONTROL / Mujeres. </v>
      </c>
      <c r="AV37" s="354"/>
      <c r="AW37" s="354"/>
      <c r="AX37" s="354"/>
      <c r="AY37" s="354"/>
      <c r="AZ37" s="354"/>
      <c r="BA37" s="358">
        <f t="shared" si="89"/>
        <v>1</v>
      </c>
      <c r="BB37" s="358">
        <f t="shared" si="90"/>
        <v>1</v>
      </c>
      <c r="BC37" s="358">
        <f t="shared" si="91"/>
        <v>1</v>
      </c>
      <c r="BD37" s="358">
        <f t="shared" si="92"/>
        <v>1</v>
      </c>
      <c r="BE37" s="358">
        <f t="shared" si="93"/>
        <v>0</v>
      </c>
      <c r="BF37" s="358">
        <f t="shared" si="94"/>
        <v>0</v>
      </c>
      <c r="BG37" s="358">
        <f t="shared" si="95"/>
        <v>0</v>
      </c>
      <c r="BH37" s="358">
        <f t="shared" si="96"/>
        <v>0</v>
      </c>
    </row>
    <row r="38" spans="1:60" s="291" customFormat="1" ht="16.5" customHeight="1" x14ac:dyDescent="0.25">
      <c r="A38" s="1653"/>
      <c r="B38" s="1938"/>
      <c r="C38" s="97" t="s">
        <v>102</v>
      </c>
      <c r="D38" s="463">
        <v>0</v>
      </c>
      <c r="E38" s="464">
        <v>0</v>
      </c>
      <c r="F38" s="465">
        <v>0</v>
      </c>
      <c r="G38" s="463">
        <v>0</v>
      </c>
      <c r="H38" s="464">
        <v>0</v>
      </c>
      <c r="I38" s="465">
        <v>0</v>
      </c>
      <c r="J38" s="463">
        <v>0</v>
      </c>
      <c r="K38" s="464">
        <v>0</v>
      </c>
      <c r="L38" s="494">
        <v>0</v>
      </c>
      <c r="M38" s="466">
        <v>0</v>
      </c>
      <c r="N38" s="464">
        <v>0</v>
      </c>
      <c r="O38" s="493">
        <v>0</v>
      </c>
      <c r="P38" s="1076">
        <v>0</v>
      </c>
      <c r="Q38" s="464">
        <v>0</v>
      </c>
      <c r="R38" s="493">
        <v>0</v>
      </c>
      <c r="S38" s="351"/>
      <c r="AB38" s="175"/>
      <c r="AC38" s="175"/>
      <c r="AD38" s="175"/>
      <c r="AE38" s="175"/>
      <c r="AF38" s="175"/>
      <c r="AG38" s="175"/>
      <c r="AH38" s="175"/>
      <c r="AI38" s="175"/>
      <c r="AJ38" s="175"/>
      <c r="AK38" s="175"/>
      <c r="AL38" s="175"/>
      <c r="AM38" s="175"/>
      <c r="AN38" s="354"/>
      <c r="AO38" s="354"/>
      <c r="AP38" s="354"/>
      <c r="AQ38" s="354"/>
      <c r="AR38" s="354"/>
      <c r="AS38" s="354"/>
      <c r="AT38" s="354"/>
      <c r="AU38" s="354"/>
      <c r="AV38" s="354"/>
      <c r="AW38" s="354"/>
      <c r="AX38" s="354"/>
      <c r="AY38" s="354"/>
      <c r="AZ38" s="354"/>
      <c r="BA38" s="354"/>
      <c r="BB38" s="354"/>
      <c r="BC38" s="354"/>
      <c r="BD38" s="354"/>
      <c r="BE38" s="354"/>
      <c r="BF38" s="354"/>
      <c r="BG38" s="354"/>
      <c r="BH38" s="354"/>
    </row>
    <row r="39" spans="1:60" s="291" customFormat="1" ht="27" customHeight="1" x14ac:dyDescent="0.25">
      <c r="A39" s="1652" t="s">
        <v>1403</v>
      </c>
      <c r="B39" s="1938"/>
      <c r="C39" s="206" t="s">
        <v>103</v>
      </c>
      <c r="D39" s="253" t="s">
        <v>1550</v>
      </c>
      <c r="E39" s="262" t="s">
        <v>1551</v>
      </c>
      <c r="F39" s="263" t="s">
        <v>1552</v>
      </c>
      <c r="G39" s="342" t="s">
        <v>1553</v>
      </c>
      <c r="H39" s="254" t="s">
        <v>1554</v>
      </c>
      <c r="I39" s="255" t="s">
        <v>1555</v>
      </c>
      <c r="J39" s="342" t="s">
        <v>1556</v>
      </c>
      <c r="K39" s="254" t="s">
        <v>1557</v>
      </c>
      <c r="L39" s="294" t="s">
        <v>1558</v>
      </c>
      <c r="M39" s="1285" t="s">
        <v>1559</v>
      </c>
      <c r="N39" s="254" t="s">
        <v>1560</v>
      </c>
      <c r="O39" s="255" t="s">
        <v>1561</v>
      </c>
      <c r="P39" s="1286" t="s">
        <v>1562</v>
      </c>
      <c r="Q39" s="254" t="s">
        <v>1563</v>
      </c>
      <c r="R39" s="255" t="s">
        <v>1564</v>
      </c>
      <c r="S39" s="351" t="str">
        <f t="shared" si="0"/>
        <v xml:space="preserve">* La celda Pueblos Originarios / Hombres debe ser menor o igual al TOTAL ADOLESCENTES EN CONTROL / Hombres. * La celda Pueblos Originarios / Mujeres debe ser menor o igual al TOTAL ADOLESCENTES EN CONTROL / Mujeres . * La celda 'Población Migrantes / Hombres' debe ser menor o igual al TOTAL ADOLESCENTES EN CONTROL / Hombres. * La celda 'Población Migrantes / Mujeres debe ser menor o igual al TOTAL ADOLESCENTES EN CONTROL / Mujeres. </v>
      </c>
      <c r="AB39" s="175"/>
      <c r="AC39" s="175"/>
      <c r="AD39" s="175"/>
      <c r="AE39" s="175"/>
      <c r="AF39" s="175"/>
      <c r="AG39" s="175"/>
      <c r="AH39" s="175"/>
      <c r="AI39" s="175"/>
      <c r="AJ39" s="175"/>
      <c r="AK39" s="175"/>
      <c r="AL39" s="175"/>
      <c r="AM39" s="175"/>
      <c r="AN39" s="348" t="str">
        <f>IF(AND($E39&lt;&gt;0,$N39=""),"* No olvide escribir en la celda de Pueblos Originarios / Hombres (Digite CERO si no tiene).  ","")</f>
        <v/>
      </c>
      <c r="AO39" s="348" t="str">
        <f>IF(AND($F39&lt;&gt;0,$O39=""),"* No olvide escribir en la celda de Pueblos Originarios Mujeres (Digite CERO si no tiene).  ","")</f>
        <v/>
      </c>
      <c r="AP39" s="348" t="str">
        <f>IF(AND($E39&lt;&gt;0,$Q39=""),"* No olvide escribir en la celda de Población Migrantes / Hombres (Digite CERO si no tiene). ","")</f>
        <v/>
      </c>
      <c r="AQ39" s="348" t="str">
        <f>IF(AND($F39&lt;&gt;0,$R39=""),"* No olvide escribir en la celda de Población Migrantes / Mujeres (Digite CERO si no tiene). ","")</f>
        <v/>
      </c>
      <c r="AR39" s="348" t="str">
        <f>IF(($N39)&gt;$E39,"* La celda Pueblos Originarios / Hombres debe ser menor o igual al TOTAL ADOLESCENTES EN CONTROL / Hombres. ","")</f>
        <v xml:space="preserve">* La celda Pueblos Originarios / Hombres debe ser menor o igual al TOTAL ADOLESCENTES EN CONTROL / Hombres. </v>
      </c>
      <c r="AS39" s="348" t="str">
        <f>IF($O39&gt;$F39,"* La celda Pueblos Originarios / Mujeres debe ser menor o igual al TOTAL ADOLESCENTES EN CONTROL / Mujeres . ","")</f>
        <v xml:space="preserve">* La celda Pueblos Originarios / Mujeres debe ser menor o igual al TOTAL ADOLESCENTES EN CONTROL / Mujeres . </v>
      </c>
      <c r="AT39" s="348" t="str">
        <f>IF(($Q39)&gt;$E39,"* La celda 'Población Migrantes / Hombres' debe ser menor o igual al TOTAL ADOLESCENTES EN CONTROL / Hombres. ","")</f>
        <v xml:space="preserve">* La celda 'Población Migrantes / Hombres' debe ser menor o igual al TOTAL ADOLESCENTES EN CONTROL / Hombres. </v>
      </c>
      <c r="AU39" s="348" t="str">
        <f>IF($R39&gt;$F39,"* La celda 'Población Migrantes / Mujeres debe ser menor o igual al TOTAL ADOLESCENTES EN CONTROL / Mujeres. ","")</f>
        <v xml:space="preserve">* La celda 'Población Migrantes / Mujeres debe ser menor o igual al TOTAL ADOLESCENTES EN CONTROL / Mujeres. </v>
      </c>
      <c r="AV39" s="354"/>
      <c r="AW39" s="354"/>
      <c r="AX39" s="354"/>
      <c r="AY39" s="354"/>
      <c r="AZ39" s="354"/>
      <c r="BA39" s="358">
        <f>IF($E39&lt;$N39, 1,0)</f>
        <v>1</v>
      </c>
      <c r="BB39" s="358">
        <f>IF($F39&lt;$O39, 1,0)</f>
        <v>1</v>
      </c>
      <c r="BC39" s="358">
        <f>IF($E39&lt;$Q39, 1,0)</f>
        <v>1</v>
      </c>
      <c r="BD39" s="358">
        <f>IF($F39&lt;$R39, 1,0)</f>
        <v>1</v>
      </c>
      <c r="BE39" s="358">
        <f>IF(AND(E39&lt;&gt;0,N39=""),1,0)</f>
        <v>0</v>
      </c>
      <c r="BF39" s="358">
        <f>IF(AND(F39&lt;&gt;0,O39=""),1,0)</f>
        <v>0</v>
      </c>
      <c r="BG39" s="358">
        <f>IF(AND(E39&lt;&gt;0,Q39=""),1,0)</f>
        <v>0</v>
      </c>
      <c r="BH39" s="358">
        <f>IF(AND(F39&lt;&gt;0,R39=""),1,0)</f>
        <v>0</v>
      </c>
    </row>
    <row r="40" spans="1:60" s="291" customFormat="1" ht="18" customHeight="1" x14ac:dyDescent="0.25">
      <c r="A40" s="1654"/>
      <c r="B40" s="1939"/>
      <c r="C40" s="1436" t="s">
        <v>104</v>
      </c>
      <c r="D40" s="463" t="e">
        <f>SUM(D32:D37)+D39</f>
        <v>#VALUE!</v>
      </c>
      <c r="E40" s="464" t="e">
        <f t="shared" ref="E40:J40" si="97">SUM(E32:E37)+E39</f>
        <v>#VALUE!</v>
      </c>
      <c r="F40" s="495" t="e">
        <f t="shared" si="97"/>
        <v>#VALUE!</v>
      </c>
      <c r="G40" s="463" t="e">
        <f t="shared" si="97"/>
        <v>#VALUE!</v>
      </c>
      <c r="H40" s="464" t="e">
        <f>SUM(H32:H37)+H39</f>
        <v>#VALUE!</v>
      </c>
      <c r="I40" s="495" t="e">
        <f t="shared" si="97"/>
        <v>#VALUE!</v>
      </c>
      <c r="J40" s="463" t="e">
        <f t="shared" si="97"/>
        <v>#VALUE!</v>
      </c>
      <c r="K40" s="464" t="e">
        <f t="shared" ref="K40:R40" si="98">SUM(K32:K37)+K39</f>
        <v>#VALUE!</v>
      </c>
      <c r="L40" s="494" t="e">
        <f t="shared" si="98"/>
        <v>#VALUE!</v>
      </c>
      <c r="M40" s="466" t="e">
        <f t="shared" si="98"/>
        <v>#VALUE!</v>
      </c>
      <c r="N40" s="464" t="e">
        <f t="shared" si="98"/>
        <v>#VALUE!</v>
      </c>
      <c r="O40" s="493" t="e">
        <f t="shared" si="98"/>
        <v>#VALUE!</v>
      </c>
      <c r="P40" s="1076" t="e">
        <f t="shared" si="98"/>
        <v>#VALUE!</v>
      </c>
      <c r="Q40" s="464" t="e">
        <f t="shared" si="98"/>
        <v>#VALUE!</v>
      </c>
      <c r="R40" s="493" t="e">
        <f t="shared" si="98"/>
        <v>#VALUE!</v>
      </c>
      <c r="S40" s="351"/>
      <c r="AB40" s="175"/>
      <c r="AC40" s="175"/>
      <c r="AD40" s="175"/>
      <c r="AE40" s="175"/>
      <c r="AF40" s="175"/>
      <c r="AG40" s="175"/>
      <c r="AH40" s="175"/>
      <c r="AI40" s="175"/>
      <c r="AJ40" s="175"/>
      <c r="AK40" s="175"/>
      <c r="AL40" s="175"/>
      <c r="AM40" s="175"/>
      <c r="AN40" s="354"/>
      <c r="AO40" s="354"/>
      <c r="AP40" s="354"/>
      <c r="AQ40" s="354"/>
      <c r="AR40" s="354"/>
      <c r="AS40" s="354"/>
      <c r="AT40" s="354"/>
      <c r="AU40" s="354"/>
      <c r="AV40" s="354"/>
      <c r="AW40" s="354"/>
      <c r="AX40" s="354"/>
      <c r="AY40" s="354"/>
      <c r="AZ40" s="354"/>
      <c r="BA40" s="354"/>
      <c r="BB40" s="354"/>
      <c r="BC40" s="354"/>
      <c r="BD40" s="354"/>
      <c r="BE40" s="354"/>
      <c r="BF40" s="354"/>
      <c r="BG40" s="354"/>
      <c r="BH40" s="354"/>
    </row>
    <row r="41" spans="1:60" s="291" customFormat="1" ht="24.75" customHeight="1" x14ac:dyDescent="0.2">
      <c r="A41" s="398"/>
      <c r="B41" s="193" t="s">
        <v>521</v>
      </c>
      <c r="S41" s="351"/>
      <c r="AB41" s="175"/>
      <c r="AC41" s="175"/>
      <c r="AD41" s="175"/>
      <c r="AE41" s="175"/>
      <c r="AF41" s="175"/>
      <c r="AG41" s="175"/>
      <c r="AH41" s="175"/>
      <c r="AI41" s="175"/>
      <c r="AJ41" s="175"/>
      <c r="AK41" s="175"/>
      <c r="AL41" s="175"/>
      <c r="AM41" s="175"/>
      <c r="AN41" s="354"/>
      <c r="AO41" s="354"/>
      <c r="AP41" s="354"/>
      <c r="AQ41" s="354"/>
      <c r="AR41" s="354"/>
      <c r="AS41" s="354"/>
      <c r="AT41" s="354"/>
      <c r="AU41" s="354"/>
      <c r="AV41" s="354"/>
      <c r="AW41" s="354"/>
      <c r="AX41" s="354"/>
      <c r="AY41" s="354"/>
      <c r="AZ41" s="354"/>
      <c r="BA41" s="354"/>
      <c r="BB41" s="354"/>
      <c r="BC41" s="354"/>
      <c r="BD41" s="354"/>
      <c r="BE41" s="354"/>
      <c r="BF41" s="354"/>
      <c r="BG41" s="354"/>
      <c r="BH41" s="354"/>
    </row>
    <row r="42" spans="1:60" s="291" customFormat="1" ht="12" customHeight="1" x14ac:dyDescent="0.2">
      <c r="A42" s="398"/>
      <c r="B42" s="2420" t="s">
        <v>372</v>
      </c>
      <c r="C42" s="2421"/>
      <c r="D42" s="2184" t="s">
        <v>13</v>
      </c>
      <c r="E42" s="2185"/>
      <c r="F42" s="2179"/>
      <c r="G42" s="2317" t="s">
        <v>394</v>
      </c>
      <c r="H42" s="2325"/>
      <c r="I42" s="2318"/>
      <c r="J42" s="2317" t="s">
        <v>395</v>
      </c>
      <c r="K42" s="2325"/>
      <c r="L42" s="2464"/>
      <c r="M42" s="2321" t="s">
        <v>841</v>
      </c>
      <c r="N42" s="2325"/>
      <c r="O42" s="2318"/>
      <c r="P42" s="2325" t="s">
        <v>804</v>
      </c>
      <c r="Q42" s="2325"/>
      <c r="R42" s="2318"/>
      <c r="S42" s="351"/>
      <c r="AB42" s="175"/>
      <c r="AC42" s="175"/>
      <c r="AD42" s="175"/>
      <c r="AE42" s="175"/>
      <c r="AF42" s="175"/>
      <c r="AG42" s="175"/>
      <c r="AH42" s="175"/>
      <c r="AI42" s="175"/>
      <c r="AJ42" s="175"/>
      <c r="AK42" s="175"/>
      <c r="AL42" s="175"/>
      <c r="AM42" s="175"/>
      <c r="AN42" s="354"/>
      <c r="AO42" s="354"/>
      <c r="AP42" s="354"/>
      <c r="AQ42" s="354"/>
      <c r="AR42" s="354"/>
      <c r="AS42" s="354"/>
      <c r="AT42" s="354"/>
      <c r="AU42" s="354"/>
      <c r="AV42" s="354"/>
      <c r="AW42" s="354"/>
      <c r="AX42" s="354"/>
      <c r="AY42" s="354"/>
      <c r="AZ42" s="354"/>
      <c r="BA42" s="354"/>
      <c r="BB42" s="354"/>
      <c r="BC42" s="354"/>
      <c r="BD42" s="354"/>
      <c r="BE42" s="354"/>
      <c r="BF42" s="354"/>
      <c r="BG42" s="354"/>
      <c r="BH42" s="354"/>
    </row>
    <row r="43" spans="1:60" s="291" customFormat="1" ht="15" customHeight="1" x14ac:dyDescent="0.2">
      <c r="A43" s="398"/>
      <c r="B43" s="2422"/>
      <c r="C43" s="2423"/>
      <c r="D43" s="2458"/>
      <c r="E43" s="2459"/>
      <c r="F43" s="2181"/>
      <c r="G43" s="2426"/>
      <c r="H43" s="2427"/>
      <c r="I43" s="2324"/>
      <c r="J43" s="2426"/>
      <c r="K43" s="2427"/>
      <c r="L43" s="2465"/>
      <c r="M43" s="2322"/>
      <c r="N43" s="2427"/>
      <c r="O43" s="2324"/>
      <c r="P43" s="2427"/>
      <c r="Q43" s="2427"/>
      <c r="R43" s="2324"/>
      <c r="S43" s="351"/>
      <c r="AB43" s="175"/>
      <c r="AC43" s="175"/>
      <c r="AD43" s="175"/>
      <c r="AE43" s="175"/>
      <c r="AF43" s="175"/>
      <c r="AG43" s="175"/>
      <c r="AH43" s="175"/>
      <c r="AI43" s="175"/>
      <c r="AJ43" s="175"/>
      <c r="AK43" s="175"/>
      <c r="AL43" s="175"/>
      <c r="AM43" s="175"/>
      <c r="AN43" s="354"/>
      <c r="AO43" s="354"/>
      <c r="AP43" s="354"/>
      <c r="AQ43" s="354"/>
      <c r="AR43" s="354"/>
      <c r="AS43" s="354"/>
      <c r="AT43" s="354"/>
      <c r="AU43" s="354"/>
      <c r="AV43" s="354"/>
      <c r="AW43" s="354"/>
      <c r="AX43" s="354"/>
      <c r="AY43" s="354"/>
      <c r="AZ43" s="354"/>
      <c r="BA43" s="354"/>
      <c r="BB43" s="354"/>
      <c r="BC43" s="354"/>
      <c r="BD43" s="354"/>
      <c r="BE43" s="354"/>
      <c r="BF43" s="354"/>
      <c r="BG43" s="354"/>
      <c r="BH43" s="354"/>
    </row>
    <row r="44" spans="1:60" s="291" customFormat="1" ht="0.75" customHeight="1" x14ac:dyDescent="0.2">
      <c r="A44" s="398"/>
      <c r="B44" s="2422"/>
      <c r="C44" s="2423"/>
      <c r="D44" s="2458"/>
      <c r="E44" s="2459"/>
      <c r="F44" s="2181"/>
      <c r="G44" s="2319"/>
      <c r="H44" s="2326"/>
      <c r="I44" s="2320"/>
      <c r="J44" s="2319"/>
      <c r="K44" s="2326"/>
      <c r="L44" s="2466"/>
      <c r="M44" s="2323"/>
      <c r="N44" s="2326"/>
      <c r="O44" s="2320"/>
      <c r="P44" s="2326"/>
      <c r="Q44" s="2326"/>
      <c r="R44" s="2320"/>
      <c r="S44" s="351"/>
      <c r="AB44" s="175"/>
      <c r="AC44" s="175"/>
      <c r="AD44" s="175"/>
      <c r="AE44" s="175"/>
      <c r="AF44" s="175"/>
      <c r="AG44" s="175"/>
      <c r="AH44" s="175"/>
      <c r="AI44" s="175"/>
      <c r="AJ44" s="175"/>
      <c r="AK44" s="175"/>
      <c r="AL44" s="175"/>
      <c r="AM44" s="175"/>
      <c r="AN44" s="354"/>
      <c r="AO44" s="354"/>
      <c r="AP44" s="354"/>
      <c r="AQ44" s="354"/>
      <c r="AR44" s="354"/>
      <c r="AS44" s="354"/>
      <c r="AT44" s="354"/>
      <c r="AU44" s="354"/>
      <c r="AV44" s="354"/>
      <c r="AW44" s="354"/>
      <c r="AX44" s="354"/>
      <c r="AY44" s="354"/>
      <c r="AZ44" s="354"/>
      <c r="BA44" s="354"/>
      <c r="BB44" s="354"/>
      <c r="BC44" s="354"/>
      <c r="BD44" s="354"/>
      <c r="BE44" s="354"/>
      <c r="BF44" s="354"/>
      <c r="BG44" s="354"/>
      <c r="BH44" s="354"/>
    </row>
    <row r="45" spans="1:60" s="291" customFormat="1" ht="24" customHeight="1" x14ac:dyDescent="0.2">
      <c r="A45" s="398"/>
      <c r="B45" s="2424"/>
      <c r="C45" s="2425"/>
      <c r="D45" s="376" t="s">
        <v>369</v>
      </c>
      <c r="E45" s="176" t="s">
        <v>416</v>
      </c>
      <c r="F45" s="187" t="s">
        <v>30</v>
      </c>
      <c r="G45" s="376" t="s">
        <v>369</v>
      </c>
      <c r="H45" s="176" t="s">
        <v>416</v>
      </c>
      <c r="I45" s="187" t="s">
        <v>30</v>
      </c>
      <c r="J45" s="376" t="s">
        <v>369</v>
      </c>
      <c r="K45" s="176" t="s">
        <v>416</v>
      </c>
      <c r="L45" s="338" t="s">
        <v>30</v>
      </c>
      <c r="M45" s="377" t="s">
        <v>369</v>
      </c>
      <c r="N45" s="176" t="s">
        <v>416</v>
      </c>
      <c r="O45" s="1077" t="s">
        <v>30</v>
      </c>
      <c r="P45" s="1078" t="s">
        <v>369</v>
      </c>
      <c r="Q45" s="176" t="s">
        <v>416</v>
      </c>
      <c r="R45" s="339" t="s">
        <v>30</v>
      </c>
      <c r="S45" s="351"/>
      <c r="AB45" s="175"/>
      <c r="AC45" s="175"/>
      <c r="AD45" s="175"/>
      <c r="AE45" s="175"/>
      <c r="AF45" s="175"/>
      <c r="AG45" s="175"/>
      <c r="AH45" s="175"/>
      <c r="AI45" s="175"/>
      <c r="AJ45" s="175"/>
      <c r="AK45" s="175"/>
      <c r="AL45" s="175"/>
      <c r="AM45" s="175"/>
      <c r="AN45" s="354"/>
      <c r="AO45" s="354"/>
      <c r="AP45" s="354"/>
      <c r="AQ45" s="354"/>
      <c r="AR45" s="354"/>
      <c r="AS45" s="354"/>
      <c r="AT45" s="354"/>
      <c r="AU45" s="354"/>
      <c r="AV45" s="354"/>
      <c r="AW45" s="354"/>
      <c r="AX45" s="354"/>
      <c r="AY45" s="354"/>
      <c r="AZ45" s="354"/>
      <c r="BA45" s="354"/>
      <c r="BB45" s="354"/>
      <c r="BC45" s="354"/>
      <c r="BD45" s="354"/>
      <c r="BE45" s="354"/>
      <c r="BF45" s="354"/>
      <c r="BG45" s="354"/>
      <c r="BH45" s="354"/>
    </row>
    <row r="46" spans="1:60" s="291" customFormat="1" ht="15" customHeight="1" x14ac:dyDescent="0.25">
      <c r="A46" s="1652" t="s">
        <v>1404</v>
      </c>
      <c r="B46" s="2438" t="s">
        <v>433</v>
      </c>
      <c r="C46" s="2439"/>
      <c r="D46" s="1292" t="s">
        <v>1550</v>
      </c>
      <c r="E46" s="1455" t="s">
        <v>1551</v>
      </c>
      <c r="F46" s="1292" t="s">
        <v>1552</v>
      </c>
      <c r="G46" s="1290" t="s">
        <v>1553</v>
      </c>
      <c r="H46" s="1456" t="s">
        <v>1554</v>
      </c>
      <c r="I46" s="257" t="s">
        <v>1555</v>
      </c>
      <c r="J46" s="1290" t="s">
        <v>1556</v>
      </c>
      <c r="K46" s="1456" t="s">
        <v>1557</v>
      </c>
      <c r="L46" s="1457" t="s">
        <v>1558</v>
      </c>
      <c r="M46" s="1291" t="s">
        <v>1559</v>
      </c>
      <c r="N46" s="1456" t="s">
        <v>1560</v>
      </c>
      <c r="O46" s="257" t="s">
        <v>1561</v>
      </c>
      <c r="P46" s="1283" t="s">
        <v>1562</v>
      </c>
      <c r="Q46" s="1456" t="s">
        <v>1563</v>
      </c>
      <c r="R46" s="257" t="s">
        <v>1564</v>
      </c>
      <c r="S46" s="351" t="str">
        <f>$AQ46 &amp;AN46&amp;AO46&amp;AP46&amp; AR46 &amp; AS46 &amp; AT46 &amp; AU46</f>
        <v xml:space="preserve">* La celda Pueblos Originarios / Hombre debe ser menor o igual al Total Estudio/trabajo - Hombre. * La celda Pueblos Originarios / Mujer debe ser menor o igual al Total Estudio/trabajo - Mujer . * La celda Población Migrantes / Hombre debe ser menor o igual al Total Estudio/trabajo - Hombre. * La celda Población Migrantes / Mujer debe ser menor o igual al Total Estudio/trabajo - Mujer. </v>
      </c>
      <c r="AB46" s="175"/>
      <c r="AC46" s="175"/>
      <c r="AD46" s="175"/>
      <c r="AE46" s="175"/>
      <c r="AF46" s="175"/>
      <c r="AG46" s="175"/>
      <c r="AH46" s="175"/>
      <c r="AI46" s="175"/>
      <c r="AJ46" s="175"/>
      <c r="AK46" s="175"/>
      <c r="AL46" s="175"/>
      <c r="AM46" s="175"/>
      <c r="AN46" s="348" t="str">
        <f>IF(AND($E46&lt;&gt;0,$N46=""),"* No olvide escribir en la celda de Pueblos Originarios / Hombre (Digite CERO si no tiene).  ","")</f>
        <v/>
      </c>
      <c r="AO46" s="348" t="str">
        <f>IF(AND($F46&lt;&gt;0,$O46=""),"* No olvide escribir en la celda de Pueblos Originarios Mujer (Digite CERO si no tiene).  ","")</f>
        <v/>
      </c>
      <c r="AP46" s="348" t="str">
        <f>IF(AND($E46&lt;&gt;0,$Q46=""),"* No olvide escribir en la celda de Población Migrantes / Hombre (Digite CERO si no tiene). ","")</f>
        <v/>
      </c>
      <c r="AQ46" s="348" t="str">
        <f>IF(AND($F46&lt;&gt;0,$R46=""),"* No olvide escribir en la celda de Población Migrantes / Mujer (Digite CERO si no tiene). ","")</f>
        <v/>
      </c>
      <c r="AR46" s="348" t="str">
        <f>IF(($N46)&gt;$E46,"* La celda Pueblos Originarios / Hombre debe ser menor o igual al Total Estudio/trabajo - Hombre. ","")</f>
        <v xml:space="preserve">* La celda Pueblos Originarios / Hombre debe ser menor o igual al Total Estudio/trabajo - Hombre. </v>
      </c>
      <c r="AS46" s="348" t="str">
        <f>IF($O46&gt;$F46,"* La celda Pueblos Originarios / Mujer debe ser menor o igual al Total Estudio/trabajo - Mujer . ","")</f>
        <v xml:space="preserve">* La celda Pueblos Originarios / Mujer debe ser menor o igual al Total Estudio/trabajo - Mujer . </v>
      </c>
      <c r="AT46" s="348" t="str">
        <f>IF(($Q46)&gt;$E46,"* La celda Población Migrantes / Hombre debe ser menor o igual al Total Estudio/trabajo - Hombre. ","")</f>
        <v xml:space="preserve">* La celda Población Migrantes / Hombre debe ser menor o igual al Total Estudio/trabajo - Hombre. </v>
      </c>
      <c r="AU46" s="348" t="str">
        <f>IF($R46&gt;$F46,"* La celda Población Migrantes / Mujer debe ser menor o igual al Total Estudio/trabajo - Mujer. ","")</f>
        <v xml:space="preserve">* La celda Población Migrantes / Mujer debe ser menor o igual al Total Estudio/trabajo - Mujer. </v>
      </c>
      <c r="AV46" s="354"/>
      <c r="AW46" s="354"/>
      <c r="AX46" s="354"/>
      <c r="AY46" s="354"/>
      <c r="AZ46" s="354"/>
      <c r="BA46" s="358">
        <f t="shared" ref="BA46:BA51" si="99">IF($E46&lt;$N46, 1,0)</f>
        <v>1</v>
      </c>
      <c r="BB46" s="358">
        <f t="shared" ref="BB46:BB51" si="100">IF($F46&lt;$O46, 1,0)</f>
        <v>1</v>
      </c>
      <c r="BC46" s="358">
        <f t="shared" ref="BC46:BC51" si="101">IF($E46&lt;$Q46, 1,0)</f>
        <v>1</v>
      </c>
      <c r="BD46" s="358">
        <f t="shared" ref="BD46:BD51" si="102">IF($F46&lt;$R46, 1,0)</f>
        <v>1</v>
      </c>
      <c r="BE46" s="358">
        <f t="shared" ref="BE46:BE51" si="103">IF(AND(E46&lt;&gt;0,N46=""),1,0)</f>
        <v>0</v>
      </c>
      <c r="BF46" s="358">
        <f t="shared" ref="BF46:BF51" si="104">IF(AND(F46&lt;&gt;0,O46=""),1,0)</f>
        <v>0</v>
      </c>
      <c r="BG46" s="358">
        <f t="shared" ref="BG46:BG51" si="105">IF(AND(E46&lt;&gt;0,Q46=""),1,0)</f>
        <v>0</v>
      </c>
      <c r="BH46" s="358">
        <f t="shared" ref="BH46:BH51" si="106">IF(AND(F46&lt;&gt;0,R46=""),1,0)</f>
        <v>0</v>
      </c>
    </row>
    <row r="47" spans="1:60" s="291" customFormat="1" ht="15" customHeight="1" x14ac:dyDescent="0.25">
      <c r="A47" s="1652" t="s">
        <v>1405</v>
      </c>
      <c r="B47" s="2433" t="s">
        <v>434</v>
      </c>
      <c r="C47" s="2434"/>
      <c r="D47" s="382" t="s">
        <v>1550</v>
      </c>
      <c r="E47" s="383" t="s">
        <v>1551</v>
      </c>
      <c r="F47" s="382" t="s">
        <v>1552</v>
      </c>
      <c r="G47" s="384" t="s">
        <v>1553</v>
      </c>
      <c r="H47" s="264" t="s">
        <v>1554</v>
      </c>
      <c r="I47" s="245" t="s">
        <v>1555</v>
      </c>
      <c r="J47" s="384" t="s">
        <v>1556</v>
      </c>
      <c r="K47" s="264" t="s">
        <v>1557</v>
      </c>
      <c r="L47" s="251" t="s">
        <v>1558</v>
      </c>
      <c r="M47" s="385" t="s">
        <v>1559</v>
      </c>
      <c r="N47" s="264" t="s">
        <v>1560</v>
      </c>
      <c r="O47" s="245" t="s">
        <v>1561</v>
      </c>
      <c r="P47" s="386" t="s">
        <v>1562</v>
      </c>
      <c r="Q47" s="264" t="s">
        <v>1563</v>
      </c>
      <c r="R47" s="245" t="s">
        <v>1564</v>
      </c>
      <c r="S47" s="351" t="str">
        <f t="shared" ref="S47:S51" si="107">$AQ47 &amp;AN47&amp;AO47&amp;AP47&amp; AR47 &amp; AS47 &amp; AT47 &amp; AU47</f>
        <v xml:space="preserve">* La celda Pueblos Originarios / Hombre debe ser menor o igual al Total Estudio/trabajo - Hombre. * La celda Pueblos Originarios / Mujer debe ser menor o igual al Total Estudio/trabajo - Mujer . * La celda Población Migrantes / Hombre debe ser menor o igual al Total Estudio/trabajo - Hombre. * La celda Población Migrantes / Mujer debe ser menor o igual al Total Estudio/trabajo - Mujer. </v>
      </c>
      <c r="AB47" s="175"/>
      <c r="AC47" s="175"/>
      <c r="AD47" s="175"/>
      <c r="AE47" s="175"/>
      <c r="AF47" s="175"/>
      <c r="AG47" s="175"/>
      <c r="AH47" s="175"/>
      <c r="AI47" s="175"/>
      <c r="AJ47" s="175"/>
      <c r="AK47" s="175"/>
      <c r="AL47" s="175"/>
      <c r="AM47" s="175"/>
      <c r="AN47" s="348" t="str">
        <f t="shared" ref="AN47:AN51" si="108">IF(AND($E47&lt;&gt;0,$N47=""),"* No olvide escribir en la celda de Pueblos Originarios / Hombre (Digite CERO si no tiene).  ","")</f>
        <v/>
      </c>
      <c r="AO47" s="348" t="str">
        <f t="shared" ref="AO47:AO51" si="109">IF(AND($F47&lt;&gt;0,$O47=""),"* No olvide escribir en la celda de Pueblos Originarios Mujer (Digite CERO si no tiene).  ","")</f>
        <v/>
      </c>
      <c r="AP47" s="348" t="str">
        <f t="shared" ref="AP47:AP51" si="110">IF(AND($E47&lt;&gt;0,$Q47=""),"* No olvide escribir en la celda de Población Migrantes / Hombre (Digite CERO si no tiene). ","")</f>
        <v/>
      </c>
      <c r="AQ47" s="348" t="str">
        <f t="shared" ref="AQ47:AQ51" si="111">IF(AND($F47&lt;&gt;0,$R47=""),"* No olvide escribir en la celda de Población Migrantes / Mujer (Digite CERO si no tiene). ","")</f>
        <v/>
      </c>
      <c r="AR47" s="348" t="str">
        <f t="shared" ref="AR47:AR51" si="112">IF(($N47)&gt;$E47,"* La celda Pueblos Originarios / Hombre debe ser menor o igual al Total Estudio/trabajo - Hombre. ","")</f>
        <v xml:space="preserve">* La celda Pueblos Originarios / Hombre debe ser menor o igual al Total Estudio/trabajo - Hombre. </v>
      </c>
      <c r="AS47" s="348" t="str">
        <f t="shared" ref="AS47:AS50" si="113">IF($O47&gt;$F47,"* La celda Pueblos Originarios / Mujer debe ser menor o igual al Total Estudio/trabajo - Mujer . ","")</f>
        <v xml:space="preserve">* La celda Pueblos Originarios / Mujer debe ser menor o igual al Total Estudio/trabajo - Mujer . </v>
      </c>
      <c r="AT47" s="348" t="str">
        <f t="shared" ref="AT47:AT51" si="114">IF(($Q47)&gt;$E47,"* La celda Población Migrantes / Hombre debe ser menor o igual al Total Estudio/trabajo - Hombre. ","")</f>
        <v xml:space="preserve">* La celda Población Migrantes / Hombre debe ser menor o igual al Total Estudio/trabajo - Hombre. </v>
      </c>
      <c r="AU47" s="348" t="str">
        <f t="shared" ref="AU47:AU51" si="115">IF($R47&gt;$F47,"* La celda Población Migrantes / Mujer debe ser menor o igual al Total Estudio/trabajo - Mujer. ","")</f>
        <v xml:space="preserve">* La celda Población Migrantes / Mujer debe ser menor o igual al Total Estudio/trabajo - Mujer. </v>
      </c>
      <c r="AV47" s="354"/>
      <c r="AW47" s="354"/>
      <c r="AX47" s="354"/>
      <c r="AY47" s="354"/>
      <c r="AZ47" s="354"/>
      <c r="BA47" s="358">
        <f t="shared" si="99"/>
        <v>1</v>
      </c>
      <c r="BB47" s="358">
        <f t="shared" si="100"/>
        <v>1</v>
      </c>
      <c r="BC47" s="358">
        <f t="shared" si="101"/>
        <v>1</v>
      </c>
      <c r="BD47" s="358">
        <f t="shared" si="102"/>
        <v>1</v>
      </c>
      <c r="BE47" s="358">
        <f t="shared" si="103"/>
        <v>0</v>
      </c>
      <c r="BF47" s="358">
        <f t="shared" si="104"/>
        <v>0</v>
      </c>
      <c r="BG47" s="358">
        <f t="shared" si="105"/>
        <v>0</v>
      </c>
      <c r="BH47" s="358">
        <f t="shared" si="106"/>
        <v>0</v>
      </c>
    </row>
    <row r="48" spans="1:60" s="291" customFormat="1" ht="15" customHeight="1" x14ac:dyDescent="0.3">
      <c r="A48" s="1652" t="s">
        <v>1406</v>
      </c>
      <c r="B48" s="2433" t="s">
        <v>438</v>
      </c>
      <c r="C48" s="2434"/>
      <c r="D48" s="382" t="s">
        <v>1550</v>
      </c>
      <c r="E48" s="383" t="s">
        <v>1551</v>
      </c>
      <c r="F48" s="382" t="s">
        <v>1552</v>
      </c>
      <c r="G48" s="384" t="s">
        <v>1553</v>
      </c>
      <c r="H48" s="264" t="s">
        <v>1554</v>
      </c>
      <c r="I48" s="245" t="s">
        <v>1555</v>
      </c>
      <c r="J48" s="384" t="s">
        <v>1556</v>
      </c>
      <c r="K48" s="288" t="s">
        <v>1557</v>
      </c>
      <c r="L48" s="290" t="s">
        <v>1558</v>
      </c>
      <c r="M48" s="385" t="s">
        <v>1559</v>
      </c>
      <c r="N48" s="264" t="s">
        <v>1560</v>
      </c>
      <c r="O48" s="245" t="s">
        <v>1561</v>
      </c>
      <c r="P48" s="386" t="s">
        <v>1562</v>
      </c>
      <c r="Q48" s="264" t="s">
        <v>1563</v>
      </c>
      <c r="R48" s="245" t="s">
        <v>1564</v>
      </c>
      <c r="S48" s="351" t="str">
        <f t="shared" si="107"/>
        <v xml:space="preserve">* La celda Pueblos Originarios / Hombre debe ser menor o igual al Total Estudio/trabajo - Hombre. * La celda Pueblos Originarios / Mujer debe ser menor o igual al Total Estudio/trabajo - Mujer . * La celda Población Migrantes / Hombre debe ser menor o igual al Total Estudio/trabajo - Hombre. * La celda Población Migrantes / Mujer debe ser menor o igual al Total Estudio/trabajo - Mujer. </v>
      </c>
      <c r="T48" s="960"/>
      <c r="AB48" s="175"/>
      <c r="AC48" s="175"/>
      <c r="AD48" s="175"/>
      <c r="AE48" s="175"/>
      <c r="AF48" s="175"/>
      <c r="AG48" s="175"/>
      <c r="AH48" s="175"/>
      <c r="AI48" s="175"/>
      <c r="AJ48" s="175"/>
      <c r="AK48" s="175"/>
      <c r="AL48" s="175"/>
      <c r="AM48" s="175"/>
      <c r="AN48" s="348" t="str">
        <f t="shared" si="108"/>
        <v/>
      </c>
      <c r="AO48" s="348" t="str">
        <f t="shared" si="109"/>
        <v/>
      </c>
      <c r="AP48" s="348" t="str">
        <f t="shared" si="110"/>
        <v/>
      </c>
      <c r="AQ48" s="348" t="str">
        <f t="shared" si="111"/>
        <v/>
      </c>
      <c r="AR48" s="348" t="str">
        <f t="shared" si="112"/>
        <v xml:space="preserve">* La celda Pueblos Originarios / Hombre debe ser menor o igual al Total Estudio/trabajo - Hombre. </v>
      </c>
      <c r="AS48" s="348" t="str">
        <f t="shared" si="113"/>
        <v xml:space="preserve">* La celda Pueblos Originarios / Mujer debe ser menor o igual al Total Estudio/trabajo - Mujer . </v>
      </c>
      <c r="AT48" s="348" t="str">
        <f t="shared" si="114"/>
        <v xml:space="preserve">* La celda Población Migrantes / Hombre debe ser menor o igual al Total Estudio/trabajo - Hombre. </v>
      </c>
      <c r="AU48" s="348" t="str">
        <f t="shared" si="115"/>
        <v xml:space="preserve">* La celda Población Migrantes / Mujer debe ser menor o igual al Total Estudio/trabajo - Mujer. </v>
      </c>
      <c r="AV48" s="354"/>
      <c r="AW48" s="354"/>
      <c r="AX48" s="354"/>
      <c r="AY48" s="354"/>
      <c r="AZ48" s="354"/>
      <c r="BA48" s="358">
        <f t="shared" si="99"/>
        <v>1</v>
      </c>
      <c r="BB48" s="358">
        <f t="shared" si="100"/>
        <v>1</v>
      </c>
      <c r="BC48" s="358">
        <f t="shared" si="101"/>
        <v>1</v>
      </c>
      <c r="BD48" s="358">
        <f t="shared" si="102"/>
        <v>1</v>
      </c>
      <c r="BE48" s="358">
        <f t="shared" si="103"/>
        <v>0</v>
      </c>
      <c r="BF48" s="358">
        <f t="shared" si="104"/>
        <v>0</v>
      </c>
      <c r="BG48" s="358">
        <f t="shared" si="105"/>
        <v>0</v>
      </c>
      <c r="BH48" s="358">
        <f t="shared" si="106"/>
        <v>0</v>
      </c>
    </row>
    <row r="49" spans="1:60" s="291" customFormat="1" ht="15" customHeight="1" x14ac:dyDescent="0.25">
      <c r="A49" s="1652" t="s">
        <v>1407</v>
      </c>
      <c r="B49" s="2433" t="s">
        <v>435</v>
      </c>
      <c r="C49" s="2434"/>
      <c r="D49" s="382" t="s">
        <v>1550</v>
      </c>
      <c r="E49" s="383" t="s">
        <v>1551</v>
      </c>
      <c r="F49" s="382" t="s">
        <v>1552</v>
      </c>
      <c r="G49" s="384" t="s">
        <v>1553</v>
      </c>
      <c r="H49" s="288" t="s">
        <v>1554</v>
      </c>
      <c r="I49" s="289" t="s">
        <v>1555</v>
      </c>
      <c r="J49" s="384" t="s">
        <v>1556</v>
      </c>
      <c r="K49" s="264" t="s">
        <v>1557</v>
      </c>
      <c r="L49" s="251" t="s">
        <v>1558</v>
      </c>
      <c r="M49" s="385" t="s">
        <v>1559</v>
      </c>
      <c r="N49" s="264" t="s">
        <v>1560</v>
      </c>
      <c r="O49" s="245" t="s">
        <v>1561</v>
      </c>
      <c r="P49" s="386" t="s">
        <v>1562</v>
      </c>
      <c r="Q49" s="264" t="s">
        <v>1563</v>
      </c>
      <c r="R49" s="245" t="s">
        <v>1564</v>
      </c>
      <c r="S49" s="351" t="str">
        <f t="shared" si="107"/>
        <v xml:space="preserve">* La celda Pueblos Originarios / Hombre debe ser menor o igual al Total Estudio/trabajo - Hombre. * La celda Pueblos Originarios / Mujer debe ser menor o igual al Total Estudio/trabajo - Mujer . * La celda Población Migrantes / Hombre debe ser menor o igual al Total Estudio/trabajo - Hombre. * La celda Población Migrantes / Mujer debe ser menor o igual al Total Estudio/trabajo - Mujer. </v>
      </c>
      <c r="AB49" s="175"/>
      <c r="AC49" s="175"/>
      <c r="AD49" s="175"/>
      <c r="AE49" s="175"/>
      <c r="AF49" s="175"/>
      <c r="AG49" s="175"/>
      <c r="AH49" s="175"/>
      <c r="AI49" s="175"/>
      <c r="AJ49" s="175"/>
      <c r="AK49" s="175"/>
      <c r="AL49" s="175"/>
      <c r="AM49" s="175"/>
      <c r="AN49" s="348" t="str">
        <f t="shared" si="108"/>
        <v/>
      </c>
      <c r="AO49" s="348" t="str">
        <f t="shared" si="109"/>
        <v/>
      </c>
      <c r="AP49" s="348" t="str">
        <f t="shared" si="110"/>
        <v/>
      </c>
      <c r="AQ49" s="348" t="str">
        <f t="shared" si="111"/>
        <v/>
      </c>
      <c r="AR49" s="348" t="str">
        <f>IF(($N49)&gt;$E49,"* La celda Pueblos Originarios / Hombre debe ser menor o igual al Total Estudio/trabajo - Hombre. ","")</f>
        <v xml:space="preserve">* La celda Pueblos Originarios / Hombre debe ser menor o igual al Total Estudio/trabajo - Hombre. </v>
      </c>
      <c r="AS49" s="348" t="str">
        <f t="shared" si="113"/>
        <v xml:space="preserve">* La celda Pueblos Originarios / Mujer debe ser menor o igual al Total Estudio/trabajo - Mujer . </v>
      </c>
      <c r="AT49" s="348" t="str">
        <f t="shared" si="114"/>
        <v xml:space="preserve">* La celda Población Migrantes / Hombre debe ser menor o igual al Total Estudio/trabajo - Hombre. </v>
      </c>
      <c r="AU49" s="348" t="str">
        <f t="shared" si="115"/>
        <v xml:space="preserve">* La celda Población Migrantes / Mujer debe ser menor o igual al Total Estudio/trabajo - Mujer. </v>
      </c>
      <c r="AV49" s="354"/>
      <c r="AW49" s="354"/>
      <c r="AX49" s="354"/>
      <c r="AY49" s="354"/>
      <c r="AZ49" s="354"/>
      <c r="BA49" s="358">
        <f t="shared" si="99"/>
        <v>1</v>
      </c>
      <c r="BB49" s="358">
        <f t="shared" si="100"/>
        <v>1</v>
      </c>
      <c r="BC49" s="358">
        <f t="shared" si="101"/>
        <v>1</v>
      </c>
      <c r="BD49" s="358">
        <f t="shared" si="102"/>
        <v>1</v>
      </c>
      <c r="BE49" s="358">
        <f t="shared" si="103"/>
        <v>0</v>
      </c>
      <c r="BF49" s="358">
        <f t="shared" si="104"/>
        <v>0</v>
      </c>
      <c r="BG49" s="358">
        <f t="shared" si="105"/>
        <v>0</v>
      </c>
      <c r="BH49" s="358">
        <f t="shared" si="106"/>
        <v>0</v>
      </c>
    </row>
    <row r="50" spans="1:60" s="291" customFormat="1" ht="15" customHeight="1" x14ac:dyDescent="0.25">
      <c r="A50" s="1652" t="s">
        <v>1408</v>
      </c>
      <c r="B50" s="2433" t="s">
        <v>436</v>
      </c>
      <c r="C50" s="2434"/>
      <c r="D50" s="382" t="s">
        <v>1550</v>
      </c>
      <c r="E50" s="383" t="s">
        <v>1551</v>
      </c>
      <c r="F50" s="382" t="s">
        <v>1552</v>
      </c>
      <c r="G50" s="384" t="s">
        <v>1553</v>
      </c>
      <c r="H50" s="264" t="s">
        <v>1554</v>
      </c>
      <c r="I50" s="245" t="s">
        <v>1555</v>
      </c>
      <c r="J50" s="384" t="s">
        <v>1556</v>
      </c>
      <c r="K50" s="264" t="s">
        <v>1557</v>
      </c>
      <c r="L50" s="251" t="s">
        <v>1558</v>
      </c>
      <c r="M50" s="1284" t="s">
        <v>1559</v>
      </c>
      <c r="N50" s="264" t="s">
        <v>1560</v>
      </c>
      <c r="O50" s="245" t="s">
        <v>1561</v>
      </c>
      <c r="P50" s="386" t="s">
        <v>1562</v>
      </c>
      <c r="Q50" s="264" t="s">
        <v>1563</v>
      </c>
      <c r="R50" s="245" t="s">
        <v>1564</v>
      </c>
      <c r="S50" s="351" t="str">
        <f t="shared" si="107"/>
        <v xml:space="preserve">* La celda Pueblos Originarios / Hombre debe ser menor o igual al Total Estudio/trabajo - Hombre. * La celda Pueblos Originarios / Mujer debe ser menor o igual al Total Estudio/trabajo - Mujer . * La celda Población Migrantes / Hombre debe ser menor o igual al Total Estudio/trabajo - Hombre. * La celda Población Migrantes / Mujer debe ser menor o igual al Total Estudio/trabajo - Mujer. </v>
      </c>
      <c r="AB50" s="175"/>
      <c r="AC50" s="175"/>
      <c r="AD50" s="175"/>
      <c r="AE50" s="175"/>
      <c r="AF50" s="175"/>
      <c r="AG50" s="175"/>
      <c r="AH50" s="175"/>
      <c r="AI50" s="175"/>
      <c r="AJ50" s="175"/>
      <c r="AK50" s="175"/>
      <c r="AL50" s="175"/>
      <c r="AM50" s="175"/>
      <c r="AN50" s="348" t="str">
        <f t="shared" si="108"/>
        <v/>
      </c>
      <c r="AO50" s="348" t="str">
        <f t="shared" si="109"/>
        <v/>
      </c>
      <c r="AP50" s="348" t="str">
        <f t="shared" si="110"/>
        <v/>
      </c>
      <c r="AQ50" s="348" t="str">
        <f>IF(AND($F50&lt;&gt;0,$R50=""),"* No olvide escribir en la celda de Población Migrantes / Mujer (Digite CERO si no tiene). ","")</f>
        <v/>
      </c>
      <c r="AR50" s="348" t="str">
        <f t="shared" si="112"/>
        <v xml:space="preserve">* La celda Pueblos Originarios / Hombre debe ser menor o igual al Total Estudio/trabajo - Hombre. </v>
      </c>
      <c r="AS50" s="348" t="str">
        <f t="shared" si="113"/>
        <v xml:space="preserve">* La celda Pueblos Originarios / Mujer debe ser menor o igual al Total Estudio/trabajo - Mujer . </v>
      </c>
      <c r="AT50" s="348" t="str">
        <f>IF(($Q50)&gt;$E50,"* La celda Población Migrantes / Hombre debe ser menor o igual al Total Estudio/trabajo - Hombre. ","")</f>
        <v xml:space="preserve">* La celda Población Migrantes / Hombre debe ser menor o igual al Total Estudio/trabajo - Hombre. </v>
      </c>
      <c r="AU50" s="348" t="str">
        <f t="shared" si="115"/>
        <v xml:space="preserve">* La celda Población Migrantes / Mujer debe ser menor o igual al Total Estudio/trabajo - Mujer. </v>
      </c>
      <c r="AV50" s="354"/>
      <c r="AW50" s="354"/>
      <c r="AX50" s="354"/>
      <c r="AY50" s="354"/>
      <c r="AZ50" s="354"/>
      <c r="BA50" s="358">
        <f t="shared" si="99"/>
        <v>1</v>
      </c>
      <c r="BB50" s="358">
        <f t="shared" si="100"/>
        <v>1</v>
      </c>
      <c r="BC50" s="358">
        <f t="shared" si="101"/>
        <v>1</v>
      </c>
      <c r="BD50" s="358">
        <f t="shared" si="102"/>
        <v>1</v>
      </c>
      <c r="BE50" s="358">
        <f t="shared" si="103"/>
        <v>0</v>
      </c>
      <c r="BF50" s="358">
        <f t="shared" si="104"/>
        <v>0</v>
      </c>
      <c r="BG50" s="358">
        <f t="shared" si="105"/>
        <v>0</v>
      </c>
      <c r="BH50" s="358">
        <f t="shared" si="106"/>
        <v>0</v>
      </c>
    </row>
    <row r="51" spans="1:60" s="291" customFormat="1" ht="18" customHeight="1" x14ac:dyDescent="0.3">
      <c r="A51" s="1652" t="s">
        <v>1409</v>
      </c>
      <c r="B51" s="2441" t="s">
        <v>437</v>
      </c>
      <c r="C51" s="2442"/>
      <c r="D51" s="387" t="s">
        <v>1550</v>
      </c>
      <c r="E51" s="388" t="s">
        <v>1551</v>
      </c>
      <c r="F51" s="387" t="s">
        <v>1552</v>
      </c>
      <c r="G51" s="389" t="s">
        <v>1553</v>
      </c>
      <c r="H51" s="929" t="s">
        <v>1554</v>
      </c>
      <c r="I51" s="267" t="s">
        <v>1555</v>
      </c>
      <c r="J51" s="389" t="s">
        <v>1556</v>
      </c>
      <c r="K51" s="275" t="s">
        <v>1557</v>
      </c>
      <c r="L51" s="276" t="s">
        <v>1558</v>
      </c>
      <c r="M51" s="1275" t="s">
        <v>1559</v>
      </c>
      <c r="N51" s="275" t="s">
        <v>1560</v>
      </c>
      <c r="O51" s="261" t="s">
        <v>1561</v>
      </c>
      <c r="P51" s="1276" t="s">
        <v>1562</v>
      </c>
      <c r="Q51" s="275" t="s">
        <v>1563</v>
      </c>
      <c r="R51" s="261" t="s">
        <v>1564</v>
      </c>
      <c r="S51" s="351" t="str">
        <f t="shared" si="107"/>
        <v xml:space="preserve">* La celda Pueblos Originarios / Hombre debe ser menor o igual al Total Estudio/trabajo - Hombre. * La celda Pueblos Originarios / Mujer debe ser menor o igual al Total Estudio/trabajo - Mujer . * La celda Población Migrantes / Hombre debe ser menor o igual al Total Estudio/trabajo - Hombre. * La celda Población Migrantes / Mujer debe ser menor o igual al Total Estudio/trabajo - Mujer. </v>
      </c>
      <c r="T51" s="960"/>
      <c r="AB51" s="175"/>
      <c r="AC51" s="175"/>
      <c r="AD51" s="175"/>
      <c r="AE51" s="175"/>
      <c r="AF51" s="175"/>
      <c r="AG51" s="175"/>
      <c r="AH51" s="175"/>
      <c r="AI51" s="175"/>
      <c r="AJ51" s="175"/>
      <c r="AK51" s="175"/>
      <c r="AL51" s="175"/>
      <c r="AM51" s="175"/>
      <c r="AN51" s="348" t="str">
        <f t="shared" si="108"/>
        <v/>
      </c>
      <c r="AO51" s="348" t="str">
        <f t="shared" si="109"/>
        <v/>
      </c>
      <c r="AP51" s="348" t="str">
        <f t="shared" si="110"/>
        <v/>
      </c>
      <c r="AQ51" s="348" t="str">
        <f t="shared" si="111"/>
        <v/>
      </c>
      <c r="AR51" s="348" t="str">
        <f t="shared" si="112"/>
        <v xml:space="preserve">* La celda Pueblos Originarios / Hombre debe ser menor o igual al Total Estudio/trabajo - Hombre. </v>
      </c>
      <c r="AS51" s="348" t="str">
        <f>IF($O51&gt;$F51,"* La celda Pueblos Originarios / Mujer debe ser menor o igual al Total Estudio/trabajo - Mujer . ","")</f>
        <v xml:space="preserve">* La celda Pueblos Originarios / Mujer debe ser menor o igual al Total Estudio/trabajo - Mujer . </v>
      </c>
      <c r="AT51" s="348" t="str">
        <f t="shared" si="114"/>
        <v xml:space="preserve">* La celda Población Migrantes / Hombre debe ser menor o igual al Total Estudio/trabajo - Hombre. </v>
      </c>
      <c r="AU51" s="348" t="str">
        <f t="shared" si="115"/>
        <v xml:space="preserve">* La celda Población Migrantes / Mujer debe ser menor o igual al Total Estudio/trabajo - Mujer. </v>
      </c>
      <c r="AV51" s="354"/>
      <c r="AW51" s="354"/>
      <c r="AX51" s="354"/>
      <c r="AY51" s="354"/>
      <c r="AZ51" s="354"/>
      <c r="BA51" s="358">
        <f t="shared" si="99"/>
        <v>1</v>
      </c>
      <c r="BB51" s="358">
        <f t="shared" si="100"/>
        <v>1</v>
      </c>
      <c r="BC51" s="358">
        <f t="shared" si="101"/>
        <v>1</v>
      </c>
      <c r="BD51" s="358">
        <f t="shared" si="102"/>
        <v>1</v>
      </c>
      <c r="BE51" s="358">
        <f t="shared" si="103"/>
        <v>0</v>
      </c>
      <c r="BF51" s="358">
        <f t="shared" si="104"/>
        <v>0</v>
      </c>
      <c r="BG51" s="358">
        <f t="shared" si="105"/>
        <v>0</v>
      </c>
      <c r="BH51" s="358">
        <f t="shared" si="106"/>
        <v>0</v>
      </c>
    </row>
    <row r="52" spans="1:60" s="291" customFormat="1" ht="22.5" customHeight="1" x14ac:dyDescent="0.2">
      <c r="A52" s="398"/>
      <c r="B52" s="193" t="s">
        <v>522</v>
      </c>
      <c r="S52" s="351"/>
      <c r="AB52" s="175"/>
      <c r="AC52" s="175"/>
      <c r="AD52" s="175"/>
      <c r="AE52" s="175"/>
      <c r="AF52" s="175"/>
      <c r="AG52" s="175"/>
      <c r="AH52" s="175"/>
      <c r="AI52" s="175"/>
      <c r="AJ52" s="175"/>
      <c r="AK52" s="175"/>
      <c r="AL52" s="175"/>
      <c r="AM52" s="175"/>
      <c r="AN52" s="354"/>
      <c r="AO52" s="354"/>
      <c r="AP52" s="354"/>
      <c r="AQ52" s="354"/>
      <c r="AR52" s="354"/>
      <c r="AS52" s="354"/>
      <c r="AT52" s="354"/>
      <c r="AU52" s="354"/>
      <c r="AV52" s="354"/>
      <c r="AW52" s="354"/>
      <c r="AX52" s="354"/>
      <c r="AY52" s="354"/>
      <c r="AZ52" s="354"/>
      <c r="BA52" s="354"/>
      <c r="BB52" s="354"/>
      <c r="BC52" s="354"/>
      <c r="BD52" s="354"/>
      <c r="BE52" s="354"/>
      <c r="BF52" s="354"/>
      <c r="BG52" s="354"/>
      <c r="BH52" s="354"/>
    </row>
    <row r="53" spans="1:60" s="291" customFormat="1" ht="15" customHeight="1" x14ac:dyDescent="0.2">
      <c r="A53" s="398"/>
      <c r="B53" s="2432" t="s">
        <v>373</v>
      </c>
      <c r="C53" s="2432"/>
      <c r="D53" s="2184" t="s">
        <v>13</v>
      </c>
      <c r="E53" s="2185"/>
      <c r="F53" s="2179"/>
      <c r="G53" s="2317" t="s">
        <v>394</v>
      </c>
      <c r="H53" s="2325"/>
      <c r="I53" s="2318"/>
      <c r="J53" s="2429" t="s">
        <v>395</v>
      </c>
      <c r="K53" s="2429"/>
      <c r="L53" s="2455"/>
      <c r="M53" s="2321" t="s">
        <v>15</v>
      </c>
      <c r="N53" s="2325"/>
      <c r="O53" s="2318"/>
      <c r="P53" s="2460" t="s">
        <v>685</v>
      </c>
      <c r="Q53" s="2429"/>
      <c r="R53" s="2429"/>
      <c r="S53" s="1519"/>
      <c r="AB53" s="175"/>
      <c r="AC53" s="175"/>
      <c r="AD53" s="175"/>
      <c r="AE53" s="175"/>
      <c r="AF53" s="175"/>
      <c r="AG53" s="175"/>
      <c r="AH53" s="175"/>
      <c r="AI53" s="175"/>
      <c r="AJ53" s="175"/>
      <c r="AK53" s="175"/>
      <c r="AL53" s="175"/>
      <c r="AM53" s="175"/>
      <c r="AN53" s="354"/>
      <c r="AO53" s="354"/>
      <c r="AP53" s="354"/>
      <c r="AQ53" s="354"/>
      <c r="AR53" s="354"/>
      <c r="AS53" s="354"/>
      <c r="AT53" s="354"/>
      <c r="AU53" s="354"/>
      <c r="AV53" s="354"/>
      <c r="AW53" s="354"/>
      <c r="AX53" s="354"/>
      <c r="AY53" s="354"/>
      <c r="AZ53" s="354"/>
      <c r="BA53" s="354"/>
      <c r="BB53" s="354"/>
      <c r="BC53" s="354"/>
      <c r="BD53" s="354"/>
      <c r="BE53" s="354"/>
      <c r="BF53" s="354"/>
      <c r="BG53" s="354"/>
      <c r="BH53" s="354"/>
    </row>
    <row r="54" spans="1:60" s="291" customFormat="1" x14ac:dyDescent="0.2">
      <c r="A54" s="398"/>
      <c r="B54" s="2432"/>
      <c r="C54" s="2432"/>
      <c r="D54" s="2458"/>
      <c r="E54" s="2459"/>
      <c r="F54" s="2181"/>
      <c r="G54" s="2426"/>
      <c r="H54" s="2427"/>
      <c r="I54" s="2324"/>
      <c r="J54" s="2429"/>
      <c r="K54" s="2429"/>
      <c r="L54" s="2455"/>
      <c r="M54" s="2322"/>
      <c r="N54" s="2427"/>
      <c r="O54" s="2324"/>
      <c r="P54" s="2460"/>
      <c r="Q54" s="2429"/>
      <c r="R54" s="2429"/>
      <c r="S54" s="1519"/>
      <c r="T54" s="390"/>
      <c r="AB54" s="175"/>
      <c r="AC54" s="175"/>
      <c r="AD54" s="175"/>
      <c r="AE54" s="175"/>
      <c r="AF54" s="175"/>
      <c r="AG54" s="175"/>
      <c r="AH54" s="175"/>
      <c r="AI54" s="175"/>
      <c r="AJ54" s="175"/>
      <c r="AK54" s="175"/>
      <c r="AL54" s="175"/>
      <c r="AM54" s="175"/>
      <c r="AN54" s="354"/>
      <c r="AO54" s="354"/>
      <c r="AP54" s="354"/>
      <c r="AQ54" s="354"/>
      <c r="AR54" s="354"/>
      <c r="AS54" s="354"/>
      <c r="AT54" s="354"/>
      <c r="AU54" s="354"/>
      <c r="AV54" s="354"/>
      <c r="AW54" s="354"/>
      <c r="AX54" s="354"/>
      <c r="AY54" s="354"/>
      <c r="AZ54" s="354"/>
      <c r="BA54" s="354"/>
      <c r="BB54" s="354"/>
      <c r="BC54" s="354"/>
      <c r="BD54" s="354"/>
      <c r="BE54" s="354"/>
      <c r="BF54" s="354"/>
      <c r="BG54" s="354"/>
      <c r="BH54" s="354"/>
    </row>
    <row r="55" spans="1:60" s="291" customFormat="1" x14ac:dyDescent="0.2">
      <c r="A55" s="398"/>
      <c r="B55" s="2432"/>
      <c r="C55" s="2432"/>
      <c r="D55" s="2458"/>
      <c r="E55" s="2459"/>
      <c r="F55" s="2181"/>
      <c r="G55" s="2319"/>
      <c r="H55" s="2326"/>
      <c r="I55" s="2320"/>
      <c r="J55" s="2429"/>
      <c r="K55" s="2429"/>
      <c r="L55" s="2455"/>
      <c r="M55" s="2323"/>
      <c r="N55" s="2326"/>
      <c r="O55" s="2320"/>
      <c r="P55" s="2460"/>
      <c r="Q55" s="2429"/>
      <c r="R55" s="2429"/>
      <c r="S55" s="1519"/>
      <c r="T55" s="390"/>
      <c r="AB55" s="175"/>
      <c r="AC55" s="175"/>
      <c r="AD55" s="175"/>
      <c r="AE55" s="175"/>
      <c r="AF55" s="175"/>
      <c r="AG55" s="175"/>
      <c r="AH55" s="175"/>
      <c r="AI55" s="175"/>
      <c r="AJ55" s="175"/>
      <c r="AK55" s="175"/>
      <c r="AL55" s="175"/>
      <c r="AM55" s="175"/>
      <c r="AN55" s="354"/>
      <c r="AO55" s="354"/>
      <c r="AP55" s="354"/>
      <c r="AQ55" s="354"/>
      <c r="AR55" s="354"/>
      <c r="AS55" s="354"/>
      <c r="AT55" s="354"/>
      <c r="AU55" s="354"/>
      <c r="AV55" s="354"/>
      <c r="AW55" s="354"/>
      <c r="AX55" s="354"/>
      <c r="AY55" s="354"/>
      <c r="AZ55" s="354"/>
      <c r="BA55" s="354"/>
      <c r="BB55" s="354"/>
      <c r="BC55" s="354"/>
      <c r="BD55" s="354"/>
      <c r="BE55" s="354"/>
      <c r="BF55" s="354"/>
      <c r="BG55" s="354"/>
      <c r="BH55" s="354"/>
    </row>
    <row r="56" spans="1:60" s="291" customFormat="1" ht="27" customHeight="1" x14ac:dyDescent="0.2">
      <c r="A56" s="398"/>
      <c r="B56" s="2432"/>
      <c r="C56" s="2432"/>
      <c r="D56" s="376" t="s">
        <v>369</v>
      </c>
      <c r="E56" s="176" t="s">
        <v>416</v>
      </c>
      <c r="F56" s="187" t="s">
        <v>30</v>
      </c>
      <c r="G56" s="376" t="s">
        <v>369</v>
      </c>
      <c r="H56" s="176" t="s">
        <v>416</v>
      </c>
      <c r="I56" s="187" t="s">
        <v>30</v>
      </c>
      <c r="J56" s="376" t="s">
        <v>369</v>
      </c>
      <c r="K56" s="176" t="s">
        <v>416</v>
      </c>
      <c r="L56" s="337" t="s">
        <v>30</v>
      </c>
      <c r="M56" s="377" t="s">
        <v>369</v>
      </c>
      <c r="N56" s="176" t="s">
        <v>416</v>
      </c>
      <c r="O56" s="1077" t="s">
        <v>30</v>
      </c>
      <c r="P56" s="378" t="s">
        <v>369</v>
      </c>
      <c r="Q56" s="176" t="s">
        <v>416</v>
      </c>
      <c r="R56" s="207" t="s">
        <v>30</v>
      </c>
      <c r="S56" s="351"/>
      <c r="AB56" s="175"/>
      <c r="AC56" s="175"/>
      <c r="AD56" s="175"/>
      <c r="AE56" s="175"/>
      <c r="AF56" s="175"/>
      <c r="AG56" s="175"/>
      <c r="AH56" s="175"/>
      <c r="AI56" s="175"/>
      <c r="AJ56" s="175"/>
      <c r="AK56" s="175"/>
      <c r="AL56" s="175"/>
      <c r="AM56" s="175"/>
      <c r="AN56" s="354"/>
      <c r="AO56" s="354"/>
      <c r="AP56" s="354"/>
      <c r="AQ56" s="354"/>
      <c r="AR56" s="354"/>
      <c r="AS56" s="354"/>
      <c r="AT56" s="354"/>
      <c r="AU56" s="354"/>
      <c r="AV56" s="354"/>
      <c r="AW56" s="354"/>
      <c r="AX56" s="354"/>
      <c r="AY56" s="354"/>
      <c r="AZ56" s="354"/>
      <c r="BA56" s="354"/>
      <c r="BB56" s="354"/>
      <c r="BC56" s="354"/>
      <c r="BD56" s="354"/>
      <c r="BE56" s="354"/>
      <c r="BF56" s="354"/>
      <c r="BG56" s="354"/>
      <c r="BH56" s="354"/>
    </row>
    <row r="57" spans="1:60" s="291" customFormat="1" ht="15.75" customHeight="1" x14ac:dyDescent="0.25">
      <c r="A57" s="1652" t="s">
        <v>1410</v>
      </c>
      <c r="B57" s="1269" t="s">
        <v>709</v>
      </c>
      <c r="C57" s="1270"/>
      <c r="D57" s="381" t="s">
        <v>1550</v>
      </c>
      <c r="E57" s="380" t="s">
        <v>1551</v>
      </c>
      <c r="F57" s="379" t="s">
        <v>1552</v>
      </c>
      <c r="G57" s="381" t="s">
        <v>1553</v>
      </c>
      <c r="H57" s="264" t="s">
        <v>1554</v>
      </c>
      <c r="I57" s="245" t="s">
        <v>1555</v>
      </c>
      <c r="J57" s="381" t="s">
        <v>1556</v>
      </c>
      <c r="K57" s="264" t="s">
        <v>1557</v>
      </c>
      <c r="L57" s="268" t="s">
        <v>1558</v>
      </c>
      <c r="M57" s="1287" t="s">
        <v>1559</v>
      </c>
      <c r="N57" s="264" t="s">
        <v>1560</v>
      </c>
      <c r="O57" s="245" t="s">
        <v>1561</v>
      </c>
      <c r="P57" s="379" t="s">
        <v>1562</v>
      </c>
      <c r="Q57" s="264" t="s">
        <v>1563</v>
      </c>
      <c r="R57" s="245" t="s">
        <v>1564</v>
      </c>
      <c r="S57" s="351" t="str">
        <f>AN57&amp;AO57&amp;AP57&amp;AQ57&amp; AR57 &amp; AS57 &amp; AT57 &amp; AU57</f>
        <v xml:space="preserve">* La celda Pueblos Originarios / Hombre debe ser menor o igual al Total Áreas de Riesgo / Hombre. * La celda Pueblos Originarios / Mujer debe ser menor o igual al Total Áreas de Riesgo / Mujer . * La celda Población Migrantes / Hombre' debe ser menor o igual al Total Áreas de Riesgo / Hombre. * La celda Población Migrantes / Mujer debe ser menor o igual al Total Áreas de Riesgo / Mujer. </v>
      </c>
      <c r="AB57" s="175"/>
      <c r="AC57" s="175"/>
      <c r="AD57" s="175"/>
      <c r="AE57" s="175"/>
      <c r="AF57" s="175"/>
      <c r="AG57" s="175"/>
      <c r="AH57" s="175"/>
      <c r="AI57" s="175"/>
      <c r="AJ57" s="175"/>
      <c r="AK57" s="175"/>
      <c r="AL57" s="175"/>
      <c r="AM57" s="175"/>
      <c r="AN57" s="348" t="str">
        <f>IF(AND($E57&lt;&gt;0,$N57=""),"* No olvide escribir en la celda de Pueblos Originarios / Hombre (Digite CERO si no tiene).  ","")</f>
        <v/>
      </c>
      <c r="AO57" s="348" t="str">
        <f>IF(AND($F57&lt;&gt;0,$O57=""),"* No olvide escribir en la celda de Pueblos Originarios Mujer (Digite CERO si no tiene).  ","")</f>
        <v/>
      </c>
      <c r="AP57" s="348" t="str">
        <f>IF(AND($E57&lt;&gt;0,$Q57=""),"* No olvide escribir en la celda de Población Migrantes / Hombre (Digite CERO si no tiene). ","")</f>
        <v/>
      </c>
      <c r="AQ57" s="348" t="str">
        <f>IF(AND($F57&lt;&gt;0,$R57=""),"* No olvide escribir en la celda de Población Migrantes / Mujer (Digite CERO si no tiene). ","")</f>
        <v/>
      </c>
      <c r="AR57" s="348" t="str">
        <f>IF(($N57)&gt;$E57,"* La celda Pueblos Originarios / Hombre debe ser menor o igual al Total Áreas de Riesgo / Hombre. ","")</f>
        <v xml:space="preserve">* La celda Pueblos Originarios / Hombre debe ser menor o igual al Total Áreas de Riesgo / Hombre. </v>
      </c>
      <c r="AS57" s="348" t="str">
        <f>IF($O57&gt;$F57,"* La celda Pueblos Originarios / Mujer debe ser menor o igual al Total Áreas de Riesgo / Mujer . ","")</f>
        <v xml:space="preserve">* La celda Pueblos Originarios / Mujer debe ser menor o igual al Total Áreas de Riesgo / Mujer . </v>
      </c>
      <c r="AT57" s="348" t="str">
        <f>IF(($Q57)&gt;$E57,"* La celda Población Migrantes / Hombre' debe ser menor o igual al Total Áreas de Riesgo / Hombre. ","")</f>
        <v xml:space="preserve">* La celda Población Migrantes / Hombre' debe ser menor o igual al Total Áreas de Riesgo / Hombre. </v>
      </c>
      <c r="AU57" s="348" t="str">
        <f>IF($R57&gt;$F57,"* La celda Población Migrantes / Mujer debe ser menor o igual al Total Áreas de Riesgo / Mujer. ","")</f>
        <v xml:space="preserve">* La celda Población Migrantes / Mujer debe ser menor o igual al Total Áreas de Riesgo / Mujer. </v>
      </c>
      <c r="AV57" s="354"/>
      <c r="AW57" s="354"/>
      <c r="AX57" s="354"/>
      <c r="AY57" s="354"/>
      <c r="AZ57" s="354"/>
      <c r="BA57" s="358">
        <f t="shared" ref="BA57:BA66" si="116">IF($E57&lt;$N57, 1,0)</f>
        <v>1</v>
      </c>
      <c r="BB57" s="358">
        <f t="shared" ref="BB57:BB66" si="117">IF($F57&lt;$O57, 1,0)</f>
        <v>1</v>
      </c>
      <c r="BC57" s="358">
        <f t="shared" ref="BC57:BC66" si="118">IF($E57&lt;$Q57, 1,0)</f>
        <v>1</v>
      </c>
      <c r="BD57" s="358">
        <f t="shared" ref="BD57:BD66" si="119">IF($F57&lt;$R57, 1,0)</f>
        <v>1</v>
      </c>
      <c r="BE57" s="358">
        <f t="shared" ref="BE57:BE66" si="120">IF(AND(E57&lt;&gt;0,N57=""),1,0)</f>
        <v>0</v>
      </c>
      <c r="BF57" s="358">
        <f t="shared" ref="BF57:BF66" si="121">IF(AND(F57&lt;&gt;0,O57=""),1,0)</f>
        <v>0</v>
      </c>
      <c r="BG57" s="358">
        <f t="shared" ref="BG57:BG66" si="122">IF(AND(E57&lt;&gt;0,Q57=""),1,0)</f>
        <v>0</v>
      </c>
      <c r="BH57" s="358">
        <f t="shared" ref="BH57:BH66" si="123">IF(AND(F57&lt;&gt;0,R57=""),1,0)</f>
        <v>0</v>
      </c>
    </row>
    <row r="58" spans="1:60" s="291" customFormat="1" ht="15.75" customHeight="1" x14ac:dyDescent="0.25">
      <c r="A58" s="1652" t="s">
        <v>1411</v>
      </c>
      <c r="B58" s="2449" t="s">
        <v>853</v>
      </c>
      <c r="C58" s="2449"/>
      <c r="D58" s="391" t="s">
        <v>1550</v>
      </c>
      <c r="E58" s="392" t="s">
        <v>1551</v>
      </c>
      <c r="F58" s="386" t="s">
        <v>1552</v>
      </c>
      <c r="G58" s="391" t="s">
        <v>1553</v>
      </c>
      <c r="H58" s="264" t="s">
        <v>1554</v>
      </c>
      <c r="I58" s="245" t="s">
        <v>1555</v>
      </c>
      <c r="J58" s="384" t="s">
        <v>1556</v>
      </c>
      <c r="K58" s="264" t="s">
        <v>1557</v>
      </c>
      <c r="L58" s="268" t="s">
        <v>1558</v>
      </c>
      <c r="M58" s="385" t="s">
        <v>1559</v>
      </c>
      <c r="N58" s="264" t="s">
        <v>1560</v>
      </c>
      <c r="O58" s="245" t="s">
        <v>1561</v>
      </c>
      <c r="P58" s="382" t="s">
        <v>1562</v>
      </c>
      <c r="Q58" s="264" t="s">
        <v>1563</v>
      </c>
      <c r="R58" s="245" t="s">
        <v>1564</v>
      </c>
      <c r="S58" s="351" t="str">
        <f t="shared" ref="S58:S66" si="124">AN58&amp;AO58&amp;AP58&amp;AQ58&amp; AR58 &amp; AS58 &amp; AT58 &amp; AU58</f>
        <v xml:space="preserve">* La celda Pueblos Originarios / Hombre debe ser menor o igual al Total Áreas de Riesgo / Hombre. * La celda Pueblos Originarios / Mujer debe ser menor o igual al Total Áreas de Riesgo / Mujer . * La celda Población Migrantes / Hombre' debe ser menor o igual al Total Áreas de Riesgo / Hombre. * La celda Población Migrantes / Mujer debe ser menor o igual al Total Áreas de Riesgo / Mujer. </v>
      </c>
      <c r="AB58" s="175"/>
      <c r="AC58" s="175"/>
      <c r="AD58" s="175"/>
      <c r="AE58" s="175"/>
      <c r="AF58" s="175"/>
      <c r="AG58" s="175"/>
      <c r="AH58" s="175"/>
      <c r="AI58" s="175"/>
      <c r="AJ58" s="175"/>
      <c r="AK58" s="175"/>
      <c r="AL58" s="175"/>
      <c r="AM58" s="175"/>
      <c r="AN58" s="348" t="str">
        <f t="shared" ref="AN58:AN66" si="125">IF(AND($E58&lt;&gt;0,$N58=""),"* No olvide escribir en la celda de Pueblos Originarios / Hombre (Digite CERO si no tiene).  ","")</f>
        <v/>
      </c>
      <c r="AO58" s="348" t="str">
        <f t="shared" ref="AO58:AO66" si="126">IF(AND($F58&lt;&gt;0,$O58=""),"* No olvide escribir en la celda de Pueblos Originarios Mujer (Digite CERO si no tiene).  ","")</f>
        <v/>
      </c>
      <c r="AP58" s="348" t="str">
        <f t="shared" ref="AP58:AP66" si="127">IF(AND($E58&lt;&gt;0,$Q58=""),"* No olvide escribir en la celda de Población Migrantes / Hombre (Digite CERO si no tiene). ","")</f>
        <v/>
      </c>
      <c r="AQ58" s="348" t="str">
        <f t="shared" ref="AQ58:AQ66" si="128">IF(AND($F58&lt;&gt;0,$R58=""),"* No olvide escribir en la celda de Población Migrantes / Mujer (Digite CERO si no tiene). ","")</f>
        <v/>
      </c>
      <c r="AR58" s="348" t="str">
        <f t="shared" ref="AR58:AR66" si="129">IF(($N58)&gt;$E58,"* La celda Pueblos Originarios / Hombre debe ser menor o igual al Total Áreas de Riesgo / Hombre. ","")</f>
        <v xml:space="preserve">* La celda Pueblos Originarios / Hombre debe ser menor o igual al Total Áreas de Riesgo / Hombre. </v>
      </c>
      <c r="AS58" s="348" t="str">
        <f t="shared" ref="AS58:AS66" si="130">IF($O58&gt;$F58,"* La celda Pueblos Originarios / Mujer debe ser menor o igual al Total Áreas de Riesgo / Mujer . ","")</f>
        <v xml:space="preserve">* La celda Pueblos Originarios / Mujer debe ser menor o igual al Total Áreas de Riesgo / Mujer . </v>
      </c>
      <c r="AT58" s="348" t="str">
        <f t="shared" ref="AT58:AT66" si="131">IF(($Q58)&gt;$E58,"* La celda Población Migrantes / Hombre' debe ser menor o igual al Total Áreas de Riesgo / Hombre. ","")</f>
        <v xml:space="preserve">* La celda Población Migrantes / Hombre' debe ser menor o igual al Total Áreas de Riesgo / Hombre. </v>
      </c>
      <c r="AU58" s="348" t="str">
        <f t="shared" ref="AU58:AU66" si="132">IF($R58&gt;$F58,"* La celda Población Migrantes / Mujer debe ser menor o igual al Total Áreas de Riesgo / Mujer. ","")</f>
        <v xml:space="preserve">* La celda Población Migrantes / Mujer debe ser menor o igual al Total Áreas de Riesgo / Mujer. </v>
      </c>
      <c r="AV58" s="354"/>
      <c r="AW58" s="354"/>
      <c r="AX58" s="354"/>
      <c r="AY58" s="354"/>
      <c r="AZ58" s="354"/>
      <c r="BA58" s="358">
        <f t="shared" si="116"/>
        <v>1</v>
      </c>
      <c r="BB58" s="358">
        <f t="shared" si="117"/>
        <v>1</v>
      </c>
      <c r="BC58" s="358">
        <f t="shared" si="118"/>
        <v>1</v>
      </c>
      <c r="BD58" s="358">
        <f t="shared" si="119"/>
        <v>1</v>
      </c>
      <c r="BE58" s="358">
        <f t="shared" si="120"/>
        <v>0</v>
      </c>
      <c r="BF58" s="358">
        <f t="shared" si="121"/>
        <v>0</v>
      </c>
      <c r="BG58" s="358">
        <f t="shared" si="122"/>
        <v>0</v>
      </c>
      <c r="BH58" s="358">
        <f t="shared" si="123"/>
        <v>0</v>
      </c>
    </row>
    <row r="59" spans="1:60" s="291" customFormat="1" ht="15.75" customHeight="1" x14ac:dyDescent="0.3">
      <c r="A59" s="1652" t="s">
        <v>1412</v>
      </c>
      <c r="B59" s="1271" t="s">
        <v>710</v>
      </c>
      <c r="C59" s="1272"/>
      <c r="D59" s="386" t="s">
        <v>1550</v>
      </c>
      <c r="E59" s="392" t="s">
        <v>1551</v>
      </c>
      <c r="F59" s="386" t="s">
        <v>1552</v>
      </c>
      <c r="G59" s="386" t="s">
        <v>1553</v>
      </c>
      <c r="H59" s="264" t="s">
        <v>1554</v>
      </c>
      <c r="I59" s="245" t="s">
        <v>1555</v>
      </c>
      <c r="J59" s="384" t="s">
        <v>1556</v>
      </c>
      <c r="K59" s="264" t="s">
        <v>1557</v>
      </c>
      <c r="L59" s="268" t="s">
        <v>1558</v>
      </c>
      <c r="M59" s="385" t="s">
        <v>1559</v>
      </c>
      <c r="N59" s="264" t="s">
        <v>1560</v>
      </c>
      <c r="O59" s="245" t="s">
        <v>1561</v>
      </c>
      <c r="P59" s="382" t="s">
        <v>1562</v>
      </c>
      <c r="Q59" s="264" t="s">
        <v>1563</v>
      </c>
      <c r="R59" s="245" t="s">
        <v>1564</v>
      </c>
      <c r="S59" s="351" t="str">
        <f t="shared" si="124"/>
        <v xml:space="preserve">* La celda Pueblos Originarios / Hombre debe ser menor o igual al Total Áreas de Riesgo / Hombre. * La celda Pueblos Originarios / Mujer debe ser menor o igual al Total Áreas de Riesgo / Mujer . * La celda Población Migrantes / Hombre' debe ser menor o igual al Total Áreas de Riesgo / Hombre. * La celda Población Migrantes / Mujer debe ser menor o igual al Total Áreas de Riesgo / Mujer. </v>
      </c>
      <c r="T59" s="960"/>
      <c r="AB59" s="175"/>
      <c r="AC59" s="175"/>
      <c r="AD59" s="175"/>
      <c r="AE59" s="175"/>
      <c r="AF59" s="175"/>
      <c r="AG59" s="175"/>
      <c r="AH59" s="175"/>
      <c r="AI59" s="175"/>
      <c r="AJ59" s="175"/>
      <c r="AK59" s="175"/>
      <c r="AL59" s="175"/>
      <c r="AM59" s="175"/>
      <c r="AN59" s="348" t="str">
        <f t="shared" si="125"/>
        <v/>
      </c>
      <c r="AO59" s="348" t="str">
        <f t="shared" si="126"/>
        <v/>
      </c>
      <c r="AP59" s="348" t="str">
        <f t="shared" si="127"/>
        <v/>
      </c>
      <c r="AQ59" s="348" t="str">
        <f t="shared" si="128"/>
        <v/>
      </c>
      <c r="AR59" s="348" t="str">
        <f t="shared" si="129"/>
        <v xml:space="preserve">* La celda Pueblos Originarios / Hombre debe ser menor o igual al Total Áreas de Riesgo / Hombre. </v>
      </c>
      <c r="AS59" s="348" t="str">
        <f t="shared" si="130"/>
        <v xml:space="preserve">* La celda Pueblos Originarios / Mujer debe ser menor o igual al Total Áreas de Riesgo / Mujer . </v>
      </c>
      <c r="AT59" s="348" t="str">
        <f t="shared" si="131"/>
        <v xml:space="preserve">* La celda Población Migrantes / Hombre' debe ser menor o igual al Total Áreas de Riesgo / Hombre. </v>
      </c>
      <c r="AU59" s="348" t="str">
        <f t="shared" si="132"/>
        <v xml:space="preserve">* La celda Población Migrantes / Mujer debe ser menor o igual al Total Áreas de Riesgo / Mujer. </v>
      </c>
      <c r="AV59" s="354"/>
      <c r="AW59" s="354"/>
      <c r="AX59" s="354"/>
      <c r="AY59" s="354"/>
      <c r="AZ59" s="354"/>
      <c r="BA59" s="358">
        <f t="shared" si="116"/>
        <v>1</v>
      </c>
      <c r="BB59" s="358">
        <f t="shared" si="117"/>
        <v>1</v>
      </c>
      <c r="BC59" s="358">
        <f t="shared" si="118"/>
        <v>1</v>
      </c>
      <c r="BD59" s="358">
        <f t="shared" si="119"/>
        <v>1</v>
      </c>
      <c r="BE59" s="358">
        <f t="shared" si="120"/>
        <v>0</v>
      </c>
      <c r="BF59" s="358">
        <f t="shared" si="121"/>
        <v>0</v>
      </c>
      <c r="BG59" s="358">
        <f t="shared" si="122"/>
        <v>0</v>
      </c>
      <c r="BH59" s="358">
        <f t="shared" si="123"/>
        <v>0</v>
      </c>
    </row>
    <row r="60" spans="1:60" s="291" customFormat="1" ht="15.75" customHeight="1" x14ac:dyDescent="0.25">
      <c r="A60" s="1652" t="s">
        <v>1413</v>
      </c>
      <c r="B60" s="1271" t="s">
        <v>823</v>
      </c>
      <c r="C60" s="1272"/>
      <c r="D60" s="386" t="s">
        <v>1550</v>
      </c>
      <c r="E60" s="392" t="s">
        <v>1551</v>
      </c>
      <c r="F60" s="386" t="s">
        <v>1552</v>
      </c>
      <c r="G60" s="386" t="s">
        <v>1553</v>
      </c>
      <c r="H60" s="264" t="s">
        <v>1554</v>
      </c>
      <c r="I60" s="245" t="s">
        <v>1555</v>
      </c>
      <c r="J60" s="384" t="s">
        <v>1556</v>
      </c>
      <c r="K60" s="264" t="s">
        <v>1557</v>
      </c>
      <c r="L60" s="268" t="s">
        <v>1558</v>
      </c>
      <c r="M60" s="385" t="s">
        <v>1559</v>
      </c>
      <c r="N60" s="264" t="s">
        <v>1560</v>
      </c>
      <c r="O60" s="245" t="s">
        <v>1561</v>
      </c>
      <c r="P60" s="382" t="s">
        <v>1562</v>
      </c>
      <c r="Q60" s="264" t="s">
        <v>1563</v>
      </c>
      <c r="R60" s="245" t="s">
        <v>1564</v>
      </c>
      <c r="S60" s="351" t="str">
        <f t="shared" si="124"/>
        <v xml:space="preserve">* La celda Pueblos Originarios / Hombre debe ser menor o igual al Total Áreas de Riesgo / Hombre. * La celda Pueblos Originarios / Mujer debe ser menor o igual al Total Áreas de Riesgo / Mujer . * La celda Población Migrantes / Hombre' debe ser menor o igual al Total Áreas de Riesgo / Hombre. * La celda Población Migrantes / Mujer debe ser menor o igual al Total Áreas de Riesgo / Mujer. </v>
      </c>
      <c r="AB60" s="175"/>
      <c r="AC60" s="175"/>
      <c r="AD60" s="175"/>
      <c r="AE60" s="175"/>
      <c r="AF60" s="175"/>
      <c r="AG60" s="175"/>
      <c r="AH60" s="175"/>
      <c r="AI60" s="175"/>
      <c r="AJ60" s="175"/>
      <c r="AK60" s="175"/>
      <c r="AL60" s="175"/>
      <c r="AM60" s="175"/>
      <c r="AN60" s="348" t="str">
        <f t="shared" si="125"/>
        <v/>
      </c>
      <c r="AO60" s="348" t="str">
        <f t="shared" si="126"/>
        <v/>
      </c>
      <c r="AP60" s="348" t="str">
        <f t="shared" si="127"/>
        <v/>
      </c>
      <c r="AQ60" s="348" t="str">
        <f t="shared" si="128"/>
        <v/>
      </c>
      <c r="AR60" s="348" t="str">
        <f t="shared" si="129"/>
        <v xml:space="preserve">* La celda Pueblos Originarios / Hombre debe ser menor o igual al Total Áreas de Riesgo / Hombre. </v>
      </c>
      <c r="AS60" s="348" t="str">
        <f t="shared" si="130"/>
        <v xml:space="preserve">* La celda Pueblos Originarios / Mujer debe ser menor o igual al Total Áreas de Riesgo / Mujer . </v>
      </c>
      <c r="AT60" s="348" t="str">
        <f t="shared" si="131"/>
        <v xml:space="preserve">* La celda Población Migrantes / Hombre' debe ser menor o igual al Total Áreas de Riesgo / Hombre. </v>
      </c>
      <c r="AU60" s="348" t="str">
        <f t="shared" si="132"/>
        <v xml:space="preserve">* La celda Población Migrantes / Mujer debe ser menor o igual al Total Áreas de Riesgo / Mujer. </v>
      </c>
      <c r="AV60" s="354"/>
      <c r="AW60" s="354"/>
      <c r="AX60" s="354"/>
      <c r="AY60" s="354"/>
      <c r="AZ60" s="354"/>
      <c r="BA60" s="358">
        <f t="shared" si="116"/>
        <v>1</v>
      </c>
      <c r="BB60" s="358">
        <f t="shared" si="117"/>
        <v>1</v>
      </c>
      <c r="BC60" s="358">
        <f t="shared" si="118"/>
        <v>1</v>
      </c>
      <c r="BD60" s="358">
        <f t="shared" si="119"/>
        <v>1</v>
      </c>
      <c r="BE60" s="358">
        <f t="shared" si="120"/>
        <v>0</v>
      </c>
      <c r="BF60" s="358">
        <f t="shared" si="121"/>
        <v>0</v>
      </c>
      <c r="BG60" s="358">
        <f t="shared" si="122"/>
        <v>0</v>
      </c>
      <c r="BH60" s="358">
        <f t="shared" si="123"/>
        <v>0</v>
      </c>
    </row>
    <row r="61" spans="1:60" s="291" customFormat="1" ht="15.75" customHeight="1" x14ac:dyDescent="0.25">
      <c r="A61" s="1652" t="s">
        <v>1414</v>
      </c>
      <c r="B61" s="1271" t="s">
        <v>821</v>
      </c>
      <c r="C61" s="1272"/>
      <c r="D61" s="386" t="s">
        <v>1550</v>
      </c>
      <c r="E61" s="392" t="s">
        <v>1551</v>
      </c>
      <c r="F61" s="386" t="s">
        <v>1552</v>
      </c>
      <c r="G61" s="386" t="s">
        <v>1553</v>
      </c>
      <c r="H61" s="264" t="s">
        <v>1554</v>
      </c>
      <c r="I61" s="245" t="s">
        <v>1555</v>
      </c>
      <c r="J61" s="384" t="s">
        <v>1556</v>
      </c>
      <c r="K61" s="264" t="s">
        <v>1557</v>
      </c>
      <c r="L61" s="268" t="s">
        <v>1558</v>
      </c>
      <c r="M61" s="385" t="s">
        <v>1559</v>
      </c>
      <c r="N61" s="264" t="s">
        <v>1560</v>
      </c>
      <c r="O61" s="245" t="s">
        <v>1561</v>
      </c>
      <c r="P61" s="382" t="s">
        <v>1562</v>
      </c>
      <c r="Q61" s="264" t="s">
        <v>1563</v>
      </c>
      <c r="R61" s="245" t="s">
        <v>1564</v>
      </c>
      <c r="S61" s="351" t="str">
        <f t="shared" si="124"/>
        <v xml:space="preserve">* La celda Pueblos Originarios / Hombre debe ser menor o igual al Total Áreas de Riesgo / Hombre. * La celda Pueblos Originarios / Mujer debe ser menor o igual al Total Áreas de Riesgo / Mujer . * La celda Población Migrantes / Hombre' debe ser menor o igual al Total Áreas de Riesgo / Hombre. * La celda Población Migrantes / Mujer debe ser menor o igual al Total Áreas de Riesgo / Mujer. </v>
      </c>
      <c r="AB61" s="175"/>
      <c r="AC61" s="175"/>
      <c r="AD61" s="175"/>
      <c r="AE61" s="175"/>
      <c r="AF61" s="175"/>
      <c r="AG61" s="175"/>
      <c r="AH61" s="175"/>
      <c r="AI61" s="175"/>
      <c r="AJ61" s="175"/>
      <c r="AK61" s="175"/>
      <c r="AL61" s="175"/>
      <c r="AM61" s="175"/>
      <c r="AN61" s="348" t="str">
        <f t="shared" si="125"/>
        <v/>
      </c>
      <c r="AO61" s="348" t="str">
        <f t="shared" si="126"/>
        <v/>
      </c>
      <c r="AP61" s="348" t="str">
        <f t="shared" si="127"/>
        <v/>
      </c>
      <c r="AQ61" s="348" t="str">
        <f t="shared" si="128"/>
        <v/>
      </c>
      <c r="AR61" s="348" t="str">
        <f t="shared" si="129"/>
        <v xml:space="preserve">* La celda Pueblos Originarios / Hombre debe ser menor o igual al Total Áreas de Riesgo / Hombre. </v>
      </c>
      <c r="AS61" s="348" t="str">
        <f t="shared" si="130"/>
        <v xml:space="preserve">* La celda Pueblos Originarios / Mujer debe ser menor o igual al Total Áreas de Riesgo / Mujer . </v>
      </c>
      <c r="AT61" s="348" t="str">
        <f t="shared" si="131"/>
        <v xml:space="preserve">* La celda Población Migrantes / Hombre' debe ser menor o igual al Total Áreas de Riesgo / Hombre. </v>
      </c>
      <c r="AU61" s="348" t="str">
        <f t="shared" si="132"/>
        <v xml:space="preserve">* La celda Población Migrantes / Mujer debe ser menor o igual al Total Áreas de Riesgo / Mujer. </v>
      </c>
      <c r="AV61" s="354"/>
      <c r="AW61" s="354"/>
      <c r="AX61" s="354"/>
      <c r="AY61" s="354"/>
      <c r="AZ61" s="354"/>
      <c r="BA61" s="358">
        <f t="shared" si="116"/>
        <v>1</v>
      </c>
      <c r="BB61" s="358">
        <f t="shared" si="117"/>
        <v>1</v>
      </c>
      <c r="BC61" s="358">
        <f t="shared" si="118"/>
        <v>1</v>
      </c>
      <c r="BD61" s="358">
        <f t="shared" si="119"/>
        <v>1</v>
      </c>
      <c r="BE61" s="358">
        <f t="shared" si="120"/>
        <v>0</v>
      </c>
      <c r="BF61" s="358">
        <f t="shared" si="121"/>
        <v>0</v>
      </c>
      <c r="BG61" s="358">
        <f t="shared" si="122"/>
        <v>0</v>
      </c>
      <c r="BH61" s="358">
        <f t="shared" si="123"/>
        <v>0</v>
      </c>
    </row>
    <row r="62" spans="1:60" s="291" customFormat="1" ht="15.75" customHeight="1" x14ac:dyDescent="0.3">
      <c r="A62" s="1652" t="s">
        <v>1415</v>
      </c>
      <c r="B62" s="1271" t="s">
        <v>824</v>
      </c>
      <c r="C62" s="1272"/>
      <c r="D62" s="386" t="s">
        <v>1550</v>
      </c>
      <c r="E62" s="392" t="s">
        <v>1551</v>
      </c>
      <c r="F62" s="386" t="s">
        <v>1552</v>
      </c>
      <c r="G62" s="386" t="s">
        <v>1553</v>
      </c>
      <c r="H62" s="264" t="s">
        <v>1554</v>
      </c>
      <c r="I62" s="245" t="s">
        <v>1555</v>
      </c>
      <c r="J62" s="384" t="s">
        <v>1556</v>
      </c>
      <c r="K62" s="264" t="s">
        <v>1557</v>
      </c>
      <c r="L62" s="268" t="s">
        <v>1558</v>
      </c>
      <c r="M62" s="385" t="s">
        <v>1559</v>
      </c>
      <c r="N62" s="264" t="s">
        <v>1560</v>
      </c>
      <c r="O62" s="245" t="s">
        <v>1561</v>
      </c>
      <c r="P62" s="382" t="s">
        <v>1562</v>
      </c>
      <c r="Q62" s="264" t="s">
        <v>1563</v>
      </c>
      <c r="R62" s="245" t="s">
        <v>1564</v>
      </c>
      <c r="S62" s="351" t="str">
        <f t="shared" si="124"/>
        <v xml:space="preserve">* La celda Pueblos Originarios / Hombre debe ser menor o igual al Total Áreas de Riesgo / Hombre. * La celda Pueblos Originarios / Mujer debe ser menor o igual al Total Áreas de Riesgo / Mujer . * La celda Población Migrantes / Hombre' debe ser menor o igual al Total Áreas de Riesgo / Hombre. * La celda Población Migrantes / Mujer debe ser menor o igual al Total Áreas de Riesgo / Mujer. </v>
      </c>
      <c r="T62" s="960"/>
      <c r="AB62" s="175"/>
      <c r="AC62" s="175"/>
      <c r="AD62" s="175"/>
      <c r="AE62" s="175"/>
      <c r="AF62" s="175"/>
      <c r="AG62" s="175"/>
      <c r="AH62" s="175"/>
      <c r="AI62" s="175"/>
      <c r="AJ62" s="175"/>
      <c r="AK62" s="175"/>
      <c r="AL62" s="175"/>
      <c r="AM62" s="175"/>
      <c r="AN62" s="348" t="str">
        <f t="shared" si="125"/>
        <v/>
      </c>
      <c r="AO62" s="348" t="str">
        <f t="shared" si="126"/>
        <v/>
      </c>
      <c r="AP62" s="348" t="str">
        <f t="shared" si="127"/>
        <v/>
      </c>
      <c r="AQ62" s="348" t="str">
        <f t="shared" si="128"/>
        <v/>
      </c>
      <c r="AR62" s="348" t="str">
        <f t="shared" si="129"/>
        <v xml:space="preserve">* La celda Pueblos Originarios / Hombre debe ser menor o igual al Total Áreas de Riesgo / Hombre. </v>
      </c>
      <c r="AS62" s="348" t="str">
        <f t="shared" si="130"/>
        <v xml:space="preserve">* La celda Pueblos Originarios / Mujer debe ser menor o igual al Total Áreas de Riesgo / Mujer . </v>
      </c>
      <c r="AT62" s="348" t="str">
        <f t="shared" si="131"/>
        <v xml:space="preserve">* La celda Población Migrantes / Hombre' debe ser menor o igual al Total Áreas de Riesgo / Hombre. </v>
      </c>
      <c r="AU62" s="348" t="str">
        <f t="shared" si="132"/>
        <v xml:space="preserve">* La celda Población Migrantes / Mujer debe ser menor o igual al Total Áreas de Riesgo / Mujer. </v>
      </c>
      <c r="AV62" s="354"/>
      <c r="AW62" s="354"/>
      <c r="AX62" s="354"/>
      <c r="AY62" s="354"/>
      <c r="AZ62" s="354"/>
      <c r="BA62" s="358">
        <f t="shared" si="116"/>
        <v>1</v>
      </c>
      <c r="BB62" s="358">
        <f t="shared" si="117"/>
        <v>1</v>
      </c>
      <c r="BC62" s="358">
        <f t="shared" si="118"/>
        <v>1</v>
      </c>
      <c r="BD62" s="358">
        <f t="shared" si="119"/>
        <v>1</v>
      </c>
      <c r="BE62" s="358">
        <f t="shared" si="120"/>
        <v>0</v>
      </c>
      <c r="BF62" s="358">
        <f t="shared" si="121"/>
        <v>0</v>
      </c>
      <c r="BG62" s="358">
        <f t="shared" si="122"/>
        <v>0</v>
      </c>
      <c r="BH62" s="358">
        <f t="shared" si="123"/>
        <v>0</v>
      </c>
    </row>
    <row r="63" spans="1:60" s="291" customFormat="1" ht="15.75" customHeight="1" x14ac:dyDescent="0.25">
      <c r="A63" s="1652" t="s">
        <v>1416</v>
      </c>
      <c r="B63" s="2440" t="s">
        <v>711</v>
      </c>
      <c r="C63" s="2440"/>
      <c r="D63" s="384" t="s">
        <v>1550</v>
      </c>
      <c r="E63" s="383" t="s">
        <v>1551</v>
      </c>
      <c r="F63" s="382" t="s">
        <v>1552</v>
      </c>
      <c r="G63" s="384" t="s">
        <v>1553</v>
      </c>
      <c r="H63" s="264" t="s">
        <v>1554</v>
      </c>
      <c r="I63" s="245" t="s">
        <v>1555</v>
      </c>
      <c r="J63" s="384" t="s">
        <v>1556</v>
      </c>
      <c r="K63" s="264" t="s">
        <v>1557</v>
      </c>
      <c r="L63" s="268" t="s">
        <v>1558</v>
      </c>
      <c r="M63" s="385" t="s">
        <v>1559</v>
      </c>
      <c r="N63" s="264" t="s">
        <v>1560</v>
      </c>
      <c r="O63" s="245" t="s">
        <v>1561</v>
      </c>
      <c r="P63" s="382" t="s">
        <v>1562</v>
      </c>
      <c r="Q63" s="264" t="s">
        <v>1563</v>
      </c>
      <c r="R63" s="245" t="s">
        <v>1564</v>
      </c>
      <c r="S63" s="351" t="str">
        <f t="shared" si="124"/>
        <v xml:space="preserve">* La celda Pueblos Originarios / Hombre debe ser menor o igual al Total Áreas de Riesgo / Hombre. * La celda Pueblos Originarios / Mujer debe ser menor o igual al Total Áreas de Riesgo / Mujer . * La celda Población Migrantes / Hombre' debe ser menor o igual al Total Áreas de Riesgo / Hombre. * La celda Población Migrantes / Mujer debe ser menor o igual al Total Áreas de Riesgo / Mujer. </v>
      </c>
      <c r="AB63" s="175"/>
      <c r="AC63" s="175"/>
      <c r="AD63" s="175"/>
      <c r="AE63" s="175"/>
      <c r="AF63" s="175"/>
      <c r="AG63" s="175"/>
      <c r="AH63" s="175"/>
      <c r="AI63" s="175"/>
      <c r="AJ63" s="175"/>
      <c r="AK63" s="175"/>
      <c r="AL63" s="175"/>
      <c r="AM63" s="175"/>
      <c r="AN63" s="348" t="str">
        <f t="shared" si="125"/>
        <v/>
      </c>
      <c r="AO63" s="348" t="str">
        <f t="shared" si="126"/>
        <v/>
      </c>
      <c r="AP63" s="348" t="str">
        <f t="shared" si="127"/>
        <v/>
      </c>
      <c r="AQ63" s="348" t="str">
        <f t="shared" si="128"/>
        <v/>
      </c>
      <c r="AR63" s="348" t="str">
        <f t="shared" si="129"/>
        <v xml:space="preserve">* La celda Pueblos Originarios / Hombre debe ser menor o igual al Total Áreas de Riesgo / Hombre. </v>
      </c>
      <c r="AS63" s="348" t="str">
        <f t="shared" si="130"/>
        <v xml:space="preserve">* La celda Pueblos Originarios / Mujer debe ser menor o igual al Total Áreas de Riesgo / Mujer . </v>
      </c>
      <c r="AT63" s="348" t="str">
        <f t="shared" si="131"/>
        <v xml:space="preserve">* La celda Población Migrantes / Hombre' debe ser menor o igual al Total Áreas de Riesgo / Hombre. </v>
      </c>
      <c r="AU63" s="348" t="str">
        <f t="shared" si="132"/>
        <v xml:space="preserve">* La celda Población Migrantes / Mujer debe ser menor o igual al Total Áreas de Riesgo / Mujer. </v>
      </c>
      <c r="AV63" s="354"/>
      <c r="AW63" s="354"/>
      <c r="AX63" s="354"/>
      <c r="AY63" s="354"/>
      <c r="AZ63" s="354"/>
      <c r="BA63" s="358">
        <f t="shared" si="116"/>
        <v>1</v>
      </c>
      <c r="BB63" s="358">
        <f t="shared" si="117"/>
        <v>1</v>
      </c>
      <c r="BC63" s="358">
        <f t="shared" si="118"/>
        <v>1</v>
      </c>
      <c r="BD63" s="358">
        <f t="shared" si="119"/>
        <v>1</v>
      </c>
      <c r="BE63" s="358">
        <f t="shared" si="120"/>
        <v>0</v>
      </c>
      <c r="BF63" s="358">
        <f t="shared" si="121"/>
        <v>0</v>
      </c>
      <c r="BG63" s="358">
        <f t="shared" si="122"/>
        <v>0</v>
      </c>
      <c r="BH63" s="358">
        <f t="shared" si="123"/>
        <v>0</v>
      </c>
    </row>
    <row r="64" spans="1:60" s="291" customFormat="1" ht="15.75" customHeight="1" x14ac:dyDescent="0.25">
      <c r="A64" s="1652" t="s">
        <v>1417</v>
      </c>
      <c r="B64" s="2433" t="s">
        <v>712</v>
      </c>
      <c r="C64" s="2434"/>
      <c r="D64" s="384" t="s">
        <v>1550</v>
      </c>
      <c r="E64" s="383" t="s">
        <v>1551</v>
      </c>
      <c r="F64" s="382" t="s">
        <v>1552</v>
      </c>
      <c r="G64" s="384" t="s">
        <v>1553</v>
      </c>
      <c r="H64" s="265" t="s">
        <v>1554</v>
      </c>
      <c r="I64" s="259" t="s">
        <v>1555</v>
      </c>
      <c r="J64" s="384" t="s">
        <v>1556</v>
      </c>
      <c r="K64" s="265" t="s">
        <v>1557</v>
      </c>
      <c r="L64" s="282" t="s">
        <v>1558</v>
      </c>
      <c r="M64" s="385" t="s">
        <v>1559</v>
      </c>
      <c r="N64" s="265" t="s">
        <v>1560</v>
      </c>
      <c r="O64" s="259" t="s">
        <v>1561</v>
      </c>
      <c r="P64" s="382" t="s">
        <v>1562</v>
      </c>
      <c r="Q64" s="265" t="s">
        <v>1563</v>
      </c>
      <c r="R64" s="259" t="s">
        <v>1564</v>
      </c>
      <c r="S64" s="351" t="str">
        <f t="shared" si="124"/>
        <v xml:space="preserve">* La celda Pueblos Originarios / Hombre debe ser menor o igual al Total Áreas de Riesgo / Hombre. * La celda Pueblos Originarios / Mujer debe ser menor o igual al Total Áreas de Riesgo / Mujer . * La celda Población Migrantes / Hombre' debe ser menor o igual al Total Áreas de Riesgo / Hombre. * La celda Población Migrantes / Mujer debe ser menor o igual al Total Áreas de Riesgo / Mujer. </v>
      </c>
      <c r="AB64" s="175"/>
      <c r="AC64" s="175"/>
      <c r="AD64" s="175"/>
      <c r="AE64" s="175"/>
      <c r="AF64" s="175"/>
      <c r="AG64" s="175"/>
      <c r="AH64" s="175"/>
      <c r="AI64" s="175"/>
      <c r="AJ64" s="175"/>
      <c r="AK64" s="175"/>
      <c r="AL64" s="175"/>
      <c r="AM64" s="175"/>
      <c r="AN64" s="348" t="str">
        <f t="shared" si="125"/>
        <v/>
      </c>
      <c r="AO64" s="348" t="str">
        <f t="shared" si="126"/>
        <v/>
      </c>
      <c r="AP64" s="348" t="str">
        <f t="shared" si="127"/>
        <v/>
      </c>
      <c r="AQ64" s="348" t="str">
        <f t="shared" si="128"/>
        <v/>
      </c>
      <c r="AR64" s="348" t="str">
        <f t="shared" si="129"/>
        <v xml:space="preserve">* La celda Pueblos Originarios / Hombre debe ser menor o igual al Total Áreas de Riesgo / Hombre. </v>
      </c>
      <c r="AS64" s="348" t="str">
        <f t="shared" si="130"/>
        <v xml:space="preserve">* La celda Pueblos Originarios / Mujer debe ser menor o igual al Total Áreas de Riesgo / Mujer . </v>
      </c>
      <c r="AT64" s="348" t="str">
        <f t="shared" si="131"/>
        <v xml:space="preserve">* La celda Población Migrantes / Hombre' debe ser menor o igual al Total Áreas de Riesgo / Hombre. </v>
      </c>
      <c r="AU64" s="348" t="str">
        <f t="shared" si="132"/>
        <v xml:space="preserve">* La celda Población Migrantes / Mujer debe ser menor o igual al Total Áreas de Riesgo / Mujer. </v>
      </c>
      <c r="AV64" s="354"/>
      <c r="AW64" s="354"/>
      <c r="AX64" s="354"/>
      <c r="AY64" s="354"/>
      <c r="AZ64" s="354"/>
      <c r="BA64" s="358">
        <f t="shared" si="116"/>
        <v>1</v>
      </c>
      <c r="BB64" s="358">
        <f t="shared" si="117"/>
        <v>1</v>
      </c>
      <c r="BC64" s="358">
        <f t="shared" si="118"/>
        <v>1</v>
      </c>
      <c r="BD64" s="358">
        <f t="shared" si="119"/>
        <v>1</v>
      </c>
      <c r="BE64" s="358">
        <f t="shared" si="120"/>
        <v>0</v>
      </c>
      <c r="BF64" s="358">
        <f t="shared" si="121"/>
        <v>0</v>
      </c>
      <c r="BG64" s="358">
        <f t="shared" si="122"/>
        <v>0</v>
      </c>
      <c r="BH64" s="358">
        <f t="shared" si="123"/>
        <v>0</v>
      </c>
    </row>
    <row r="65" spans="1:60" s="291" customFormat="1" ht="15.75" customHeight="1" x14ac:dyDescent="0.25">
      <c r="A65" s="1652" t="s">
        <v>1418</v>
      </c>
      <c r="B65" s="2433" t="s">
        <v>822</v>
      </c>
      <c r="C65" s="2434"/>
      <c r="D65" s="384" t="s">
        <v>1550</v>
      </c>
      <c r="E65" s="383" t="s">
        <v>1551</v>
      </c>
      <c r="F65" s="382" t="s">
        <v>1552</v>
      </c>
      <c r="G65" s="384" t="s">
        <v>1553</v>
      </c>
      <c r="H65" s="265" t="s">
        <v>1554</v>
      </c>
      <c r="I65" s="259" t="s">
        <v>1555</v>
      </c>
      <c r="J65" s="384" t="s">
        <v>1556</v>
      </c>
      <c r="K65" s="265" t="s">
        <v>1557</v>
      </c>
      <c r="L65" s="282" t="s">
        <v>1558</v>
      </c>
      <c r="M65" s="385" t="s">
        <v>1559</v>
      </c>
      <c r="N65" s="265" t="s">
        <v>1560</v>
      </c>
      <c r="O65" s="259" t="s">
        <v>1561</v>
      </c>
      <c r="P65" s="382" t="s">
        <v>1562</v>
      </c>
      <c r="Q65" s="265" t="s">
        <v>1563</v>
      </c>
      <c r="R65" s="259" t="s">
        <v>1564</v>
      </c>
      <c r="S65" s="351" t="str">
        <f t="shared" si="124"/>
        <v xml:space="preserve">* La celda Pueblos Originarios / Hombre debe ser menor o igual al Total Áreas de Riesgo / Hombre. * La celda Pueblos Originarios / Mujer debe ser menor o igual al Total Áreas de Riesgo / Mujer . * La celda Población Migrantes / Hombre' debe ser menor o igual al Total Áreas de Riesgo / Hombre. * La celda Población Migrantes / Mujer debe ser menor o igual al Total Áreas de Riesgo / Mujer. </v>
      </c>
      <c r="AB65" s="175"/>
      <c r="AC65" s="175"/>
      <c r="AD65" s="175"/>
      <c r="AE65" s="175"/>
      <c r="AF65" s="175"/>
      <c r="AG65" s="175"/>
      <c r="AH65" s="175"/>
      <c r="AI65" s="175"/>
      <c r="AJ65" s="175"/>
      <c r="AK65" s="175"/>
      <c r="AL65" s="175"/>
      <c r="AM65" s="175"/>
      <c r="AN65" s="348" t="str">
        <f t="shared" si="125"/>
        <v/>
      </c>
      <c r="AO65" s="348" t="str">
        <f t="shared" si="126"/>
        <v/>
      </c>
      <c r="AP65" s="348" t="str">
        <f t="shared" si="127"/>
        <v/>
      </c>
      <c r="AQ65" s="348" t="str">
        <f t="shared" si="128"/>
        <v/>
      </c>
      <c r="AR65" s="348" t="str">
        <f t="shared" si="129"/>
        <v xml:space="preserve">* La celda Pueblos Originarios / Hombre debe ser menor o igual al Total Áreas de Riesgo / Hombre. </v>
      </c>
      <c r="AS65" s="348" t="str">
        <f t="shared" si="130"/>
        <v xml:space="preserve">* La celda Pueblos Originarios / Mujer debe ser menor o igual al Total Áreas de Riesgo / Mujer . </v>
      </c>
      <c r="AT65" s="348" t="str">
        <f t="shared" si="131"/>
        <v xml:space="preserve">* La celda Población Migrantes / Hombre' debe ser menor o igual al Total Áreas de Riesgo / Hombre. </v>
      </c>
      <c r="AU65" s="348" t="str">
        <f t="shared" si="132"/>
        <v xml:space="preserve">* La celda Población Migrantes / Mujer debe ser menor o igual al Total Áreas de Riesgo / Mujer. </v>
      </c>
      <c r="AV65" s="354"/>
      <c r="AW65" s="354"/>
      <c r="AX65" s="354"/>
      <c r="AY65" s="354"/>
      <c r="AZ65" s="354"/>
      <c r="BA65" s="358">
        <f t="shared" si="116"/>
        <v>1</v>
      </c>
      <c r="BB65" s="358">
        <f t="shared" si="117"/>
        <v>1</v>
      </c>
      <c r="BC65" s="358">
        <f t="shared" si="118"/>
        <v>1</v>
      </c>
      <c r="BD65" s="358">
        <f t="shared" si="119"/>
        <v>1</v>
      </c>
      <c r="BE65" s="358">
        <f t="shared" si="120"/>
        <v>0</v>
      </c>
      <c r="BF65" s="358">
        <f t="shared" si="121"/>
        <v>0</v>
      </c>
      <c r="BG65" s="358">
        <f t="shared" si="122"/>
        <v>0</v>
      </c>
      <c r="BH65" s="358">
        <f t="shared" si="123"/>
        <v>0</v>
      </c>
    </row>
    <row r="66" spans="1:60" s="291" customFormat="1" ht="15.75" customHeight="1" x14ac:dyDescent="0.25">
      <c r="A66" s="1652" t="s">
        <v>1419</v>
      </c>
      <c r="B66" s="2456" t="s">
        <v>713</v>
      </c>
      <c r="C66" s="2456"/>
      <c r="D66" s="393" t="s">
        <v>1550</v>
      </c>
      <c r="E66" s="394" t="s">
        <v>1551</v>
      </c>
      <c r="F66" s="395" t="s">
        <v>1552</v>
      </c>
      <c r="G66" s="393" t="s">
        <v>1553</v>
      </c>
      <c r="H66" s="266" t="s">
        <v>1554</v>
      </c>
      <c r="I66" s="267" t="s">
        <v>1555</v>
      </c>
      <c r="J66" s="393" t="s">
        <v>1556</v>
      </c>
      <c r="K66" s="929" t="s">
        <v>1557</v>
      </c>
      <c r="L66" s="273" t="s">
        <v>1558</v>
      </c>
      <c r="M66" s="1288" t="s">
        <v>1559</v>
      </c>
      <c r="N66" s="929" t="s">
        <v>1560</v>
      </c>
      <c r="O66" s="267" t="s">
        <v>1561</v>
      </c>
      <c r="P66" s="395" t="s">
        <v>1562</v>
      </c>
      <c r="Q66" s="929" t="s">
        <v>1563</v>
      </c>
      <c r="R66" s="267" t="s">
        <v>1564</v>
      </c>
      <c r="S66" s="351" t="str">
        <f t="shared" si="124"/>
        <v xml:space="preserve">* La celda Pueblos Originarios / Hombre debe ser menor o igual al Total Áreas de Riesgo / Hombre. * La celda Pueblos Originarios / Mujer debe ser menor o igual al Total Áreas de Riesgo / Mujer . * La celda Población Migrantes / Hombre' debe ser menor o igual al Total Áreas de Riesgo / Hombre. * La celda Población Migrantes / Mujer debe ser menor o igual al Total Áreas de Riesgo / Mujer. </v>
      </c>
      <c r="AB66" s="175"/>
      <c r="AC66" s="175"/>
      <c r="AD66" s="175"/>
      <c r="AE66" s="175"/>
      <c r="AF66" s="175"/>
      <c r="AG66" s="175"/>
      <c r="AH66" s="175"/>
      <c r="AI66" s="175"/>
      <c r="AJ66" s="175"/>
      <c r="AK66" s="175"/>
      <c r="AL66" s="175"/>
      <c r="AM66" s="175"/>
      <c r="AN66" s="348" t="str">
        <f t="shared" si="125"/>
        <v/>
      </c>
      <c r="AO66" s="348" t="str">
        <f t="shared" si="126"/>
        <v/>
      </c>
      <c r="AP66" s="348" t="str">
        <f t="shared" si="127"/>
        <v/>
      </c>
      <c r="AQ66" s="348" t="str">
        <f t="shared" si="128"/>
        <v/>
      </c>
      <c r="AR66" s="348" t="str">
        <f t="shared" si="129"/>
        <v xml:space="preserve">* La celda Pueblos Originarios / Hombre debe ser menor o igual al Total Áreas de Riesgo / Hombre. </v>
      </c>
      <c r="AS66" s="348" t="str">
        <f t="shared" si="130"/>
        <v xml:space="preserve">* La celda Pueblos Originarios / Mujer debe ser menor o igual al Total Áreas de Riesgo / Mujer . </v>
      </c>
      <c r="AT66" s="348" t="str">
        <f t="shared" si="131"/>
        <v xml:space="preserve">* La celda Población Migrantes / Hombre' debe ser menor o igual al Total Áreas de Riesgo / Hombre. </v>
      </c>
      <c r="AU66" s="348" t="str">
        <f t="shared" si="132"/>
        <v xml:space="preserve">* La celda Población Migrantes / Mujer debe ser menor o igual al Total Áreas de Riesgo / Mujer. </v>
      </c>
      <c r="AV66" s="354"/>
      <c r="AW66" s="354"/>
      <c r="AX66" s="354"/>
      <c r="AY66" s="354"/>
      <c r="AZ66" s="354"/>
      <c r="BA66" s="358">
        <f t="shared" si="116"/>
        <v>1</v>
      </c>
      <c r="BB66" s="358">
        <f t="shared" si="117"/>
        <v>1</v>
      </c>
      <c r="BC66" s="358">
        <f t="shared" si="118"/>
        <v>1</v>
      </c>
      <c r="BD66" s="358">
        <f t="shared" si="119"/>
        <v>1</v>
      </c>
      <c r="BE66" s="358">
        <f t="shared" si="120"/>
        <v>0</v>
      </c>
      <c r="BF66" s="358">
        <f t="shared" si="121"/>
        <v>0</v>
      </c>
      <c r="BG66" s="358">
        <f t="shared" si="122"/>
        <v>0</v>
      </c>
      <c r="BH66" s="358">
        <f t="shared" si="123"/>
        <v>0</v>
      </c>
    </row>
    <row r="67" spans="1:60" s="291" customFormat="1" ht="32.4" customHeight="1" x14ac:dyDescent="0.2">
      <c r="A67" s="398"/>
      <c r="B67" s="193" t="s">
        <v>882</v>
      </c>
      <c r="S67" s="351"/>
      <c r="AB67" s="175"/>
      <c r="AC67" s="175"/>
      <c r="AD67" s="175"/>
      <c r="AE67" s="175"/>
      <c r="AF67" s="175"/>
      <c r="AG67" s="175"/>
      <c r="AH67" s="175"/>
      <c r="AI67" s="175"/>
      <c r="AJ67" s="175"/>
      <c r="AK67" s="175"/>
      <c r="AL67" s="175"/>
      <c r="AM67" s="175"/>
      <c r="AN67" s="354"/>
      <c r="AO67" s="354"/>
      <c r="AP67" s="354"/>
      <c r="AQ67" s="354"/>
      <c r="AR67" s="354"/>
      <c r="AS67" s="354"/>
      <c r="AT67" s="354"/>
      <c r="AU67" s="354"/>
      <c r="AV67" s="354"/>
      <c r="AW67" s="354"/>
      <c r="AX67" s="354"/>
      <c r="AY67" s="354"/>
      <c r="AZ67" s="354"/>
      <c r="BA67" s="354"/>
      <c r="BB67" s="354"/>
      <c r="BC67" s="354"/>
      <c r="BD67" s="354"/>
      <c r="BE67" s="354"/>
      <c r="BF67" s="354"/>
      <c r="BG67" s="354"/>
      <c r="BH67" s="354"/>
    </row>
    <row r="68" spans="1:60" s="291" customFormat="1" ht="15" customHeight="1" x14ac:dyDescent="0.2">
      <c r="A68" s="398"/>
      <c r="B68" s="2445" t="s">
        <v>374</v>
      </c>
      <c r="C68" s="2421"/>
      <c r="D68" s="2178" t="s">
        <v>13</v>
      </c>
      <c r="E68" s="2185"/>
      <c r="F68" s="2179"/>
      <c r="G68" s="2428" t="s">
        <v>394</v>
      </c>
      <c r="H68" s="2325"/>
      <c r="I68" s="2318"/>
      <c r="J68" s="2428" t="s">
        <v>395</v>
      </c>
      <c r="K68" s="2325"/>
      <c r="L68" s="2325"/>
      <c r="M68" s="2468" t="s">
        <v>841</v>
      </c>
      <c r="N68" s="2469"/>
      <c r="O68" s="2469"/>
      <c r="P68" s="2325" t="s">
        <v>804</v>
      </c>
      <c r="Q68" s="2325"/>
      <c r="R68" s="2318"/>
      <c r="S68" s="1520"/>
      <c r="T68" s="396"/>
      <c r="AB68" s="175"/>
      <c r="AC68" s="175"/>
      <c r="AD68" s="175"/>
      <c r="AE68" s="175"/>
      <c r="AF68" s="175"/>
      <c r="AG68" s="175"/>
      <c r="AH68" s="175"/>
      <c r="AI68" s="175"/>
      <c r="AJ68" s="175"/>
      <c r="AK68" s="175"/>
      <c r="AL68" s="175"/>
      <c r="AM68" s="175"/>
      <c r="AN68" s="354"/>
      <c r="AO68" s="354"/>
      <c r="AP68" s="354"/>
      <c r="AQ68" s="354"/>
      <c r="AR68" s="354"/>
      <c r="AS68" s="354"/>
      <c r="AT68" s="354"/>
      <c r="AU68" s="354"/>
      <c r="AV68" s="354"/>
      <c r="AW68" s="354"/>
      <c r="AX68" s="354"/>
      <c r="AY68" s="354"/>
      <c r="AZ68" s="354"/>
      <c r="BA68" s="354"/>
      <c r="BB68" s="354"/>
      <c r="BC68" s="354"/>
      <c r="BD68" s="354"/>
      <c r="BE68" s="354"/>
      <c r="BF68" s="354"/>
      <c r="BG68" s="354"/>
      <c r="BH68" s="354"/>
    </row>
    <row r="69" spans="1:60" s="291" customFormat="1" x14ac:dyDescent="0.2">
      <c r="A69" s="398"/>
      <c r="B69" s="2446"/>
      <c r="C69" s="2423"/>
      <c r="D69" s="2180"/>
      <c r="E69" s="2459"/>
      <c r="F69" s="2181"/>
      <c r="G69" s="2467"/>
      <c r="H69" s="2427"/>
      <c r="I69" s="2324"/>
      <c r="J69" s="2467"/>
      <c r="K69" s="2427"/>
      <c r="L69" s="2427"/>
      <c r="M69" s="2468"/>
      <c r="N69" s="2469"/>
      <c r="O69" s="2469"/>
      <c r="P69" s="2427"/>
      <c r="Q69" s="2427"/>
      <c r="R69" s="2324"/>
      <c r="S69" s="1520"/>
      <c r="T69" s="396"/>
      <c r="AB69" s="175"/>
      <c r="AC69" s="175"/>
      <c r="AD69" s="175"/>
      <c r="AE69" s="175"/>
      <c r="AF69" s="175"/>
      <c r="AG69" s="175"/>
      <c r="AH69" s="175"/>
      <c r="AI69" s="175"/>
      <c r="AJ69" s="175"/>
      <c r="AK69" s="175"/>
      <c r="AL69" s="175"/>
      <c r="AM69" s="175"/>
      <c r="AN69" s="354"/>
      <c r="AO69" s="354"/>
      <c r="AP69" s="354"/>
      <c r="AQ69" s="354"/>
      <c r="AR69" s="354"/>
      <c r="AS69" s="354"/>
      <c r="AT69" s="354"/>
      <c r="AU69" s="354"/>
      <c r="AV69" s="354"/>
      <c r="AW69" s="354"/>
      <c r="AX69" s="354"/>
      <c r="AY69" s="354"/>
      <c r="AZ69" s="354"/>
      <c r="BA69" s="354"/>
      <c r="BB69" s="354"/>
      <c r="BC69" s="354"/>
      <c r="BD69" s="354"/>
      <c r="BE69" s="354"/>
      <c r="BF69" s="354"/>
      <c r="BG69" s="354"/>
      <c r="BH69" s="354"/>
    </row>
    <row r="70" spans="1:60" s="291" customFormat="1" x14ac:dyDescent="0.2">
      <c r="A70" s="398"/>
      <c r="B70" s="2446"/>
      <c r="C70" s="2423"/>
      <c r="D70" s="2180"/>
      <c r="E70" s="2459"/>
      <c r="F70" s="2181"/>
      <c r="G70" s="2319"/>
      <c r="H70" s="2326"/>
      <c r="I70" s="2320"/>
      <c r="J70" s="2319"/>
      <c r="K70" s="2326"/>
      <c r="L70" s="2326"/>
      <c r="M70" s="2468"/>
      <c r="N70" s="2469"/>
      <c r="O70" s="2469"/>
      <c r="P70" s="2326"/>
      <c r="Q70" s="2326"/>
      <c r="R70" s="2320"/>
      <c r="S70" s="1520"/>
      <c r="T70" s="396"/>
      <c r="AB70" s="175"/>
      <c r="AC70" s="175"/>
      <c r="AD70" s="175"/>
      <c r="AE70" s="175"/>
      <c r="AF70" s="175"/>
      <c r="AG70" s="175"/>
      <c r="AH70" s="175"/>
      <c r="AI70" s="175"/>
      <c r="AJ70" s="175"/>
      <c r="AK70" s="175"/>
      <c r="AL70" s="175"/>
      <c r="AM70" s="175"/>
      <c r="AN70" s="354"/>
      <c r="AO70" s="354"/>
      <c r="AP70" s="354"/>
      <c r="AQ70" s="354"/>
      <c r="AR70" s="354"/>
      <c r="AS70" s="354"/>
      <c r="AT70" s="354"/>
      <c r="AU70" s="354"/>
      <c r="AV70" s="354"/>
      <c r="AW70" s="354"/>
      <c r="AX70" s="354"/>
      <c r="AY70" s="354"/>
      <c r="AZ70" s="354"/>
      <c r="BA70" s="354"/>
      <c r="BB70" s="354"/>
      <c r="BC70" s="354"/>
      <c r="BD70" s="354"/>
      <c r="BE70" s="354"/>
      <c r="BF70" s="354"/>
      <c r="BG70" s="354"/>
      <c r="BH70" s="354"/>
    </row>
    <row r="71" spans="1:60" s="291" customFormat="1" ht="29.25" customHeight="1" x14ac:dyDescent="0.2">
      <c r="A71" s="398"/>
      <c r="B71" s="2424"/>
      <c r="C71" s="2425"/>
      <c r="D71" s="1229" t="s">
        <v>369</v>
      </c>
      <c r="E71" s="176" t="s">
        <v>416</v>
      </c>
      <c r="F71" s="207" t="s">
        <v>30</v>
      </c>
      <c r="G71" s="1229" t="s">
        <v>369</v>
      </c>
      <c r="H71" s="176" t="s">
        <v>416</v>
      </c>
      <c r="I71" s="207" t="s">
        <v>30</v>
      </c>
      <c r="J71" s="1229" t="s">
        <v>369</v>
      </c>
      <c r="K71" s="176" t="s">
        <v>416</v>
      </c>
      <c r="L71" s="269" t="s">
        <v>30</v>
      </c>
      <c r="M71" s="377" t="s">
        <v>369</v>
      </c>
      <c r="N71" s="176" t="s">
        <v>416</v>
      </c>
      <c r="O71" s="207" t="s">
        <v>30</v>
      </c>
      <c r="P71" s="1230" t="s">
        <v>369</v>
      </c>
      <c r="Q71" s="176" t="s">
        <v>416</v>
      </c>
      <c r="R71" s="207" t="s">
        <v>30</v>
      </c>
      <c r="S71" s="351"/>
      <c r="AB71" s="175"/>
      <c r="AC71" s="175"/>
      <c r="AD71" s="175"/>
      <c r="AE71" s="175"/>
      <c r="AF71" s="175"/>
      <c r="AG71" s="175"/>
      <c r="AH71" s="175"/>
      <c r="AI71" s="175"/>
      <c r="AJ71" s="175"/>
      <c r="AK71" s="175"/>
      <c r="AL71" s="175"/>
      <c r="AM71" s="175"/>
      <c r="AN71" s="354"/>
      <c r="AO71" s="354"/>
      <c r="AP71" s="354"/>
      <c r="AQ71" s="354"/>
      <c r="AR71" s="354"/>
      <c r="AS71" s="354"/>
      <c r="AT71" s="354"/>
      <c r="AU71" s="354"/>
      <c r="AV71" s="354"/>
      <c r="AW71" s="354"/>
      <c r="AX71" s="354"/>
      <c r="AY71" s="354"/>
      <c r="AZ71" s="354"/>
      <c r="BA71" s="354"/>
      <c r="BB71" s="354"/>
      <c r="BC71" s="354"/>
      <c r="BD71" s="354"/>
      <c r="BE71" s="354"/>
      <c r="BF71" s="354"/>
      <c r="BG71" s="354"/>
      <c r="BH71" s="354"/>
    </row>
    <row r="72" spans="1:60" s="291" customFormat="1" ht="18" customHeight="1" x14ac:dyDescent="0.25">
      <c r="A72" s="1652" t="s">
        <v>1420</v>
      </c>
      <c r="B72" s="2438" t="s">
        <v>425</v>
      </c>
      <c r="C72" s="2439"/>
      <c r="D72" s="379" t="s">
        <v>1550</v>
      </c>
      <c r="E72" s="380" t="s">
        <v>1551</v>
      </c>
      <c r="F72" s="379" t="s">
        <v>1552</v>
      </c>
      <c r="G72" s="386" t="s">
        <v>1553</v>
      </c>
      <c r="H72" s="244" t="s">
        <v>1554</v>
      </c>
      <c r="I72" s="245" t="s">
        <v>1555</v>
      </c>
      <c r="J72" s="386" t="s">
        <v>1556</v>
      </c>
      <c r="K72" s="244" t="s">
        <v>1557</v>
      </c>
      <c r="L72" s="268" t="s">
        <v>1558</v>
      </c>
      <c r="M72" s="1273" t="s">
        <v>1559</v>
      </c>
      <c r="N72" s="244" t="s">
        <v>1560</v>
      </c>
      <c r="O72" s="245" t="s">
        <v>1561</v>
      </c>
      <c r="P72" s="1274" t="s">
        <v>1562</v>
      </c>
      <c r="Q72" s="244" t="s">
        <v>1563</v>
      </c>
      <c r="R72" s="245" t="s">
        <v>1564</v>
      </c>
      <c r="S72" s="351" t="str">
        <f>$AN72&amp;AO72&amp;AP72&amp;AQ72 &amp; AR72 &amp; AS72 &amp; AT72 &amp; AU72</f>
        <v xml:space="preserve">* La celda Pueblos Originarios / Hombre debe ser menor o igual al Total Gineco/urologico/sexualidad - Hombre. * La celda Pueblos Originarios / Mujer debe ser menor o igual al Total Gineco/urologico/sexualidad / Mujer . * La celda Población Migrantes / Hombre debe ser menor o igual al Total Gineco/urologico/sexualidad - Hombre. * La celda Población Migrantes / Mujer debe ser menor o igual al Total Gineco/urologico/sexualidad - Mujer. </v>
      </c>
      <c r="AB72" s="175"/>
      <c r="AC72" s="175"/>
      <c r="AD72" s="175"/>
      <c r="AE72" s="175"/>
      <c r="AF72" s="175"/>
      <c r="AG72" s="175"/>
      <c r="AH72" s="175"/>
      <c r="AI72" s="175"/>
      <c r="AJ72" s="175"/>
      <c r="AK72" s="175"/>
      <c r="AL72" s="175"/>
      <c r="AM72" s="175"/>
      <c r="AN72" s="348" t="str">
        <f>IF(AND($E72&lt;&gt;0,$N72=""),"* No olvide escribir en la celda de Pueblos Originarios / Hombre (Digite CERO si no tiene).  ","")</f>
        <v/>
      </c>
      <c r="AO72" s="348" t="str">
        <f>IF(AND($F72&lt;&gt;0,$O72=""),"* No olvide escribir en la celda de Pueblos Originarios Mujer (Digite CERO si no tiene).  ","")</f>
        <v/>
      </c>
      <c r="AP72" s="348" t="str">
        <f>IF(AND($E72&lt;&gt;0,$Q72=""),"* No olvide escribir en la celda de Población Migrantes / Hombre (Digite CERO si no tiene). ","")</f>
        <v/>
      </c>
      <c r="AQ72" s="348" t="str">
        <f>IF(AND($F72&lt;&gt;0,$R72=""),"* No olvide escribir en la celda de Población Migrantes / Mujer (Digite CERO si no tiene). ","")</f>
        <v/>
      </c>
      <c r="AR72" s="348" t="str">
        <f>IF(($N72)&gt;$E72,"* La celda Pueblos Originarios / Hombre debe ser menor o igual al Total Gineco/urologico/sexualidad - Hombre. ","")</f>
        <v xml:space="preserve">* La celda Pueblos Originarios / Hombre debe ser menor o igual al Total Gineco/urologico/sexualidad - Hombre. </v>
      </c>
      <c r="AS72" s="348" t="str">
        <f>IF($O72&gt;$F72,"* La celda Pueblos Originarios / Mujer debe ser menor o igual al Total Gineco/urologico/sexualidad / Mujer . ","")</f>
        <v xml:space="preserve">* La celda Pueblos Originarios / Mujer debe ser menor o igual al Total Gineco/urologico/sexualidad / Mujer . </v>
      </c>
      <c r="AT72" s="348" t="str">
        <f>IF(($Q72)&gt;$E72,"* La celda Población Migrantes / Hombre debe ser menor o igual al Total Gineco/urologico/sexualidad - Hombre. ","")</f>
        <v xml:space="preserve">* La celda Población Migrantes / Hombre debe ser menor o igual al Total Gineco/urologico/sexualidad - Hombre. </v>
      </c>
      <c r="AU72" s="348" t="str">
        <f>IF($R72&gt;$F72,"* La celda Población Migrantes / Mujer debe ser menor o igual al Total Gineco/urologico/sexualidad - Mujer. ","")</f>
        <v xml:space="preserve">* La celda Población Migrantes / Mujer debe ser menor o igual al Total Gineco/urologico/sexualidad - Mujer. </v>
      </c>
      <c r="AV72" s="354"/>
      <c r="AW72" s="354"/>
      <c r="AX72" s="354"/>
      <c r="AY72" s="354"/>
      <c r="AZ72" s="354"/>
      <c r="BA72" s="358">
        <f t="shared" ref="BA72:BA81" si="133">IF($E72&lt;$N72, 1,0)</f>
        <v>1</v>
      </c>
      <c r="BB72" s="358">
        <f t="shared" ref="BB72:BB81" si="134">IF($F72&lt;$O72, 1,0)</f>
        <v>1</v>
      </c>
      <c r="BC72" s="358">
        <f t="shared" ref="BC72:BC81" si="135">IF($E72&lt;$Q72, 1,0)</f>
        <v>1</v>
      </c>
      <c r="BD72" s="358">
        <f t="shared" ref="BD72:BD81" si="136">IF($F72&lt;$R72, 1,0)</f>
        <v>1</v>
      </c>
      <c r="BE72" s="358">
        <f t="shared" ref="BE72:BE81" si="137">IF(AND(E72&lt;&gt;0,N72=""),1,0)</f>
        <v>0</v>
      </c>
      <c r="BF72" s="358">
        <f t="shared" ref="BF72:BF81" si="138">IF(AND(F72&lt;&gt;0,O72=""),1,0)</f>
        <v>0</v>
      </c>
      <c r="BG72" s="358">
        <f t="shared" ref="BG72:BG81" si="139">IF(AND(E72&lt;&gt;0,Q72=""),1,0)</f>
        <v>0</v>
      </c>
      <c r="BH72" s="358">
        <f t="shared" ref="BH72:BH81" si="140">IF(AND(F72&lt;&gt;0,R72=""),1,0)</f>
        <v>0</v>
      </c>
    </row>
    <row r="73" spans="1:60" s="291" customFormat="1" ht="18" customHeight="1" x14ac:dyDescent="0.25">
      <c r="A73" s="1652" t="s">
        <v>1421</v>
      </c>
      <c r="B73" s="2433" t="s">
        <v>426</v>
      </c>
      <c r="C73" s="2434"/>
      <c r="D73" s="382" t="s">
        <v>1550</v>
      </c>
      <c r="E73" s="383" t="s">
        <v>1551</v>
      </c>
      <c r="F73" s="382" t="s">
        <v>1552</v>
      </c>
      <c r="G73" s="386" t="s">
        <v>1553</v>
      </c>
      <c r="H73" s="244" t="s">
        <v>1554</v>
      </c>
      <c r="I73" s="245" t="s">
        <v>1555</v>
      </c>
      <c r="J73" s="386" t="s">
        <v>1556</v>
      </c>
      <c r="K73" s="244" t="s">
        <v>1557</v>
      </c>
      <c r="L73" s="268" t="s">
        <v>1558</v>
      </c>
      <c r="M73" s="1284" t="s">
        <v>1559</v>
      </c>
      <c r="N73" s="244" t="s">
        <v>1560</v>
      </c>
      <c r="O73" s="245" t="s">
        <v>1561</v>
      </c>
      <c r="P73" s="386" t="s">
        <v>1562</v>
      </c>
      <c r="Q73" s="244" t="s">
        <v>1563</v>
      </c>
      <c r="R73" s="245" t="s">
        <v>1564</v>
      </c>
      <c r="S73" s="351" t="str">
        <f t="shared" ref="S73:S80" si="141">$AN73&amp;AO73&amp;AP73&amp;AQ73 &amp; AR73 &amp; AS73 &amp; AT73 &amp; AU73</f>
        <v xml:space="preserve">* La celda Pueblos Originarios / Hombre debe ser menor o igual al Total Gineco/urologico/sexualidad - Hombre. * La celda Pueblos Originarios / Mujer debe ser menor o igual al Total Gineco/urologico/sexualidad / Mujer . * La celda Población Migrantes / Hombre debe ser menor o igual al Total Gineco/urologico/sexualidad - Hombre. * La celda Población Migrantes / Mujer debe ser menor o igual al Total Gineco/urologico/sexualidad - Mujer. </v>
      </c>
      <c r="AB73" s="175"/>
      <c r="AC73" s="175"/>
      <c r="AD73" s="175"/>
      <c r="AE73" s="175"/>
      <c r="AF73" s="175"/>
      <c r="AG73" s="175"/>
      <c r="AH73" s="175"/>
      <c r="AI73" s="175"/>
      <c r="AJ73" s="175"/>
      <c r="AK73" s="175"/>
      <c r="AL73" s="175"/>
      <c r="AM73" s="175"/>
      <c r="AN73" s="348" t="str">
        <f t="shared" ref="AN73:AN81" si="142">IF(AND($E73&lt;&gt;0,$N73=""),"* No olvide escribir en la celda de Pueblos Originarios / Hombre (Digite CERO si no tiene).  ","")</f>
        <v/>
      </c>
      <c r="AO73" s="348" t="str">
        <f t="shared" ref="AO73:AO81" si="143">IF(AND($F73&lt;&gt;0,$O73=""),"* No olvide escribir en la celda de Pueblos Originarios Mujer (Digite CERO si no tiene).  ","")</f>
        <v/>
      </c>
      <c r="AP73" s="348" t="str">
        <f t="shared" ref="AP73:AP81" si="144">IF(AND($E73&lt;&gt;0,$Q73=""),"* No olvide escribir en la celda de Población Migrantes / Hombre (Digite CERO si no tiene). ","")</f>
        <v/>
      </c>
      <c r="AQ73" s="348" t="str">
        <f t="shared" ref="AQ73:AQ81" si="145">IF(AND($F73&lt;&gt;0,$R73=""),"* No olvide escribir en la celda de Población Migrantes / Mujer (Digite CERO si no tiene). ","")</f>
        <v/>
      </c>
      <c r="AR73" s="348" t="str">
        <f t="shared" ref="AR73:AR81" si="146">IF(($N73)&gt;$E73,"* La celda Pueblos Originarios / Hombre debe ser menor o igual al Total Gineco/urologico/sexualidad - Hombre. ","")</f>
        <v xml:space="preserve">* La celda Pueblos Originarios / Hombre debe ser menor o igual al Total Gineco/urologico/sexualidad - Hombre. </v>
      </c>
      <c r="AS73" s="348" t="str">
        <f t="shared" ref="AS73:AS81" si="147">IF($O73&gt;$F73,"* La celda Pueblos Originarios / Mujer debe ser menor o igual al Total Gineco/urologico/sexualidad / Mujer . ","")</f>
        <v xml:space="preserve">* La celda Pueblos Originarios / Mujer debe ser menor o igual al Total Gineco/urologico/sexualidad / Mujer . </v>
      </c>
      <c r="AT73" s="348" t="str">
        <f t="shared" ref="AT73:AT81" si="148">IF(($Q73)&gt;$E73,"* La celda Población Migrantes / Hombre debe ser menor o igual al Total Gineco/urologico/sexualidad - Hombre. ","")</f>
        <v xml:space="preserve">* La celda Población Migrantes / Hombre debe ser menor o igual al Total Gineco/urologico/sexualidad - Hombre. </v>
      </c>
      <c r="AU73" s="348" t="str">
        <f t="shared" ref="AU73:AU81" si="149">IF($R73&gt;$F73,"* La celda Población Migrantes / Mujer debe ser menor o igual al Total Gineco/urologico/sexualidad - Mujer. ","")</f>
        <v xml:space="preserve">* La celda Población Migrantes / Mujer debe ser menor o igual al Total Gineco/urologico/sexualidad - Mujer. </v>
      </c>
      <c r="AV73" s="354"/>
      <c r="AW73" s="354"/>
      <c r="AX73" s="354"/>
      <c r="AY73" s="354"/>
      <c r="AZ73" s="354"/>
      <c r="BA73" s="358">
        <f t="shared" si="133"/>
        <v>1</v>
      </c>
      <c r="BB73" s="358">
        <f t="shared" si="134"/>
        <v>1</v>
      </c>
      <c r="BC73" s="358">
        <f t="shared" si="135"/>
        <v>1</v>
      </c>
      <c r="BD73" s="358">
        <f t="shared" si="136"/>
        <v>1</v>
      </c>
      <c r="BE73" s="358">
        <f t="shared" si="137"/>
        <v>0</v>
      </c>
      <c r="BF73" s="358">
        <f t="shared" si="138"/>
        <v>0</v>
      </c>
      <c r="BG73" s="358">
        <f t="shared" si="139"/>
        <v>0</v>
      </c>
      <c r="BH73" s="358">
        <f t="shared" si="140"/>
        <v>0</v>
      </c>
    </row>
    <row r="74" spans="1:60" s="291" customFormat="1" ht="18" customHeight="1" x14ac:dyDescent="0.25">
      <c r="A74" s="1652" t="s">
        <v>1422</v>
      </c>
      <c r="B74" s="2433" t="s">
        <v>427</v>
      </c>
      <c r="C74" s="2434"/>
      <c r="D74" s="382" t="s">
        <v>1550</v>
      </c>
      <c r="E74" s="383" t="s">
        <v>1551</v>
      </c>
      <c r="F74" s="382" t="s">
        <v>1552</v>
      </c>
      <c r="G74" s="386" t="s">
        <v>1553</v>
      </c>
      <c r="H74" s="244" t="s">
        <v>1554</v>
      </c>
      <c r="I74" s="245" t="s">
        <v>1555</v>
      </c>
      <c r="J74" s="386" t="s">
        <v>1556</v>
      </c>
      <c r="K74" s="244" t="s">
        <v>1557</v>
      </c>
      <c r="L74" s="268" t="s">
        <v>1558</v>
      </c>
      <c r="M74" s="1284" t="s">
        <v>1559</v>
      </c>
      <c r="N74" s="244" t="s">
        <v>1560</v>
      </c>
      <c r="O74" s="245" t="s">
        <v>1561</v>
      </c>
      <c r="P74" s="386" t="s">
        <v>1562</v>
      </c>
      <c r="Q74" s="244" t="s">
        <v>1563</v>
      </c>
      <c r="R74" s="245" t="s">
        <v>1564</v>
      </c>
      <c r="S74" s="351" t="str">
        <f t="shared" si="141"/>
        <v xml:space="preserve">* La celda Pueblos Originarios / Hombre debe ser menor o igual al Total Gineco/urologico/sexualidad - Hombre. * La celda Pueblos Originarios / Mujer debe ser menor o igual al Total Gineco/urologico/sexualidad / Mujer . * La celda Población Migrantes / Hombre debe ser menor o igual al Total Gineco/urologico/sexualidad - Hombre. * La celda Población Migrantes / Mujer debe ser menor o igual al Total Gineco/urologico/sexualidad - Mujer. </v>
      </c>
      <c r="AB74" s="175"/>
      <c r="AC74" s="175"/>
      <c r="AD74" s="175"/>
      <c r="AE74" s="175"/>
      <c r="AF74" s="175"/>
      <c r="AG74" s="175"/>
      <c r="AH74" s="175"/>
      <c r="AI74" s="175"/>
      <c r="AJ74" s="175"/>
      <c r="AK74" s="175"/>
      <c r="AL74" s="175"/>
      <c r="AM74" s="175"/>
      <c r="AN74" s="348" t="str">
        <f t="shared" si="142"/>
        <v/>
      </c>
      <c r="AO74" s="348" t="str">
        <f t="shared" si="143"/>
        <v/>
      </c>
      <c r="AP74" s="348" t="str">
        <f t="shared" si="144"/>
        <v/>
      </c>
      <c r="AQ74" s="348" t="str">
        <f t="shared" si="145"/>
        <v/>
      </c>
      <c r="AR74" s="348" t="str">
        <f t="shared" si="146"/>
        <v xml:space="preserve">* La celda Pueblos Originarios / Hombre debe ser menor o igual al Total Gineco/urologico/sexualidad - Hombre. </v>
      </c>
      <c r="AS74" s="348" t="str">
        <f t="shared" si="147"/>
        <v xml:space="preserve">* La celda Pueblos Originarios / Mujer debe ser menor o igual al Total Gineco/urologico/sexualidad / Mujer . </v>
      </c>
      <c r="AT74" s="348" t="str">
        <f t="shared" si="148"/>
        <v xml:space="preserve">* La celda Población Migrantes / Hombre debe ser menor o igual al Total Gineco/urologico/sexualidad - Hombre. </v>
      </c>
      <c r="AU74" s="348" t="str">
        <f t="shared" si="149"/>
        <v xml:space="preserve">* La celda Población Migrantes / Mujer debe ser menor o igual al Total Gineco/urologico/sexualidad - Mujer. </v>
      </c>
      <c r="AV74" s="354"/>
      <c r="AW74" s="354"/>
      <c r="AX74" s="354"/>
      <c r="AY74" s="354"/>
      <c r="AZ74" s="354"/>
      <c r="BA74" s="358">
        <f t="shared" si="133"/>
        <v>1</v>
      </c>
      <c r="BB74" s="358">
        <f t="shared" si="134"/>
        <v>1</v>
      </c>
      <c r="BC74" s="358">
        <f t="shared" si="135"/>
        <v>1</v>
      </c>
      <c r="BD74" s="358">
        <f t="shared" si="136"/>
        <v>1</v>
      </c>
      <c r="BE74" s="358">
        <f t="shared" si="137"/>
        <v>0</v>
      </c>
      <c r="BF74" s="358">
        <f t="shared" si="138"/>
        <v>0</v>
      </c>
      <c r="BG74" s="358">
        <f t="shared" si="139"/>
        <v>0</v>
      </c>
      <c r="BH74" s="358">
        <f t="shared" si="140"/>
        <v>0</v>
      </c>
    </row>
    <row r="75" spans="1:60" s="291" customFormat="1" ht="18" customHeight="1" x14ac:dyDescent="0.3">
      <c r="A75" s="1652" t="s">
        <v>1423</v>
      </c>
      <c r="B75" s="2440" t="s">
        <v>428</v>
      </c>
      <c r="C75" s="2440"/>
      <c r="D75" s="382" t="s">
        <v>1550</v>
      </c>
      <c r="E75" s="383" t="s">
        <v>1551</v>
      </c>
      <c r="F75" s="382" t="s">
        <v>1552</v>
      </c>
      <c r="G75" s="386" t="s">
        <v>1553</v>
      </c>
      <c r="H75" s="244" t="s">
        <v>1554</v>
      </c>
      <c r="I75" s="245" t="s">
        <v>1555</v>
      </c>
      <c r="J75" s="386" t="s">
        <v>1556</v>
      </c>
      <c r="K75" s="244" t="s">
        <v>1557</v>
      </c>
      <c r="L75" s="268" t="s">
        <v>1558</v>
      </c>
      <c r="M75" s="1284" t="s">
        <v>1559</v>
      </c>
      <c r="N75" s="244" t="s">
        <v>1560</v>
      </c>
      <c r="O75" s="245" t="s">
        <v>1561</v>
      </c>
      <c r="P75" s="386" t="s">
        <v>1562</v>
      </c>
      <c r="Q75" s="244" t="s">
        <v>1563</v>
      </c>
      <c r="R75" s="245" t="s">
        <v>1564</v>
      </c>
      <c r="S75" s="351" t="str">
        <f t="shared" si="141"/>
        <v xml:space="preserve">* La celda Pueblos Originarios / Hombre debe ser menor o igual al Total Gineco/urologico/sexualidad - Hombre. * La celda Pueblos Originarios / Mujer debe ser menor o igual al Total Gineco/urologico/sexualidad / Mujer . * La celda Población Migrantes / Hombre debe ser menor o igual al Total Gineco/urologico/sexualidad - Hombre. * La celda Población Migrantes / Mujer debe ser menor o igual al Total Gineco/urologico/sexualidad - Mujer. </v>
      </c>
      <c r="T75" s="960"/>
      <c r="AB75" s="175"/>
      <c r="AC75" s="175"/>
      <c r="AD75" s="175"/>
      <c r="AE75" s="175"/>
      <c r="AF75" s="175"/>
      <c r="AG75" s="175"/>
      <c r="AH75" s="175"/>
      <c r="AI75" s="175"/>
      <c r="AJ75" s="175"/>
      <c r="AK75" s="175"/>
      <c r="AL75" s="175"/>
      <c r="AM75" s="175"/>
      <c r="AN75" s="348" t="str">
        <f t="shared" si="142"/>
        <v/>
      </c>
      <c r="AO75" s="348" t="str">
        <f t="shared" si="143"/>
        <v/>
      </c>
      <c r="AP75" s="348" t="str">
        <f t="shared" si="144"/>
        <v/>
      </c>
      <c r="AQ75" s="348" t="str">
        <f t="shared" si="145"/>
        <v/>
      </c>
      <c r="AR75" s="348" t="str">
        <f t="shared" si="146"/>
        <v xml:space="preserve">* La celda Pueblos Originarios / Hombre debe ser menor o igual al Total Gineco/urologico/sexualidad - Hombre. </v>
      </c>
      <c r="AS75" s="348" t="str">
        <f t="shared" si="147"/>
        <v xml:space="preserve">* La celda Pueblos Originarios / Mujer debe ser menor o igual al Total Gineco/urologico/sexualidad / Mujer . </v>
      </c>
      <c r="AT75" s="348" t="str">
        <f t="shared" si="148"/>
        <v xml:space="preserve">* La celda Población Migrantes / Hombre debe ser menor o igual al Total Gineco/urologico/sexualidad - Hombre. </v>
      </c>
      <c r="AU75" s="348" t="str">
        <f t="shared" si="149"/>
        <v xml:space="preserve">* La celda Población Migrantes / Mujer debe ser menor o igual al Total Gineco/urologico/sexualidad - Mujer. </v>
      </c>
      <c r="AV75" s="354"/>
      <c r="AW75" s="354"/>
      <c r="AX75" s="354"/>
      <c r="AY75" s="354"/>
      <c r="AZ75" s="354"/>
      <c r="BA75" s="358">
        <f t="shared" si="133"/>
        <v>1</v>
      </c>
      <c r="BB75" s="358">
        <f t="shared" si="134"/>
        <v>1</v>
      </c>
      <c r="BC75" s="358">
        <f t="shared" si="135"/>
        <v>1</v>
      </c>
      <c r="BD75" s="358">
        <f t="shared" si="136"/>
        <v>1</v>
      </c>
      <c r="BE75" s="358">
        <f t="shared" si="137"/>
        <v>0</v>
      </c>
      <c r="BF75" s="358">
        <f t="shared" si="138"/>
        <v>0</v>
      </c>
      <c r="BG75" s="358">
        <f t="shared" si="139"/>
        <v>0</v>
      </c>
      <c r="BH75" s="358">
        <f t="shared" si="140"/>
        <v>0</v>
      </c>
    </row>
    <row r="76" spans="1:60" s="291" customFormat="1" ht="18" customHeight="1" x14ac:dyDescent="0.25">
      <c r="A76" s="1652" t="s">
        <v>1424</v>
      </c>
      <c r="B76" s="2048" t="s">
        <v>429</v>
      </c>
      <c r="C76" s="2049"/>
      <c r="D76" s="386" t="s">
        <v>1550</v>
      </c>
      <c r="E76" s="392" t="s">
        <v>1551</v>
      </c>
      <c r="F76" s="386" t="s">
        <v>1552</v>
      </c>
      <c r="G76" s="386" t="s">
        <v>1553</v>
      </c>
      <c r="H76" s="244" t="s">
        <v>1554</v>
      </c>
      <c r="I76" s="245" t="s">
        <v>1555</v>
      </c>
      <c r="J76" s="386" t="s">
        <v>1556</v>
      </c>
      <c r="K76" s="244" t="s">
        <v>1557</v>
      </c>
      <c r="L76" s="268" t="s">
        <v>1558</v>
      </c>
      <c r="M76" s="1284" t="s">
        <v>1559</v>
      </c>
      <c r="N76" s="244" t="s">
        <v>1560</v>
      </c>
      <c r="O76" s="245" t="s">
        <v>1561</v>
      </c>
      <c r="P76" s="386" t="s">
        <v>1562</v>
      </c>
      <c r="Q76" s="244" t="s">
        <v>1563</v>
      </c>
      <c r="R76" s="245" t="s">
        <v>1564</v>
      </c>
      <c r="S76" s="351" t="str">
        <f t="shared" si="141"/>
        <v xml:space="preserve">* La celda Pueblos Originarios / Hombre debe ser menor o igual al Total Gineco/urologico/sexualidad - Hombre. * La celda Pueblos Originarios / Mujer debe ser menor o igual al Total Gineco/urologico/sexualidad / Mujer . * La celda Población Migrantes / Hombre debe ser menor o igual al Total Gineco/urologico/sexualidad - Hombre. * La celda Población Migrantes / Mujer debe ser menor o igual al Total Gineco/urologico/sexualidad - Mujer. </v>
      </c>
      <c r="AB76" s="175"/>
      <c r="AC76" s="175"/>
      <c r="AD76" s="175"/>
      <c r="AE76" s="175"/>
      <c r="AF76" s="175"/>
      <c r="AG76" s="175"/>
      <c r="AH76" s="175"/>
      <c r="AI76" s="175"/>
      <c r="AJ76" s="175"/>
      <c r="AK76" s="175"/>
      <c r="AL76" s="175"/>
      <c r="AM76" s="175"/>
      <c r="AN76" s="348" t="str">
        <f t="shared" si="142"/>
        <v/>
      </c>
      <c r="AO76" s="348" t="str">
        <f t="shared" si="143"/>
        <v/>
      </c>
      <c r="AP76" s="348" t="str">
        <f t="shared" si="144"/>
        <v/>
      </c>
      <c r="AQ76" s="348" t="str">
        <f t="shared" si="145"/>
        <v/>
      </c>
      <c r="AR76" s="348" t="str">
        <f t="shared" si="146"/>
        <v xml:space="preserve">* La celda Pueblos Originarios / Hombre debe ser menor o igual al Total Gineco/urologico/sexualidad - Hombre. </v>
      </c>
      <c r="AS76" s="348" t="str">
        <f t="shared" si="147"/>
        <v xml:space="preserve">* La celda Pueblos Originarios / Mujer debe ser menor o igual al Total Gineco/urologico/sexualidad / Mujer . </v>
      </c>
      <c r="AT76" s="348" t="str">
        <f t="shared" si="148"/>
        <v xml:space="preserve">* La celda Población Migrantes / Hombre debe ser menor o igual al Total Gineco/urologico/sexualidad - Hombre. </v>
      </c>
      <c r="AU76" s="348" t="str">
        <f t="shared" si="149"/>
        <v xml:space="preserve">* La celda Población Migrantes / Mujer debe ser menor o igual al Total Gineco/urologico/sexualidad - Mujer. </v>
      </c>
      <c r="AV76" s="354"/>
      <c r="AW76" s="354"/>
      <c r="AX76" s="354"/>
      <c r="AY76" s="354"/>
      <c r="AZ76" s="354"/>
      <c r="BA76" s="358">
        <f t="shared" si="133"/>
        <v>1</v>
      </c>
      <c r="BB76" s="358">
        <f t="shared" si="134"/>
        <v>1</v>
      </c>
      <c r="BC76" s="358">
        <f t="shared" si="135"/>
        <v>1</v>
      </c>
      <c r="BD76" s="358">
        <f t="shared" si="136"/>
        <v>1</v>
      </c>
      <c r="BE76" s="358">
        <f t="shared" si="137"/>
        <v>0</v>
      </c>
      <c r="BF76" s="358">
        <f t="shared" si="138"/>
        <v>0</v>
      </c>
      <c r="BG76" s="358">
        <f t="shared" si="139"/>
        <v>0</v>
      </c>
      <c r="BH76" s="358">
        <f t="shared" si="140"/>
        <v>0</v>
      </c>
    </row>
    <row r="77" spans="1:60" s="291" customFormat="1" ht="18" customHeight="1" x14ac:dyDescent="0.25">
      <c r="A77" s="1652" t="s">
        <v>1425</v>
      </c>
      <c r="B77" s="2433" t="s">
        <v>430</v>
      </c>
      <c r="C77" s="2434"/>
      <c r="D77" s="382" t="s">
        <v>1550</v>
      </c>
      <c r="E77" s="383" t="s">
        <v>1551</v>
      </c>
      <c r="F77" s="382" t="s">
        <v>1552</v>
      </c>
      <c r="G77" s="386" t="s">
        <v>1553</v>
      </c>
      <c r="H77" s="244" t="s">
        <v>1554</v>
      </c>
      <c r="I77" s="245" t="s">
        <v>1555</v>
      </c>
      <c r="J77" s="386" t="s">
        <v>1556</v>
      </c>
      <c r="K77" s="244" t="s">
        <v>1557</v>
      </c>
      <c r="L77" s="268" t="s">
        <v>1558</v>
      </c>
      <c r="M77" s="1284" t="s">
        <v>1559</v>
      </c>
      <c r="N77" s="244" t="s">
        <v>1560</v>
      </c>
      <c r="O77" s="245" t="s">
        <v>1561</v>
      </c>
      <c r="P77" s="386" t="s">
        <v>1562</v>
      </c>
      <c r="Q77" s="244" t="s">
        <v>1563</v>
      </c>
      <c r="R77" s="245" t="s">
        <v>1564</v>
      </c>
      <c r="S77" s="351" t="str">
        <f t="shared" si="141"/>
        <v xml:space="preserve">* La celda Pueblos Originarios / Hombre debe ser menor o igual al Total Gineco/urologico/sexualidad - Hombre. * La celda Pueblos Originarios / Mujer debe ser menor o igual al Total Gineco/urologico/sexualidad / Mujer . * La celda Población Migrantes / Hombre debe ser menor o igual al Total Gineco/urologico/sexualidad - Hombre. * La celda Población Migrantes / Mujer debe ser menor o igual al Total Gineco/urologico/sexualidad - Mujer. </v>
      </c>
      <c r="AB77" s="175"/>
      <c r="AC77" s="175"/>
      <c r="AD77" s="175"/>
      <c r="AE77" s="175"/>
      <c r="AF77" s="175"/>
      <c r="AG77" s="175"/>
      <c r="AH77" s="175"/>
      <c r="AI77" s="175"/>
      <c r="AJ77" s="175"/>
      <c r="AK77" s="175"/>
      <c r="AL77" s="175"/>
      <c r="AM77" s="175"/>
      <c r="AN77" s="348" t="str">
        <f t="shared" si="142"/>
        <v/>
      </c>
      <c r="AO77" s="348" t="str">
        <f t="shared" si="143"/>
        <v/>
      </c>
      <c r="AP77" s="348" t="str">
        <f t="shared" si="144"/>
        <v/>
      </c>
      <c r="AQ77" s="348" t="str">
        <f t="shared" si="145"/>
        <v/>
      </c>
      <c r="AR77" s="348" t="str">
        <f t="shared" si="146"/>
        <v xml:space="preserve">* La celda Pueblos Originarios / Hombre debe ser menor o igual al Total Gineco/urologico/sexualidad - Hombre. </v>
      </c>
      <c r="AS77" s="348" t="str">
        <f t="shared" si="147"/>
        <v xml:space="preserve">* La celda Pueblos Originarios / Mujer debe ser menor o igual al Total Gineco/urologico/sexualidad / Mujer . </v>
      </c>
      <c r="AT77" s="348" t="str">
        <f t="shared" si="148"/>
        <v xml:space="preserve">* La celda Población Migrantes / Hombre debe ser menor o igual al Total Gineco/urologico/sexualidad - Hombre. </v>
      </c>
      <c r="AU77" s="348" t="str">
        <f t="shared" si="149"/>
        <v xml:space="preserve">* La celda Población Migrantes / Mujer debe ser menor o igual al Total Gineco/urologico/sexualidad - Mujer. </v>
      </c>
      <c r="AV77" s="354"/>
      <c r="AW77" s="354"/>
      <c r="AX77" s="354"/>
      <c r="AY77" s="354"/>
      <c r="AZ77" s="354"/>
      <c r="BA77" s="358">
        <f t="shared" si="133"/>
        <v>1</v>
      </c>
      <c r="BB77" s="358">
        <f t="shared" si="134"/>
        <v>1</v>
      </c>
      <c r="BC77" s="358">
        <f t="shared" si="135"/>
        <v>1</v>
      </c>
      <c r="BD77" s="358">
        <f t="shared" si="136"/>
        <v>1</v>
      </c>
      <c r="BE77" s="358">
        <f t="shared" si="137"/>
        <v>0</v>
      </c>
      <c r="BF77" s="358">
        <f t="shared" si="138"/>
        <v>0</v>
      </c>
      <c r="BG77" s="358">
        <f t="shared" si="139"/>
        <v>0</v>
      </c>
      <c r="BH77" s="358">
        <f t="shared" si="140"/>
        <v>0</v>
      </c>
    </row>
    <row r="78" spans="1:60" s="291" customFormat="1" ht="18" customHeight="1" x14ac:dyDescent="0.3">
      <c r="A78" s="1652" t="s">
        <v>1426</v>
      </c>
      <c r="B78" s="2440" t="s">
        <v>431</v>
      </c>
      <c r="C78" s="2440"/>
      <c r="D78" s="382" t="s">
        <v>1550</v>
      </c>
      <c r="E78" s="383" t="s">
        <v>1551</v>
      </c>
      <c r="F78" s="382" t="s">
        <v>1552</v>
      </c>
      <c r="G78" s="386" t="s">
        <v>1553</v>
      </c>
      <c r="H78" s="244" t="s">
        <v>1554</v>
      </c>
      <c r="I78" s="245" t="s">
        <v>1555</v>
      </c>
      <c r="J78" s="386" t="s">
        <v>1556</v>
      </c>
      <c r="K78" s="244" t="s">
        <v>1557</v>
      </c>
      <c r="L78" s="268" t="s">
        <v>1558</v>
      </c>
      <c r="M78" s="1284" t="s">
        <v>1559</v>
      </c>
      <c r="N78" s="244" t="s">
        <v>1560</v>
      </c>
      <c r="O78" s="245" t="s">
        <v>1561</v>
      </c>
      <c r="P78" s="386" t="s">
        <v>1562</v>
      </c>
      <c r="Q78" s="244" t="s">
        <v>1563</v>
      </c>
      <c r="R78" s="245" t="s">
        <v>1564</v>
      </c>
      <c r="S78" s="351" t="str">
        <f t="shared" si="141"/>
        <v xml:space="preserve">* La celda Pueblos Originarios / Hombre debe ser menor o igual al Total Gineco/urologico/sexualidad - Hombre. * La celda Pueblos Originarios / Mujer debe ser menor o igual al Total Gineco/urologico/sexualidad / Mujer . * La celda Población Migrantes / Hombre debe ser menor o igual al Total Gineco/urologico/sexualidad - Hombre. * La celda Población Migrantes / Mujer debe ser menor o igual al Total Gineco/urologico/sexualidad - Mujer. </v>
      </c>
      <c r="T78" s="960"/>
      <c r="AB78" s="175"/>
      <c r="AC78" s="175"/>
      <c r="AD78" s="175"/>
      <c r="AE78" s="175"/>
      <c r="AF78" s="175"/>
      <c r="AG78" s="175"/>
      <c r="AH78" s="175"/>
      <c r="AI78" s="175"/>
      <c r="AJ78" s="175"/>
      <c r="AK78" s="175"/>
      <c r="AL78" s="175"/>
      <c r="AM78" s="175"/>
      <c r="AN78" s="348" t="str">
        <f t="shared" si="142"/>
        <v/>
      </c>
      <c r="AO78" s="348" t="str">
        <f t="shared" si="143"/>
        <v/>
      </c>
      <c r="AP78" s="348" t="str">
        <f t="shared" si="144"/>
        <v/>
      </c>
      <c r="AQ78" s="348" t="str">
        <f t="shared" si="145"/>
        <v/>
      </c>
      <c r="AR78" s="348" t="str">
        <f t="shared" si="146"/>
        <v xml:space="preserve">* La celda Pueblos Originarios / Hombre debe ser menor o igual al Total Gineco/urologico/sexualidad - Hombre. </v>
      </c>
      <c r="AS78" s="348" t="str">
        <f t="shared" si="147"/>
        <v xml:space="preserve">* La celda Pueblos Originarios / Mujer debe ser menor o igual al Total Gineco/urologico/sexualidad / Mujer . </v>
      </c>
      <c r="AT78" s="348" t="str">
        <f t="shared" si="148"/>
        <v xml:space="preserve">* La celda Población Migrantes / Hombre debe ser menor o igual al Total Gineco/urologico/sexualidad - Hombre. </v>
      </c>
      <c r="AU78" s="348" t="str">
        <f t="shared" si="149"/>
        <v xml:space="preserve">* La celda Población Migrantes / Mujer debe ser menor o igual al Total Gineco/urologico/sexualidad - Mujer. </v>
      </c>
      <c r="AV78" s="354"/>
      <c r="AW78" s="354"/>
      <c r="AX78" s="354"/>
      <c r="AY78" s="354"/>
      <c r="AZ78" s="354"/>
      <c r="BA78" s="358">
        <f t="shared" si="133"/>
        <v>1</v>
      </c>
      <c r="BB78" s="358">
        <f t="shared" si="134"/>
        <v>1</v>
      </c>
      <c r="BC78" s="358">
        <f t="shared" si="135"/>
        <v>1</v>
      </c>
      <c r="BD78" s="358">
        <f t="shared" si="136"/>
        <v>1</v>
      </c>
      <c r="BE78" s="358">
        <f t="shared" si="137"/>
        <v>0</v>
      </c>
      <c r="BF78" s="358">
        <f t="shared" si="138"/>
        <v>0</v>
      </c>
      <c r="BG78" s="358">
        <f t="shared" si="139"/>
        <v>0</v>
      </c>
      <c r="BH78" s="358">
        <f t="shared" si="140"/>
        <v>0</v>
      </c>
    </row>
    <row r="79" spans="1:60" s="291" customFormat="1" ht="18" customHeight="1" x14ac:dyDescent="0.25">
      <c r="A79" s="1652" t="s">
        <v>1427</v>
      </c>
      <c r="B79" s="2447" t="s">
        <v>432</v>
      </c>
      <c r="C79" s="2448"/>
      <c r="D79" s="382" t="s">
        <v>1550</v>
      </c>
      <c r="E79" s="383" t="s">
        <v>1551</v>
      </c>
      <c r="F79" s="382" t="s">
        <v>1552</v>
      </c>
      <c r="G79" s="386" t="s">
        <v>1553</v>
      </c>
      <c r="H79" s="244" t="s">
        <v>1554</v>
      </c>
      <c r="I79" s="245" t="s">
        <v>1555</v>
      </c>
      <c r="J79" s="386" t="s">
        <v>1556</v>
      </c>
      <c r="K79" s="244" t="s">
        <v>1557</v>
      </c>
      <c r="L79" s="268" t="s">
        <v>1558</v>
      </c>
      <c r="M79" s="1284" t="s">
        <v>1559</v>
      </c>
      <c r="N79" s="244" t="s">
        <v>1560</v>
      </c>
      <c r="O79" s="245" t="s">
        <v>1561</v>
      </c>
      <c r="P79" s="386" t="s">
        <v>1562</v>
      </c>
      <c r="Q79" s="244" t="s">
        <v>1563</v>
      </c>
      <c r="R79" s="245" t="s">
        <v>1564</v>
      </c>
      <c r="S79" s="351" t="str">
        <f t="shared" si="141"/>
        <v xml:space="preserve">* La celda Pueblos Originarios / Hombre debe ser menor o igual al Total Gineco/urologico/sexualidad - Hombre. * La celda Pueblos Originarios / Mujer debe ser menor o igual al Total Gineco/urologico/sexualidad / Mujer . * La celda Población Migrantes / Hombre debe ser menor o igual al Total Gineco/urologico/sexualidad - Hombre. * La celda Población Migrantes / Mujer debe ser menor o igual al Total Gineco/urologico/sexualidad - Mujer. </v>
      </c>
      <c r="AB79" s="175"/>
      <c r="AC79" s="175"/>
      <c r="AD79" s="175"/>
      <c r="AE79" s="175"/>
      <c r="AF79" s="175"/>
      <c r="AG79" s="175"/>
      <c r="AH79" s="175"/>
      <c r="AI79" s="175"/>
      <c r="AJ79" s="175"/>
      <c r="AK79" s="175"/>
      <c r="AL79" s="175"/>
      <c r="AM79" s="175"/>
      <c r="AN79" s="348" t="str">
        <f t="shared" si="142"/>
        <v/>
      </c>
      <c r="AO79" s="348" t="str">
        <f t="shared" si="143"/>
        <v/>
      </c>
      <c r="AP79" s="348" t="str">
        <f t="shared" si="144"/>
        <v/>
      </c>
      <c r="AQ79" s="348" t="str">
        <f t="shared" si="145"/>
        <v/>
      </c>
      <c r="AR79" s="348" t="str">
        <f t="shared" si="146"/>
        <v xml:space="preserve">* La celda Pueblos Originarios / Hombre debe ser menor o igual al Total Gineco/urologico/sexualidad - Hombre. </v>
      </c>
      <c r="AS79" s="348" t="str">
        <f t="shared" si="147"/>
        <v xml:space="preserve">* La celda Pueblos Originarios / Mujer debe ser menor o igual al Total Gineco/urologico/sexualidad / Mujer . </v>
      </c>
      <c r="AT79" s="348" t="str">
        <f t="shared" si="148"/>
        <v xml:space="preserve">* La celda Población Migrantes / Hombre debe ser menor o igual al Total Gineco/urologico/sexualidad - Hombre. </v>
      </c>
      <c r="AU79" s="348" t="str">
        <f t="shared" si="149"/>
        <v xml:space="preserve">* La celda Población Migrantes / Mujer debe ser menor o igual al Total Gineco/urologico/sexualidad - Mujer. </v>
      </c>
      <c r="AV79" s="354"/>
      <c r="AW79" s="354"/>
      <c r="AX79" s="354"/>
      <c r="AY79" s="354"/>
      <c r="AZ79" s="354"/>
      <c r="BA79" s="358">
        <f t="shared" si="133"/>
        <v>1</v>
      </c>
      <c r="BB79" s="358">
        <f t="shared" si="134"/>
        <v>1</v>
      </c>
      <c r="BC79" s="358">
        <f t="shared" si="135"/>
        <v>1</v>
      </c>
      <c r="BD79" s="358">
        <f t="shared" si="136"/>
        <v>1</v>
      </c>
      <c r="BE79" s="358">
        <f t="shared" si="137"/>
        <v>0</v>
      </c>
      <c r="BF79" s="358">
        <f t="shared" si="138"/>
        <v>0</v>
      </c>
      <c r="BG79" s="358">
        <f t="shared" si="139"/>
        <v>0</v>
      </c>
      <c r="BH79" s="358">
        <f t="shared" si="140"/>
        <v>0</v>
      </c>
    </row>
    <row r="80" spans="1:60" s="291" customFormat="1" ht="18" customHeight="1" x14ac:dyDescent="0.25">
      <c r="A80" s="1652" t="s">
        <v>1428</v>
      </c>
      <c r="B80" s="2435" t="s">
        <v>825</v>
      </c>
      <c r="C80" s="2435"/>
      <c r="D80" s="384" t="s">
        <v>1550</v>
      </c>
      <c r="E80" s="383" t="s">
        <v>1551</v>
      </c>
      <c r="F80" s="382" t="s">
        <v>1552</v>
      </c>
      <c r="G80" s="386" t="s">
        <v>1553</v>
      </c>
      <c r="H80" s="244" t="s">
        <v>1554</v>
      </c>
      <c r="I80" s="245" t="s">
        <v>1555</v>
      </c>
      <c r="J80" s="386" t="s">
        <v>1556</v>
      </c>
      <c r="K80" s="244" t="s">
        <v>1557</v>
      </c>
      <c r="L80" s="268" t="s">
        <v>1558</v>
      </c>
      <c r="M80" s="1284" t="s">
        <v>1559</v>
      </c>
      <c r="N80" s="244" t="s">
        <v>1560</v>
      </c>
      <c r="O80" s="245" t="s">
        <v>1561</v>
      </c>
      <c r="P80" s="386" t="s">
        <v>1562</v>
      </c>
      <c r="Q80" s="244" t="s">
        <v>1563</v>
      </c>
      <c r="R80" s="245" t="s">
        <v>1564</v>
      </c>
      <c r="S80" s="351" t="str">
        <f t="shared" si="141"/>
        <v xml:space="preserve">* La celda Pueblos Originarios / Hombre debe ser menor o igual al Total Gineco/urologico/sexualidad - Hombre. * La celda Pueblos Originarios / Mujer debe ser menor o igual al Total Gineco/urologico/sexualidad / Mujer . * La celda Población Migrantes / Hombre debe ser menor o igual al Total Gineco/urologico/sexualidad - Hombre. * La celda Población Migrantes / Mujer debe ser menor o igual al Total Gineco/urologico/sexualidad - Mujer. </v>
      </c>
      <c r="AB80" s="175"/>
      <c r="AC80" s="175"/>
      <c r="AD80" s="175"/>
      <c r="AE80" s="175"/>
      <c r="AF80" s="175"/>
      <c r="AG80" s="175"/>
      <c r="AH80" s="175"/>
      <c r="AI80" s="175"/>
      <c r="AJ80" s="175"/>
      <c r="AK80" s="175"/>
      <c r="AL80" s="175"/>
      <c r="AM80" s="175"/>
      <c r="AN80" s="348" t="str">
        <f t="shared" si="142"/>
        <v/>
      </c>
      <c r="AO80" s="348" t="str">
        <f t="shared" si="143"/>
        <v/>
      </c>
      <c r="AP80" s="348" t="str">
        <f t="shared" si="144"/>
        <v/>
      </c>
      <c r="AQ80" s="348" t="str">
        <f t="shared" si="145"/>
        <v/>
      </c>
      <c r="AR80" s="348" t="str">
        <f t="shared" si="146"/>
        <v xml:space="preserve">* La celda Pueblos Originarios / Hombre debe ser menor o igual al Total Gineco/urologico/sexualidad - Hombre. </v>
      </c>
      <c r="AS80" s="348" t="str">
        <f t="shared" si="147"/>
        <v xml:space="preserve">* La celda Pueblos Originarios / Mujer debe ser menor o igual al Total Gineco/urologico/sexualidad / Mujer . </v>
      </c>
      <c r="AT80" s="348" t="str">
        <f t="shared" si="148"/>
        <v xml:space="preserve">* La celda Población Migrantes / Hombre debe ser menor o igual al Total Gineco/urologico/sexualidad - Hombre. </v>
      </c>
      <c r="AU80" s="348" t="str">
        <f t="shared" si="149"/>
        <v xml:space="preserve">* La celda Población Migrantes / Mujer debe ser menor o igual al Total Gineco/urologico/sexualidad - Mujer. </v>
      </c>
      <c r="AV80" s="354"/>
      <c r="AW80" s="354"/>
      <c r="AX80" s="354"/>
      <c r="AY80" s="354"/>
      <c r="AZ80" s="354"/>
      <c r="BA80" s="358">
        <f t="shared" si="133"/>
        <v>1</v>
      </c>
      <c r="BB80" s="358">
        <f t="shared" si="134"/>
        <v>1</v>
      </c>
      <c r="BC80" s="358">
        <f t="shared" si="135"/>
        <v>1</v>
      </c>
      <c r="BD80" s="358">
        <f t="shared" si="136"/>
        <v>1</v>
      </c>
      <c r="BE80" s="358">
        <f t="shared" si="137"/>
        <v>0</v>
      </c>
      <c r="BF80" s="358">
        <f t="shared" si="138"/>
        <v>0</v>
      </c>
      <c r="BG80" s="358">
        <f t="shared" si="139"/>
        <v>0</v>
      </c>
      <c r="BH80" s="358">
        <f t="shared" si="140"/>
        <v>0</v>
      </c>
    </row>
    <row r="81" spans="1:64" s="291" customFormat="1" ht="23.25" customHeight="1" x14ac:dyDescent="0.25">
      <c r="A81" s="1652" t="s">
        <v>1429</v>
      </c>
      <c r="B81" s="2436" t="s">
        <v>826</v>
      </c>
      <c r="C81" s="2437"/>
      <c r="D81" s="387" t="s">
        <v>1550</v>
      </c>
      <c r="E81" s="388" t="s">
        <v>1551</v>
      </c>
      <c r="F81" s="387" t="s">
        <v>1552</v>
      </c>
      <c r="G81" s="1276" t="s">
        <v>1553</v>
      </c>
      <c r="H81" s="266" t="s">
        <v>1554</v>
      </c>
      <c r="I81" s="267" t="s">
        <v>1555</v>
      </c>
      <c r="J81" s="1276" t="s">
        <v>1556</v>
      </c>
      <c r="K81" s="266" t="s">
        <v>1557</v>
      </c>
      <c r="L81" s="273" t="s">
        <v>1558</v>
      </c>
      <c r="M81" s="1275" t="s">
        <v>1559</v>
      </c>
      <c r="N81" s="266" t="s">
        <v>1560</v>
      </c>
      <c r="O81" s="267" t="s">
        <v>1561</v>
      </c>
      <c r="P81" s="1276" t="s">
        <v>1562</v>
      </c>
      <c r="Q81" s="266" t="s">
        <v>1563</v>
      </c>
      <c r="R81" s="267" t="s">
        <v>1564</v>
      </c>
      <c r="S81" s="351" t="str">
        <f>$AN81&amp;AO81&amp;AP81&amp;AQ81 &amp; AR81 &amp; AS81 &amp; AT81 &amp; AU81</f>
        <v xml:space="preserve">* La celda Pueblos Originarios / Hombre debe ser menor o igual al Total Gineco/urologico/sexualidad - Hombre. * La celda Pueblos Originarios / Mujer debe ser menor o igual al Total Gineco/urologico/sexualidad / Mujer . * La celda Población Migrantes / Hombre debe ser menor o igual al Total Gineco/urologico/sexualidad - Hombre. * La celda Población Migrantes / Mujer debe ser menor o igual al Total Gineco/urologico/sexualidad - Mujer. </v>
      </c>
      <c r="AB81" s="175"/>
      <c r="AC81" s="175"/>
      <c r="AD81" s="175"/>
      <c r="AE81" s="175"/>
      <c r="AF81" s="175"/>
      <c r="AG81" s="175"/>
      <c r="AH81" s="175"/>
      <c r="AI81" s="175"/>
      <c r="AJ81" s="175"/>
      <c r="AK81" s="175"/>
      <c r="AL81" s="175"/>
      <c r="AM81" s="175"/>
      <c r="AN81" s="348" t="str">
        <f t="shared" si="142"/>
        <v/>
      </c>
      <c r="AO81" s="348" t="str">
        <f t="shared" si="143"/>
        <v/>
      </c>
      <c r="AP81" s="348" t="str">
        <f t="shared" si="144"/>
        <v/>
      </c>
      <c r="AQ81" s="348" t="str">
        <f t="shared" si="145"/>
        <v/>
      </c>
      <c r="AR81" s="348" t="str">
        <f t="shared" si="146"/>
        <v xml:space="preserve">* La celda Pueblos Originarios / Hombre debe ser menor o igual al Total Gineco/urologico/sexualidad - Hombre. </v>
      </c>
      <c r="AS81" s="348" t="str">
        <f t="shared" si="147"/>
        <v xml:space="preserve">* La celda Pueblos Originarios / Mujer debe ser menor o igual al Total Gineco/urologico/sexualidad / Mujer . </v>
      </c>
      <c r="AT81" s="348" t="str">
        <f t="shared" si="148"/>
        <v xml:space="preserve">* La celda Población Migrantes / Hombre debe ser menor o igual al Total Gineco/urologico/sexualidad - Hombre. </v>
      </c>
      <c r="AU81" s="348" t="str">
        <f t="shared" si="149"/>
        <v xml:space="preserve">* La celda Población Migrantes / Mujer debe ser menor o igual al Total Gineco/urologico/sexualidad - Mujer. </v>
      </c>
      <c r="AV81" s="354"/>
      <c r="AW81" s="354"/>
      <c r="AX81" s="354"/>
      <c r="AY81" s="354"/>
      <c r="AZ81" s="354"/>
      <c r="BA81" s="358">
        <f t="shared" si="133"/>
        <v>1</v>
      </c>
      <c r="BB81" s="358">
        <f t="shared" si="134"/>
        <v>1</v>
      </c>
      <c r="BC81" s="358">
        <f t="shared" si="135"/>
        <v>1</v>
      </c>
      <c r="BD81" s="358">
        <f t="shared" si="136"/>
        <v>1</v>
      </c>
      <c r="BE81" s="358">
        <f t="shared" si="137"/>
        <v>0</v>
      </c>
      <c r="BF81" s="358">
        <f t="shared" si="138"/>
        <v>0</v>
      </c>
      <c r="BG81" s="358">
        <f t="shared" si="139"/>
        <v>0</v>
      </c>
      <c r="BH81" s="358">
        <f t="shared" si="140"/>
        <v>0</v>
      </c>
    </row>
    <row r="82" spans="1:64" s="291" customFormat="1" ht="24.75" customHeight="1" x14ac:dyDescent="0.2">
      <c r="A82" s="398"/>
      <c r="B82" s="193" t="s">
        <v>881</v>
      </c>
      <c r="G82" s="1289"/>
      <c r="AB82" s="175"/>
      <c r="AC82" s="175"/>
      <c r="AD82" s="175"/>
      <c r="AE82" s="175"/>
      <c r="AF82" s="175"/>
      <c r="AG82" s="175"/>
      <c r="AH82" s="175"/>
      <c r="AI82" s="175"/>
      <c r="AJ82" s="175"/>
      <c r="AK82" s="175"/>
      <c r="AL82" s="175"/>
      <c r="AM82" s="175"/>
      <c r="AN82" s="354"/>
      <c r="AO82" s="354"/>
      <c r="AP82" s="354"/>
      <c r="AQ82" s="354"/>
      <c r="AR82" s="354"/>
      <c r="AS82" s="354"/>
      <c r="AT82" s="354"/>
      <c r="AU82" s="354"/>
      <c r="AV82" s="354"/>
      <c r="AW82" s="354"/>
      <c r="AX82" s="354"/>
      <c r="AY82" s="354"/>
      <c r="AZ82" s="354"/>
      <c r="BA82" s="354"/>
      <c r="BB82" s="354"/>
      <c r="BC82" s="354"/>
      <c r="BD82" s="354"/>
      <c r="BE82" s="354"/>
      <c r="BF82" s="354"/>
      <c r="BG82" s="354"/>
      <c r="BH82" s="354"/>
    </row>
    <row r="83" spans="1:64" s="291" customFormat="1" ht="15" customHeight="1" x14ac:dyDescent="0.2">
      <c r="A83" s="398"/>
      <c r="B83" s="2329" t="s">
        <v>449</v>
      </c>
      <c r="C83" s="2429" t="s">
        <v>368</v>
      </c>
      <c r="D83" s="2429" t="s">
        <v>375</v>
      </c>
      <c r="E83" s="2429"/>
      <c r="F83" s="2430"/>
      <c r="G83" s="2431" t="s">
        <v>841</v>
      </c>
      <c r="H83" s="2429"/>
      <c r="I83" s="2429"/>
      <c r="J83" s="2428" t="s">
        <v>804</v>
      </c>
      <c r="K83" s="2325"/>
      <c r="L83" s="2318"/>
      <c r="M83" s="2325" t="s">
        <v>546</v>
      </c>
      <c r="N83" s="2325"/>
      <c r="O83" s="2318"/>
      <c r="AB83" s="175"/>
      <c r="AC83" s="175"/>
      <c r="AD83" s="175"/>
      <c r="AE83" s="175"/>
      <c r="AF83" s="175"/>
      <c r="AG83" s="175"/>
      <c r="AH83" s="175"/>
      <c r="AI83" s="175"/>
      <c r="AJ83" s="175"/>
      <c r="AK83" s="175"/>
      <c r="AL83" s="175"/>
      <c r="AM83" s="175"/>
      <c r="AN83" s="354"/>
      <c r="AO83" s="354"/>
      <c r="AP83" s="354"/>
      <c r="AQ83" s="354"/>
      <c r="AR83" s="354"/>
      <c r="AS83" s="354"/>
      <c r="AT83" s="354"/>
      <c r="AU83" s="354"/>
      <c r="AV83" s="354"/>
      <c r="AW83" s="354"/>
      <c r="AX83" s="354"/>
      <c r="AY83" s="354"/>
      <c r="AZ83" s="354"/>
      <c r="BA83" s="354"/>
      <c r="BB83" s="354"/>
      <c r="BC83" s="354"/>
      <c r="BD83" s="354"/>
      <c r="BE83" s="354"/>
      <c r="BF83" s="354"/>
      <c r="BG83" s="354"/>
      <c r="BH83" s="354"/>
    </row>
    <row r="84" spans="1:64" s="291" customFormat="1" ht="15" customHeight="1" x14ac:dyDescent="0.2">
      <c r="A84" s="398"/>
      <c r="B84" s="2315"/>
      <c r="C84" s="2429"/>
      <c r="D84" s="2429"/>
      <c r="E84" s="2429"/>
      <c r="F84" s="2430"/>
      <c r="G84" s="2431"/>
      <c r="H84" s="2429"/>
      <c r="I84" s="2429"/>
      <c r="J84" s="2319"/>
      <c r="K84" s="2326"/>
      <c r="L84" s="2320"/>
      <c r="M84" s="2326"/>
      <c r="N84" s="2326"/>
      <c r="O84" s="2320"/>
      <c r="AB84" s="175"/>
      <c r="AC84" s="175"/>
      <c r="AD84" s="175"/>
      <c r="AE84" s="175"/>
      <c r="AF84" s="175"/>
      <c r="AG84" s="175"/>
      <c r="AH84" s="175"/>
      <c r="AI84" s="175"/>
      <c r="AJ84" s="175"/>
      <c r="AK84" s="175"/>
      <c r="AL84" s="175"/>
      <c r="AM84" s="175"/>
      <c r="AN84" s="354"/>
      <c r="AO84" s="354"/>
      <c r="AP84" s="354"/>
      <c r="AQ84" s="354"/>
      <c r="AR84" s="354"/>
      <c r="AS84" s="354"/>
      <c r="AT84" s="354"/>
      <c r="AU84" s="354"/>
      <c r="AV84" s="354"/>
      <c r="AW84" s="354"/>
      <c r="AX84" s="354"/>
      <c r="AY84" s="354"/>
      <c r="AZ84" s="354"/>
      <c r="BA84" s="354"/>
      <c r="BB84" s="354"/>
      <c r="BC84" s="354"/>
      <c r="BD84" s="354"/>
      <c r="BE84" s="354"/>
      <c r="BF84" s="354"/>
      <c r="BG84" s="354"/>
      <c r="BH84" s="354"/>
    </row>
    <row r="85" spans="1:64" s="291" customFormat="1" ht="33" customHeight="1" x14ac:dyDescent="0.2">
      <c r="A85" s="398"/>
      <c r="B85" s="2316"/>
      <c r="C85" s="2429"/>
      <c r="D85" s="176" t="s">
        <v>369</v>
      </c>
      <c r="E85" s="176" t="s">
        <v>416</v>
      </c>
      <c r="F85" s="1253" t="s">
        <v>30</v>
      </c>
      <c r="G85" s="1075" t="s">
        <v>369</v>
      </c>
      <c r="H85" s="176" t="s">
        <v>416</v>
      </c>
      <c r="I85" s="207" t="s">
        <v>30</v>
      </c>
      <c r="J85" s="176" t="s">
        <v>369</v>
      </c>
      <c r="K85" s="176" t="s">
        <v>416</v>
      </c>
      <c r="L85" s="207" t="s">
        <v>30</v>
      </c>
      <c r="M85" s="176" t="s">
        <v>369</v>
      </c>
      <c r="N85" s="176" t="s">
        <v>416</v>
      </c>
      <c r="O85" s="207" t="s">
        <v>30</v>
      </c>
      <c r="AB85" s="175"/>
      <c r="AC85" s="175"/>
      <c r="AD85" s="175"/>
      <c r="AE85" s="175"/>
      <c r="AF85" s="175"/>
      <c r="AG85" s="175"/>
      <c r="AH85" s="175"/>
      <c r="AI85" s="175"/>
      <c r="AJ85" s="175"/>
      <c r="AK85" s="175"/>
      <c r="AL85" s="175"/>
      <c r="AM85" s="175"/>
      <c r="AN85" s="354"/>
      <c r="AO85" s="354"/>
      <c r="AP85" s="354"/>
      <c r="AQ85" s="354"/>
      <c r="AR85" s="354"/>
      <c r="AS85" s="354"/>
      <c r="AT85" s="354"/>
      <c r="AU85" s="354"/>
      <c r="AV85" s="354"/>
      <c r="AW85" s="354"/>
      <c r="AX85" s="354"/>
      <c r="AY85" s="354"/>
      <c r="AZ85" s="354"/>
      <c r="BA85" s="354"/>
      <c r="BB85" s="354"/>
      <c r="BC85" s="354"/>
      <c r="BD85" s="354"/>
      <c r="BE85" s="354"/>
      <c r="BF85" s="354"/>
      <c r="BG85" s="354"/>
      <c r="BH85" s="354"/>
    </row>
    <row r="86" spans="1:64" s="291" customFormat="1" ht="16.5" customHeight="1" x14ac:dyDescent="0.25">
      <c r="A86" s="1652" t="s">
        <v>1430</v>
      </c>
      <c r="B86" s="2453" t="s">
        <v>533</v>
      </c>
      <c r="C86" s="397" t="s">
        <v>523</v>
      </c>
      <c r="D86" s="1290" t="s">
        <v>1550</v>
      </c>
      <c r="E86" s="244" t="s">
        <v>1551</v>
      </c>
      <c r="F86" s="268" t="s">
        <v>1552</v>
      </c>
      <c r="G86" s="1291" t="s">
        <v>1553</v>
      </c>
      <c r="H86" s="244" t="s">
        <v>1554</v>
      </c>
      <c r="I86" s="245" t="s">
        <v>1555</v>
      </c>
      <c r="J86" s="1290" t="s">
        <v>1556</v>
      </c>
      <c r="K86" s="244" t="s">
        <v>1557</v>
      </c>
      <c r="L86" s="245" t="s">
        <v>1558</v>
      </c>
      <c r="M86" s="1292" t="s">
        <v>1559</v>
      </c>
      <c r="N86" s="244" t="s">
        <v>1560</v>
      </c>
      <c r="O86" s="245" t="s">
        <v>1561</v>
      </c>
      <c r="P86" s="351" t="str">
        <f>$AN86&amp;AO86&amp;AP86 &amp; AQ86 &amp; AR86&amp;AS86&amp;AT86 &amp; AU86 &amp; AV86 &amp; AW86&amp;AX86&amp;AY86</f>
        <v xml:space="preserve">* La celda Pueblos Originarios / Hombre debe ser menor o igual al Total de Adolescentes que reciben Consejería  / Hombre. * La celda Pueblos Originarios / Mujer debe ser menor o igual al Total de Adolescentes que reciben Consejería / Mujer. * La celda Población Migrantes / Hombre debe ser menor o igual al Total de Adolescentes que reciben Consejería / Hombre. * La celda Población Migrantes / Mujer debe ser menor o igual al Total de Adolescentes que reciben Consejería / Mujer. * La celda Espacios Amigables / Hombre debe ser menor o igual al Total de Adolescentes que reciben Consejería / Hombre. * La celda Espacios Amigables / Mujer debe ser menor o igual al Total de Adolescentes que reciben Consejería / Mujer . </v>
      </c>
      <c r="AB86" s="175"/>
      <c r="AC86" s="175"/>
      <c r="AD86" s="175"/>
      <c r="AE86" s="175"/>
      <c r="AF86" s="175"/>
      <c r="AG86" s="175"/>
      <c r="AH86" s="175"/>
      <c r="AI86" s="175"/>
      <c r="AJ86" s="175"/>
      <c r="AK86" s="175"/>
      <c r="AL86" s="175"/>
      <c r="AM86" s="175"/>
      <c r="AN86" s="348" t="str">
        <f>IF(AND($E86&lt;&gt;0,$H86=""),"* No olvide escribir en la celda de Pueblos Originarios / Hombre (Digite CERO si no tiene).  ","")</f>
        <v/>
      </c>
      <c r="AO86" s="348" t="str">
        <f>IF(AND($F86&lt;&gt;0,$I86=""),"* No olvide escribir en la celda de Pueblos Originarios / Mujer (Digite CERO si no tiene).  ","")</f>
        <v/>
      </c>
      <c r="AP86" s="348" t="str">
        <f>IF(AND($E86&lt;&gt;0,$K86=""),"* No olvide escribir en la celda de Población Migrantes / Hombre (Digite CERO si no tiene). ","")</f>
        <v/>
      </c>
      <c r="AQ86" s="348" t="str">
        <f>IF(AND($F86&lt;&gt;0,$L86=""),"* No olvide escribir en la celda de Población Migrantes / Mujer (Digite CERO si no tiene). ","")</f>
        <v/>
      </c>
      <c r="AR86" s="348" t="str">
        <f>IF(AND($E86&lt;&gt;0,$N86=""),"* No olvide escribir en la celda Espacios Amigables / Hombre (Digite CERO si no tiene). ","")</f>
        <v/>
      </c>
      <c r="AS86" s="348" t="str">
        <f>IF(AND($F86&lt;&gt;0,$O86=""),"* No olvide escribir en la celda Espacios Amigables / Mujer (Digite CERO si no tiene). ","")</f>
        <v/>
      </c>
      <c r="AT86" s="348" t="str">
        <f>IF(($H86)&gt;$E86,"* La celda Pueblos Originarios / Hombre debe ser menor o igual al Total de Adolescentes que reciben Consejería  / Hombre. ","")</f>
        <v xml:space="preserve">* La celda Pueblos Originarios / Hombre debe ser menor o igual al Total de Adolescentes que reciben Consejería  / Hombre. </v>
      </c>
      <c r="AU86" s="348" t="str">
        <f>IF($I86&gt;$F86,"* La celda Pueblos Originarios / Mujer debe ser menor o igual al Total de Adolescentes que reciben Consejería / Mujer. ","")</f>
        <v xml:space="preserve">* La celda Pueblos Originarios / Mujer debe ser menor o igual al Total de Adolescentes que reciben Consejería / Mujer. </v>
      </c>
      <c r="AV86" s="348" t="str">
        <f>IF(($K86)&gt;$E86,"* La celda Población Migrantes / Hombre debe ser menor o igual al Total de Adolescentes que reciben Consejería / Hombre. ","")</f>
        <v xml:space="preserve">* La celda Población Migrantes / Hombre debe ser menor o igual al Total de Adolescentes que reciben Consejería / Hombre. </v>
      </c>
      <c r="AW86" s="348" t="str">
        <f>IF($L86&gt;$F86,"* La celda Población Migrantes / Mujer debe ser menor o igual al Total de Adolescentes que reciben Consejería / Mujer. ","")</f>
        <v xml:space="preserve">* La celda Población Migrantes / Mujer debe ser menor o igual al Total de Adolescentes que reciben Consejería / Mujer. </v>
      </c>
      <c r="AX86" s="348" t="str">
        <f>IF($N86&gt;$E86,"* La celda Espacios Amigables / Hombre debe ser menor o igual al Total de Adolescentes que reciben Consejería / Hombre. ","")</f>
        <v xml:space="preserve">* La celda Espacios Amigables / Hombre debe ser menor o igual al Total de Adolescentes que reciben Consejería / Hombre. </v>
      </c>
      <c r="AY86" s="348" t="str">
        <f>IF($O86&gt;$F86,"* La celda Espacios Amigables / Mujer debe ser menor o igual al Total de Adolescentes que reciben Consejería / Mujer . ","")</f>
        <v xml:space="preserve">* La celda Espacios Amigables / Mujer debe ser menor o igual al Total de Adolescentes que reciben Consejería / Mujer . </v>
      </c>
      <c r="AZ86" s="354"/>
      <c r="BA86" s="358">
        <f>IF($E86&lt;$H86, 1,0)</f>
        <v>1</v>
      </c>
      <c r="BB86" s="358">
        <f>IF($F86&lt;$I86, 1,0)</f>
        <v>1</v>
      </c>
      <c r="BC86" s="358">
        <f>IF($E86&lt;$K86, 1,0)</f>
        <v>1</v>
      </c>
      <c r="BD86" s="358">
        <f>IF($F86&lt;$L86, 1,0)</f>
        <v>1</v>
      </c>
      <c r="BE86" s="358">
        <f>IF($E86&lt;$N86, 1,0)</f>
        <v>1</v>
      </c>
      <c r="BF86" s="358">
        <f>IF($F86&lt;$O86, 1,0)</f>
        <v>1</v>
      </c>
      <c r="BG86" s="358">
        <f>IF(AND(E86&lt;&gt;0,H86=""),1,0)</f>
        <v>0</v>
      </c>
      <c r="BH86" s="358">
        <f>IF(AND(F86&lt;&gt;0,I86=""),1,0)</f>
        <v>0</v>
      </c>
      <c r="BI86" s="358">
        <f>IF(AND(E86&lt;&gt;0,K86=""),1,0)</f>
        <v>0</v>
      </c>
      <c r="BJ86" s="358">
        <f>IF(AND(F86&lt;&gt;0,L86=""),1,0)</f>
        <v>0</v>
      </c>
      <c r="BK86" s="358">
        <f>IF(AND(E86&lt;&gt;0,N86=""),1,0)</f>
        <v>0</v>
      </c>
      <c r="BL86" s="358">
        <f>IF(AND(F86&lt;&gt;0,O86=""),1,0)</f>
        <v>0</v>
      </c>
    </row>
    <row r="87" spans="1:64" s="291" customFormat="1" ht="16.5" customHeight="1" x14ac:dyDescent="0.25">
      <c r="A87" s="1652" t="s">
        <v>1431</v>
      </c>
      <c r="B87" s="2454"/>
      <c r="C87" s="399" t="s">
        <v>370</v>
      </c>
      <c r="D87" s="1293" t="s">
        <v>1550</v>
      </c>
      <c r="E87" s="254" t="s">
        <v>1551</v>
      </c>
      <c r="F87" s="271" t="s">
        <v>1552</v>
      </c>
      <c r="G87" s="1294" t="s">
        <v>1553</v>
      </c>
      <c r="H87" s="254" t="s">
        <v>1554</v>
      </c>
      <c r="I87" s="255" t="s">
        <v>1555</v>
      </c>
      <c r="J87" s="1293" t="s">
        <v>1556</v>
      </c>
      <c r="K87" s="254" t="s">
        <v>1557</v>
      </c>
      <c r="L87" s="255" t="s">
        <v>1558</v>
      </c>
      <c r="M87" s="1295" t="s">
        <v>1559</v>
      </c>
      <c r="N87" s="254" t="s">
        <v>1560</v>
      </c>
      <c r="O87" s="255" t="s">
        <v>1561</v>
      </c>
      <c r="P87" s="351" t="str">
        <f t="shared" ref="P87:P99" si="150">AN87&amp;AO87&amp;AP87 &amp; AQ87 &amp; AR87&amp;AS87&amp;AT87 &amp; AU87 &amp; AV87 &amp; AW87&amp;AX87&amp;AY87</f>
        <v xml:space="preserve">* La celda Pueblos Originarios / Hombre debe ser menor o igual al Total de Adolescentes que reciben Consejería  / Hombre. * La celda Pueblos Originarios / Mujer debe ser menor o igual al Total de Adolescentes que reciben Consejería / Mujer. * La celda Población Migrantes / Hombre debe ser menor o igual al Total de Adolescentes que reciben Consejería / Hombre. * La celda Población Migrantes / Mujer debe ser menor o igual al Total de Adolescentes que reciben Consejería / Mujer. * La celda Espacios Amigables / Hombre debe ser menor o igual al Total de Adolescentes que reciben Consejería / Hombre. * La celda Espacios Amigables / Mujer debe ser menor o igual al Total de Adolescentes que reciben Consejería / Mujer . </v>
      </c>
      <c r="AB87" s="175"/>
      <c r="AC87" s="175"/>
      <c r="AD87" s="175"/>
      <c r="AE87" s="175"/>
      <c r="AF87" s="175"/>
      <c r="AG87" s="175"/>
      <c r="AH87" s="175"/>
      <c r="AI87" s="175"/>
      <c r="AJ87" s="175"/>
      <c r="AK87" s="175"/>
      <c r="AL87" s="175"/>
      <c r="AM87" s="175"/>
      <c r="AN87" s="348" t="str">
        <f t="shared" ref="AN87:AN99" si="151">IF(AND($E87&lt;&gt;0,$H87=""),"* No olvide escribir en la celda de Pueblos Originarios / Hombre (Digite CERO si no tiene).  ","")</f>
        <v/>
      </c>
      <c r="AO87" s="348" t="str">
        <f t="shared" ref="AO87:AO99" si="152">IF(AND($F87&lt;&gt;0,$I87=""),"* No olvide escribir en la celda de Pueblos Originarios / Mujer (Digite CERO si no tiene).  ","")</f>
        <v/>
      </c>
      <c r="AP87" s="348" t="str">
        <f t="shared" ref="AP87:AP99" si="153">IF(AND($E87&lt;&gt;0,$K87=""),"* No olvide escribir en la celda de Población Migrantes / Hombre (Digite CERO si no tiene). ","")</f>
        <v/>
      </c>
      <c r="AQ87" s="348" t="str">
        <f t="shared" ref="AQ87:AQ99" si="154">IF(AND($F87&lt;&gt;0,$L87=""),"* No olvide escribir en la celda de Población Migrantes / Mujer (Digite CERO si no tiene). ","")</f>
        <v/>
      </c>
      <c r="AR87" s="348" t="str">
        <f t="shared" ref="AR87:AR99" si="155">IF(AND($E87&lt;&gt;0,$N87=""),"* No olvide escribir en la celda Espacios Amigables / Hombre (Digite CERO si no tiene). ","")</f>
        <v/>
      </c>
      <c r="AS87" s="348" t="str">
        <f t="shared" ref="AS87:AS99" si="156">IF(AND($F87&lt;&gt;0,$O87=""),"* No olvide escribir en la celda Espacios Amigables / Mujer (Digite CERO si no tiene). ","")</f>
        <v/>
      </c>
      <c r="AT87" s="348" t="str">
        <f t="shared" ref="AT87:AT99" si="157">IF(($H87)&gt;$E87,"* La celda Pueblos Originarios / Hombre debe ser menor o igual al Total de Adolescentes que reciben Consejería  / Hombre. ","")</f>
        <v xml:space="preserve">* La celda Pueblos Originarios / Hombre debe ser menor o igual al Total de Adolescentes que reciben Consejería  / Hombre. </v>
      </c>
      <c r="AU87" s="348" t="str">
        <f t="shared" ref="AU87:AU99" si="158">IF($I87&gt;$F87,"* La celda Pueblos Originarios / Mujer debe ser menor o igual al Total de Adolescentes que reciben Consejería / Mujer. ","")</f>
        <v xml:space="preserve">* La celda Pueblos Originarios / Mujer debe ser menor o igual al Total de Adolescentes que reciben Consejería / Mujer. </v>
      </c>
      <c r="AV87" s="348" t="str">
        <f t="shared" ref="AV87:AV99" si="159">IF(($K87)&gt;$E87,"* La celda Población Migrantes / Hombre debe ser menor o igual al Total de Adolescentes que reciben Consejería / Hombre. ","")</f>
        <v xml:space="preserve">* La celda Población Migrantes / Hombre debe ser menor o igual al Total de Adolescentes que reciben Consejería / Hombre. </v>
      </c>
      <c r="AW87" s="348" t="str">
        <f t="shared" ref="AW87:AW99" si="160">IF($L87&gt;$F87,"* La celda Población Migrantes / Mujer debe ser menor o igual al Total de Adolescentes que reciben Consejería / Mujer. ","")</f>
        <v xml:space="preserve">* La celda Población Migrantes / Mujer debe ser menor o igual al Total de Adolescentes que reciben Consejería / Mujer. </v>
      </c>
      <c r="AX87" s="348" t="str">
        <f t="shared" ref="AX87:AX99" si="161">IF($N87&gt;$E87,"* La celda Espacios Amigables / Hombre debe ser menor o igual al Total de Adolescentes que reciben Consejería / Hombre. ","")</f>
        <v xml:space="preserve">* La celda Espacios Amigables / Hombre debe ser menor o igual al Total de Adolescentes que reciben Consejería / Hombre. </v>
      </c>
      <c r="AY87" s="348" t="str">
        <f t="shared" ref="AY87:AY99" si="162">IF($O87&gt;$F87,"* La celda Espacios Amigables / Mujer debe ser menor o igual al Total de Adolescentes que reciben Consejería / Mujer . ","")</f>
        <v xml:space="preserve">* La celda Espacios Amigables / Mujer debe ser menor o igual al Total de Adolescentes que reciben Consejería / Mujer . </v>
      </c>
      <c r="AZ87" s="354"/>
      <c r="BA87" s="358">
        <f t="shared" ref="BA87:BA99" si="163">IF($E87&lt;$H87, 1,0)</f>
        <v>1</v>
      </c>
      <c r="BB87" s="358">
        <f t="shared" ref="BB87:BB99" si="164">IF($F87&lt;$I87, 1,0)</f>
        <v>1</v>
      </c>
      <c r="BC87" s="358">
        <f t="shared" ref="BC87:BC99" si="165">IF($E87&lt;$K87, 1,0)</f>
        <v>1</v>
      </c>
      <c r="BD87" s="358">
        <f t="shared" ref="BD87:BD99" si="166">IF($F87&lt;$L87, 1,0)</f>
        <v>1</v>
      </c>
      <c r="BE87" s="358">
        <f t="shared" ref="BE87:BE99" si="167">IF($E87&lt;$N87, 1,0)</f>
        <v>1</v>
      </c>
      <c r="BF87" s="358">
        <f t="shared" ref="BF87:BF99" si="168">IF($F87&lt;$O87, 1,0)</f>
        <v>1</v>
      </c>
      <c r="BG87" s="358">
        <f t="shared" ref="BG87:BG99" si="169">IF(AND(E87&lt;&gt;0,H87=""),1,0)</f>
        <v>0</v>
      </c>
      <c r="BH87" s="358">
        <f t="shared" ref="BH87:BH99" si="170">IF(AND(F87&lt;&gt;0,I87=""),1,0)</f>
        <v>0</v>
      </c>
      <c r="BI87" s="358">
        <f t="shared" ref="BI87:BI99" si="171">IF(AND(E87&lt;&gt;0,K87=""),1,0)</f>
        <v>0</v>
      </c>
      <c r="BJ87" s="358">
        <f t="shared" ref="BJ87:BJ99" si="172">IF(AND(F87&lt;&gt;0,L87=""),1,0)</f>
        <v>0</v>
      </c>
      <c r="BK87" s="358">
        <f t="shared" ref="BK87:BK99" si="173">IF(AND(E87&lt;&gt;0,N87=""),1,0)</f>
        <v>0</v>
      </c>
      <c r="BL87" s="358">
        <f t="shared" ref="BL87:BL99" si="174">IF(AND(F87&lt;&gt;0,O87=""),1,0)</f>
        <v>0</v>
      </c>
    </row>
    <row r="88" spans="1:64" s="291" customFormat="1" ht="16.5" customHeight="1" x14ac:dyDescent="0.3">
      <c r="A88" s="1652" t="s">
        <v>1432</v>
      </c>
      <c r="B88" s="2443" t="s">
        <v>419</v>
      </c>
      <c r="C88" s="397" t="s">
        <v>523</v>
      </c>
      <c r="D88" s="1296" t="s">
        <v>1550</v>
      </c>
      <c r="E88" s="256" t="s">
        <v>1551</v>
      </c>
      <c r="F88" s="272" t="s">
        <v>1552</v>
      </c>
      <c r="G88" s="1282" t="s">
        <v>1553</v>
      </c>
      <c r="H88" s="256" t="s">
        <v>1554</v>
      </c>
      <c r="I88" s="257" t="s">
        <v>1555</v>
      </c>
      <c r="J88" s="1296" t="s">
        <v>1556</v>
      </c>
      <c r="K88" s="256" t="s">
        <v>1557</v>
      </c>
      <c r="L88" s="257" t="s">
        <v>1558</v>
      </c>
      <c r="M88" s="1283" t="s">
        <v>1559</v>
      </c>
      <c r="N88" s="256" t="s">
        <v>1560</v>
      </c>
      <c r="O88" s="257" t="s">
        <v>1561</v>
      </c>
      <c r="P88" s="351" t="str">
        <f t="shared" si="150"/>
        <v xml:space="preserve">* La celda Pueblos Originarios / Hombre debe ser menor o igual al Total de Adolescentes que reciben Consejería  / Hombre. * La celda Pueblos Originarios / Mujer debe ser menor o igual al Total de Adolescentes que reciben Consejería / Mujer. * La celda Población Migrantes / Hombre debe ser menor o igual al Total de Adolescentes que reciben Consejería / Hombre. * La celda Población Migrantes / Mujer debe ser menor o igual al Total de Adolescentes que reciben Consejería / Mujer. * La celda Espacios Amigables / Hombre debe ser menor o igual al Total de Adolescentes que reciben Consejería / Hombre. * La celda Espacios Amigables / Mujer debe ser menor o igual al Total de Adolescentes que reciben Consejería / Mujer . </v>
      </c>
      <c r="Q88" s="960"/>
      <c r="AB88" s="175"/>
      <c r="AC88" s="175"/>
      <c r="AD88" s="175"/>
      <c r="AE88" s="175"/>
      <c r="AF88" s="175"/>
      <c r="AG88" s="175"/>
      <c r="AH88" s="175"/>
      <c r="AI88" s="175"/>
      <c r="AJ88" s="175"/>
      <c r="AK88" s="175"/>
      <c r="AL88" s="175"/>
      <c r="AM88" s="175"/>
      <c r="AN88" s="348" t="str">
        <f t="shared" si="151"/>
        <v/>
      </c>
      <c r="AO88" s="348" t="str">
        <f t="shared" si="152"/>
        <v/>
      </c>
      <c r="AP88" s="348" t="str">
        <f t="shared" si="153"/>
        <v/>
      </c>
      <c r="AQ88" s="348" t="str">
        <f t="shared" si="154"/>
        <v/>
      </c>
      <c r="AR88" s="348" t="str">
        <f t="shared" si="155"/>
        <v/>
      </c>
      <c r="AS88" s="348" t="str">
        <f t="shared" si="156"/>
        <v/>
      </c>
      <c r="AT88" s="348" t="str">
        <f t="shared" si="157"/>
        <v xml:space="preserve">* La celda Pueblos Originarios / Hombre debe ser menor o igual al Total de Adolescentes que reciben Consejería  / Hombre. </v>
      </c>
      <c r="AU88" s="348" t="str">
        <f t="shared" si="158"/>
        <v xml:space="preserve">* La celda Pueblos Originarios / Mujer debe ser menor o igual al Total de Adolescentes que reciben Consejería / Mujer. </v>
      </c>
      <c r="AV88" s="348" t="str">
        <f t="shared" si="159"/>
        <v xml:space="preserve">* La celda Población Migrantes / Hombre debe ser menor o igual al Total de Adolescentes que reciben Consejería / Hombre. </v>
      </c>
      <c r="AW88" s="348" t="str">
        <f t="shared" si="160"/>
        <v xml:space="preserve">* La celda Población Migrantes / Mujer debe ser menor o igual al Total de Adolescentes que reciben Consejería / Mujer. </v>
      </c>
      <c r="AX88" s="348" t="str">
        <f t="shared" si="161"/>
        <v xml:space="preserve">* La celda Espacios Amigables / Hombre debe ser menor o igual al Total de Adolescentes que reciben Consejería / Hombre. </v>
      </c>
      <c r="AY88" s="348" t="str">
        <f t="shared" si="162"/>
        <v xml:space="preserve">* La celda Espacios Amigables / Mujer debe ser menor o igual al Total de Adolescentes que reciben Consejería / Mujer . </v>
      </c>
      <c r="AZ88" s="354"/>
      <c r="BA88" s="358">
        <f t="shared" si="163"/>
        <v>1</v>
      </c>
      <c r="BB88" s="358">
        <f t="shared" si="164"/>
        <v>1</v>
      </c>
      <c r="BC88" s="358">
        <f t="shared" si="165"/>
        <v>1</v>
      </c>
      <c r="BD88" s="358">
        <f t="shared" si="166"/>
        <v>1</v>
      </c>
      <c r="BE88" s="358">
        <f t="shared" si="167"/>
        <v>1</v>
      </c>
      <c r="BF88" s="358">
        <f t="shared" si="168"/>
        <v>1</v>
      </c>
      <c r="BG88" s="358">
        <f t="shared" si="169"/>
        <v>0</v>
      </c>
      <c r="BH88" s="358">
        <f t="shared" si="170"/>
        <v>0</v>
      </c>
      <c r="BI88" s="358">
        <f t="shared" si="171"/>
        <v>0</v>
      </c>
      <c r="BJ88" s="358">
        <f t="shared" si="172"/>
        <v>0</v>
      </c>
      <c r="BK88" s="358">
        <f t="shared" si="173"/>
        <v>0</v>
      </c>
      <c r="BL88" s="358">
        <f t="shared" si="174"/>
        <v>0</v>
      </c>
    </row>
    <row r="89" spans="1:64" s="291" customFormat="1" ht="16.5" customHeight="1" x14ac:dyDescent="0.25">
      <c r="A89" s="1652" t="s">
        <v>1433</v>
      </c>
      <c r="B89" s="2444"/>
      <c r="C89" s="400" t="s">
        <v>370</v>
      </c>
      <c r="D89" s="1297" t="s">
        <v>1550</v>
      </c>
      <c r="E89" s="266" t="s">
        <v>1551</v>
      </c>
      <c r="F89" s="273" t="s">
        <v>1552</v>
      </c>
      <c r="G89" s="1275" t="s">
        <v>1553</v>
      </c>
      <c r="H89" s="266" t="s">
        <v>1554</v>
      </c>
      <c r="I89" s="267" t="s">
        <v>1555</v>
      </c>
      <c r="J89" s="1297" t="s">
        <v>1556</v>
      </c>
      <c r="K89" s="266" t="s">
        <v>1557</v>
      </c>
      <c r="L89" s="267" t="s">
        <v>1558</v>
      </c>
      <c r="M89" s="1276" t="s">
        <v>1559</v>
      </c>
      <c r="N89" s="266" t="s">
        <v>1560</v>
      </c>
      <c r="O89" s="267" t="s">
        <v>1561</v>
      </c>
      <c r="P89" s="351" t="str">
        <f t="shared" si="150"/>
        <v xml:space="preserve">* La celda Pueblos Originarios / Hombre debe ser menor o igual al Total de Adolescentes que reciben Consejería  / Hombre. * La celda Pueblos Originarios / Mujer debe ser menor o igual al Total de Adolescentes que reciben Consejería / Mujer. * La celda Población Migrantes / Hombre debe ser menor o igual al Total de Adolescentes que reciben Consejería / Hombre. * La celda Población Migrantes / Mujer debe ser menor o igual al Total de Adolescentes que reciben Consejería / Mujer. * La celda Espacios Amigables / Hombre debe ser menor o igual al Total de Adolescentes que reciben Consejería / Hombre. * La celda Espacios Amigables / Mujer debe ser menor o igual al Total de Adolescentes que reciben Consejería / Mujer . </v>
      </c>
      <c r="AB89" s="175"/>
      <c r="AC89" s="175"/>
      <c r="AD89" s="175"/>
      <c r="AE89" s="175"/>
      <c r="AF89" s="175"/>
      <c r="AG89" s="175"/>
      <c r="AH89" s="175"/>
      <c r="AI89" s="175"/>
      <c r="AJ89" s="175"/>
      <c r="AK89" s="175"/>
      <c r="AL89" s="175"/>
      <c r="AM89" s="175"/>
      <c r="AN89" s="348" t="str">
        <f t="shared" si="151"/>
        <v/>
      </c>
      <c r="AO89" s="348" t="str">
        <f t="shared" si="152"/>
        <v/>
      </c>
      <c r="AP89" s="348" t="str">
        <f t="shared" si="153"/>
        <v/>
      </c>
      <c r="AQ89" s="348" t="str">
        <f t="shared" si="154"/>
        <v/>
      </c>
      <c r="AR89" s="348" t="str">
        <f t="shared" si="155"/>
        <v/>
      </c>
      <c r="AS89" s="348" t="str">
        <f t="shared" si="156"/>
        <v/>
      </c>
      <c r="AT89" s="348" t="str">
        <f t="shared" si="157"/>
        <v xml:space="preserve">* La celda Pueblos Originarios / Hombre debe ser menor o igual al Total de Adolescentes que reciben Consejería  / Hombre. </v>
      </c>
      <c r="AU89" s="348" t="str">
        <f t="shared" si="158"/>
        <v xml:space="preserve">* La celda Pueblos Originarios / Mujer debe ser menor o igual al Total de Adolescentes que reciben Consejería / Mujer. </v>
      </c>
      <c r="AV89" s="348" t="str">
        <f t="shared" si="159"/>
        <v xml:space="preserve">* La celda Población Migrantes / Hombre debe ser menor o igual al Total de Adolescentes que reciben Consejería / Hombre. </v>
      </c>
      <c r="AW89" s="348" t="str">
        <f t="shared" si="160"/>
        <v xml:space="preserve">* La celda Población Migrantes / Mujer debe ser menor o igual al Total de Adolescentes que reciben Consejería / Mujer. </v>
      </c>
      <c r="AX89" s="348" t="str">
        <f t="shared" si="161"/>
        <v xml:space="preserve">* La celda Espacios Amigables / Hombre debe ser menor o igual al Total de Adolescentes que reciben Consejería / Hombre. </v>
      </c>
      <c r="AY89" s="348" t="str">
        <f t="shared" si="162"/>
        <v xml:space="preserve">* La celda Espacios Amigables / Mujer debe ser menor o igual al Total de Adolescentes que reciben Consejería / Mujer . </v>
      </c>
      <c r="AZ89" s="354"/>
      <c r="BA89" s="358">
        <f t="shared" si="163"/>
        <v>1</v>
      </c>
      <c r="BB89" s="358">
        <f t="shared" si="164"/>
        <v>1</v>
      </c>
      <c r="BC89" s="358">
        <f t="shared" si="165"/>
        <v>1</v>
      </c>
      <c r="BD89" s="358">
        <f t="shared" si="166"/>
        <v>1</v>
      </c>
      <c r="BE89" s="358">
        <f t="shared" si="167"/>
        <v>1</v>
      </c>
      <c r="BF89" s="358">
        <f t="shared" si="168"/>
        <v>1</v>
      </c>
      <c r="BG89" s="358">
        <f t="shared" si="169"/>
        <v>0</v>
      </c>
      <c r="BH89" s="358">
        <f t="shared" si="170"/>
        <v>0</v>
      </c>
      <c r="BI89" s="358">
        <f t="shared" si="171"/>
        <v>0</v>
      </c>
      <c r="BJ89" s="358">
        <f t="shared" si="172"/>
        <v>0</v>
      </c>
      <c r="BK89" s="358">
        <f t="shared" si="173"/>
        <v>0</v>
      </c>
      <c r="BL89" s="358">
        <f t="shared" si="174"/>
        <v>0</v>
      </c>
    </row>
    <row r="90" spans="1:64" s="291" customFormat="1" ht="16.5" customHeight="1" x14ac:dyDescent="0.25">
      <c r="A90" s="1652" t="s">
        <v>1434</v>
      </c>
      <c r="B90" s="2451" t="s">
        <v>420</v>
      </c>
      <c r="C90" s="397" t="s">
        <v>523</v>
      </c>
      <c r="D90" s="1296" t="s">
        <v>1550</v>
      </c>
      <c r="E90" s="256" t="s">
        <v>1551</v>
      </c>
      <c r="F90" s="272" t="s">
        <v>1552</v>
      </c>
      <c r="G90" s="1282" t="s">
        <v>1553</v>
      </c>
      <c r="H90" s="256" t="s">
        <v>1554</v>
      </c>
      <c r="I90" s="257" t="s">
        <v>1555</v>
      </c>
      <c r="J90" s="1296" t="s">
        <v>1556</v>
      </c>
      <c r="K90" s="256" t="s">
        <v>1557</v>
      </c>
      <c r="L90" s="257" t="s">
        <v>1558</v>
      </c>
      <c r="M90" s="1283" t="s">
        <v>1559</v>
      </c>
      <c r="N90" s="256" t="s">
        <v>1560</v>
      </c>
      <c r="O90" s="257" t="s">
        <v>1561</v>
      </c>
      <c r="P90" s="351" t="str">
        <f t="shared" si="150"/>
        <v xml:space="preserve">* La celda Pueblos Originarios / Hombre debe ser menor o igual al Total de Adolescentes que reciben Consejería  / Hombre. * La celda Pueblos Originarios / Mujer debe ser menor o igual al Total de Adolescentes que reciben Consejería / Mujer. * La celda Población Migrantes / Hombre debe ser menor o igual al Total de Adolescentes que reciben Consejería / Hombre. * La celda Población Migrantes / Mujer debe ser menor o igual al Total de Adolescentes que reciben Consejería / Mujer. * La celda Espacios Amigables / Hombre debe ser menor o igual al Total de Adolescentes que reciben Consejería / Hombre. * La celda Espacios Amigables / Mujer debe ser menor o igual al Total de Adolescentes que reciben Consejería / Mujer . </v>
      </c>
      <c r="AB90" s="175"/>
      <c r="AC90" s="175"/>
      <c r="AD90" s="175"/>
      <c r="AE90" s="175"/>
      <c r="AF90" s="175"/>
      <c r="AG90" s="175"/>
      <c r="AH90" s="175"/>
      <c r="AI90" s="175"/>
      <c r="AJ90" s="175"/>
      <c r="AK90" s="175"/>
      <c r="AL90" s="175"/>
      <c r="AM90" s="175"/>
      <c r="AN90" s="348" t="str">
        <f t="shared" si="151"/>
        <v/>
      </c>
      <c r="AO90" s="348" t="str">
        <f t="shared" si="152"/>
        <v/>
      </c>
      <c r="AP90" s="348" t="str">
        <f t="shared" si="153"/>
        <v/>
      </c>
      <c r="AQ90" s="348" t="str">
        <f t="shared" si="154"/>
        <v/>
      </c>
      <c r="AR90" s="348" t="str">
        <f t="shared" si="155"/>
        <v/>
      </c>
      <c r="AS90" s="348" t="str">
        <f t="shared" si="156"/>
        <v/>
      </c>
      <c r="AT90" s="348" t="str">
        <f t="shared" si="157"/>
        <v xml:space="preserve">* La celda Pueblos Originarios / Hombre debe ser menor o igual al Total de Adolescentes que reciben Consejería  / Hombre. </v>
      </c>
      <c r="AU90" s="348" t="str">
        <f t="shared" si="158"/>
        <v xml:space="preserve">* La celda Pueblos Originarios / Mujer debe ser menor o igual al Total de Adolescentes que reciben Consejería / Mujer. </v>
      </c>
      <c r="AV90" s="348" t="str">
        <f t="shared" si="159"/>
        <v xml:space="preserve">* La celda Población Migrantes / Hombre debe ser menor o igual al Total de Adolescentes que reciben Consejería / Hombre. </v>
      </c>
      <c r="AW90" s="348" t="str">
        <f t="shared" si="160"/>
        <v xml:space="preserve">* La celda Población Migrantes / Mujer debe ser menor o igual al Total de Adolescentes que reciben Consejería / Mujer. </v>
      </c>
      <c r="AX90" s="348" t="str">
        <f t="shared" si="161"/>
        <v xml:space="preserve">* La celda Espacios Amigables / Hombre debe ser menor o igual al Total de Adolescentes que reciben Consejería / Hombre. </v>
      </c>
      <c r="AY90" s="348" t="str">
        <f t="shared" si="162"/>
        <v xml:space="preserve">* La celda Espacios Amigables / Mujer debe ser menor o igual al Total de Adolescentes que reciben Consejería / Mujer . </v>
      </c>
      <c r="AZ90" s="354"/>
      <c r="BA90" s="358">
        <f t="shared" si="163"/>
        <v>1</v>
      </c>
      <c r="BB90" s="358">
        <f t="shared" si="164"/>
        <v>1</v>
      </c>
      <c r="BC90" s="358">
        <f t="shared" si="165"/>
        <v>1</v>
      </c>
      <c r="BD90" s="358">
        <f t="shared" si="166"/>
        <v>1</v>
      </c>
      <c r="BE90" s="358">
        <f t="shared" si="167"/>
        <v>1</v>
      </c>
      <c r="BF90" s="358">
        <f t="shared" si="168"/>
        <v>1</v>
      </c>
      <c r="BG90" s="358">
        <f t="shared" si="169"/>
        <v>0</v>
      </c>
      <c r="BH90" s="358">
        <f t="shared" si="170"/>
        <v>0</v>
      </c>
      <c r="BI90" s="358">
        <f t="shared" si="171"/>
        <v>0</v>
      </c>
      <c r="BJ90" s="358">
        <f t="shared" si="172"/>
        <v>0</v>
      </c>
      <c r="BK90" s="358">
        <f t="shared" si="173"/>
        <v>0</v>
      </c>
      <c r="BL90" s="358">
        <f t="shared" si="174"/>
        <v>0</v>
      </c>
    </row>
    <row r="91" spans="1:64" s="291" customFormat="1" ht="16.5" customHeight="1" x14ac:dyDescent="0.3">
      <c r="A91" s="1652" t="s">
        <v>1435</v>
      </c>
      <c r="B91" s="2452"/>
      <c r="C91" s="400" t="s">
        <v>370</v>
      </c>
      <c r="D91" s="1297" t="s">
        <v>1550</v>
      </c>
      <c r="E91" s="266" t="s">
        <v>1551</v>
      </c>
      <c r="F91" s="273" t="s">
        <v>1552</v>
      </c>
      <c r="G91" s="1275" t="s">
        <v>1553</v>
      </c>
      <c r="H91" s="266" t="s">
        <v>1554</v>
      </c>
      <c r="I91" s="267" t="s">
        <v>1555</v>
      </c>
      <c r="J91" s="1297" t="s">
        <v>1556</v>
      </c>
      <c r="K91" s="266" t="s">
        <v>1557</v>
      </c>
      <c r="L91" s="267" t="s">
        <v>1558</v>
      </c>
      <c r="M91" s="1276" t="s">
        <v>1559</v>
      </c>
      <c r="N91" s="266" t="s">
        <v>1560</v>
      </c>
      <c r="O91" s="267" t="s">
        <v>1561</v>
      </c>
      <c r="P91" s="351" t="str">
        <f t="shared" si="150"/>
        <v xml:space="preserve">* La celda Pueblos Originarios / Hombre debe ser menor o igual al Total de Adolescentes que reciben Consejería  / Hombre. * La celda Pueblos Originarios / Mujer debe ser menor o igual al Total de Adolescentes que reciben Consejería / Mujer. * La celda Población Migrantes / Hombre debe ser menor o igual al Total de Adolescentes que reciben Consejería / Hombre. * La celda Población Migrantes / Mujer debe ser menor o igual al Total de Adolescentes que reciben Consejería / Mujer. * La celda Espacios Amigables / Hombre debe ser menor o igual al Total de Adolescentes que reciben Consejería / Hombre. * La celda Espacios Amigables / Mujer debe ser menor o igual al Total de Adolescentes que reciben Consejería / Mujer . </v>
      </c>
      <c r="Q91" s="960"/>
      <c r="AB91" s="175"/>
      <c r="AC91" s="175"/>
      <c r="AD91" s="175"/>
      <c r="AE91" s="175"/>
      <c r="AF91" s="175"/>
      <c r="AG91" s="175"/>
      <c r="AH91" s="175"/>
      <c r="AI91" s="175"/>
      <c r="AJ91" s="175"/>
      <c r="AK91" s="175"/>
      <c r="AL91" s="175"/>
      <c r="AM91" s="175"/>
      <c r="AN91" s="348" t="str">
        <f t="shared" si="151"/>
        <v/>
      </c>
      <c r="AO91" s="348" t="str">
        <f t="shared" si="152"/>
        <v/>
      </c>
      <c r="AP91" s="348" t="str">
        <f t="shared" si="153"/>
        <v/>
      </c>
      <c r="AQ91" s="348" t="str">
        <f t="shared" si="154"/>
        <v/>
      </c>
      <c r="AR91" s="348" t="str">
        <f t="shared" si="155"/>
        <v/>
      </c>
      <c r="AS91" s="348" t="str">
        <f t="shared" si="156"/>
        <v/>
      </c>
      <c r="AT91" s="348" t="str">
        <f t="shared" si="157"/>
        <v xml:space="preserve">* La celda Pueblos Originarios / Hombre debe ser menor o igual al Total de Adolescentes que reciben Consejería  / Hombre. </v>
      </c>
      <c r="AU91" s="348" t="str">
        <f t="shared" si="158"/>
        <v xml:space="preserve">* La celda Pueblos Originarios / Mujer debe ser menor o igual al Total de Adolescentes que reciben Consejería / Mujer. </v>
      </c>
      <c r="AV91" s="348" t="str">
        <f t="shared" si="159"/>
        <v xml:space="preserve">* La celda Población Migrantes / Hombre debe ser menor o igual al Total de Adolescentes que reciben Consejería / Hombre. </v>
      </c>
      <c r="AW91" s="348" t="str">
        <f t="shared" si="160"/>
        <v xml:space="preserve">* La celda Población Migrantes / Mujer debe ser menor o igual al Total de Adolescentes que reciben Consejería / Mujer. </v>
      </c>
      <c r="AX91" s="348" t="str">
        <f t="shared" si="161"/>
        <v xml:space="preserve">* La celda Espacios Amigables / Hombre debe ser menor o igual al Total de Adolescentes que reciben Consejería / Hombre. </v>
      </c>
      <c r="AY91" s="348" t="str">
        <f t="shared" si="162"/>
        <v xml:space="preserve">* La celda Espacios Amigables / Mujer debe ser menor o igual al Total de Adolescentes que reciben Consejería / Mujer . </v>
      </c>
      <c r="AZ91" s="354"/>
      <c r="BA91" s="358">
        <f t="shared" si="163"/>
        <v>1</v>
      </c>
      <c r="BB91" s="358">
        <f t="shared" si="164"/>
        <v>1</v>
      </c>
      <c r="BC91" s="358">
        <f t="shared" si="165"/>
        <v>1</v>
      </c>
      <c r="BD91" s="358">
        <f t="shared" si="166"/>
        <v>1</v>
      </c>
      <c r="BE91" s="358">
        <f t="shared" si="167"/>
        <v>1</v>
      </c>
      <c r="BF91" s="358">
        <f t="shared" si="168"/>
        <v>1</v>
      </c>
      <c r="BG91" s="358">
        <f t="shared" si="169"/>
        <v>0</v>
      </c>
      <c r="BH91" s="358">
        <f t="shared" si="170"/>
        <v>0</v>
      </c>
      <c r="BI91" s="358">
        <f t="shared" si="171"/>
        <v>0</v>
      </c>
      <c r="BJ91" s="358">
        <f t="shared" si="172"/>
        <v>0</v>
      </c>
      <c r="BK91" s="358">
        <f t="shared" si="173"/>
        <v>0</v>
      </c>
      <c r="BL91" s="358">
        <f t="shared" si="174"/>
        <v>0</v>
      </c>
    </row>
    <row r="92" spans="1:64" s="291" customFormat="1" ht="16.5" customHeight="1" x14ac:dyDescent="0.25">
      <c r="A92" s="1652" t="s">
        <v>1436</v>
      </c>
      <c r="B92" s="2443" t="s">
        <v>421</v>
      </c>
      <c r="C92" s="397" t="s">
        <v>523</v>
      </c>
      <c r="D92" s="1296" t="s">
        <v>1550</v>
      </c>
      <c r="E92" s="256" t="s">
        <v>1551</v>
      </c>
      <c r="F92" s="272" t="s">
        <v>1552</v>
      </c>
      <c r="G92" s="1282" t="s">
        <v>1553</v>
      </c>
      <c r="H92" s="256" t="s">
        <v>1554</v>
      </c>
      <c r="I92" s="257" t="s">
        <v>1555</v>
      </c>
      <c r="J92" s="1296" t="s">
        <v>1556</v>
      </c>
      <c r="K92" s="256" t="s">
        <v>1557</v>
      </c>
      <c r="L92" s="257" t="s">
        <v>1558</v>
      </c>
      <c r="M92" s="1283" t="s">
        <v>1559</v>
      </c>
      <c r="N92" s="256" t="s">
        <v>1560</v>
      </c>
      <c r="O92" s="257" t="s">
        <v>1561</v>
      </c>
      <c r="P92" s="351" t="str">
        <f t="shared" si="150"/>
        <v xml:space="preserve">* La celda Pueblos Originarios / Hombre debe ser menor o igual al Total de Adolescentes que reciben Consejería  / Hombre. * La celda Pueblos Originarios / Mujer debe ser menor o igual al Total de Adolescentes que reciben Consejería / Mujer. * La celda Población Migrantes / Hombre debe ser menor o igual al Total de Adolescentes que reciben Consejería / Hombre. * La celda Población Migrantes / Mujer debe ser menor o igual al Total de Adolescentes que reciben Consejería / Mujer. * La celda Espacios Amigables / Hombre debe ser menor o igual al Total de Adolescentes que reciben Consejería / Hombre. * La celda Espacios Amigables / Mujer debe ser menor o igual al Total de Adolescentes que reciben Consejería / Mujer . </v>
      </c>
      <c r="AB92" s="175"/>
      <c r="AC92" s="175"/>
      <c r="AD92" s="175"/>
      <c r="AE92" s="175"/>
      <c r="AF92" s="175"/>
      <c r="AG92" s="175"/>
      <c r="AH92" s="175"/>
      <c r="AI92" s="175"/>
      <c r="AJ92" s="175"/>
      <c r="AK92" s="175"/>
      <c r="AL92" s="175"/>
      <c r="AM92" s="175"/>
      <c r="AN92" s="348" t="str">
        <f t="shared" si="151"/>
        <v/>
      </c>
      <c r="AO92" s="348" t="str">
        <f t="shared" si="152"/>
        <v/>
      </c>
      <c r="AP92" s="348" t="str">
        <f t="shared" si="153"/>
        <v/>
      </c>
      <c r="AQ92" s="348" t="str">
        <f t="shared" si="154"/>
        <v/>
      </c>
      <c r="AR92" s="348" t="str">
        <f t="shared" si="155"/>
        <v/>
      </c>
      <c r="AS92" s="348" t="str">
        <f t="shared" si="156"/>
        <v/>
      </c>
      <c r="AT92" s="348" t="str">
        <f t="shared" si="157"/>
        <v xml:space="preserve">* La celda Pueblos Originarios / Hombre debe ser menor o igual al Total de Adolescentes que reciben Consejería  / Hombre. </v>
      </c>
      <c r="AU92" s="348" t="str">
        <f t="shared" si="158"/>
        <v xml:space="preserve">* La celda Pueblos Originarios / Mujer debe ser menor o igual al Total de Adolescentes que reciben Consejería / Mujer. </v>
      </c>
      <c r="AV92" s="348" t="str">
        <f t="shared" si="159"/>
        <v xml:space="preserve">* La celda Población Migrantes / Hombre debe ser menor o igual al Total de Adolescentes que reciben Consejería / Hombre. </v>
      </c>
      <c r="AW92" s="348" t="str">
        <f t="shared" si="160"/>
        <v xml:space="preserve">* La celda Población Migrantes / Mujer debe ser menor o igual al Total de Adolescentes que reciben Consejería / Mujer. </v>
      </c>
      <c r="AX92" s="348" t="str">
        <f t="shared" si="161"/>
        <v xml:space="preserve">* La celda Espacios Amigables / Hombre debe ser menor o igual al Total de Adolescentes que reciben Consejería / Hombre. </v>
      </c>
      <c r="AY92" s="348" t="str">
        <f t="shared" si="162"/>
        <v xml:space="preserve">* La celda Espacios Amigables / Mujer debe ser menor o igual al Total de Adolescentes que reciben Consejería / Mujer . </v>
      </c>
      <c r="AZ92" s="354"/>
      <c r="BA92" s="358">
        <f t="shared" si="163"/>
        <v>1</v>
      </c>
      <c r="BB92" s="358">
        <f t="shared" si="164"/>
        <v>1</v>
      </c>
      <c r="BC92" s="358">
        <f t="shared" si="165"/>
        <v>1</v>
      </c>
      <c r="BD92" s="358">
        <f t="shared" si="166"/>
        <v>1</v>
      </c>
      <c r="BE92" s="358">
        <f t="shared" si="167"/>
        <v>1</v>
      </c>
      <c r="BF92" s="358">
        <f t="shared" si="168"/>
        <v>1</v>
      </c>
      <c r="BG92" s="358">
        <f t="shared" si="169"/>
        <v>0</v>
      </c>
      <c r="BH92" s="358">
        <f t="shared" si="170"/>
        <v>0</v>
      </c>
      <c r="BI92" s="358">
        <f t="shared" si="171"/>
        <v>0</v>
      </c>
      <c r="BJ92" s="358">
        <f t="shared" si="172"/>
        <v>0</v>
      </c>
      <c r="BK92" s="358">
        <f t="shared" si="173"/>
        <v>0</v>
      </c>
      <c r="BL92" s="358">
        <f t="shared" si="174"/>
        <v>0</v>
      </c>
    </row>
    <row r="93" spans="1:64" s="291" customFormat="1" ht="16.5" customHeight="1" x14ac:dyDescent="0.25">
      <c r="A93" s="1652" t="s">
        <v>1437</v>
      </c>
      <c r="B93" s="2444"/>
      <c r="C93" s="400" t="s">
        <v>370</v>
      </c>
      <c r="D93" s="1297" t="s">
        <v>1550</v>
      </c>
      <c r="E93" s="266" t="s">
        <v>1551</v>
      </c>
      <c r="F93" s="273" t="s">
        <v>1552</v>
      </c>
      <c r="G93" s="1275" t="s">
        <v>1553</v>
      </c>
      <c r="H93" s="266" t="s">
        <v>1554</v>
      </c>
      <c r="I93" s="267" t="s">
        <v>1555</v>
      </c>
      <c r="J93" s="1297" t="s">
        <v>1556</v>
      </c>
      <c r="K93" s="266" t="s">
        <v>1557</v>
      </c>
      <c r="L93" s="267" t="s">
        <v>1558</v>
      </c>
      <c r="M93" s="1276" t="s">
        <v>1559</v>
      </c>
      <c r="N93" s="266" t="s">
        <v>1560</v>
      </c>
      <c r="O93" s="267" t="s">
        <v>1561</v>
      </c>
      <c r="P93" s="351" t="str">
        <f t="shared" si="150"/>
        <v xml:space="preserve">* La celda Pueblos Originarios / Hombre debe ser menor o igual al Total de Adolescentes que reciben Consejería  / Hombre. * La celda Pueblos Originarios / Mujer debe ser menor o igual al Total de Adolescentes que reciben Consejería / Mujer. * La celda Población Migrantes / Hombre debe ser menor o igual al Total de Adolescentes que reciben Consejería / Hombre. * La celda Población Migrantes / Mujer debe ser menor o igual al Total de Adolescentes que reciben Consejería / Mujer. * La celda Espacios Amigables / Hombre debe ser menor o igual al Total de Adolescentes que reciben Consejería / Hombre. * La celda Espacios Amigables / Mujer debe ser menor o igual al Total de Adolescentes que reciben Consejería / Mujer . </v>
      </c>
      <c r="AB93" s="175"/>
      <c r="AC93" s="175"/>
      <c r="AD93" s="175"/>
      <c r="AE93" s="175"/>
      <c r="AF93" s="175"/>
      <c r="AG93" s="175"/>
      <c r="AH93" s="175"/>
      <c r="AI93" s="175"/>
      <c r="AJ93" s="175"/>
      <c r="AK93" s="175"/>
      <c r="AL93" s="175"/>
      <c r="AM93" s="175"/>
      <c r="AN93" s="348" t="str">
        <f t="shared" si="151"/>
        <v/>
      </c>
      <c r="AO93" s="348" t="str">
        <f t="shared" si="152"/>
        <v/>
      </c>
      <c r="AP93" s="348" t="str">
        <f t="shared" si="153"/>
        <v/>
      </c>
      <c r="AQ93" s="348" t="str">
        <f t="shared" si="154"/>
        <v/>
      </c>
      <c r="AR93" s="348" t="str">
        <f t="shared" si="155"/>
        <v/>
      </c>
      <c r="AS93" s="348" t="str">
        <f t="shared" si="156"/>
        <v/>
      </c>
      <c r="AT93" s="348" t="str">
        <f t="shared" si="157"/>
        <v xml:space="preserve">* La celda Pueblos Originarios / Hombre debe ser menor o igual al Total de Adolescentes que reciben Consejería  / Hombre. </v>
      </c>
      <c r="AU93" s="348" t="str">
        <f t="shared" si="158"/>
        <v xml:space="preserve">* La celda Pueblos Originarios / Mujer debe ser menor o igual al Total de Adolescentes que reciben Consejería / Mujer. </v>
      </c>
      <c r="AV93" s="348" t="str">
        <f t="shared" si="159"/>
        <v xml:space="preserve">* La celda Población Migrantes / Hombre debe ser menor o igual al Total de Adolescentes que reciben Consejería / Hombre. </v>
      </c>
      <c r="AW93" s="348" t="str">
        <f t="shared" si="160"/>
        <v xml:space="preserve">* La celda Población Migrantes / Mujer debe ser menor o igual al Total de Adolescentes que reciben Consejería / Mujer. </v>
      </c>
      <c r="AX93" s="348" t="str">
        <f t="shared" si="161"/>
        <v xml:space="preserve">* La celda Espacios Amigables / Hombre debe ser menor o igual al Total de Adolescentes que reciben Consejería / Hombre. </v>
      </c>
      <c r="AY93" s="348" t="str">
        <f t="shared" si="162"/>
        <v xml:space="preserve">* La celda Espacios Amigables / Mujer debe ser menor o igual al Total de Adolescentes que reciben Consejería / Mujer . </v>
      </c>
      <c r="AZ93" s="354"/>
      <c r="BA93" s="358">
        <f t="shared" si="163"/>
        <v>1</v>
      </c>
      <c r="BB93" s="358">
        <f t="shared" si="164"/>
        <v>1</v>
      </c>
      <c r="BC93" s="358">
        <f t="shared" si="165"/>
        <v>1</v>
      </c>
      <c r="BD93" s="358">
        <f t="shared" si="166"/>
        <v>1</v>
      </c>
      <c r="BE93" s="358">
        <f t="shared" si="167"/>
        <v>1</v>
      </c>
      <c r="BF93" s="358">
        <f t="shared" si="168"/>
        <v>1</v>
      </c>
      <c r="BG93" s="358">
        <f t="shared" si="169"/>
        <v>0</v>
      </c>
      <c r="BH93" s="358">
        <f t="shared" si="170"/>
        <v>0</v>
      </c>
      <c r="BI93" s="358">
        <f t="shared" si="171"/>
        <v>0</v>
      </c>
      <c r="BJ93" s="358">
        <f t="shared" si="172"/>
        <v>0</v>
      </c>
      <c r="BK93" s="358">
        <f t="shared" si="173"/>
        <v>0</v>
      </c>
      <c r="BL93" s="358">
        <f t="shared" si="174"/>
        <v>0</v>
      </c>
    </row>
    <row r="94" spans="1:64" s="291" customFormat="1" ht="16.5" customHeight="1" x14ac:dyDescent="0.25">
      <c r="A94" s="1652" t="s">
        <v>1438</v>
      </c>
      <c r="B94" s="2443" t="s">
        <v>422</v>
      </c>
      <c r="C94" s="397" t="s">
        <v>523</v>
      </c>
      <c r="D94" s="1296" t="s">
        <v>1550</v>
      </c>
      <c r="E94" s="256" t="s">
        <v>1551</v>
      </c>
      <c r="F94" s="272" t="s">
        <v>1552</v>
      </c>
      <c r="G94" s="1282" t="s">
        <v>1553</v>
      </c>
      <c r="H94" s="256" t="s">
        <v>1554</v>
      </c>
      <c r="I94" s="257" t="s">
        <v>1555</v>
      </c>
      <c r="J94" s="1296" t="s">
        <v>1556</v>
      </c>
      <c r="K94" s="256" t="s">
        <v>1557</v>
      </c>
      <c r="L94" s="257" t="s">
        <v>1558</v>
      </c>
      <c r="M94" s="1283" t="s">
        <v>1559</v>
      </c>
      <c r="N94" s="256" t="s">
        <v>1560</v>
      </c>
      <c r="O94" s="257" t="s">
        <v>1561</v>
      </c>
      <c r="P94" s="351" t="str">
        <f t="shared" si="150"/>
        <v xml:space="preserve">* La celda Pueblos Originarios / Hombre debe ser menor o igual al Total de Adolescentes que reciben Consejería  / Hombre. * La celda Pueblos Originarios / Mujer debe ser menor o igual al Total de Adolescentes que reciben Consejería / Mujer. * La celda Población Migrantes / Hombre debe ser menor o igual al Total de Adolescentes que reciben Consejería / Hombre. * La celda Población Migrantes / Mujer debe ser menor o igual al Total de Adolescentes que reciben Consejería / Mujer. * La celda Espacios Amigables / Hombre debe ser menor o igual al Total de Adolescentes que reciben Consejería / Hombre. * La celda Espacios Amigables / Mujer debe ser menor o igual al Total de Adolescentes que reciben Consejería / Mujer . </v>
      </c>
      <c r="AB94" s="175"/>
      <c r="AC94" s="175"/>
      <c r="AD94" s="175"/>
      <c r="AE94" s="175"/>
      <c r="AF94" s="175"/>
      <c r="AG94" s="175"/>
      <c r="AH94" s="175"/>
      <c r="AI94" s="175"/>
      <c r="AJ94" s="175"/>
      <c r="AK94" s="175"/>
      <c r="AL94" s="175"/>
      <c r="AM94" s="175"/>
      <c r="AN94" s="348" t="str">
        <f t="shared" si="151"/>
        <v/>
      </c>
      <c r="AO94" s="348" t="str">
        <f t="shared" si="152"/>
        <v/>
      </c>
      <c r="AP94" s="348" t="str">
        <f t="shared" si="153"/>
        <v/>
      </c>
      <c r="AQ94" s="348" t="str">
        <f t="shared" si="154"/>
        <v/>
      </c>
      <c r="AR94" s="348" t="str">
        <f t="shared" si="155"/>
        <v/>
      </c>
      <c r="AS94" s="348" t="str">
        <f>IF(AND($F94&lt;&gt;0,$O94=""),"* No olvide escribir en la celda Espacios Amigables / Mujer (Digite CERO si no tiene). ","")</f>
        <v/>
      </c>
      <c r="AT94" s="348" t="str">
        <f t="shared" si="157"/>
        <v xml:space="preserve">* La celda Pueblos Originarios / Hombre debe ser menor o igual al Total de Adolescentes que reciben Consejería  / Hombre. </v>
      </c>
      <c r="AU94" s="348" t="str">
        <f t="shared" si="158"/>
        <v xml:space="preserve">* La celda Pueblos Originarios / Mujer debe ser menor o igual al Total de Adolescentes que reciben Consejería / Mujer. </v>
      </c>
      <c r="AV94" s="348" t="str">
        <f t="shared" si="159"/>
        <v xml:space="preserve">* La celda Población Migrantes / Hombre debe ser menor o igual al Total de Adolescentes que reciben Consejería / Hombre. </v>
      </c>
      <c r="AW94" s="348" t="str">
        <f t="shared" si="160"/>
        <v xml:space="preserve">* La celda Población Migrantes / Mujer debe ser menor o igual al Total de Adolescentes que reciben Consejería / Mujer. </v>
      </c>
      <c r="AX94" s="348" t="str">
        <f t="shared" si="161"/>
        <v xml:space="preserve">* La celda Espacios Amigables / Hombre debe ser menor o igual al Total de Adolescentes que reciben Consejería / Hombre. </v>
      </c>
      <c r="AY94" s="348" t="str">
        <f t="shared" si="162"/>
        <v xml:space="preserve">* La celda Espacios Amigables / Mujer debe ser menor o igual al Total de Adolescentes que reciben Consejería / Mujer . </v>
      </c>
      <c r="AZ94" s="354"/>
      <c r="BA94" s="358">
        <f t="shared" si="163"/>
        <v>1</v>
      </c>
      <c r="BB94" s="358">
        <f t="shared" si="164"/>
        <v>1</v>
      </c>
      <c r="BC94" s="358">
        <f t="shared" si="165"/>
        <v>1</v>
      </c>
      <c r="BD94" s="358">
        <f t="shared" si="166"/>
        <v>1</v>
      </c>
      <c r="BE94" s="358">
        <f t="shared" si="167"/>
        <v>1</v>
      </c>
      <c r="BF94" s="358">
        <f t="shared" si="168"/>
        <v>1</v>
      </c>
      <c r="BG94" s="358">
        <f t="shared" si="169"/>
        <v>0</v>
      </c>
      <c r="BH94" s="358">
        <f t="shared" si="170"/>
        <v>0</v>
      </c>
      <c r="BI94" s="358">
        <f t="shared" si="171"/>
        <v>0</v>
      </c>
      <c r="BJ94" s="358">
        <f t="shared" si="172"/>
        <v>0</v>
      </c>
      <c r="BK94" s="358">
        <f t="shared" si="173"/>
        <v>0</v>
      </c>
      <c r="BL94" s="358">
        <f t="shared" si="174"/>
        <v>0</v>
      </c>
    </row>
    <row r="95" spans="1:64" s="291" customFormat="1" ht="16.5" customHeight="1" x14ac:dyDescent="0.25">
      <c r="A95" s="1652" t="s">
        <v>1439</v>
      </c>
      <c r="B95" s="2444"/>
      <c r="C95" s="400" t="s">
        <v>370</v>
      </c>
      <c r="D95" s="1297" t="s">
        <v>1550</v>
      </c>
      <c r="E95" s="266" t="s">
        <v>1551</v>
      </c>
      <c r="F95" s="273" t="s">
        <v>1552</v>
      </c>
      <c r="G95" s="1275" t="s">
        <v>1553</v>
      </c>
      <c r="H95" s="266" t="s">
        <v>1554</v>
      </c>
      <c r="I95" s="267" t="s">
        <v>1555</v>
      </c>
      <c r="J95" s="1297" t="s">
        <v>1556</v>
      </c>
      <c r="K95" s="266" t="s">
        <v>1557</v>
      </c>
      <c r="L95" s="267" t="s">
        <v>1558</v>
      </c>
      <c r="M95" s="1276" t="s">
        <v>1559</v>
      </c>
      <c r="N95" s="266" t="s">
        <v>1560</v>
      </c>
      <c r="O95" s="267" t="s">
        <v>1561</v>
      </c>
      <c r="P95" s="351" t="str">
        <f t="shared" si="150"/>
        <v xml:space="preserve">* La celda Pueblos Originarios / Hombre debe ser menor o igual al Total de Adolescentes que reciben Consejería  / Hombre. * La celda Pueblos Originarios / Mujer debe ser menor o igual al Total de Adolescentes que reciben Consejería / Mujer. * La celda Población Migrantes / Hombre debe ser menor o igual al Total de Adolescentes que reciben Consejería / Hombre. * La celda Población Migrantes / Mujer debe ser menor o igual al Total de Adolescentes que reciben Consejería / Mujer. * La celda Espacios Amigables / Hombre debe ser menor o igual al Total de Adolescentes que reciben Consejería / Hombre. * La celda Espacios Amigables / Mujer debe ser menor o igual al Total de Adolescentes que reciben Consejería / Mujer . </v>
      </c>
      <c r="AB95" s="175"/>
      <c r="AC95" s="175"/>
      <c r="AD95" s="175"/>
      <c r="AE95" s="175"/>
      <c r="AF95" s="175"/>
      <c r="AG95" s="175"/>
      <c r="AH95" s="175"/>
      <c r="AI95" s="175"/>
      <c r="AJ95" s="175"/>
      <c r="AK95" s="175"/>
      <c r="AL95" s="175"/>
      <c r="AM95" s="175"/>
      <c r="AN95" s="348" t="str">
        <f t="shared" si="151"/>
        <v/>
      </c>
      <c r="AO95" s="348" t="str">
        <f t="shared" si="152"/>
        <v/>
      </c>
      <c r="AP95" s="348" t="str">
        <f t="shared" si="153"/>
        <v/>
      </c>
      <c r="AQ95" s="348" t="str">
        <f t="shared" si="154"/>
        <v/>
      </c>
      <c r="AR95" s="348" t="str">
        <f t="shared" si="155"/>
        <v/>
      </c>
      <c r="AS95" s="348" t="str">
        <f t="shared" si="156"/>
        <v/>
      </c>
      <c r="AT95" s="348" t="str">
        <f t="shared" si="157"/>
        <v xml:space="preserve">* La celda Pueblos Originarios / Hombre debe ser menor o igual al Total de Adolescentes que reciben Consejería  / Hombre. </v>
      </c>
      <c r="AU95" s="348" t="str">
        <f t="shared" si="158"/>
        <v xml:space="preserve">* La celda Pueblos Originarios / Mujer debe ser menor o igual al Total de Adolescentes que reciben Consejería / Mujer. </v>
      </c>
      <c r="AV95" s="348" t="str">
        <f t="shared" si="159"/>
        <v xml:space="preserve">* La celda Población Migrantes / Hombre debe ser menor o igual al Total de Adolescentes que reciben Consejería / Hombre. </v>
      </c>
      <c r="AW95" s="348" t="str">
        <f t="shared" si="160"/>
        <v xml:space="preserve">* La celda Población Migrantes / Mujer debe ser menor o igual al Total de Adolescentes que reciben Consejería / Mujer. </v>
      </c>
      <c r="AX95" s="348" t="str">
        <f t="shared" si="161"/>
        <v xml:space="preserve">* La celda Espacios Amigables / Hombre debe ser menor o igual al Total de Adolescentes que reciben Consejería / Hombre. </v>
      </c>
      <c r="AY95" s="348" t="str">
        <f t="shared" si="162"/>
        <v xml:space="preserve">* La celda Espacios Amigables / Mujer debe ser menor o igual al Total de Adolescentes que reciben Consejería / Mujer . </v>
      </c>
      <c r="AZ95" s="354"/>
      <c r="BA95" s="358">
        <f t="shared" si="163"/>
        <v>1</v>
      </c>
      <c r="BB95" s="358">
        <f t="shared" si="164"/>
        <v>1</v>
      </c>
      <c r="BC95" s="358">
        <f t="shared" si="165"/>
        <v>1</v>
      </c>
      <c r="BD95" s="358">
        <f t="shared" si="166"/>
        <v>1</v>
      </c>
      <c r="BE95" s="358">
        <f t="shared" si="167"/>
        <v>1</v>
      </c>
      <c r="BF95" s="358">
        <f t="shared" si="168"/>
        <v>1</v>
      </c>
      <c r="BG95" s="358">
        <f t="shared" si="169"/>
        <v>0</v>
      </c>
      <c r="BH95" s="358">
        <f t="shared" si="170"/>
        <v>0</v>
      </c>
      <c r="BI95" s="358">
        <f t="shared" si="171"/>
        <v>0</v>
      </c>
      <c r="BJ95" s="358">
        <f t="shared" si="172"/>
        <v>0</v>
      </c>
      <c r="BK95" s="358">
        <f t="shared" si="173"/>
        <v>0</v>
      </c>
      <c r="BL95" s="358">
        <f t="shared" si="174"/>
        <v>0</v>
      </c>
    </row>
    <row r="96" spans="1:64" s="291" customFormat="1" ht="16.5" customHeight="1" x14ac:dyDescent="0.25">
      <c r="A96" s="1652" t="s">
        <v>1440</v>
      </c>
      <c r="B96" s="2443" t="s">
        <v>423</v>
      </c>
      <c r="C96" s="397" t="s">
        <v>523</v>
      </c>
      <c r="D96" s="1296" t="s">
        <v>1550</v>
      </c>
      <c r="E96" s="256" t="s">
        <v>1551</v>
      </c>
      <c r="F96" s="272" t="s">
        <v>1552</v>
      </c>
      <c r="G96" s="1282" t="s">
        <v>1553</v>
      </c>
      <c r="H96" s="256" t="s">
        <v>1554</v>
      </c>
      <c r="I96" s="257" t="s">
        <v>1555</v>
      </c>
      <c r="J96" s="1296" t="s">
        <v>1556</v>
      </c>
      <c r="K96" s="256" t="s">
        <v>1557</v>
      </c>
      <c r="L96" s="257" t="s">
        <v>1558</v>
      </c>
      <c r="M96" s="1283" t="s">
        <v>1559</v>
      </c>
      <c r="N96" s="256" t="s">
        <v>1560</v>
      </c>
      <c r="O96" s="257" t="s">
        <v>1561</v>
      </c>
      <c r="P96" s="351" t="str">
        <f t="shared" si="150"/>
        <v xml:space="preserve">* La celda Pueblos Originarios / Hombre debe ser menor o igual al Total de Adolescentes que reciben Consejería  / Hombre. * La celda Pueblos Originarios / Mujer debe ser menor o igual al Total de Adolescentes que reciben Consejería / Mujer. * La celda Población Migrantes / Hombre debe ser menor o igual al Total de Adolescentes que reciben Consejería / Hombre. * La celda Población Migrantes / Mujer debe ser menor o igual al Total de Adolescentes que reciben Consejería / Mujer. * La celda Espacios Amigables / Hombre debe ser menor o igual al Total de Adolescentes que reciben Consejería / Hombre. * La celda Espacios Amigables / Mujer debe ser menor o igual al Total de Adolescentes que reciben Consejería / Mujer . </v>
      </c>
      <c r="AB96" s="175"/>
      <c r="AC96" s="175"/>
      <c r="AD96" s="175"/>
      <c r="AE96" s="175"/>
      <c r="AF96" s="175"/>
      <c r="AG96" s="175"/>
      <c r="AH96" s="175"/>
      <c r="AI96" s="175"/>
      <c r="AJ96" s="175"/>
      <c r="AK96" s="175"/>
      <c r="AL96" s="175"/>
      <c r="AM96" s="175"/>
      <c r="AN96" s="348" t="str">
        <f t="shared" si="151"/>
        <v/>
      </c>
      <c r="AO96" s="348" t="str">
        <f t="shared" si="152"/>
        <v/>
      </c>
      <c r="AP96" s="348" t="str">
        <f t="shared" si="153"/>
        <v/>
      </c>
      <c r="AQ96" s="348" t="str">
        <f t="shared" si="154"/>
        <v/>
      </c>
      <c r="AR96" s="348" t="str">
        <f t="shared" si="155"/>
        <v/>
      </c>
      <c r="AS96" s="348" t="str">
        <f t="shared" si="156"/>
        <v/>
      </c>
      <c r="AT96" s="348" t="str">
        <f t="shared" si="157"/>
        <v xml:space="preserve">* La celda Pueblos Originarios / Hombre debe ser menor o igual al Total de Adolescentes que reciben Consejería  / Hombre. </v>
      </c>
      <c r="AU96" s="348" t="str">
        <f t="shared" si="158"/>
        <v xml:space="preserve">* La celda Pueblos Originarios / Mujer debe ser menor o igual al Total de Adolescentes que reciben Consejería / Mujer. </v>
      </c>
      <c r="AV96" s="348" t="str">
        <f t="shared" si="159"/>
        <v xml:space="preserve">* La celda Población Migrantes / Hombre debe ser menor o igual al Total de Adolescentes que reciben Consejería / Hombre. </v>
      </c>
      <c r="AW96" s="348" t="str">
        <f t="shared" si="160"/>
        <v xml:space="preserve">* La celda Población Migrantes / Mujer debe ser menor o igual al Total de Adolescentes que reciben Consejería / Mujer. </v>
      </c>
      <c r="AX96" s="348" t="str">
        <f t="shared" si="161"/>
        <v xml:space="preserve">* La celda Espacios Amigables / Hombre debe ser menor o igual al Total de Adolescentes que reciben Consejería / Hombre. </v>
      </c>
      <c r="AY96" s="348" t="str">
        <f t="shared" si="162"/>
        <v xml:space="preserve">* La celda Espacios Amigables / Mujer debe ser menor o igual al Total de Adolescentes que reciben Consejería / Mujer . </v>
      </c>
      <c r="AZ96" s="354"/>
      <c r="BA96" s="358">
        <f t="shared" si="163"/>
        <v>1</v>
      </c>
      <c r="BB96" s="358">
        <f t="shared" si="164"/>
        <v>1</v>
      </c>
      <c r="BC96" s="358">
        <f t="shared" si="165"/>
        <v>1</v>
      </c>
      <c r="BD96" s="358">
        <f t="shared" si="166"/>
        <v>1</v>
      </c>
      <c r="BE96" s="358">
        <f t="shared" si="167"/>
        <v>1</v>
      </c>
      <c r="BF96" s="358">
        <f t="shared" si="168"/>
        <v>1</v>
      </c>
      <c r="BG96" s="358">
        <f t="shared" si="169"/>
        <v>0</v>
      </c>
      <c r="BH96" s="358">
        <f t="shared" si="170"/>
        <v>0</v>
      </c>
      <c r="BI96" s="358">
        <f t="shared" si="171"/>
        <v>0</v>
      </c>
      <c r="BJ96" s="358">
        <f t="shared" si="172"/>
        <v>0</v>
      </c>
      <c r="BK96" s="358">
        <f t="shared" si="173"/>
        <v>0</v>
      </c>
      <c r="BL96" s="358">
        <f t="shared" si="174"/>
        <v>0</v>
      </c>
    </row>
    <row r="97" spans="1:64" s="291" customFormat="1" ht="16.5" customHeight="1" x14ac:dyDescent="0.25">
      <c r="A97" s="1652" t="s">
        <v>1441</v>
      </c>
      <c r="B97" s="2444"/>
      <c r="C97" s="400" t="s">
        <v>370</v>
      </c>
      <c r="D97" s="1297" t="s">
        <v>1550</v>
      </c>
      <c r="E97" s="266" t="s">
        <v>1551</v>
      </c>
      <c r="F97" s="273" t="s">
        <v>1552</v>
      </c>
      <c r="G97" s="1275" t="s">
        <v>1553</v>
      </c>
      <c r="H97" s="266" t="s">
        <v>1554</v>
      </c>
      <c r="I97" s="267" t="s">
        <v>1555</v>
      </c>
      <c r="J97" s="1297" t="s">
        <v>1556</v>
      </c>
      <c r="K97" s="266" t="s">
        <v>1557</v>
      </c>
      <c r="L97" s="267" t="s">
        <v>1558</v>
      </c>
      <c r="M97" s="1276" t="s">
        <v>1559</v>
      </c>
      <c r="N97" s="266" t="s">
        <v>1560</v>
      </c>
      <c r="O97" s="267" t="s">
        <v>1561</v>
      </c>
      <c r="P97" s="351" t="str">
        <f t="shared" si="150"/>
        <v xml:space="preserve">* La celda Pueblos Originarios / Hombre debe ser menor o igual al Total de Adolescentes que reciben Consejería  / Hombre. * La celda Pueblos Originarios / Mujer debe ser menor o igual al Total de Adolescentes que reciben Consejería / Mujer. * La celda Población Migrantes / Hombre debe ser menor o igual al Total de Adolescentes que reciben Consejería / Hombre. * La celda Población Migrantes / Mujer debe ser menor o igual al Total de Adolescentes que reciben Consejería / Mujer. * La celda Espacios Amigables / Hombre debe ser menor o igual al Total de Adolescentes que reciben Consejería / Hombre. * La celda Espacios Amigables / Mujer debe ser menor o igual al Total de Adolescentes que reciben Consejería / Mujer . </v>
      </c>
      <c r="AB97" s="175"/>
      <c r="AC97" s="175"/>
      <c r="AD97" s="175"/>
      <c r="AE97" s="175"/>
      <c r="AF97" s="175"/>
      <c r="AG97" s="175"/>
      <c r="AH97" s="175"/>
      <c r="AI97" s="175"/>
      <c r="AJ97" s="175"/>
      <c r="AK97" s="175"/>
      <c r="AL97" s="175"/>
      <c r="AM97" s="175"/>
      <c r="AN97" s="348" t="str">
        <f t="shared" si="151"/>
        <v/>
      </c>
      <c r="AO97" s="348" t="str">
        <f t="shared" si="152"/>
        <v/>
      </c>
      <c r="AP97" s="348" t="str">
        <f t="shared" si="153"/>
        <v/>
      </c>
      <c r="AQ97" s="348" t="str">
        <f t="shared" si="154"/>
        <v/>
      </c>
      <c r="AR97" s="348" t="str">
        <f t="shared" si="155"/>
        <v/>
      </c>
      <c r="AS97" s="348" t="str">
        <f t="shared" si="156"/>
        <v/>
      </c>
      <c r="AT97" s="348" t="str">
        <f t="shared" si="157"/>
        <v xml:space="preserve">* La celda Pueblos Originarios / Hombre debe ser menor o igual al Total de Adolescentes que reciben Consejería  / Hombre. </v>
      </c>
      <c r="AU97" s="348" t="str">
        <f t="shared" si="158"/>
        <v xml:space="preserve">* La celda Pueblos Originarios / Mujer debe ser menor o igual al Total de Adolescentes que reciben Consejería / Mujer. </v>
      </c>
      <c r="AV97" s="348" t="str">
        <f t="shared" si="159"/>
        <v xml:space="preserve">* La celda Población Migrantes / Hombre debe ser menor o igual al Total de Adolescentes que reciben Consejería / Hombre. </v>
      </c>
      <c r="AW97" s="348" t="str">
        <f t="shared" si="160"/>
        <v xml:space="preserve">* La celda Población Migrantes / Mujer debe ser menor o igual al Total de Adolescentes que reciben Consejería / Mujer. </v>
      </c>
      <c r="AX97" s="348" t="str">
        <f t="shared" si="161"/>
        <v xml:space="preserve">* La celda Espacios Amigables / Hombre debe ser menor o igual al Total de Adolescentes que reciben Consejería / Hombre. </v>
      </c>
      <c r="AY97" s="348" t="str">
        <f t="shared" si="162"/>
        <v xml:space="preserve">* La celda Espacios Amigables / Mujer debe ser menor o igual al Total de Adolescentes que reciben Consejería / Mujer . </v>
      </c>
      <c r="AZ97" s="354"/>
      <c r="BA97" s="358">
        <f t="shared" si="163"/>
        <v>1</v>
      </c>
      <c r="BB97" s="358">
        <f t="shared" si="164"/>
        <v>1</v>
      </c>
      <c r="BC97" s="358">
        <f t="shared" si="165"/>
        <v>1</v>
      </c>
      <c r="BD97" s="358">
        <f t="shared" si="166"/>
        <v>1</v>
      </c>
      <c r="BE97" s="358">
        <f>IF($E97&lt;$N97, 1,0)</f>
        <v>1</v>
      </c>
      <c r="BF97" s="358">
        <f t="shared" si="168"/>
        <v>1</v>
      </c>
      <c r="BG97" s="358">
        <f t="shared" si="169"/>
        <v>0</v>
      </c>
      <c r="BH97" s="358">
        <f t="shared" si="170"/>
        <v>0</v>
      </c>
      <c r="BI97" s="358">
        <f t="shared" si="171"/>
        <v>0</v>
      </c>
      <c r="BJ97" s="358">
        <f t="shared" si="172"/>
        <v>0</v>
      </c>
      <c r="BK97" s="358">
        <f t="shared" si="173"/>
        <v>0</v>
      </c>
      <c r="BL97" s="358">
        <f t="shared" si="174"/>
        <v>0</v>
      </c>
    </row>
    <row r="98" spans="1:64" s="291" customFormat="1" ht="16.5" customHeight="1" x14ac:dyDescent="0.25">
      <c r="A98" s="1652" t="s">
        <v>1442</v>
      </c>
      <c r="B98" s="2450" t="s">
        <v>424</v>
      </c>
      <c r="C98" s="401" t="s">
        <v>523</v>
      </c>
      <c r="D98" s="1298" t="s">
        <v>1550</v>
      </c>
      <c r="E98" s="244" t="s">
        <v>1551</v>
      </c>
      <c r="F98" s="268" t="s">
        <v>1552</v>
      </c>
      <c r="G98" s="1273" t="s">
        <v>1553</v>
      </c>
      <c r="H98" s="244" t="s">
        <v>1554</v>
      </c>
      <c r="I98" s="245" t="s">
        <v>1555</v>
      </c>
      <c r="J98" s="1298" t="s">
        <v>1556</v>
      </c>
      <c r="K98" s="244" t="s">
        <v>1557</v>
      </c>
      <c r="L98" s="245" t="s">
        <v>1558</v>
      </c>
      <c r="M98" s="1274" t="s">
        <v>1559</v>
      </c>
      <c r="N98" s="244" t="s">
        <v>1560</v>
      </c>
      <c r="O98" s="245" t="s">
        <v>1561</v>
      </c>
      <c r="P98" s="351" t="str">
        <f t="shared" si="150"/>
        <v xml:space="preserve">* La celda Pueblos Originarios / Hombre debe ser menor o igual al Total de Adolescentes que reciben Consejería  / Hombre. * La celda Pueblos Originarios / Mujer debe ser menor o igual al Total de Adolescentes que reciben Consejería / Mujer. * La celda Población Migrantes / Hombre debe ser menor o igual al Total de Adolescentes que reciben Consejería / Hombre. * La celda Población Migrantes / Mujer debe ser menor o igual al Total de Adolescentes que reciben Consejería / Mujer. * La celda Espacios Amigables / Hombre debe ser menor o igual al Total de Adolescentes que reciben Consejería / Hombre. * La celda Espacios Amigables / Mujer debe ser menor o igual al Total de Adolescentes que reciben Consejería / Mujer . </v>
      </c>
      <c r="AB98" s="175"/>
      <c r="AC98" s="175"/>
      <c r="AD98" s="175"/>
      <c r="AE98" s="175"/>
      <c r="AF98" s="175"/>
      <c r="AG98" s="175"/>
      <c r="AH98" s="175"/>
      <c r="AI98" s="175"/>
      <c r="AJ98" s="175"/>
      <c r="AK98" s="175"/>
      <c r="AL98" s="175"/>
      <c r="AM98" s="175"/>
      <c r="AN98" s="348" t="str">
        <f t="shared" si="151"/>
        <v/>
      </c>
      <c r="AO98" s="348" t="str">
        <f t="shared" si="152"/>
        <v/>
      </c>
      <c r="AP98" s="348" t="str">
        <f t="shared" si="153"/>
        <v/>
      </c>
      <c r="AQ98" s="348" t="str">
        <f t="shared" si="154"/>
        <v/>
      </c>
      <c r="AR98" s="348" t="str">
        <f t="shared" si="155"/>
        <v/>
      </c>
      <c r="AS98" s="348" t="str">
        <f t="shared" si="156"/>
        <v/>
      </c>
      <c r="AT98" s="348" t="str">
        <f t="shared" si="157"/>
        <v xml:space="preserve">* La celda Pueblos Originarios / Hombre debe ser menor o igual al Total de Adolescentes que reciben Consejería  / Hombre. </v>
      </c>
      <c r="AU98" s="348" t="str">
        <f t="shared" si="158"/>
        <v xml:space="preserve">* La celda Pueblos Originarios / Mujer debe ser menor o igual al Total de Adolescentes que reciben Consejería / Mujer. </v>
      </c>
      <c r="AV98" s="348" t="str">
        <f t="shared" si="159"/>
        <v xml:space="preserve">* La celda Población Migrantes / Hombre debe ser menor o igual al Total de Adolescentes que reciben Consejería / Hombre. </v>
      </c>
      <c r="AW98" s="348" t="str">
        <f t="shared" si="160"/>
        <v xml:space="preserve">* La celda Población Migrantes / Mujer debe ser menor o igual al Total de Adolescentes que reciben Consejería / Mujer. </v>
      </c>
      <c r="AX98" s="348" t="str">
        <f t="shared" si="161"/>
        <v xml:space="preserve">* La celda Espacios Amigables / Hombre debe ser menor o igual al Total de Adolescentes que reciben Consejería / Hombre. </v>
      </c>
      <c r="AY98" s="348" t="str">
        <f t="shared" si="162"/>
        <v xml:space="preserve">* La celda Espacios Amigables / Mujer debe ser menor o igual al Total de Adolescentes que reciben Consejería / Mujer . </v>
      </c>
      <c r="AZ98" s="354"/>
      <c r="BA98" s="358">
        <f t="shared" si="163"/>
        <v>1</v>
      </c>
      <c r="BB98" s="358">
        <f t="shared" si="164"/>
        <v>1</v>
      </c>
      <c r="BC98" s="358">
        <f t="shared" si="165"/>
        <v>1</v>
      </c>
      <c r="BD98" s="358">
        <f t="shared" si="166"/>
        <v>1</v>
      </c>
      <c r="BE98" s="358">
        <f t="shared" si="167"/>
        <v>1</v>
      </c>
      <c r="BF98" s="358">
        <f t="shared" si="168"/>
        <v>1</v>
      </c>
      <c r="BG98" s="358">
        <f t="shared" si="169"/>
        <v>0</v>
      </c>
      <c r="BH98" s="358">
        <f t="shared" si="170"/>
        <v>0</v>
      </c>
      <c r="BI98" s="358">
        <f t="shared" si="171"/>
        <v>0</v>
      </c>
      <c r="BJ98" s="358">
        <f t="shared" si="172"/>
        <v>0</v>
      </c>
      <c r="BK98" s="358">
        <f t="shared" si="173"/>
        <v>0</v>
      </c>
      <c r="BL98" s="358">
        <f t="shared" si="174"/>
        <v>0</v>
      </c>
    </row>
    <row r="99" spans="1:64" s="291" customFormat="1" ht="16.5" customHeight="1" x14ac:dyDescent="0.25">
      <c r="A99" s="1652" t="s">
        <v>1443</v>
      </c>
      <c r="B99" s="2444"/>
      <c r="C99" s="400" t="s">
        <v>370</v>
      </c>
      <c r="D99" s="1279" t="s">
        <v>1550</v>
      </c>
      <c r="E99" s="266" t="s">
        <v>1551</v>
      </c>
      <c r="F99" s="274" t="s">
        <v>1552</v>
      </c>
      <c r="G99" s="1280" t="s">
        <v>1553</v>
      </c>
      <c r="H99" s="266" t="s">
        <v>1554</v>
      </c>
      <c r="I99" s="267" t="s">
        <v>1555</v>
      </c>
      <c r="J99" s="1279" t="s">
        <v>1556</v>
      </c>
      <c r="K99" s="266" t="s">
        <v>1557</v>
      </c>
      <c r="L99" s="267" t="s">
        <v>1558</v>
      </c>
      <c r="M99" s="1281" t="s">
        <v>1559</v>
      </c>
      <c r="N99" s="266" t="s">
        <v>1560</v>
      </c>
      <c r="O99" s="267" t="s">
        <v>1561</v>
      </c>
      <c r="P99" s="351" t="str">
        <f t="shared" si="150"/>
        <v xml:space="preserve">* La celda Pueblos Originarios / Hombre debe ser menor o igual al Total de Adolescentes que reciben Consejería  / Hombre. * La celda Pueblos Originarios / Mujer debe ser menor o igual al Total de Adolescentes que reciben Consejería / Mujer. * La celda Población Migrantes / Hombre debe ser menor o igual al Total de Adolescentes que reciben Consejería / Hombre. * La celda Población Migrantes / Mujer debe ser menor o igual al Total de Adolescentes que reciben Consejería / Mujer. * La celda Espacios Amigables / Hombre debe ser menor o igual al Total de Adolescentes que reciben Consejería / Hombre. * La celda Espacios Amigables / Mujer debe ser menor o igual al Total de Adolescentes que reciben Consejería / Mujer . </v>
      </c>
      <c r="Q99" s="1299"/>
      <c r="R99" s="1299"/>
      <c r="S99" s="1299"/>
      <c r="AB99" s="175"/>
      <c r="AC99" s="175"/>
      <c r="AD99" s="175"/>
      <c r="AE99" s="175"/>
      <c r="AF99" s="175"/>
      <c r="AG99" s="175"/>
      <c r="AH99" s="175"/>
      <c r="AI99" s="175"/>
      <c r="AJ99" s="175"/>
      <c r="AK99" s="175"/>
      <c r="AL99" s="175"/>
      <c r="AM99" s="175"/>
      <c r="AN99" s="348" t="str">
        <f t="shared" si="151"/>
        <v/>
      </c>
      <c r="AO99" s="348" t="str">
        <f t="shared" si="152"/>
        <v/>
      </c>
      <c r="AP99" s="348" t="str">
        <f t="shared" si="153"/>
        <v/>
      </c>
      <c r="AQ99" s="348" t="str">
        <f t="shared" si="154"/>
        <v/>
      </c>
      <c r="AR99" s="348" t="str">
        <f t="shared" si="155"/>
        <v/>
      </c>
      <c r="AS99" s="348" t="str">
        <f t="shared" si="156"/>
        <v/>
      </c>
      <c r="AT99" s="348" t="str">
        <f t="shared" si="157"/>
        <v xml:space="preserve">* La celda Pueblos Originarios / Hombre debe ser menor o igual al Total de Adolescentes que reciben Consejería  / Hombre. </v>
      </c>
      <c r="AU99" s="348" t="str">
        <f t="shared" si="158"/>
        <v xml:space="preserve">* La celda Pueblos Originarios / Mujer debe ser menor o igual al Total de Adolescentes que reciben Consejería / Mujer. </v>
      </c>
      <c r="AV99" s="348" t="str">
        <f t="shared" si="159"/>
        <v xml:space="preserve">* La celda Población Migrantes / Hombre debe ser menor o igual al Total de Adolescentes que reciben Consejería / Hombre. </v>
      </c>
      <c r="AW99" s="348" t="str">
        <f t="shared" si="160"/>
        <v xml:space="preserve">* La celda Población Migrantes / Mujer debe ser menor o igual al Total de Adolescentes que reciben Consejería / Mujer. </v>
      </c>
      <c r="AX99" s="348" t="str">
        <f t="shared" si="161"/>
        <v xml:space="preserve">* La celda Espacios Amigables / Hombre debe ser menor o igual al Total de Adolescentes que reciben Consejería / Hombre. </v>
      </c>
      <c r="AY99" s="348" t="str">
        <f t="shared" si="162"/>
        <v xml:space="preserve">* La celda Espacios Amigables / Mujer debe ser menor o igual al Total de Adolescentes que reciben Consejería / Mujer . </v>
      </c>
      <c r="AZ99" s="354"/>
      <c r="BA99" s="358">
        <f t="shared" si="163"/>
        <v>1</v>
      </c>
      <c r="BB99" s="358">
        <f t="shared" si="164"/>
        <v>1</v>
      </c>
      <c r="BC99" s="358">
        <f t="shared" si="165"/>
        <v>1</v>
      </c>
      <c r="BD99" s="358">
        <f t="shared" si="166"/>
        <v>1</v>
      </c>
      <c r="BE99" s="358">
        <f t="shared" si="167"/>
        <v>1</v>
      </c>
      <c r="BF99" s="358">
        <f t="shared" si="168"/>
        <v>1</v>
      </c>
      <c r="BG99" s="358">
        <f t="shared" si="169"/>
        <v>0</v>
      </c>
      <c r="BH99" s="358">
        <f t="shared" si="170"/>
        <v>0</v>
      </c>
      <c r="BI99" s="358">
        <f t="shared" si="171"/>
        <v>0</v>
      </c>
      <c r="BJ99" s="358">
        <f t="shared" si="172"/>
        <v>0</v>
      </c>
      <c r="BK99" s="358">
        <f t="shared" si="173"/>
        <v>0</v>
      </c>
      <c r="BL99" s="358">
        <f t="shared" si="174"/>
        <v>0</v>
      </c>
    </row>
    <row r="100" spans="1:64" ht="15" customHeight="1" x14ac:dyDescent="0.2"/>
    <row r="101" spans="1:64" ht="15" customHeight="1" x14ac:dyDescent="0.2"/>
    <row r="104" spans="1:64" x14ac:dyDescent="0.2">
      <c r="B104" s="307"/>
      <c r="C104" s="307"/>
    </row>
    <row r="105" spans="1:64" ht="11.4" hidden="1" customHeight="1" x14ac:dyDescent="0.2">
      <c r="B105" s="1181">
        <f>SUM(D12:D39,,J12:J39,M12:M39,P12:P39,D46:D51,G46:G51,J46:J51,M46:M51,P46:P51,D57:D66,M57:M66,P57:P66,G57:G66,J57:J66,D72:D81,G72:G81,J72:J81,M72:M81,P72:P81,D86:D99,G86:G99,J86:J99,M86:M99)</f>
        <v>0</v>
      </c>
      <c r="C105" s="348" t="s">
        <v>317</v>
      </c>
      <c r="D105" s="354"/>
      <c r="E105" s="354"/>
      <c r="F105" s="354"/>
      <c r="G105" s="354"/>
      <c r="H105" s="354"/>
      <c r="I105" s="354"/>
      <c r="J105" s="354"/>
      <c r="K105" s="354"/>
      <c r="L105" s="354"/>
      <c r="M105" s="354"/>
      <c r="N105" s="354"/>
      <c r="O105" s="354"/>
      <c r="P105" s="354"/>
      <c r="Q105" s="354"/>
      <c r="R105" s="354"/>
      <c r="S105" s="354"/>
      <c r="T105" s="354"/>
      <c r="U105" s="354"/>
      <c r="V105" s="354"/>
      <c r="W105" s="354"/>
      <c r="X105" s="354"/>
      <c r="Y105" s="354"/>
      <c r="Z105" s="354"/>
      <c r="AA105" s="354"/>
    </row>
    <row r="106" spans="1:64" ht="11.4" hidden="1" customHeight="1" x14ac:dyDescent="0.2">
      <c r="B106" s="1181">
        <f>SUM(BA12:BL99)</f>
        <v>276</v>
      </c>
      <c r="C106" s="348" t="s">
        <v>318</v>
      </c>
      <c r="D106" s="354"/>
      <c r="E106" s="354"/>
      <c r="F106" s="354"/>
      <c r="G106" s="354"/>
      <c r="H106" s="354"/>
      <c r="I106" s="354"/>
      <c r="J106" s="354"/>
      <c r="K106" s="354"/>
      <c r="L106" s="354"/>
      <c r="M106" s="354"/>
      <c r="N106" s="354"/>
      <c r="O106" s="354"/>
      <c r="P106" s="354"/>
      <c r="Q106" s="354"/>
      <c r="R106" s="354"/>
      <c r="S106" s="354"/>
      <c r="T106" s="354"/>
      <c r="U106" s="354"/>
      <c r="V106" s="354"/>
      <c r="W106" s="354"/>
      <c r="X106" s="354"/>
      <c r="Y106" s="354"/>
      <c r="Z106" s="354"/>
      <c r="AA106" s="354"/>
    </row>
    <row r="107" spans="1:64" ht="11.4" customHeight="1" x14ac:dyDescent="0.2"/>
  </sheetData>
  <mergeCells count="68">
    <mergeCell ref="AR10:AS10"/>
    <mergeCell ref="AT10:AU10"/>
    <mergeCell ref="AN10:AO10"/>
    <mergeCell ref="AP10:AQ10"/>
    <mergeCell ref="M83:O84"/>
    <mergeCell ref="M53:O55"/>
    <mergeCell ref="D7:R7"/>
    <mergeCell ref="D42:F44"/>
    <mergeCell ref="D53:F55"/>
    <mergeCell ref="D68:F70"/>
    <mergeCell ref="P68:R70"/>
    <mergeCell ref="P53:R55"/>
    <mergeCell ref="P42:R44"/>
    <mergeCell ref="M42:O44"/>
    <mergeCell ref="P10:R10"/>
    <mergeCell ref="M10:O10"/>
    <mergeCell ref="J10:L10"/>
    <mergeCell ref="G10:I10"/>
    <mergeCell ref="J42:L44"/>
    <mergeCell ref="G68:I70"/>
    <mergeCell ref="J68:L70"/>
    <mergeCell ref="M68:O70"/>
    <mergeCell ref="G53:I55"/>
    <mergeCell ref="J53:L55"/>
    <mergeCell ref="B63:C63"/>
    <mergeCell ref="B66:C66"/>
    <mergeCell ref="B64:C64"/>
    <mergeCell ref="B65:C65"/>
    <mergeCell ref="B98:B99"/>
    <mergeCell ref="B83:B85"/>
    <mergeCell ref="C83:C85"/>
    <mergeCell ref="B92:B93"/>
    <mergeCell ref="B94:B95"/>
    <mergeCell ref="B90:B91"/>
    <mergeCell ref="B86:B87"/>
    <mergeCell ref="B88:B89"/>
    <mergeCell ref="B51:C51"/>
    <mergeCell ref="B46:C46"/>
    <mergeCell ref="B47:C47"/>
    <mergeCell ref="B48:C48"/>
    <mergeCell ref="B96:B97"/>
    <mergeCell ref="B68:C71"/>
    <mergeCell ref="B78:C78"/>
    <mergeCell ref="B79:C79"/>
    <mergeCell ref="B58:C58"/>
    <mergeCell ref="B42:C45"/>
    <mergeCell ref="G42:I44"/>
    <mergeCell ref="J83:L84"/>
    <mergeCell ref="D83:F84"/>
    <mergeCell ref="G83:I84"/>
    <mergeCell ref="B53:C56"/>
    <mergeCell ref="B49:C49"/>
    <mergeCell ref="B76:C76"/>
    <mergeCell ref="B77:C77"/>
    <mergeCell ref="B80:C80"/>
    <mergeCell ref="B81:C81"/>
    <mergeCell ref="B72:C72"/>
    <mergeCell ref="B73:C73"/>
    <mergeCell ref="B74:C74"/>
    <mergeCell ref="B75:C75"/>
    <mergeCell ref="B50:C50"/>
    <mergeCell ref="B12:C12"/>
    <mergeCell ref="B10:C11"/>
    <mergeCell ref="D10:F10"/>
    <mergeCell ref="B21:B27"/>
    <mergeCell ref="B32:B40"/>
    <mergeCell ref="B13:B20"/>
    <mergeCell ref="B28:B31"/>
  </mergeCells>
  <dataValidations count="3">
    <dataValidation allowBlank="1" showInputMessage="1" showErrorMessage="1" errorTitle=" Error de ingreso" error="Debe ingresar sólo números enteros positivos." sqref="W11 W14 T48 T51 T59 T62 T75 T78 Q88 Q91" xr:uid="{00000000-0002-0000-0800-000000000000}"/>
    <dataValidation type="whole" operator="greaterThanOrEqual" allowBlank="1" showInputMessage="1" showErrorMessage="1" sqref="H12:R40 H46:R51 H57:R66 H72:R81 E86:O99" xr:uid="{00000000-0002-0000-0800-000001000000}">
      <formula1>0</formula1>
    </dataValidation>
    <dataValidation type="whole" allowBlank="1" showInputMessage="1" showErrorMessage="1" sqref="A12:A40 A46:A51 A72:A81 A86:A99" xr:uid="{4B791F63-D85D-474C-8E51-0F7D0CAB1D2D}">
      <formula1>0</formula1>
      <formula2>1E+28</formula2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CX34"/>
  <sheetViews>
    <sheetView showGridLines="0" zoomScaleNormal="100" workbookViewId="0"/>
  </sheetViews>
  <sheetFormatPr baseColWidth="10" defaultColWidth="11.44140625" defaultRowHeight="14.4" x14ac:dyDescent="0.3"/>
  <cols>
    <col min="1" max="1" width="14" style="175" customWidth="1"/>
    <col min="2" max="2" width="27.88671875" style="291" customWidth="1"/>
    <col min="3" max="3" width="18.88671875" style="291" customWidth="1"/>
    <col min="4" max="4" width="14.5546875" style="291" customWidth="1"/>
    <col min="5" max="5" width="13.44140625" style="291" customWidth="1"/>
    <col min="6" max="19" width="11.109375" style="291" customWidth="1"/>
    <col min="20" max="33" width="11.109375" style="175" customWidth="1"/>
    <col min="34" max="35" width="9.33203125" style="175" customWidth="1"/>
    <col min="36" max="36" width="11.6640625" style="175" customWidth="1"/>
    <col min="37" max="37" width="11.44140625" style="175" customWidth="1"/>
    <col min="38" max="44" width="10.6640625" style="175" customWidth="1"/>
    <col min="45" max="45" width="9.44140625" style="175" customWidth="1"/>
    <col min="46" max="46" width="11.6640625" style="175" customWidth="1"/>
    <col min="47" max="47" width="11" style="175" customWidth="1"/>
    <col min="48" max="48" width="10.5546875" style="175" customWidth="1"/>
    <col min="49" max="49" width="11.6640625" style="175" customWidth="1"/>
    <col min="50" max="51" width="13.33203125" style="175" customWidth="1"/>
    <col min="52" max="52" width="7.88671875" style="175" customWidth="1"/>
    <col min="53" max="54" width="12.109375" style="175" customWidth="1"/>
    <col min="80" max="80" width="12.109375" style="175" customWidth="1"/>
    <col min="81" max="102" width="12.109375" style="175" hidden="1" customWidth="1"/>
    <col min="103" max="104" width="12.109375" style="175" customWidth="1"/>
    <col min="105" max="106" width="11.6640625" style="175" customWidth="1"/>
    <col min="107" max="107" width="11.44140625" style="175" customWidth="1"/>
    <col min="108" max="16384" width="11.44140625" style="175"/>
  </cols>
  <sheetData>
    <row r="1" spans="1:102" ht="13.5" customHeight="1" x14ac:dyDescent="0.3">
      <c r="B1" s="120" t="s">
        <v>0</v>
      </c>
      <c r="C1" s="208"/>
      <c r="D1" s="208"/>
      <c r="E1" s="208"/>
      <c r="F1" s="208"/>
      <c r="G1" s="208"/>
      <c r="H1" s="208"/>
      <c r="I1" s="208"/>
      <c r="J1" s="208"/>
      <c r="K1" s="208"/>
      <c r="L1" s="208"/>
      <c r="M1" s="457"/>
    </row>
    <row r="2" spans="1:102" ht="13.5" customHeight="1" x14ac:dyDescent="0.3">
      <c r="B2" s="120" t="str">
        <f>CONCATENATE("COMUNA: ",NOMBRE!$B$2," - ","( ",NOMBRE!$C$2,NOMBRE!$D$2,NOMBRE!$E$2,NOMBRE!$F$2,NOMBRE!$G$2," )")</f>
        <v>COMUNA:  - (  )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457"/>
    </row>
    <row r="3" spans="1:102" ht="13.5" customHeight="1" x14ac:dyDescent="0.3">
      <c r="B3" s="120" t="str">
        <f>CONCATENATE("ESTABLECIMIENTO/ESTRATEGIA: ",NOMBRE!$B$3," - ","( ",NOMBRE!$C$3,NOMBRE!$D$3,NOMBRE!$E$3,NOMBRE!$F$3,NOMBRE!$G$3,NOMBRE!$H$3," )")</f>
        <v>ESTABLECIMIENTO/ESTRATEGIA:  - (  )</v>
      </c>
      <c r="C3" s="208"/>
      <c r="D3" s="209"/>
      <c r="E3" s="208"/>
      <c r="F3" s="208"/>
      <c r="G3" s="208"/>
      <c r="H3" s="208"/>
      <c r="I3" s="208"/>
      <c r="J3" s="208"/>
      <c r="K3" s="208"/>
      <c r="L3" s="208"/>
      <c r="M3" s="457"/>
    </row>
    <row r="4" spans="1:102" ht="13.5" customHeight="1" x14ac:dyDescent="0.3">
      <c r="B4" s="120" t="str">
        <f>CONCATENATE("MES: ",NOMBRE!$B$6," - ","( ",NOMBRE!$C$6,NOMBRE!$D$6," )")</f>
        <v>MES:  - (  )</v>
      </c>
      <c r="C4" s="208"/>
      <c r="D4" s="208"/>
      <c r="E4" s="208"/>
      <c r="F4" s="208"/>
      <c r="G4" s="208"/>
      <c r="H4" s="208"/>
      <c r="I4" s="208"/>
      <c r="J4" s="208"/>
      <c r="K4" s="208"/>
      <c r="L4" s="208"/>
      <c r="M4" s="457"/>
    </row>
    <row r="5" spans="1:102" ht="13.5" customHeight="1" x14ac:dyDescent="0.3">
      <c r="B5" s="120" t="str">
        <f>CONCATENATE("AÑO: ",NOMBRE!$B$7)</f>
        <v>AÑO: 2023</v>
      </c>
      <c r="C5" s="208"/>
      <c r="D5" s="208"/>
      <c r="E5" s="208"/>
      <c r="F5" s="208"/>
      <c r="G5" s="208"/>
      <c r="H5" s="208"/>
      <c r="I5" s="208"/>
      <c r="J5" s="208"/>
      <c r="K5" s="208"/>
      <c r="L5" s="208"/>
      <c r="M5" s="457"/>
    </row>
    <row r="6" spans="1:102" x14ac:dyDescent="0.3">
      <c r="B6" s="210"/>
      <c r="C6" s="208"/>
      <c r="D6" s="208"/>
      <c r="E6" s="208"/>
      <c r="F6" s="208"/>
      <c r="G6" s="208"/>
      <c r="H6" s="208"/>
      <c r="I6" s="208"/>
      <c r="J6" s="208"/>
      <c r="K6" s="208"/>
      <c r="L6" s="208"/>
      <c r="M6" s="457"/>
    </row>
    <row r="7" spans="1:102" ht="18" customHeight="1" x14ac:dyDescent="0.3">
      <c r="B7" s="2498" t="s">
        <v>580</v>
      </c>
      <c r="C7" s="2498"/>
      <c r="D7" s="2498"/>
      <c r="E7" s="2498"/>
      <c r="F7" s="2498"/>
      <c r="G7" s="2498"/>
      <c r="H7" s="2498"/>
      <c r="I7" s="2498"/>
      <c r="J7" s="2498"/>
      <c r="K7" s="2498"/>
      <c r="L7" s="2498"/>
      <c r="M7" s="2498"/>
      <c r="N7" s="2498"/>
      <c r="O7" s="2498"/>
      <c r="P7" s="2498"/>
      <c r="Q7" s="2498"/>
      <c r="R7" s="2498"/>
    </row>
    <row r="8" spans="1:102" ht="24.75" customHeight="1" x14ac:dyDescent="0.3">
      <c r="B8" s="461" t="s">
        <v>581</v>
      </c>
      <c r="C8" s="458"/>
      <c r="D8" s="458"/>
      <c r="E8" s="458"/>
      <c r="F8" s="458"/>
      <c r="G8" s="458"/>
      <c r="H8" s="457"/>
      <c r="I8" s="457"/>
      <c r="J8" s="457"/>
      <c r="K8" s="457"/>
      <c r="L8" s="457"/>
      <c r="M8" s="457"/>
    </row>
    <row r="9" spans="1:102" ht="22.5" customHeight="1" x14ac:dyDescent="0.3">
      <c r="A9" s="1650"/>
      <c r="B9" s="2476" t="s">
        <v>151</v>
      </c>
      <c r="C9" s="2476"/>
      <c r="D9" s="2477"/>
      <c r="E9" s="2501" t="s">
        <v>13</v>
      </c>
      <c r="F9" s="2476"/>
      <c r="G9" s="2477"/>
      <c r="H9" s="2100" t="s">
        <v>506</v>
      </c>
      <c r="I9" s="2499"/>
      <c r="J9" s="2499"/>
      <c r="K9" s="2499"/>
      <c r="L9" s="2499"/>
      <c r="M9" s="2499"/>
      <c r="N9" s="2499"/>
      <c r="O9" s="2499"/>
      <c r="P9" s="2499"/>
      <c r="Q9" s="2499"/>
      <c r="R9" s="2499"/>
      <c r="S9" s="2499"/>
      <c r="T9" s="2499"/>
      <c r="U9" s="2499"/>
      <c r="V9" s="2499"/>
      <c r="W9" s="2499"/>
      <c r="X9" s="2499"/>
      <c r="Y9" s="2499"/>
      <c r="Z9" s="2499"/>
      <c r="AA9" s="2499"/>
      <c r="AB9" s="2499"/>
      <c r="AC9" s="2499"/>
      <c r="AD9" s="2499"/>
      <c r="AE9" s="2499"/>
      <c r="AF9" s="2499"/>
      <c r="AG9" s="2499"/>
      <c r="AH9" s="2499"/>
      <c r="AI9" s="2499"/>
      <c r="AJ9" s="2499"/>
      <c r="AK9" s="2499"/>
      <c r="AL9" s="2499"/>
      <c r="AM9" s="2499"/>
      <c r="AN9" s="2499"/>
      <c r="AO9" s="2499"/>
      <c r="AP9" s="2499"/>
      <c r="AQ9" s="2499"/>
      <c r="AR9" s="2499"/>
      <c r="AS9" s="2500"/>
      <c r="AT9" s="2052" t="s">
        <v>249</v>
      </c>
      <c r="AU9" s="2492"/>
      <c r="AV9" s="2487" t="s">
        <v>15</v>
      </c>
      <c r="AW9" s="2483" t="s">
        <v>685</v>
      </c>
      <c r="AX9" s="2483" t="s">
        <v>715</v>
      </c>
      <c r="AY9" s="1862" t="s">
        <v>686</v>
      </c>
      <c r="CC9" s="2472" t="s">
        <v>249</v>
      </c>
      <c r="CD9" s="2473"/>
      <c r="CE9" s="2470" t="s">
        <v>15</v>
      </c>
      <c r="CF9" s="2470" t="s">
        <v>465</v>
      </c>
      <c r="CG9" s="2470" t="s">
        <v>567</v>
      </c>
      <c r="CH9" s="2470" t="s">
        <v>874</v>
      </c>
      <c r="CI9" s="2305"/>
      <c r="CJ9" s="2305" t="s">
        <v>15</v>
      </c>
      <c r="CK9" s="2305" t="s">
        <v>465</v>
      </c>
      <c r="CL9" s="2305" t="s">
        <v>567</v>
      </c>
      <c r="CM9" s="2305" t="s">
        <v>874</v>
      </c>
      <c r="CN9" s="2472" t="s">
        <v>249</v>
      </c>
      <c r="CO9" s="2473"/>
      <c r="CP9" s="2470" t="s">
        <v>15</v>
      </c>
      <c r="CQ9" s="2470" t="s">
        <v>465</v>
      </c>
      <c r="CR9" s="2305" t="s">
        <v>567</v>
      </c>
      <c r="CS9" s="2305" t="s">
        <v>874</v>
      </c>
      <c r="CT9" s="2305"/>
      <c r="CU9" s="2305" t="s">
        <v>15</v>
      </c>
      <c r="CV9" s="2305" t="s">
        <v>465</v>
      </c>
      <c r="CW9" s="2305" t="s">
        <v>567</v>
      </c>
      <c r="CX9" s="2305" t="s">
        <v>874</v>
      </c>
    </row>
    <row r="10" spans="1:102" ht="23.25" customHeight="1" x14ac:dyDescent="0.3">
      <c r="A10" s="1650"/>
      <c r="B10" s="2478"/>
      <c r="C10" s="2478"/>
      <c r="D10" s="2479"/>
      <c r="E10" s="2502"/>
      <c r="F10" s="2480"/>
      <c r="G10" s="2481"/>
      <c r="H10" s="2114" t="s">
        <v>250</v>
      </c>
      <c r="I10" s="2115"/>
      <c r="J10" s="2490" t="s">
        <v>251</v>
      </c>
      <c r="K10" s="2490"/>
      <c r="L10" s="2493" t="s">
        <v>248</v>
      </c>
      <c r="M10" s="2494"/>
      <c r="N10" s="2490" t="s">
        <v>207</v>
      </c>
      <c r="O10" s="2490"/>
      <c r="P10" s="2114" t="s">
        <v>128</v>
      </c>
      <c r="Q10" s="2115"/>
      <c r="R10" s="2490" t="s">
        <v>17</v>
      </c>
      <c r="S10" s="2490"/>
      <c r="T10" s="2496" t="s">
        <v>18</v>
      </c>
      <c r="U10" s="2497"/>
      <c r="V10" s="2495" t="s">
        <v>19</v>
      </c>
      <c r="W10" s="2495"/>
      <c r="X10" s="2496" t="s">
        <v>20</v>
      </c>
      <c r="Y10" s="2497"/>
      <c r="Z10" s="2495" t="s">
        <v>21</v>
      </c>
      <c r="AA10" s="2495"/>
      <c r="AB10" s="2496" t="s">
        <v>22</v>
      </c>
      <c r="AC10" s="2497"/>
      <c r="AD10" s="2495" t="s">
        <v>23</v>
      </c>
      <c r="AE10" s="2495"/>
      <c r="AF10" s="2496" t="s">
        <v>24</v>
      </c>
      <c r="AG10" s="2497"/>
      <c r="AH10" s="2496" t="s">
        <v>208</v>
      </c>
      <c r="AI10" s="2497"/>
      <c r="AJ10" s="2495" t="s">
        <v>209</v>
      </c>
      <c r="AK10" s="2495"/>
      <c r="AL10" s="2496" t="s">
        <v>181</v>
      </c>
      <c r="AM10" s="2497"/>
      <c r="AN10" s="2490" t="s">
        <v>182</v>
      </c>
      <c r="AO10" s="2490"/>
      <c r="AP10" s="2114" t="s">
        <v>183</v>
      </c>
      <c r="AQ10" s="2115"/>
      <c r="AR10" s="2490" t="s">
        <v>195</v>
      </c>
      <c r="AS10" s="2491"/>
      <c r="AT10" s="2054"/>
      <c r="AU10" s="2064"/>
      <c r="AV10" s="2488"/>
      <c r="AW10" s="2484"/>
      <c r="AX10" s="2484"/>
      <c r="AY10" s="2504"/>
      <c r="CC10" s="2303"/>
      <c r="CD10" s="2304"/>
      <c r="CE10" s="2471"/>
      <c r="CF10" s="2471"/>
      <c r="CG10" s="2471"/>
      <c r="CH10" s="2471"/>
      <c r="CI10" s="2306"/>
      <c r="CJ10" s="2306"/>
      <c r="CK10" s="2306"/>
      <c r="CL10" s="2306"/>
      <c r="CM10" s="2306"/>
      <c r="CN10" s="2303"/>
      <c r="CO10" s="2304"/>
      <c r="CP10" s="2471"/>
      <c r="CQ10" s="2471"/>
      <c r="CR10" s="2471"/>
      <c r="CS10" s="2471"/>
      <c r="CT10" s="2306"/>
      <c r="CU10" s="2306"/>
      <c r="CV10" s="2306"/>
      <c r="CW10" s="2306"/>
      <c r="CX10" s="2306"/>
    </row>
    <row r="11" spans="1:102" ht="32.25" customHeight="1" x14ac:dyDescent="0.3">
      <c r="A11" s="1650"/>
      <c r="B11" s="2480"/>
      <c r="C11" s="2480"/>
      <c r="D11" s="2481"/>
      <c r="E11" s="942" t="s">
        <v>93</v>
      </c>
      <c r="F11" s="211" t="s">
        <v>31</v>
      </c>
      <c r="G11" s="212" t="s">
        <v>94</v>
      </c>
      <c r="H11" s="59" t="s">
        <v>129</v>
      </c>
      <c r="I11" s="213" t="s">
        <v>94</v>
      </c>
      <c r="J11" s="84" t="s">
        <v>129</v>
      </c>
      <c r="K11" s="214" t="s">
        <v>94</v>
      </c>
      <c r="L11" s="59" t="s">
        <v>129</v>
      </c>
      <c r="M11" s="213" t="s">
        <v>94</v>
      </c>
      <c r="N11" s="84" t="s">
        <v>129</v>
      </c>
      <c r="O11" s="214" t="s">
        <v>94</v>
      </c>
      <c r="P11" s="59" t="s">
        <v>129</v>
      </c>
      <c r="Q11" s="213" t="s">
        <v>94</v>
      </c>
      <c r="R11" s="84" t="s">
        <v>129</v>
      </c>
      <c r="S11" s="214" t="s">
        <v>94</v>
      </c>
      <c r="T11" s="59" t="s">
        <v>129</v>
      </c>
      <c r="U11" s="213" t="s">
        <v>94</v>
      </c>
      <c r="V11" s="84" t="s">
        <v>129</v>
      </c>
      <c r="W11" s="214" t="s">
        <v>94</v>
      </c>
      <c r="X11" s="59" t="s">
        <v>129</v>
      </c>
      <c r="Y11" s="213" t="s">
        <v>94</v>
      </c>
      <c r="Z11" s="84" t="s">
        <v>129</v>
      </c>
      <c r="AA11" s="214" t="s">
        <v>94</v>
      </c>
      <c r="AB11" s="59" t="s">
        <v>129</v>
      </c>
      <c r="AC11" s="213" t="s">
        <v>94</v>
      </c>
      <c r="AD11" s="84" t="s">
        <v>129</v>
      </c>
      <c r="AE11" s="214" t="s">
        <v>94</v>
      </c>
      <c r="AF11" s="59" t="s">
        <v>129</v>
      </c>
      <c r="AG11" s="213" t="s">
        <v>94</v>
      </c>
      <c r="AH11" s="59" t="s">
        <v>129</v>
      </c>
      <c r="AI11" s="213" t="s">
        <v>94</v>
      </c>
      <c r="AJ11" s="84" t="s">
        <v>129</v>
      </c>
      <c r="AK11" s="214" t="s">
        <v>94</v>
      </c>
      <c r="AL11" s="59" t="s">
        <v>129</v>
      </c>
      <c r="AM11" s="213" t="s">
        <v>94</v>
      </c>
      <c r="AN11" s="84" t="s">
        <v>129</v>
      </c>
      <c r="AO11" s="214" t="s">
        <v>94</v>
      </c>
      <c r="AP11" s="59" t="s">
        <v>129</v>
      </c>
      <c r="AQ11" s="213" t="s">
        <v>94</v>
      </c>
      <c r="AR11" s="84" t="s">
        <v>129</v>
      </c>
      <c r="AS11" s="215" t="s">
        <v>94</v>
      </c>
      <c r="AT11" s="305" t="s">
        <v>463</v>
      </c>
      <c r="AU11" s="214" t="s">
        <v>464</v>
      </c>
      <c r="AV11" s="2489"/>
      <c r="AW11" s="1943"/>
      <c r="AX11" s="1943"/>
      <c r="AY11" s="1863"/>
      <c r="CC11" s="898" t="s">
        <v>463</v>
      </c>
      <c r="CD11" s="898" t="s">
        <v>542</v>
      </c>
      <c r="CE11" s="2306"/>
      <c r="CF11" s="2306"/>
      <c r="CG11" s="2306"/>
      <c r="CH11" s="2306"/>
      <c r="CI11" s="898"/>
      <c r="CJ11" s="898" t="s">
        <v>540</v>
      </c>
      <c r="CK11" s="898" t="s">
        <v>540</v>
      </c>
      <c r="CL11" s="898" t="s">
        <v>540</v>
      </c>
      <c r="CM11" s="898" t="s">
        <v>540</v>
      </c>
      <c r="CN11" s="898" t="s">
        <v>463</v>
      </c>
      <c r="CO11" s="898" t="s">
        <v>542</v>
      </c>
      <c r="CP11" s="2306"/>
      <c r="CQ11" s="2306"/>
      <c r="CR11" s="2306"/>
      <c r="CS11" s="2306"/>
      <c r="CT11" s="898"/>
      <c r="CU11" s="898" t="s">
        <v>540</v>
      </c>
      <c r="CV11" s="898" t="s">
        <v>540</v>
      </c>
      <c r="CW11" s="898" t="s">
        <v>540</v>
      </c>
      <c r="CX11" s="898" t="s">
        <v>540</v>
      </c>
    </row>
    <row r="12" spans="1:102" ht="36.75" customHeight="1" x14ac:dyDescent="0.3">
      <c r="A12" s="1655" t="s">
        <v>1444</v>
      </c>
      <c r="B12" s="2053" t="s">
        <v>559</v>
      </c>
      <c r="C12" s="2474" t="s">
        <v>560</v>
      </c>
      <c r="D12" s="943" t="s">
        <v>561</v>
      </c>
      <c r="E12" s="944" t="s">
        <v>1550</v>
      </c>
      <c r="F12" s="1391" t="s">
        <v>1551</v>
      </c>
      <c r="G12" s="945" t="s">
        <v>1552</v>
      </c>
      <c r="H12" s="992" t="s">
        <v>1553</v>
      </c>
      <c r="I12" s="993" t="s">
        <v>1554</v>
      </c>
      <c r="J12" s="992" t="s">
        <v>1555</v>
      </c>
      <c r="K12" s="993" t="s">
        <v>1556</v>
      </c>
      <c r="L12" s="992" t="s">
        <v>1557</v>
      </c>
      <c r="M12" s="993" t="s">
        <v>1558</v>
      </c>
      <c r="N12" s="992" t="s">
        <v>1559</v>
      </c>
      <c r="O12" s="993" t="s">
        <v>1560</v>
      </c>
      <c r="P12" s="992" t="s">
        <v>1561</v>
      </c>
      <c r="Q12" s="257" t="s">
        <v>1562</v>
      </c>
      <c r="R12" s="992" t="s">
        <v>1563</v>
      </c>
      <c r="S12" s="257" t="s">
        <v>1564</v>
      </c>
      <c r="T12" s="992" t="s">
        <v>1565</v>
      </c>
      <c r="U12" s="257" t="s">
        <v>1566</v>
      </c>
      <c r="V12" s="992" t="s">
        <v>1567</v>
      </c>
      <c r="W12" s="257" t="s">
        <v>1568</v>
      </c>
      <c r="X12" s="992" t="s">
        <v>1569</v>
      </c>
      <c r="Y12" s="257" t="s">
        <v>1570</v>
      </c>
      <c r="Z12" s="992" t="s">
        <v>1571</v>
      </c>
      <c r="AA12" s="257" t="s">
        <v>1572</v>
      </c>
      <c r="AB12" s="992" t="s">
        <v>1573</v>
      </c>
      <c r="AC12" s="257" t="s">
        <v>1574</v>
      </c>
      <c r="AD12" s="992" t="s">
        <v>1575</v>
      </c>
      <c r="AE12" s="257" t="s">
        <v>1576</v>
      </c>
      <c r="AF12" s="992" t="s">
        <v>1577</v>
      </c>
      <c r="AG12" s="257" t="s">
        <v>1578</v>
      </c>
      <c r="AH12" s="992" t="s">
        <v>1579</v>
      </c>
      <c r="AI12" s="257" t="s">
        <v>1580</v>
      </c>
      <c r="AJ12" s="992" t="s">
        <v>1581</v>
      </c>
      <c r="AK12" s="993" t="s">
        <v>1582</v>
      </c>
      <c r="AL12" s="992" t="s">
        <v>1583</v>
      </c>
      <c r="AM12" s="993" t="s">
        <v>1584</v>
      </c>
      <c r="AN12" s="992" t="s">
        <v>1585</v>
      </c>
      <c r="AO12" s="993" t="s">
        <v>1586</v>
      </c>
      <c r="AP12" s="992" t="s">
        <v>1587</v>
      </c>
      <c r="AQ12" s="993" t="s">
        <v>1588</v>
      </c>
      <c r="AR12" s="992" t="s">
        <v>1589</v>
      </c>
      <c r="AS12" s="996" t="s">
        <v>1590</v>
      </c>
      <c r="AT12" s="1018" t="s">
        <v>1591</v>
      </c>
      <c r="AU12" s="996" t="s">
        <v>1592</v>
      </c>
      <c r="AV12" s="1018" t="s">
        <v>1593</v>
      </c>
      <c r="AW12" s="1019" t="s">
        <v>1594</v>
      </c>
      <c r="AX12" s="931" t="s">
        <v>1595</v>
      </c>
      <c r="AY12" s="931" t="s">
        <v>1596</v>
      </c>
      <c r="AZ12" s="343" t="str">
        <f>CB12&amp;CC12&amp;CD12&amp;CE12&amp;CF12&amp;CG12&amp;CH12&amp;CI12&amp;CJ12&amp;CK12&amp;CL12&amp;CM12</f>
        <v xml:space="preserve"> * La variable Trans Masculino no debe ser mayor al Total Mujeres.* La celda de 'Pueblos Originarios' no debe ser mayor al Total de personas bajo control. * La celda de 'Población Migrantes' no debe ser mayor al Total de personas bajo control. * La celda de 'Población SENAME' no debe ser mayor al Total de personas bajo control. * La celda de 'Población Mejor Niñez' no debe ser mayor al Total de personas bajo control. </v>
      </c>
      <c r="CC12" s="348" t="str">
        <f>IF(AND(G12&gt;0,OR(AT12=""))," * No olvide digitar la variable Trans Masculino. (Digite Cero si no tiene).",IF(AT12&gt;G12," * La variable Trans Masculino no debe ser mayor al Total Mujeres.",""))</f>
        <v xml:space="preserve"> * La variable Trans Masculino no debe ser mayor al Total Mujeres.</v>
      </c>
      <c r="CD12" s="348"/>
      <c r="CE12" s="459" t="str">
        <f>IF($AV12&lt;=$G12,"","* La celda de 'Pueblos Originarios' no debe ser mayor al Total de personas bajo control. ")</f>
        <v xml:space="preserve">* La celda de 'Pueblos Originarios' no debe ser mayor al Total de personas bajo control. </v>
      </c>
      <c r="CF12" s="459" t="str">
        <f>IF($AW12&lt;=$G12,"","* La celda de 'Población Migrantes' no debe ser mayor al Total de personas bajo control. ")</f>
        <v xml:space="preserve">* La celda de 'Población Migrantes' no debe ser mayor al Total de personas bajo control. </v>
      </c>
      <c r="CG12" s="459" t="str">
        <f>IF($AX12&lt;=$G12,"","* La celda de 'Población SENAME' no debe ser mayor al Total de personas bajo control. ")</f>
        <v xml:space="preserve">* La celda de 'Población SENAME' no debe ser mayor al Total de personas bajo control. </v>
      </c>
      <c r="CH12" s="459" t="str">
        <f>IF($AY12&lt;=$G12,"","* La celda de 'Población Mejor Niñez' no debe ser mayor al Total de personas bajo control. ")</f>
        <v xml:space="preserve">* La celda de 'Población Mejor Niñez' no debe ser mayor al Total de personas bajo control. </v>
      </c>
      <c r="CI12" s="348"/>
      <c r="CJ12" s="348" t="str">
        <f>IF(AND($G12&lt;&gt;0,$AV12=""),"* No olvide escribir en la celda de Pueblos Originarios (Digite CERO si no tiene). ","")</f>
        <v/>
      </c>
      <c r="CK12" s="348" t="str">
        <f>IF(AND($G12&lt;&gt;0,$AW12=""),"* No olvide escribir en la celda de Población Migrantes (Digite CERO si no tiene). ","")</f>
        <v/>
      </c>
      <c r="CL12" s="348" t="str">
        <f>IF(AND($G12&lt;&gt;0,$AX12=""),"* No olvide escribir en la celda de Población SENAME (Digite CERO si no tiene). ","")</f>
        <v/>
      </c>
      <c r="CM12" s="348" t="str">
        <f>IF(AND($E12&lt;&gt;0,$AY12=""),"* No olvide escribir en la celda de Población Mejor Niñez (Digite CERO si no tiene). ","")</f>
        <v/>
      </c>
      <c r="CN12" s="358">
        <f>IF(AND(G12&gt;0,OR(AT12="")),1,IF((AT12)&gt;G12,1,0))</f>
        <v>1</v>
      </c>
      <c r="CO12" s="358"/>
      <c r="CP12" s="460">
        <f>IF($AV12&lt;=$G12,0,1)</f>
        <v>1</v>
      </c>
      <c r="CQ12" s="460">
        <f>IF($AW12&lt;=$G12,0,1)</f>
        <v>1</v>
      </c>
      <c r="CR12" s="460">
        <f>IF($AX12&lt;=$G12,0,1)</f>
        <v>1</v>
      </c>
      <c r="CS12" s="460">
        <f>IF($AY12&lt;=$G12,0,1)</f>
        <v>1</v>
      </c>
      <c r="CT12" s="408"/>
      <c r="CU12" s="358">
        <f>IF(AND($G12&lt;&gt;0,$AV12=""),1,0)</f>
        <v>0</v>
      </c>
      <c r="CV12" s="358">
        <f>IF(AND($G12&lt;&gt;0,$AW12=""),1,0)</f>
        <v>0</v>
      </c>
      <c r="CW12" s="358">
        <f>IF(AND($G12&lt;&gt;0,$AX12=""),1,0)</f>
        <v>0</v>
      </c>
      <c r="CX12" s="358">
        <f>IF(AND($E12&lt;&gt;0,$AY12=""),1,0)</f>
        <v>0</v>
      </c>
    </row>
    <row r="13" spans="1:102" ht="25.5" customHeight="1" x14ac:dyDescent="0.3">
      <c r="A13" s="1655" t="s">
        <v>1445</v>
      </c>
      <c r="B13" s="2176"/>
      <c r="C13" s="2475"/>
      <c r="D13" s="946" t="s">
        <v>562</v>
      </c>
      <c r="E13" s="947" t="s">
        <v>1550</v>
      </c>
      <c r="F13" s="1392" t="s">
        <v>1551</v>
      </c>
      <c r="G13" s="948" t="s">
        <v>1552</v>
      </c>
      <c r="H13" s="994" t="s">
        <v>1553</v>
      </c>
      <c r="I13" s="995" t="s">
        <v>1554</v>
      </c>
      <c r="J13" s="994" t="s">
        <v>1555</v>
      </c>
      <c r="K13" s="995" t="s">
        <v>1556</v>
      </c>
      <c r="L13" s="994" t="s">
        <v>1557</v>
      </c>
      <c r="M13" s="995" t="s">
        <v>1558</v>
      </c>
      <c r="N13" s="994" t="s">
        <v>1559</v>
      </c>
      <c r="O13" s="995" t="s">
        <v>1560</v>
      </c>
      <c r="P13" s="994" t="s">
        <v>1561</v>
      </c>
      <c r="Q13" s="267" t="s">
        <v>1562</v>
      </c>
      <c r="R13" s="994" t="s">
        <v>1563</v>
      </c>
      <c r="S13" s="267" t="s">
        <v>1564</v>
      </c>
      <c r="T13" s="994" t="s">
        <v>1565</v>
      </c>
      <c r="U13" s="267" t="s">
        <v>1566</v>
      </c>
      <c r="V13" s="994" t="s">
        <v>1567</v>
      </c>
      <c r="W13" s="267" t="s">
        <v>1568</v>
      </c>
      <c r="X13" s="994" t="s">
        <v>1569</v>
      </c>
      <c r="Y13" s="267" t="s">
        <v>1570</v>
      </c>
      <c r="Z13" s="994" t="s">
        <v>1571</v>
      </c>
      <c r="AA13" s="267" t="s">
        <v>1572</v>
      </c>
      <c r="AB13" s="994" t="s">
        <v>1573</v>
      </c>
      <c r="AC13" s="267" t="s">
        <v>1574</v>
      </c>
      <c r="AD13" s="994" t="s">
        <v>1575</v>
      </c>
      <c r="AE13" s="267" t="s">
        <v>1576</v>
      </c>
      <c r="AF13" s="994" t="s">
        <v>1577</v>
      </c>
      <c r="AG13" s="267" t="s">
        <v>1578</v>
      </c>
      <c r="AH13" s="994" t="s">
        <v>1579</v>
      </c>
      <c r="AI13" s="267" t="s">
        <v>1580</v>
      </c>
      <c r="AJ13" s="994" t="s">
        <v>1581</v>
      </c>
      <c r="AK13" s="995" t="s">
        <v>1582</v>
      </c>
      <c r="AL13" s="994" t="s">
        <v>1583</v>
      </c>
      <c r="AM13" s="995" t="s">
        <v>1584</v>
      </c>
      <c r="AN13" s="994" t="s">
        <v>1585</v>
      </c>
      <c r="AO13" s="995" t="s">
        <v>1586</v>
      </c>
      <c r="AP13" s="994" t="s">
        <v>1587</v>
      </c>
      <c r="AQ13" s="995" t="s">
        <v>1588</v>
      </c>
      <c r="AR13" s="994" t="s">
        <v>1589</v>
      </c>
      <c r="AS13" s="997" t="s">
        <v>1590</v>
      </c>
      <c r="AT13" s="1020" t="s">
        <v>1591</v>
      </c>
      <c r="AU13" s="997" t="s">
        <v>1592</v>
      </c>
      <c r="AV13" s="1020" t="s">
        <v>1593</v>
      </c>
      <c r="AW13" s="1021" t="s">
        <v>1594</v>
      </c>
      <c r="AX13" s="930" t="s">
        <v>1595</v>
      </c>
      <c r="AY13" s="930" t="s">
        <v>1596</v>
      </c>
      <c r="AZ13" s="343" t="str">
        <f t="shared" ref="AZ13:AZ17" si="0">CB13&amp;CC13&amp;CD13&amp;CE13&amp;CF13&amp;CG13&amp;CH13&amp;CI13&amp;CJ13&amp;CK13&amp;CL13&amp;CM13</f>
        <v xml:space="preserve"> * La variable Trans Masculino no debe ser mayor al Total Mujeres.* La celda de 'Pueblos Originarios' no debe ser mayor al Total de personas bajo control. * La celda de 'Población Migrantes' no debe ser mayor al Total de personas bajo control. * La celda de 'Población SENAME' no debe ser mayor al Total de personas bajo control. * La celda de 'Población Mejor Niñez' no debe ser mayor al Total de personas bajo control. </v>
      </c>
      <c r="CC13" s="348" t="str">
        <f t="shared" ref="CC13:CC17" si="1">IF(AND(G13&gt;0,OR(AT13=""))," * No olvide digitar la variable Trans Masculino. (Digite Cero si no tiene).",IF(AT13&gt;G13," * La variable Trans Masculino no debe ser mayor al Total Mujeres.",""))</f>
        <v xml:space="preserve"> * La variable Trans Masculino no debe ser mayor al Total Mujeres.</v>
      </c>
      <c r="CD13" s="459"/>
      <c r="CE13" s="459" t="str">
        <f>IF($AV13&lt;=$G13,"","* La celda de 'Pueblos Originarios' no debe ser mayor al Total de personas bajo control. ")</f>
        <v xml:space="preserve">* La celda de 'Pueblos Originarios' no debe ser mayor al Total de personas bajo control. </v>
      </c>
      <c r="CF13" s="459" t="str">
        <f>IF($AW13&lt;=$G13,"","* La celda de 'Población Migrantes' no debe ser mayor al Total de personas bajo control. ")</f>
        <v xml:space="preserve">* La celda de 'Población Migrantes' no debe ser mayor al Total de personas bajo control. </v>
      </c>
      <c r="CG13" s="459" t="str">
        <f>IF($AX13&lt;=$G13,"","* La celda de 'Población SENAME' no debe ser mayor al Total de personas bajo control. ")</f>
        <v xml:space="preserve">* La celda de 'Población SENAME' no debe ser mayor al Total de personas bajo control. </v>
      </c>
      <c r="CH13" s="459" t="str">
        <f t="shared" ref="CH13:CH17" si="2">IF($AY13&lt;=$G13,"","* La celda de 'Población Mejor Niñez' no debe ser mayor al Total de personas bajo control. ")</f>
        <v xml:space="preserve">* La celda de 'Población Mejor Niñez' no debe ser mayor al Total de personas bajo control. </v>
      </c>
      <c r="CI13" s="348"/>
      <c r="CJ13" s="348" t="str">
        <f>IF(AND($G13&lt;&gt;0,$AV13=""),"* No olvide escribir en la celda de Pueblos Originarios (Digite CERO si no tiene). ","")</f>
        <v/>
      </c>
      <c r="CK13" s="348" t="str">
        <f>IF(AND($G13&lt;&gt;0,$AW13=""),"* No olvide escribir en la celda de Población Migrantes (Digite CERO si no tiene). ","")</f>
        <v/>
      </c>
      <c r="CL13" s="348" t="str">
        <f>IF(AND($G13&lt;&gt;0,$AX13=""),"* No olvide escribir en la celda de Población SENAME (Digite CERO si no tiene). ","")</f>
        <v/>
      </c>
      <c r="CM13" s="348" t="str">
        <f t="shared" ref="CM13:CM17" si="3">IF(AND($E13&lt;&gt;0,$AY13=""),"* No olvide escribir en la celda de Población Mejor Niñez (Digite CERO si no tiene). ","")</f>
        <v/>
      </c>
      <c r="CN13" s="358">
        <f t="shared" ref="CN13:CN17" si="4">IF(AND(G13&gt;0,OR(AT13="")),1,IF((AT13)&gt;G13,1,0))</f>
        <v>1</v>
      </c>
      <c r="CO13" s="460"/>
      <c r="CP13" s="460">
        <f>IF($AV13&lt;=$G13,0,1)</f>
        <v>1</v>
      </c>
      <c r="CQ13" s="460">
        <f>IF($AW13&lt;=$G13,0,1)</f>
        <v>1</v>
      </c>
      <c r="CR13" s="460">
        <f>IF($AX13&lt;=$G13,0,1)</f>
        <v>1</v>
      </c>
      <c r="CS13" s="460">
        <f t="shared" ref="CS13:CS17" si="5">IF($AY13&lt;=$G13,0,1)</f>
        <v>1</v>
      </c>
      <c r="CT13" s="408"/>
      <c r="CU13" s="358">
        <f>IF(AND($G13&lt;&gt;0,$AV13=""),1,0)</f>
        <v>0</v>
      </c>
      <c r="CV13" s="358">
        <f>IF(AND($G13&lt;&gt;0,$AW13=""),1,0)</f>
        <v>0</v>
      </c>
      <c r="CW13" s="358">
        <f>IF(AND($G13&lt;&gt;0,$AX13=""),1,0)</f>
        <v>0</v>
      </c>
      <c r="CX13" s="358">
        <f t="shared" ref="CX13:CX17" si="6">IF(AND($E13&lt;&gt;0,$AY13=""),1,0)</f>
        <v>0</v>
      </c>
    </row>
    <row r="14" spans="1:102" ht="20.25" customHeight="1" x14ac:dyDescent="0.3">
      <c r="A14" s="1655" t="s">
        <v>1446</v>
      </c>
      <c r="B14" s="2176"/>
      <c r="C14" s="2482" t="s">
        <v>563</v>
      </c>
      <c r="D14" s="949" t="s">
        <v>564</v>
      </c>
      <c r="E14" s="944" t="s">
        <v>1550</v>
      </c>
      <c r="F14" s="950" t="s">
        <v>1551</v>
      </c>
      <c r="G14" s="951" t="s">
        <v>1552</v>
      </c>
      <c r="H14" s="244" t="s">
        <v>1553</v>
      </c>
      <c r="I14" s="245" t="s">
        <v>1554</v>
      </c>
      <c r="J14" s="244" t="s">
        <v>1555</v>
      </c>
      <c r="K14" s="245" t="s">
        <v>1556</v>
      </c>
      <c r="L14" s="244" t="s">
        <v>1557</v>
      </c>
      <c r="M14" s="245" t="s">
        <v>1558</v>
      </c>
      <c r="N14" s="244" t="s">
        <v>1559</v>
      </c>
      <c r="O14" s="245" t="s">
        <v>1560</v>
      </c>
      <c r="P14" s="244" t="s">
        <v>1561</v>
      </c>
      <c r="Q14" s="245" t="s">
        <v>1562</v>
      </c>
      <c r="R14" s="244" t="s">
        <v>1563</v>
      </c>
      <c r="S14" s="245" t="s">
        <v>1564</v>
      </c>
      <c r="T14" s="244" t="s">
        <v>1565</v>
      </c>
      <c r="U14" s="245" t="s">
        <v>1566</v>
      </c>
      <c r="V14" s="244" t="s">
        <v>1567</v>
      </c>
      <c r="W14" s="245" t="s">
        <v>1568</v>
      </c>
      <c r="X14" s="244" t="s">
        <v>1569</v>
      </c>
      <c r="Y14" s="245" t="s">
        <v>1570</v>
      </c>
      <c r="Z14" s="244" t="s">
        <v>1571</v>
      </c>
      <c r="AA14" s="245" t="s">
        <v>1572</v>
      </c>
      <c r="AB14" s="244" t="s">
        <v>1573</v>
      </c>
      <c r="AC14" s="245" t="s">
        <v>1574</v>
      </c>
      <c r="AD14" s="244" t="s">
        <v>1575</v>
      </c>
      <c r="AE14" s="245" t="s">
        <v>1576</v>
      </c>
      <c r="AF14" s="244" t="s">
        <v>1577</v>
      </c>
      <c r="AG14" s="245" t="s">
        <v>1578</v>
      </c>
      <c r="AH14" s="244" t="s">
        <v>1579</v>
      </c>
      <c r="AI14" s="245" t="s">
        <v>1580</v>
      </c>
      <c r="AJ14" s="244" t="s">
        <v>1581</v>
      </c>
      <c r="AK14" s="245" t="s">
        <v>1582</v>
      </c>
      <c r="AL14" s="244" t="s">
        <v>1583</v>
      </c>
      <c r="AM14" s="245" t="s">
        <v>1584</v>
      </c>
      <c r="AN14" s="244" t="s">
        <v>1585</v>
      </c>
      <c r="AO14" s="245" t="s">
        <v>1586</v>
      </c>
      <c r="AP14" s="244" t="s">
        <v>1587</v>
      </c>
      <c r="AQ14" s="245" t="s">
        <v>1588</v>
      </c>
      <c r="AR14" s="244" t="s">
        <v>1589</v>
      </c>
      <c r="AS14" s="251" t="s">
        <v>1590</v>
      </c>
      <c r="AT14" s="1022" t="s">
        <v>1591</v>
      </c>
      <c r="AU14" s="268" t="s">
        <v>1592</v>
      </c>
      <c r="AV14" s="1022" t="s">
        <v>1593</v>
      </c>
      <c r="AW14" s="1023" t="s">
        <v>1594</v>
      </c>
      <c r="AX14" s="928" t="s">
        <v>1595</v>
      </c>
      <c r="AY14" s="928" t="s">
        <v>1596</v>
      </c>
      <c r="AZ14" s="343" t="str">
        <f>CC14&amp;CD14&amp;CE14&amp;CF14&amp;CG14&amp;CH14&amp;CI14&amp;CJ14&amp;CK14&amp;CL14&amp;CM14</f>
        <v xml:space="preserve"> * La variable Trans Masculino no debe ser mayor al Total Mujeres. * La variable Trans Femenino no debe ser mayor al Total Hombres* La celda de 'Pueblos Originarios' no debe ser mayor al Total de personas bajo control. * La celda de 'Población Migrantes' no debe ser mayor al Total de personas bajo control. * La celda de 'Población SENAME' no debe ser mayor al Total de personas bajo control. * La celda de 'Población Mejor Niñez' no debe ser mayor al Total de personas bajo control. </v>
      </c>
      <c r="CC14" s="348" t="str">
        <f t="shared" si="1"/>
        <v xml:space="preserve"> * La variable Trans Masculino no debe ser mayor al Total Mujeres.</v>
      </c>
      <c r="CD14" s="348" t="str">
        <f>IF(AND(F14&gt;0,OR(AU14=""))," * No olvide digitar la variable Trans Femenino (Digite Cero si no tiene).",IF(AU14&gt;F14," * La variable Trans Femenino no debe ser mayor al Total Hombres",""))</f>
        <v xml:space="preserve"> * La variable Trans Femenino no debe ser mayor al Total Hombres</v>
      </c>
      <c r="CE14" s="459" t="str">
        <f>IF($AV14&lt;=$E14,"","* La celda de 'Pueblos Originarios' no debe ser mayor al Total de personas bajo control. ")</f>
        <v xml:space="preserve">* La celda de 'Pueblos Originarios' no debe ser mayor al Total de personas bajo control. </v>
      </c>
      <c r="CF14" s="459" t="str">
        <f>IF($AW14&lt;=$E14,"","* La celda de 'Población Migrantes' no debe ser mayor al Total de personas bajo control. ")</f>
        <v xml:space="preserve">* La celda de 'Población Migrantes' no debe ser mayor al Total de personas bajo control. </v>
      </c>
      <c r="CG14" s="459" t="str">
        <f>IF($AX14&lt;=$E14,"","* La celda de 'Población SENAME' no debe ser mayor al Total de personas bajo control. ")</f>
        <v xml:space="preserve">* La celda de 'Población SENAME' no debe ser mayor al Total de personas bajo control. </v>
      </c>
      <c r="CH14" s="459" t="str">
        <f t="shared" si="2"/>
        <v xml:space="preserve">* La celda de 'Población Mejor Niñez' no debe ser mayor al Total de personas bajo control. </v>
      </c>
      <c r="CI14" s="348"/>
      <c r="CJ14" s="348" t="str">
        <f>IF(AND($E14&lt;&gt;0,$AV14=""),"* No olvide escribir en la celda de Pueblos Originarios (Digite CERO si no tiene). ","")</f>
        <v/>
      </c>
      <c r="CK14" s="348" t="str">
        <f>IF(AND($E14&lt;&gt;0,$AW14=""),"* No olvide escribir en la celda de Población Migrantes (Digite CERO si no tiene). ","")</f>
        <v/>
      </c>
      <c r="CL14" s="348" t="str">
        <f>IF(AND($E14&lt;&gt;0,$AX14=""),"* No olvide escribir en la celda de Población SENAME (Digite CERO si no tiene). ","")</f>
        <v/>
      </c>
      <c r="CM14" s="348" t="str">
        <f t="shared" si="3"/>
        <v/>
      </c>
      <c r="CN14" s="358">
        <f t="shared" si="4"/>
        <v>1</v>
      </c>
      <c r="CO14" s="358">
        <f>IF(AND(F14&gt;0,OR(AU14="")),1,IF((AU14)&gt;F14,1,0))</f>
        <v>1</v>
      </c>
      <c r="CP14" s="460">
        <f>IF($AV14&lt;=$E14,0,1)</f>
        <v>1</v>
      </c>
      <c r="CQ14" s="460">
        <f>IF($AW14&lt;=$E14,0,1)</f>
        <v>1</v>
      </c>
      <c r="CR14" s="460">
        <f>IF($AX14&lt;=$E14,0,1)</f>
        <v>1</v>
      </c>
      <c r="CS14" s="460">
        <f t="shared" si="5"/>
        <v>1</v>
      </c>
      <c r="CT14" s="408"/>
      <c r="CU14" s="358">
        <f>IF(AND($E14&lt;&gt;0,$AV14=""),1,0)</f>
        <v>0</v>
      </c>
      <c r="CV14" s="358">
        <f>IF(AND($E14&lt;&gt;0,$AW14=""),1,0)</f>
        <v>0</v>
      </c>
      <c r="CW14" s="358">
        <f>IF(AND($E14&lt;&gt;0,$AX14=""),1,0)</f>
        <v>0</v>
      </c>
      <c r="CX14" s="358">
        <f t="shared" si="6"/>
        <v>0</v>
      </c>
    </row>
    <row r="15" spans="1:102" ht="20.25" customHeight="1" x14ac:dyDescent="0.3">
      <c r="A15" s="1655" t="s">
        <v>1447</v>
      </c>
      <c r="B15" s="2055"/>
      <c r="C15" s="2475"/>
      <c r="D15" s="946" t="s">
        <v>565</v>
      </c>
      <c r="E15" s="952" t="s">
        <v>1550</v>
      </c>
      <c r="F15" s="953" t="s">
        <v>1551</v>
      </c>
      <c r="G15" s="948" t="s">
        <v>1552</v>
      </c>
      <c r="H15" s="266" t="s">
        <v>1553</v>
      </c>
      <c r="I15" s="267" t="s">
        <v>1554</v>
      </c>
      <c r="J15" s="266" t="s">
        <v>1555</v>
      </c>
      <c r="K15" s="267" t="s">
        <v>1556</v>
      </c>
      <c r="L15" s="266" t="s">
        <v>1557</v>
      </c>
      <c r="M15" s="267" t="s">
        <v>1558</v>
      </c>
      <c r="N15" s="266" t="s">
        <v>1559</v>
      </c>
      <c r="O15" s="267" t="s">
        <v>1560</v>
      </c>
      <c r="P15" s="266" t="s">
        <v>1561</v>
      </c>
      <c r="Q15" s="267" t="s">
        <v>1562</v>
      </c>
      <c r="R15" s="266" t="s">
        <v>1563</v>
      </c>
      <c r="S15" s="267" t="s">
        <v>1564</v>
      </c>
      <c r="T15" s="266" t="s">
        <v>1565</v>
      </c>
      <c r="U15" s="267" t="s">
        <v>1566</v>
      </c>
      <c r="V15" s="266" t="s">
        <v>1567</v>
      </c>
      <c r="W15" s="267" t="s">
        <v>1568</v>
      </c>
      <c r="X15" s="266" t="s">
        <v>1569</v>
      </c>
      <c r="Y15" s="267" t="s">
        <v>1570</v>
      </c>
      <c r="Z15" s="266" t="s">
        <v>1571</v>
      </c>
      <c r="AA15" s="267" t="s">
        <v>1572</v>
      </c>
      <c r="AB15" s="266" t="s">
        <v>1573</v>
      </c>
      <c r="AC15" s="267" t="s">
        <v>1574</v>
      </c>
      <c r="AD15" s="266" t="s">
        <v>1575</v>
      </c>
      <c r="AE15" s="267" t="s">
        <v>1576</v>
      </c>
      <c r="AF15" s="266" t="s">
        <v>1577</v>
      </c>
      <c r="AG15" s="267" t="s">
        <v>1578</v>
      </c>
      <c r="AH15" s="266" t="s">
        <v>1579</v>
      </c>
      <c r="AI15" s="267" t="s">
        <v>1580</v>
      </c>
      <c r="AJ15" s="266" t="s">
        <v>1581</v>
      </c>
      <c r="AK15" s="267" t="s">
        <v>1582</v>
      </c>
      <c r="AL15" s="266" t="s">
        <v>1583</v>
      </c>
      <c r="AM15" s="267" t="s">
        <v>1584</v>
      </c>
      <c r="AN15" s="266" t="s">
        <v>1585</v>
      </c>
      <c r="AO15" s="267" t="s">
        <v>1586</v>
      </c>
      <c r="AP15" s="266" t="s">
        <v>1587</v>
      </c>
      <c r="AQ15" s="267" t="s">
        <v>1588</v>
      </c>
      <c r="AR15" s="266" t="s">
        <v>1589</v>
      </c>
      <c r="AS15" s="287" t="s">
        <v>1590</v>
      </c>
      <c r="AT15" s="1020" t="s">
        <v>1591</v>
      </c>
      <c r="AU15" s="273" t="s">
        <v>1592</v>
      </c>
      <c r="AV15" s="1020" t="s">
        <v>1593</v>
      </c>
      <c r="AW15" s="1021" t="s">
        <v>1594</v>
      </c>
      <c r="AX15" s="930" t="s">
        <v>1595</v>
      </c>
      <c r="AY15" s="930" t="s">
        <v>1596</v>
      </c>
      <c r="AZ15" s="343" t="str">
        <f t="shared" si="0"/>
        <v xml:space="preserve"> * La variable Trans Masculino no debe ser mayor al Total Mujeres. * La variable Trans Femenino no debe ser mayor al Total Hombre* La celda de 'Pueblos Originarios' no debe ser mayor al Total de personas bajo control. * La celda de 'Población Migrantes' no debe ser mayor al Total de personas bajo control. * La celda de 'Población SENAME' no debe ser mayor al Total de personas bajo control. * La celda de 'Población Mejor Niñez' no debe ser mayor al Total de personas bajo control. </v>
      </c>
      <c r="CC15" s="348" t="str">
        <f t="shared" si="1"/>
        <v xml:space="preserve"> * La variable Trans Masculino no debe ser mayor al Total Mujeres.</v>
      </c>
      <c r="CD15" s="348" t="str">
        <f>IF(AND(F15&gt;0,OR(AU15=""))," * No olvide digitar la variable Trans Femenino (Digite Cero si no tiene).",IF(AU15&gt;F15," * La variable Trans Femenino no debe ser mayor al Total Hombre",""))</f>
        <v xml:space="preserve"> * La variable Trans Femenino no debe ser mayor al Total Hombre</v>
      </c>
      <c r="CE15" s="459" t="str">
        <f>IF($AV15&lt;=$E15,"","* La celda de 'Pueblos Originarios' no debe ser mayor al Total de personas bajo control. ")</f>
        <v xml:space="preserve">* La celda de 'Pueblos Originarios' no debe ser mayor al Total de personas bajo control. </v>
      </c>
      <c r="CF15" s="459" t="str">
        <f>IF($AW15&lt;=$E15,"","* La celda de 'Población Migrantes' no debe ser mayor al Total de personas bajo control. ")</f>
        <v xml:space="preserve">* La celda de 'Población Migrantes' no debe ser mayor al Total de personas bajo control. </v>
      </c>
      <c r="CG15" s="459" t="str">
        <f>IF($AX15&lt;=$E15,"","* La celda de 'Población SENAME' no debe ser mayor al Total de personas bajo control. ")</f>
        <v xml:space="preserve">* La celda de 'Población SENAME' no debe ser mayor al Total de personas bajo control. </v>
      </c>
      <c r="CH15" s="459" t="str">
        <f t="shared" si="2"/>
        <v xml:space="preserve">* La celda de 'Población Mejor Niñez' no debe ser mayor al Total de personas bajo control. </v>
      </c>
      <c r="CI15" s="348"/>
      <c r="CJ15" s="348" t="str">
        <f>IF(AND($E15&lt;&gt;0,$AV15=""),"* No olvide escribir en la celda de Pueblos Originarios (Digite CERO si no tiene). ","")</f>
        <v/>
      </c>
      <c r="CK15" s="348" t="str">
        <f>IF(AND($E15&lt;&gt;0,$AW15=""),"* No olvide escribir en la celda de Población Migrantes (Digite CERO si no tiene). ","")</f>
        <v/>
      </c>
      <c r="CL15" s="348" t="str">
        <f>IF(AND($E15&lt;&gt;0,$AX15=""),"* No olvide escribir en la celda de Población SENAME (Digite CERO si no tiene). ","")</f>
        <v/>
      </c>
      <c r="CM15" s="348" t="str">
        <f t="shared" si="3"/>
        <v/>
      </c>
      <c r="CN15" s="358">
        <f t="shared" si="4"/>
        <v>1</v>
      </c>
      <c r="CO15" s="358">
        <f>IF(AND(F15&gt;0,OR(AU15="")),1,IF((AU15)&gt;F15,1,0))</f>
        <v>1</v>
      </c>
      <c r="CP15" s="460">
        <f>IF($AV15&lt;=$E15,0,1)</f>
        <v>1</v>
      </c>
      <c r="CQ15" s="460">
        <f>IF($AW15&lt;=$E15,0,1)</f>
        <v>1</v>
      </c>
      <c r="CR15" s="460">
        <f>IF($AX15&lt;=$E15,0,1)</f>
        <v>1</v>
      </c>
      <c r="CS15" s="460">
        <f t="shared" si="5"/>
        <v>1</v>
      </c>
      <c r="CT15" s="408"/>
      <c r="CU15" s="358">
        <f>IF(AND($E15&lt;&gt;0,$AV15=""),1,0)</f>
        <v>0</v>
      </c>
      <c r="CV15" s="358">
        <f>IF(AND($E15&lt;&gt;0,$AW15=""),1,0)</f>
        <v>0</v>
      </c>
      <c r="CW15" s="358">
        <f>IF(AND($E15&lt;&gt;0,$AX15=""),1,0)</f>
        <v>0</v>
      </c>
      <c r="CX15" s="358">
        <f t="shared" si="6"/>
        <v>0</v>
      </c>
    </row>
    <row r="16" spans="1:102" ht="33.75" customHeight="1" x14ac:dyDescent="0.3">
      <c r="A16" s="1655" t="s">
        <v>1448</v>
      </c>
      <c r="B16" s="2365" t="s">
        <v>608</v>
      </c>
      <c r="C16" s="1146" t="s">
        <v>560</v>
      </c>
      <c r="D16" s="1147" t="s">
        <v>622</v>
      </c>
      <c r="E16" s="1017" t="s">
        <v>1550</v>
      </c>
      <c r="F16" s="1391" t="s">
        <v>1551</v>
      </c>
      <c r="G16" s="945" t="s">
        <v>1552</v>
      </c>
      <c r="H16" s="992" t="s">
        <v>1553</v>
      </c>
      <c r="I16" s="993" t="s">
        <v>1554</v>
      </c>
      <c r="J16" s="992" t="s">
        <v>1555</v>
      </c>
      <c r="K16" s="993" t="s">
        <v>1556</v>
      </c>
      <c r="L16" s="992" t="s">
        <v>1557</v>
      </c>
      <c r="M16" s="993" t="s">
        <v>1558</v>
      </c>
      <c r="N16" s="992" t="s">
        <v>1559</v>
      </c>
      <c r="O16" s="993" t="s">
        <v>1560</v>
      </c>
      <c r="P16" s="992" t="s">
        <v>1561</v>
      </c>
      <c r="Q16" s="257" t="s">
        <v>1562</v>
      </c>
      <c r="R16" s="992" t="s">
        <v>1563</v>
      </c>
      <c r="S16" s="257" t="s">
        <v>1564</v>
      </c>
      <c r="T16" s="992" t="s">
        <v>1565</v>
      </c>
      <c r="U16" s="257" t="s">
        <v>1566</v>
      </c>
      <c r="V16" s="992" t="s">
        <v>1567</v>
      </c>
      <c r="W16" s="257" t="s">
        <v>1568</v>
      </c>
      <c r="X16" s="992" t="s">
        <v>1569</v>
      </c>
      <c r="Y16" s="257" t="s">
        <v>1570</v>
      </c>
      <c r="Z16" s="992" t="s">
        <v>1571</v>
      </c>
      <c r="AA16" s="257" t="s">
        <v>1572</v>
      </c>
      <c r="AB16" s="992" t="s">
        <v>1573</v>
      </c>
      <c r="AC16" s="257" t="s">
        <v>1574</v>
      </c>
      <c r="AD16" s="992" t="s">
        <v>1575</v>
      </c>
      <c r="AE16" s="257" t="s">
        <v>1576</v>
      </c>
      <c r="AF16" s="992" t="s">
        <v>1577</v>
      </c>
      <c r="AG16" s="257" t="s">
        <v>1578</v>
      </c>
      <c r="AH16" s="992" t="s">
        <v>1579</v>
      </c>
      <c r="AI16" s="257" t="s">
        <v>1580</v>
      </c>
      <c r="AJ16" s="992" t="s">
        <v>1581</v>
      </c>
      <c r="AK16" s="993" t="s">
        <v>1582</v>
      </c>
      <c r="AL16" s="992" t="s">
        <v>1583</v>
      </c>
      <c r="AM16" s="993" t="s">
        <v>1584</v>
      </c>
      <c r="AN16" s="992" t="s">
        <v>1585</v>
      </c>
      <c r="AO16" s="993" t="s">
        <v>1586</v>
      </c>
      <c r="AP16" s="992" t="s">
        <v>1587</v>
      </c>
      <c r="AQ16" s="993" t="s">
        <v>1588</v>
      </c>
      <c r="AR16" s="992" t="s">
        <v>1589</v>
      </c>
      <c r="AS16" s="996" t="s">
        <v>1590</v>
      </c>
      <c r="AT16" s="1018" t="s">
        <v>1591</v>
      </c>
      <c r="AU16" s="996" t="s">
        <v>1592</v>
      </c>
      <c r="AV16" s="1018" t="s">
        <v>1593</v>
      </c>
      <c r="AW16" s="1019" t="s">
        <v>1594</v>
      </c>
      <c r="AX16" s="931" t="s">
        <v>1595</v>
      </c>
      <c r="AY16" s="931" t="s">
        <v>1596</v>
      </c>
      <c r="AZ16" s="343" t="str">
        <f t="shared" si="0"/>
        <v xml:space="preserve"> * La variable Trans Masculino no debe ser mayor al Total Mujeres.* La celda de 'Pueblos Originarios' no debe ser mayor al Total de personas bajo control. * La celda de 'Población Migrantes' no debe ser mayor al Total de personas bajo control. * La celda de 'Población SENAME' no debe ser mayor al Total de personas bajo control. * La celda de 'Población Mejor Niñez' no debe ser mayor al Total de personas bajo control. </v>
      </c>
      <c r="CC16" s="348" t="str">
        <f t="shared" si="1"/>
        <v xml:space="preserve"> * La variable Trans Masculino no debe ser mayor al Total Mujeres.</v>
      </c>
      <c r="CD16" s="459"/>
      <c r="CE16" s="459" t="str">
        <f t="shared" ref="CE16:CE17" si="7">IF($AV16&lt;=$E16,"","* La celda de 'Pueblos Originarios' no debe ser mayor al Total de personas bajo control. ")</f>
        <v xml:space="preserve">* La celda de 'Pueblos Originarios' no debe ser mayor al Total de personas bajo control. </v>
      </c>
      <c r="CF16" s="459" t="str">
        <f t="shared" ref="CF16:CF17" si="8">IF($AW16&lt;=$E16,"","* La celda de 'Población Migrantes' no debe ser mayor al Total de personas bajo control. ")</f>
        <v xml:space="preserve">* La celda de 'Población Migrantes' no debe ser mayor al Total de personas bajo control. </v>
      </c>
      <c r="CG16" s="459" t="str">
        <f t="shared" ref="CG16:CG17" si="9">IF($AX16&lt;=$E16,"","* La celda de 'Población SENAME' no debe ser mayor al Total de personas bajo control. ")</f>
        <v xml:space="preserve">* La celda de 'Población SENAME' no debe ser mayor al Total de personas bajo control. </v>
      </c>
      <c r="CH16" s="459" t="str">
        <f t="shared" si="2"/>
        <v xml:space="preserve">* La celda de 'Población Mejor Niñez' no debe ser mayor al Total de personas bajo control. </v>
      </c>
      <c r="CI16" s="348"/>
      <c r="CJ16" s="348" t="str">
        <f t="shared" ref="CJ16:CJ17" si="10">IF(AND($E16&lt;&gt;0,$AV16=""),"* No olvide escribir en la celda de Pueblos Originarios (Digite CERO si no tiene). ","")</f>
        <v/>
      </c>
      <c r="CK16" s="348" t="str">
        <f t="shared" ref="CK16:CK17" si="11">IF(AND($E16&lt;&gt;0,$AW16=""),"* No olvide escribir en la celda de Población Migrantes (Digite CERO si no tiene). ","")</f>
        <v/>
      </c>
      <c r="CL16" s="348" t="str">
        <f t="shared" ref="CL16:CL17" si="12">IF(AND($E16&lt;&gt;0,$AX16=""),"* No olvide escribir en la celda de Población SENAME (Digite CERO si no tiene). ","")</f>
        <v/>
      </c>
      <c r="CM16" s="348" t="str">
        <f t="shared" si="3"/>
        <v/>
      </c>
      <c r="CN16" s="358">
        <f t="shared" si="4"/>
        <v>1</v>
      </c>
      <c r="CO16" s="460"/>
      <c r="CP16" s="460">
        <f t="shared" ref="CP16:CP17" si="13">IF($AV16&lt;=$E16,0,1)</f>
        <v>1</v>
      </c>
      <c r="CQ16" s="460">
        <f t="shared" ref="CQ16:CQ17" si="14">IF($AW16&lt;=$E16,0,1)</f>
        <v>1</v>
      </c>
      <c r="CR16" s="460">
        <f t="shared" ref="CR16:CR17" si="15">IF($AX16&lt;=$E16,0,1)</f>
        <v>1</v>
      </c>
      <c r="CS16" s="460">
        <f t="shared" si="5"/>
        <v>1</v>
      </c>
      <c r="CT16" s="408"/>
      <c r="CU16" s="358">
        <f t="shared" ref="CU16:CU17" si="16">IF(AND($E16&lt;&gt;0,$AV16=""),1,0)</f>
        <v>0</v>
      </c>
      <c r="CV16" s="358">
        <f t="shared" ref="CV16:CV17" si="17">IF(AND($E16&lt;&gt;0,$AW16=""),1,0)</f>
        <v>0</v>
      </c>
      <c r="CW16" s="358">
        <f t="shared" ref="CW16:CW17" si="18">IF(AND($E16&lt;&gt;0,$AX16=""),1,0)</f>
        <v>0</v>
      </c>
      <c r="CX16" s="358">
        <f t="shared" si="6"/>
        <v>0</v>
      </c>
    </row>
    <row r="17" spans="1:102" ht="27" customHeight="1" x14ac:dyDescent="0.3">
      <c r="A17" s="1655" t="s">
        <v>1449</v>
      </c>
      <c r="B17" s="2055"/>
      <c r="C17" s="1118" t="s">
        <v>563</v>
      </c>
      <c r="D17" s="1148" t="s">
        <v>622</v>
      </c>
      <c r="E17" s="952" t="s">
        <v>1550</v>
      </c>
      <c r="F17" s="953" t="s">
        <v>1551</v>
      </c>
      <c r="G17" s="948" t="s">
        <v>1552</v>
      </c>
      <c r="H17" s="266" t="s">
        <v>1553</v>
      </c>
      <c r="I17" s="267" t="s">
        <v>1554</v>
      </c>
      <c r="J17" s="266" t="s">
        <v>1555</v>
      </c>
      <c r="K17" s="267" t="s">
        <v>1556</v>
      </c>
      <c r="L17" s="266" t="s">
        <v>1557</v>
      </c>
      <c r="M17" s="267" t="s">
        <v>1558</v>
      </c>
      <c r="N17" s="266" t="s">
        <v>1559</v>
      </c>
      <c r="O17" s="267" t="s">
        <v>1560</v>
      </c>
      <c r="P17" s="266" t="s">
        <v>1561</v>
      </c>
      <c r="Q17" s="267" t="s">
        <v>1562</v>
      </c>
      <c r="R17" s="266" t="s">
        <v>1563</v>
      </c>
      <c r="S17" s="267" t="s">
        <v>1564</v>
      </c>
      <c r="T17" s="266" t="s">
        <v>1565</v>
      </c>
      <c r="U17" s="267" t="s">
        <v>1566</v>
      </c>
      <c r="V17" s="266" t="s">
        <v>1567</v>
      </c>
      <c r="W17" s="267" t="s">
        <v>1568</v>
      </c>
      <c r="X17" s="266" t="s">
        <v>1569</v>
      </c>
      <c r="Y17" s="267" t="s">
        <v>1570</v>
      </c>
      <c r="Z17" s="266" t="s">
        <v>1571</v>
      </c>
      <c r="AA17" s="267" t="s">
        <v>1572</v>
      </c>
      <c r="AB17" s="266" t="s">
        <v>1573</v>
      </c>
      <c r="AC17" s="267" t="s">
        <v>1574</v>
      </c>
      <c r="AD17" s="266" t="s">
        <v>1575</v>
      </c>
      <c r="AE17" s="267" t="s">
        <v>1576</v>
      </c>
      <c r="AF17" s="266" t="s">
        <v>1577</v>
      </c>
      <c r="AG17" s="267" t="s">
        <v>1578</v>
      </c>
      <c r="AH17" s="266" t="s">
        <v>1579</v>
      </c>
      <c r="AI17" s="267" t="s">
        <v>1580</v>
      </c>
      <c r="AJ17" s="266" t="s">
        <v>1581</v>
      </c>
      <c r="AK17" s="267" t="s">
        <v>1582</v>
      </c>
      <c r="AL17" s="266" t="s">
        <v>1583</v>
      </c>
      <c r="AM17" s="267" t="s">
        <v>1584</v>
      </c>
      <c r="AN17" s="266" t="s">
        <v>1585</v>
      </c>
      <c r="AO17" s="267" t="s">
        <v>1586</v>
      </c>
      <c r="AP17" s="266" t="s">
        <v>1587</v>
      </c>
      <c r="AQ17" s="267" t="s">
        <v>1588</v>
      </c>
      <c r="AR17" s="266" t="s">
        <v>1589</v>
      </c>
      <c r="AS17" s="287" t="s">
        <v>1590</v>
      </c>
      <c r="AT17" s="1020" t="s">
        <v>1591</v>
      </c>
      <c r="AU17" s="273" t="s">
        <v>1592</v>
      </c>
      <c r="AV17" s="1020" t="s">
        <v>1593</v>
      </c>
      <c r="AW17" s="1021" t="s">
        <v>1594</v>
      </c>
      <c r="AX17" s="930" t="s">
        <v>1595</v>
      </c>
      <c r="AY17" s="930" t="s">
        <v>1596</v>
      </c>
      <c r="AZ17" s="343" t="str">
        <f t="shared" si="0"/>
        <v xml:space="preserve"> * La variable Trans Masculino no debe ser mayor al Total Mujeres.* La celda de 'Pueblos Originarios' no debe ser mayor al Total de personas bajo control. * La celda de 'Población Migrantes' no debe ser mayor al Total de personas bajo control. * La celda de 'Población SENAME' no debe ser mayor al Total de personas bajo control. * La celda de 'Población Mejor Niñez' no debe ser mayor al Total de personas bajo control. </v>
      </c>
      <c r="CC17" s="348" t="str">
        <f t="shared" si="1"/>
        <v xml:space="preserve"> * La variable Trans Masculino no debe ser mayor al Total Mujeres.</v>
      </c>
      <c r="CD17" s="459"/>
      <c r="CE17" s="459" t="str">
        <f t="shared" si="7"/>
        <v xml:space="preserve">* La celda de 'Pueblos Originarios' no debe ser mayor al Total de personas bajo control. </v>
      </c>
      <c r="CF17" s="459" t="str">
        <f t="shared" si="8"/>
        <v xml:space="preserve">* La celda de 'Población Migrantes' no debe ser mayor al Total de personas bajo control. </v>
      </c>
      <c r="CG17" s="459" t="str">
        <f t="shared" si="9"/>
        <v xml:space="preserve">* La celda de 'Población SENAME' no debe ser mayor al Total de personas bajo control. </v>
      </c>
      <c r="CH17" s="459" t="str">
        <f t="shared" si="2"/>
        <v xml:space="preserve">* La celda de 'Población Mejor Niñez' no debe ser mayor al Total de personas bajo control. </v>
      </c>
      <c r="CI17" s="348"/>
      <c r="CJ17" s="348" t="str">
        <f t="shared" si="10"/>
        <v/>
      </c>
      <c r="CK17" s="348" t="str">
        <f t="shared" si="11"/>
        <v/>
      </c>
      <c r="CL17" s="348" t="str">
        <f t="shared" si="12"/>
        <v/>
      </c>
      <c r="CM17" s="348" t="str">
        <f t="shared" si="3"/>
        <v/>
      </c>
      <c r="CN17" s="358">
        <f t="shared" si="4"/>
        <v>1</v>
      </c>
      <c r="CO17" s="460"/>
      <c r="CP17" s="460">
        <f t="shared" si="13"/>
        <v>1</v>
      </c>
      <c r="CQ17" s="460">
        <f t="shared" si="14"/>
        <v>1</v>
      </c>
      <c r="CR17" s="460">
        <f t="shared" si="15"/>
        <v>1</v>
      </c>
      <c r="CS17" s="460">
        <f t="shared" si="5"/>
        <v>1</v>
      </c>
      <c r="CT17" s="408"/>
      <c r="CU17" s="358">
        <f t="shared" si="16"/>
        <v>0</v>
      </c>
      <c r="CV17" s="358">
        <f t="shared" si="17"/>
        <v>0</v>
      </c>
      <c r="CW17" s="358">
        <f t="shared" si="18"/>
        <v>0</v>
      </c>
      <c r="CX17" s="358">
        <f t="shared" si="6"/>
        <v>0</v>
      </c>
    </row>
    <row r="18" spans="1:102" ht="22.5" customHeight="1" x14ac:dyDescent="0.3">
      <c r="B18" s="461" t="s">
        <v>646</v>
      </c>
      <c r="C18" s="458"/>
      <c r="D18" s="458"/>
      <c r="E18" s="458"/>
      <c r="F18" s="458"/>
      <c r="G18" s="458"/>
      <c r="H18" s="457"/>
      <c r="I18" s="457"/>
      <c r="J18" s="457"/>
      <c r="K18" s="457"/>
      <c r="L18" s="457"/>
      <c r="M18" s="457"/>
      <c r="R18" s="55"/>
      <c r="CC18" s="354"/>
      <c r="CD18" s="354"/>
      <c r="CE18" s="354"/>
      <c r="CF18" s="354"/>
      <c r="CG18" s="354"/>
      <c r="CH18" s="354"/>
      <c r="CI18" s="354"/>
      <c r="CJ18" s="354"/>
      <c r="CK18" s="354"/>
      <c r="CL18" s="354"/>
      <c r="CM18" s="354"/>
      <c r="CN18" s="354"/>
      <c r="CO18" s="354"/>
      <c r="CP18" s="354"/>
      <c r="CQ18" s="354"/>
      <c r="CR18" s="354"/>
      <c r="CS18" s="354"/>
      <c r="CT18" s="354"/>
      <c r="CU18" s="354"/>
      <c r="CV18" s="354"/>
      <c r="CW18" s="354"/>
      <c r="CX18" s="354"/>
    </row>
    <row r="19" spans="1:102" ht="24" customHeight="1" x14ac:dyDescent="0.3">
      <c r="B19" s="2503" t="s">
        <v>151</v>
      </c>
      <c r="C19" s="2501" t="s">
        <v>13</v>
      </c>
      <c r="D19" s="2476"/>
      <c r="E19" s="2477"/>
      <c r="F19" s="2100" t="s">
        <v>506</v>
      </c>
      <c r="G19" s="2499"/>
      <c r="H19" s="2499"/>
      <c r="I19" s="2499"/>
      <c r="J19" s="2499"/>
      <c r="K19" s="2499"/>
      <c r="L19" s="2499"/>
      <c r="M19" s="2499"/>
      <c r="N19" s="2499"/>
      <c r="O19" s="2499"/>
      <c r="P19" s="2499"/>
      <c r="Q19" s="2499"/>
      <c r="R19" s="2499"/>
      <c r="S19" s="2499"/>
      <c r="T19" s="2499"/>
      <c r="U19" s="2499"/>
      <c r="V19" s="2499"/>
      <c r="W19" s="2499"/>
      <c r="X19" s="2499"/>
      <c r="Y19" s="2499"/>
      <c r="Z19" s="2499"/>
      <c r="AA19" s="2499"/>
      <c r="AB19" s="2499"/>
      <c r="AC19" s="2499"/>
      <c r="AD19" s="2499"/>
      <c r="AE19" s="2499"/>
      <c r="AF19" s="2499"/>
      <c r="AG19" s="2500"/>
      <c r="AH19" s="2052" t="s">
        <v>249</v>
      </c>
      <c r="AI19" s="2365"/>
      <c r="AJ19" s="2485" t="s">
        <v>15</v>
      </c>
      <c r="AK19" s="2365" t="s">
        <v>685</v>
      </c>
      <c r="CC19" s="354"/>
      <c r="CD19" s="2165" t="s">
        <v>249</v>
      </c>
      <c r="CE19" s="2165"/>
      <c r="CF19" s="2165" t="s">
        <v>15</v>
      </c>
      <c r="CG19" s="2165" t="s">
        <v>465</v>
      </c>
      <c r="CH19" s="2165"/>
      <c r="CI19" s="2470" t="s">
        <v>15</v>
      </c>
      <c r="CJ19" s="2470" t="s">
        <v>465</v>
      </c>
      <c r="CK19" s="354"/>
      <c r="CL19" s="354"/>
      <c r="CM19" s="354"/>
      <c r="CN19" s="354"/>
      <c r="CO19" s="2307" t="s">
        <v>249</v>
      </c>
      <c r="CP19" s="2505"/>
      <c r="CQ19" s="2505"/>
      <c r="CR19" s="2307"/>
      <c r="CS19" s="2307" t="s">
        <v>15</v>
      </c>
      <c r="CT19" s="2307" t="s">
        <v>465</v>
      </c>
      <c r="CU19" s="2307"/>
      <c r="CV19" s="2310" t="s">
        <v>15</v>
      </c>
      <c r="CW19" s="2310" t="s">
        <v>465</v>
      </c>
      <c r="CX19" s="354"/>
    </row>
    <row r="20" spans="1:102" ht="25.5" customHeight="1" x14ac:dyDescent="0.3">
      <c r="B20" s="2503"/>
      <c r="C20" s="2502"/>
      <c r="D20" s="2480"/>
      <c r="E20" s="2481"/>
      <c r="F20" s="2114" t="s">
        <v>17</v>
      </c>
      <c r="G20" s="2115"/>
      <c r="H20" s="2114" t="s">
        <v>18</v>
      </c>
      <c r="I20" s="2115"/>
      <c r="J20" s="2114" t="s">
        <v>19</v>
      </c>
      <c r="K20" s="2115"/>
      <c r="L20" s="2496" t="s">
        <v>20</v>
      </c>
      <c r="M20" s="2495"/>
      <c r="N20" s="2496" t="s">
        <v>21</v>
      </c>
      <c r="O20" s="2495"/>
      <c r="P20" s="2496" t="s">
        <v>22</v>
      </c>
      <c r="Q20" s="2495"/>
      <c r="R20" s="2496" t="s">
        <v>23</v>
      </c>
      <c r="S20" s="2495"/>
      <c r="T20" s="2496" t="s">
        <v>24</v>
      </c>
      <c r="U20" s="2495"/>
      <c r="V20" s="2496" t="s">
        <v>208</v>
      </c>
      <c r="W20" s="2495"/>
      <c r="X20" s="2496" t="s">
        <v>209</v>
      </c>
      <c r="Y20" s="2495"/>
      <c r="Z20" s="2496" t="s">
        <v>181</v>
      </c>
      <c r="AA20" s="2495"/>
      <c r="AB20" s="2114" t="s">
        <v>182</v>
      </c>
      <c r="AC20" s="2490"/>
      <c r="AD20" s="2114" t="s">
        <v>183</v>
      </c>
      <c r="AE20" s="2490"/>
      <c r="AF20" s="2114" t="s">
        <v>195</v>
      </c>
      <c r="AG20" s="2491"/>
      <c r="AH20" s="2054"/>
      <c r="AI20" s="2055"/>
      <c r="AJ20" s="2486"/>
      <c r="AK20" s="2176"/>
      <c r="CC20" s="354"/>
      <c r="CD20" s="2165"/>
      <c r="CE20" s="2165"/>
      <c r="CF20" s="2165"/>
      <c r="CG20" s="2165"/>
      <c r="CH20" s="2165"/>
      <c r="CI20" s="2306"/>
      <c r="CJ20" s="2306"/>
      <c r="CK20" s="354"/>
      <c r="CL20" s="354"/>
      <c r="CM20" s="354"/>
      <c r="CN20" s="354"/>
      <c r="CO20" s="2307"/>
      <c r="CP20" s="2505"/>
      <c r="CQ20" s="2505"/>
      <c r="CR20" s="2307"/>
      <c r="CS20" s="2307"/>
      <c r="CT20" s="2307"/>
      <c r="CU20" s="2307"/>
      <c r="CV20" s="2311"/>
      <c r="CW20" s="2311"/>
      <c r="CX20" s="354"/>
    </row>
    <row r="21" spans="1:102" ht="27.75" customHeight="1" x14ac:dyDescent="0.3">
      <c r="B21" s="2503"/>
      <c r="C21" s="176" t="s">
        <v>93</v>
      </c>
      <c r="D21" s="211" t="s">
        <v>31</v>
      </c>
      <c r="E21" s="212" t="s">
        <v>94</v>
      </c>
      <c r="F21" s="59" t="s">
        <v>129</v>
      </c>
      <c r="G21" s="213" t="s">
        <v>94</v>
      </c>
      <c r="H21" s="59" t="s">
        <v>129</v>
      </c>
      <c r="I21" s="213" t="s">
        <v>94</v>
      </c>
      <c r="J21" s="59" t="s">
        <v>129</v>
      </c>
      <c r="K21" s="213" t="s">
        <v>94</v>
      </c>
      <c r="L21" s="59" t="s">
        <v>129</v>
      </c>
      <c r="M21" s="213" t="s">
        <v>94</v>
      </c>
      <c r="N21" s="59" t="s">
        <v>129</v>
      </c>
      <c r="O21" s="213" t="s">
        <v>94</v>
      </c>
      <c r="P21" s="59" t="s">
        <v>129</v>
      </c>
      <c r="Q21" s="213" t="s">
        <v>94</v>
      </c>
      <c r="R21" s="59" t="s">
        <v>129</v>
      </c>
      <c r="S21" s="213" t="s">
        <v>94</v>
      </c>
      <c r="T21" s="59" t="s">
        <v>129</v>
      </c>
      <c r="U21" s="213" t="s">
        <v>94</v>
      </c>
      <c r="V21" s="59" t="s">
        <v>129</v>
      </c>
      <c r="W21" s="213" t="s">
        <v>94</v>
      </c>
      <c r="X21" s="59" t="s">
        <v>129</v>
      </c>
      <c r="Y21" s="213" t="s">
        <v>94</v>
      </c>
      <c r="Z21" s="59" t="s">
        <v>129</v>
      </c>
      <c r="AA21" s="213" t="s">
        <v>94</v>
      </c>
      <c r="AB21" s="59" t="s">
        <v>129</v>
      </c>
      <c r="AC21" s="213" t="s">
        <v>94</v>
      </c>
      <c r="AD21" s="59" t="s">
        <v>129</v>
      </c>
      <c r="AE21" s="213" t="s">
        <v>94</v>
      </c>
      <c r="AF21" s="59" t="s">
        <v>129</v>
      </c>
      <c r="AG21" s="215" t="s">
        <v>94</v>
      </c>
      <c r="AH21" s="305" t="s">
        <v>463</v>
      </c>
      <c r="AI21" s="213" t="s">
        <v>464</v>
      </c>
      <c r="AJ21" s="1879"/>
      <c r="AK21" s="2055"/>
      <c r="CC21" s="354"/>
      <c r="CD21" s="898" t="s">
        <v>463</v>
      </c>
      <c r="CE21" s="898" t="s">
        <v>542</v>
      </c>
      <c r="CF21" s="2165"/>
      <c r="CG21" s="2165"/>
      <c r="CH21" s="898"/>
      <c r="CI21" s="898" t="s">
        <v>540</v>
      </c>
      <c r="CJ21" s="898" t="s">
        <v>540</v>
      </c>
      <c r="CK21" s="354"/>
      <c r="CL21" s="354"/>
      <c r="CM21" s="354"/>
      <c r="CN21" s="354"/>
      <c r="CO21" s="902" t="s">
        <v>463</v>
      </c>
      <c r="CP21" s="1620"/>
      <c r="CQ21" s="1620"/>
      <c r="CR21" s="902"/>
      <c r="CS21" s="2307"/>
      <c r="CT21" s="2307"/>
      <c r="CU21" s="902"/>
      <c r="CV21" s="902" t="s">
        <v>540</v>
      </c>
      <c r="CW21" s="902" t="s">
        <v>540</v>
      </c>
      <c r="CX21" s="354"/>
    </row>
    <row r="22" spans="1:102" ht="26.25" customHeight="1" x14ac:dyDescent="0.3">
      <c r="A22" s="1655" t="s">
        <v>1450</v>
      </c>
      <c r="B22" s="216" t="s">
        <v>252</v>
      </c>
      <c r="C22" s="882" t="s">
        <v>1550</v>
      </c>
      <c r="D22" s="883" t="s">
        <v>1551</v>
      </c>
      <c r="E22" s="881" t="s">
        <v>1552</v>
      </c>
      <c r="F22" s="242" t="s">
        <v>1553</v>
      </c>
      <c r="G22" s="884" t="s">
        <v>1554</v>
      </c>
      <c r="H22" s="242" t="s">
        <v>1555</v>
      </c>
      <c r="I22" s="884" t="s">
        <v>1556</v>
      </c>
      <c r="J22" s="242" t="s">
        <v>1557</v>
      </c>
      <c r="K22" s="884" t="s">
        <v>1558</v>
      </c>
      <c r="L22" s="242" t="s">
        <v>1559</v>
      </c>
      <c r="M22" s="884" t="s">
        <v>1560</v>
      </c>
      <c r="N22" s="242" t="s">
        <v>1561</v>
      </c>
      <c r="O22" s="884" t="s">
        <v>1562</v>
      </c>
      <c r="P22" s="242" t="s">
        <v>1563</v>
      </c>
      <c r="Q22" s="884" t="s">
        <v>1564</v>
      </c>
      <c r="R22" s="242" t="s">
        <v>1565</v>
      </c>
      <c r="S22" s="884" t="s">
        <v>1566</v>
      </c>
      <c r="T22" s="242" t="s">
        <v>1567</v>
      </c>
      <c r="U22" s="884" t="s">
        <v>1568</v>
      </c>
      <c r="V22" s="242" t="s">
        <v>1569</v>
      </c>
      <c r="W22" s="884" t="s">
        <v>1570</v>
      </c>
      <c r="X22" s="242" t="s">
        <v>1571</v>
      </c>
      <c r="Y22" s="884" t="s">
        <v>1572</v>
      </c>
      <c r="Z22" s="242" t="s">
        <v>1573</v>
      </c>
      <c r="AA22" s="884" t="s">
        <v>1574</v>
      </c>
      <c r="AB22" s="242" t="s">
        <v>1575</v>
      </c>
      <c r="AC22" s="884" t="s">
        <v>1576</v>
      </c>
      <c r="AD22" s="242" t="s">
        <v>1577</v>
      </c>
      <c r="AE22" s="884" t="s">
        <v>1578</v>
      </c>
      <c r="AF22" s="242" t="s">
        <v>1579</v>
      </c>
      <c r="AG22" s="285" t="s">
        <v>1580</v>
      </c>
      <c r="AH22" s="885" t="s">
        <v>1581</v>
      </c>
      <c r="AI22" s="1024" t="s">
        <v>1582</v>
      </c>
      <c r="AJ22" s="1025" t="s">
        <v>1583</v>
      </c>
      <c r="AK22" s="1024" t="s">
        <v>1584</v>
      </c>
      <c r="AL22" s="343" t="str">
        <f xml:space="preserve"> CD22 &amp; CE22 &amp; CF22 &amp; CG22 &amp; CH22 &amp; CI22 &amp; CJ22</f>
        <v xml:space="preserve"> * La variable Trans Masculino no debe ser mayor al Total Mujeres. * La variable Trans Femenino no debe ser mayor al Total Hombres.* La celda de 'Pueblos Originarios' no debe ser mayor al Total de personas bajo control. * La celda de 'Población Migrantes' no debe ser mayor al Total de personas bajo control. </v>
      </c>
      <c r="CC22" s="354"/>
      <c r="CD22" s="348" t="str">
        <f>IF(AND(E22&gt;0,OR(AH22=""))," * No olvide digitar la variable Trans Masculino. (Digite Cero si no tiene).",IF(AH22&gt;E22," * La variable Trans Masculino no debe ser mayor al Total Mujeres.",""))</f>
        <v xml:space="preserve"> * La variable Trans Masculino no debe ser mayor al Total Mujeres.</v>
      </c>
      <c r="CE22" s="348" t="str">
        <f>IF(AND(D22&gt;0,OR(AI22=""))," * No olvide digitar la variable Trans Femenino (Digite Cero si no tiene).",IF(AI22&gt;D22," * La variable Trans Femenino no debe ser mayor al Total Hombres.",""))</f>
        <v xml:space="preserve"> * La variable Trans Femenino no debe ser mayor al Total Hombres.</v>
      </c>
      <c r="CF22" s="459" t="str">
        <f>IF($AJ22&lt;=$C22,"","* La celda de 'Pueblos Originarios' no debe ser mayor al Total de personas bajo control. ")</f>
        <v xml:space="preserve">* La celda de 'Pueblos Originarios' no debe ser mayor al Total de personas bajo control. </v>
      </c>
      <c r="CG22" s="459" t="str">
        <f>IF($AK22&lt;=$C22,"","* La celda de 'Población Migrantes' no debe ser mayor al Total de personas bajo control. ")</f>
        <v xml:space="preserve">* La celda de 'Población Migrantes' no debe ser mayor al Total de personas bajo control. </v>
      </c>
      <c r="CH22" s="348"/>
      <c r="CI22" s="348" t="str">
        <f>IF(AND($C22&lt;&gt;0,$AJ22=""),"* No olvide escribir en la celda de Pueblos Originarios (Digite CERO si no tiene). ","")</f>
        <v/>
      </c>
      <c r="CJ22" s="348" t="str">
        <f>IF(AND($C22&lt;&gt;0,$AK22=""),"* No olvide escribir en la celda de Población Migrantes (Digite CERO si no tiene). ","")</f>
        <v/>
      </c>
      <c r="CK22" s="354"/>
      <c r="CL22" s="314"/>
      <c r="CM22" s="354"/>
      <c r="CN22" s="354"/>
      <c r="CO22" s="358">
        <f>IF(AND(E22&gt;0,OR(AH22="")),1,IF((AH22)&gt;E22,1,0))</f>
        <v>1</v>
      </c>
      <c r="CP22" s="358">
        <f>IF(AND(D22&gt;0,OR(AI22="")),1,IF((AI22)&gt;D22,1,0))</f>
        <v>1</v>
      </c>
      <c r="CQ22" s="460"/>
      <c r="CR22" s="460"/>
      <c r="CS22" s="460">
        <f>IF($AJ22&lt;=$C22,0,1)</f>
        <v>1</v>
      </c>
      <c r="CT22" s="460">
        <f>IF($AK22&lt;=$C22,0,1)</f>
        <v>1</v>
      </c>
      <c r="CU22" s="358"/>
      <c r="CV22" s="358">
        <f>IF(AND($C22&lt;&gt;0,$AJ22=""),1,0)</f>
        <v>0</v>
      </c>
      <c r="CW22" s="358">
        <f>IF(AND($C22&lt;&gt;0,$AK22=""),1,0)</f>
        <v>0</v>
      </c>
      <c r="CX22" s="354"/>
    </row>
    <row r="23" spans="1:102" x14ac:dyDescent="0.3">
      <c r="CL23" s="57"/>
      <c r="CM23" s="57"/>
      <c r="CN23" s="57"/>
      <c r="CO23" s="57"/>
      <c r="CP23" s="57"/>
      <c r="CQ23" s="57"/>
    </row>
    <row r="24" spans="1:102" x14ac:dyDescent="0.3">
      <c r="R24" s="55"/>
      <c r="CL24" s="57"/>
      <c r="CM24" s="57"/>
      <c r="CN24" s="57"/>
      <c r="CO24" s="57"/>
      <c r="CP24" s="57"/>
      <c r="CQ24" s="57"/>
    </row>
    <row r="25" spans="1:102" x14ac:dyDescent="0.3">
      <c r="CL25" s="57"/>
      <c r="CM25" s="57"/>
      <c r="CN25" s="57"/>
    </row>
    <row r="26" spans="1:102" x14ac:dyDescent="0.3">
      <c r="CL26" s="57"/>
      <c r="CM26" s="57"/>
      <c r="CN26" s="57"/>
    </row>
    <row r="27" spans="1:102" x14ac:dyDescent="0.3">
      <c r="CL27" s="57"/>
      <c r="CM27" s="57"/>
      <c r="CN27" s="57"/>
    </row>
    <row r="28" spans="1:102" x14ac:dyDescent="0.3">
      <c r="CL28" s="57"/>
      <c r="CM28" s="57"/>
    </row>
    <row r="29" spans="1:102" x14ac:dyDescent="0.3">
      <c r="CL29" s="57"/>
      <c r="CM29" s="57"/>
    </row>
    <row r="30" spans="1:102" x14ac:dyDescent="0.3">
      <c r="CL30" s="57"/>
    </row>
    <row r="33" spans="2:79" ht="14.4" hidden="1" customHeight="1" x14ac:dyDescent="0.2">
      <c r="B33" s="1181">
        <f>SUM(E12:E17,C22)</f>
        <v>0</v>
      </c>
      <c r="C33" s="348" t="s">
        <v>317</v>
      </c>
      <c r="D33" s="175"/>
      <c r="E33" s="175"/>
      <c r="F33" s="175"/>
      <c r="G33" s="175"/>
      <c r="H33" s="175"/>
      <c r="I33" s="175"/>
      <c r="J33" s="175"/>
      <c r="K33" s="175"/>
      <c r="L33" s="175"/>
      <c r="M33" s="175"/>
      <c r="N33" s="175"/>
      <c r="O33" s="175"/>
      <c r="P33" s="175"/>
      <c r="Q33" s="175"/>
      <c r="R33" s="175"/>
      <c r="S33" s="175"/>
      <c r="BC33" s="175"/>
      <c r="BD33" s="175"/>
      <c r="BE33" s="175"/>
      <c r="BF33" s="175"/>
      <c r="BG33" s="175"/>
      <c r="BH33" s="175"/>
      <c r="BI33" s="175"/>
      <c r="BJ33" s="175"/>
      <c r="BK33" s="175"/>
      <c r="BL33" s="175"/>
      <c r="BM33" s="175"/>
      <c r="BN33" s="175"/>
      <c r="BO33" s="175"/>
      <c r="BP33" s="175"/>
      <c r="BQ33" s="175"/>
      <c r="BR33" s="175"/>
      <c r="BS33" s="175"/>
      <c r="BT33" s="175"/>
      <c r="BU33" s="175"/>
      <c r="BV33" s="175"/>
      <c r="BW33" s="175"/>
      <c r="BX33" s="175"/>
      <c r="BY33" s="175"/>
      <c r="BZ33" s="175"/>
      <c r="CA33" s="175"/>
    </row>
    <row r="34" spans="2:79" ht="14.4" hidden="1" customHeight="1" x14ac:dyDescent="0.3">
      <c r="B34" s="1181">
        <f>SUM(CN12:CX22)</f>
        <v>36</v>
      </c>
      <c r="C34" s="348" t="s">
        <v>318</v>
      </c>
      <c r="D34" s="175"/>
      <c r="E34" s="175"/>
      <c r="F34" s="175"/>
      <c r="G34" s="175"/>
      <c r="H34" s="175"/>
      <c r="I34" s="175"/>
      <c r="J34" s="175"/>
      <c r="K34" s="175"/>
      <c r="L34" s="175"/>
      <c r="M34" s="175"/>
      <c r="N34" s="175"/>
      <c r="O34" s="175"/>
      <c r="P34" s="175"/>
      <c r="Q34" s="175"/>
      <c r="R34" s="175"/>
      <c r="S34" s="175"/>
    </row>
  </sheetData>
  <mergeCells count="84">
    <mergeCell ref="CU19:CU20"/>
    <mergeCell ref="CV19:CV20"/>
    <mergeCell ref="CW19:CW20"/>
    <mergeCell ref="CP9:CP11"/>
    <mergeCell ref="CQ9:CQ11"/>
    <mergeCell ref="CI19:CI20"/>
    <mergeCell ref="CJ19:CJ20"/>
    <mergeCell ref="CO19:CR20"/>
    <mergeCell ref="CS19:CS21"/>
    <mergeCell ref="CT19:CT21"/>
    <mergeCell ref="AX9:AX11"/>
    <mergeCell ref="CD19:CE20"/>
    <mergeCell ref="CF19:CF21"/>
    <mergeCell ref="CG19:CG21"/>
    <mergeCell ref="CH19:CH20"/>
    <mergeCell ref="AY9:AY11"/>
    <mergeCell ref="B19:B21"/>
    <mergeCell ref="C19:E20"/>
    <mergeCell ref="F19:AG19"/>
    <mergeCell ref="F20:G20"/>
    <mergeCell ref="H20:I20"/>
    <mergeCell ref="L20:M20"/>
    <mergeCell ref="N20:O20"/>
    <mergeCell ref="P20:Q20"/>
    <mergeCell ref="J20:K20"/>
    <mergeCell ref="T20:U20"/>
    <mergeCell ref="X20:Y20"/>
    <mergeCell ref="AF20:AG20"/>
    <mergeCell ref="V20:W20"/>
    <mergeCell ref="R20:S20"/>
    <mergeCell ref="Z20:AA20"/>
    <mergeCell ref="AB20:AC20"/>
    <mergeCell ref="X10:Y10"/>
    <mergeCell ref="V10:W10"/>
    <mergeCell ref="B7:R7"/>
    <mergeCell ref="H9:AS9"/>
    <mergeCell ref="AL10:AM10"/>
    <mergeCell ref="P10:Q10"/>
    <mergeCell ref="R10:S10"/>
    <mergeCell ref="AN10:AO10"/>
    <mergeCell ref="AJ10:AK10"/>
    <mergeCell ref="AB10:AC10"/>
    <mergeCell ref="AH10:AI10"/>
    <mergeCell ref="AD10:AE10"/>
    <mergeCell ref="AF10:AG10"/>
    <mergeCell ref="E9:G10"/>
    <mergeCell ref="C14:C15"/>
    <mergeCell ref="AW9:AW11"/>
    <mergeCell ref="AK19:AK21"/>
    <mergeCell ref="AJ19:AJ21"/>
    <mergeCell ref="AV9:AV11"/>
    <mergeCell ref="AR10:AS10"/>
    <mergeCell ref="AP10:AQ10"/>
    <mergeCell ref="AT9:AU10"/>
    <mergeCell ref="AH19:AI20"/>
    <mergeCell ref="AD20:AE20"/>
    <mergeCell ref="H10:I10"/>
    <mergeCell ref="J10:K10"/>
    <mergeCell ref="L10:M10"/>
    <mergeCell ref="N10:O10"/>
    <mergeCell ref="Z10:AA10"/>
    <mergeCell ref="T10:U10"/>
    <mergeCell ref="B16:B17"/>
    <mergeCell ref="CV9:CV10"/>
    <mergeCell ref="CG9:CG11"/>
    <mergeCell ref="CR9:CR11"/>
    <mergeCell ref="CU9:CU10"/>
    <mergeCell ref="CC9:CD10"/>
    <mergeCell ref="CE9:CE11"/>
    <mergeCell ref="CF9:CF11"/>
    <mergeCell ref="CI9:CI10"/>
    <mergeCell ref="CT9:CT10"/>
    <mergeCell ref="CK9:CK10"/>
    <mergeCell ref="CJ9:CJ10"/>
    <mergeCell ref="CN9:CO10"/>
    <mergeCell ref="B12:B15"/>
    <mergeCell ref="C12:C13"/>
    <mergeCell ref="B9:D11"/>
    <mergeCell ref="CX9:CX10"/>
    <mergeCell ref="CL9:CL10"/>
    <mergeCell ref="CH9:CH11"/>
    <mergeCell ref="CM9:CM10"/>
    <mergeCell ref="CS9:CS11"/>
    <mergeCell ref="CW9:CW10"/>
  </mergeCells>
  <phoneticPr fontId="26" type="noConversion"/>
  <dataValidations count="2">
    <dataValidation type="whole" allowBlank="1" showInputMessage="1" showErrorMessage="1" sqref="B1" xr:uid="{00000000-0002-0000-0900-000000000000}">
      <formula1>0</formula1>
      <formula2>1E+46</formula2>
    </dataValidation>
    <dataValidation type="whole" operator="greaterThanOrEqual" allowBlank="1" showInputMessage="1" showErrorMessage="1" sqref="H12:AY17 F22:AK22" xr:uid="{00000000-0002-0000-0900-000001000000}">
      <formula1>0</formula1>
    </dataValidation>
  </dataValidations>
  <pageMargins left="0.70866141732283472" right="0.70866141732283472" top="0.74803149606299213" bottom="0.74803149606299213" header="0.31496062992125984" footer="0.31496062992125984"/>
  <pageSetup scale="60" pageOrder="overThenDown" orientation="landscape" r:id="rId1"/>
  <colBreaks count="2" manualBreakCount="2">
    <brk id="15" max="20" man="1"/>
    <brk id="31" max="20" man="1"/>
  </col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BE200"/>
  <sheetViews>
    <sheetView showGridLines="0" zoomScaleNormal="100" workbookViewId="0"/>
  </sheetViews>
  <sheetFormatPr baseColWidth="10" defaultColWidth="11.44140625" defaultRowHeight="14.4" x14ac:dyDescent="0.3"/>
  <cols>
    <col min="1" max="1" width="15.88671875" style="218" customWidth="1"/>
    <col min="2" max="2" width="23.88671875" style="227" customWidth="1"/>
    <col min="3" max="11" width="18" style="227" customWidth="1"/>
    <col min="12" max="12" width="18" style="218" customWidth="1"/>
    <col min="13" max="13" width="18.5546875" style="218" customWidth="1"/>
    <col min="14" max="26" width="10.109375" style="320" customWidth="1"/>
    <col min="27" max="27" width="12.88671875" style="320" customWidth="1"/>
    <col min="28" max="29" width="12.88671875" style="218" hidden="1" customWidth="1"/>
    <col min="30" max="31" width="11.44140625" style="960" hidden="1" customWidth="1"/>
    <col min="32" max="33" width="12.88671875" style="218" hidden="1" customWidth="1"/>
    <col min="34" max="43" width="12.88671875" style="218" customWidth="1"/>
    <col min="44" max="57" width="11.44140625" style="218" customWidth="1"/>
    <col min="58" max="16384" width="11.44140625" style="218"/>
  </cols>
  <sheetData>
    <row r="1" spans="1:57" s="55" customFormat="1" ht="13.5" customHeight="1" x14ac:dyDescent="0.2">
      <c r="B1" s="120" t="s">
        <v>0</v>
      </c>
    </row>
    <row r="2" spans="1:57" s="55" customFormat="1" ht="13.5" customHeight="1" x14ac:dyDescent="0.2">
      <c r="B2" s="120" t="str">
        <f>CONCATENATE("COMUNA: ",NOMBRE!$B$2," - ","( ",NOMBRE!$C$2,NOMBRE!$D$2,NOMBRE!$E$2,NOMBRE!$F$2,NOMBRE!$G$2," )")</f>
        <v>COMUNA:  - (  )</v>
      </c>
    </row>
    <row r="3" spans="1:57" s="55" customFormat="1" ht="13.5" customHeight="1" x14ac:dyDescent="0.2">
      <c r="B3" s="120" t="str">
        <f>CONCATENATE("ESTABLECIMIENTO/ESTRATEGIA: ",NOMBRE!$B$3," - ","( ",NOMBRE!$C$3,NOMBRE!$D$3,NOMBRE!$E$3,NOMBRE!$F$3,NOMBRE!$G$3,NOMBRE!$H$3," )")</f>
        <v>ESTABLECIMIENTO/ESTRATEGIA:  - (  )</v>
      </c>
      <c r="E3" s="121"/>
    </row>
    <row r="4" spans="1:57" s="55" customFormat="1" ht="13.5" customHeight="1" x14ac:dyDescent="0.2">
      <c r="B4" s="120" t="str">
        <f>CONCATENATE("MES: ",NOMBRE!$B$6," - ","( ",NOMBRE!$C$6,NOMBRE!$D$6," )")</f>
        <v>MES:  - (  )</v>
      </c>
    </row>
    <row r="5" spans="1:57" s="55" customFormat="1" ht="13.5" customHeight="1" x14ac:dyDescent="0.2">
      <c r="B5" s="120" t="str">
        <f>CONCATENATE("AÑO: ",NOMBRE!$B$7)</f>
        <v>AÑO: 2023</v>
      </c>
      <c r="O5" s="2519"/>
      <c r="P5" s="2519"/>
      <c r="Q5" s="1568"/>
      <c r="R5" s="1568"/>
      <c r="S5" s="1568"/>
      <c r="T5" s="1568"/>
      <c r="U5" s="1568"/>
      <c r="V5" s="1568"/>
      <c r="W5" s="1568"/>
      <c r="X5" s="1568"/>
      <c r="Y5" s="1568"/>
      <c r="Z5" s="1568"/>
      <c r="AA5" s="1568"/>
      <c r="AB5" s="1568"/>
      <c r="AC5" s="1568"/>
      <c r="AF5" s="1568"/>
      <c r="AG5" s="1568"/>
      <c r="AH5" s="1568"/>
      <c r="AI5" s="1568"/>
      <c r="AJ5" s="1568"/>
      <c r="AK5" s="1568"/>
      <c r="AL5" s="1568"/>
      <c r="AM5" s="1568"/>
      <c r="AN5" s="1568"/>
      <c r="AO5" s="1567"/>
    </row>
    <row r="6" spans="1:57" s="55" customFormat="1" ht="15" customHeight="1" x14ac:dyDescent="0.2">
      <c r="B6" s="120"/>
      <c r="O6" s="1567"/>
      <c r="P6" s="1567"/>
      <c r="Q6" s="1567"/>
      <c r="R6" s="1567"/>
      <c r="S6" s="1567"/>
      <c r="T6" s="1567"/>
      <c r="U6" s="1567"/>
      <c r="V6" s="1567"/>
      <c r="W6" s="1567"/>
      <c r="X6" s="1567"/>
      <c r="Y6" s="1567"/>
      <c r="Z6" s="1567"/>
      <c r="AA6" s="1567"/>
      <c r="AB6" s="1567"/>
      <c r="AC6" s="1567"/>
      <c r="AF6" s="1567"/>
      <c r="AG6" s="1567"/>
      <c r="AH6" s="1567"/>
      <c r="AI6" s="1567"/>
      <c r="AJ6" s="1567"/>
      <c r="AK6" s="1567"/>
      <c r="AL6" s="1567"/>
      <c r="AM6" s="1567"/>
      <c r="AN6" s="1567"/>
      <c r="AO6" s="1567"/>
    </row>
    <row r="7" spans="1:57" ht="32.25" customHeight="1" x14ac:dyDescent="0.3">
      <c r="B7" s="2520" t="s">
        <v>827</v>
      </c>
      <c r="C7" s="2521"/>
      <c r="D7" s="2521"/>
      <c r="E7" s="2521"/>
      <c r="F7" s="2521"/>
      <c r="G7" s="2521"/>
      <c r="H7" s="2521"/>
      <c r="I7" s="2521"/>
      <c r="J7" s="2521"/>
      <c r="K7" s="2521"/>
      <c r="L7" s="2521"/>
      <c r="M7" s="1569"/>
      <c r="N7" s="1569"/>
      <c r="O7" s="1569"/>
      <c r="P7" s="1569"/>
      <c r="Q7" s="1569"/>
      <c r="R7" s="1569"/>
      <c r="S7" s="1569"/>
      <c r="T7" s="1569"/>
      <c r="U7" s="1569"/>
      <c r="V7" s="1569"/>
      <c r="W7" s="1569"/>
      <c r="X7" s="1569"/>
      <c r="Y7" s="1569"/>
      <c r="Z7" s="1569"/>
      <c r="AA7" s="1569"/>
      <c r="AB7" s="1569"/>
      <c r="AC7" s="1569"/>
      <c r="AF7" s="1569"/>
      <c r="AG7" s="1569"/>
      <c r="AH7" s="1569"/>
      <c r="AI7" s="1569"/>
      <c r="AJ7" s="1569"/>
      <c r="AK7" s="1569"/>
      <c r="AL7" s="1569"/>
      <c r="AM7" s="1569"/>
      <c r="AN7" s="1569"/>
      <c r="AO7" s="217"/>
    </row>
    <row r="8" spans="1:57" s="1626" customFormat="1" ht="31.5" customHeight="1" x14ac:dyDescent="0.3">
      <c r="B8" s="1570" t="s">
        <v>850</v>
      </c>
      <c r="C8" s="1624"/>
      <c r="D8" s="1624"/>
      <c r="E8" s="1571"/>
      <c r="F8" s="1571"/>
      <c r="G8" s="1571"/>
      <c r="H8" s="1623"/>
      <c r="I8" s="1623"/>
      <c r="J8" s="1623"/>
      <c r="K8" s="1623"/>
      <c r="L8" s="1625"/>
      <c r="M8" s="1625"/>
      <c r="N8" s="1625"/>
      <c r="AD8" s="1325"/>
      <c r="AE8" s="1325"/>
    </row>
    <row r="9" spans="1:57" ht="72.75" customHeight="1" x14ac:dyDescent="0.3">
      <c r="B9" s="1572" t="s">
        <v>46</v>
      </c>
      <c r="C9" s="292" t="s">
        <v>828</v>
      </c>
      <c r="D9" s="292" t="s">
        <v>829</v>
      </c>
      <c r="E9" s="1573"/>
      <c r="F9" s="218"/>
      <c r="G9" s="218"/>
      <c r="H9" s="218"/>
      <c r="I9" s="218"/>
      <c r="J9" s="218"/>
      <c r="K9" s="218"/>
      <c r="N9" s="218"/>
      <c r="O9" s="218"/>
      <c r="P9" s="218"/>
      <c r="Q9" s="218"/>
      <c r="R9" s="218"/>
      <c r="S9" s="218"/>
      <c r="T9" s="218"/>
      <c r="U9" s="218"/>
      <c r="V9" s="218"/>
      <c r="W9" s="218"/>
      <c r="X9" s="218"/>
      <c r="Y9" s="218"/>
      <c r="Z9" s="218"/>
      <c r="AA9" s="218"/>
    </row>
    <row r="10" spans="1:57" s="220" customFormat="1" ht="18.75" customHeight="1" x14ac:dyDescent="0.25">
      <c r="A10" s="1637" t="s">
        <v>1451</v>
      </c>
      <c r="B10" s="223" t="s">
        <v>253</v>
      </c>
      <c r="C10" s="886" t="s">
        <v>1550</v>
      </c>
      <c r="D10" s="886" t="s">
        <v>1551</v>
      </c>
      <c r="E10" s="1579" t="str">
        <f>AB10&amp;AC10</f>
        <v/>
      </c>
      <c r="N10" s="323"/>
      <c r="O10" s="323"/>
      <c r="P10" s="323"/>
      <c r="Q10" s="323"/>
      <c r="R10" s="323"/>
      <c r="S10" s="323"/>
      <c r="T10" s="323"/>
      <c r="U10" s="323"/>
      <c r="V10" s="323"/>
      <c r="W10" s="323"/>
      <c r="X10" s="323"/>
      <c r="Y10" s="323"/>
      <c r="Z10" s="323"/>
      <c r="AA10" s="323"/>
      <c r="AB10" s="1621"/>
      <c r="AC10" s="316"/>
      <c r="AF10" s="321"/>
      <c r="BC10" s="221"/>
      <c r="BD10" s="221"/>
      <c r="BE10" s="221"/>
    </row>
    <row r="11" spans="1:57" s="220" customFormat="1" ht="18.75" customHeight="1" x14ac:dyDescent="0.25">
      <c r="A11" s="1637" t="s">
        <v>1452</v>
      </c>
      <c r="B11" s="222" t="s">
        <v>254</v>
      </c>
      <c r="C11" s="886" t="s">
        <v>1550</v>
      </c>
      <c r="D11" s="886" t="s">
        <v>1551</v>
      </c>
      <c r="E11" s="1579" t="str">
        <f t="shared" ref="E11:E22" si="0">AB11&amp;AC11</f>
        <v/>
      </c>
      <c r="N11" s="323"/>
      <c r="O11" s="323"/>
      <c r="P11" s="323"/>
      <c r="Q11" s="323"/>
      <c r="R11" s="323"/>
      <c r="S11" s="323"/>
      <c r="T11" s="323"/>
      <c r="U11" s="323"/>
      <c r="V11" s="323"/>
      <c r="W11" s="323"/>
      <c r="X11" s="323"/>
      <c r="Y11" s="323"/>
      <c r="Z11" s="323"/>
      <c r="AA11" s="323"/>
      <c r="AB11" s="1621"/>
      <c r="AC11" s="316"/>
      <c r="AF11" s="321"/>
      <c r="BC11" s="221"/>
      <c r="BD11" s="221"/>
      <c r="BE11" s="221"/>
    </row>
    <row r="12" spans="1:57" ht="18.75" customHeight="1" x14ac:dyDescent="0.3">
      <c r="A12" s="1637" t="s">
        <v>1453</v>
      </c>
      <c r="B12" s="222" t="s">
        <v>20</v>
      </c>
      <c r="C12" s="886" t="s">
        <v>1550</v>
      </c>
      <c r="D12" s="886" t="s">
        <v>1551</v>
      </c>
      <c r="E12" s="1579" t="str">
        <f t="shared" si="0"/>
        <v/>
      </c>
      <c r="F12" s="218"/>
      <c r="G12" s="218"/>
      <c r="H12" s="218"/>
      <c r="I12" s="218"/>
      <c r="J12" s="218"/>
      <c r="K12" s="218"/>
      <c r="AB12" s="1621"/>
      <c r="AC12" s="315"/>
      <c r="AF12" s="321"/>
      <c r="BC12" s="219"/>
      <c r="BD12" s="219"/>
      <c r="BE12" s="219"/>
    </row>
    <row r="13" spans="1:57" ht="18.75" customHeight="1" x14ac:dyDescent="0.3">
      <c r="A13" s="1637" t="s">
        <v>1454</v>
      </c>
      <c r="B13" s="222" t="s">
        <v>21</v>
      </c>
      <c r="C13" s="886" t="s">
        <v>1550</v>
      </c>
      <c r="D13" s="886" t="s">
        <v>1551</v>
      </c>
      <c r="E13" s="1579" t="str">
        <f t="shared" si="0"/>
        <v/>
      </c>
      <c r="F13" s="218"/>
      <c r="G13" s="218"/>
      <c r="H13" s="218"/>
      <c r="I13" s="218"/>
      <c r="J13" s="218"/>
      <c r="K13" s="218"/>
      <c r="AB13" s="1621"/>
      <c r="AC13" s="315"/>
      <c r="AF13" s="321"/>
      <c r="BC13" s="219"/>
      <c r="BD13" s="219"/>
      <c r="BE13" s="219"/>
    </row>
    <row r="14" spans="1:57" ht="18.75" customHeight="1" x14ac:dyDescent="0.3">
      <c r="A14" s="1637" t="s">
        <v>1455</v>
      </c>
      <c r="B14" s="222" t="s">
        <v>22</v>
      </c>
      <c r="C14" s="886" t="s">
        <v>1550</v>
      </c>
      <c r="D14" s="886" t="s">
        <v>1551</v>
      </c>
      <c r="E14" s="1579" t="str">
        <f t="shared" si="0"/>
        <v/>
      </c>
      <c r="F14" s="218"/>
      <c r="G14" s="218"/>
      <c r="H14" s="218"/>
      <c r="I14" s="218"/>
      <c r="J14" s="218"/>
      <c r="K14" s="218"/>
      <c r="AB14" s="1621"/>
      <c r="AC14" s="315"/>
      <c r="AF14" s="321"/>
      <c r="BC14" s="219"/>
      <c r="BD14" s="219"/>
      <c r="BE14" s="219"/>
    </row>
    <row r="15" spans="1:57" ht="18.75" customHeight="1" x14ac:dyDescent="0.3">
      <c r="A15" s="1637" t="s">
        <v>1456</v>
      </c>
      <c r="B15" s="222" t="s">
        <v>23</v>
      </c>
      <c r="C15" s="886" t="s">
        <v>1550</v>
      </c>
      <c r="D15" s="886" t="s">
        <v>1551</v>
      </c>
      <c r="E15" s="1579" t="str">
        <f t="shared" si="0"/>
        <v/>
      </c>
      <c r="F15" s="218"/>
      <c r="G15" s="218"/>
      <c r="H15" s="218"/>
      <c r="I15" s="218"/>
      <c r="J15" s="218"/>
      <c r="K15" s="218"/>
      <c r="AB15" s="1621"/>
      <c r="AC15" s="315"/>
      <c r="AF15" s="321"/>
      <c r="BC15" s="219"/>
      <c r="BD15" s="219"/>
      <c r="BE15" s="219"/>
    </row>
    <row r="16" spans="1:57" ht="18.75" customHeight="1" x14ac:dyDescent="0.3">
      <c r="A16" s="1637" t="s">
        <v>1457</v>
      </c>
      <c r="B16" s="222" t="s">
        <v>24</v>
      </c>
      <c r="C16" s="886" t="s">
        <v>1550</v>
      </c>
      <c r="D16" s="886" t="s">
        <v>1551</v>
      </c>
      <c r="E16" s="1579" t="str">
        <f t="shared" si="0"/>
        <v/>
      </c>
      <c r="F16" s="218"/>
      <c r="G16" s="218"/>
      <c r="H16" s="218"/>
      <c r="I16" s="218"/>
      <c r="J16" s="218"/>
      <c r="K16" s="218"/>
      <c r="AB16" s="1621"/>
      <c r="AC16" s="315"/>
      <c r="AF16" s="321"/>
      <c r="BC16" s="219"/>
      <c r="BD16" s="219"/>
      <c r="BE16" s="219"/>
    </row>
    <row r="17" spans="1:57" ht="18.75" customHeight="1" x14ac:dyDescent="0.3">
      <c r="A17" s="1637" t="s">
        <v>1458</v>
      </c>
      <c r="B17" s="222" t="s">
        <v>208</v>
      </c>
      <c r="C17" s="886" t="s">
        <v>1550</v>
      </c>
      <c r="D17" s="886" t="s">
        <v>1551</v>
      </c>
      <c r="E17" s="1579" t="str">
        <f t="shared" si="0"/>
        <v/>
      </c>
      <c r="F17" s="218"/>
      <c r="G17" s="218"/>
      <c r="H17" s="218"/>
      <c r="I17" s="218"/>
      <c r="J17" s="218"/>
      <c r="K17" s="218"/>
      <c r="AB17" s="1621"/>
      <c r="AC17" s="315"/>
      <c r="AF17" s="321"/>
      <c r="BC17" s="219"/>
      <c r="BD17" s="219"/>
      <c r="BE17" s="219"/>
    </row>
    <row r="18" spans="1:57" ht="18.75" customHeight="1" x14ac:dyDescent="0.3">
      <c r="A18" s="1637" t="s">
        <v>1459</v>
      </c>
      <c r="B18" s="222" t="s">
        <v>209</v>
      </c>
      <c r="C18" s="886" t="s">
        <v>1550</v>
      </c>
      <c r="D18" s="886" t="s">
        <v>1551</v>
      </c>
      <c r="E18" s="1579" t="str">
        <f t="shared" si="0"/>
        <v/>
      </c>
      <c r="F18" s="218"/>
      <c r="G18" s="218"/>
      <c r="H18" s="218"/>
      <c r="I18" s="218"/>
      <c r="J18" s="218"/>
      <c r="K18" s="218"/>
      <c r="AB18" s="1621"/>
      <c r="AC18" s="315"/>
      <c r="AF18" s="321"/>
      <c r="BC18" s="219"/>
      <c r="BD18" s="219"/>
      <c r="BE18" s="219"/>
    </row>
    <row r="19" spans="1:57" ht="18.75" customHeight="1" x14ac:dyDescent="0.3">
      <c r="A19" s="1637" t="s">
        <v>1460</v>
      </c>
      <c r="B19" s="222" t="s">
        <v>181</v>
      </c>
      <c r="C19" s="886" t="s">
        <v>1550</v>
      </c>
      <c r="D19" s="886" t="s">
        <v>1551</v>
      </c>
      <c r="E19" s="1579" t="str">
        <f t="shared" si="0"/>
        <v/>
      </c>
      <c r="F19" s="218"/>
      <c r="G19" s="218"/>
      <c r="H19" s="218"/>
      <c r="I19" s="218"/>
      <c r="J19" s="218"/>
      <c r="K19" s="218"/>
      <c r="AB19" s="1621"/>
      <c r="AC19" s="315"/>
      <c r="AF19" s="321"/>
      <c r="BC19" s="219"/>
      <c r="BD19" s="219"/>
      <c r="BE19" s="219"/>
    </row>
    <row r="20" spans="1:57" ht="18.75" customHeight="1" x14ac:dyDescent="0.3">
      <c r="A20" s="1637" t="s">
        <v>1461</v>
      </c>
      <c r="B20" s="222" t="s">
        <v>182</v>
      </c>
      <c r="C20" s="886" t="s">
        <v>1550</v>
      </c>
      <c r="D20" s="886" t="s">
        <v>1551</v>
      </c>
      <c r="E20" s="1579" t="str">
        <f t="shared" si="0"/>
        <v/>
      </c>
      <c r="F20" s="218"/>
      <c r="G20" s="218"/>
      <c r="H20" s="218"/>
      <c r="I20" s="218"/>
      <c r="J20" s="218"/>
      <c r="K20" s="218"/>
      <c r="AB20" s="1621"/>
      <c r="AC20" s="315"/>
      <c r="AF20" s="321"/>
      <c r="BC20" s="219"/>
      <c r="BD20" s="219"/>
      <c r="BE20" s="219"/>
    </row>
    <row r="21" spans="1:57" ht="18.75" customHeight="1" x14ac:dyDescent="0.3">
      <c r="A21" s="1637" t="s">
        <v>1462</v>
      </c>
      <c r="B21" s="222" t="s">
        <v>183</v>
      </c>
      <c r="C21" s="886" t="s">
        <v>1550</v>
      </c>
      <c r="D21" s="886" t="s">
        <v>1551</v>
      </c>
      <c r="E21" s="1579" t="str">
        <f t="shared" si="0"/>
        <v/>
      </c>
      <c r="F21" s="218"/>
      <c r="G21" s="218"/>
      <c r="H21" s="218"/>
      <c r="I21" s="218"/>
      <c r="J21" s="218"/>
      <c r="K21" s="218"/>
      <c r="AB21" s="1621"/>
      <c r="AC21" s="315"/>
      <c r="AF21" s="321"/>
      <c r="BC21" s="219"/>
      <c r="BD21" s="219"/>
      <c r="BE21" s="219"/>
    </row>
    <row r="22" spans="1:57" ht="18.75" customHeight="1" x14ac:dyDescent="0.3">
      <c r="A22" s="1637" t="s">
        <v>1463</v>
      </c>
      <c r="B22" s="222" t="s">
        <v>195</v>
      </c>
      <c r="C22" s="886" t="s">
        <v>1550</v>
      </c>
      <c r="D22" s="886" t="s">
        <v>1551</v>
      </c>
      <c r="E22" s="1579" t="str">
        <f t="shared" si="0"/>
        <v/>
      </c>
      <c r="F22" s="218"/>
      <c r="G22" s="218"/>
      <c r="H22" s="218"/>
      <c r="I22" s="218"/>
      <c r="J22" s="218"/>
      <c r="K22" s="218"/>
      <c r="AB22" s="1621"/>
      <c r="AC22" s="315"/>
      <c r="AF22" s="321"/>
      <c r="BC22" s="219"/>
      <c r="BD22" s="219"/>
      <c r="BE22" s="219"/>
    </row>
    <row r="23" spans="1:57" ht="15.75" customHeight="1" x14ac:dyDescent="0.3">
      <c r="A23" s="1656"/>
      <c r="B23" s="1558" t="s">
        <v>13</v>
      </c>
      <c r="C23" s="1559">
        <f>SUM(C10:C22)</f>
        <v>0</v>
      </c>
      <c r="D23" s="1559">
        <f>SUM(D10:D22)</f>
        <v>0</v>
      </c>
      <c r="E23" s="1560"/>
      <c r="F23" s="1560"/>
      <c r="G23" s="218"/>
      <c r="H23" s="218"/>
      <c r="I23" s="218"/>
      <c r="J23" s="218"/>
      <c r="K23" s="218"/>
      <c r="N23" s="218"/>
      <c r="O23" s="218"/>
      <c r="P23" s="218"/>
      <c r="Q23" s="218"/>
      <c r="R23" s="218"/>
      <c r="S23" s="218"/>
      <c r="T23" s="218"/>
      <c r="U23" s="218"/>
      <c r="V23" s="218"/>
      <c r="W23" s="218"/>
      <c r="X23" s="218"/>
      <c r="Y23" s="218"/>
      <c r="Z23" s="218"/>
      <c r="AA23" s="218"/>
    </row>
    <row r="24" spans="1:57" ht="15.75" customHeight="1" x14ac:dyDescent="0.3">
      <c r="B24" s="2506" t="s">
        <v>255</v>
      </c>
      <c r="C24" s="2506"/>
      <c r="D24" s="2506"/>
      <c r="E24" s="1561"/>
      <c r="F24" s="1561"/>
      <c r="G24" s="1561"/>
      <c r="H24" s="1561"/>
      <c r="I24" s="1560"/>
      <c r="J24" s="1560"/>
      <c r="K24" s="218"/>
      <c r="N24" s="218"/>
      <c r="O24" s="218"/>
      <c r="P24" s="218"/>
      <c r="Q24" s="218"/>
      <c r="R24" s="218"/>
      <c r="S24" s="218"/>
      <c r="T24" s="218"/>
      <c r="U24" s="218"/>
      <c r="V24" s="218"/>
      <c r="W24" s="218"/>
      <c r="X24" s="218"/>
      <c r="Y24" s="218"/>
      <c r="Z24" s="218"/>
      <c r="AA24" s="218"/>
    </row>
    <row r="25" spans="1:57" ht="43.5" customHeight="1" x14ac:dyDescent="0.3">
      <c r="B25" s="2507" t="s">
        <v>716</v>
      </c>
      <c r="C25" s="2507"/>
      <c r="D25" s="2507"/>
      <c r="E25" s="2507"/>
      <c r="F25" s="2507"/>
      <c r="G25" s="2507"/>
      <c r="H25" s="2507"/>
      <c r="I25" s="2507"/>
      <c r="J25" s="2507"/>
      <c r="K25" s="2507"/>
      <c r="L25" s="2507"/>
      <c r="M25" s="1562"/>
      <c r="N25" s="1562"/>
      <c r="O25" s="1562"/>
      <c r="P25" s="1562"/>
      <c r="Q25" s="1562"/>
      <c r="R25" s="1562"/>
      <c r="S25" s="1562"/>
      <c r="T25" s="1562"/>
      <c r="U25" s="1562"/>
      <c r="V25" s="1562"/>
      <c r="W25" s="1562"/>
      <c r="X25" s="1562"/>
      <c r="Y25" s="1562"/>
      <c r="Z25" s="1562"/>
      <c r="AA25" s="1562"/>
      <c r="AB25" s="1562"/>
      <c r="AC25" s="1562"/>
      <c r="AF25" s="1562"/>
      <c r="AG25" s="1562"/>
      <c r="AH25" s="1562"/>
      <c r="AI25" s="1562"/>
      <c r="AJ25" s="1562"/>
      <c r="AK25" s="1562"/>
      <c r="AL25" s="1562"/>
      <c r="AM25" s="1562"/>
      <c r="AN25" s="1562"/>
      <c r="AO25" s="1562"/>
    </row>
    <row r="26" spans="1:57" ht="18" customHeight="1" x14ac:dyDescent="0.3">
      <c r="B26" s="2508" t="s">
        <v>524</v>
      </c>
      <c r="C26" s="2513" t="s">
        <v>256</v>
      </c>
      <c r="D26" s="2514"/>
      <c r="E26" s="2514"/>
      <c r="F26" s="2514"/>
      <c r="G26" s="2514"/>
      <c r="H26" s="2514"/>
      <c r="I26" s="2514"/>
      <c r="J26" s="2514"/>
      <c r="K26" s="2514"/>
      <c r="L26" s="2514"/>
      <c r="M26" s="2516"/>
      <c r="N26" s="85"/>
      <c r="O26" s="85"/>
      <c r="P26" s="85"/>
      <c r="Q26" s="85"/>
      <c r="R26" s="85"/>
      <c r="S26" s="85"/>
      <c r="T26" s="85"/>
      <c r="U26" s="85"/>
      <c r="V26" s="85"/>
      <c r="W26" s="85"/>
      <c r="X26" s="85"/>
      <c r="Y26" s="85"/>
      <c r="Z26" s="85"/>
      <c r="AA26" s="85"/>
      <c r="AB26" s="85"/>
      <c r="AC26" s="85"/>
      <c r="AF26" s="85"/>
      <c r="AG26" s="85"/>
      <c r="AH26" s="85"/>
      <c r="AI26" s="85"/>
      <c r="AJ26" s="85"/>
      <c r="AK26" s="85"/>
      <c r="AL26" s="85"/>
      <c r="AM26" s="85"/>
      <c r="AN26" s="85"/>
      <c r="AO26" s="85"/>
      <c r="AP26" s="217"/>
      <c r="AQ26" s="217"/>
    </row>
    <row r="27" spans="1:57" ht="23.25" customHeight="1" x14ac:dyDescent="0.3">
      <c r="B27" s="1989"/>
      <c r="C27" s="2509" t="s">
        <v>13</v>
      </c>
      <c r="D27" s="2511" t="s">
        <v>257</v>
      </c>
      <c r="E27" s="2508" t="s">
        <v>258</v>
      </c>
      <c r="F27" s="2508"/>
      <c r="G27" s="2513" t="s">
        <v>259</v>
      </c>
      <c r="H27" s="2514"/>
      <c r="I27" s="2514"/>
      <c r="J27" s="2514"/>
      <c r="K27" s="2514"/>
      <c r="L27" s="2515"/>
      <c r="M27" s="2517" t="s">
        <v>602</v>
      </c>
      <c r="N27" s="85"/>
      <c r="O27" s="85"/>
      <c r="P27" s="85"/>
      <c r="Q27" s="85"/>
      <c r="R27" s="85"/>
      <c r="S27" s="85"/>
      <c r="T27" s="85"/>
      <c r="U27" s="85"/>
      <c r="V27" s="85"/>
      <c r="W27" s="85"/>
      <c r="X27" s="85"/>
      <c r="Y27" s="85"/>
      <c r="Z27" s="85"/>
      <c r="AA27" s="85"/>
      <c r="AB27" s="85"/>
      <c r="AC27" s="85"/>
      <c r="AF27" s="85"/>
      <c r="AG27" s="85"/>
      <c r="AH27" s="85"/>
      <c r="AI27" s="85"/>
      <c r="AJ27" s="85"/>
      <c r="AK27" s="85"/>
      <c r="AL27" s="85"/>
      <c r="AM27" s="85"/>
      <c r="AN27" s="85"/>
      <c r="AO27" s="85"/>
      <c r="AP27" s="217"/>
      <c r="AQ27" s="217"/>
    </row>
    <row r="28" spans="1:57" ht="24.75" customHeight="1" x14ac:dyDescent="0.3">
      <c r="B28" s="1989"/>
      <c r="C28" s="2510"/>
      <c r="D28" s="2512"/>
      <c r="E28" s="292" t="s">
        <v>260</v>
      </c>
      <c r="F28" s="1564" t="s">
        <v>261</v>
      </c>
      <c r="G28" s="1565" t="s">
        <v>262</v>
      </c>
      <c r="H28" s="1565" t="s">
        <v>263</v>
      </c>
      <c r="I28" s="1565" t="s">
        <v>264</v>
      </c>
      <c r="J28" s="1565" t="s">
        <v>265</v>
      </c>
      <c r="K28" s="1565" t="s">
        <v>266</v>
      </c>
      <c r="L28" s="1566" t="s">
        <v>267</v>
      </c>
      <c r="M28" s="2518"/>
      <c r="N28" s="218"/>
      <c r="O28" s="218"/>
      <c r="P28" s="218"/>
      <c r="Q28" s="218"/>
      <c r="R28" s="218"/>
      <c r="S28" s="218"/>
      <c r="T28" s="218"/>
      <c r="U28" s="218"/>
      <c r="V28" s="218"/>
      <c r="W28" s="218"/>
      <c r="X28" s="218"/>
      <c r="Y28" s="218"/>
      <c r="Z28" s="218"/>
      <c r="AA28" s="218"/>
    </row>
    <row r="29" spans="1:57" ht="17.25" customHeight="1" x14ac:dyDescent="0.3">
      <c r="A29" s="1637" t="s">
        <v>1464</v>
      </c>
      <c r="B29" s="223" t="s">
        <v>253</v>
      </c>
      <c r="C29" s="887" t="s">
        <v>1550</v>
      </c>
      <c r="D29" s="886" t="s">
        <v>1551</v>
      </c>
      <c r="E29" s="888" t="s">
        <v>1552</v>
      </c>
      <c r="F29" s="886" t="s">
        <v>1553</v>
      </c>
      <c r="G29" s="888" t="s">
        <v>1554</v>
      </c>
      <c r="H29" s="888" t="s">
        <v>1555</v>
      </c>
      <c r="I29" s="888" t="s">
        <v>1556</v>
      </c>
      <c r="J29" s="888" t="s">
        <v>1557</v>
      </c>
      <c r="K29" s="888" t="s">
        <v>1558</v>
      </c>
      <c r="L29" s="934" t="s">
        <v>1559</v>
      </c>
      <c r="M29" s="936" t="s">
        <v>1560</v>
      </c>
      <c r="N29" s="1580" t="str">
        <f>AB29&amp;AC29</f>
        <v/>
      </c>
      <c r="AB29" s="1621"/>
      <c r="AC29" s="315"/>
      <c r="AF29" s="322"/>
    </row>
    <row r="30" spans="1:57" ht="17.25" customHeight="1" x14ac:dyDescent="0.3">
      <c r="A30" s="1637" t="s">
        <v>1465</v>
      </c>
      <c r="B30" s="222" t="s">
        <v>254</v>
      </c>
      <c r="C30" s="887" t="s">
        <v>1550</v>
      </c>
      <c r="D30" s="886" t="s">
        <v>1551</v>
      </c>
      <c r="E30" s="888" t="s">
        <v>1552</v>
      </c>
      <c r="F30" s="886" t="s">
        <v>1553</v>
      </c>
      <c r="G30" s="888" t="s">
        <v>1554</v>
      </c>
      <c r="H30" s="888" t="s">
        <v>1555</v>
      </c>
      <c r="I30" s="888" t="s">
        <v>1556</v>
      </c>
      <c r="J30" s="888" t="s">
        <v>1557</v>
      </c>
      <c r="K30" s="888" t="s">
        <v>1558</v>
      </c>
      <c r="L30" s="934" t="s">
        <v>1559</v>
      </c>
      <c r="M30" s="886" t="s">
        <v>1560</v>
      </c>
      <c r="N30" s="1580" t="str">
        <f t="shared" ref="N30:N41" si="1">AB30&amp;AC30</f>
        <v/>
      </c>
      <c r="AB30" s="1621"/>
      <c r="AC30" s="315"/>
      <c r="AF30" s="322"/>
    </row>
    <row r="31" spans="1:57" ht="17.25" customHeight="1" x14ac:dyDescent="0.3">
      <c r="A31" s="1637" t="s">
        <v>1466</v>
      </c>
      <c r="B31" s="222" t="s">
        <v>20</v>
      </c>
      <c r="C31" s="887" t="s">
        <v>1550</v>
      </c>
      <c r="D31" s="886" t="s">
        <v>1551</v>
      </c>
      <c r="E31" s="888" t="s">
        <v>1552</v>
      </c>
      <c r="F31" s="886" t="s">
        <v>1553</v>
      </c>
      <c r="G31" s="888" t="s">
        <v>1554</v>
      </c>
      <c r="H31" s="888" t="s">
        <v>1555</v>
      </c>
      <c r="I31" s="888" t="s">
        <v>1556</v>
      </c>
      <c r="J31" s="888" t="s">
        <v>1557</v>
      </c>
      <c r="K31" s="888" t="s">
        <v>1558</v>
      </c>
      <c r="L31" s="934" t="s">
        <v>1559</v>
      </c>
      <c r="M31" s="886" t="s">
        <v>1560</v>
      </c>
      <c r="N31" s="1580" t="str">
        <f t="shared" si="1"/>
        <v/>
      </c>
      <c r="AB31" s="1621"/>
      <c r="AC31" s="315"/>
      <c r="AF31" s="322"/>
    </row>
    <row r="32" spans="1:57" ht="17.25" customHeight="1" x14ac:dyDescent="0.3">
      <c r="A32" s="1637" t="s">
        <v>1467</v>
      </c>
      <c r="B32" s="222" t="s">
        <v>21</v>
      </c>
      <c r="C32" s="887" t="s">
        <v>1550</v>
      </c>
      <c r="D32" s="886" t="s">
        <v>1551</v>
      </c>
      <c r="E32" s="888" t="s">
        <v>1552</v>
      </c>
      <c r="F32" s="886" t="s">
        <v>1553</v>
      </c>
      <c r="G32" s="888" t="s">
        <v>1554</v>
      </c>
      <c r="H32" s="888" t="s">
        <v>1555</v>
      </c>
      <c r="I32" s="888" t="s">
        <v>1556</v>
      </c>
      <c r="J32" s="888" t="s">
        <v>1557</v>
      </c>
      <c r="K32" s="888" t="s">
        <v>1558</v>
      </c>
      <c r="L32" s="934" t="s">
        <v>1559</v>
      </c>
      <c r="M32" s="886" t="s">
        <v>1560</v>
      </c>
      <c r="N32" s="1580" t="str">
        <f t="shared" si="1"/>
        <v/>
      </c>
      <c r="AB32" s="1621"/>
      <c r="AC32" s="315"/>
      <c r="AF32" s="322"/>
    </row>
    <row r="33" spans="1:57" ht="17.25" customHeight="1" x14ac:dyDescent="0.3">
      <c r="A33" s="1637" t="s">
        <v>1468</v>
      </c>
      <c r="B33" s="222" t="s">
        <v>22</v>
      </c>
      <c r="C33" s="887" t="s">
        <v>1550</v>
      </c>
      <c r="D33" s="886" t="s">
        <v>1551</v>
      </c>
      <c r="E33" s="888" t="s">
        <v>1552</v>
      </c>
      <c r="F33" s="886" t="s">
        <v>1553</v>
      </c>
      <c r="G33" s="888" t="s">
        <v>1554</v>
      </c>
      <c r="H33" s="888" t="s">
        <v>1555</v>
      </c>
      <c r="I33" s="888" t="s">
        <v>1556</v>
      </c>
      <c r="J33" s="888" t="s">
        <v>1557</v>
      </c>
      <c r="K33" s="888" t="s">
        <v>1558</v>
      </c>
      <c r="L33" s="934" t="s">
        <v>1559</v>
      </c>
      <c r="M33" s="886" t="s">
        <v>1560</v>
      </c>
      <c r="N33" s="1580" t="str">
        <f t="shared" si="1"/>
        <v/>
      </c>
      <c r="AB33" s="1621"/>
      <c r="AC33" s="315"/>
      <c r="AF33" s="322"/>
    </row>
    <row r="34" spans="1:57" ht="17.25" customHeight="1" x14ac:dyDescent="0.3">
      <c r="A34" s="1637" t="s">
        <v>1469</v>
      </c>
      <c r="B34" s="222" t="s">
        <v>23</v>
      </c>
      <c r="C34" s="887" t="s">
        <v>1550</v>
      </c>
      <c r="D34" s="886" t="s">
        <v>1551</v>
      </c>
      <c r="E34" s="888" t="s">
        <v>1552</v>
      </c>
      <c r="F34" s="886" t="s">
        <v>1553</v>
      </c>
      <c r="G34" s="888" t="s">
        <v>1554</v>
      </c>
      <c r="H34" s="888" t="s">
        <v>1555</v>
      </c>
      <c r="I34" s="888" t="s">
        <v>1556</v>
      </c>
      <c r="J34" s="888" t="s">
        <v>1557</v>
      </c>
      <c r="K34" s="888" t="s">
        <v>1558</v>
      </c>
      <c r="L34" s="934" t="s">
        <v>1559</v>
      </c>
      <c r="M34" s="886" t="s">
        <v>1560</v>
      </c>
      <c r="N34" s="1580" t="str">
        <f t="shared" si="1"/>
        <v/>
      </c>
      <c r="AB34" s="1621"/>
      <c r="AC34" s="315"/>
      <c r="AF34" s="322"/>
    </row>
    <row r="35" spans="1:57" ht="17.25" customHeight="1" x14ac:dyDescent="0.3">
      <c r="A35" s="1637" t="s">
        <v>1470</v>
      </c>
      <c r="B35" s="222" t="s">
        <v>24</v>
      </c>
      <c r="C35" s="887" t="s">
        <v>1550</v>
      </c>
      <c r="D35" s="886" t="s">
        <v>1551</v>
      </c>
      <c r="E35" s="888" t="s">
        <v>1552</v>
      </c>
      <c r="F35" s="886" t="s">
        <v>1553</v>
      </c>
      <c r="G35" s="888" t="s">
        <v>1554</v>
      </c>
      <c r="H35" s="888" t="s">
        <v>1555</v>
      </c>
      <c r="I35" s="888" t="s">
        <v>1556</v>
      </c>
      <c r="J35" s="888" t="s">
        <v>1557</v>
      </c>
      <c r="K35" s="888" t="s">
        <v>1558</v>
      </c>
      <c r="L35" s="934" t="s">
        <v>1559</v>
      </c>
      <c r="M35" s="886" t="s">
        <v>1560</v>
      </c>
      <c r="N35" s="1580" t="str">
        <f t="shared" si="1"/>
        <v/>
      </c>
      <c r="AB35" s="1621"/>
      <c r="AC35" s="315"/>
      <c r="AF35" s="322"/>
    </row>
    <row r="36" spans="1:57" ht="17.25" customHeight="1" x14ac:dyDescent="0.3">
      <c r="A36" s="1637" t="s">
        <v>1471</v>
      </c>
      <c r="B36" s="222" t="s">
        <v>208</v>
      </c>
      <c r="C36" s="887" t="s">
        <v>1550</v>
      </c>
      <c r="D36" s="886" t="s">
        <v>1551</v>
      </c>
      <c r="E36" s="888" t="s">
        <v>1552</v>
      </c>
      <c r="F36" s="886" t="s">
        <v>1553</v>
      </c>
      <c r="G36" s="888" t="s">
        <v>1554</v>
      </c>
      <c r="H36" s="888" t="s">
        <v>1555</v>
      </c>
      <c r="I36" s="888" t="s">
        <v>1556</v>
      </c>
      <c r="J36" s="888" t="s">
        <v>1557</v>
      </c>
      <c r="K36" s="888" t="s">
        <v>1558</v>
      </c>
      <c r="L36" s="934" t="s">
        <v>1559</v>
      </c>
      <c r="M36" s="886" t="s">
        <v>1560</v>
      </c>
      <c r="N36" s="1580" t="str">
        <f t="shared" si="1"/>
        <v/>
      </c>
      <c r="AB36" s="1621"/>
      <c r="AC36" s="315"/>
      <c r="AF36" s="322"/>
    </row>
    <row r="37" spans="1:57" ht="17.25" customHeight="1" x14ac:dyDescent="0.3">
      <c r="A37" s="1637" t="s">
        <v>1472</v>
      </c>
      <c r="B37" s="222" t="s">
        <v>209</v>
      </c>
      <c r="C37" s="887" t="s">
        <v>1550</v>
      </c>
      <c r="D37" s="886" t="s">
        <v>1551</v>
      </c>
      <c r="E37" s="888" t="s">
        <v>1552</v>
      </c>
      <c r="F37" s="886" t="s">
        <v>1553</v>
      </c>
      <c r="G37" s="888" t="s">
        <v>1554</v>
      </c>
      <c r="H37" s="888" t="s">
        <v>1555</v>
      </c>
      <c r="I37" s="888" t="s">
        <v>1556</v>
      </c>
      <c r="J37" s="888" t="s">
        <v>1557</v>
      </c>
      <c r="K37" s="888" t="s">
        <v>1558</v>
      </c>
      <c r="L37" s="934" t="s">
        <v>1559</v>
      </c>
      <c r="M37" s="886" t="s">
        <v>1560</v>
      </c>
      <c r="N37" s="1580" t="str">
        <f t="shared" si="1"/>
        <v/>
      </c>
      <c r="AB37" s="1621"/>
      <c r="AC37" s="315"/>
      <c r="AF37" s="322"/>
    </row>
    <row r="38" spans="1:57" ht="17.25" customHeight="1" x14ac:dyDescent="0.3">
      <c r="A38" s="1637" t="s">
        <v>1473</v>
      </c>
      <c r="B38" s="222" t="s">
        <v>181</v>
      </c>
      <c r="C38" s="887" t="s">
        <v>1550</v>
      </c>
      <c r="D38" s="886" t="s">
        <v>1551</v>
      </c>
      <c r="E38" s="888" t="s">
        <v>1552</v>
      </c>
      <c r="F38" s="886" t="s">
        <v>1553</v>
      </c>
      <c r="G38" s="888" t="s">
        <v>1554</v>
      </c>
      <c r="H38" s="888" t="s">
        <v>1555</v>
      </c>
      <c r="I38" s="888" t="s">
        <v>1556</v>
      </c>
      <c r="J38" s="888" t="s">
        <v>1557</v>
      </c>
      <c r="K38" s="888" t="s">
        <v>1558</v>
      </c>
      <c r="L38" s="934" t="s">
        <v>1559</v>
      </c>
      <c r="M38" s="886" t="s">
        <v>1560</v>
      </c>
      <c r="N38" s="1580" t="str">
        <f t="shared" si="1"/>
        <v/>
      </c>
      <c r="AB38" s="1621"/>
      <c r="AC38" s="315"/>
      <c r="AF38" s="322"/>
    </row>
    <row r="39" spans="1:57" s="293" customFormat="1" ht="17.25" customHeight="1" x14ac:dyDescent="0.25">
      <c r="A39" s="1637" t="s">
        <v>1474</v>
      </c>
      <c r="B39" s="222" t="s">
        <v>182</v>
      </c>
      <c r="C39" s="887" t="s">
        <v>1550</v>
      </c>
      <c r="D39" s="886" t="s">
        <v>1551</v>
      </c>
      <c r="E39" s="888" t="s">
        <v>1552</v>
      </c>
      <c r="F39" s="886" t="s">
        <v>1553</v>
      </c>
      <c r="G39" s="888" t="s">
        <v>1554</v>
      </c>
      <c r="H39" s="888" t="s">
        <v>1555</v>
      </c>
      <c r="I39" s="888" t="s">
        <v>1556</v>
      </c>
      <c r="J39" s="888" t="s">
        <v>1557</v>
      </c>
      <c r="K39" s="888" t="s">
        <v>1558</v>
      </c>
      <c r="L39" s="934" t="s">
        <v>1559</v>
      </c>
      <c r="M39" s="886" t="s">
        <v>1560</v>
      </c>
      <c r="N39" s="1580" t="str">
        <f t="shared" si="1"/>
        <v/>
      </c>
      <c r="O39" s="320"/>
      <c r="P39" s="320"/>
      <c r="Q39" s="320"/>
      <c r="R39" s="320"/>
      <c r="S39" s="320"/>
      <c r="T39" s="320"/>
      <c r="U39" s="320"/>
      <c r="V39" s="320"/>
      <c r="W39" s="320"/>
      <c r="X39" s="320"/>
      <c r="Y39" s="320"/>
      <c r="Z39" s="320"/>
      <c r="AA39" s="320"/>
      <c r="AB39" s="1621"/>
      <c r="AC39" s="315"/>
      <c r="AD39" s="218"/>
      <c r="AE39" s="218"/>
      <c r="AF39" s="322"/>
      <c r="AG39" s="218"/>
      <c r="AH39" s="218"/>
      <c r="AI39" s="218"/>
      <c r="AJ39" s="218"/>
      <c r="AK39" s="218"/>
      <c r="AL39" s="218"/>
      <c r="AM39" s="218"/>
      <c r="AN39" s="218"/>
      <c r="AO39" s="218"/>
      <c r="AP39" s="218"/>
      <c r="AQ39" s="218"/>
      <c r="AR39" s="218"/>
      <c r="AS39" s="218"/>
      <c r="AT39" s="218"/>
      <c r="AU39" s="218"/>
      <c r="AV39" s="218"/>
      <c r="AW39" s="218"/>
      <c r="AX39" s="218"/>
      <c r="AY39" s="218"/>
      <c r="AZ39" s="218"/>
      <c r="BA39" s="218"/>
      <c r="BB39" s="218"/>
      <c r="BC39" s="218"/>
      <c r="BD39" s="218"/>
      <c r="BE39" s="218"/>
    </row>
    <row r="40" spans="1:57" s="293" customFormat="1" ht="17.25" customHeight="1" x14ac:dyDescent="0.25">
      <c r="A40" s="1637" t="s">
        <v>1475</v>
      </c>
      <c r="B40" s="222" t="s">
        <v>183</v>
      </c>
      <c r="C40" s="887" t="s">
        <v>1550</v>
      </c>
      <c r="D40" s="886" t="s">
        <v>1551</v>
      </c>
      <c r="E40" s="888" t="s">
        <v>1552</v>
      </c>
      <c r="F40" s="886" t="s">
        <v>1553</v>
      </c>
      <c r="G40" s="888" t="s">
        <v>1554</v>
      </c>
      <c r="H40" s="888" t="s">
        <v>1555</v>
      </c>
      <c r="I40" s="888" t="s">
        <v>1556</v>
      </c>
      <c r="J40" s="888" t="s">
        <v>1557</v>
      </c>
      <c r="K40" s="888" t="s">
        <v>1558</v>
      </c>
      <c r="L40" s="934" t="s">
        <v>1559</v>
      </c>
      <c r="M40" s="886" t="s">
        <v>1560</v>
      </c>
      <c r="N40" s="1580" t="str">
        <f t="shared" si="1"/>
        <v/>
      </c>
      <c r="O40" s="320"/>
      <c r="P40" s="320"/>
      <c r="Q40" s="320"/>
      <c r="R40" s="320"/>
      <c r="S40" s="320"/>
      <c r="T40" s="320"/>
      <c r="U40" s="320"/>
      <c r="V40" s="320"/>
      <c r="W40" s="320"/>
      <c r="X40" s="320"/>
      <c r="Y40" s="320"/>
      <c r="Z40" s="320"/>
      <c r="AA40" s="320"/>
      <c r="AB40" s="1621"/>
      <c r="AC40" s="315"/>
      <c r="AD40" s="218"/>
      <c r="AE40" s="218"/>
      <c r="AF40" s="322"/>
      <c r="AG40" s="218"/>
      <c r="AH40" s="218"/>
      <c r="AI40" s="218"/>
      <c r="AJ40" s="218"/>
      <c r="AK40" s="218"/>
      <c r="AL40" s="218"/>
      <c r="AM40" s="218"/>
      <c r="AN40" s="218"/>
      <c r="AO40" s="218"/>
      <c r="AP40" s="218"/>
      <c r="AQ40" s="218"/>
      <c r="AR40" s="218"/>
      <c r="AS40" s="218"/>
      <c r="AT40" s="218"/>
      <c r="AU40" s="218"/>
      <c r="AV40" s="218"/>
      <c r="AW40" s="218"/>
      <c r="AX40" s="218"/>
      <c r="AY40" s="218"/>
      <c r="AZ40" s="218"/>
      <c r="BA40" s="218"/>
      <c r="BB40" s="218"/>
      <c r="BC40" s="218"/>
      <c r="BD40" s="218"/>
      <c r="BE40" s="218"/>
    </row>
    <row r="41" spans="1:57" s="293" customFormat="1" ht="17.25" customHeight="1" x14ac:dyDescent="0.25">
      <c r="A41" s="1637" t="s">
        <v>1476</v>
      </c>
      <c r="B41" s="224" t="s">
        <v>195</v>
      </c>
      <c r="C41" s="889" t="s">
        <v>1550</v>
      </c>
      <c r="D41" s="890" t="s">
        <v>1551</v>
      </c>
      <c r="E41" s="891" t="s">
        <v>1552</v>
      </c>
      <c r="F41" s="890" t="s">
        <v>1553</v>
      </c>
      <c r="G41" s="891" t="s">
        <v>1554</v>
      </c>
      <c r="H41" s="891" t="s">
        <v>1555</v>
      </c>
      <c r="I41" s="891" t="s">
        <v>1556</v>
      </c>
      <c r="J41" s="891" t="s">
        <v>1557</v>
      </c>
      <c r="K41" s="891" t="s">
        <v>1558</v>
      </c>
      <c r="L41" s="935" t="s">
        <v>1559</v>
      </c>
      <c r="M41" s="890" t="s">
        <v>1560</v>
      </c>
      <c r="N41" s="1580" t="str">
        <f t="shared" si="1"/>
        <v/>
      </c>
      <c r="O41" s="320"/>
      <c r="P41" s="320"/>
      <c r="Q41" s="320"/>
      <c r="R41" s="320"/>
      <c r="S41" s="320"/>
      <c r="T41" s="320"/>
      <c r="U41" s="320"/>
      <c r="V41" s="320"/>
      <c r="W41" s="320"/>
      <c r="X41" s="320"/>
      <c r="Y41" s="320"/>
      <c r="Z41" s="320"/>
      <c r="AA41" s="320"/>
      <c r="AB41" s="1621"/>
      <c r="AC41" s="315"/>
      <c r="AD41" s="218"/>
      <c r="AE41" s="218"/>
      <c r="AF41" s="322"/>
      <c r="AG41" s="218"/>
      <c r="AH41" s="218"/>
      <c r="AI41" s="218"/>
      <c r="AJ41" s="218"/>
      <c r="AK41" s="218"/>
      <c r="AL41" s="218"/>
      <c r="AM41" s="218"/>
      <c r="AN41" s="218"/>
      <c r="AO41" s="218"/>
      <c r="AP41" s="218"/>
      <c r="AQ41" s="218"/>
      <c r="AR41" s="218"/>
      <c r="AS41" s="218"/>
      <c r="AT41" s="218"/>
      <c r="AU41" s="218"/>
      <c r="AV41" s="218"/>
      <c r="AW41" s="218"/>
      <c r="AX41" s="218"/>
      <c r="AY41" s="218"/>
      <c r="AZ41" s="218"/>
      <c r="BA41" s="218"/>
      <c r="BB41" s="218"/>
      <c r="BC41" s="218"/>
      <c r="BD41" s="218"/>
      <c r="BE41" s="218"/>
    </row>
    <row r="42" spans="1:57" ht="18.75" customHeight="1" x14ac:dyDescent="0.3">
      <c r="A42" s="1656"/>
      <c r="B42" s="1574" t="s">
        <v>13</v>
      </c>
      <c r="C42" s="1575">
        <f>SUM(D42:L42)</f>
        <v>0</v>
      </c>
      <c r="D42" s="1575">
        <f>SUM(D29:D41)</f>
        <v>0</v>
      </c>
      <c r="E42" s="1575">
        <f t="shared" ref="E42:L42" si="2">SUM(E29:E41)</f>
        <v>0</v>
      </c>
      <c r="F42" s="1576">
        <f t="shared" si="2"/>
        <v>0</v>
      </c>
      <c r="G42" s="1575">
        <f t="shared" si="2"/>
        <v>0</v>
      </c>
      <c r="H42" s="1575">
        <f t="shared" si="2"/>
        <v>0</v>
      </c>
      <c r="I42" s="1575">
        <f t="shared" si="2"/>
        <v>0</v>
      </c>
      <c r="J42" s="1575">
        <f t="shared" si="2"/>
        <v>0</v>
      </c>
      <c r="K42" s="1575">
        <f t="shared" si="2"/>
        <v>0</v>
      </c>
      <c r="L42" s="1577">
        <f t="shared" si="2"/>
        <v>0</v>
      </c>
      <c r="M42" s="1576">
        <f>SUM(M29:M41)</f>
        <v>0</v>
      </c>
      <c r="N42" s="218"/>
      <c r="O42" s="218"/>
      <c r="P42" s="218"/>
      <c r="Q42" s="218"/>
      <c r="R42" s="218"/>
      <c r="S42" s="218"/>
      <c r="T42" s="218"/>
      <c r="U42" s="218"/>
      <c r="V42" s="218"/>
      <c r="W42" s="218"/>
      <c r="X42" s="218"/>
      <c r="Y42" s="218"/>
      <c r="Z42" s="218"/>
      <c r="AA42" s="218"/>
    </row>
    <row r="43" spans="1:57" ht="15.75" customHeight="1" x14ac:dyDescent="0.3">
      <c r="B43" s="2506" t="s">
        <v>255</v>
      </c>
      <c r="C43" s="2506"/>
      <c r="D43" s="2506"/>
      <c r="E43" s="1578"/>
      <c r="F43" s="1578"/>
      <c r="G43" s="1578"/>
      <c r="H43" s="1578"/>
      <c r="I43" s="1578"/>
      <c r="J43" s="1578"/>
      <c r="K43" s="1578"/>
      <c r="L43" s="1578"/>
      <c r="M43" s="55"/>
      <c r="N43" s="218"/>
      <c r="O43" s="218"/>
      <c r="P43" s="218"/>
      <c r="Q43" s="218"/>
      <c r="R43" s="218"/>
      <c r="S43" s="218"/>
      <c r="T43" s="218"/>
      <c r="U43" s="218"/>
      <c r="V43" s="218"/>
      <c r="W43" s="218"/>
      <c r="X43" s="218"/>
      <c r="Y43" s="218"/>
      <c r="Z43" s="218"/>
      <c r="AA43" s="218"/>
      <c r="AP43" s="57"/>
    </row>
    <row r="44" spans="1:57" ht="43.5" customHeight="1" x14ac:dyDescent="0.3">
      <c r="B44" s="2507" t="s">
        <v>717</v>
      </c>
      <c r="C44" s="2507"/>
      <c r="D44" s="2507"/>
      <c r="E44" s="2507"/>
      <c r="F44" s="2507"/>
      <c r="G44" s="2507"/>
      <c r="H44" s="2507"/>
      <c r="I44" s="2507"/>
      <c r="J44" s="2507"/>
      <c r="K44" s="2507"/>
      <c r="L44" s="2507"/>
      <c r="N44" s="218"/>
      <c r="O44" s="218"/>
      <c r="P44" s="218"/>
      <c r="Q44" s="218"/>
      <c r="R44" s="218"/>
      <c r="S44" s="218"/>
      <c r="T44" s="218"/>
      <c r="U44" s="218"/>
      <c r="V44" s="218"/>
      <c r="W44" s="218"/>
      <c r="X44" s="218"/>
      <c r="Y44" s="218"/>
      <c r="Z44" s="218"/>
      <c r="AA44" s="218"/>
    </row>
    <row r="45" spans="1:57" ht="19.5" customHeight="1" x14ac:dyDescent="0.3">
      <c r="B45" s="2508" t="s">
        <v>524</v>
      </c>
      <c r="C45" s="2513" t="s">
        <v>256</v>
      </c>
      <c r="D45" s="2514"/>
      <c r="E45" s="2514"/>
      <c r="F45" s="2514"/>
      <c r="G45" s="2514"/>
      <c r="H45" s="2514"/>
      <c r="I45" s="2514"/>
      <c r="J45" s="2514"/>
      <c r="K45" s="2514"/>
      <c r="L45" s="2514"/>
      <c r="M45" s="2516"/>
      <c r="N45" s="218"/>
      <c r="O45" s="217"/>
      <c r="P45" s="217"/>
      <c r="Q45" s="217"/>
      <c r="R45" s="217"/>
      <c r="S45" s="217"/>
      <c r="T45" s="217"/>
      <c r="U45" s="217"/>
      <c r="V45" s="217"/>
      <c r="W45" s="217"/>
      <c r="X45" s="217"/>
      <c r="Y45" s="217"/>
      <c r="Z45" s="217"/>
      <c r="AA45" s="217"/>
      <c r="AB45" s="217"/>
      <c r="AC45" s="217"/>
      <c r="AF45" s="217"/>
      <c r="AG45" s="217"/>
      <c r="AH45" s="217"/>
      <c r="AI45" s="217"/>
      <c r="AJ45" s="217"/>
      <c r="AK45" s="217"/>
      <c r="AL45" s="217"/>
      <c r="AM45" s="217"/>
      <c r="AN45" s="217"/>
      <c r="AO45" s="217"/>
    </row>
    <row r="46" spans="1:57" ht="13.5" customHeight="1" x14ac:dyDescent="0.3">
      <c r="B46" s="1989"/>
      <c r="C46" s="2509" t="s">
        <v>13</v>
      </c>
      <c r="D46" s="2511" t="s">
        <v>257</v>
      </c>
      <c r="E46" s="2508" t="s">
        <v>258</v>
      </c>
      <c r="F46" s="2508"/>
      <c r="G46" s="2513" t="s">
        <v>259</v>
      </c>
      <c r="H46" s="2514"/>
      <c r="I46" s="2514"/>
      <c r="J46" s="2514"/>
      <c r="K46" s="2514"/>
      <c r="L46" s="2515"/>
      <c r="M46" s="2517" t="s">
        <v>602</v>
      </c>
      <c r="N46" s="218"/>
      <c r="O46" s="217"/>
      <c r="P46" s="217"/>
      <c r="Q46" s="217"/>
      <c r="R46" s="217"/>
      <c r="S46" s="217"/>
      <c r="T46" s="217"/>
      <c r="U46" s="217"/>
      <c r="V46" s="217"/>
      <c r="W46" s="217"/>
      <c r="X46" s="217"/>
      <c r="Y46" s="217"/>
      <c r="Z46" s="217"/>
      <c r="AA46" s="217"/>
      <c r="AB46" s="217"/>
      <c r="AC46" s="217"/>
      <c r="AF46" s="217"/>
      <c r="AG46" s="217"/>
      <c r="AH46" s="217"/>
      <c r="AI46" s="217"/>
      <c r="AJ46" s="217"/>
      <c r="AK46" s="217"/>
      <c r="AL46" s="217"/>
      <c r="AM46" s="217"/>
      <c r="AN46" s="217"/>
      <c r="AO46" s="217"/>
    </row>
    <row r="47" spans="1:57" s="217" customFormat="1" ht="21.75" customHeight="1" x14ac:dyDescent="0.2">
      <c r="B47" s="1989"/>
      <c r="C47" s="2510"/>
      <c r="D47" s="2512"/>
      <c r="E47" s="292" t="s">
        <v>260</v>
      </c>
      <c r="F47" s="292" t="s">
        <v>261</v>
      </c>
      <c r="G47" s="1565" t="s">
        <v>262</v>
      </c>
      <c r="H47" s="1565" t="s">
        <v>263</v>
      </c>
      <c r="I47" s="1565" t="s">
        <v>264</v>
      </c>
      <c r="J47" s="1565" t="s">
        <v>265</v>
      </c>
      <c r="K47" s="1565" t="s">
        <v>266</v>
      </c>
      <c r="L47" s="1566" t="s">
        <v>267</v>
      </c>
      <c r="M47" s="2518"/>
      <c r="N47" s="218"/>
      <c r="O47" s="218"/>
      <c r="P47" s="218"/>
      <c r="Q47" s="218"/>
      <c r="R47" s="218"/>
      <c r="S47" s="218"/>
      <c r="T47" s="218"/>
      <c r="U47" s="218"/>
      <c r="V47" s="218"/>
      <c r="W47" s="218"/>
      <c r="X47" s="218"/>
      <c r="Y47" s="218"/>
      <c r="Z47" s="218"/>
      <c r="AA47" s="218"/>
      <c r="AB47" s="218"/>
      <c r="AC47" s="218"/>
      <c r="AF47" s="218"/>
      <c r="AG47" s="218"/>
      <c r="AH47" s="218"/>
      <c r="AI47" s="218"/>
      <c r="AJ47" s="218"/>
      <c r="AK47" s="218"/>
      <c r="AL47" s="218"/>
      <c r="AM47" s="218"/>
      <c r="AN47" s="218"/>
      <c r="AO47" s="218"/>
    </row>
    <row r="48" spans="1:57" s="217" customFormat="1" ht="16.5" customHeight="1" x14ac:dyDescent="0.25">
      <c r="A48" s="1637" t="s">
        <v>1477</v>
      </c>
      <c r="B48" s="223" t="s">
        <v>253</v>
      </c>
      <c r="C48" s="887" t="s">
        <v>1550</v>
      </c>
      <c r="D48" s="892" t="s">
        <v>1551</v>
      </c>
      <c r="E48" s="892" t="s">
        <v>1552</v>
      </c>
      <c r="F48" s="892" t="s">
        <v>1553</v>
      </c>
      <c r="G48" s="892" t="s">
        <v>1554</v>
      </c>
      <c r="H48" s="892" t="s">
        <v>1555</v>
      </c>
      <c r="I48" s="892" t="s">
        <v>1556</v>
      </c>
      <c r="J48" s="892" t="s">
        <v>1557</v>
      </c>
      <c r="K48" s="892" t="s">
        <v>1558</v>
      </c>
      <c r="L48" s="933" t="s">
        <v>1559</v>
      </c>
      <c r="M48" s="932" t="s">
        <v>1560</v>
      </c>
      <c r="N48" s="1580" t="str">
        <f>AB48&amp;AC48</f>
        <v/>
      </c>
      <c r="O48" s="320"/>
      <c r="P48" s="320"/>
      <c r="Q48" s="320"/>
      <c r="R48" s="320"/>
      <c r="S48" s="320"/>
      <c r="T48" s="320"/>
      <c r="U48" s="320"/>
      <c r="V48" s="320"/>
      <c r="W48" s="320"/>
      <c r="X48" s="320"/>
      <c r="Y48" s="320"/>
      <c r="Z48" s="320"/>
      <c r="AA48" s="320"/>
      <c r="AB48" s="1621"/>
      <c r="AC48" s="315"/>
      <c r="AF48" s="322"/>
      <c r="AG48" s="218"/>
      <c r="AH48" s="218"/>
      <c r="AI48" s="218"/>
      <c r="AJ48" s="218"/>
      <c r="AK48" s="218"/>
      <c r="AL48" s="218"/>
      <c r="AM48" s="218"/>
      <c r="AN48" s="218"/>
      <c r="AO48" s="218"/>
      <c r="BA48" s="225"/>
      <c r="BB48" s="225"/>
      <c r="BC48" s="225"/>
      <c r="BD48" s="225"/>
    </row>
    <row r="49" spans="1:56" s="217" customFormat="1" ht="16.5" customHeight="1" x14ac:dyDescent="0.25">
      <c r="A49" s="1637" t="s">
        <v>1478</v>
      </c>
      <c r="B49" s="222" t="s">
        <v>254</v>
      </c>
      <c r="C49" s="893" t="s">
        <v>1550</v>
      </c>
      <c r="D49" s="888" t="s">
        <v>1551</v>
      </c>
      <c r="E49" s="888" t="s">
        <v>1552</v>
      </c>
      <c r="F49" s="888" t="s">
        <v>1553</v>
      </c>
      <c r="G49" s="888" t="s">
        <v>1554</v>
      </c>
      <c r="H49" s="888" t="s">
        <v>1555</v>
      </c>
      <c r="I49" s="888" t="s">
        <v>1556</v>
      </c>
      <c r="J49" s="888" t="s">
        <v>1557</v>
      </c>
      <c r="K49" s="888" t="s">
        <v>1558</v>
      </c>
      <c r="L49" s="934" t="s">
        <v>1559</v>
      </c>
      <c r="M49" s="886" t="s">
        <v>1560</v>
      </c>
      <c r="N49" s="1580" t="str">
        <f t="shared" ref="N49:N60" si="3">AB49&amp;AC49</f>
        <v/>
      </c>
      <c r="O49" s="320"/>
      <c r="P49" s="320"/>
      <c r="Q49" s="320"/>
      <c r="R49" s="320"/>
      <c r="S49" s="320"/>
      <c r="T49" s="320"/>
      <c r="U49" s="320"/>
      <c r="V49" s="320"/>
      <c r="W49" s="320"/>
      <c r="X49" s="320"/>
      <c r="Y49" s="320"/>
      <c r="Z49" s="320"/>
      <c r="AA49" s="320"/>
      <c r="AB49" s="1621"/>
      <c r="AC49" s="315"/>
      <c r="AF49" s="322"/>
      <c r="AG49" s="218"/>
      <c r="AH49" s="218"/>
      <c r="AI49" s="218"/>
      <c r="AJ49" s="218"/>
      <c r="AK49" s="218"/>
      <c r="AL49" s="218"/>
      <c r="AM49" s="218"/>
      <c r="AN49" s="218"/>
      <c r="AO49" s="218"/>
      <c r="BA49" s="225"/>
      <c r="BB49" s="225"/>
      <c r="BC49" s="225"/>
      <c r="BD49" s="225"/>
    </row>
    <row r="50" spans="1:56" s="217" customFormat="1" ht="16.5" customHeight="1" x14ac:dyDescent="0.25">
      <c r="A50" s="1637" t="s">
        <v>1479</v>
      </c>
      <c r="B50" s="222" t="s">
        <v>20</v>
      </c>
      <c r="C50" s="887" t="s">
        <v>1550</v>
      </c>
      <c r="D50" s="888" t="s">
        <v>1551</v>
      </c>
      <c r="E50" s="888" t="s">
        <v>1552</v>
      </c>
      <c r="F50" s="888" t="s">
        <v>1553</v>
      </c>
      <c r="G50" s="888" t="s">
        <v>1554</v>
      </c>
      <c r="H50" s="888" t="s">
        <v>1555</v>
      </c>
      <c r="I50" s="888" t="s">
        <v>1556</v>
      </c>
      <c r="J50" s="888" t="s">
        <v>1557</v>
      </c>
      <c r="K50" s="888" t="s">
        <v>1558</v>
      </c>
      <c r="L50" s="934" t="s">
        <v>1559</v>
      </c>
      <c r="M50" s="886" t="s">
        <v>1560</v>
      </c>
      <c r="N50" s="1580" t="str">
        <f t="shared" si="3"/>
        <v/>
      </c>
      <c r="O50" s="320"/>
      <c r="P50" s="320"/>
      <c r="Q50" s="320"/>
      <c r="R50" s="320"/>
      <c r="S50" s="320"/>
      <c r="T50" s="320"/>
      <c r="U50" s="320"/>
      <c r="V50" s="320"/>
      <c r="W50" s="320"/>
      <c r="X50" s="320"/>
      <c r="Y50" s="320"/>
      <c r="Z50" s="320"/>
      <c r="AA50" s="320"/>
      <c r="AB50" s="1621"/>
      <c r="AC50" s="315"/>
      <c r="AF50" s="322"/>
      <c r="AG50" s="218"/>
      <c r="AH50" s="218"/>
      <c r="AI50" s="218"/>
      <c r="AJ50" s="218"/>
      <c r="AK50" s="218"/>
      <c r="AL50" s="218"/>
      <c r="AM50" s="218"/>
      <c r="AN50" s="218"/>
      <c r="AO50" s="218"/>
      <c r="BA50" s="225"/>
      <c r="BB50" s="225"/>
      <c r="BC50" s="225"/>
      <c r="BD50" s="225"/>
    </row>
    <row r="51" spans="1:56" s="217" customFormat="1" ht="16.5" customHeight="1" x14ac:dyDescent="0.25">
      <c r="A51" s="1637" t="s">
        <v>1480</v>
      </c>
      <c r="B51" s="222" t="s">
        <v>21</v>
      </c>
      <c r="C51" s="893" t="s">
        <v>1550</v>
      </c>
      <c r="D51" s="888" t="s">
        <v>1551</v>
      </c>
      <c r="E51" s="888" t="s">
        <v>1552</v>
      </c>
      <c r="F51" s="888" t="s">
        <v>1553</v>
      </c>
      <c r="G51" s="888" t="s">
        <v>1554</v>
      </c>
      <c r="H51" s="888" t="s">
        <v>1555</v>
      </c>
      <c r="I51" s="888" t="s">
        <v>1556</v>
      </c>
      <c r="J51" s="888" t="s">
        <v>1557</v>
      </c>
      <c r="K51" s="888" t="s">
        <v>1558</v>
      </c>
      <c r="L51" s="934" t="s">
        <v>1559</v>
      </c>
      <c r="M51" s="886" t="s">
        <v>1560</v>
      </c>
      <c r="N51" s="1580" t="str">
        <f t="shared" si="3"/>
        <v/>
      </c>
      <c r="O51" s="320"/>
      <c r="P51" s="320"/>
      <c r="Q51" s="320"/>
      <c r="R51" s="320"/>
      <c r="S51" s="320"/>
      <c r="T51" s="320"/>
      <c r="U51" s="320"/>
      <c r="V51" s="320"/>
      <c r="W51" s="320"/>
      <c r="X51" s="320"/>
      <c r="Y51" s="320"/>
      <c r="Z51" s="320"/>
      <c r="AA51" s="320"/>
      <c r="AB51" s="1621"/>
      <c r="AC51" s="315"/>
      <c r="AF51" s="322"/>
      <c r="AG51" s="218"/>
      <c r="AH51" s="218"/>
      <c r="AI51" s="218"/>
      <c r="AJ51" s="218"/>
      <c r="AK51" s="218"/>
      <c r="AL51" s="218"/>
      <c r="AM51" s="218"/>
      <c r="AN51" s="218"/>
      <c r="AO51" s="218"/>
      <c r="BA51" s="225"/>
      <c r="BB51" s="225"/>
      <c r="BC51" s="225"/>
      <c r="BD51" s="225"/>
    </row>
    <row r="52" spans="1:56" s="217" customFormat="1" ht="16.5" customHeight="1" x14ac:dyDescent="0.25">
      <c r="A52" s="1637" t="s">
        <v>1481</v>
      </c>
      <c r="B52" s="222" t="s">
        <v>22</v>
      </c>
      <c r="C52" s="893" t="s">
        <v>1550</v>
      </c>
      <c r="D52" s="888" t="s">
        <v>1551</v>
      </c>
      <c r="E52" s="888" t="s">
        <v>1552</v>
      </c>
      <c r="F52" s="888" t="s">
        <v>1553</v>
      </c>
      <c r="G52" s="888" t="s">
        <v>1554</v>
      </c>
      <c r="H52" s="888" t="s">
        <v>1555</v>
      </c>
      <c r="I52" s="888" t="s">
        <v>1556</v>
      </c>
      <c r="J52" s="888" t="s">
        <v>1557</v>
      </c>
      <c r="K52" s="888" t="s">
        <v>1558</v>
      </c>
      <c r="L52" s="934" t="s">
        <v>1559</v>
      </c>
      <c r="M52" s="886" t="s">
        <v>1560</v>
      </c>
      <c r="N52" s="1580" t="str">
        <f t="shared" si="3"/>
        <v/>
      </c>
      <c r="O52" s="320"/>
      <c r="P52" s="320"/>
      <c r="Q52" s="320"/>
      <c r="R52" s="320"/>
      <c r="S52" s="320"/>
      <c r="T52" s="320"/>
      <c r="U52" s="320"/>
      <c r="V52" s="320"/>
      <c r="W52" s="320"/>
      <c r="X52" s="320"/>
      <c r="Y52" s="320"/>
      <c r="Z52" s="320"/>
      <c r="AA52" s="320"/>
      <c r="AB52" s="1621"/>
      <c r="AC52" s="315"/>
      <c r="AF52" s="322"/>
      <c r="AG52" s="218"/>
      <c r="AH52" s="218"/>
      <c r="AI52" s="218"/>
      <c r="AJ52" s="218"/>
      <c r="AK52" s="218"/>
      <c r="AL52" s="218"/>
      <c r="AM52" s="218"/>
      <c r="AN52" s="218"/>
      <c r="AO52" s="218"/>
      <c r="BA52" s="225"/>
      <c r="BB52" s="225"/>
      <c r="BC52" s="225"/>
      <c r="BD52" s="225"/>
    </row>
    <row r="53" spans="1:56" s="217" customFormat="1" ht="16.5" customHeight="1" x14ac:dyDescent="0.25">
      <c r="A53" s="1637" t="s">
        <v>1482</v>
      </c>
      <c r="B53" s="222" t="s">
        <v>23</v>
      </c>
      <c r="C53" s="893" t="s">
        <v>1550</v>
      </c>
      <c r="D53" s="888" t="s">
        <v>1551</v>
      </c>
      <c r="E53" s="888" t="s">
        <v>1552</v>
      </c>
      <c r="F53" s="888" t="s">
        <v>1553</v>
      </c>
      <c r="G53" s="888" t="s">
        <v>1554</v>
      </c>
      <c r="H53" s="888" t="s">
        <v>1555</v>
      </c>
      <c r="I53" s="888" t="s">
        <v>1556</v>
      </c>
      <c r="J53" s="888" t="s">
        <v>1557</v>
      </c>
      <c r="K53" s="888" t="s">
        <v>1558</v>
      </c>
      <c r="L53" s="934" t="s">
        <v>1559</v>
      </c>
      <c r="M53" s="886" t="s">
        <v>1560</v>
      </c>
      <c r="N53" s="1580" t="str">
        <f t="shared" si="3"/>
        <v/>
      </c>
      <c r="O53" s="320"/>
      <c r="P53" s="320"/>
      <c r="Q53" s="320"/>
      <c r="R53" s="320"/>
      <c r="S53" s="320"/>
      <c r="T53" s="320"/>
      <c r="U53" s="320"/>
      <c r="V53" s="320"/>
      <c r="W53" s="320"/>
      <c r="X53" s="320"/>
      <c r="Y53" s="320"/>
      <c r="Z53" s="320"/>
      <c r="AA53" s="320"/>
      <c r="AB53" s="1621"/>
      <c r="AC53" s="315"/>
      <c r="AF53" s="322"/>
      <c r="AG53" s="218"/>
      <c r="AH53" s="218"/>
      <c r="AI53" s="218"/>
      <c r="AJ53" s="218"/>
      <c r="AK53" s="218"/>
      <c r="AL53" s="218"/>
      <c r="AM53" s="218"/>
      <c r="AN53" s="218"/>
      <c r="AO53" s="218"/>
      <c r="BA53" s="225"/>
      <c r="BB53" s="225"/>
      <c r="BC53" s="225"/>
      <c r="BD53" s="225"/>
    </row>
    <row r="54" spans="1:56" s="217" customFormat="1" ht="16.5" customHeight="1" x14ac:dyDescent="0.25">
      <c r="A54" s="1637" t="s">
        <v>1483</v>
      </c>
      <c r="B54" s="222" t="s">
        <v>24</v>
      </c>
      <c r="C54" s="893" t="s">
        <v>1550</v>
      </c>
      <c r="D54" s="888" t="s">
        <v>1551</v>
      </c>
      <c r="E54" s="888" t="s">
        <v>1552</v>
      </c>
      <c r="F54" s="888" t="s">
        <v>1553</v>
      </c>
      <c r="G54" s="888" t="s">
        <v>1554</v>
      </c>
      <c r="H54" s="888" t="s">
        <v>1555</v>
      </c>
      <c r="I54" s="888" t="s">
        <v>1556</v>
      </c>
      <c r="J54" s="888" t="s">
        <v>1557</v>
      </c>
      <c r="K54" s="888" t="s">
        <v>1558</v>
      </c>
      <c r="L54" s="934" t="s">
        <v>1559</v>
      </c>
      <c r="M54" s="886" t="s">
        <v>1560</v>
      </c>
      <c r="N54" s="1580" t="str">
        <f t="shared" si="3"/>
        <v/>
      </c>
      <c r="O54" s="320"/>
      <c r="P54" s="320"/>
      <c r="Q54" s="320"/>
      <c r="R54" s="320"/>
      <c r="S54" s="320"/>
      <c r="T54" s="320"/>
      <c r="U54" s="320"/>
      <c r="V54" s="320"/>
      <c r="W54" s="320"/>
      <c r="X54" s="320"/>
      <c r="Y54" s="320"/>
      <c r="Z54" s="320"/>
      <c r="AA54" s="320"/>
      <c r="AB54" s="1621"/>
      <c r="AC54" s="315"/>
      <c r="AF54" s="322"/>
      <c r="AG54" s="218"/>
      <c r="AH54" s="218"/>
      <c r="AI54" s="218"/>
      <c r="AJ54" s="218"/>
      <c r="AK54" s="218"/>
      <c r="AL54" s="218"/>
      <c r="AM54" s="218"/>
      <c r="AN54" s="218"/>
      <c r="AO54" s="218"/>
      <c r="BA54" s="225"/>
      <c r="BB54" s="225"/>
      <c r="BC54" s="225"/>
      <c r="BD54" s="225"/>
    </row>
    <row r="55" spans="1:56" s="217" customFormat="1" ht="16.5" customHeight="1" x14ac:dyDescent="0.25">
      <c r="A55" s="1637" t="s">
        <v>1484</v>
      </c>
      <c r="B55" s="222" t="s">
        <v>208</v>
      </c>
      <c r="C55" s="893" t="s">
        <v>1550</v>
      </c>
      <c r="D55" s="888" t="s">
        <v>1551</v>
      </c>
      <c r="E55" s="888" t="s">
        <v>1552</v>
      </c>
      <c r="F55" s="888" t="s">
        <v>1553</v>
      </c>
      <c r="G55" s="888" t="s">
        <v>1554</v>
      </c>
      <c r="H55" s="888" t="s">
        <v>1555</v>
      </c>
      <c r="I55" s="888" t="s">
        <v>1556</v>
      </c>
      <c r="J55" s="888" t="s">
        <v>1557</v>
      </c>
      <c r="K55" s="888" t="s">
        <v>1558</v>
      </c>
      <c r="L55" s="934" t="s">
        <v>1559</v>
      </c>
      <c r="M55" s="886" t="s">
        <v>1560</v>
      </c>
      <c r="N55" s="1580" t="str">
        <f t="shared" si="3"/>
        <v/>
      </c>
      <c r="O55" s="320"/>
      <c r="P55" s="320"/>
      <c r="Q55" s="320"/>
      <c r="R55" s="320"/>
      <c r="S55" s="320"/>
      <c r="T55" s="320"/>
      <c r="U55" s="320"/>
      <c r="V55" s="320"/>
      <c r="W55" s="320"/>
      <c r="X55" s="320"/>
      <c r="Y55" s="320"/>
      <c r="Z55" s="320"/>
      <c r="AA55" s="320"/>
      <c r="AB55" s="1621"/>
      <c r="AC55" s="315"/>
      <c r="AF55" s="322"/>
      <c r="AG55" s="218"/>
      <c r="AH55" s="218"/>
      <c r="AI55" s="218"/>
      <c r="AJ55" s="218"/>
      <c r="AK55" s="218"/>
      <c r="AL55" s="218"/>
      <c r="AM55" s="218"/>
      <c r="AN55" s="218"/>
      <c r="AO55" s="57"/>
      <c r="BA55" s="225"/>
      <c r="BB55" s="225"/>
      <c r="BC55" s="225"/>
      <c r="BD55" s="225"/>
    </row>
    <row r="56" spans="1:56" s="217" customFormat="1" ht="16.5" customHeight="1" x14ac:dyDescent="0.25">
      <c r="A56" s="1637" t="s">
        <v>1485</v>
      </c>
      <c r="B56" s="222" t="s">
        <v>209</v>
      </c>
      <c r="C56" s="893" t="s">
        <v>1550</v>
      </c>
      <c r="D56" s="888" t="s">
        <v>1551</v>
      </c>
      <c r="E56" s="888" t="s">
        <v>1552</v>
      </c>
      <c r="F56" s="888" t="s">
        <v>1553</v>
      </c>
      <c r="G56" s="888" t="s">
        <v>1554</v>
      </c>
      <c r="H56" s="888" t="s">
        <v>1555</v>
      </c>
      <c r="I56" s="888" t="s">
        <v>1556</v>
      </c>
      <c r="J56" s="888" t="s">
        <v>1557</v>
      </c>
      <c r="K56" s="888" t="s">
        <v>1558</v>
      </c>
      <c r="L56" s="934" t="s">
        <v>1559</v>
      </c>
      <c r="M56" s="886" t="s">
        <v>1560</v>
      </c>
      <c r="N56" s="1580" t="str">
        <f t="shared" si="3"/>
        <v/>
      </c>
      <c r="O56" s="320"/>
      <c r="P56" s="320"/>
      <c r="Q56" s="320"/>
      <c r="R56" s="320"/>
      <c r="S56" s="320"/>
      <c r="T56" s="320"/>
      <c r="U56" s="320"/>
      <c r="V56" s="320"/>
      <c r="W56" s="320"/>
      <c r="X56" s="320"/>
      <c r="Y56" s="320"/>
      <c r="Z56" s="320"/>
      <c r="AA56" s="320"/>
      <c r="AB56" s="1621"/>
      <c r="AC56" s="315"/>
      <c r="AF56" s="322"/>
      <c r="AG56" s="218"/>
      <c r="AH56" s="218"/>
      <c r="AI56" s="218"/>
      <c r="AJ56" s="218"/>
      <c r="AK56" s="218"/>
      <c r="AL56" s="218"/>
      <c r="AM56" s="218"/>
      <c r="AN56" s="218"/>
      <c r="AO56" s="218"/>
      <c r="AP56" s="218"/>
      <c r="AQ56" s="218"/>
    </row>
    <row r="57" spans="1:56" ht="16.5" customHeight="1" x14ac:dyDescent="0.3">
      <c r="A57" s="1637" t="s">
        <v>1486</v>
      </c>
      <c r="B57" s="222" t="s">
        <v>181</v>
      </c>
      <c r="C57" s="893" t="s">
        <v>1550</v>
      </c>
      <c r="D57" s="888" t="s">
        <v>1551</v>
      </c>
      <c r="E57" s="888" t="s">
        <v>1552</v>
      </c>
      <c r="F57" s="888" t="s">
        <v>1553</v>
      </c>
      <c r="G57" s="888" t="s">
        <v>1554</v>
      </c>
      <c r="H57" s="888" t="s">
        <v>1555</v>
      </c>
      <c r="I57" s="888" t="s">
        <v>1556</v>
      </c>
      <c r="J57" s="888" t="s">
        <v>1557</v>
      </c>
      <c r="K57" s="888" t="s">
        <v>1558</v>
      </c>
      <c r="L57" s="934" t="s">
        <v>1559</v>
      </c>
      <c r="M57" s="886" t="s">
        <v>1560</v>
      </c>
      <c r="N57" s="1580" t="str">
        <f t="shared" si="3"/>
        <v/>
      </c>
      <c r="AB57" s="1621"/>
      <c r="AC57" s="315"/>
      <c r="AF57" s="322"/>
    </row>
    <row r="58" spans="1:56" ht="16.5" customHeight="1" x14ac:dyDescent="0.25">
      <c r="A58" s="1637" t="s">
        <v>1487</v>
      </c>
      <c r="B58" s="222" t="s">
        <v>182</v>
      </c>
      <c r="C58" s="893" t="s">
        <v>1550</v>
      </c>
      <c r="D58" s="888" t="s">
        <v>1551</v>
      </c>
      <c r="E58" s="888" t="s">
        <v>1552</v>
      </c>
      <c r="F58" s="888" t="s">
        <v>1553</v>
      </c>
      <c r="G58" s="888" t="s">
        <v>1554</v>
      </c>
      <c r="H58" s="888" t="s">
        <v>1555</v>
      </c>
      <c r="I58" s="888" t="s">
        <v>1556</v>
      </c>
      <c r="J58" s="888" t="s">
        <v>1557</v>
      </c>
      <c r="K58" s="888" t="s">
        <v>1558</v>
      </c>
      <c r="L58" s="934" t="s">
        <v>1559</v>
      </c>
      <c r="M58" s="886" t="s">
        <v>1560</v>
      </c>
      <c r="N58" s="1580" t="str">
        <f t="shared" si="3"/>
        <v/>
      </c>
      <c r="AB58" s="1621"/>
      <c r="AC58" s="315"/>
      <c r="AD58" s="218"/>
      <c r="AE58" s="218"/>
      <c r="AF58" s="322"/>
    </row>
    <row r="59" spans="1:56" ht="16.5" customHeight="1" x14ac:dyDescent="0.25">
      <c r="A59" s="1637" t="s">
        <v>1488</v>
      </c>
      <c r="B59" s="222" t="s">
        <v>183</v>
      </c>
      <c r="C59" s="893" t="s">
        <v>1550</v>
      </c>
      <c r="D59" s="888" t="s">
        <v>1551</v>
      </c>
      <c r="E59" s="888" t="s">
        <v>1552</v>
      </c>
      <c r="F59" s="888" t="s">
        <v>1553</v>
      </c>
      <c r="G59" s="888" t="s">
        <v>1554</v>
      </c>
      <c r="H59" s="888" t="s">
        <v>1555</v>
      </c>
      <c r="I59" s="888" t="s">
        <v>1556</v>
      </c>
      <c r="J59" s="888" t="s">
        <v>1557</v>
      </c>
      <c r="K59" s="888" t="s">
        <v>1558</v>
      </c>
      <c r="L59" s="934" t="s">
        <v>1559</v>
      </c>
      <c r="M59" s="886" t="s">
        <v>1560</v>
      </c>
      <c r="N59" s="1580" t="str">
        <f t="shared" si="3"/>
        <v/>
      </c>
      <c r="AB59" s="1621"/>
      <c r="AC59" s="315"/>
      <c r="AD59" s="218"/>
      <c r="AE59" s="218"/>
      <c r="AF59" s="322"/>
    </row>
    <row r="60" spans="1:56" ht="16.5" customHeight="1" x14ac:dyDescent="0.25">
      <c r="A60" s="1637" t="s">
        <v>1489</v>
      </c>
      <c r="B60" s="224" t="s">
        <v>195</v>
      </c>
      <c r="C60" s="889" t="s">
        <v>1550</v>
      </c>
      <c r="D60" s="891" t="s">
        <v>1551</v>
      </c>
      <c r="E60" s="891" t="s">
        <v>1552</v>
      </c>
      <c r="F60" s="891" t="s">
        <v>1553</v>
      </c>
      <c r="G60" s="891" t="s">
        <v>1554</v>
      </c>
      <c r="H60" s="891" t="s">
        <v>1555</v>
      </c>
      <c r="I60" s="891" t="s">
        <v>1556</v>
      </c>
      <c r="J60" s="891" t="s">
        <v>1557</v>
      </c>
      <c r="K60" s="891" t="s">
        <v>1558</v>
      </c>
      <c r="L60" s="935" t="s">
        <v>1559</v>
      </c>
      <c r="M60" s="890" t="s">
        <v>1560</v>
      </c>
      <c r="N60" s="1580" t="str">
        <f t="shared" si="3"/>
        <v/>
      </c>
      <c r="AB60" s="1621"/>
      <c r="AC60" s="315"/>
      <c r="AD60" s="218"/>
      <c r="AE60" s="218"/>
      <c r="AF60" s="322"/>
    </row>
    <row r="61" spans="1:56" ht="20.25" customHeight="1" x14ac:dyDescent="0.3">
      <c r="A61" s="1656"/>
      <c r="B61" s="1574" t="s">
        <v>13</v>
      </c>
      <c r="C61" s="1575">
        <f>SUM(D61:L61)</f>
        <v>0</v>
      </c>
      <c r="D61" s="1575">
        <f>SUM(D48:D60)</f>
        <v>0</v>
      </c>
      <c r="E61" s="1575">
        <f>SUM(E48:E60)</f>
        <v>0</v>
      </c>
      <c r="F61" s="1575">
        <f t="shared" ref="F61:L61" si="4">SUM(F48:F60)</f>
        <v>0</v>
      </c>
      <c r="G61" s="1575">
        <f t="shared" si="4"/>
        <v>0</v>
      </c>
      <c r="H61" s="1575">
        <f t="shared" si="4"/>
        <v>0</v>
      </c>
      <c r="I61" s="1575">
        <f t="shared" si="4"/>
        <v>0</v>
      </c>
      <c r="J61" s="1575">
        <f t="shared" si="4"/>
        <v>0</v>
      </c>
      <c r="K61" s="1575">
        <f t="shared" si="4"/>
        <v>0</v>
      </c>
      <c r="L61" s="1577">
        <f t="shared" si="4"/>
        <v>0</v>
      </c>
      <c r="M61" s="1576">
        <f>SUM(M48:M60)</f>
        <v>0</v>
      </c>
      <c r="N61" s="218"/>
      <c r="O61" s="218"/>
      <c r="P61" s="218"/>
      <c r="Q61" s="218"/>
      <c r="R61" s="218"/>
      <c r="S61" s="218"/>
      <c r="T61" s="218"/>
      <c r="U61" s="218"/>
      <c r="V61" s="218"/>
      <c r="W61" s="218"/>
      <c r="X61" s="218"/>
      <c r="Y61" s="218"/>
      <c r="Z61" s="218"/>
      <c r="AA61" s="218"/>
    </row>
    <row r="62" spans="1:56" s="217" customFormat="1" ht="15.75" customHeight="1" x14ac:dyDescent="0.2">
      <c r="B62" s="226" t="s">
        <v>255</v>
      </c>
      <c r="C62" s="1578"/>
      <c r="D62" s="1578"/>
      <c r="E62" s="1578"/>
      <c r="F62" s="1578"/>
      <c r="G62" s="1578"/>
      <c r="H62" s="1578"/>
      <c r="I62" s="1578"/>
      <c r="J62" s="1578"/>
      <c r="K62" s="1578"/>
      <c r="L62" s="1578"/>
      <c r="M62" s="218"/>
      <c r="N62" s="218"/>
      <c r="O62" s="218"/>
      <c r="P62" s="218"/>
      <c r="Q62" s="218"/>
      <c r="R62" s="218"/>
      <c r="S62" s="218"/>
      <c r="T62" s="218"/>
      <c r="U62" s="218"/>
      <c r="V62" s="218"/>
      <c r="W62" s="218"/>
      <c r="X62" s="218"/>
      <c r="Y62" s="218"/>
      <c r="Z62" s="218"/>
      <c r="AA62" s="218"/>
      <c r="AB62" s="218"/>
      <c r="AC62" s="218"/>
      <c r="AF62" s="218"/>
      <c r="AG62" s="218"/>
      <c r="AH62" s="218"/>
      <c r="AI62" s="218"/>
      <c r="AJ62" s="218"/>
      <c r="AK62" s="218"/>
      <c r="AL62" s="218"/>
      <c r="AM62" s="218"/>
      <c r="AN62" s="218"/>
      <c r="AO62" s="218"/>
    </row>
    <row r="63" spans="1:56" s="217" customFormat="1" ht="18" customHeight="1" x14ac:dyDescent="0.3">
      <c r="B63" s="1570" t="s">
        <v>851</v>
      </c>
      <c r="C63" s="227"/>
      <c r="D63" s="227"/>
      <c r="E63" s="227"/>
      <c r="F63" s="227"/>
      <c r="G63" s="227"/>
      <c r="H63" s="227"/>
      <c r="I63" s="227"/>
      <c r="J63" s="227"/>
      <c r="K63" s="227"/>
      <c r="L63" s="218"/>
      <c r="M63" s="218"/>
      <c r="N63" s="218"/>
      <c r="O63" s="218"/>
      <c r="P63" s="218"/>
      <c r="Q63" s="218"/>
      <c r="R63" s="218"/>
      <c r="S63" s="218"/>
      <c r="T63" s="218"/>
      <c r="U63" s="218"/>
      <c r="V63" s="218"/>
      <c r="W63" s="218"/>
      <c r="X63" s="218"/>
      <c r="Y63" s="218"/>
      <c r="Z63" s="218"/>
      <c r="AA63" s="218"/>
      <c r="AB63" s="218"/>
      <c r="AC63" s="218"/>
      <c r="AF63" s="218"/>
      <c r="AG63" s="218"/>
      <c r="AH63" s="218"/>
      <c r="AI63" s="218"/>
      <c r="AJ63" s="218"/>
      <c r="AK63" s="218"/>
      <c r="AL63" s="218"/>
      <c r="AM63" s="218"/>
      <c r="AN63" s="218"/>
      <c r="AO63" s="218"/>
    </row>
    <row r="64" spans="1:56" s="217" customFormat="1" ht="64.5" customHeight="1" x14ac:dyDescent="0.2">
      <c r="B64" s="1563" t="s">
        <v>524</v>
      </c>
      <c r="C64" s="292" t="s">
        <v>852</v>
      </c>
      <c r="D64" s="227"/>
      <c r="E64" s="218"/>
      <c r="F64" s="218"/>
      <c r="G64" s="218"/>
      <c r="H64" s="218"/>
      <c r="I64" s="218"/>
      <c r="J64" s="218"/>
      <c r="K64" s="218"/>
      <c r="L64" s="218"/>
      <c r="M64" s="218"/>
      <c r="N64" s="218"/>
      <c r="O64" s="218"/>
      <c r="P64" s="218"/>
      <c r="Q64" s="218"/>
      <c r="R64" s="218"/>
      <c r="S64" s="218"/>
      <c r="T64" s="218"/>
      <c r="U64" s="218"/>
      <c r="V64" s="218"/>
      <c r="W64" s="218"/>
      <c r="X64" s="218"/>
      <c r="Y64" s="218"/>
      <c r="Z64" s="218"/>
      <c r="AA64" s="218"/>
      <c r="AB64" s="218"/>
      <c r="AC64" s="218"/>
      <c r="AF64" s="218"/>
      <c r="AG64" s="218"/>
      <c r="AH64" s="218"/>
      <c r="AI64" s="218"/>
      <c r="AJ64" s="218"/>
      <c r="AK64" s="218"/>
      <c r="AL64" s="218"/>
      <c r="AM64" s="218"/>
      <c r="AN64" s="218"/>
      <c r="AO64" s="218"/>
    </row>
    <row r="65" spans="1:56" s="217" customFormat="1" ht="21" customHeight="1" x14ac:dyDescent="0.25">
      <c r="A65" s="1637" t="s">
        <v>1490</v>
      </c>
      <c r="B65" s="228" t="s">
        <v>268</v>
      </c>
      <c r="C65" s="886" t="s">
        <v>1550</v>
      </c>
      <c r="D65" s="227"/>
      <c r="E65" s="218"/>
      <c r="F65" s="218"/>
      <c r="G65" s="218"/>
      <c r="H65" s="218"/>
      <c r="I65" s="218"/>
      <c r="J65" s="218"/>
      <c r="K65" s="218"/>
      <c r="L65" s="218"/>
      <c r="M65" s="218"/>
      <c r="N65" s="320"/>
      <c r="O65" s="320"/>
      <c r="P65" s="320"/>
      <c r="Q65" s="320"/>
      <c r="R65" s="320"/>
      <c r="S65" s="320"/>
      <c r="T65" s="320"/>
      <c r="U65" s="320"/>
      <c r="V65" s="320"/>
      <c r="W65" s="320"/>
      <c r="X65" s="320"/>
      <c r="Y65" s="320"/>
      <c r="Z65" s="320"/>
      <c r="AA65" s="320"/>
      <c r="AB65" s="218"/>
      <c r="AC65" s="218"/>
      <c r="AF65" s="218"/>
      <c r="AG65" s="218"/>
      <c r="AH65" s="218"/>
      <c r="AI65" s="218"/>
      <c r="AJ65" s="218"/>
      <c r="AK65" s="218"/>
      <c r="AL65" s="218"/>
      <c r="AM65" s="218"/>
      <c r="AN65" s="218"/>
      <c r="AO65" s="218"/>
      <c r="BA65" s="225"/>
      <c r="BB65" s="225"/>
      <c r="BC65" s="225"/>
      <c r="BD65" s="225"/>
    </row>
    <row r="66" spans="1:56" s="217" customFormat="1" ht="21" customHeight="1" x14ac:dyDescent="0.25">
      <c r="A66" s="1637" t="s">
        <v>1491</v>
      </c>
      <c r="B66" s="229" t="s">
        <v>269</v>
      </c>
      <c r="C66" s="886" t="s">
        <v>1550</v>
      </c>
      <c r="D66" s="227"/>
      <c r="E66" s="218"/>
      <c r="F66" s="218"/>
      <c r="G66" s="218"/>
      <c r="H66" s="218"/>
      <c r="I66" s="218"/>
      <c r="J66" s="218"/>
      <c r="K66" s="218"/>
      <c r="L66" s="218"/>
      <c r="M66" s="218"/>
      <c r="N66" s="320"/>
      <c r="O66" s="320"/>
      <c r="P66" s="320"/>
      <c r="Q66" s="320"/>
      <c r="R66" s="320"/>
      <c r="S66" s="320"/>
      <c r="T66" s="320"/>
      <c r="U66" s="320"/>
      <c r="V66" s="320"/>
      <c r="W66" s="320"/>
      <c r="X66" s="320"/>
      <c r="Y66" s="320"/>
      <c r="Z66" s="320"/>
      <c r="AA66" s="320"/>
      <c r="AB66" s="218"/>
      <c r="AC66" s="218"/>
      <c r="AF66" s="218"/>
      <c r="AG66" s="218"/>
      <c r="AH66" s="218"/>
      <c r="AI66" s="218"/>
      <c r="AJ66" s="218"/>
      <c r="AK66" s="218"/>
      <c r="AL66" s="218"/>
      <c r="AM66" s="218"/>
      <c r="AN66" s="218"/>
      <c r="AO66" s="218"/>
      <c r="BA66" s="225"/>
      <c r="BB66" s="225"/>
      <c r="BC66" s="225"/>
      <c r="BD66" s="225"/>
    </row>
    <row r="67" spans="1:56" s="217" customFormat="1" ht="21" customHeight="1" x14ac:dyDescent="0.25">
      <c r="A67" s="1637" t="s">
        <v>1492</v>
      </c>
      <c r="B67" s="222" t="s">
        <v>24</v>
      </c>
      <c r="C67" s="886" t="s">
        <v>1550</v>
      </c>
      <c r="D67" s="227"/>
      <c r="E67" s="218"/>
      <c r="F67" s="218"/>
      <c r="G67" s="218"/>
      <c r="H67" s="218"/>
      <c r="I67" s="218"/>
      <c r="J67" s="218"/>
      <c r="K67" s="218"/>
      <c r="L67" s="218"/>
      <c r="M67" s="218"/>
      <c r="N67" s="320"/>
      <c r="O67" s="320"/>
      <c r="P67" s="320"/>
      <c r="Q67" s="320"/>
      <c r="R67" s="320"/>
      <c r="S67" s="320"/>
      <c r="T67" s="320"/>
      <c r="U67" s="320"/>
      <c r="V67" s="320"/>
      <c r="W67" s="320"/>
      <c r="X67" s="320"/>
      <c r="Y67" s="320"/>
      <c r="Z67" s="320"/>
      <c r="AA67" s="320"/>
      <c r="AB67" s="218"/>
      <c r="AC67" s="218"/>
      <c r="AF67" s="218"/>
      <c r="AG67" s="218"/>
      <c r="AH67" s="218"/>
      <c r="AI67" s="218"/>
      <c r="AJ67" s="218"/>
      <c r="AK67" s="218"/>
      <c r="AL67" s="218"/>
      <c r="AM67" s="218"/>
      <c r="AN67" s="218"/>
      <c r="AO67" s="218"/>
      <c r="BA67" s="225"/>
      <c r="BB67" s="225"/>
      <c r="BC67" s="225"/>
      <c r="BD67" s="225"/>
    </row>
    <row r="68" spans="1:56" s="217" customFormat="1" ht="21" customHeight="1" x14ac:dyDescent="0.25">
      <c r="A68" s="1637" t="s">
        <v>1493</v>
      </c>
      <c r="B68" s="222" t="s">
        <v>208</v>
      </c>
      <c r="C68" s="886" t="s">
        <v>1550</v>
      </c>
      <c r="D68" s="227"/>
      <c r="E68" s="218"/>
      <c r="F68" s="218"/>
      <c r="G68" s="218"/>
      <c r="H68" s="218"/>
      <c r="I68" s="218"/>
      <c r="J68" s="218"/>
      <c r="K68" s="218"/>
      <c r="L68" s="218"/>
      <c r="M68" s="218"/>
      <c r="N68" s="320"/>
      <c r="O68" s="320"/>
      <c r="P68" s="320"/>
      <c r="Q68" s="320"/>
      <c r="R68" s="320"/>
      <c r="S68" s="320"/>
      <c r="T68" s="320"/>
      <c r="U68" s="320"/>
      <c r="V68" s="320"/>
      <c r="W68" s="320"/>
      <c r="X68" s="320"/>
      <c r="Y68" s="320"/>
      <c r="Z68" s="320"/>
      <c r="AA68" s="320"/>
      <c r="AB68" s="218"/>
      <c r="AC68" s="218"/>
      <c r="AF68" s="218"/>
      <c r="AG68" s="218"/>
      <c r="AH68" s="218"/>
      <c r="AI68" s="218"/>
      <c r="AJ68" s="218"/>
      <c r="AK68" s="218"/>
      <c r="AL68" s="218"/>
      <c r="AM68" s="218"/>
      <c r="AN68" s="218"/>
      <c r="AO68" s="218"/>
      <c r="BA68" s="225"/>
      <c r="BB68" s="225"/>
      <c r="BC68" s="225"/>
      <c r="BD68" s="225"/>
    </row>
    <row r="69" spans="1:56" s="217" customFormat="1" ht="21" customHeight="1" x14ac:dyDescent="0.25">
      <c r="A69" s="1637" t="s">
        <v>1494</v>
      </c>
      <c r="B69" s="222" t="s">
        <v>209</v>
      </c>
      <c r="C69" s="886" t="s">
        <v>1550</v>
      </c>
      <c r="D69" s="227"/>
      <c r="E69" s="218"/>
      <c r="F69" s="218"/>
      <c r="G69" s="218"/>
      <c r="H69" s="218"/>
      <c r="I69" s="218"/>
      <c r="J69" s="218"/>
      <c r="K69" s="218"/>
      <c r="L69" s="218"/>
      <c r="M69" s="218"/>
      <c r="N69" s="320"/>
      <c r="O69" s="320"/>
      <c r="P69" s="320"/>
      <c r="Q69" s="320"/>
      <c r="R69" s="320"/>
      <c r="S69" s="320"/>
      <c r="T69" s="320"/>
      <c r="U69" s="320"/>
      <c r="V69" s="320"/>
      <c r="W69" s="320"/>
      <c r="X69" s="320"/>
      <c r="Y69" s="320"/>
      <c r="Z69" s="320"/>
      <c r="AA69" s="320"/>
      <c r="AB69" s="218"/>
      <c r="AC69" s="218"/>
      <c r="AF69" s="218"/>
      <c r="AG69" s="218"/>
      <c r="AH69" s="218"/>
      <c r="AI69" s="218"/>
      <c r="AJ69" s="218"/>
      <c r="AK69" s="218"/>
      <c r="AL69" s="218"/>
      <c r="AM69" s="218"/>
      <c r="AN69" s="218"/>
      <c r="AO69" s="218"/>
      <c r="AQ69" s="175"/>
    </row>
    <row r="70" spans="1:56" s="217" customFormat="1" ht="21" customHeight="1" x14ac:dyDescent="0.25">
      <c r="A70" s="1637" t="s">
        <v>1495</v>
      </c>
      <c r="B70" s="222" t="s">
        <v>181</v>
      </c>
      <c r="C70" s="886" t="s">
        <v>1550</v>
      </c>
      <c r="D70" s="227"/>
      <c r="E70" s="218"/>
      <c r="F70" s="218"/>
      <c r="G70" s="218"/>
      <c r="H70" s="218"/>
      <c r="I70" s="218"/>
      <c r="J70" s="218"/>
      <c r="K70" s="218"/>
      <c r="L70" s="218"/>
      <c r="M70" s="218"/>
      <c r="N70" s="320"/>
      <c r="O70" s="320"/>
      <c r="P70" s="320"/>
      <c r="Q70" s="320"/>
      <c r="R70" s="320"/>
      <c r="S70" s="320"/>
      <c r="T70" s="320"/>
      <c r="U70" s="320"/>
      <c r="V70" s="320"/>
      <c r="W70" s="320"/>
      <c r="X70" s="320"/>
      <c r="Y70" s="320"/>
      <c r="Z70" s="320"/>
      <c r="AA70" s="320"/>
      <c r="AB70" s="218"/>
      <c r="AC70" s="218"/>
      <c r="AF70" s="218"/>
      <c r="AG70" s="218"/>
      <c r="AH70" s="218"/>
      <c r="AI70" s="218"/>
      <c r="AJ70" s="218"/>
      <c r="AK70" s="218"/>
      <c r="AL70" s="218"/>
      <c r="AM70" s="218"/>
      <c r="AN70" s="218"/>
      <c r="AO70" s="218"/>
      <c r="AP70" s="218"/>
      <c r="AQ70" s="218"/>
    </row>
    <row r="71" spans="1:56" ht="21" customHeight="1" x14ac:dyDescent="0.3">
      <c r="A71" s="1637" t="s">
        <v>1496</v>
      </c>
      <c r="B71" s="222" t="s">
        <v>182</v>
      </c>
      <c r="C71" s="886" t="s">
        <v>1550</v>
      </c>
      <c r="E71" s="218"/>
      <c r="F71" s="218"/>
      <c r="G71" s="218"/>
      <c r="H71" s="218"/>
      <c r="I71" s="218"/>
      <c r="J71" s="218"/>
      <c r="K71" s="218"/>
    </row>
    <row r="72" spans="1:56" ht="21" customHeight="1" x14ac:dyDescent="0.3">
      <c r="A72" s="1637" t="s">
        <v>1497</v>
      </c>
      <c r="B72" s="222" t="s">
        <v>183</v>
      </c>
      <c r="C72" s="886" t="s">
        <v>1550</v>
      </c>
      <c r="E72" s="218"/>
      <c r="F72" s="218"/>
      <c r="G72" s="218"/>
      <c r="H72" s="218"/>
      <c r="I72" s="218"/>
      <c r="J72" s="218"/>
      <c r="K72" s="218"/>
    </row>
    <row r="73" spans="1:56" ht="21" customHeight="1" x14ac:dyDescent="0.3">
      <c r="A73" s="1637" t="s">
        <v>1498</v>
      </c>
      <c r="B73" s="222" t="s">
        <v>195</v>
      </c>
      <c r="C73" s="886" t="s">
        <v>1550</v>
      </c>
      <c r="E73" s="218"/>
      <c r="F73" s="218"/>
      <c r="G73" s="218"/>
      <c r="H73" s="218"/>
      <c r="I73" s="218"/>
      <c r="J73" s="218"/>
      <c r="K73" s="218"/>
    </row>
    <row r="74" spans="1:56" ht="22.5" customHeight="1" x14ac:dyDescent="0.3">
      <c r="A74" s="1656"/>
      <c r="B74" s="230" t="s">
        <v>13</v>
      </c>
      <c r="C74" s="894">
        <f>SUM(C65:C73)</f>
        <v>0</v>
      </c>
      <c r="D74" s="409"/>
      <c r="E74" s="218"/>
      <c r="F74" s="218"/>
      <c r="G74" s="218"/>
      <c r="H74" s="218"/>
      <c r="I74" s="218"/>
      <c r="J74" s="218"/>
      <c r="K74" s="218"/>
    </row>
    <row r="75" spans="1:56" ht="17.25" customHeight="1" x14ac:dyDescent="0.3">
      <c r="B75" s="231" t="s">
        <v>271</v>
      </c>
      <c r="C75" s="232"/>
      <c r="D75" s="55"/>
      <c r="E75" s="217"/>
      <c r="K75" s="218"/>
    </row>
    <row r="76" spans="1:56" ht="20.25" customHeight="1" x14ac:dyDescent="0.3">
      <c r="B76" s="462" t="s">
        <v>270</v>
      </c>
      <c r="C76" s="233"/>
      <c r="D76" s="226"/>
      <c r="E76" s="226"/>
      <c r="F76" s="226"/>
    </row>
    <row r="77" spans="1:56" ht="69" customHeight="1" x14ac:dyDescent="0.3">
      <c r="B77" s="234" t="s">
        <v>524</v>
      </c>
      <c r="C77" s="292" t="s">
        <v>354</v>
      </c>
      <c r="D77" s="235"/>
      <c r="E77" s="236"/>
      <c r="F77" s="236"/>
      <c r="K77" s="218"/>
    </row>
    <row r="78" spans="1:56" ht="21" customHeight="1" x14ac:dyDescent="0.3">
      <c r="A78" s="1637" t="s">
        <v>1499</v>
      </c>
      <c r="B78" s="228" t="s">
        <v>268</v>
      </c>
      <c r="C78" s="886" t="s">
        <v>1550</v>
      </c>
      <c r="D78" s="237"/>
      <c r="E78" s="236"/>
      <c r="F78" s="236"/>
      <c r="G78" s="236"/>
      <c r="K78" s="218"/>
    </row>
    <row r="79" spans="1:56" ht="21" customHeight="1" x14ac:dyDescent="0.3">
      <c r="A79" s="1637" t="s">
        <v>1500</v>
      </c>
      <c r="B79" s="229" t="s">
        <v>269</v>
      </c>
      <c r="C79" s="886" t="s">
        <v>1550</v>
      </c>
      <c r="E79" s="218"/>
      <c r="F79" s="218"/>
      <c r="G79" s="218"/>
      <c r="H79" s="218"/>
      <c r="I79" s="218"/>
      <c r="J79" s="218"/>
      <c r="K79" s="218"/>
    </row>
    <row r="80" spans="1:56" ht="21" customHeight="1" x14ac:dyDescent="0.3">
      <c r="A80" s="1637" t="s">
        <v>1501</v>
      </c>
      <c r="B80" s="222" t="s">
        <v>24</v>
      </c>
      <c r="C80" s="886" t="s">
        <v>1550</v>
      </c>
      <c r="E80" s="218"/>
      <c r="F80" s="218"/>
      <c r="G80" s="218"/>
      <c r="H80" s="218"/>
      <c r="I80" s="218"/>
      <c r="J80" s="218"/>
      <c r="K80" s="218"/>
    </row>
    <row r="81" spans="1:57" ht="21" customHeight="1" x14ac:dyDescent="0.3">
      <c r="A81" s="1637" t="s">
        <v>1502</v>
      </c>
      <c r="B81" s="222" t="s">
        <v>208</v>
      </c>
      <c r="C81" s="886" t="s">
        <v>1550</v>
      </c>
      <c r="E81" s="218"/>
      <c r="F81" s="218"/>
      <c r="G81" s="218"/>
      <c r="H81" s="218"/>
      <c r="I81" s="218"/>
      <c r="J81" s="218"/>
      <c r="K81" s="218"/>
    </row>
    <row r="82" spans="1:57" ht="21" customHeight="1" x14ac:dyDescent="0.3">
      <c r="A82" s="1637" t="s">
        <v>1503</v>
      </c>
      <c r="B82" s="222" t="s">
        <v>209</v>
      </c>
      <c r="C82" s="886" t="s">
        <v>1550</v>
      </c>
      <c r="E82" s="218"/>
      <c r="F82" s="218"/>
      <c r="G82" s="218"/>
      <c r="H82" s="218"/>
      <c r="I82" s="218"/>
      <c r="J82" s="218"/>
      <c r="K82" s="218"/>
    </row>
    <row r="83" spans="1:57" ht="21" customHeight="1" x14ac:dyDescent="0.3">
      <c r="A83" s="1637" t="s">
        <v>1504</v>
      </c>
      <c r="B83" s="222" t="s">
        <v>181</v>
      </c>
      <c r="C83" s="886" t="s">
        <v>1550</v>
      </c>
      <c r="E83" s="218"/>
      <c r="F83" s="218"/>
      <c r="G83" s="218"/>
      <c r="H83" s="218"/>
      <c r="I83" s="218"/>
      <c r="J83" s="218"/>
      <c r="K83" s="218"/>
    </row>
    <row r="84" spans="1:57" ht="21" customHeight="1" x14ac:dyDescent="0.3">
      <c r="A84" s="1637" t="s">
        <v>1505</v>
      </c>
      <c r="B84" s="222" t="s">
        <v>182</v>
      </c>
      <c r="C84" s="886" t="s">
        <v>1550</v>
      </c>
      <c r="E84" s="218"/>
      <c r="F84" s="218"/>
      <c r="G84" s="218"/>
      <c r="H84" s="218"/>
      <c r="I84" s="218"/>
      <c r="J84" s="218"/>
      <c r="K84" s="218"/>
    </row>
    <row r="85" spans="1:57" ht="21" customHeight="1" x14ac:dyDescent="0.3">
      <c r="A85" s="1637" t="s">
        <v>1506</v>
      </c>
      <c r="B85" s="222" t="s">
        <v>183</v>
      </c>
      <c r="C85" s="886" t="s">
        <v>1550</v>
      </c>
      <c r="E85" s="218"/>
      <c r="F85" s="218"/>
      <c r="G85" s="218"/>
      <c r="H85" s="218"/>
      <c r="I85" s="218"/>
      <c r="J85" s="218"/>
      <c r="K85" s="218"/>
    </row>
    <row r="86" spans="1:57" ht="21" customHeight="1" x14ac:dyDescent="0.3">
      <c r="A86" s="1637" t="s">
        <v>1507</v>
      </c>
      <c r="B86" s="222" t="s">
        <v>195</v>
      </c>
      <c r="C86" s="886" t="s">
        <v>1550</v>
      </c>
      <c r="E86" s="218"/>
      <c r="F86" s="218"/>
      <c r="G86" s="218"/>
      <c r="H86" s="218"/>
      <c r="I86" s="218"/>
      <c r="J86" s="218"/>
      <c r="K86" s="218"/>
    </row>
    <row r="87" spans="1:57" ht="21.75" customHeight="1" x14ac:dyDescent="0.3">
      <c r="A87" s="293"/>
      <c r="B87" s="230" t="s">
        <v>13</v>
      </c>
      <c r="C87" s="894">
        <f>SUM(C78:C86)</f>
        <v>0</v>
      </c>
      <c r="D87" s="409"/>
      <c r="E87" s="217"/>
      <c r="K87" s="218"/>
      <c r="N87" s="218"/>
      <c r="O87" s="218"/>
      <c r="P87" s="218"/>
      <c r="Q87" s="218"/>
      <c r="R87" s="218"/>
      <c r="S87" s="218"/>
      <c r="T87" s="218"/>
      <c r="U87" s="218"/>
      <c r="V87" s="218"/>
      <c r="W87" s="218"/>
      <c r="X87" s="218"/>
      <c r="Y87" s="218"/>
      <c r="Z87" s="218"/>
      <c r="AA87" s="218"/>
    </row>
    <row r="88" spans="1:57" x14ac:dyDescent="0.3">
      <c r="B88" s="231" t="s">
        <v>271</v>
      </c>
      <c r="C88" s="232"/>
      <c r="D88" s="55"/>
      <c r="E88" s="217"/>
      <c r="K88" s="218"/>
      <c r="N88" s="218"/>
      <c r="O88" s="218"/>
      <c r="P88" s="218"/>
      <c r="Q88" s="218"/>
      <c r="R88" s="218"/>
      <c r="S88" s="218"/>
      <c r="T88" s="218"/>
      <c r="U88" s="218"/>
      <c r="V88" s="218"/>
      <c r="W88" s="218"/>
      <c r="X88" s="218"/>
      <c r="Y88" s="218"/>
      <c r="Z88" s="218"/>
      <c r="AA88" s="218"/>
    </row>
    <row r="89" spans="1:57" ht="25.5" customHeight="1" x14ac:dyDescent="0.3">
      <c r="B89" s="1570" t="s">
        <v>601</v>
      </c>
      <c r="C89" s="960"/>
      <c r="D89" s="960"/>
      <c r="N89" s="218"/>
      <c r="O89" s="218"/>
      <c r="P89" s="218"/>
      <c r="Q89" s="218"/>
      <c r="R89" s="218"/>
      <c r="S89" s="218"/>
      <c r="T89" s="218"/>
      <c r="U89" s="218"/>
      <c r="V89" s="218"/>
      <c r="W89" s="218"/>
      <c r="X89" s="218"/>
      <c r="Y89" s="218"/>
      <c r="Z89" s="218"/>
      <c r="AA89" s="218"/>
    </row>
    <row r="90" spans="1:57" ht="40.799999999999997" x14ac:dyDescent="0.3">
      <c r="B90" s="1581" t="s">
        <v>46</v>
      </c>
      <c r="C90" s="1582" t="s">
        <v>591</v>
      </c>
      <c r="D90" s="1582" t="s">
        <v>592</v>
      </c>
      <c r="N90" s="218"/>
      <c r="O90" s="218"/>
      <c r="P90" s="218"/>
      <c r="Q90" s="218"/>
      <c r="R90" s="218"/>
      <c r="S90" s="218"/>
      <c r="T90" s="218"/>
      <c r="U90" s="218"/>
      <c r="V90" s="218"/>
      <c r="W90" s="218"/>
      <c r="X90" s="218"/>
      <c r="Y90" s="218"/>
      <c r="Z90" s="218"/>
      <c r="AA90" s="218"/>
    </row>
    <row r="91" spans="1:57" s="227" customFormat="1" ht="18.75" customHeight="1" x14ac:dyDescent="0.25">
      <c r="A91" s="1637" t="s">
        <v>1508</v>
      </c>
      <c r="B91" s="1266" t="s">
        <v>20</v>
      </c>
      <c r="C91" s="961" t="s">
        <v>1550</v>
      </c>
      <c r="D91" s="961" t="s">
        <v>1551</v>
      </c>
      <c r="E91" s="1579" t="str">
        <f>AB91&amp;AC91</f>
        <v xml:space="preserve"> * La variable Trans masculino con Examen VPH vigente no puede ser mayor que las mujeres con Tamizaje vigente.</v>
      </c>
      <c r="L91" s="218"/>
      <c r="M91" s="218"/>
      <c r="N91" s="320"/>
      <c r="O91" s="320"/>
      <c r="P91" s="320"/>
      <c r="Q91" s="320"/>
      <c r="R91" s="320"/>
      <c r="S91" s="320"/>
      <c r="T91" s="320"/>
      <c r="U91" s="320"/>
      <c r="V91" s="320"/>
      <c r="W91" s="320"/>
      <c r="X91" s="320"/>
      <c r="Y91" s="320"/>
      <c r="Z91" s="320"/>
      <c r="AA91" s="320"/>
      <c r="AB91" s="1621" t="str">
        <f>IF(AND(C91&gt;0,D91="")," * No olvide digitar la columna Trans masculino con Examen VPH vigente. Digite Cero si no tiene.",IF(D91&gt;C91," * La variable Trans masculino con Examen VPH vigente no puede ser mayor que las mujeres con Tamizaje vigente.",""))</f>
        <v xml:space="preserve"> * La variable Trans masculino con Examen VPH vigente no puede ser mayor que las mujeres con Tamizaje vigente.</v>
      </c>
      <c r="AC91" s="315"/>
      <c r="AF91" s="322">
        <f>IF(AND(C91&gt;0,D91=""),1,IF(D91&gt;C91,1,0))</f>
        <v>1</v>
      </c>
      <c r="AG91" s="218"/>
      <c r="AH91" s="218"/>
      <c r="AI91" s="218"/>
      <c r="AJ91" s="218"/>
      <c r="AK91" s="218"/>
      <c r="AL91" s="218"/>
      <c r="AM91" s="218"/>
      <c r="AN91" s="218"/>
      <c r="AO91" s="218"/>
      <c r="AP91" s="218"/>
      <c r="AR91" s="218"/>
      <c r="AS91" s="218"/>
      <c r="AT91" s="218"/>
      <c r="AU91" s="218"/>
      <c r="AV91" s="218"/>
      <c r="AW91" s="218"/>
      <c r="AX91" s="218"/>
      <c r="AY91" s="218"/>
      <c r="AZ91" s="218"/>
      <c r="BA91" s="218"/>
      <c r="BB91" s="218"/>
      <c r="BC91" s="218"/>
      <c r="BD91" s="218"/>
      <c r="BE91" s="218"/>
    </row>
    <row r="92" spans="1:57" ht="18.75" customHeight="1" x14ac:dyDescent="0.3">
      <c r="A92" s="1637" t="s">
        <v>1509</v>
      </c>
      <c r="B92" s="222" t="s">
        <v>21</v>
      </c>
      <c r="C92" s="961" t="s">
        <v>1550</v>
      </c>
      <c r="D92" s="961" t="s">
        <v>1551</v>
      </c>
      <c r="E92" s="1579" t="str">
        <f t="shared" ref="E92:E97" si="5">AB92&amp;AC92</f>
        <v xml:space="preserve"> * La variable Trans masculino con Examen VPH vigente no puede ser mayor que las mujeres con Tamizaje vigente.</v>
      </c>
      <c r="AB92" s="1621" t="str">
        <f t="shared" ref="AB92:AB97" si="6">IF(AND(C92&gt;0,D92="")," * No olvide digitar la columna Trans masculino con Examen VPH vigente. Digite Cero si no tiene.",IF(D92&gt;C92," * La variable Trans masculino con Examen VPH vigente no puede ser mayor que las mujeres con Tamizaje vigente.",""))</f>
        <v xml:space="preserve"> * La variable Trans masculino con Examen VPH vigente no puede ser mayor que las mujeres con Tamizaje vigente.</v>
      </c>
      <c r="AC92" s="315"/>
      <c r="AF92" s="322">
        <f t="shared" ref="AF92:AF97" si="7">IF(AND(C92&gt;0,D92=""),1,IF(D92&gt;C92,1,0))</f>
        <v>1</v>
      </c>
    </row>
    <row r="93" spans="1:57" ht="18.75" customHeight="1" x14ac:dyDescent="0.3">
      <c r="A93" s="1637" t="s">
        <v>1510</v>
      </c>
      <c r="B93" s="222" t="s">
        <v>22</v>
      </c>
      <c r="C93" s="961" t="s">
        <v>1550</v>
      </c>
      <c r="D93" s="961" t="s">
        <v>1551</v>
      </c>
      <c r="E93" s="1579" t="str">
        <f t="shared" si="5"/>
        <v xml:space="preserve"> * La variable Trans masculino con Examen VPH vigente no puede ser mayor que las mujeres con Tamizaje vigente.</v>
      </c>
      <c r="AB93" s="1621" t="str">
        <f t="shared" si="6"/>
        <v xml:space="preserve"> * La variable Trans masculino con Examen VPH vigente no puede ser mayor que las mujeres con Tamizaje vigente.</v>
      </c>
      <c r="AC93" s="315"/>
      <c r="AF93" s="322">
        <f t="shared" si="7"/>
        <v>1</v>
      </c>
    </row>
    <row r="94" spans="1:57" ht="18.75" customHeight="1" x14ac:dyDescent="0.3">
      <c r="A94" s="1637" t="s">
        <v>1511</v>
      </c>
      <c r="B94" s="222" t="s">
        <v>23</v>
      </c>
      <c r="C94" s="961" t="s">
        <v>1550</v>
      </c>
      <c r="D94" s="961" t="s">
        <v>1551</v>
      </c>
      <c r="E94" s="1579" t="str">
        <f t="shared" si="5"/>
        <v xml:space="preserve"> * La variable Trans masculino con Examen VPH vigente no puede ser mayor que las mujeres con Tamizaje vigente.</v>
      </c>
      <c r="AB94" s="1621" t="str">
        <f t="shared" si="6"/>
        <v xml:space="preserve"> * La variable Trans masculino con Examen VPH vigente no puede ser mayor que las mujeres con Tamizaje vigente.</v>
      </c>
      <c r="AC94" s="315"/>
      <c r="AF94" s="322">
        <f t="shared" si="7"/>
        <v>1</v>
      </c>
    </row>
    <row r="95" spans="1:57" ht="18.75" customHeight="1" x14ac:dyDescent="0.3">
      <c r="A95" s="1637" t="s">
        <v>1512</v>
      </c>
      <c r="B95" s="222" t="s">
        <v>24</v>
      </c>
      <c r="C95" s="961" t="s">
        <v>1550</v>
      </c>
      <c r="D95" s="961" t="s">
        <v>1551</v>
      </c>
      <c r="E95" s="1579" t="str">
        <f t="shared" si="5"/>
        <v xml:space="preserve"> * La variable Trans masculino con Examen VPH vigente no puede ser mayor que las mujeres con Tamizaje vigente.</v>
      </c>
      <c r="AB95" s="1621" t="str">
        <f t="shared" si="6"/>
        <v xml:space="preserve"> * La variable Trans masculino con Examen VPH vigente no puede ser mayor que las mujeres con Tamizaje vigente.</v>
      </c>
      <c r="AC95" s="315"/>
      <c r="AF95" s="322">
        <f t="shared" si="7"/>
        <v>1</v>
      </c>
    </row>
    <row r="96" spans="1:57" ht="18.75" customHeight="1" x14ac:dyDescent="0.3">
      <c r="A96" s="1637" t="s">
        <v>1513</v>
      </c>
      <c r="B96" s="222" t="s">
        <v>208</v>
      </c>
      <c r="C96" s="961" t="s">
        <v>1550</v>
      </c>
      <c r="D96" s="961" t="s">
        <v>1551</v>
      </c>
      <c r="E96" s="1579" t="str">
        <f t="shared" si="5"/>
        <v xml:space="preserve"> * La variable Trans masculino con Examen VPH vigente no puede ser mayor que las mujeres con Tamizaje vigente.</v>
      </c>
      <c r="AB96" s="1621" t="str">
        <f t="shared" si="6"/>
        <v xml:space="preserve"> * La variable Trans masculino con Examen VPH vigente no puede ser mayor que las mujeres con Tamizaje vigente.</v>
      </c>
      <c r="AC96" s="315"/>
      <c r="AF96" s="322">
        <f t="shared" si="7"/>
        <v>1</v>
      </c>
    </row>
    <row r="97" spans="1:32" ht="18.75" customHeight="1" x14ac:dyDescent="0.3">
      <c r="A97" s="1637" t="s">
        <v>1514</v>
      </c>
      <c r="B97" s="222" t="s">
        <v>209</v>
      </c>
      <c r="C97" s="962" t="s">
        <v>1550</v>
      </c>
      <c r="D97" s="962" t="s">
        <v>1551</v>
      </c>
      <c r="E97" s="1579" t="str">
        <f t="shared" si="5"/>
        <v xml:space="preserve"> * La variable Trans masculino con Examen VPH vigente no puede ser mayor que las mujeres con Tamizaje vigente.</v>
      </c>
      <c r="AB97" s="1621" t="str">
        <f t="shared" si="6"/>
        <v xml:space="preserve"> * La variable Trans masculino con Examen VPH vigente no puede ser mayor que las mujeres con Tamizaje vigente.</v>
      </c>
      <c r="AC97" s="315"/>
      <c r="AF97" s="322">
        <f t="shared" si="7"/>
        <v>1</v>
      </c>
    </row>
    <row r="98" spans="1:32" ht="21" customHeight="1" x14ac:dyDescent="0.3">
      <c r="A98" s="293"/>
      <c r="B98" s="1583" t="s">
        <v>13</v>
      </c>
      <c r="C98" s="1584">
        <f>SUM(C91:C97)</f>
        <v>0</v>
      </c>
      <c r="D98" s="1585">
        <f>SUM(D91:D97)</f>
        <v>0</v>
      </c>
      <c r="N98" s="218"/>
      <c r="O98" s="218"/>
      <c r="P98" s="218"/>
      <c r="Q98" s="218"/>
      <c r="R98" s="218"/>
      <c r="S98" s="218"/>
      <c r="T98" s="218"/>
      <c r="U98" s="218"/>
      <c r="V98" s="218"/>
      <c r="W98" s="218"/>
      <c r="X98" s="218"/>
      <c r="Y98" s="218"/>
      <c r="Z98" s="218"/>
      <c r="AA98" s="218"/>
    </row>
    <row r="99" spans="1:32" ht="35.25" customHeight="1" x14ac:dyDescent="0.3">
      <c r="B99" s="2522" t="s">
        <v>610</v>
      </c>
      <c r="C99" s="2522"/>
      <c r="D99" s="2522"/>
      <c r="E99" s="2522"/>
      <c r="F99" s="2522"/>
      <c r="G99" s="2522"/>
      <c r="H99" s="2522"/>
      <c r="I99" s="2522"/>
      <c r="J99" s="2522"/>
      <c r="K99" s="2522"/>
      <c r="L99" s="2522"/>
      <c r="N99" s="218"/>
      <c r="O99" s="218"/>
      <c r="P99" s="218"/>
      <c r="Q99" s="218"/>
      <c r="R99" s="218"/>
      <c r="S99" s="218"/>
      <c r="T99" s="218"/>
      <c r="U99" s="218"/>
      <c r="V99" s="218"/>
      <c r="W99" s="218"/>
      <c r="X99" s="218"/>
      <c r="Y99" s="218"/>
      <c r="Z99" s="218"/>
      <c r="AA99" s="218"/>
    </row>
    <row r="100" spans="1:32" x14ac:dyDescent="0.3">
      <c r="B100" s="2523" t="s">
        <v>524</v>
      </c>
      <c r="C100" s="2525" t="s">
        <v>593</v>
      </c>
      <c r="D100" s="2514"/>
      <c r="E100" s="2514"/>
      <c r="F100" s="2514"/>
      <c r="G100" s="2514"/>
      <c r="H100" s="2516"/>
      <c r="I100" s="960"/>
      <c r="J100" s="960"/>
      <c r="K100" s="960"/>
      <c r="L100" s="960"/>
      <c r="N100" s="218"/>
      <c r="O100" s="218"/>
      <c r="P100" s="218"/>
      <c r="Q100" s="218"/>
      <c r="R100" s="218"/>
      <c r="S100" s="218"/>
      <c r="T100" s="218"/>
      <c r="U100" s="218"/>
      <c r="V100" s="218"/>
      <c r="W100" s="218"/>
      <c r="X100" s="218"/>
      <c r="Y100" s="218"/>
      <c r="Z100" s="218"/>
      <c r="AA100" s="218"/>
    </row>
    <row r="101" spans="1:32" x14ac:dyDescent="0.3">
      <c r="B101" s="2524"/>
      <c r="C101" s="2509" t="s">
        <v>13</v>
      </c>
      <c r="D101" s="2511" t="s">
        <v>594</v>
      </c>
      <c r="E101" s="2513" t="s">
        <v>259</v>
      </c>
      <c r="F101" s="2526"/>
      <c r="G101" s="2527"/>
      <c r="H101" s="2528" t="s">
        <v>599</v>
      </c>
      <c r="I101" s="960"/>
      <c r="J101" s="960"/>
      <c r="K101" s="960"/>
      <c r="L101" s="960"/>
      <c r="N101" s="218"/>
      <c r="O101" s="218"/>
      <c r="P101" s="218"/>
      <c r="Q101" s="218"/>
      <c r="R101" s="218"/>
      <c r="S101" s="218"/>
      <c r="T101" s="218"/>
      <c r="U101" s="218"/>
      <c r="V101" s="218"/>
      <c r="W101" s="218"/>
      <c r="X101" s="218"/>
      <c r="Y101" s="218"/>
      <c r="Z101" s="218"/>
      <c r="AA101" s="218"/>
    </row>
    <row r="102" spans="1:32" ht="24" customHeight="1" x14ac:dyDescent="0.3">
      <c r="B102" s="2524"/>
      <c r="C102" s="2510"/>
      <c r="D102" s="2512"/>
      <c r="E102" s="1565" t="s">
        <v>595</v>
      </c>
      <c r="F102" s="1565" t="s">
        <v>596</v>
      </c>
      <c r="G102" s="1566" t="s">
        <v>597</v>
      </c>
      <c r="H102" s="2529"/>
      <c r="I102" s="960"/>
      <c r="J102" s="960"/>
      <c r="K102" s="960"/>
      <c r="L102" s="960"/>
      <c r="N102" s="218"/>
      <c r="O102" s="218"/>
      <c r="P102" s="218"/>
      <c r="Q102" s="218"/>
      <c r="R102" s="218"/>
      <c r="S102" s="218"/>
      <c r="T102" s="218"/>
      <c r="U102" s="218"/>
      <c r="V102" s="218"/>
      <c r="W102" s="218"/>
      <c r="X102" s="218"/>
      <c r="Y102" s="218"/>
      <c r="Z102" s="218"/>
      <c r="AA102" s="218"/>
    </row>
    <row r="103" spans="1:32" ht="18" customHeight="1" x14ac:dyDescent="0.3">
      <c r="A103" s="1637" t="s">
        <v>1515</v>
      </c>
      <c r="B103" s="222" t="s">
        <v>20</v>
      </c>
      <c r="C103" s="887" t="s">
        <v>1550</v>
      </c>
      <c r="D103" s="963" t="s">
        <v>1551</v>
      </c>
      <c r="E103" s="964" t="s">
        <v>1552</v>
      </c>
      <c r="F103" s="964" t="s">
        <v>1553</v>
      </c>
      <c r="G103" s="965" t="s">
        <v>1554</v>
      </c>
      <c r="H103" s="963" t="s">
        <v>1555</v>
      </c>
      <c r="I103" s="1586" t="str">
        <f>AB103&amp;AC103</f>
        <v xml:space="preserve"> * La variable Total VPH informados en Trans Masculino no puede ser mayor que el Total.</v>
      </c>
      <c r="J103" s="960"/>
      <c r="K103" s="960"/>
      <c r="L103" s="960"/>
      <c r="AB103" s="1621" t="str">
        <f>IF(AND(C103&gt;0,H103="")," * No olvide digitar la columna Total VPH informados en Trans Masculino. Digite Cero si no tiene.",IF(H103&gt;C103," * La variable Total VPH informados en Trans Masculino no puede ser mayor que el Total.",""))</f>
        <v xml:space="preserve"> * La variable Total VPH informados en Trans Masculino no puede ser mayor que el Total.</v>
      </c>
      <c r="AC103" s="315"/>
      <c r="AF103" s="322">
        <f>IF(AND(C103&gt;0,H103=""),1,IF(H103&gt;C103,1,0))</f>
        <v>1</v>
      </c>
    </row>
    <row r="104" spans="1:32" ht="18" customHeight="1" x14ac:dyDescent="0.3">
      <c r="A104" s="1637" t="s">
        <v>1516</v>
      </c>
      <c r="B104" s="222" t="s">
        <v>21</v>
      </c>
      <c r="C104" s="887" t="s">
        <v>1550</v>
      </c>
      <c r="D104" s="963" t="s">
        <v>1551</v>
      </c>
      <c r="E104" s="964" t="s">
        <v>1552</v>
      </c>
      <c r="F104" s="964" t="s">
        <v>1553</v>
      </c>
      <c r="G104" s="965" t="s">
        <v>1554</v>
      </c>
      <c r="H104" s="963" t="s">
        <v>1555</v>
      </c>
      <c r="I104" s="1586" t="str">
        <f t="shared" ref="I104:I113" si="8">AB104&amp;AC104</f>
        <v xml:space="preserve"> * La variable Total VPH informados en Trans Masculino no puede ser mayor que el Total.</v>
      </c>
      <c r="J104" s="960"/>
      <c r="K104" s="960"/>
      <c r="L104" s="960"/>
      <c r="AB104" s="1621" t="str">
        <f t="shared" ref="AB104:AB113" si="9">IF(AND(C104&gt;0,H104="")," * No olvide digitar la columna Total VPH informados en Trans Masculino. Digite Cero si no tiene.",IF(H104&gt;C104," * La variable Total VPH informados en Trans Masculino no puede ser mayor que el Total.",""))</f>
        <v xml:space="preserve"> * La variable Total VPH informados en Trans Masculino no puede ser mayor que el Total.</v>
      </c>
      <c r="AC104" s="315"/>
      <c r="AF104" s="322">
        <f t="shared" ref="AF104:AF113" si="10">IF(AND(C104&gt;0,H104=""),1,IF(H104&gt;C104,1,0))</f>
        <v>1</v>
      </c>
    </row>
    <row r="105" spans="1:32" ht="18" customHeight="1" x14ac:dyDescent="0.3">
      <c r="A105" s="1637" t="s">
        <v>1517</v>
      </c>
      <c r="B105" s="222" t="s">
        <v>22</v>
      </c>
      <c r="C105" s="887" t="s">
        <v>1550</v>
      </c>
      <c r="D105" s="963" t="s">
        <v>1551</v>
      </c>
      <c r="E105" s="964" t="s">
        <v>1552</v>
      </c>
      <c r="F105" s="964" t="s">
        <v>1553</v>
      </c>
      <c r="G105" s="965" t="s">
        <v>1554</v>
      </c>
      <c r="H105" s="963" t="s">
        <v>1555</v>
      </c>
      <c r="I105" s="1586" t="str">
        <f t="shared" si="8"/>
        <v xml:space="preserve"> * La variable Total VPH informados en Trans Masculino no puede ser mayor que el Total.</v>
      </c>
      <c r="J105" s="960"/>
      <c r="K105" s="960"/>
      <c r="L105" s="960"/>
      <c r="AB105" s="1621" t="str">
        <f t="shared" si="9"/>
        <v xml:space="preserve"> * La variable Total VPH informados en Trans Masculino no puede ser mayor que el Total.</v>
      </c>
      <c r="AC105" s="315"/>
      <c r="AF105" s="322">
        <f t="shared" si="10"/>
        <v>1</v>
      </c>
    </row>
    <row r="106" spans="1:32" ht="18" customHeight="1" x14ac:dyDescent="0.3">
      <c r="A106" s="1637" t="s">
        <v>1518</v>
      </c>
      <c r="B106" s="222" t="s">
        <v>23</v>
      </c>
      <c r="C106" s="887" t="s">
        <v>1550</v>
      </c>
      <c r="D106" s="963" t="s">
        <v>1551</v>
      </c>
      <c r="E106" s="964" t="s">
        <v>1552</v>
      </c>
      <c r="F106" s="964" t="s">
        <v>1553</v>
      </c>
      <c r="G106" s="965" t="s">
        <v>1554</v>
      </c>
      <c r="H106" s="963" t="s">
        <v>1555</v>
      </c>
      <c r="I106" s="1586" t="str">
        <f t="shared" si="8"/>
        <v xml:space="preserve"> * La variable Total VPH informados en Trans Masculino no puede ser mayor que el Total.</v>
      </c>
      <c r="J106" s="960"/>
      <c r="K106" s="960"/>
      <c r="L106" s="960"/>
      <c r="AB106" s="1621" t="str">
        <f t="shared" si="9"/>
        <v xml:space="preserve"> * La variable Total VPH informados en Trans Masculino no puede ser mayor que el Total.</v>
      </c>
      <c r="AC106" s="315"/>
      <c r="AF106" s="322">
        <f t="shared" si="10"/>
        <v>1</v>
      </c>
    </row>
    <row r="107" spans="1:32" ht="18" customHeight="1" x14ac:dyDescent="0.3">
      <c r="A107" s="1637" t="s">
        <v>1519</v>
      </c>
      <c r="B107" s="222" t="s">
        <v>24</v>
      </c>
      <c r="C107" s="887" t="s">
        <v>1550</v>
      </c>
      <c r="D107" s="963" t="s">
        <v>1551</v>
      </c>
      <c r="E107" s="964" t="s">
        <v>1552</v>
      </c>
      <c r="F107" s="964" t="s">
        <v>1553</v>
      </c>
      <c r="G107" s="965" t="s">
        <v>1554</v>
      </c>
      <c r="H107" s="963" t="s">
        <v>1555</v>
      </c>
      <c r="I107" s="1586" t="str">
        <f t="shared" si="8"/>
        <v xml:space="preserve"> * La variable Total VPH informados en Trans Masculino no puede ser mayor que el Total.</v>
      </c>
      <c r="J107" s="960"/>
      <c r="K107" s="960"/>
      <c r="L107" s="960"/>
      <c r="AB107" s="1621" t="str">
        <f t="shared" si="9"/>
        <v xml:space="preserve"> * La variable Total VPH informados en Trans Masculino no puede ser mayor que el Total.</v>
      </c>
      <c r="AC107" s="315"/>
      <c r="AF107" s="322">
        <f t="shared" si="10"/>
        <v>1</v>
      </c>
    </row>
    <row r="108" spans="1:32" ht="18" customHeight="1" x14ac:dyDescent="0.3">
      <c r="A108" s="1637" t="s">
        <v>1520</v>
      </c>
      <c r="B108" s="222" t="s">
        <v>208</v>
      </c>
      <c r="C108" s="887" t="s">
        <v>1550</v>
      </c>
      <c r="D108" s="963" t="s">
        <v>1551</v>
      </c>
      <c r="E108" s="964" t="s">
        <v>1552</v>
      </c>
      <c r="F108" s="964" t="s">
        <v>1553</v>
      </c>
      <c r="G108" s="965" t="s">
        <v>1554</v>
      </c>
      <c r="H108" s="963" t="s">
        <v>1555</v>
      </c>
      <c r="I108" s="1586" t="str">
        <f t="shared" si="8"/>
        <v xml:space="preserve"> * La variable Total VPH informados en Trans Masculino no puede ser mayor que el Total.</v>
      </c>
      <c r="J108" s="960"/>
      <c r="K108" s="960"/>
      <c r="L108" s="960"/>
      <c r="AB108" s="1621" t="str">
        <f t="shared" si="9"/>
        <v xml:space="preserve"> * La variable Total VPH informados en Trans Masculino no puede ser mayor que el Total.</v>
      </c>
      <c r="AC108" s="315"/>
      <c r="AF108" s="322">
        <f t="shared" si="10"/>
        <v>1</v>
      </c>
    </row>
    <row r="109" spans="1:32" ht="18" customHeight="1" x14ac:dyDescent="0.3">
      <c r="A109" s="1637" t="s">
        <v>1521</v>
      </c>
      <c r="B109" s="222" t="s">
        <v>209</v>
      </c>
      <c r="C109" s="887" t="s">
        <v>1550</v>
      </c>
      <c r="D109" s="963" t="s">
        <v>1551</v>
      </c>
      <c r="E109" s="964" t="s">
        <v>1552</v>
      </c>
      <c r="F109" s="964" t="s">
        <v>1553</v>
      </c>
      <c r="G109" s="965" t="s">
        <v>1554</v>
      </c>
      <c r="H109" s="963" t="s">
        <v>1555</v>
      </c>
      <c r="I109" s="1586" t="str">
        <f t="shared" si="8"/>
        <v xml:space="preserve"> * La variable Total VPH informados en Trans Masculino no puede ser mayor que el Total.</v>
      </c>
      <c r="J109" s="960"/>
      <c r="K109" s="960"/>
      <c r="L109" s="960"/>
      <c r="AB109" s="1621" t="str">
        <f t="shared" si="9"/>
        <v xml:space="preserve"> * La variable Total VPH informados en Trans Masculino no puede ser mayor que el Total.</v>
      </c>
      <c r="AC109" s="315"/>
      <c r="AF109" s="322">
        <f t="shared" si="10"/>
        <v>1</v>
      </c>
    </row>
    <row r="110" spans="1:32" ht="18" customHeight="1" x14ac:dyDescent="0.3">
      <c r="A110" s="1637" t="s">
        <v>1522</v>
      </c>
      <c r="B110" s="222" t="s">
        <v>181</v>
      </c>
      <c r="C110" s="887" t="s">
        <v>1550</v>
      </c>
      <c r="D110" s="963" t="s">
        <v>1551</v>
      </c>
      <c r="E110" s="964" t="s">
        <v>1552</v>
      </c>
      <c r="F110" s="964" t="s">
        <v>1553</v>
      </c>
      <c r="G110" s="965" t="s">
        <v>1554</v>
      </c>
      <c r="H110" s="963" t="s">
        <v>1555</v>
      </c>
      <c r="I110" s="1586" t="str">
        <f t="shared" si="8"/>
        <v xml:space="preserve"> * La variable Total VPH informados en Trans Masculino no puede ser mayor que el Total.</v>
      </c>
      <c r="J110" s="960"/>
      <c r="K110" s="960"/>
      <c r="L110" s="960"/>
      <c r="AB110" s="1621" t="str">
        <f t="shared" si="9"/>
        <v xml:space="preserve"> * La variable Total VPH informados en Trans Masculino no puede ser mayor que el Total.</v>
      </c>
      <c r="AC110" s="315"/>
      <c r="AF110" s="322">
        <f t="shared" si="10"/>
        <v>1</v>
      </c>
    </row>
    <row r="111" spans="1:32" ht="18" customHeight="1" x14ac:dyDescent="0.3">
      <c r="A111" s="1637" t="s">
        <v>1523</v>
      </c>
      <c r="B111" s="222" t="s">
        <v>182</v>
      </c>
      <c r="C111" s="887" t="s">
        <v>1550</v>
      </c>
      <c r="D111" s="963" t="s">
        <v>1551</v>
      </c>
      <c r="E111" s="964" t="s">
        <v>1552</v>
      </c>
      <c r="F111" s="964" t="s">
        <v>1553</v>
      </c>
      <c r="G111" s="965" t="s">
        <v>1554</v>
      </c>
      <c r="H111" s="963" t="s">
        <v>1555</v>
      </c>
      <c r="I111" s="1586" t="str">
        <f t="shared" si="8"/>
        <v xml:space="preserve"> * La variable Total VPH informados en Trans Masculino no puede ser mayor que el Total.</v>
      </c>
      <c r="J111" s="960"/>
      <c r="K111" s="960"/>
      <c r="L111" s="960"/>
      <c r="AB111" s="1621" t="str">
        <f t="shared" si="9"/>
        <v xml:space="preserve"> * La variable Total VPH informados en Trans Masculino no puede ser mayor que el Total.</v>
      </c>
      <c r="AC111" s="315"/>
      <c r="AF111" s="322">
        <f t="shared" si="10"/>
        <v>1</v>
      </c>
    </row>
    <row r="112" spans="1:32" ht="18" customHeight="1" x14ac:dyDescent="0.3">
      <c r="A112" s="1637" t="s">
        <v>1524</v>
      </c>
      <c r="B112" s="222" t="s">
        <v>183</v>
      </c>
      <c r="C112" s="887" t="s">
        <v>1550</v>
      </c>
      <c r="D112" s="963" t="s">
        <v>1551</v>
      </c>
      <c r="E112" s="964" t="s">
        <v>1552</v>
      </c>
      <c r="F112" s="964" t="s">
        <v>1553</v>
      </c>
      <c r="G112" s="965" t="s">
        <v>1554</v>
      </c>
      <c r="H112" s="963" t="s">
        <v>1555</v>
      </c>
      <c r="I112" s="1586" t="str">
        <f t="shared" si="8"/>
        <v xml:space="preserve"> * La variable Total VPH informados en Trans Masculino no puede ser mayor que el Total.</v>
      </c>
      <c r="J112" s="960"/>
      <c r="K112" s="960"/>
      <c r="L112" s="960"/>
      <c r="AB112" s="1621" t="str">
        <f t="shared" si="9"/>
        <v xml:space="preserve"> * La variable Total VPH informados en Trans Masculino no puede ser mayor que el Total.</v>
      </c>
      <c r="AC112" s="315"/>
      <c r="AF112" s="322">
        <f t="shared" si="10"/>
        <v>1</v>
      </c>
    </row>
    <row r="113" spans="1:32" ht="18" customHeight="1" x14ac:dyDescent="0.3">
      <c r="A113" s="1637" t="s">
        <v>1525</v>
      </c>
      <c r="B113" s="224" t="s">
        <v>195</v>
      </c>
      <c r="C113" s="889" t="s">
        <v>1550</v>
      </c>
      <c r="D113" s="966" t="s">
        <v>1551</v>
      </c>
      <c r="E113" s="967" t="s">
        <v>1552</v>
      </c>
      <c r="F113" s="967" t="s">
        <v>1553</v>
      </c>
      <c r="G113" s="968" t="s">
        <v>1554</v>
      </c>
      <c r="H113" s="966" t="s">
        <v>1555</v>
      </c>
      <c r="I113" s="1586" t="str">
        <f t="shared" si="8"/>
        <v xml:space="preserve"> * La variable Total VPH informados en Trans Masculino no puede ser mayor que el Total.</v>
      </c>
      <c r="J113" s="960"/>
      <c r="K113" s="960"/>
      <c r="L113" s="960"/>
      <c r="AB113" s="1621" t="str">
        <f t="shared" si="9"/>
        <v xml:space="preserve"> * La variable Total VPH informados en Trans Masculino no puede ser mayor que el Total.</v>
      </c>
      <c r="AC113" s="315"/>
      <c r="AF113" s="322">
        <f t="shared" si="10"/>
        <v>1</v>
      </c>
    </row>
    <row r="114" spans="1:32" ht="17.25" customHeight="1" x14ac:dyDescent="0.3">
      <c r="A114" s="293"/>
      <c r="B114" s="1574" t="s">
        <v>13</v>
      </c>
      <c r="C114" s="1575">
        <f>SUM(D114:G114)</f>
        <v>0</v>
      </c>
      <c r="D114" s="1575">
        <f>SUM(D103:D113)</f>
        <v>0</v>
      </c>
      <c r="E114" s="1575">
        <f>SUM(E103:E113)</f>
        <v>0</v>
      </c>
      <c r="F114" s="1575">
        <f>SUM(F103:F113)</f>
        <v>0</v>
      </c>
      <c r="G114" s="1577">
        <f>SUM(G103:G113)</f>
        <v>0</v>
      </c>
      <c r="H114" s="1576">
        <f>SUM(H103:H113)</f>
        <v>0</v>
      </c>
      <c r="I114" s="960"/>
      <c r="J114" s="960"/>
      <c r="K114" s="960"/>
      <c r="L114" s="960"/>
      <c r="N114" s="218"/>
      <c r="O114" s="218"/>
      <c r="P114" s="218"/>
      <c r="Q114" s="218"/>
      <c r="R114" s="218"/>
      <c r="S114" s="218"/>
      <c r="T114" s="218"/>
      <c r="U114" s="218"/>
      <c r="V114" s="218"/>
      <c r="W114" s="218"/>
      <c r="X114" s="218"/>
      <c r="Y114" s="218"/>
      <c r="Z114" s="218"/>
      <c r="AA114" s="218"/>
    </row>
    <row r="115" spans="1:32" x14ac:dyDescent="0.3">
      <c r="B115" s="960" t="s">
        <v>598</v>
      </c>
      <c r="C115" s="960"/>
      <c r="D115" s="960"/>
      <c r="E115" s="960"/>
      <c r="F115" s="960"/>
      <c r="G115" s="960"/>
      <c r="H115" s="960"/>
      <c r="I115" s="960"/>
      <c r="J115" s="960"/>
      <c r="K115" s="960"/>
      <c r="L115" s="960"/>
      <c r="N115" s="218"/>
      <c r="O115" s="218"/>
      <c r="P115" s="218"/>
      <c r="Q115" s="218"/>
      <c r="R115" s="218"/>
      <c r="S115" s="218"/>
      <c r="T115" s="218"/>
      <c r="U115" s="218"/>
      <c r="V115" s="218"/>
      <c r="W115" s="218"/>
      <c r="X115" s="218"/>
      <c r="Y115" s="218"/>
      <c r="Z115" s="218"/>
      <c r="AA115" s="218"/>
    </row>
    <row r="116" spans="1:32" ht="45.75" customHeight="1" x14ac:dyDescent="0.3">
      <c r="B116" s="2522" t="s">
        <v>864</v>
      </c>
      <c r="C116" s="2522"/>
      <c r="D116" s="2522"/>
      <c r="E116" s="2522"/>
      <c r="F116" s="2522"/>
      <c r="G116" s="2522"/>
      <c r="H116" s="2522"/>
      <c r="I116" s="2522"/>
      <c r="J116" s="2522"/>
      <c r="K116" s="2522"/>
      <c r="L116" s="2522"/>
      <c r="N116" s="218"/>
      <c r="O116" s="218"/>
      <c r="P116" s="218"/>
      <c r="Q116" s="218"/>
      <c r="R116" s="218"/>
      <c r="S116" s="218"/>
      <c r="T116" s="218"/>
      <c r="U116" s="218"/>
      <c r="V116" s="218"/>
      <c r="W116" s="218"/>
      <c r="X116" s="218"/>
      <c r="Y116" s="218"/>
      <c r="Z116" s="218"/>
      <c r="AA116" s="218"/>
    </row>
    <row r="117" spans="1:32" x14ac:dyDescent="0.3">
      <c r="B117" s="2508" t="s">
        <v>524</v>
      </c>
      <c r="C117" s="2513" t="s">
        <v>593</v>
      </c>
      <c r="D117" s="2526"/>
      <c r="E117" s="2526"/>
      <c r="F117" s="2526"/>
      <c r="G117" s="2526"/>
      <c r="H117" s="2530"/>
      <c r="I117" s="960"/>
      <c r="J117" s="960"/>
      <c r="K117" s="960"/>
      <c r="N117" s="218"/>
      <c r="O117" s="218"/>
      <c r="P117" s="218"/>
      <c r="Q117" s="218"/>
      <c r="R117" s="218"/>
      <c r="S117" s="218"/>
      <c r="T117" s="218"/>
      <c r="U117" s="218"/>
      <c r="V117" s="218"/>
      <c r="W117" s="218"/>
      <c r="X117" s="218"/>
      <c r="Y117" s="218"/>
      <c r="Z117" s="218"/>
      <c r="AA117" s="218"/>
    </row>
    <row r="118" spans="1:32" ht="18.75" customHeight="1" x14ac:dyDescent="0.3">
      <c r="B118" s="1989"/>
      <c r="C118" s="2531" t="s">
        <v>13</v>
      </c>
      <c r="D118" s="2532" t="s">
        <v>594</v>
      </c>
      <c r="E118" s="2513" t="s">
        <v>259</v>
      </c>
      <c r="F118" s="2526"/>
      <c r="G118" s="2527"/>
      <c r="H118" s="2528" t="s">
        <v>599</v>
      </c>
      <c r="I118" s="960"/>
      <c r="J118" s="960"/>
      <c r="K118" s="960"/>
      <c r="N118" s="218"/>
      <c r="O118" s="218"/>
      <c r="P118" s="218"/>
      <c r="Q118" s="218"/>
      <c r="R118" s="218"/>
      <c r="S118" s="218"/>
      <c r="T118" s="218"/>
      <c r="U118" s="218"/>
      <c r="V118" s="218"/>
      <c r="W118" s="218"/>
      <c r="X118" s="218"/>
      <c r="Y118" s="218"/>
      <c r="Z118" s="218"/>
      <c r="AA118" s="218"/>
    </row>
    <row r="119" spans="1:32" ht="21.75" customHeight="1" x14ac:dyDescent="0.3">
      <c r="B119" s="1989"/>
      <c r="C119" s="2510"/>
      <c r="D119" s="2512"/>
      <c r="E119" s="1565" t="s">
        <v>595</v>
      </c>
      <c r="F119" s="1565" t="s">
        <v>596</v>
      </c>
      <c r="G119" s="1566" t="s">
        <v>600</v>
      </c>
      <c r="H119" s="2529"/>
      <c r="I119" s="960"/>
      <c r="J119" s="960"/>
      <c r="K119" s="960"/>
      <c r="N119" s="218"/>
      <c r="O119" s="218"/>
      <c r="P119" s="218"/>
      <c r="Q119" s="218"/>
      <c r="R119" s="218"/>
      <c r="S119" s="218"/>
      <c r="T119" s="218"/>
      <c r="U119" s="218"/>
      <c r="V119" s="218"/>
      <c r="W119" s="218"/>
      <c r="X119" s="218"/>
      <c r="Y119" s="218"/>
      <c r="Z119" s="218"/>
      <c r="AA119" s="218"/>
    </row>
    <row r="120" spans="1:32" ht="20.25" customHeight="1" x14ac:dyDescent="0.3">
      <c r="A120" s="1637" t="s">
        <v>1526</v>
      </c>
      <c r="B120" s="222" t="s">
        <v>20</v>
      </c>
      <c r="C120" s="887" t="s">
        <v>1550</v>
      </c>
      <c r="D120" s="963" t="s">
        <v>1551</v>
      </c>
      <c r="E120" s="964" t="s">
        <v>1552</v>
      </c>
      <c r="F120" s="964" t="s">
        <v>1553</v>
      </c>
      <c r="G120" s="965" t="s">
        <v>1554</v>
      </c>
      <c r="H120" s="963" t="s">
        <v>1555</v>
      </c>
      <c r="I120" s="1586" t="str">
        <f t="shared" ref="I120:I130" si="11">AB120&amp;AC120</f>
        <v xml:space="preserve"> * La variable Total VPH informados en Trans Masculino no puede ser mayor que el Total.</v>
      </c>
      <c r="J120" s="960"/>
      <c r="K120" s="960"/>
      <c r="AB120" s="1621" t="str">
        <f t="shared" ref="AB120:AB130" si="12">IF(AND(C120&gt;0,H120="")," * No olvide digitar la columna Total VPH informados en Trans Masculino. Digite Cero si no tiene.",IF(H120&gt;C120," * La variable Total VPH informados en Trans Masculino no puede ser mayor que el Total.",""))</f>
        <v xml:space="preserve"> * La variable Total VPH informados en Trans Masculino no puede ser mayor que el Total.</v>
      </c>
      <c r="AC120" s="315"/>
      <c r="AF120" s="322">
        <f t="shared" ref="AF120:AF130" si="13">IF(AND(C120&gt;0,H120=""),1,IF(H120&gt;C120,1,0))</f>
        <v>1</v>
      </c>
    </row>
    <row r="121" spans="1:32" ht="20.25" customHeight="1" x14ac:dyDescent="0.3">
      <c r="A121" s="1637" t="s">
        <v>1527</v>
      </c>
      <c r="B121" s="222" t="s">
        <v>21</v>
      </c>
      <c r="C121" s="887" t="s">
        <v>1550</v>
      </c>
      <c r="D121" s="963" t="s">
        <v>1551</v>
      </c>
      <c r="E121" s="964" t="s">
        <v>1552</v>
      </c>
      <c r="F121" s="964" t="s">
        <v>1553</v>
      </c>
      <c r="G121" s="965" t="s">
        <v>1554</v>
      </c>
      <c r="H121" s="963" t="s">
        <v>1555</v>
      </c>
      <c r="I121" s="1586" t="str">
        <f t="shared" si="11"/>
        <v xml:space="preserve"> * La variable Total VPH informados en Trans Masculino no puede ser mayor que el Total.</v>
      </c>
      <c r="J121" s="960"/>
      <c r="K121" s="960"/>
      <c r="AB121" s="1621" t="str">
        <f t="shared" si="12"/>
        <v xml:space="preserve"> * La variable Total VPH informados en Trans Masculino no puede ser mayor que el Total.</v>
      </c>
      <c r="AC121" s="315"/>
      <c r="AF121" s="322">
        <f t="shared" si="13"/>
        <v>1</v>
      </c>
    </row>
    <row r="122" spans="1:32" ht="20.25" customHeight="1" x14ac:dyDescent="0.3">
      <c r="A122" s="1637" t="s">
        <v>1528</v>
      </c>
      <c r="B122" s="222" t="s">
        <v>22</v>
      </c>
      <c r="C122" s="887" t="s">
        <v>1550</v>
      </c>
      <c r="D122" s="963" t="s">
        <v>1551</v>
      </c>
      <c r="E122" s="964" t="s">
        <v>1552</v>
      </c>
      <c r="F122" s="964" t="s">
        <v>1553</v>
      </c>
      <c r="G122" s="965" t="s">
        <v>1554</v>
      </c>
      <c r="H122" s="963" t="s">
        <v>1555</v>
      </c>
      <c r="I122" s="1586" t="str">
        <f t="shared" si="11"/>
        <v xml:space="preserve"> * La variable Total VPH informados en Trans Masculino no puede ser mayor que el Total.</v>
      </c>
      <c r="J122" s="960"/>
      <c r="K122" s="960"/>
      <c r="AB122" s="1621" t="str">
        <f t="shared" si="12"/>
        <v xml:space="preserve"> * La variable Total VPH informados en Trans Masculino no puede ser mayor que el Total.</v>
      </c>
      <c r="AC122" s="315"/>
      <c r="AF122" s="322">
        <f t="shared" si="13"/>
        <v>1</v>
      </c>
    </row>
    <row r="123" spans="1:32" ht="20.25" customHeight="1" x14ac:dyDescent="0.3">
      <c r="A123" s="1637" t="s">
        <v>1529</v>
      </c>
      <c r="B123" s="222" t="s">
        <v>23</v>
      </c>
      <c r="C123" s="887" t="s">
        <v>1550</v>
      </c>
      <c r="D123" s="963" t="s">
        <v>1551</v>
      </c>
      <c r="E123" s="964" t="s">
        <v>1552</v>
      </c>
      <c r="F123" s="964" t="s">
        <v>1553</v>
      </c>
      <c r="G123" s="965" t="s">
        <v>1554</v>
      </c>
      <c r="H123" s="963" t="s">
        <v>1555</v>
      </c>
      <c r="I123" s="1586" t="str">
        <f t="shared" si="11"/>
        <v xml:space="preserve"> * La variable Total VPH informados en Trans Masculino no puede ser mayor que el Total.</v>
      </c>
      <c r="J123" s="960"/>
      <c r="K123" s="960"/>
      <c r="AB123" s="1621" t="str">
        <f t="shared" si="12"/>
        <v xml:space="preserve"> * La variable Total VPH informados en Trans Masculino no puede ser mayor que el Total.</v>
      </c>
      <c r="AC123" s="315"/>
      <c r="AF123" s="322">
        <f t="shared" si="13"/>
        <v>1</v>
      </c>
    </row>
    <row r="124" spans="1:32" ht="20.25" customHeight="1" x14ac:dyDescent="0.3">
      <c r="A124" s="1637" t="s">
        <v>1530</v>
      </c>
      <c r="B124" s="222" t="s">
        <v>24</v>
      </c>
      <c r="C124" s="887" t="s">
        <v>1550</v>
      </c>
      <c r="D124" s="963" t="s">
        <v>1551</v>
      </c>
      <c r="E124" s="964" t="s">
        <v>1552</v>
      </c>
      <c r="F124" s="964" t="s">
        <v>1553</v>
      </c>
      <c r="G124" s="965" t="s">
        <v>1554</v>
      </c>
      <c r="H124" s="963" t="s">
        <v>1555</v>
      </c>
      <c r="I124" s="1586" t="str">
        <f t="shared" si="11"/>
        <v xml:space="preserve"> * La variable Total VPH informados en Trans Masculino no puede ser mayor que el Total.</v>
      </c>
      <c r="J124" s="960"/>
      <c r="K124" s="960"/>
      <c r="AB124" s="1621" t="str">
        <f t="shared" si="12"/>
        <v xml:space="preserve"> * La variable Total VPH informados en Trans Masculino no puede ser mayor que el Total.</v>
      </c>
      <c r="AC124" s="315"/>
      <c r="AF124" s="322">
        <f t="shared" si="13"/>
        <v>1</v>
      </c>
    </row>
    <row r="125" spans="1:32" ht="20.25" customHeight="1" x14ac:dyDescent="0.3">
      <c r="A125" s="1637" t="s">
        <v>1531</v>
      </c>
      <c r="B125" s="222" t="s">
        <v>208</v>
      </c>
      <c r="C125" s="887" t="s">
        <v>1550</v>
      </c>
      <c r="D125" s="963" t="s">
        <v>1551</v>
      </c>
      <c r="E125" s="964" t="s">
        <v>1552</v>
      </c>
      <c r="F125" s="964" t="s">
        <v>1553</v>
      </c>
      <c r="G125" s="965" t="s">
        <v>1554</v>
      </c>
      <c r="H125" s="963" t="s">
        <v>1555</v>
      </c>
      <c r="I125" s="1586" t="str">
        <f t="shared" si="11"/>
        <v xml:space="preserve"> * La variable Total VPH informados en Trans Masculino no puede ser mayor que el Total.</v>
      </c>
      <c r="J125" s="960"/>
      <c r="K125" s="960"/>
      <c r="AB125" s="1621" t="str">
        <f t="shared" si="12"/>
        <v xml:space="preserve"> * La variable Total VPH informados en Trans Masculino no puede ser mayor que el Total.</v>
      </c>
      <c r="AC125" s="315"/>
      <c r="AF125" s="322">
        <f t="shared" si="13"/>
        <v>1</v>
      </c>
    </row>
    <row r="126" spans="1:32" ht="20.25" customHeight="1" x14ac:dyDescent="0.3">
      <c r="A126" s="1637" t="s">
        <v>1532</v>
      </c>
      <c r="B126" s="222" t="s">
        <v>209</v>
      </c>
      <c r="C126" s="887" t="s">
        <v>1550</v>
      </c>
      <c r="D126" s="963" t="s">
        <v>1551</v>
      </c>
      <c r="E126" s="964" t="s">
        <v>1552</v>
      </c>
      <c r="F126" s="964" t="s">
        <v>1553</v>
      </c>
      <c r="G126" s="965" t="s">
        <v>1554</v>
      </c>
      <c r="H126" s="963" t="s">
        <v>1555</v>
      </c>
      <c r="I126" s="1586" t="str">
        <f t="shared" si="11"/>
        <v xml:space="preserve"> * La variable Total VPH informados en Trans Masculino no puede ser mayor que el Total.</v>
      </c>
      <c r="J126" s="960"/>
      <c r="K126" s="960"/>
      <c r="AB126" s="1621" t="str">
        <f t="shared" si="12"/>
        <v xml:space="preserve"> * La variable Total VPH informados en Trans Masculino no puede ser mayor que el Total.</v>
      </c>
      <c r="AC126" s="315"/>
      <c r="AF126" s="322">
        <f t="shared" si="13"/>
        <v>1</v>
      </c>
    </row>
    <row r="127" spans="1:32" ht="20.25" customHeight="1" x14ac:dyDescent="0.3">
      <c r="A127" s="1637" t="s">
        <v>1533</v>
      </c>
      <c r="B127" s="222" t="s">
        <v>181</v>
      </c>
      <c r="C127" s="887" t="s">
        <v>1550</v>
      </c>
      <c r="D127" s="963" t="s">
        <v>1551</v>
      </c>
      <c r="E127" s="964" t="s">
        <v>1552</v>
      </c>
      <c r="F127" s="964" t="s">
        <v>1553</v>
      </c>
      <c r="G127" s="965" t="s">
        <v>1554</v>
      </c>
      <c r="H127" s="963" t="s">
        <v>1555</v>
      </c>
      <c r="I127" s="1586" t="str">
        <f t="shared" si="11"/>
        <v xml:space="preserve"> * La variable Total VPH informados en Trans Masculino no puede ser mayor que el Total.</v>
      </c>
      <c r="J127" s="960"/>
      <c r="K127" s="960"/>
      <c r="AB127" s="1621" t="str">
        <f t="shared" si="12"/>
        <v xml:space="preserve"> * La variable Total VPH informados en Trans Masculino no puede ser mayor que el Total.</v>
      </c>
      <c r="AC127" s="315"/>
      <c r="AF127" s="322">
        <f t="shared" si="13"/>
        <v>1</v>
      </c>
    </row>
    <row r="128" spans="1:32" ht="20.25" customHeight="1" x14ac:dyDescent="0.3">
      <c r="A128" s="1637" t="s">
        <v>1534</v>
      </c>
      <c r="B128" s="222" t="s">
        <v>182</v>
      </c>
      <c r="C128" s="887" t="s">
        <v>1550</v>
      </c>
      <c r="D128" s="963" t="s">
        <v>1551</v>
      </c>
      <c r="E128" s="964" t="s">
        <v>1552</v>
      </c>
      <c r="F128" s="964" t="s">
        <v>1553</v>
      </c>
      <c r="G128" s="965" t="s">
        <v>1554</v>
      </c>
      <c r="H128" s="963" t="s">
        <v>1555</v>
      </c>
      <c r="I128" s="1586" t="str">
        <f t="shared" si="11"/>
        <v xml:space="preserve"> * La variable Total VPH informados en Trans Masculino no puede ser mayor que el Total.</v>
      </c>
      <c r="J128" s="960"/>
      <c r="K128" s="960"/>
      <c r="AB128" s="1621" t="str">
        <f t="shared" si="12"/>
        <v xml:space="preserve"> * La variable Total VPH informados en Trans Masculino no puede ser mayor que el Total.</v>
      </c>
      <c r="AC128" s="315"/>
      <c r="AF128" s="322">
        <f t="shared" si="13"/>
        <v>1</v>
      </c>
    </row>
    <row r="129" spans="1:32" ht="20.25" customHeight="1" x14ac:dyDescent="0.3">
      <c r="A129" s="1637" t="s">
        <v>1535</v>
      </c>
      <c r="B129" s="222" t="s">
        <v>183</v>
      </c>
      <c r="C129" s="887" t="s">
        <v>1550</v>
      </c>
      <c r="D129" s="963" t="s">
        <v>1551</v>
      </c>
      <c r="E129" s="964" t="s">
        <v>1552</v>
      </c>
      <c r="F129" s="964" t="s">
        <v>1553</v>
      </c>
      <c r="G129" s="965" t="s">
        <v>1554</v>
      </c>
      <c r="H129" s="963" t="s">
        <v>1555</v>
      </c>
      <c r="I129" s="1586" t="str">
        <f t="shared" si="11"/>
        <v xml:space="preserve"> * La variable Total VPH informados en Trans Masculino no puede ser mayor que el Total.</v>
      </c>
      <c r="J129" s="960"/>
      <c r="K129" s="960"/>
      <c r="AB129" s="1621" t="str">
        <f t="shared" si="12"/>
        <v xml:space="preserve"> * La variable Total VPH informados en Trans Masculino no puede ser mayor que el Total.</v>
      </c>
      <c r="AC129" s="315"/>
      <c r="AF129" s="322">
        <f t="shared" si="13"/>
        <v>1</v>
      </c>
    </row>
    <row r="130" spans="1:32" ht="20.25" customHeight="1" x14ac:dyDescent="0.3">
      <c r="A130" s="1637" t="s">
        <v>1536</v>
      </c>
      <c r="B130" s="224" t="s">
        <v>195</v>
      </c>
      <c r="C130" s="889" t="s">
        <v>1550</v>
      </c>
      <c r="D130" s="966" t="s">
        <v>1551</v>
      </c>
      <c r="E130" s="967" t="s">
        <v>1552</v>
      </c>
      <c r="F130" s="967" t="s">
        <v>1553</v>
      </c>
      <c r="G130" s="968" t="s">
        <v>1554</v>
      </c>
      <c r="H130" s="966" t="s">
        <v>1555</v>
      </c>
      <c r="I130" s="1586" t="str">
        <f t="shared" si="11"/>
        <v xml:space="preserve"> * La variable Total VPH informados en Trans Masculino no puede ser mayor que el Total.</v>
      </c>
      <c r="J130" s="960"/>
      <c r="K130" s="960"/>
      <c r="AB130" s="1621" t="str">
        <f t="shared" si="12"/>
        <v xml:space="preserve"> * La variable Total VPH informados en Trans Masculino no puede ser mayor que el Total.</v>
      </c>
      <c r="AC130" s="315"/>
      <c r="AF130" s="322">
        <f t="shared" si="13"/>
        <v>1</v>
      </c>
    </row>
    <row r="131" spans="1:32" ht="18" customHeight="1" x14ac:dyDescent="0.3">
      <c r="A131" s="293"/>
      <c r="B131" s="1574" t="s">
        <v>13</v>
      </c>
      <c r="C131" s="1575">
        <f>SUM(D131:G131)</f>
        <v>0</v>
      </c>
      <c r="D131" s="1575">
        <f>SUM(D120:D130)</f>
        <v>0</v>
      </c>
      <c r="E131" s="1575">
        <f>SUM(E120:E130)</f>
        <v>0</v>
      </c>
      <c r="F131" s="1575">
        <f>SUM(F120:F130)</f>
        <v>0</v>
      </c>
      <c r="G131" s="1577">
        <f>SUM(G120:G130)</f>
        <v>0</v>
      </c>
      <c r="H131" s="1576">
        <f>SUM(H120:H130)</f>
        <v>0</v>
      </c>
      <c r="I131" s="1586"/>
      <c r="J131" s="960"/>
      <c r="K131" s="960"/>
      <c r="N131" s="218"/>
      <c r="O131" s="218"/>
      <c r="P131" s="218"/>
      <c r="Q131" s="218"/>
      <c r="R131" s="218"/>
      <c r="S131" s="218"/>
      <c r="T131" s="218"/>
      <c r="U131" s="218"/>
      <c r="V131" s="218"/>
      <c r="W131" s="218"/>
      <c r="X131" s="218"/>
      <c r="Y131" s="218"/>
      <c r="Z131" s="218"/>
      <c r="AA131" s="218"/>
    </row>
    <row r="132" spans="1:32" x14ac:dyDescent="0.3">
      <c r="N132" s="218"/>
      <c r="O132" s="218"/>
      <c r="P132" s="218"/>
      <c r="Q132" s="218"/>
      <c r="R132" s="218"/>
      <c r="S132" s="218"/>
      <c r="T132" s="218"/>
      <c r="U132" s="218"/>
      <c r="V132" s="218"/>
      <c r="W132" s="218"/>
      <c r="X132" s="218"/>
      <c r="Y132" s="218"/>
      <c r="Z132" s="218"/>
      <c r="AA132" s="218"/>
    </row>
    <row r="133" spans="1:32" x14ac:dyDescent="0.3">
      <c r="N133" s="218"/>
      <c r="O133" s="218"/>
      <c r="P133" s="218"/>
      <c r="Q133" s="218"/>
      <c r="R133" s="218"/>
      <c r="S133" s="218"/>
      <c r="T133" s="218"/>
      <c r="U133" s="218"/>
      <c r="V133" s="218"/>
      <c r="W133" s="218"/>
      <c r="X133" s="218"/>
      <c r="Y133" s="218"/>
      <c r="Z133" s="218"/>
      <c r="AA133" s="218"/>
    </row>
    <row r="134" spans="1:32" x14ac:dyDescent="0.3">
      <c r="N134" s="218"/>
      <c r="O134" s="218"/>
      <c r="P134" s="218"/>
      <c r="Q134" s="218"/>
      <c r="R134" s="218"/>
      <c r="S134" s="218"/>
      <c r="T134" s="218"/>
      <c r="U134" s="218"/>
      <c r="V134" s="218"/>
      <c r="W134" s="218"/>
      <c r="X134" s="218"/>
      <c r="Y134" s="218"/>
      <c r="Z134" s="218"/>
      <c r="AA134" s="218"/>
    </row>
    <row r="135" spans="1:32" x14ac:dyDescent="0.3">
      <c r="N135" s="218"/>
      <c r="O135" s="218"/>
      <c r="P135" s="218"/>
      <c r="Q135" s="218"/>
      <c r="R135" s="218"/>
      <c r="S135" s="218"/>
      <c r="T135" s="218"/>
      <c r="U135" s="218"/>
      <c r="V135" s="218"/>
      <c r="W135" s="218"/>
      <c r="X135" s="218"/>
      <c r="Y135" s="218"/>
      <c r="Z135" s="218"/>
      <c r="AA135" s="218"/>
    </row>
    <row r="136" spans="1:32" x14ac:dyDescent="0.3">
      <c r="N136" s="218"/>
      <c r="O136" s="218"/>
      <c r="P136" s="218"/>
      <c r="Q136" s="218"/>
      <c r="R136" s="218"/>
      <c r="S136" s="218"/>
      <c r="T136" s="218"/>
      <c r="U136" s="218"/>
      <c r="V136" s="218"/>
      <c r="W136" s="218"/>
      <c r="X136" s="218"/>
      <c r="Y136" s="218"/>
      <c r="Z136" s="218"/>
      <c r="AA136" s="218"/>
    </row>
    <row r="137" spans="1:32" x14ac:dyDescent="0.3">
      <c r="N137" s="218"/>
      <c r="O137" s="218"/>
      <c r="P137" s="218"/>
      <c r="Q137" s="218"/>
      <c r="R137" s="218"/>
      <c r="S137" s="218"/>
      <c r="T137" s="218"/>
      <c r="U137" s="218"/>
      <c r="V137" s="218"/>
      <c r="W137" s="218"/>
      <c r="X137" s="218"/>
      <c r="Y137" s="218"/>
      <c r="Z137" s="218"/>
      <c r="AA137" s="218"/>
    </row>
    <row r="138" spans="1:32" x14ac:dyDescent="0.3">
      <c r="N138" s="218"/>
      <c r="O138" s="218"/>
      <c r="P138" s="218"/>
      <c r="Q138" s="218"/>
      <c r="R138" s="218"/>
      <c r="S138" s="218"/>
      <c r="T138" s="218"/>
      <c r="U138" s="218"/>
      <c r="V138" s="218"/>
      <c r="W138" s="218"/>
      <c r="X138" s="218"/>
      <c r="Y138" s="218"/>
      <c r="Z138" s="218"/>
      <c r="AA138" s="218"/>
    </row>
    <row r="139" spans="1:32" x14ac:dyDescent="0.3">
      <c r="N139" s="218"/>
      <c r="O139" s="218"/>
      <c r="P139" s="218"/>
      <c r="Q139" s="218"/>
      <c r="R139" s="218"/>
      <c r="S139" s="218"/>
      <c r="T139" s="218"/>
      <c r="U139" s="218"/>
      <c r="V139" s="218"/>
      <c r="W139" s="218"/>
      <c r="X139" s="218"/>
      <c r="Y139" s="218"/>
      <c r="Z139" s="218"/>
      <c r="AA139" s="218"/>
    </row>
    <row r="199" spans="2:3" hidden="1" x14ac:dyDescent="0.3">
      <c r="B199" s="1622">
        <f>SUM(C10:D22,D29:M41,D48:M60,C65:C73,C78:C86,C91:D97,D103:H113,D120:H130)</f>
        <v>0</v>
      </c>
      <c r="C199" s="938" t="s">
        <v>317</v>
      </c>
    </row>
    <row r="200" spans="2:3" hidden="1" x14ac:dyDescent="0.3">
      <c r="B200" s="1622">
        <f>SUM(AF$10:AF130)</f>
        <v>29</v>
      </c>
      <c r="C200" s="938" t="s">
        <v>318</v>
      </c>
    </row>
  </sheetData>
  <mergeCells count="34">
    <mergeCell ref="B117:B119"/>
    <mergeCell ref="C117:H117"/>
    <mergeCell ref="C118:C119"/>
    <mergeCell ref="D118:D119"/>
    <mergeCell ref="E118:G118"/>
    <mergeCell ref="H118:H119"/>
    <mergeCell ref="B116:L116"/>
    <mergeCell ref="B99:L99"/>
    <mergeCell ref="B100:B102"/>
    <mergeCell ref="C100:H100"/>
    <mergeCell ref="C101:C102"/>
    <mergeCell ref="D101:D102"/>
    <mergeCell ref="E101:G101"/>
    <mergeCell ref="H101:H102"/>
    <mergeCell ref="B24:D24"/>
    <mergeCell ref="O5:P5"/>
    <mergeCell ref="B7:L7"/>
    <mergeCell ref="B25:L25"/>
    <mergeCell ref="G27:L27"/>
    <mergeCell ref="B26:B28"/>
    <mergeCell ref="C27:C28"/>
    <mergeCell ref="D27:D28"/>
    <mergeCell ref="E27:F27"/>
    <mergeCell ref="C26:M26"/>
    <mergeCell ref="M27:M28"/>
    <mergeCell ref="B43:D43"/>
    <mergeCell ref="B44:L44"/>
    <mergeCell ref="B45:B47"/>
    <mergeCell ref="C46:C47"/>
    <mergeCell ref="D46:D47"/>
    <mergeCell ref="E46:F46"/>
    <mergeCell ref="G46:L46"/>
    <mergeCell ref="C45:M45"/>
    <mergeCell ref="M46:M47"/>
  </mergeCells>
  <phoneticPr fontId="26" type="noConversion"/>
  <dataValidations count="2">
    <dataValidation allowBlank="1" showInputMessage="1" showErrorMessage="1" errorTitle="Error de ingreso" error="Debe ingresar sólo números enteros positivos." sqref="E1:M28 C98:C115 C1:D9 D114:H115 D23:D28 I61:K115 D42:M47 C23:C64 C74:C77 C87:C90 D61:D90 D98:D102 E61:H102 D117:H119 I117:K1048576 L61:M1048576 D131:H1048576 N1:AC1048576 AF1:XFD1048576 B1:B1048576 C117:C1048576" xr:uid="{00000000-0002-0000-0A00-000000000000}"/>
    <dataValidation type="whole" operator="greaterThanOrEqual" allowBlank="1" showInputMessage="1" showErrorMessage="1" sqref="C10:D22 D29:M41 D48:M60 C65:C73 C78:C86 C91:D97 D103:H113 D120:H130" xr:uid="{00000000-0002-0000-0A00-000001000000}">
      <formula1>0</formula1>
    </dataValidation>
  </dataValidations>
  <pageMargins left="0.70866141732283472" right="0.70866141732283472" top="0.74803149606299213" bottom="0.74803149606299213" header="0.31496062992125984" footer="0.31496062992125984"/>
  <pageSetup scale="65" orientation="landscape" r:id="rId1"/>
  <rowBreaks count="1" manualBreakCount="1">
    <brk id="62" min="1" max="11" man="1"/>
  </row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4"/>
  <dimension ref="A1:CA41"/>
  <sheetViews>
    <sheetView showGridLines="0" zoomScaleNormal="100" workbookViewId="0"/>
  </sheetViews>
  <sheetFormatPr baseColWidth="10" defaultColWidth="11.44140625" defaultRowHeight="10.199999999999999" x14ac:dyDescent="0.2"/>
  <cols>
    <col min="1" max="1" width="16.44140625" style="175" customWidth="1"/>
    <col min="2" max="2" width="56.5546875" style="175" customWidth="1"/>
    <col min="3" max="3" width="13.5546875" style="175" customWidth="1"/>
    <col min="4" max="5" width="11.5546875" style="175" customWidth="1"/>
    <col min="6" max="17" width="8.6640625" style="175" customWidth="1"/>
    <col min="18" max="18" width="11.44140625" style="175" customWidth="1"/>
    <col min="19" max="19" width="12.5546875" style="175" customWidth="1"/>
    <col min="20" max="20" width="12.6640625" style="175" customWidth="1"/>
    <col min="21" max="49" width="11.44140625" style="175" customWidth="1"/>
    <col min="50" max="50" width="9.44140625" style="175" customWidth="1"/>
    <col min="51" max="53" width="9.44140625" style="55" customWidth="1"/>
    <col min="54" max="74" width="9.44140625" style="175" hidden="1" customWidth="1"/>
    <col min="75" max="75" width="9.44140625" style="175" customWidth="1"/>
    <col min="76" max="79" width="11.44140625" style="291" customWidth="1"/>
    <col min="80" max="16384" width="11.44140625" style="175"/>
  </cols>
  <sheetData>
    <row r="1" spans="1:79" s="55" customFormat="1" ht="13.5" customHeight="1" x14ac:dyDescent="0.2">
      <c r="B1" s="120" t="s">
        <v>0</v>
      </c>
      <c r="BX1" s="54"/>
      <c r="BY1" s="54"/>
      <c r="BZ1" s="54"/>
      <c r="CA1" s="54"/>
    </row>
    <row r="2" spans="1:79" s="55" customFormat="1" ht="13.5" customHeight="1" x14ac:dyDescent="0.2">
      <c r="B2" s="120" t="str">
        <f>CONCATENATE("COMUNA: ",NOMBRE!$B$2," - ","( ",NOMBRE!$C$2,NOMBRE!$D$2,NOMBRE!$E$2,NOMBRE!$F$2,NOMBRE!$G$2," )")</f>
        <v>COMUNA:  - (  )</v>
      </c>
      <c r="BX2" s="54"/>
      <c r="BY2" s="54"/>
      <c r="BZ2" s="54"/>
      <c r="CA2" s="54"/>
    </row>
    <row r="3" spans="1:79" s="55" customFormat="1" ht="13.5" customHeight="1" x14ac:dyDescent="0.2">
      <c r="B3" s="120" t="str">
        <f>CONCATENATE("ESTABLECIMIENTO/ESTRATEGIA: ",NOMBRE!$B$3," - ","( ",NOMBRE!$C$3,NOMBRE!$D$3,NOMBRE!$E$3,NOMBRE!$F$3,NOMBRE!$G$3,NOMBRE!$H$3," )")</f>
        <v>ESTABLECIMIENTO/ESTRATEGIA:  - (  )</v>
      </c>
      <c r="E3" s="121"/>
      <c r="BX3" s="54"/>
      <c r="BY3" s="54"/>
      <c r="BZ3" s="54"/>
      <c r="CA3" s="54"/>
    </row>
    <row r="4" spans="1:79" s="55" customFormat="1" ht="13.5" customHeight="1" x14ac:dyDescent="0.2">
      <c r="B4" s="120" t="str">
        <f>CONCATENATE("MES: ",NOMBRE!$B$6," - ","( ",NOMBRE!$C$6,NOMBRE!$D$6," )")</f>
        <v>MES:  - (  )</v>
      </c>
      <c r="BX4" s="54"/>
      <c r="BY4" s="54"/>
      <c r="BZ4" s="54"/>
      <c r="CA4" s="54"/>
    </row>
    <row r="5" spans="1:79" s="55" customFormat="1" ht="13.5" customHeight="1" x14ac:dyDescent="0.2">
      <c r="B5" s="120" t="str">
        <f>CONCATENATE("AÑO: ",NOMBRE!$B$7)</f>
        <v>AÑO: 2023</v>
      </c>
      <c r="BX5" s="54"/>
      <c r="BY5" s="54"/>
      <c r="BZ5" s="54"/>
      <c r="CA5" s="54"/>
    </row>
    <row r="6" spans="1:79" s="55" customFormat="1" ht="15" customHeight="1" x14ac:dyDescent="0.2">
      <c r="B6" s="120"/>
      <c r="BX6" s="54"/>
      <c r="BY6" s="54"/>
      <c r="BZ6" s="54"/>
      <c r="CA6" s="54"/>
    </row>
    <row r="7" spans="1:79" s="57" customFormat="1" ht="33" customHeight="1" x14ac:dyDescent="0.2">
      <c r="B7" s="2397" t="s">
        <v>718</v>
      </c>
      <c r="C7" s="2397"/>
      <c r="D7" s="2397"/>
      <c r="E7" s="2397"/>
      <c r="F7" s="2397"/>
      <c r="G7" s="2397"/>
      <c r="H7" s="2397"/>
      <c r="I7" s="2397"/>
      <c r="J7" s="2397"/>
      <c r="K7" s="2397"/>
      <c r="L7" s="2397"/>
      <c r="M7" s="2397"/>
      <c r="N7" s="2397"/>
      <c r="O7" s="2397"/>
      <c r="P7" s="2397"/>
      <c r="Q7" s="2397"/>
      <c r="R7" s="2397"/>
      <c r="S7" s="2397"/>
      <c r="T7" s="175"/>
      <c r="U7" s="175"/>
      <c r="V7" s="175"/>
      <c r="W7" s="175"/>
      <c r="X7" s="175"/>
      <c r="Y7" s="175"/>
      <c r="Z7" s="175"/>
      <c r="AA7" s="175"/>
      <c r="AB7" s="175"/>
      <c r="AC7" s="175"/>
      <c r="AD7" s="175"/>
      <c r="AE7" s="175"/>
      <c r="AF7" s="175"/>
      <c r="AG7" s="175"/>
      <c r="AH7" s="175"/>
      <c r="AI7" s="175"/>
      <c r="AJ7" s="175"/>
      <c r="AK7" s="175"/>
      <c r="AL7" s="175"/>
      <c r="AM7" s="175"/>
      <c r="AN7" s="175"/>
      <c r="AO7" s="175"/>
      <c r="AP7" s="175"/>
      <c r="AQ7" s="175"/>
      <c r="AR7" s="175"/>
      <c r="AS7" s="175"/>
      <c r="AT7" s="175"/>
      <c r="AU7" s="175"/>
      <c r="AV7" s="175"/>
      <c r="AW7" s="175"/>
      <c r="AX7" s="175"/>
      <c r="AY7" s="55"/>
      <c r="AZ7" s="55"/>
      <c r="BA7" s="55"/>
      <c r="BX7" s="105"/>
      <c r="BY7" s="105"/>
      <c r="BZ7" s="105"/>
      <c r="CA7" s="105"/>
    </row>
    <row r="8" spans="1:79" ht="52.95" customHeight="1" x14ac:dyDescent="0.3">
      <c r="B8" s="455" t="s">
        <v>886</v>
      </c>
      <c r="C8" s="453"/>
      <c r="D8" s="453"/>
      <c r="E8" s="291"/>
      <c r="F8" s="291"/>
      <c r="G8" s="291"/>
      <c r="H8" s="291"/>
      <c r="I8" s="291"/>
      <c r="J8" s="291"/>
      <c r="K8" s="291"/>
      <c r="L8" s="178"/>
    </row>
    <row r="9" spans="1:79" ht="15.75" customHeight="1" x14ac:dyDescent="0.3">
      <c r="B9" s="2542" t="s">
        <v>480</v>
      </c>
      <c r="C9" s="2543" t="s">
        <v>13</v>
      </c>
      <c r="D9" s="2544"/>
      <c r="E9" s="2539"/>
      <c r="F9" s="2547" t="s">
        <v>481</v>
      </c>
      <c r="G9" s="2548"/>
      <c r="H9" s="2548"/>
      <c r="I9" s="2548"/>
      <c r="J9" s="2548"/>
      <c r="K9" s="2548"/>
      <c r="L9" s="2548"/>
      <c r="M9" s="2548"/>
      <c r="N9" s="2548"/>
      <c r="O9" s="2548"/>
      <c r="P9" s="2548"/>
      <c r="Q9" s="2549"/>
      <c r="R9" s="2539" t="s">
        <v>685</v>
      </c>
      <c r="S9" s="2538" t="s">
        <v>15</v>
      </c>
      <c r="X9" s="960"/>
      <c r="Y9" s="960"/>
      <c r="Z9" s="960"/>
      <c r="AA9" s="960"/>
      <c r="AB9" s="960"/>
      <c r="AC9" s="960"/>
      <c r="AD9" s="960"/>
      <c r="AE9" s="960"/>
      <c r="AF9" s="960"/>
      <c r="AG9" s="960"/>
    </row>
    <row r="10" spans="1:79" ht="15.75" customHeight="1" x14ac:dyDescent="0.2">
      <c r="B10" s="2542"/>
      <c r="C10" s="2545"/>
      <c r="D10" s="2546"/>
      <c r="E10" s="2541"/>
      <c r="F10" s="2536" t="s">
        <v>525</v>
      </c>
      <c r="G10" s="2537"/>
      <c r="H10" s="2536" t="s">
        <v>526</v>
      </c>
      <c r="I10" s="2537"/>
      <c r="J10" s="2536" t="s">
        <v>527</v>
      </c>
      <c r="K10" s="2537"/>
      <c r="L10" s="2536" t="s">
        <v>482</v>
      </c>
      <c r="M10" s="2537"/>
      <c r="N10" s="2536" t="s">
        <v>316</v>
      </c>
      <c r="O10" s="2537"/>
      <c r="P10" s="2533" t="s">
        <v>483</v>
      </c>
      <c r="Q10" s="2535"/>
      <c r="R10" s="2540"/>
      <c r="S10" s="1841"/>
    </row>
    <row r="11" spans="1:79" ht="18" customHeight="1" x14ac:dyDescent="0.2">
      <c r="B11" s="2542"/>
      <c r="C11" s="1149" t="s">
        <v>369</v>
      </c>
      <c r="D11" s="1150" t="s">
        <v>416</v>
      </c>
      <c r="E11" s="1151" t="s">
        <v>30</v>
      </c>
      <c r="F11" s="1152" t="s">
        <v>416</v>
      </c>
      <c r="G11" s="1556" t="s">
        <v>30</v>
      </c>
      <c r="H11" s="1152" t="s">
        <v>416</v>
      </c>
      <c r="I11" s="1556" t="s">
        <v>30</v>
      </c>
      <c r="J11" s="1152" t="s">
        <v>416</v>
      </c>
      <c r="K11" s="1555" t="s">
        <v>30</v>
      </c>
      <c r="L11" s="1152" t="s">
        <v>416</v>
      </c>
      <c r="M11" s="1555" t="s">
        <v>30</v>
      </c>
      <c r="N11" s="1152" t="s">
        <v>416</v>
      </c>
      <c r="O11" s="1555" t="s">
        <v>30</v>
      </c>
      <c r="P11" s="1150" t="s">
        <v>416</v>
      </c>
      <c r="Q11" s="1154" t="s">
        <v>30</v>
      </c>
      <c r="R11" s="2541"/>
      <c r="S11" s="1842"/>
    </row>
    <row r="12" spans="1:79" ht="15.75" customHeight="1" x14ac:dyDescent="0.2">
      <c r="A12" s="1629"/>
      <c r="B12" s="1155" t="s">
        <v>13</v>
      </c>
      <c r="C12" s="1156">
        <f>SUM(D12:E12)</f>
        <v>0</v>
      </c>
      <c r="D12" s="564">
        <f>SUM(D13:D16)</f>
        <v>0</v>
      </c>
      <c r="E12" s="915">
        <f>SUM(E13:E16)</f>
        <v>0</v>
      </c>
      <c r="F12" s="1156">
        <f>SUM(F13:F16)</f>
        <v>0</v>
      </c>
      <c r="G12" s="1223">
        <f>SUM(G13:G15)</f>
        <v>0</v>
      </c>
      <c r="H12" s="1156">
        <f>SUM(H13:H15)</f>
        <v>0</v>
      </c>
      <c r="I12" s="1223">
        <f>SUM(I13:I15)</f>
        <v>0</v>
      </c>
      <c r="J12" s="1156">
        <f t="shared" ref="J12:Q12" si="0">SUM(J13:J16)</f>
        <v>0</v>
      </c>
      <c r="K12" s="1557">
        <f t="shared" si="0"/>
        <v>0</v>
      </c>
      <c r="L12" s="1156">
        <f t="shared" si="0"/>
        <v>0</v>
      </c>
      <c r="M12" s="1557">
        <f t="shared" si="0"/>
        <v>0</v>
      </c>
      <c r="N12" s="1156">
        <f t="shared" si="0"/>
        <v>0</v>
      </c>
      <c r="O12" s="1557">
        <f t="shared" si="0"/>
        <v>0</v>
      </c>
      <c r="P12" s="564">
        <f t="shared" si="0"/>
        <v>0</v>
      </c>
      <c r="Q12" s="1157">
        <f t="shared" si="0"/>
        <v>0</v>
      </c>
      <c r="R12" s="915">
        <f t="shared" ref="R12" si="1">SUM(R13:R16)</f>
        <v>0</v>
      </c>
      <c r="S12" s="915">
        <f t="shared" ref="S12" si="2">SUM(S13:S16)</f>
        <v>0</v>
      </c>
      <c r="T12" s="343" t="str">
        <f t="shared" ref="T12:T15" si="3">BB12&amp;BC12&amp;BD12&amp;BE12</f>
        <v/>
      </c>
    </row>
    <row r="13" spans="1:79" ht="15.75" customHeight="1" x14ac:dyDescent="0.25">
      <c r="A13" s="1645" t="s">
        <v>1537</v>
      </c>
      <c r="B13" s="980" t="s">
        <v>884</v>
      </c>
      <c r="C13" s="1169" t="s">
        <v>1550</v>
      </c>
      <c r="D13" s="1158" t="s">
        <v>1551</v>
      </c>
      <c r="E13" s="916" t="s">
        <v>1552</v>
      </c>
      <c r="F13" s="525" t="s">
        <v>1553</v>
      </c>
      <c r="G13" s="1102" t="s">
        <v>1554</v>
      </c>
      <c r="H13" s="525" t="s">
        <v>1555</v>
      </c>
      <c r="I13" s="1102" t="s">
        <v>1556</v>
      </c>
      <c r="J13" s="525" t="s">
        <v>1557</v>
      </c>
      <c r="K13" s="1102" t="s">
        <v>1558</v>
      </c>
      <c r="L13" s="525" t="s">
        <v>1559</v>
      </c>
      <c r="M13" s="1102" t="s">
        <v>1560</v>
      </c>
      <c r="N13" s="525" t="s">
        <v>1561</v>
      </c>
      <c r="O13" s="1102" t="s">
        <v>1562</v>
      </c>
      <c r="P13" s="510" t="s">
        <v>1563</v>
      </c>
      <c r="Q13" s="1163" t="s">
        <v>1564</v>
      </c>
      <c r="R13" s="512" t="s">
        <v>1565</v>
      </c>
      <c r="S13" s="512" t="s">
        <v>1566</v>
      </c>
      <c r="T13" s="343" t="str">
        <f t="shared" si="3"/>
        <v xml:space="preserve"> * El total de Migrantes no debe superar el total de población ingresada.  * El total de Pueblos Originarios no debe superar el total de población ingresada. </v>
      </c>
      <c r="BB13" s="459" t="str">
        <f>IF(BQ13=1," * El total de Migrantes no debe superar el total de población ingresada. ","")</f>
        <v xml:space="preserve"> * El total de Migrantes no debe superar el total de población ingresada. </v>
      </c>
      <c r="BC13" s="459" t="str">
        <f>IF(BR13=1,"* No olvide ingresar la columna Migrantes (Digite Cero si no tiene). ","")</f>
        <v/>
      </c>
      <c r="BD13" s="459" t="str">
        <f t="shared" ref="BD13" si="4">IF(BS13=1," * El total de Pueblos Originarios no debe superar el total de población ingresada. ","")</f>
        <v xml:space="preserve"> * El total de Pueblos Originarios no debe superar el total de población ingresada. </v>
      </c>
      <c r="BE13" s="459" t="str">
        <f t="shared" ref="BE13" si="5">IF(BT13=1,"* No olvide ingresar la columna Pueblos Originarios (Digite Cero si no tiene). ","")</f>
        <v/>
      </c>
      <c r="BF13" s="354"/>
      <c r="BG13" s="354"/>
      <c r="BH13" s="354"/>
      <c r="BI13" s="354"/>
      <c r="BJ13" s="354"/>
      <c r="BK13" s="354"/>
      <c r="BL13" s="354"/>
      <c r="BM13" s="354"/>
      <c r="BN13" s="354"/>
      <c r="BO13" s="354"/>
      <c r="BP13" s="354"/>
      <c r="BQ13" s="460">
        <f>IF(R13&gt;C13,1,0)</f>
        <v>1</v>
      </c>
      <c r="BR13" s="358">
        <f>IF(AND(C13&lt;&gt;0,R13=""),1,0)</f>
        <v>0</v>
      </c>
      <c r="BS13" s="460">
        <f>IF(S13&gt;C13,1,0)</f>
        <v>1</v>
      </c>
      <c r="BT13" s="358">
        <f>IF(AND(C13&lt;&gt;0,S13=""),1,0)</f>
        <v>0</v>
      </c>
      <c r="BU13" s="352"/>
      <c r="BV13" s="352"/>
    </row>
    <row r="14" spans="1:79" ht="15.75" customHeight="1" x14ac:dyDescent="0.25">
      <c r="A14" s="1645" t="s">
        <v>1538</v>
      </c>
      <c r="B14" s="1159" t="s">
        <v>885</v>
      </c>
      <c r="C14" s="1160" t="s">
        <v>1550</v>
      </c>
      <c r="D14" s="1161" t="s">
        <v>1551</v>
      </c>
      <c r="E14" s="1162" t="s">
        <v>1552</v>
      </c>
      <c r="F14" s="525" t="s">
        <v>1553</v>
      </c>
      <c r="G14" s="512" t="s">
        <v>1554</v>
      </c>
      <c r="H14" s="525" t="s">
        <v>1555</v>
      </c>
      <c r="I14" s="512" t="s">
        <v>1556</v>
      </c>
      <c r="J14" s="525" t="s">
        <v>1557</v>
      </c>
      <c r="K14" s="512" t="s">
        <v>1558</v>
      </c>
      <c r="L14" s="525" t="s">
        <v>1559</v>
      </c>
      <c r="M14" s="512" t="s">
        <v>1560</v>
      </c>
      <c r="N14" s="525" t="s">
        <v>1561</v>
      </c>
      <c r="O14" s="512" t="s">
        <v>1562</v>
      </c>
      <c r="P14" s="510" t="s">
        <v>1563</v>
      </c>
      <c r="Q14" s="1163" t="s">
        <v>1564</v>
      </c>
      <c r="R14" s="512" t="s">
        <v>1565</v>
      </c>
      <c r="S14" s="512" t="s">
        <v>1566</v>
      </c>
      <c r="T14" s="343" t="str">
        <f t="shared" si="3"/>
        <v xml:space="preserve"> * El total de Migrantes no debe superar el total de población ingresada.  * El total de Pueblos Originarios no debe superar el total de población ingresada. </v>
      </c>
      <c r="BB14" s="459" t="str">
        <f>IF(BQ14=1," * El total de Migrantes no debe superar el total de población ingresada. ","")</f>
        <v xml:space="preserve"> * El total de Migrantes no debe superar el total de población ingresada. </v>
      </c>
      <c r="BC14" s="459" t="str">
        <f>IF(BR14=1,"* No olvide ingresar la columna Migrantes (Digite Cero si no tiene). ","")</f>
        <v/>
      </c>
      <c r="BD14" s="459" t="str">
        <f t="shared" ref="BD14" si="6">IF(BS14=1," * El total de Pueblos Originarios no debe superar el total de población ingresada. ","")</f>
        <v xml:space="preserve"> * El total de Pueblos Originarios no debe superar el total de población ingresada. </v>
      </c>
      <c r="BE14" s="459" t="str">
        <f t="shared" ref="BE14" si="7">IF(BT14=1,"* No olvide ingresar la columna Pueblos Originarios (Digite Cero si no tiene). ","")</f>
        <v/>
      </c>
      <c r="BF14" s="354"/>
      <c r="BG14" s="354"/>
      <c r="BH14" s="354"/>
      <c r="BI14" s="354"/>
      <c r="BJ14" s="354"/>
      <c r="BK14" s="354"/>
      <c r="BL14" s="354"/>
      <c r="BM14" s="354"/>
      <c r="BN14" s="354"/>
      <c r="BO14" s="354"/>
      <c r="BP14" s="354"/>
      <c r="BQ14" s="460">
        <f>IF(R14&gt;C14,1,0)</f>
        <v>1</v>
      </c>
      <c r="BR14" s="358">
        <f>IF(AND(C14&lt;&gt;0,R14=""),1,0)</f>
        <v>0</v>
      </c>
      <c r="BS14" s="460">
        <f>IF(S14&gt;C14,1,0)</f>
        <v>1</v>
      </c>
      <c r="BT14" s="358">
        <f>IF(AND(C14&lt;&gt;0,S14=""),1,0)</f>
        <v>0</v>
      </c>
      <c r="BU14" s="352"/>
      <c r="BV14" s="352"/>
    </row>
    <row r="15" spans="1:79" ht="15.75" customHeight="1" x14ac:dyDescent="0.25">
      <c r="A15" s="1637" t="s">
        <v>1539</v>
      </c>
      <c r="B15" s="1159" t="s">
        <v>891</v>
      </c>
      <c r="C15" s="1160" t="s">
        <v>1550</v>
      </c>
      <c r="D15" s="1161" t="s">
        <v>1551</v>
      </c>
      <c r="E15" s="1162" t="s">
        <v>1552</v>
      </c>
      <c r="F15" s="525" t="s">
        <v>1553</v>
      </c>
      <c r="G15" s="512" t="s">
        <v>1554</v>
      </c>
      <c r="H15" s="525" t="s">
        <v>1555</v>
      </c>
      <c r="I15" s="512" t="s">
        <v>1556</v>
      </c>
      <c r="J15" s="525" t="s">
        <v>1557</v>
      </c>
      <c r="K15" s="512" t="s">
        <v>1558</v>
      </c>
      <c r="L15" s="525" t="s">
        <v>1559</v>
      </c>
      <c r="M15" s="512" t="s">
        <v>1560</v>
      </c>
      <c r="N15" s="525" t="s">
        <v>1561</v>
      </c>
      <c r="O15" s="512" t="s">
        <v>1562</v>
      </c>
      <c r="P15" s="525" t="s">
        <v>1563</v>
      </c>
      <c r="Q15" s="1163" t="s">
        <v>1564</v>
      </c>
      <c r="R15" s="512" t="s">
        <v>1565</v>
      </c>
      <c r="S15" s="512" t="s">
        <v>1566</v>
      </c>
      <c r="T15" s="343" t="str">
        <f t="shared" si="3"/>
        <v xml:space="preserve"> * El total de Migrantes no debe superar el total de población ingresada.  * El total de Pueblos Originarios no debe superar el total de población ingresada. </v>
      </c>
      <c r="BB15" s="459" t="str">
        <f>IF(BQ15=1," * El total de Migrantes no debe superar el total de población ingresada. ","")</f>
        <v xml:space="preserve"> * El total de Migrantes no debe superar el total de población ingresada. </v>
      </c>
      <c r="BC15" s="459" t="str">
        <f>IF(BR15=1,"* No olvide ingresar la columna Migrantes (Digite Cero si no tiene). ","")</f>
        <v/>
      </c>
      <c r="BD15" s="459" t="str">
        <f t="shared" ref="BD15:BD16" si="8">IF(BS15=1," * El total de Pueblos Originarios no debe superar el total de población ingresada. ","")</f>
        <v xml:space="preserve"> * El total de Pueblos Originarios no debe superar el total de población ingresada. </v>
      </c>
      <c r="BE15" s="459" t="str">
        <f t="shared" ref="BE15:BE16" si="9">IF(BT15=1,"* No olvide ingresar la columna Pueblos Originarios (Digite Cero si no tiene). ","")</f>
        <v/>
      </c>
      <c r="BF15" s="354"/>
      <c r="BG15" s="354"/>
      <c r="BH15" s="354"/>
      <c r="BI15" s="354"/>
      <c r="BJ15" s="354"/>
      <c r="BK15" s="354"/>
      <c r="BL15" s="354"/>
      <c r="BM15" s="354"/>
      <c r="BN15" s="354"/>
      <c r="BO15" s="354"/>
      <c r="BP15" s="354"/>
      <c r="BQ15" s="460">
        <f>IF(R15&gt;C15,1,0)</f>
        <v>1</v>
      </c>
      <c r="BR15" s="358">
        <f>IF(AND(C15&lt;&gt;0,R15=""),1,0)</f>
        <v>0</v>
      </c>
      <c r="BS15" s="460">
        <f>IF(S15&gt;C15,1,0)</f>
        <v>1</v>
      </c>
      <c r="BT15" s="358">
        <f>IF(AND(C15&lt;&gt;0,S15=""),1,0)</f>
        <v>0</v>
      </c>
      <c r="BU15" s="352"/>
      <c r="BV15" s="352"/>
    </row>
    <row r="16" spans="1:79" ht="15" customHeight="1" x14ac:dyDescent="0.25">
      <c r="A16" s="1637" t="s">
        <v>1540</v>
      </c>
      <c r="B16" s="984" t="s">
        <v>892</v>
      </c>
      <c r="C16" s="1164" t="s">
        <v>1550</v>
      </c>
      <c r="D16" s="1165" t="s">
        <v>1551</v>
      </c>
      <c r="E16" s="1166" t="s">
        <v>1552</v>
      </c>
      <c r="F16" s="1385" t="s">
        <v>1553</v>
      </c>
      <c r="G16" s="748" t="s">
        <v>1554</v>
      </c>
      <c r="H16" s="1385" t="s">
        <v>1555</v>
      </c>
      <c r="I16" s="748" t="s">
        <v>1556</v>
      </c>
      <c r="J16" s="527" t="s">
        <v>1557</v>
      </c>
      <c r="K16" s="520" t="s">
        <v>1558</v>
      </c>
      <c r="L16" s="527" t="s">
        <v>1559</v>
      </c>
      <c r="M16" s="520" t="s">
        <v>1560</v>
      </c>
      <c r="N16" s="527" t="s">
        <v>1561</v>
      </c>
      <c r="O16" s="520" t="s">
        <v>1562</v>
      </c>
      <c r="P16" s="527" t="s">
        <v>1563</v>
      </c>
      <c r="Q16" s="1167" t="s">
        <v>1564</v>
      </c>
      <c r="R16" s="520" t="s">
        <v>1565</v>
      </c>
      <c r="S16" s="520" t="s">
        <v>1566</v>
      </c>
      <c r="T16" s="343" t="str">
        <f>BB16&amp;BC16&amp;BD16&amp;BE16</f>
        <v xml:space="preserve"> * El total de Migrantes no debe superar el total de población ingresada.  * El total de Pueblos Originarios no debe superar el total de población ingresada. </v>
      </c>
      <c r="BB16" s="459" t="str">
        <f>IF(BQ16=1," * El total de Migrantes no debe superar el total de población ingresada. ","")</f>
        <v xml:space="preserve"> * El total de Migrantes no debe superar el total de población ingresada. </v>
      </c>
      <c r="BC16" s="459" t="str">
        <f>IF(BR16=1,"* No olvide ingresar la columna Migrantes (Digite Cero si no tiene). ","")</f>
        <v/>
      </c>
      <c r="BD16" s="459" t="str">
        <f t="shared" si="8"/>
        <v xml:space="preserve"> * El total de Pueblos Originarios no debe superar el total de población ingresada. </v>
      </c>
      <c r="BE16" s="459" t="str">
        <f t="shared" si="9"/>
        <v/>
      </c>
      <c r="BF16" s="354"/>
      <c r="BG16" s="354"/>
      <c r="BH16" s="354"/>
      <c r="BI16" s="354"/>
      <c r="BJ16" s="354"/>
      <c r="BK16" s="354"/>
      <c r="BL16" s="354"/>
      <c r="BM16" s="354"/>
      <c r="BN16" s="354"/>
      <c r="BO16" s="354"/>
      <c r="BP16" s="354"/>
      <c r="BQ16" s="460">
        <f>IF(R16&gt;C16,1,0)</f>
        <v>1</v>
      </c>
      <c r="BR16" s="358">
        <f>IF(AND(C16&lt;&gt;0,R16=""),1,0)</f>
        <v>0</v>
      </c>
      <c r="BS16" s="460">
        <f t="shared" ref="BS16" si="10">IF(S16&gt;C16,1,0)</f>
        <v>1</v>
      </c>
      <c r="BT16" s="358">
        <f t="shared" ref="BT16" si="11">IF(AND(C16&lt;&gt;0,S16=""),1,0)</f>
        <v>0</v>
      </c>
      <c r="BU16" s="352"/>
      <c r="BV16" s="352"/>
      <c r="BX16" s="175"/>
    </row>
    <row r="17" spans="1:79" ht="28.2" customHeight="1" x14ac:dyDescent="0.3">
      <c r="A17" s="1616"/>
      <c r="B17" s="455" t="s">
        <v>727</v>
      </c>
      <c r="BB17" s="354"/>
      <c r="BC17" s="354"/>
      <c r="BD17" s="354"/>
      <c r="BE17" s="354"/>
      <c r="BF17" s="354"/>
      <c r="BG17" s="354"/>
      <c r="BH17" s="354"/>
      <c r="BI17" s="354"/>
      <c r="BJ17" s="354"/>
      <c r="BK17" s="354"/>
      <c r="BL17" s="354"/>
      <c r="BM17" s="354"/>
      <c r="BN17" s="354"/>
      <c r="BO17" s="354"/>
      <c r="BP17" s="354"/>
      <c r="BQ17" s="352"/>
      <c r="BR17" s="352"/>
      <c r="BS17" s="352"/>
      <c r="BT17" s="352"/>
      <c r="BU17" s="352"/>
      <c r="BV17" s="352"/>
      <c r="BX17" s="175"/>
      <c r="BY17" s="175"/>
    </row>
    <row r="18" spans="1:79" ht="16.5" customHeight="1" x14ac:dyDescent="0.3">
      <c r="A18" s="1616"/>
      <c r="B18" s="2542" t="s">
        <v>484</v>
      </c>
      <c r="C18" s="2543" t="s">
        <v>13</v>
      </c>
      <c r="D18" s="2544"/>
      <c r="E18" s="2539"/>
      <c r="F18" s="2547" t="s">
        <v>481</v>
      </c>
      <c r="G18" s="2548"/>
      <c r="H18" s="2548"/>
      <c r="I18" s="2548"/>
      <c r="J18" s="2548"/>
      <c r="K18" s="2548"/>
      <c r="L18" s="2548"/>
      <c r="M18" s="2548"/>
      <c r="N18" s="2548"/>
      <c r="O18" s="2548"/>
      <c r="P18" s="2548"/>
      <c r="Q18" s="2549"/>
      <c r="R18" s="2539" t="s">
        <v>685</v>
      </c>
      <c r="S18" s="2538" t="s">
        <v>15</v>
      </c>
      <c r="T18" s="2318" t="s">
        <v>686</v>
      </c>
      <c r="U18" s="2318" t="s">
        <v>715</v>
      </c>
      <c r="Z18" s="960"/>
      <c r="AC18" s="960"/>
      <c r="BB18" s="354"/>
      <c r="BC18" s="354"/>
      <c r="BD18" s="354"/>
      <c r="BE18" s="354"/>
      <c r="BF18" s="354"/>
      <c r="BG18" s="354"/>
      <c r="BH18" s="354"/>
      <c r="BI18" s="354"/>
      <c r="BJ18" s="354"/>
      <c r="BK18" s="354"/>
      <c r="BL18" s="354"/>
      <c r="BM18" s="354"/>
      <c r="BN18" s="354"/>
      <c r="BO18" s="354"/>
      <c r="BP18" s="354"/>
      <c r="BQ18" s="352"/>
      <c r="BR18" s="352"/>
      <c r="BS18" s="352"/>
      <c r="BT18" s="352"/>
      <c r="BU18" s="352"/>
      <c r="BV18" s="352"/>
      <c r="BX18" s="175"/>
      <c r="BY18" s="175"/>
    </row>
    <row r="19" spans="1:79" ht="16.5" customHeight="1" x14ac:dyDescent="0.2">
      <c r="A19" s="1616"/>
      <c r="B19" s="2542"/>
      <c r="C19" s="2545"/>
      <c r="D19" s="2546"/>
      <c r="E19" s="2541"/>
      <c r="F19" s="2533" t="s">
        <v>525</v>
      </c>
      <c r="G19" s="2534"/>
      <c r="H19" s="2533" t="s">
        <v>526</v>
      </c>
      <c r="I19" s="2534"/>
      <c r="J19" s="2533" t="s">
        <v>527</v>
      </c>
      <c r="K19" s="2534"/>
      <c r="L19" s="2533" t="s">
        <v>482</v>
      </c>
      <c r="M19" s="2534"/>
      <c r="N19" s="2533" t="s">
        <v>485</v>
      </c>
      <c r="O19" s="2534"/>
      <c r="P19" s="2533" t="s">
        <v>483</v>
      </c>
      <c r="Q19" s="2535"/>
      <c r="R19" s="2540"/>
      <c r="S19" s="1841"/>
      <c r="T19" s="2324"/>
      <c r="U19" s="2324"/>
      <c r="BB19" s="354"/>
      <c r="BC19" s="354"/>
      <c r="BD19" s="354"/>
      <c r="BE19" s="354"/>
      <c r="BF19" s="354"/>
      <c r="BG19" s="354"/>
      <c r="BH19" s="354"/>
      <c r="BI19" s="354"/>
      <c r="BJ19" s="354"/>
      <c r="BK19" s="354"/>
      <c r="BL19" s="354"/>
      <c r="BM19" s="354"/>
      <c r="BN19" s="354"/>
      <c r="BO19" s="354"/>
      <c r="BP19" s="354"/>
      <c r="BQ19" s="352"/>
      <c r="BR19" s="352"/>
      <c r="BS19" s="352"/>
      <c r="BT19" s="352"/>
      <c r="BU19" s="352"/>
      <c r="BV19" s="352"/>
      <c r="BX19" s="175"/>
      <c r="BY19" s="175"/>
    </row>
    <row r="20" spans="1:79" ht="21.75" customHeight="1" x14ac:dyDescent="0.2">
      <c r="A20" s="1616"/>
      <c r="B20" s="2542"/>
      <c r="C20" s="1149" t="s">
        <v>369</v>
      </c>
      <c r="D20" s="1150" t="s">
        <v>416</v>
      </c>
      <c r="E20" s="1153" t="s">
        <v>30</v>
      </c>
      <c r="F20" s="1152" t="s">
        <v>416</v>
      </c>
      <c r="G20" s="1153" t="s">
        <v>30</v>
      </c>
      <c r="H20" s="1150" t="s">
        <v>416</v>
      </c>
      <c r="I20" s="1153" t="s">
        <v>30</v>
      </c>
      <c r="J20" s="1150" t="s">
        <v>416</v>
      </c>
      <c r="K20" s="1153" t="s">
        <v>30</v>
      </c>
      <c r="L20" s="1150" t="s">
        <v>416</v>
      </c>
      <c r="M20" s="1153" t="s">
        <v>30</v>
      </c>
      <c r="N20" s="1150" t="s">
        <v>416</v>
      </c>
      <c r="O20" s="1153" t="s">
        <v>30</v>
      </c>
      <c r="P20" s="1150" t="s">
        <v>416</v>
      </c>
      <c r="Q20" s="1154" t="s">
        <v>30</v>
      </c>
      <c r="R20" s="2541"/>
      <c r="S20" s="1842"/>
      <c r="T20" s="2320"/>
      <c r="U20" s="2320"/>
      <c r="BB20" s="354"/>
      <c r="BC20" s="354"/>
      <c r="BD20" s="354"/>
      <c r="BE20" s="354"/>
      <c r="BF20" s="354"/>
      <c r="BG20" s="354"/>
      <c r="BH20" s="354"/>
      <c r="BI20" s="354"/>
      <c r="BJ20" s="354"/>
      <c r="BK20" s="354"/>
      <c r="BL20" s="354"/>
      <c r="BM20" s="354"/>
      <c r="BN20" s="354"/>
      <c r="BO20" s="354"/>
      <c r="BP20" s="354"/>
      <c r="BQ20" s="352"/>
      <c r="BR20" s="352"/>
      <c r="BS20" s="352"/>
      <c r="BT20" s="352"/>
      <c r="BU20" s="352"/>
      <c r="BV20" s="352"/>
      <c r="BX20" s="175"/>
      <c r="BY20" s="175"/>
      <c r="BZ20" s="175"/>
    </row>
    <row r="21" spans="1:79" ht="25.5" customHeight="1" x14ac:dyDescent="0.25">
      <c r="A21" s="1637" t="s">
        <v>1541</v>
      </c>
      <c r="B21" s="1168" t="s">
        <v>486</v>
      </c>
      <c r="C21" s="1169" t="s">
        <v>1550</v>
      </c>
      <c r="D21" s="1158" t="s">
        <v>1551</v>
      </c>
      <c r="E21" s="916" t="s">
        <v>1552</v>
      </c>
      <c r="F21" s="1386" t="s">
        <v>1553</v>
      </c>
      <c r="G21" s="1387" t="s">
        <v>1554</v>
      </c>
      <c r="H21" s="1386" t="s">
        <v>1555</v>
      </c>
      <c r="I21" s="1387" t="s">
        <v>1556</v>
      </c>
      <c r="J21" s="497" t="s">
        <v>1557</v>
      </c>
      <c r="K21" s="498" t="s">
        <v>1558</v>
      </c>
      <c r="L21" s="497" t="s">
        <v>1559</v>
      </c>
      <c r="M21" s="498" t="s">
        <v>1560</v>
      </c>
      <c r="N21" s="497" t="s">
        <v>1561</v>
      </c>
      <c r="O21" s="498" t="s">
        <v>1562</v>
      </c>
      <c r="P21" s="497" t="s">
        <v>1563</v>
      </c>
      <c r="Q21" s="500" t="s">
        <v>1564</v>
      </c>
      <c r="R21" s="501" t="s">
        <v>1565</v>
      </c>
      <c r="S21" s="501" t="s">
        <v>1566</v>
      </c>
      <c r="T21" s="501" t="s">
        <v>1567</v>
      </c>
      <c r="U21" s="501" t="s">
        <v>1568</v>
      </c>
      <c r="V21" s="343" t="str">
        <f>BB21&amp;BC21&amp;BD21&amp;BE21&amp;BF21&amp;BG21</f>
        <v xml:space="preserve"> * El total de Migrantes no debe superar el total de población ingresada.  * El total de Pueblos Originarios no debe superar el total de población ingresada.  * La variable iños, niñas, adolescentes y jóvenes Mejor niñez no puede ser mayor al Total. * La variable iños, niñas, adolescentes y jóvenes SENAME no puede ser mayor al Total.</v>
      </c>
      <c r="BB21" s="459" t="str">
        <f t="shared" ref="BB21:BB26" si="12">IF(BQ21=1," * El total de Migrantes no debe superar el total de población ingresada. ","")</f>
        <v xml:space="preserve"> * El total de Migrantes no debe superar el total de población ingresada. </v>
      </c>
      <c r="BC21" s="459" t="str">
        <f t="shared" ref="BC21:BC26" si="13">IF(BR21=1,"* No olvide ingresar la columna Migrantes (Digite Cero si no tiene). ","")</f>
        <v/>
      </c>
      <c r="BD21" s="459" t="str">
        <f t="shared" ref="BD21:BD26" si="14">IF(BS21=1," * El total de Pueblos Originarios no debe superar el total de población ingresada. ","")</f>
        <v xml:space="preserve"> * El total de Pueblos Originarios no debe superar el total de población ingresada. </v>
      </c>
      <c r="BE21" s="459" t="str">
        <f t="shared" ref="BE21:BE26" si="15">IF(BT21=1,"* No olvide ingresar la columna Pueblos Originarios (Digite Cero si no tiene). ","")</f>
        <v/>
      </c>
      <c r="BF21" s="459" t="str">
        <f>IF(AND(C21&gt;0,T21="")," * No olvide digitar la columna Niños, niñas, adolescentes y jóvenes Mejor niñez. Digite cero si no tiene.",IF(T21&gt;C21," * La variable iños, niñas, adolescentes y jóvenes Mejor niñez no puede ser mayor al Total.",""))</f>
        <v xml:space="preserve"> * La variable iños, niñas, adolescentes y jóvenes Mejor niñez no puede ser mayor al Total.</v>
      </c>
      <c r="BG21" s="459" t="str">
        <f>IF(AND(C21&gt;0,U21="")," * No olvide digitar la columna Niños, niñas, adolescentes y jóvenes SENAME. Digite cero si no tiene.",IF(U21&gt;C21," * La variable iños, niñas, adolescentes y jóvenes SENAME no puede ser mayor al Total.",""))</f>
        <v xml:space="preserve"> * La variable iños, niñas, adolescentes y jóvenes SENAME no puede ser mayor al Total.</v>
      </c>
      <c r="BH21" s="354"/>
      <c r="BI21" s="354"/>
      <c r="BJ21" s="354"/>
      <c r="BK21" s="354"/>
      <c r="BL21" s="354"/>
      <c r="BM21" s="354"/>
      <c r="BN21" s="354"/>
      <c r="BO21" s="354"/>
      <c r="BP21" s="354"/>
      <c r="BQ21" s="460">
        <f t="shared" ref="BQ21:BQ26" si="16">IF(R21&gt;C21,1,0)</f>
        <v>1</v>
      </c>
      <c r="BR21" s="358">
        <f t="shared" ref="BR21:BR26" si="17">IF(AND(C21&lt;&gt;0,R21=""),1,0)</f>
        <v>0</v>
      </c>
      <c r="BS21" s="460">
        <f t="shared" ref="BS21:BS26" si="18">IF(S21&gt;C21,1,0)</f>
        <v>1</v>
      </c>
      <c r="BT21" s="358">
        <f t="shared" ref="BT21:BT26" si="19">IF(AND(C21&lt;&gt;0,S21=""),1,0)</f>
        <v>0</v>
      </c>
      <c r="BU21" s="460">
        <f>IF(AND(C21&gt;0,T21=""),1,IF(T21&gt;C21,1,0))</f>
        <v>1</v>
      </c>
      <c r="BV21" s="358">
        <f>IF(AND(C21&gt;0,U21=""),1,IF(U21&gt;C21,1,0))</f>
        <v>1</v>
      </c>
      <c r="BX21" s="175"/>
      <c r="BY21" s="175"/>
    </row>
    <row r="22" spans="1:79" ht="21.75" customHeight="1" x14ac:dyDescent="0.25">
      <c r="A22" s="1637" t="s">
        <v>1542</v>
      </c>
      <c r="B22" s="1170" t="s">
        <v>487</v>
      </c>
      <c r="C22" s="1171" t="s">
        <v>1550</v>
      </c>
      <c r="D22" s="1172" t="s">
        <v>1551</v>
      </c>
      <c r="E22" s="1173" t="s">
        <v>1552</v>
      </c>
      <c r="F22" s="1388" t="s">
        <v>1553</v>
      </c>
      <c r="G22" s="1389" t="s">
        <v>1554</v>
      </c>
      <c r="H22" s="1388" t="s">
        <v>1555</v>
      </c>
      <c r="I22" s="1389" t="s">
        <v>1556</v>
      </c>
      <c r="J22" s="568" t="s">
        <v>1557</v>
      </c>
      <c r="K22" s="513" t="s">
        <v>1558</v>
      </c>
      <c r="L22" s="568" t="s">
        <v>1559</v>
      </c>
      <c r="M22" s="513" t="s">
        <v>1560</v>
      </c>
      <c r="N22" s="568" t="s">
        <v>1561</v>
      </c>
      <c r="O22" s="513" t="s">
        <v>1562</v>
      </c>
      <c r="P22" s="568" t="s">
        <v>1563</v>
      </c>
      <c r="Q22" s="515" t="s">
        <v>1564</v>
      </c>
      <c r="R22" s="516" t="s">
        <v>1565</v>
      </c>
      <c r="S22" s="516" t="s">
        <v>1566</v>
      </c>
      <c r="T22" s="516" t="s">
        <v>1567</v>
      </c>
      <c r="U22" s="516" t="s">
        <v>1568</v>
      </c>
      <c r="V22" s="343" t="str">
        <f t="shared" ref="V22:V26" si="20">BB22&amp;BC22&amp;BD22&amp;BE22&amp;BF22&amp;BG22</f>
        <v xml:space="preserve"> * El total de Migrantes no debe superar el total de población ingresada.  * El total de Pueblos Originarios no debe superar el total de población ingresada.  * La variable iños, niñas, adolescentes y jóvenes Mejor niñez no puede ser mayor al Total. * La variable iños, niñas, adolescentes y jóvenes SENAME no puede ser mayor al Total.</v>
      </c>
      <c r="BB22" s="459" t="str">
        <f t="shared" si="12"/>
        <v xml:space="preserve"> * El total de Migrantes no debe superar el total de población ingresada. </v>
      </c>
      <c r="BC22" s="459" t="str">
        <f t="shared" si="13"/>
        <v/>
      </c>
      <c r="BD22" s="459" t="str">
        <f t="shared" si="14"/>
        <v xml:space="preserve"> * El total de Pueblos Originarios no debe superar el total de población ingresada. </v>
      </c>
      <c r="BE22" s="459" t="str">
        <f t="shared" si="15"/>
        <v/>
      </c>
      <c r="BF22" s="459" t="str">
        <f t="shared" ref="BF22:BF26" si="21">IF(AND(C22&gt;0,T22="")," * No olvide digitar la columna Niños, niñas, adolescentes y jóvenes Mejor niñez. Digite cero si no tiene.",IF(T22&gt;C22," * La variable iños, niñas, adolescentes y jóvenes Mejor niñez no puede ser mayor al Total.",""))</f>
        <v xml:space="preserve"> * La variable iños, niñas, adolescentes y jóvenes Mejor niñez no puede ser mayor al Total.</v>
      </c>
      <c r="BG22" s="459" t="str">
        <f t="shared" ref="BG22:BG26" si="22">IF(AND(C22&gt;0,U22="")," * No olvide digitar la columna Niños, niñas, adolescentes y jóvenes SENAME. Digite cero si no tiene.",IF(U22&gt;C22," * La variable iños, niñas, adolescentes y jóvenes SENAME no puede ser mayor al Total.",""))</f>
        <v xml:space="preserve"> * La variable iños, niñas, adolescentes y jóvenes SENAME no puede ser mayor al Total.</v>
      </c>
      <c r="BH22" s="354"/>
      <c r="BI22" s="354"/>
      <c r="BJ22" s="354"/>
      <c r="BK22" s="354"/>
      <c r="BL22" s="354"/>
      <c r="BM22" s="354"/>
      <c r="BN22" s="354"/>
      <c r="BO22" s="354"/>
      <c r="BP22" s="354"/>
      <c r="BQ22" s="460">
        <f t="shared" si="16"/>
        <v>1</v>
      </c>
      <c r="BR22" s="358">
        <f t="shared" si="17"/>
        <v>0</v>
      </c>
      <c r="BS22" s="460">
        <f t="shared" si="18"/>
        <v>1</v>
      </c>
      <c r="BT22" s="358">
        <f t="shared" si="19"/>
        <v>0</v>
      </c>
      <c r="BU22" s="460">
        <f t="shared" ref="BU22:BU26" si="23">IF(AND(C22&gt;0,T22=""),1,IF(T22&gt;C22,1,0))</f>
        <v>1</v>
      </c>
      <c r="BV22" s="358">
        <f t="shared" ref="BV22:BV26" si="24">IF(AND(C22&gt;0,U22=""),1,IF(U22&gt;C22,1,0))</f>
        <v>1</v>
      </c>
      <c r="BX22" s="175"/>
    </row>
    <row r="23" spans="1:79" ht="21.75" customHeight="1" x14ac:dyDescent="0.25">
      <c r="A23" s="1637" t="s">
        <v>1543</v>
      </c>
      <c r="B23" s="1170" t="s">
        <v>488</v>
      </c>
      <c r="C23" s="1171" t="s">
        <v>1550</v>
      </c>
      <c r="D23" s="1172" t="s">
        <v>1551</v>
      </c>
      <c r="E23" s="1173" t="s">
        <v>1552</v>
      </c>
      <c r="F23" s="525" t="s">
        <v>1553</v>
      </c>
      <c r="G23" s="510" t="s">
        <v>1554</v>
      </c>
      <c r="H23" s="525" t="s">
        <v>1555</v>
      </c>
      <c r="I23" s="510" t="s">
        <v>1556</v>
      </c>
      <c r="J23" s="1388" t="s">
        <v>1557</v>
      </c>
      <c r="K23" s="1389" t="s">
        <v>1558</v>
      </c>
      <c r="L23" s="1388" t="s">
        <v>1559</v>
      </c>
      <c r="M23" s="1389" t="s">
        <v>1560</v>
      </c>
      <c r="N23" s="1388" t="s">
        <v>1561</v>
      </c>
      <c r="O23" s="1389" t="s">
        <v>1562</v>
      </c>
      <c r="P23" s="1388" t="s">
        <v>1563</v>
      </c>
      <c r="Q23" s="1390" t="s">
        <v>1564</v>
      </c>
      <c r="R23" s="516" t="s">
        <v>1565</v>
      </c>
      <c r="S23" s="516" t="s">
        <v>1566</v>
      </c>
      <c r="T23" s="516" t="s">
        <v>1567</v>
      </c>
      <c r="U23" s="516" t="s">
        <v>1568</v>
      </c>
      <c r="V23" s="343" t="str">
        <f t="shared" si="20"/>
        <v xml:space="preserve"> * El total de Migrantes no debe superar el total de población ingresada.  * El total de Pueblos Originarios no debe superar el total de población ingresada.  * La variable iños, niñas, adolescentes y jóvenes Mejor niñez no puede ser mayor al Total. * La variable iños, niñas, adolescentes y jóvenes SENAME no puede ser mayor al Total.</v>
      </c>
      <c r="BB23" s="459" t="str">
        <f t="shared" si="12"/>
        <v xml:space="preserve"> * El total de Migrantes no debe superar el total de población ingresada. </v>
      </c>
      <c r="BC23" s="459" t="str">
        <f t="shared" si="13"/>
        <v/>
      </c>
      <c r="BD23" s="459" t="str">
        <f t="shared" si="14"/>
        <v xml:space="preserve"> * El total de Pueblos Originarios no debe superar el total de población ingresada. </v>
      </c>
      <c r="BE23" s="459" t="str">
        <f t="shared" si="15"/>
        <v/>
      </c>
      <c r="BF23" s="459" t="str">
        <f t="shared" si="21"/>
        <v xml:space="preserve"> * La variable iños, niñas, adolescentes y jóvenes Mejor niñez no puede ser mayor al Total.</v>
      </c>
      <c r="BG23" s="459" t="str">
        <f t="shared" si="22"/>
        <v xml:space="preserve"> * La variable iños, niñas, adolescentes y jóvenes SENAME no puede ser mayor al Total.</v>
      </c>
      <c r="BH23" s="354"/>
      <c r="BI23" s="354"/>
      <c r="BJ23" s="354"/>
      <c r="BK23" s="354"/>
      <c r="BL23" s="354"/>
      <c r="BM23" s="354"/>
      <c r="BN23" s="354"/>
      <c r="BO23" s="354"/>
      <c r="BP23" s="354"/>
      <c r="BQ23" s="460">
        <f t="shared" si="16"/>
        <v>1</v>
      </c>
      <c r="BR23" s="358">
        <f t="shared" si="17"/>
        <v>0</v>
      </c>
      <c r="BS23" s="460">
        <f t="shared" si="18"/>
        <v>1</v>
      </c>
      <c r="BT23" s="358">
        <f t="shared" si="19"/>
        <v>0</v>
      </c>
      <c r="BU23" s="460">
        <f t="shared" si="23"/>
        <v>1</v>
      </c>
      <c r="BV23" s="358">
        <f t="shared" si="24"/>
        <v>1</v>
      </c>
      <c r="BX23" s="175"/>
    </row>
    <row r="24" spans="1:79" ht="25.5" customHeight="1" x14ac:dyDescent="0.25">
      <c r="A24" s="1637" t="s">
        <v>1544</v>
      </c>
      <c r="B24" s="1170" t="s">
        <v>489</v>
      </c>
      <c r="C24" s="1171" t="s">
        <v>1550</v>
      </c>
      <c r="D24" s="1172" t="s">
        <v>1551</v>
      </c>
      <c r="E24" s="1173" t="s">
        <v>1552</v>
      </c>
      <c r="F24" s="1388" t="s">
        <v>1553</v>
      </c>
      <c r="G24" s="1389" t="s">
        <v>1554</v>
      </c>
      <c r="H24" s="1388" t="s">
        <v>1555</v>
      </c>
      <c r="I24" s="1389" t="s">
        <v>1556</v>
      </c>
      <c r="J24" s="568" t="s">
        <v>1557</v>
      </c>
      <c r="K24" s="513" t="s">
        <v>1558</v>
      </c>
      <c r="L24" s="568" t="s">
        <v>1559</v>
      </c>
      <c r="M24" s="513" t="s">
        <v>1560</v>
      </c>
      <c r="N24" s="568" t="s">
        <v>1561</v>
      </c>
      <c r="O24" s="513" t="s">
        <v>1562</v>
      </c>
      <c r="P24" s="568" t="s">
        <v>1563</v>
      </c>
      <c r="Q24" s="515" t="s">
        <v>1564</v>
      </c>
      <c r="R24" s="516" t="s">
        <v>1565</v>
      </c>
      <c r="S24" s="516" t="s">
        <v>1566</v>
      </c>
      <c r="T24" s="516" t="s">
        <v>1567</v>
      </c>
      <c r="U24" s="516" t="s">
        <v>1568</v>
      </c>
      <c r="V24" s="343" t="str">
        <f t="shared" si="20"/>
        <v xml:space="preserve"> * El total de Migrantes no debe superar el total de población ingresada.  * El total de Pueblos Originarios no debe superar el total de población ingresada.  * La variable iños, niñas, adolescentes y jóvenes Mejor niñez no puede ser mayor al Total. * La variable iños, niñas, adolescentes y jóvenes SENAME no puede ser mayor al Total.</v>
      </c>
      <c r="BB24" s="459" t="str">
        <f t="shared" si="12"/>
        <v xml:space="preserve"> * El total de Migrantes no debe superar el total de población ingresada. </v>
      </c>
      <c r="BC24" s="459" t="str">
        <f t="shared" si="13"/>
        <v/>
      </c>
      <c r="BD24" s="459" t="str">
        <f t="shared" si="14"/>
        <v xml:space="preserve"> * El total de Pueblos Originarios no debe superar el total de población ingresada. </v>
      </c>
      <c r="BE24" s="459" t="str">
        <f t="shared" si="15"/>
        <v/>
      </c>
      <c r="BF24" s="459" t="str">
        <f t="shared" si="21"/>
        <v xml:space="preserve"> * La variable iños, niñas, adolescentes y jóvenes Mejor niñez no puede ser mayor al Total.</v>
      </c>
      <c r="BG24" s="459" t="str">
        <f t="shared" si="22"/>
        <v xml:space="preserve"> * La variable iños, niñas, adolescentes y jóvenes SENAME no puede ser mayor al Total.</v>
      </c>
      <c r="BH24" s="354"/>
      <c r="BI24" s="354"/>
      <c r="BJ24" s="354"/>
      <c r="BK24" s="354"/>
      <c r="BL24" s="354"/>
      <c r="BM24" s="354"/>
      <c r="BN24" s="354"/>
      <c r="BO24" s="354"/>
      <c r="BP24" s="354"/>
      <c r="BQ24" s="460">
        <f t="shared" si="16"/>
        <v>1</v>
      </c>
      <c r="BR24" s="358">
        <f t="shared" si="17"/>
        <v>0</v>
      </c>
      <c r="BS24" s="460">
        <f t="shared" si="18"/>
        <v>1</v>
      </c>
      <c r="BT24" s="358">
        <f t="shared" si="19"/>
        <v>0</v>
      </c>
      <c r="BU24" s="460">
        <f t="shared" si="23"/>
        <v>1</v>
      </c>
      <c r="BV24" s="358">
        <f t="shared" si="24"/>
        <v>1</v>
      </c>
      <c r="BX24" s="175"/>
    </row>
    <row r="25" spans="1:79" ht="19.5" customHeight="1" x14ac:dyDescent="0.25">
      <c r="A25" s="1637" t="s">
        <v>1545</v>
      </c>
      <c r="B25" s="1170" t="s">
        <v>490</v>
      </c>
      <c r="C25" s="1171" t="s">
        <v>1550</v>
      </c>
      <c r="D25" s="1172" t="s">
        <v>1551</v>
      </c>
      <c r="E25" s="1173" t="s">
        <v>1552</v>
      </c>
      <c r="F25" s="568" t="s">
        <v>1553</v>
      </c>
      <c r="G25" s="513" t="s">
        <v>1554</v>
      </c>
      <c r="H25" s="568" t="s">
        <v>1555</v>
      </c>
      <c r="I25" s="513" t="s">
        <v>1556</v>
      </c>
      <c r="J25" s="568" t="s">
        <v>1557</v>
      </c>
      <c r="K25" s="513" t="s">
        <v>1558</v>
      </c>
      <c r="L25" s="568" t="s">
        <v>1559</v>
      </c>
      <c r="M25" s="513" t="s">
        <v>1560</v>
      </c>
      <c r="N25" s="568" t="s">
        <v>1561</v>
      </c>
      <c r="O25" s="513" t="s">
        <v>1562</v>
      </c>
      <c r="P25" s="568" t="s">
        <v>1563</v>
      </c>
      <c r="Q25" s="515" t="s">
        <v>1564</v>
      </c>
      <c r="R25" s="516" t="s">
        <v>1565</v>
      </c>
      <c r="S25" s="516" t="s">
        <v>1566</v>
      </c>
      <c r="T25" s="516" t="s">
        <v>1567</v>
      </c>
      <c r="U25" s="516" t="s">
        <v>1568</v>
      </c>
      <c r="V25" s="343" t="str">
        <f t="shared" si="20"/>
        <v xml:space="preserve"> * El total de Migrantes no debe superar el total de población ingresada.  * El total de Pueblos Originarios no debe superar el total de población ingresada.  * La variable iños, niñas, adolescentes y jóvenes Mejor niñez no puede ser mayor al Total. * La variable iños, niñas, adolescentes y jóvenes SENAME no puede ser mayor al Total.</v>
      </c>
      <c r="BB25" s="459" t="str">
        <f t="shared" si="12"/>
        <v xml:space="preserve"> * El total de Migrantes no debe superar el total de población ingresada. </v>
      </c>
      <c r="BC25" s="459" t="str">
        <f t="shared" si="13"/>
        <v/>
      </c>
      <c r="BD25" s="459" t="str">
        <f t="shared" si="14"/>
        <v xml:space="preserve"> * El total de Pueblos Originarios no debe superar el total de población ingresada. </v>
      </c>
      <c r="BE25" s="459" t="str">
        <f t="shared" si="15"/>
        <v/>
      </c>
      <c r="BF25" s="459" t="str">
        <f t="shared" si="21"/>
        <v xml:space="preserve"> * La variable iños, niñas, adolescentes y jóvenes Mejor niñez no puede ser mayor al Total.</v>
      </c>
      <c r="BG25" s="459" t="str">
        <f t="shared" si="22"/>
        <v xml:space="preserve"> * La variable iños, niñas, adolescentes y jóvenes SENAME no puede ser mayor al Total.</v>
      </c>
      <c r="BH25" s="354"/>
      <c r="BI25" s="354"/>
      <c r="BJ25" s="354"/>
      <c r="BK25" s="354"/>
      <c r="BL25" s="354"/>
      <c r="BM25" s="354"/>
      <c r="BN25" s="354"/>
      <c r="BO25" s="354"/>
      <c r="BP25" s="354"/>
      <c r="BQ25" s="460">
        <f t="shared" si="16"/>
        <v>1</v>
      </c>
      <c r="BR25" s="358">
        <f t="shared" si="17"/>
        <v>0</v>
      </c>
      <c r="BS25" s="460">
        <f t="shared" si="18"/>
        <v>1</v>
      </c>
      <c r="BT25" s="358">
        <f t="shared" si="19"/>
        <v>0</v>
      </c>
      <c r="BU25" s="460">
        <f t="shared" si="23"/>
        <v>1</v>
      </c>
      <c r="BV25" s="358">
        <f t="shared" si="24"/>
        <v>1</v>
      </c>
    </row>
    <row r="26" spans="1:79" ht="21" customHeight="1" x14ac:dyDescent="0.25">
      <c r="A26" s="1637" t="s">
        <v>1546</v>
      </c>
      <c r="B26" s="1174" t="s">
        <v>491</v>
      </c>
      <c r="C26" s="1164" t="s">
        <v>1550</v>
      </c>
      <c r="D26" s="1165" t="s">
        <v>1551</v>
      </c>
      <c r="E26" s="1166" t="s">
        <v>1552</v>
      </c>
      <c r="F26" s="527" t="s">
        <v>1553</v>
      </c>
      <c r="G26" s="504" t="s">
        <v>1554</v>
      </c>
      <c r="H26" s="527" t="s">
        <v>1555</v>
      </c>
      <c r="I26" s="504" t="s">
        <v>1556</v>
      </c>
      <c r="J26" s="527" t="s">
        <v>1557</v>
      </c>
      <c r="K26" s="504" t="s">
        <v>1558</v>
      </c>
      <c r="L26" s="527" t="s">
        <v>1559</v>
      </c>
      <c r="M26" s="504" t="s">
        <v>1560</v>
      </c>
      <c r="N26" s="527" t="s">
        <v>1561</v>
      </c>
      <c r="O26" s="504" t="s">
        <v>1562</v>
      </c>
      <c r="P26" s="1385" t="s">
        <v>1563</v>
      </c>
      <c r="Q26" s="1358" t="s">
        <v>1564</v>
      </c>
      <c r="R26" s="520" t="s">
        <v>1565</v>
      </c>
      <c r="S26" s="520" t="s">
        <v>1566</v>
      </c>
      <c r="T26" s="520" t="s">
        <v>1567</v>
      </c>
      <c r="U26" s="520" t="s">
        <v>1568</v>
      </c>
      <c r="V26" s="343" t="str">
        <f t="shared" si="20"/>
        <v xml:space="preserve"> * El total de Migrantes no debe superar el total de población ingresada.  * El total de Pueblos Originarios no debe superar el total de población ingresada.  * La variable iños, niñas, adolescentes y jóvenes Mejor niñez no puede ser mayor al Total. * La variable iños, niñas, adolescentes y jóvenes SENAME no puede ser mayor al Total.</v>
      </c>
      <c r="BB26" s="459" t="str">
        <f t="shared" si="12"/>
        <v xml:space="preserve"> * El total de Migrantes no debe superar el total de población ingresada. </v>
      </c>
      <c r="BC26" s="459" t="str">
        <f t="shared" si="13"/>
        <v/>
      </c>
      <c r="BD26" s="459" t="str">
        <f t="shared" si="14"/>
        <v xml:space="preserve"> * El total de Pueblos Originarios no debe superar el total de población ingresada. </v>
      </c>
      <c r="BE26" s="459" t="str">
        <f t="shared" si="15"/>
        <v/>
      </c>
      <c r="BF26" s="459" t="str">
        <f t="shared" si="21"/>
        <v xml:space="preserve"> * La variable iños, niñas, adolescentes y jóvenes Mejor niñez no puede ser mayor al Total.</v>
      </c>
      <c r="BG26" s="459" t="str">
        <f t="shared" si="22"/>
        <v xml:space="preserve"> * La variable iños, niñas, adolescentes y jóvenes SENAME no puede ser mayor al Total.</v>
      </c>
      <c r="BH26" s="354"/>
      <c r="BI26" s="354"/>
      <c r="BJ26" s="354"/>
      <c r="BK26" s="354"/>
      <c r="BL26" s="354"/>
      <c r="BM26" s="354"/>
      <c r="BN26" s="354"/>
      <c r="BO26" s="354"/>
      <c r="BP26" s="354"/>
      <c r="BQ26" s="460">
        <f t="shared" si="16"/>
        <v>1</v>
      </c>
      <c r="BR26" s="358">
        <f t="shared" si="17"/>
        <v>0</v>
      </c>
      <c r="BS26" s="460">
        <f t="shared" si="18"/>
        <v>1</v>
      </c>
      <c r="BT26" s="358">
        <f t="shared" si="19"/>
        <v>0</v>
      </c>
      <c r="BU26" s="460">
        <f t="shared" si="23"/>
        <v>1</v>
      </c>
      <c r="BV26" s="358">
        <f t="shared" si="24"/>
        <v>1</v>
      </c>
      <c r="BX26" s="175"/>
      <c r="BY26" s="175"/>
      <c r="BZ26" s="175"/>
      <c r="CA26" s="175"/>
    </row>
    <row r="30" spans="1:79" x14ac:dyDescent="0.2">
      <c r="A30" s="175" t="s">
        <v>1547</v>
      </c>
    </row>
    <row r="31" spans="1:79" ht="13.8" x14ac:dyDescent="0.25">
      <c r="A31" s="1645" t="s">
        <v>1537</v>
      </c>
    </row>
    <row r="32" spans="1:79" ht="13.8" x14ac:dyDescent="0.25">
      <c r="A32" s="1645" t="s">
        <v>1538</v>
      </c>
    </row>
    <row r="33" spans="1:79" ht="13.8" x14ac:dyDescent="0.25">
      <c r="A33" s="1645"/>
    </row>
    <row r="34" spans="1:79" x14ac:dyDescent="0.2">
      <c r="A34" s="175" t="s">
        <v>1548</v>
      </c>
    </row>
    <row r="35" spans="1:79" ht="13.8" x14ac:dyDescent="0.25">
      <c r="A35" s="1637" t="s">
        <v>1549</v>
      </c>
    </row>
    <row r="40" spans="1:79" ht="13.2" hidden="1" customHeight="1" x14ac:dyDescent="0.2">
      <c r="B40" s="1181">
        <f>SUM(C12:C16,C21:C26)</f>
        <v>0</v>
      </c>
      <c r="C40" s="348" t="s">
        <v>317</v>
      </c>
      <c r="BX40" s="175"/>
      <c r="BY40" s="175"/>
      <c r="BZ40" s="175"/>
      <c r="CA40" s="175"/>
    </row>
    <row r="41" spans="1:79" ht="13.2" hidden="1" customHeight="1" x14ac:dyDescent="0.2">
      <c r="B41" s="1181">
        <f>SUM(BQ13:BV26)</f>
        <v>32</v>
      </c>
      <c r="C41" s="348" t="s">
        <v>318</v>
      </c>
      <c r="BX41" s="175"/>
      <c r="BY41" s="175"/>
      <c r="BZ41" s="175"/>
      <c r="CA41" s="175"/>
    </row>
  </sheetData>
  <mergeCells count="25">
    <mergeCell ref="B7:S7"/>
    <mergeCell ref="N10:O10"/>
    <mergeCell ref="P10:Q10"/>
    <mergeCell ref="J10:K10"/>
    <mergeCell ref="T18:T20"/>
    <mergeCell ref="B9:B11"/>
    <mergeCell ref="C9:E10"/>
    <mergeCell ref="F9:Q9"/>
    <mergeCell ref="B18:B20"/>
    <mergeCell ref="C18:E19"/>
    <mergeCell ref="F18:Q18"/>
    <mergeCell ref="F19:G19"/>
    <mergeCell ref="H19:I19"/>
    <mergeCell ref="J19:K19"/>
    <mergeCell ref="F10:G10"/>
    <mergeCell ref="H10:I10"/>
    <mergeCell ref="L19:M19"/>
    <mergeCell ref="N19:O19"/>
    <mergeCell ref="P19:Q19"/>
    <mergeCell ref="L10:M10"/>
    <mergeCell ref="U18:U20"/>
    <mergeCell ref="S18:S20"/>
    <mergeCell ref="S9:S11"/>
    <mergeCell ref="R9:R11"/>
    <mergeCell ref="R18:R20"/>
  </mergeCells>
  <dataValidations count="3">
    <dataValidation allowBlank="1" showInputMessage="1" showErrorMessage="1" errorTitle="Error de ingreso" error="Debe ingresar sólo números enteros positivos." sqref="V17:W1048576 F8:S12 W16 T1:U17 AC19:AC1048576 X1:AG8 X10:Y1048576 Z19:Z1048576 Z10:Z17 AA10:AB1048576 AD10:AG1048576 AC10:AC17 F27:U1048576 V1:W15 F17:S20 AH1:XFD1048576 B7 B1:S6 B8:E1048576" xr:uid="{00000000-0002-0000-0B00-000000000000}"/>
    <dataValidation allowBlank="1" showInputMessage="1" showErrorMessage="1" errorTitle=" Error de ingreso" error="Debe ingresar sólo números enteros positivos." sqref="X9:AG9 Z18 AC18" xr:uid="{00000000-0002-0000-0B00-000001000000}"/>
    <dataValidation type="whole" operator="greaterThanOrEqual" allowBlank="1" showInputMessage="1" showErrorMessage="1" sqref="F13:S16 F21:U26" xr:uid="{00000000-0002-0000-0B00-000002000000}">
      <formula1>0</formula1>
    </dataValidation>
  </dataValidation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2"/>
  <dimension ref="A1:X52"/>
  <sheetViews>
    <sheetView showGridLines="0" showZeros="0" showOutlineSymbols="0" topLeftCell="A4" zoomScaleNormal="100" workbookViewId="0">
      <selection activeCell="D11" sqref="D11"/>
    </sheetView>
  </sheetViews>
  <sheetFormatPr baseColWidth="10" defaultColWidth="11.44140625" defaultRowHeight="13.2" x14ac:dyDescent="0.25"/>
  <cols>
    <col min="1" max="2" width="1.88671875" style="24" customWidth="1"/>
    <col min="3" max="3" width="26.44140625" style="24" customWidth="1"/>
    <col min="4" max="4" width="19.109375" style="24" customWidth="1"/>
    <col min="5" max="5" width="52.88671875" style="24" customWidth="1"/>
    <col min="6" max="6" width="20.44140625" style="24" customWidth="1"/>
    <col min="7" max="7" width="27.109375" style="24" customWidth="1"/>
    <col min="8" max="8" width="67.33203125" style="24" customWidth="1"/>
    <col min="9" max="9" width="73.44140625" style="24" customWidth="1"/>
    <col min="10" max="10" width="13.88671875" style="24" customWidth="1"/>
    <col min="11" max="15" width="14.109375" style="24" customWidth="1"/>
    <col min="16" max="18" width="11.44140625" style="24"/>
    <col min="19" max="19" width="18.33203125" style="24" customWidth="1"/>
    <col min="20" max="23" width="11.44140625" style="24"/>
    <col min="24" max="24" width="19.44140625" style="24" hidden="1" customWidth="1"/>
    <col min="25" max="26" width="19.44140625" style="24" customWidth="1"/>
    <col min="27" max="16384" width="11.44140625" style="24"/>
  </cols>
  <sheetData>
    <row r="1" spans="1:24" ht="23.25" customHeight="1" x14ac:dyDescent="0.25">
      <c r="A1" s="49"/>
      <c r="B1" s="49"/>
      <c r="C1" s="30" t="s">
        <v>528</v>
      </c>
      <c r="D1" s="31"/>
      <c r="E1" s="31"/>
      <c r="F1" s="31"/>
      <c r="G1" s="31"/>
      <c r="H1" s="31"/>
      <c r="I1" s="31"/>
      <c r="J1" s="32"/>
      <c r="K1" s="49"/>
      <c r="L1" s="49"/>
    </row>
    <row r="2" spans="1:24" ht="23.25" customHeight="1" x14ac:dyDescent="0.3">
      <c r="A2" s="49"/>
      <c r="B2" s="49"/>
      <c r="C2" s="33" t="s">
        <v>272</v>
      </c>
      <c r="D2" s="34"/>
      <c r="E2" s="34"/>
      <c r="F2" s="34"/>
      <c r="G2" s="34"/>
      <c r="H2" s="34"/>
      <c r="I2" s="34"/>
      <c r="J2" s="35"/>
      <c r="K2" s="49"/>
      <c r="L2" s="49"/>
    </row>
    <row r="3" spans="1:24" ht="23.25" customHeight="1" thickBot="1" x14ac:dyDescent="0.35">
      <c r="A3" s="49"/>
      <c r="B3" s="49"/>
      <c r="C3" s="36" t="s">
        <v>273</v>
      </c>
      <c r="D3" s="37"/>
      <c r="E3" s="37"/>
      <c r="F3" s="37"/>
      <c r="G3" s="37"/>
      <c r="H3" s="37"/>
      <c r="I3" s="37"/>
      <c r="J3" s="38"/>
      <c r="K3" s="49"/>
      <c r="L3" s="49"/>
    </row>
    <row r="4" spans="1:24" ht="49.5" customHeight="1" x14ac:dyDescent="0.25">
      <c r="A4" s="49"/>
      <c r="B4" s="49"/>
      <c r="C4" s="50" t="str">
        <f>CONCATENATE("ESTABLECIMIENTO/ESTRATEGIA: ",NOMBRE!$B$3," - ","( ",NOMBRE!$C$3,NOMBRE!$D$3,NOMBRE!$E$3,NOMBRE!$F$3,NOMBRE!$G$3,NOMBRE!$H$3,NOMBRE!$I$3," )")</f>
        <v>ESTABLECIMIENTO/ESTRATEGIA:  - ( Falta Cód. Est. )</v>
      </c>
      <c r="D4" s="49"/>
      <c r="E4" s="49"/>
      <c r="F4" s="49"/>
      <c r="G4" s="49"/>
      <c r="H4" s="49"/>
      <c r="I4" s="49"/>
      <c r="J4" s="49"/>
      <c r="K4" s="49"/>
      <c r="L4" s="49"/>
    </row>
    <row r="5" spans="1:24" ht="34.5" customHeight="1" x14ac:dyDescent="0.25">
      <c r="A5" s="49"/>
      <c r="B5" s="49"/>
      <c r="C5" s="39" t="s">
        <v>274</v>
      </c>
      <c r="D5" s="39" t="s">
        <v>275</v>
      </c>
      <c r="E5" s="39" t="s">
        <v>276</v>
      </c>
      <c r="F5" s="39" t="s">
        <v>277</v>
      </c>
      <c r="G5" s="39" t="s">
        <v>278</v>
      </c>
      <c r="H5" s="39" t="s">
        <v>279</v>
      </c>
      <c r="I5" s="49"/>
      <c r="J5" s="49"/>
      <c r="K5" s="49"/>
      <c r="L5" s="49"/>
    </row>
    <row r="6" spans="1:24" ht="21.6" customHeight="1" x14ac:dyDescent="0.3">
      <c r="A6" s="49"/>
      <c r="B6" s="49"/>
      <c r="C6" s="40" t="s">
        <v>280</v>
      </c>
      <c r="D6" s="41">
        <f>NOMBRE!AG7</f>
        <v>5</v>
      </c>
      <c r="E6" s="49"/>
      <c r="F6" s="49"/>
      <c r="G6" s="49"/>
      <c r="H6" s="49"/>
      <c r="I6" s="49"/>
      <c r="J6" s="49"/>
      <c r="K6" s="49"/>
      <c r="L6" s="49"/>
    </row>
    <row r="7" spans="1:24" ht="21.6" customHeight="1" x14ac:dyDescent="0.3">
      <c r="A7" s="49"/>
      <c r="B7" s="49"/>
      <c r="C7" s="40" t="s">
        <v>281</v>
      </c>
      <c r="D7" s="41" t="e">
        <f>+'P1'!$B164</f>
        <v>#VALUE!</v>
      </c>
      <c r="E7" s="42"/>
      <c r="F7" s="43" t="str">
        <f>IF('P1'!B163&gt;0,"","SIN DATOS")</f>
        <v>SIN DATOS</v>
      </c>
      <c r="G7" s="44"/>
      <c r="H7" s="45"/>
      <c r="I7" s="49"/>
      <c r="J7" s="49"/>
      <c r="K7" s="49"/>
      <c r="L7" s="49"/>
      <c r="X7" s="53" t="s">
        <v>282</v>
      </c>
    </row>
    <row r="8" spans="1:24" ht="21.6" customHeight="1" x14ac:dyDescent="0.3">
      <c r="A8" s="49"/>
      <c r="B8" s="49"/>
      <c r="C8" s="40" t="s">
        <v>283</v>
      </c>
      <c r="D8" s="241" t="e">
        <f>+'P2'!B220</f>
        <v>#VALUE!</v>
      </c>
      <c r="E8" s="42"/>
      <c r="F8" s="43" t="e">
        <f>IF('P2'!B219&gt;0,"","SIN DATOS")</f>
        <v>#VALUE!</v>
      </c>
      <c r="G8" s="44"/>
      <c r="H8" s="45"/>
      <c r="I8" s="49"/>
      <c r="J8" s="49"/>
      <c r="K8" s="49"/>
      <c r="L8" s="49"/>
      <c r="X8" s="53" t="s">
        <v>284</v>
      </c>
    </row>
    <row r="9" spans="1:24" ht="21.6" customHeight="1" x14ac:dyDescent="0.3">
      <c r="A9" s="49"/>
      <c r="B9" s="49"/>
      <c r="C9" s="40" t="s">
        <v>285</v>
      </c>
      <c r="D9" s="241" t="e">
        <f>+'P3'!B88</f>
        <v>#VALUE!</v>
      </c>
      <c r="E9" s="42"/>
      <c r="F9" s="43" t="str">
        <f>IF('P3'!B87&gt;0,"","SIN DATOS")</f>
        <v>SIN DATOS</v>
      </c>
      <c r="G9" s="44"/>
      <c r="H9" s="45"/>
      <c r="I9" s="49"/>
      <c r="J9" s="49"/>
      <c r="K9" s="49"/>
      <c r="L9" s="49"/>
      <c r="X9" s="53" t="s">
        <v>286</v>
      </c>
    </row>
    <row r="10" spans="1:24" ht="21.6" customHeight="1" x14ac:dyDescent="0.3">
      <c r="A10" s="49"/>
      <c r="B10" s="49"/>
      <c r="C10" s="40" t="s">
        <v>287</v>
      </c>
      <c r="D10" s="241" t="e">
        <f>+'P4'!B101</f>
        <v>#VALUE!</v>
      </c>
      <c r="E10" s="42"/>
      <c r="F10" s="43" t="str">
        <f>IF('P4'!B100&gt;0,"","SIN DATOS")</f>
        <v>SIN DATOS</v>
      </c>
      <c r="G10" s="44"/>
      <c r="H10" s="45"/>
      <c r="I10" s="49"/>
      <c r="J10" s="49"/>
      <c r="K10" s="49"/>
      <c r="L10" s="49"/>
      <c r="X10" s="53" t="s">
        <v>288</v>
      </c>
    </row>
    <row r="11" spans="1:24" ht="21.6" customHeight="1" x14ac:dyDescent="0.3">
      <c r="A11" s="49"/>
      <c r="B11" s="49"/>
      <c r="C11" s="40" t="s">
        <v>289</v>
      </c>
      <c r="D11" s="241">
        <f>+'P5'!B82</f>
        <v>122</v>
      </c>
      <c r="E11" s="42"/>
      <c r="F11" s="43" t="str">
        <f>IF('P5'!B81&gt;0,"","SIN DATOS")</f>
        <v>SIN DATOS</v>
      </c>
      <c r="G11" s="44"/>
      <c r="H11" s="45"/>
      <c r="I11" s="49"/>
      <c r="J11" s="49"/>
      <c r="K11" s="49"/>
      <c r="L11" s="49"/>
      <c r="X11" s="53" t="s">
        <v>290</v>
      </c>
    </row>
    <row r="12" spans="1:24" ht="21.6" customHeight="1" x14ac:dyDescent="0.3">
      <c r="A12" s="49"/>
      <c r="B12" s="49"/>
      <c r="C12" s="40" t="s">
        <v>291</v>
      </c>
      <c r="D12" s="241">
        <f>+'P6'!B138</f>
        <v>813</v>
      </c>
      <c r="E12" s="42"/>
      <c r="F12" s="43" t="str">
        <f>IF('P6'!B137&gt;0,"","SIN DATOS")</f>
        <v>SIN DATOS</v>
      </c>
      <c r="G12" s="44"/>
      <c r="H12" s="45"/>
      <c r="I12" s="49"/>
      <c r="J12" s="49"/>
      <c r="K12" s="49"/>
      <c r="L12" s="49"/>
    </row>
    <row r="13" spans="1:24" ht="21.6" customHeight="1" x14ac:dyDescent="0.3">
      <c r="A13" s="49"/>
      <c r="B13" s="49"/>
      <c r="C13" s="40" t="s">
        <v>292</v>
      </c>
      <c r="D13" s="241">
        <f>+'P7'!B50</f>
        <v>0</v>
      </c>
      <c r="E13" s="42"/>
      <c r="F13" s="43" t="str">
        <f>IF('P7'!B49&gt;0,"","SIN DATOS")</f>
        <v>SIN DATOS</v>
      </c>
      <c r="G13" s="44"/>
      <c r="H13" s="45"/>
      <c r="I13" s="49"/>
      <c r="J13" s="49"/>
      <c r="K13" s="49"/>
      <c r="L13" s="49"/>
    </row>
    <row r="14" spans="1:24" ht="21.6" customHeight="1" x14ac:dyDescent="0.3">
      <c r="A14" s="49"/>
      <c r="B14" s="49"/>
      <c r="C14" s="40" t="s">
        <v>454</v>
      </c>
      <c r="D14" s="241">
        <f>+'P9'!B106</f>
        <v>276</v>
      </c>
      <c r="E14" s="42"/>
      <c r="F14" s="43" t="str">
        <f>IF('P9'!B105&gt;0,"","SIN DATOS")</f>
        <v>SIN DATOS</v>
      </c>
      <c r="G14" s="44"/>
      <c r="H14" s="45"/>
      <c r="I14" s="49"/>
      <c r="J14" s="49"/>
      <c r="K14" s="49"/>
      <c r="L14" s="49"/>
    </row>
    <row r="15" spans="1:24" ht="21.6" customHeight="1" x14ac:dyDescent="0.3">
      <c r="A15" s="49"/>
      <c r="B15" s="49"/>
      <c r="C15" s="40" t="s">
        <v>293</v>
      </c>
      <c r="D15" s="241">
        <f>+'P11'!B34</f>
        <v>36</v>
      </c>
      <c r="E15" s="42"/>
      <c r="F15" s="43" t="str">
        <f>IF('P11'!B33&gt;0,"","SIN DATOS")</f>
        <v>SIN DATOS</v>
      </c>
      <c r="G15" s="44"/>
      <c r="H15" s="45"/>
      <c r="I15" s="49"/>
      <c r="J15" s="49"/>
      <c r="K15" s="49"/>
      <c r="L15" s="49"/>
    </row>
    <row r="16" spans="1:24" ht="21.6" customHeight="1" x14ac:dyDescent="0.3">
      <c r="A16" s="49"/>
      <c r="B16" s="49"/>
      <c r="C16" s="40" t="s">
        <v>294</v>
      </c>
      <c r="D16" s="241">
        <f>+'P12'!B200</f>
        <v>29</v>
      </c>
      <c r="E16" s="42"/>
      <c r="F16" s="43" t="str">
        <f>IF('P12'!B200&gt;0,"","SIN DATOS")</f>
        <v/>
      </c>
      <c r="G16" s="44"/>
      <c r="H16" s="45"/>
      <c r="I16" s="49"/>
      <c r="J16" s="49"/>
      <c r="K16" s="49"/>
      <c r="L16" s="49"/>
    </row>
    <row r="17" spans="1:12" ht="21.6" customHeight="1" x14ac:dyDescent="0.3">
      <c r="A17" s="49"/>
      <c r="B17" s="49"/>
      <c r="C17" s="40" t="s">
        <v>531</v>
      </c>
      <c r="D17" s="241">
        <f>+'P13'!B41</f>
        <v>32</v>
      </c>
      <c r="E17" s="42"/>
      <c r="F17" s="43" t="str">
        <f>IF('P13'!B40&gt;0,"","SIN DATOS")</f>
        <v>SIN DATOS</v>
      </c>
      <c r="G17" s="44"/>
      <c r="H17" s="45"/>
      <c r="I17" s="49"/>
      <c r="J17" s="49"/>
      <c r="K17" s="49"/>
      <c r="L17" s="49"/>
    </row>
    <row r="18" spans="1:12" ht="21.6" customHeight="1" x14ac:dyDescent="0.25">
      <c r="A18" s="49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</row>
    <row r="19" spans="1:12" ht="21.6" customHeight="1" x14ac:dyDescent="0.3">
      <c r="A19" s="49"/>
      <c r="B19" s="49"/>
      <c r="C19" s="41" t="s">
        <v>13</v>
      </c>
      <c r="D19" s="41" t="e">
        <f>SUM(D6:D17)</f>
        <v>#VALUE!</v>
      </c>
      <c r="E19" s="49"/>
      <c r="F19" s="49"/>
      <c r="G19" s="49"/>
      <c r="H19" s="49"/>
      <c r="I19" s="49"/>
      <c r="J19" s="49"/>
      <c r="K19" s="49"/>
      <c r="L19" s="49"/>
    </row>
    <row r="20" spans="1:12" x14ac:dyDescent="0.25">
      <c r="A20" s="49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</row>
    <row r="21" spans="1:12" x14ac:dyDescent="0.25">
      <c r="A21" s="49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</row>
    <row r="22" spans="1:12" x14ac:dyDescent="0.25">
      <c r="A22" s="49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</row>
    <row r="23" spans="1:12" x14ac:dyDescent="0.25">
      <c r="A23" s="49"/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</row>
    <row r="24" spans="1:12" x14ac:dyDescent="0.25">
      <c r="A24" s="49"/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</row>
    <row r="25" spans="1:12" x14ac:dyDescent="0.25">
      <c r="A25" s="49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</row>
    <row r="26" spans="1:12" x14ac:dyDescent="0.25">
      <c r="A26" s="49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</row>
    <row r="27" spans="1:12" x14ac:dyDescent="0.25">
      <c r="A27" s="49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</row>
    <row r="28" spans="1:12" x14ac:dyDescent="0.25">
      <c r="A28" s="49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</row>
    <row r="29" spans="1:12" x14ac:dyDescent="0.25">
      <c r="A29" s="49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</row>
    <row r="30" spans="1:12" x14ac:dyDescent="0.25">
      <c r="A30" s="49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</row>
    <row r="31" spans="1:12" x14ac:dyDescent="0.25">
      <c r="A31" s="49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</row>
    <row r="32" spans="1:12" x14ac:dyDescent="0.25">
      <c r="A32" s="49"/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</row>
    <row r="33" spans="1:12" x14ac:dyDescent="0.25">
      <c r="A33" s="49"/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</row>
    <row r="34" spans="1:12" x14ac:dyDescent="0.25">
      <c r="A34" s="49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</row>
    <row r="35" spans="1:12" x14ac:dyDescent="0.25">
      <c r="A35" s="49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</row>
    <row r="36" spans="1:12" x14ac:dyDescent="0.25">
      <c r="A36" s="49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</row>
    <row r="37" spans="1:12" x14ac:dyDescent="0.25">
      <c r="A37" s="49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</row>
    <row r="38" spans="1:12" x14ac:dyDescent="0.25">
      <c r="A38" s="49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</row>
    <row r="39" spans="1:12" x14ac:dyDescent="0.25">
      <c r="A39" s="49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</row>
    <row r="40" spans="1:12" x14ac:dyDescent="0.25">
      <c r="A40" s="49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</row>
    <row r="41" spans="1:12" x14ac:dyDescent="0.25">
      <c r="A41" s="49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</row>
    <row r="42" spans="1:12" x14ac:dyDescent="0.25">
      <c r="A42" s="49"/>
      <c r="B42" s="49"/>
      <c r="C42" s="49"/>
      <c r="D42" s="49"/>
      <c r="E42" s="49"/>
      <c r="F42" s="49"/>
      <c r="G42" s="49"/>
      <c r="H42" s="49"/>
      <c r="I42" s="49"/>
      <c r="J42" s="49"/>
      <c r="K42" s="49"/>
      <c r="L42" s="49"/>
    </row>
    <row r="43" spans="1:12" x14ac:dyDescent="0.25">
      <c r="A43" s="49"/>
      <c r="B43" s="49"/>
      <c r="C43" s="49"/>
      <c r="D43" s="49"/>
      <c r="E43" s="49"/>
      <c r="F43" s="49"/>
      <c r="G43" s="49"/>
      <c r="H43" s="49"/>
      <c r="I43" s="49"/>
      <c r="J43" s="49"/>
      <c r="K43" s="49"/>
      <c r="L43" s="49"/>
    </row>
    <row r="44" spans="1:12" x14ac:dyDescent="0.25">
      <c r="A44" s="49"/>
      <c r="B44" s="49"/>
      <c r="C44" s="49"/>
      <c r="D44" s="49"/>
      <c r="E44" s="49"/>
      <c r="F44" s="49"/>
      <c r="G44" s="49"/>
      <c r="H44" s="49"/>
      <c r="I44" s="49"/>
      <c r="J44" s="49"/>
      <c r="K44" s="49"/>
      <c r="L44" s="49"/>
    </row>
    <row r="45" spans="1:12" x14ac:dyDescent="0.25">
      <c r="A45" s="49"/>
      <c r="B45" s="49"/>
      <c r="C45" s="49"/>
      <c r="D45" s="49"/>
      <c r="E45" s="49"/>
      <c r="F45" s="49"/>
      <c r="G45" s="49"/>
      <c r="H45" s="49"/>
      <c r="I45" s="49"/>
      <c r="J45" s="49"/>
      <c r="K45" s="49"/>
      <c r="L45" s="49"/>
    </row>
    <row r="46" spans="1:12" x14ac:dyDescent="0.25">
      <c r="A46" s="49"/>
      <c r="B46" s="49"/>
      <c r="C46" s="49"/>
      <c r="D46" s="49"/>
      <c r="E46" s="49"/>
      <c r="F46" s="49"/>
      <c r="G46" s="49"/>
      <c r="H46" s="49"/>
      <c r="I46" s="49"/>
      <c r="J46" s="49"/>
      <c r="K46" s="49"/>
      <c r="L46" s="49"/>
    </row>
    <row r="47" spans="1:12" x14ac:dyDescent="0.25">
      <c r="A47" s="49"/>
      <c r="B47" s="49"/>
      <c r="C47" s="49"/>
      <c r="D47" s="49"/>
      <c r="E47" s="49"/>
      <c r="F47" s="49"/>
      <c r="G47" s="49"/>
      <c r="H47" s="49"/>
      <c r="I47" s="49"/>
      <c r="J47" s="49"/>
      <c r="K47" s="49"/>
      <c r="L47" s="49"/>
    </row>
    <row r="48" spans="1:12" x14ac:dyDescent="0.25">
      <c r="A48" s="49"/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</row>
    <row r="49" spans="1:12" x14ac:dyDescent="0.25">
      <c r="A49" s="49"/>
      <c r="B49" s="49"/>
      <c r="C49" s="49"/>
      <c r="D49" s="49"/>
      <c r="E49" s="49"/>
      <c r="F49" s="49"/>
      <c r="G49" s="49"/>
      <c r="H49" s="49"/>
      <c r="I49" s="49"/>
      <c r="J49" s="49"/>
      <c r="K49" s="49"/>
      <c r="L49" s="49"/>
    </row>
    <row r="50" spans="1:12" x14ac:dyDescent="0.25">
      <c r="A50" s="49"/>
      <c r="B50" s="49"/>
      <c r="C50" s="49"/>
      <c r="D50" s="49"/>
      <c r="E50" s="49"/>
      <c r="F50" s="49"/>
      <c r="G50" s="49"/>
      <c r="H50" s="49"/>
      <c r="I50" s="49"/>
      <c r="J50" s="49"/>
      <c r="K50" s="49"/>
      <c r="L50" s="49"/>
    </row>
    <row r="51" spans="1:12" x14ac:dyDescent="0.25">
      <c r="A51" s="49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</row>
    <row r="52" spans="1:12" x14ac:dyDescent="0.25">
      <c r="C52" s="49"/>
      <c r="D52" s="49"/>
      <c r="E52" s="49"/>
      <c r="F52" s="49"/>
      <c r="G52" s="49"/>
      <c r="H52" s="49"/>
    </row>
  </sheetData>
  <sheetProtection algorithmName="SHA-512" hashValue="iSrZl2N++mlstAdrhp1WI5WcWRKLPd7THLtZLvwCrRmhlZmSmZ2z7hqtSRIsS8t4REE4kVYdHRuqxnSqw0+gwg==" saltValue="D2X427kKxqvpH09PEdTUew==" spinCount="100000" sheet="1" objects="1" scenarios="1"/>
  <phoneticPr fontId="26" type="noConversion"/>
  <dataValidations disablePrompts="1" count="1">
    <dataValidation type="list" allowBlank="1" showInputMessage="1" showErrorMessage="1" sqref="G7:G17" xr:uid="{00000000-0002-0000-0C00-000000000000}">
      <formula1>$X$7:$X$11</formula1>
    </dataValidation>
  </dataValidations>
  <pageMargins left="0.70866141732283472" right="0.70866141732283472" top="0.74803149606299213" bottom="0.74803149606299213" header="0.31496062992125984" footer="0.31496062992125984"/>
  <pageSetup scale="56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3"/>
  <dimension ref="A1:X15"/>
  <sheetViews>
    <sheetView showGridLines="0" showZeros="0" zoomScaleNormal="100" workbookViewId="0">
      <selection sqref="A1:N1"/>
    </sheetView>
  </sheetViews>
  <sheetFormatPr baseColWidth="10" defaultColWidth="3.109375" defaultRowHeight="12.6" x14ac:dyDescent="0.2"/>
  <cols>
    <col min="1" max="1" width="15.44140625" style="46" customWidth="1"/>
    <col min="2" max="2" width="43.44140625" style="46" customWidth="1"/>
    <col min="3" max="4" width="3.109375" style="46" customWidth="1"/>
    <col min="5" max="5" width="22.6640625" style="46" customWidth="1"/>
    <col min="6" max="6" width="5.109375" style="46" customWidth="1"/>
    <col min="7" max="11" width="3.109375" style="46" customWidth="1"/>
    <col min="12" max="12" width="3.6640625" style="46" customWidth="1"/>
    <col min="13" max="20" width="3.109375" style="46" customWidth="1"/>
    <col min="21" max="21" width="7.33203125" style="46" customWidth="1"/>
    <col min="22" max="16384" width="3.109375" style="46"/>
  </cols>
  <sheetData>
    <row r="1" spans="1:24" ht="54" customHeight="1" thickBot="1" x14ac:dyDescent="0.25">
      <c r="A1" s="2550" t="s">
        <v>295</v>
      </c>
      <c r="B1" s="2551"/>
      <c r="C1" s="2551"/>
      <c r="D1" s="2551"/>
      <c r="E1" s="2551"/>
      <c r="F1" s="2551"/>
      <c r="G1" s="2551"/>
      <c r="H1" s="2551"/>
      <c r="I1" s="2551"/>
      <c r="J1" s="2551"/>
      <c r="K1" s="2551"/>
      <c r="L1" s="2551"/>
      <c r="M1" s="2551"/>
      <c r="N1" s="2552"/>
    </row>
    <row r="3" spans="1:24" ht="21.75" customHeight="1" thickBot="1" x14ac:dyDescent="0.25">
      <c r="A3" s="52" t="str">
        <f>CONCATENATE("ESTABLECIMIENTO/ESTRATEGIA: ",NOMBRE!B3," - ","( ",NOMBRE!C3,NOMBRE!D3,NOMBRE!E3,NOMBRE!F3,NOMBRE!G3,NOMBRE!H3," )")</f>
        <v>ESTABLECIMIENTO/ESTRATEGIA:  - (  )</v>
      </c>
    </row>
    <row r="4" spans="1:24" ht="41.25" customHeight="1" thickBot="1" x14ac:dyDescent="0.25">
      <c r="B4" s="51" t="s">
        <v>296</v>
      </c>
      <c r="E4" s="51"/>
    </row>
    <row r="5" spans="1:24" ht="12.75" customHeight="1" thickBot="1" x14ac:dyDescent="0.25"/>
    <row r="6" spans="1:24" ht="39" customHeight="1" thickBot="1" x14ac:dyDescent="0.35">
      <c r="A6" s="47"/>
      <c r="B6" s="51" t="s">
        <v>297</v>
      </c>
      <c r="C6" s="47"/>
      <c r="D6" s="47"/>
      <c r="E6" s="51"/>
      <c r="M6" s="47"/>
      <c r="N6" s="47"/>
      <c r="O6" s="47"/>
      <c r="P6" s="47"/>
      <c r="Q6" s="47"/>
      <c r="R6" s="47"/>
      <c r="S6" s="47"/>
      <c r="T6" s="47"/>
      <c r="U6" s="47"/>
      <c r="V6" s="47"/>
    </row>
    <row r="7" spans="1:24" ht="12.75" customHeight="1" thickBot="1" x14ac:dyDescent="0.35">
      <c r="X7" s="47"/>
    </row>
    <row r="8" spans="1:24" ht="52.5" customHeight="1" thickBot="1" x14ac:dyDescent="0.25">
      <c r="B8" s="51" t="s">
        <v>529</v>
      </c>
      <c r="E8" s="51"/>
    </row>
    <row r="9" spans="1:24" ht="19.5" customHeight="1" thickBot="1" x14ac:dyDescent="0.25"/>
    <row r="10" spans="1:24" ht="16.5" customHeight="1" x14ac:dyDescent="0.2">
      <c r="B10" s="2553" t="e">
        <f>IF(Control!D19&gt;0,"REVISE LA HOJA CONTROL, EXISTEN ERRORES","")</f>
        <v>#VALUE!</v>
      </c>
      <c r="C10" s="2554"/>
      <c r="D10" s="2554"/>
      <c r="E10" s="2554"/>
      <c r="F10" s="2554"/>
      <c r="G10" s="2554"/>
      <c r="H10" s="2555"/>
    </row>
    <row r="11" spans="1:24" ht="16.5" customHeight="1" thickBot="1" x14ac:dyDescent="0.25">
      <c r="B11" s="2556"/>
      <c r="C11" s="2557"/>
      <c r="D11" s="2557"/>
      <c r="E11" s="2557"/>
      <c r="F11" s="2557"/>
      <c r="G11" s="2557"/>
      <c r="H11" s="2558"/>
    </row>
    <row r="12" spans="1:24" ht="16.5" customHeight="1" x14ac:dyDescent="0.2"/>
    <row r="13" spans="1:24" ht="16.5" customHeight="1" x14ac:dyDescent="0.2">
      <c r="B13" s="48" t="s">
        <v>298</v>
      </c>
    </row>
    <row r="14" spans="1:24" ht="16.5" customHeight="1" x14ac:dyDescent="0.2"/>
    <row r="15" spans="1:24" ht="16.5" customHeight="1" x14ac:dyDescent="0.2"/>
  </sheetData>
  <sheetProtection algorithmName="SHA-512" hashValue="M5jTQCKn4oHkeJyLq0wOx/Es9Pst2EKjuot5ky8v1/z4FAKwYHuzPQMMdwe6tgiiRfBOc5SAtmE9uM63zBswlg==" saltValue="6GX48XoA9eR+wZZPS6ejTg==" spinCount="100000" sheet="1" objects="1" scenarios="1"/>
  <mergeCells count="2">
    <mergeCell ref="A1:N1"/>
    <mergeCell ref="B10:H11"/>
  </mergeCells>
  <phoneticPr fontId="26" type="noConversion"/>
  <pageMargins left="0.7" right="0.7" top="0.75" bottom="0.75" header="0.3" footer="0.3"/>
  <pageSetup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14</vt:i4>
      </vt:variant>
      <vt:variant>
        <vt:lpstr>Rangos con nombre</vt:lpstr>
      </vt:variant>
      <vt:variant>
        <vt:i4>10</vt:i4>
      </vt:variant>
    </vt:vector>
  </HeadingPairs>
  <TitlesOfParts>
    <vt:vector size="24" baseType="lpstr">
      <vt:lpstr>NOMBRE</vt:lpstr>
      <vt:lpstr>P1</vt:lpstr>
      <vt:lpstr>P2</vt:lpstr>
      <vt:lpstr>P3</vt:lpstr>
      <vt:lpstr>P4</vt:lpstr>
      <vt:lpstr>P5</vt:lpstr>
      <vt:lpstr>P6</vt:lpstr>
      <vt:lpstr>P7</vt:lpstr>
      <vt:lpstr>P9</vt:lpstr>
      <vt:lpstr>P11</vt:lpstr>
      <vt:lpstr>P12</vt:lpstr>
      <vt:lpstr>P13</vt:lpstr>
      <vt:lpstr>Control</vt:lpstr>
      <vt:lpstr>MACROS</vt:lpstr>
      <vt:lpstr>Control!Área_de_impresión</vt:lpstr>
      <vt:lpstr>'P1'!Área_de_impresión</vt:lpstr>
      <vt:lpstr>'P11'!Área_de_impresión</vt:lpstr>
      <vt:lpstr>'P12'!Área_de_impresión</vt:lpstr>
      <vt:lpstr>'P3'!Área_de_impresión</vt:lpstr>
      <vt:lpstr>'P4'!Área_de_impresión</vt:lpstr>
      <vt:lpstr>'P5'!Área_de_impresión</vt:lpstr>
      <vt:lpstr>'P6'!Área_de_impresión</vt:lpstr>
      <vt:lpstr>'P7'!Área_de_impresión</vt:lpstr>
      <vt:lpstr>'P3'!OLE_LINK1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Jennifer Paola Pacheco Silva</dc:creator>
  <cp:lastModifiedBy>Carmen Gloria Sepulveda</cp:lastModifiedBy>
  <cp:lastPrinted>2021-10-12T11:51:56Z</cp:lastPrinted>
  <dcterms:created xsi:type="dcterms:W3CDTF">2013-12-18T19:51:11Z</dcterms:created>
  <dcterms:modified xsi:type="dcterms:W3CDTF">2023-10-09T22:44:00Z</dcterms:modified>
</cp:coreProperties>
</file>